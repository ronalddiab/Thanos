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  <externalReference r:id="rId46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'22'!$A$1:$J$153</definedName>
    <definedName name="_xlnm.Print_Area" localSheetId="28">'23'!$A$1:$J$172</definedName>
    <definedName name="_xlnm.Print_Area" localSheetId="29">'24'!$A$1:$J$153</definedName>
    <definedName name="_xlnm.Print_Area" localSheetId="30">'25'!$A$1:$J$153</definedName>
    <definedName name="_xlnm.Print_Area" localSheetId="31">'26'!$A$1:$J$153</definedName>
    <definedName name="_xlnm.Print_Area" localSheetId="32">'27'!$A$1:$J$153</definedName>
    <definedName name="_xlnm.Print_Area" localSheetId="33">'28'!$A$1:$J$153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24519"/>
</workbook>
</file>

<file path=xl/calcChain.xml><?xml version="1.0" encoding="utf-8"?>
<calcChain xmlns="http://schemas.openxmlformats.org/spreadsheetml/2006/main">
  <c r="L20" i="47"/>
  <c r="L21"/>
  <c r="L22"/>
  <c r="L23"/>
  <c r="L24"/>
  <c r="L25"/>
  <c r="L26"/>
  <c r="L27"/>
  <c r="L28"/>
  <c r="L29"/>
  <c r="L30"/>
  <c r="L31"/>
  <c r="L3"/>
  <c r="L4"/>
  <c r="L5"/>
  <c r="L6"/>
  <c r="L7"/>
  <c r="L8"/>
  <c r="L9"/>
  <c r="L10"/>
  <c r="L11"/>
  <c r="L12"/>
  <c r="L13"/>
  <c r="L14"/>
  <c r="L15"/>
  <c r="L16"/>
  <c r="L17"/>
  <c r="L18"/>
  <c r="L19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E11"/>
  <c r="E12"/>
  <c r="F171" i="5"/>
  <c r="F170"/>
  <c r="E170"/>
  <c r="G170" s="1"/>
  <c r="F169"/>
  <c r="F168"/>
  <c r="F167"/>
  <c r="G167" s="1"/>
  <c r="F166"/>
  <c r="G166" s="1"/>
  <c r="F165"/>
  <c r="G165" s="1"/>
  <c r="F164"/>
  <c r="E164"/>
  <c r="G164" s="1"/>
  <c r="G163"/>
  <c r="G162"/>
  <c r="G161"/>
  <c r="G160"/>
  <c r="G140"/>
  <c r="H140" s="1"/>
  <c r="J140" s="1"/>
  <c r="E140"/>
  <c r="G139"/>
  <c r="H139" s="1"/>
  <c r="J139" s="1"/>
  <c r="E139"/>
  <c r="E138"/>
  <c r="G138" s="1"/>
  <c r="H138" s="1"/>
  <c r="J138" s="1"/>
  <c r="G137"/>
  <c r="H137" s="1"/>
  <c r="J137" s="1"/>
  <c r="E137"/>
  <c r="G136"/>
  <c r="H136" s="1"/>
  <c r="J136" s="1"/>
  <c r="E136"/>
  <c r="H135"/>
  <c r="J135" s="1"/>
  <c r="G135"/>
  <c r="E135"/>
  <c r="G134"/>
  <c r="H134" s="1"/>
  <c r="J134" s="1"/>
  <c r="E134"/>
  <c r="E133"/>
  <c r="G133" s="1"/>
  <c r="H132"/>
  <c r="J132" s="1"/>
  <c r="G132"/>
  <c r="E132"/>
  <c r="E131"/>
  <c r="G131" s="1"/>
  <c r="H131" s="1"/>
  <c r="J131" s="1"/>
  <c r="H130"/>
  <c r="J130" s="1"/>
  <c r="G130"/>
  <c r="E130"/>
  <c r="G127"/>
  <c r="H127" s="1"/>
  <c r="J127" s="1"/>
  <c r="E127"/>
  <c r="H126"/>
  <c r="J126" s="1"/>
  <c r="G126"/>
  <c r="E126"/>
  <c r="G125"/>
  <c r="H125" s="1"/>
  <c r="J125" s="1"/>
  <c r="E125"/>
  <c r="H124"/>
  <c r="J124" s="1"/>
  <c r="G124"/>
  <c r="E124"/>
  <c r="G123"/>
  <c r="H123" s="1"/>
  <c r="J123" s="1"/>
  <c r="E123"/>
  <c r="G116"/>
  <c r="H116" s="1"/>
  <c r="J116" s="1"/>
  <c r="E115"/>
  <c r="G115" s="1"/>
  <c r="H115" s="1"/>
  <c r="J115" s="1"/>
  <c r="E114"/>
  <c r="G114" s="1"/>
  <c r="H113"/>
  <c r="J113" s="1"/>
  <c r="G111"/>
  <c r="H111" s="1"/>
  <c r="J111" s="1"/>
  <c r="E111"/>
  <c r="E110"/>
  <c r="G110" s="1"/>
  <c r="G109"/>
  <c r="H109" s="1"/>
  <c r="J109" s="1"/>
  <c r="E109"/>
  <c r="H108"/>
  <c r="G106"/>
  <c r="H106" s="1"/>
  <c r="J106" s="1"/>
  <c r="E106"/>
  <c r="E105"/>
  <c r="G105" s="1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G93"/>
  <c r="H93" s="1"/>
  <c r="J93" s="1"/>
  <c r="E93"/>
  <c r="H92"/>
  <c r="J92" s="1"/>
  <c r="G92"/>
  <c r="G94" s="1"/>
  <c r="H94" s="1"/>
  <c r="J94" s="1"/>
  <c r="E92"/>
  <c r="G90"/>
  <c r="H90" s="1"/>
  <c r="J90" s="1"/>
  <c r="E90"/>
  <c r="H89"/>
  <c r="J89" s="1"/>
  <c r="G89"/>
  <c r="E89"/>
  <c r="G88"/>
  <c r="H88" s="1"/>
  <c r="J88" s="1"/>
  <c r="E88"/>
  <c r="H87"/>
  <c r="J87" s="1"/>
  <c r="G87"/>
  <c r="E87"/>
  <c r="G86"/>
  <c r="H86" s="1"/>
  <c r="J86" s="1"/>
  <c r="E86"/>
  <c r="E84"/>
  <c r="G84" s="1"/>
  <c r="H84" s="1"/>
  <c r="J84" s="1"/>
  <c r="G83"/>
  <c r="H83" s="1"/>
  <c r="J83" s="1"/>
  <c r="E83"/>
  <c r="E82"/>
  <c r="G82" s="1"/>
  <c r="H82" s="1"/>
  <c r="J82" s="1"/>
  <c r="G81"/>
  <c r="H81" s="1"/>
  <c r="J81" s="1"/>
  <c r="E81"/>
  <c r="E80"/>
  <c r="G80" s="1"/>
  <c r="H80" s="1"/>
  <c r="J80" s="1"/>
  <c r="G79"/>
  <c r="H79" s="1"/>
  <c r="J79" s="1"/>
  <c r="E79"/>
  <c r="E78"/>
  <c r="G78" s="1"/>
  <c r="H78" s="1"/>
  <c r="J78" s="1"/>
  <c r="G77"/>
  <c r="H77" s="1"/>
  <c r="J77" s="1"/>
  <c r="E77"/>
  <c r="E76"/>
  <c r="G76" s="1"/>
  <c r="H76" s="1"/>
  <c r="J76" s="1"/>
  <c r="G75"/>
  <c r="H75" s="1"/>
  <c r="J75" s="1"/>
  <c r="E75"/>
  <c r="E74"/>
  <c r="G74" s="1"/>
  <c r="H74" s="1"/>
  <c r="J74" s="1"/>
  <c r="G73"/>
  <c r="H73" s="1"/>
  <c r="J73" s="1"/>
  <c r="E73"/>
  <c r="E72"/>
  <c r="G72" s="1"/>
  <c r="H70"/>
  <c r="J70" s="1"/>
  <c r="E69"/>
  <c r="G69" s="1"/>
  <c r="H69" s="1"/>
  <c r="J69" s="1"/>
  <c r="E68"/>
  <c r="G68" s="1"/>
  <c r="H68" s="1"/>
  <c r="J68" s="1"/>
  <c r="E67"/>
  <c r="G67" s="1"/>
  <c r="H67" s="1"/>
  <c r="J67" s="1"/>
  <c r="E66"/>
  <c r="E168" s="1"/>
  <c r="E65"/>
  <c r="E167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H45"/>
  <c r="J45" s="1"/>
  <c r="G45"/>
  <c r="E45"/>
  <c r="E44"/>
  <c r="G44" s="1"/>
  <c r="H44" s="1"/>
  <c r="J44" s="1"/>
  <c r="H43"/>
  <c r="J43" s="1"/>
  <c r="G43"/>
  <c r="E43"/>
  <c r="E42"/>
  <c r="G42" s="1"/>
  <c r="H42" s="1"/>
  <c r="J42" s="1"/>
  <c r="H41"/>
  <c r="J41" s="1"/>
  <c r="G41"/>
  <c r="E41"/>
  <c r="E40"/>
  <c r="G40" s="1"/>
  <c r="H40" s="1"/>
  <c r="J40" s="1"/>
  <c r="H39"/>
  <c r="J39" s="1"/>
  <c r="G39"/>
  <c r="G146" s="1"/>
  <c r="E38"/>
  <c r="G38" s="1"/>
  <c r="G37"/>
  <c r="G152" s="1"/>
  <c r="G36"/>
  <c r="E36"/>
  <c r="E35"/>
  <c r="G35" s="1"/>
  <c r="E29"/>
  <c r="G29" s="1"/>
  <c r="H29" s="1"/>
  <c r="J29" s="1"/>
  <c r="J24"/>
  <c r="H24"/>
  <c r="E24"/>
  <c r="J23"/>
  <c r="H23"/>
  <c r="E23"/>
  <c r="G22"/>
  <c r="H22" s="1"/>
  <c r="J22" s="1"/>
  <c r="E22"/>
  <c r="G19"/>
  <c r="F118" s="1"/>
  <c r="E19"/>
  <c r="I18"/>
  <c r="I20" s="1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I7"/>
  <c r="H7"/>
  <c r="J7" s="1"/>
  <c r="G7"/>
  <c r="E7"/>
  <c r="F171" i="4"/>
  <c r="G171" s="1"/>
  <c r="E171"/>
  <c r="F170"/>
  <c r="E170"/>
  <c r="G170" s="1"/>
  <c r="G169"/>
  <c r="F169"/>
  <c r="E169"/>
  <c r="F168"/>
  <c r="G168" s="1"/>
  <c r="E168"/>
  <c r="F167"/>
  <c r="G167" s="1"/>
  <c r="E167"/>
  <c r="G166"/>
  <c r="E166"/>
  <c r="E165"/>
  <c r="G165" s="1"/>
  <c r="F164"/>
  <c r="E164"/>
  <c r="G164" s="1"/>
  <c r="G163"/>
  <c r="E163"/>
  <c r="E162"/>
  <c r="G162" s="1"/>
  <c r="G161"/>
  <c r="E161"/>
  <c r="E160"/>
  <c r="G160" s="1"/>
  <c r="G140"/>
  <c r="H140" s="1"/>
  <c r="J140" s="1"/>
  <c r="E140"/>
  <c r="E139"/>
  <c r="G139" s="1"/>
  <c r="H139" s="1"/>
  <c r="J139" s="1"/>
  <c r="H138"/>
  <c r="J138" s="1"/>
  <c r="G138"/>
  <c r="E138"/>
  <c r="G137"/>
  <c r="H137" s="1"/>
  <c r="J137" s="1"/>
  <c r="E137"/>
  <c r="H136"/>
  <c r="J136" s="1"/>
  <c r="G136"/>
  <c r="I138" s="1"/>
  <c r="E136"/>
  <c r="H135"/>
  <c r="J135" s="1"/>
  <c r="G135"/>
  <c r="E135"/>
  <c r="J134"/>
  <c r="H134"/>
  <c r="G134"/>
  <c r="E134"/>
  <c r="H133"/>
  <c r="J133" s="1"/>
  <c r="G133"/>
  <c r="E133"/>
  <c r="J132"/>
  <c r="H132"/>
  <c r="G132"/>
  <c r="I135" s="1"/>
  <c r="E132"/>
  <c r="H131"/>
  <c r="J131" s="1"/>
  <c r="G131"/>
  <c r="E131"/>
  <c r="J130"/>
  <c r="H130"/>
  <c r="G130"/>
  <c r="E130"/>
  <c r="H127"/>
  <c r="J127" s="1"/>
  <c r="G127"/>
  <c r="E127"/>
  <c r="G126"/>
  <c r="H126" s="1"/>
  <c r="J126" s="1"/>
  <c r="E126"/>
  <c r="H125"/>
  <c r="J125" s="1"/>
  <c r="G125"/>
  <c r="E125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H113"/>
  <c r="J113" s="1"/>
  <c r="E111"/>
  <c r="G111" s="1"/>
  <c r="H111" s="1"/>
  <c r="J111" s="1"/>
  <c r="G110"/>
  <c r="H110" s="1"/>
  <c r="J110" s="1"/>
  <c r="E110"/>
  <c r="E109"/>
  <c r="G109" s="1"/>
  <c r="E106"/>
  <c r="G106" s="1"/>
  <c r="H106" s="1"/>
  <c r="J106" s="1"/>
  <c r="G105"/>
  <c r="H105" s="1"/>
  <c r="J105" s="1"/>
  <c r="E105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H93"/>
  <c r="J93" s="1"/>
  <c r="G93"/>
  <c r="E93"/>
  <c r="J92"/>
  <c r="H92"/>
  <c r="G92"/>
  <c r="G94" s="1"/>
  <c r="H94" s="1"/>
  <c r="J94" s="1"/>
  <c r="E92"/>
  <c r="K90"/>
  <c r="E90"/>
  <c r="G90" s="1"/>
  <c r="H90" s="1"/>
  <c r="J90" s="1"/>
  <c r="K89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J46"/>
  <c r="H46"/>
  <c r="G46"/>
  <c r="E46"/>
  <c r="H45"/>
  <c r="J45" s="1"/>
  <c r="G45"/>
  <c r="E45"/>
  <c r="J44"/>
  <c r="H44"/>
  <c r="G44"/>
  <c r="E44"/>
  <c r="H43"/>
  <c r="J43" s="1"/>
  <c r="G43"/>
  <c r="E43"/>
  <c r="J42"/>
  <c r="H42"/>
  <c r="G42"/>
  <c r="E42"/>
  <c r="H41"/>
  <c r="J41" s="1"/>
  <c r="G41"/>
  <c r="E41"/>
  <c r="J40"/>
  <c r="H40"/>
  <c r="G40"/>
  <c r="G39"/>
  <c r="E39"/>
  <c r="H38"/>
  <c r="J38" s="1"/>
  <c r="G38"/>
  <c r="G148" s="1"/>
  <c r="E38"/>
  <c r="G37"/>
  <c r="H37" s="1"/>
  <c r="J37" s="1"/>
  <c r="E37"/>
  <c r="H36"/>
  <c r="J36" s="1"/>
  <c r="G36"/>
  <c r="E36"/>
  <c r="G35"/>
  <c r="H35" s="1"/>
  <c r="J35" s="1"/>
  <c r="E35"/>
  <c r="E31"/>
  <c r="G31" s="1"/>
  <c r="H31" s="1"/>
  <c r="J31" s="1"/>
  <c r="G30"/>
  <c r="H30" s="1"/>
  <c r="J30" s="1"/>
  <c r="E30"/>
  <c r="E29"/>
  <c r="G29" s="1"/>
  <c r="H29" s="1"/>
  <c r="J29" s="1"/>
  <c r="E27"/>
  <c r="G27" s="1"/>
  <c r="J24"/>
  <c r="H24"/>
  <c r="E24"/>
  <c r="J23"/>
  <c r="H23"/>
  <c r="E23"/>
  <c r="H22"/>
  <c r="J22" s="1"/>
  <c r="G22"/>
  <c r="E22"/>
  <c r="H19"/>
  <c r="J19" s="1"/>
  <c r="G19"/>
  <c r="F118" s="1"/>
  <c r="E19"/>
  <c r="J18"/>
  <c r="I18"/>
  <c r="I20" s="1"/>
  <c r="H18"/>
  <c r="G18"/>
  <c r="G20" s="1"/>
  <c r="H20" s="1"/>
  <c r="J20" s="1"/>
  <c r="E18"/>
  <c r="G15"/>
  <c r="G128" s="1"/>
  <c r="H128" s="1"/>
  <c r="J128" s="1"/>
  <c r="E15"/>
  <c r="G12"/>
  <c r="H12" s="1"/>
  <c r="J12" s="1"/>
  <c r="E12"/>
  <c r="E11"/>
  <c r="G11" s="1"/>
  <c r="H11" s="1"/>
  <c r="J11" s="1"/>
  <c r="G10"/>
  <c r="H10" s="1"/>
  <c r="J10" s="1"/>
  <c r="E10"/>
  <c r="G9"/>
  <c r="G13" s="1"/>
  <c r="E9"/>
  <c r="H8"/>
  <c r="J8" s="1"/>
  <c r="I9" s="1"/>
  <c r="G8"/>
  <c r="E8"/>
  <c r="I7"/>
  <c r="H7"/>
  <c r="J7" s="1"/>
  <c r="G7"/>
  <c r="E7"/>
  <c r="F171" i="3"/>
  <c r="G171" s="1"/>
  <c r="E171"/>
  <c r="F170"/>
  <c r="G170" s="1"/>
  <c r="E170"/>
  <c r="G169"/>
  <c r="F169"/>
  <c r="E169"/>
  <c r="F168"/>
  <c r="G168" s="1"/>
  <c r="E168"/>
  <c r="F167"/>
  <c r="G167" s="1"/>
  <c r="E167"/>
  <c r="F166"/>
  <c r="E166"/>
  <c r="G166" s="1"/>
  <c r="G165"/>
  <c r="F165"/>
  <c r="E165"/>
  <c r="G164"/>
  <c r="F164"/>
  <c r="E164"/>
  <c r="E163"/>
  <c r="G163" s="1"/>
  <c r="G162"/>
  <c r="E162"/>
  <c r="E161"/>
  <c r="G161" s="1"/>
  <c r="G160"/>
  <c r="E160"/>
  <c r="H140"/>
  <c r="J140" s="1"/>
  <c r="G140"/>
  <c r="E140"/>
  <c r="E139"/>
  <c r="G139" s="1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G133"/>
  <c r="H133" s="1"/>
  <c r="J133" s="1"/>
  <c r="E133"/>
  <c r="E132"/>
  <c r="G132" s="1"/>
  <c r="G131"/>
  <c r="H131" s="1"/>
  <c r="J131" s="1"/>
  <c r="E13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H115"/>
  <c r="J115" s="1"/>
  <c r="G115"/>
  <c r="E115"/>
  <c r="G114"/>
  <c r="H114" s="1"/>
  <c r="J114" s="1"/>
  <c r="E114"/>
  <c r="H113"/>
  <c r="J113" s="1"/>
  <c r="E111"/>
  <c r="G111" s="1"/>
  <c r="H111" s="1"/>
  <c r="J111" s="1"/>
  <c r="J110"/>
  <c r="H110"/>
  <c r="G110"/>
  <c r="E110"/>
  <c r="E109"/>
  <c r="G109" s="1"/>
  <c r="H108"/>
  <c r="E106"/>
  <c r="G106" s="1"/>
  <c r="H106" s="1"/>
  <c r="J106" s="1"/>
  <c r="J105"/>
  <c r="H105"/>
  <c r="G105"/>
  <c r="E105"/>
  <c r="E104"/>
  <c r="G104" s="1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H96" s="1"/>
  <c r="J96" s="1"/>
  <c r="E96"/>
  <c r="H95"/>
  <c r="J95" s="1"/>
  <c r="G95"/>
  <c r="G101" s="1"/>
  <c r="H101" s="1"/>
  <c r="J101" s="1"/>
  <c r="E95"/>
  <c r="G93"/>
  <c r="H93" s="1"/>
  <c r="J93" s="1"/>
  <c r="E93"/>
  <c r="E92"/>
  <c r="G92" s="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5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J29"/>
  <c r="H29"/>
  <c r="G29"/>
  <c r="E29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G20" s="1"/>
  <c r="H20" s="1"/>
  <c r="J20" s="1"/>
  <c r="E18"/>
  <c r="E15"/>
  <c r="G15" s="1"/>
  <c r="J12"/>
  <c r="H12"/>
  <c r="E12"/>
  <c r="J11"/>
  <c r="H11"/>
  <c r="G11"/>
  <c r="E11"/>
  <c r="E10"/>
  <c r="G10" s="1"/>
  <c r="H10" s="1"/>
  <c r="J10" s="1"/>
  <c r="E9"/>
  <c r="G9" s="1"/>
  <c r="E8"/>
  <c r="G8" s="1"/>
  <c r="I7"/>
  <c r="E7"/>
  <c r="G7" s="1"/>
  <c r="F171" i="2"/>
  <c r="G171" s="1"/>
  <c r="E171"/>
  <c r="F170"/>
  <c r="G170" s="1"/>
  <c r="E170"/>
  <c r="F169"/>
  <c r="G169" s="1"/>
  <c r="E169"/>
  <c r="G168"/>
  <c r="F168"/>
  <c r="E168"/>
  <c r="G167"/>
  <c r="F167"/>
  <c r="E167"/>
  <c r="F166"/>
  <c r="E166"/>
  <c r="G166" s="1"/>
  <c r="F165"/>
  <c r="E165"/>
  <c r="G165" s="1"/>
  <c r="G164"/>
  <c r="E164"/>
  <c r="G163"/>
  <c r="G162"/>
  <c r="G161"/>
  <c r="G160"/>
  <c r="G148"/>
  <c r="H148" s="1"/>
  <c r="J148" s="1"/>
  <c r="H140"/>
  <c r="J140" s="1"/>
  <c r="G140"/>
  <c r="H139"/>
  <c r="J139" s="1"/>
  <c r="G139"/>
  <c r="I140" s="1"/>
  <c r="G138"/>
  <c r="H138" s="1"/>
  <c r="J138" s="1"/>
  <c r="G137"/>
  <c r="H137" s="1"/>
  <c r="J137" s="1"/>
  <c r="G136"/>
  <c r="H136" s="1"/>
  <c r="J136" s="1"/>
  <c r="H135"/>
  <c r="J135" s="1"/>
  <c r="G135"/>
  <c r="J134"/>
  <c r="H134"/>
  <c r="G134"/>
  <c r="G133"/>
  <c r="H133" s="1"/>
  <c r="J133" s="1"/>
  <c r="G132"/>
  <c r="H132" s="1"/>
  <c r="J132" s="1"/>
  <c r="G131"/>
  <c r="H131" s="1"/>
  <c r="J131" s="1"/>
  <c r="H130"/>
  <c r="J130" s="1"/>
  <c r="G130"/>
  <c r="H127"/>
  <c r="J127" s="1"/>
  <c r="G127"/>
  <c r="J126"/>
  <c r="H126"/>
  <c r="G126"/>
  <c r="J125"/>
  <c r="H125"/>
  <c r="G125"/>
  <c r="G124"/>
  <c r="H124" s="1"/>
  <c r="J124" s="1"/>
  <c r="G123"/>
  <c r="H123" s="1"/>
  <c r="J123" s="1"/>
  <c r="E120"/>
  <c r="E119"/>
  <c r="G118"/>
  <c r="H118" s="1"/>
  <c r="J118" s="1"/>
  <c r="E118"/>
  <c r="G116"/>
  <c r="H116" s="1"/>
  <c r="J116" s="1"/>
  <c r="G115"/>
  <c r="H115" s="1"/>
  <c r="J115" s="1"/>
  <c r="G114"/>
  <c r="G117" s="1"/>
  <c r="H117" s="1"/>
  <c r="J117" s="1"/>
  <c r="H113"/>
  <c r="J113" s="1"/>
  <c r="G112"/>
  <c r="H112" s="1"/>
  <c r="J112" s="1"/>
  <c r="G111"/>
  <c r="H111" s="1"/>
  <c r="J111" s="1"/>
  <c r="H110"/>
  <c r="J110" s="1"/>
  <c r="G110"/>
  <c r="H109"/>
  <c r="J109" s="1"/>
  <c r="G109"/>
  <c r="J106" s="1"/>
  <c r="H108"/>
  <c r="G106"/>
  <c r="H106" s="1"/>
  <c r="G105"/>
  <c r="H105" s="1"/>
  <c r="J105" s="1"/>
  <c r="H104"/>
  <c r="J104" s="1"/>
  <c r="G104"/>
  <c r="H100"/>
  <c r="J100" s="1"/>
  <c r="G100"/>
  <c r="J99"/>
  <c r="H99"/>
  <c r="G99"/>
  <c r="J98"/>
  <c r="H98"/>
  <c r="G98"/>
  <c r="G97"/>
  <c r="G119" s="1"/>
  <c r="H119" s="1"/>
  <c r="J119" s="1"/>
  <c r="G96"/>
  <c r="H96" s="1"/>
  <c r="J96" s="1"/>
  <c r="G95"/>
  <c r="H95" s="1"/>
  <c r="J95" s="1"/>
  <c r="J93"/>
  <c r="H93"/>
  <c r="G93"/>
  <c r="J92"/>
  <c r="H92"/>
  <c r="G92"/>
  <c r="G94" s="1"/>
  <c r="G90"/>
  <c r="H90" s="1"/>
  <c r="J90" s="1"/>
  <c r="G89"/>
  <c r="H89" s="1"/>
  <c r="J89" s="1"/>
  <c r="G88"/>
  <c r="H88" s="1"/>
  <c r="J88" s="1"/>
  <c r="H87"/>
  <c r="J87" s="1"/>
  <c r="G87"/>
  <c r="H86"/>
  <c r="J86" s="1"/>
  <c r="G86"/>
  <c r="J84"/>
  <c r="H84"/>
  <c r="G84"/>
  <c r="J83"/>
  <c r="H83"/>
  <c r="G83"/>
  <c r="G82"/>
  <c r="H82" s="1"/>
  <c r="J82" s="1"/>
  <c r="G81"/>
  <c r="H81" s="1"/>
  <c r="J81" s="1"/>
  <c r="G80"/>
  <c r="H80" s="1"/>
  <c r="J80" s="1"/>
  <c r="H79"/>
  <c r="J79" s="1"/>
  <c r="G79"/>
  <c r="H78"/>
  <c r="J78" s="1"/>
  <c r="G78"/>
  <c r="H77"/>
  <c r="J77" s="1"/>
  <c r="G77"/>
  <c r="J76"/>
  <c r="H76"/>
  <c r="G76"/>
  <c r="J75"/>
  <c r="H75"/>
  <c r="G75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H67"/>
  <c r="J67" s="1"/>
  <c r="G67"/>
  <c r="H66"/>
  <c r="J66" s="1"/>
  <c r="G66"/>
  <c r="H65"/>
  <c r="J65" s="1"/>
  <c r="G65"/>
  <c r="J64"/>
  <c r="H64"/>
  <c r="G64"/>
  <c r="J63"/>
  <c r="H63"/>
  <c r="G63"/>
  <c r="G62"/>
  <c r="H62" s="1"/>
  <c r="J62" s="1"/>
  <c r="G58"/>
  <c r="H58" s="1"/>
  <c r="J58" s="1"/>
  <c r="G57"/>
  <c r="H57" s="1"/>
  <c r="J57" s="1"/>
  <c r="H56"/>
  <c r="J56" s="1"/>
  <c r="G56"/>
  <c r="H55"/>
  <c r="J55" s="1"/>
  <c r="G55"/>
  <c r="H54"/>
  <c r="J54" s="1"/>
  <c r="G54"/>
  <c r="J53"/>
  <c r="H53"/>
  <c r="G53"/>
  <c r="J52"/>
  <c r="H52"/>
  <c r="G52"/>
  <c r="G51"/>
  <c r="G59" s="1"/>
  <c r="H59" s="1"/>
  <c r="J59" s="1"/>
  <c r="G50"/>
  <c r="H50" s="1"/>
  <c r="J50" s="1"/>
  <c r="G49"/>
  <c r="H49" s="1"/>
  <c r="J49" s="1"/>
  <c r="H46"/>
  <c r="J46" s="1"/>
  <c r="G46"/>
  <c r="H45"/>
  <c r="J45" s="1"/>
  <c r="G45"/>
  <c r="J44"/>
  <c r="H44"/>
  <c r="G44"/>
  <c r="J43"/>
  <c r="H43"/>
  <c r="G43"/>
  <c r="G42"/>
  <c r="H42" s="1"/>
  <c r="J42" s="1"/>
  <c r="G41"/>
  <c r="H41" s="1"/>
  <c r="J41" s="1"/>
  <c r="G40"/>
  <c r="H40" s="1"/>
  <c r="J40" s="1"/>
  <c r="H39"/>
  <c r="J39" s="1"/>
  <c r="G39"/>
  <c r="G146" s="1"/>
  <c r="H38"/>
  <c r="J38" s="1"/>
  <c r="G38"/>
  <c r="G47" s="1"/>
  <c r="H37"/>
  <c r="J37" s="1"/>
  <c r="G37"/>
  <c r="G152" s="1"/>
  <c r="J36"/>
  <c r="H36"/>
  <c r="G36"/>
  <c r="G150" s="1"/>
  <c r="J35"/>
  <c r="H35"/>
  <c r="G35"/>
  <c r="G142" s="1"/>
  <c r="E30"/>
  <c r="G30" s="1"/>
  <c r="H30" s="1"/>
  <c r="J30" s="1"/>
  <c r="E28"/>
  <c r="G28" s="1"/>
  <c r="H28" s="1"/>
  <c r="J28" s="1"/>
  <c r="J23"/>
  <c r="H23"/>
  <c r="G23"/>
  <c r="J22"/>
  <c r="H22"/>
  <c r="G22"/>
  <c r="G24" s="1"/>
  <c r="H19"/>
  <c r="J19" s="1"/>
  <c r="G19"/>
  <c r="E31" s="1"/>
  <c r="G31" s="1"/>
  <c r="H31" s="1"/>
  <c r="J31" s="1"/>
  <c r="H18"/>
  <c r="J18" s="1"/>
  <c r="G18"/>
  <c r="G20" s="1"/>
  <c r="H20" s="1"/>
  <c r="J20" s="1"/>
  <c r="I20" s="1"/>
  <c r="G15"/>
  <c r="G128" s="1"/>
  <c r="H128" s="1"/>
  <c r="J128" s="1"/>
  <c r="J12"/>
  <c r="H12"/>
  <c r="G12"/>
  <c r="G11"/>
  <c r="H11" s="1"/>
  <c r="J11" s="1"/>
  <c r="G10"/>
  <c r="H10" s="1"/>
  <c r="J10" s="1"/>
  <c r="H9"/>
  <c r="J9" s="1"/>
  <c r="G9"/>
  <c r="G13" s="1"/>
  <c r="G8"/>
  <c r="E27" s="1"/>
  <c r="G27" s="1"/>
  <c r="J7"/>
  <c r="H7"/>
  <c r="G7"/>
  <c r="G112" i="5" l="1"/>
  <c r="H110"/>
  <c r="J110" s="1"/>
  <c r="H72"/>
  <c r="J72" s="1"/>
  <c r="G85"/>
  <c r="H85" s="1"/>
  <c r="J85" s="1"/>
  <c r="G150"/>
  <c r="G144"/>
  <c r="H114"/>
  <c r="J114" s="1"/>
  <c r="G117"/>
  <c r="H117" s="1"/>
  <c r="J117" s="1"/>
  <c r="G13"/>
  <c r="H9"/>
  <c r="J9" s="1"/>
  <c r="G147"/>
  <c r="H147" s="1"/>
  <c r="J147" s="1"/>
  <c r="H146"/>
  <c r="J146" s="1"/>
  <c r="H8"/>
  <c r="J8" s="1"/>
  <c r="I9" s="1"/>
  <c r="E27"/>
  <c r="G27" s="1"/>
  <c r="H38"/>
  <c r="J38" s="1"/>
  <c r="G148"/>
  <c r="H49"/>
  <c r="J49" s="1"/>
  <c r="G59"/>
  <c r="H59" s="1"/>
  <c r="J59" s="1"/>
  <c r="H152"/>
  <c r="J152" s="1"/>
  <c r="G153"/>
  <c r="H153" s="1"/>
  <c r="J153" s="1"/>
  <c r="H95"/>
  <c r="J95" s="1"/>
  <c r="F119"/>
  <c r="G119"/>
  <c r="H119" s="1"/>
  <c r="J119" s="1"/>
  <c r="G101"/>
  <c r="H101" s="1"/>
  <c r="J101" s="1"/>
  <c r="G107"/>
  <c r="H107" s="1"/>
  <c r="J107" s="1"/>
  <c r="H105"/>
  <c r="J105" s="1"/>
  <c r="H133"/>
  <c r="J133" s="1"/>
  <c r="I133"/>
  <c r="G168"/>
  <c r="G128"/>
  <c r="H128" s="1"/>
  <c r="J128" s="1"/>
  <c r="E28"/>
  <c r="G28" s="1"/>
  <c r="H28" s="1"/>
  <c r="J28" s="1"/>
  <c r="H15"/>
  <c r="J15" s="1"/>
  <c r="I16" s="1"/>
  <c r="G142"/>
  <c r="G47"/>
  <c r="H35"/>
  <c r="J35" s="1"/>
  <c r="G66"/>
  <c r="H66" s="1"/>
  <c r="J66" s="1"/>
  <c r="I136"/>
  <c r="E169"/>
  <c r="G169" s="1"/>
  <c r="H19"/>
  <c r="J19" s="1"/>
  <c r="E31"/>
  <c r="G31" s="1"/>
  <c r="H31" s="1"/>
  <c r="J31" s="1"/>
  <c r="H37"/>
  <c r="J37" s="1"/>
  <c r="E171"/>
  <c r="G171" s="1"/>
  <c r="N8"/>
  <c r="I139"/>
  <c r="H36"/>
  <c r="J36" s="1"/>
  <c r="G65"/>
  <c r="H65" s="1"/>
  <c r="J65" s="1"/>
  <c r="E30"/>
  <c r="G30" s="1"/>
  <c r="H30" s="1"/>
  <c r="J30" s="1"/>
  <c r="H18"/>
  <c r="J18" s="1"/>
  <c r="G118"/>
  <c r="H118" s="1"/>
  <c r="J118" s="1"/>
  <c r="I13"/>
  <c r="G144" i="4"/>
  <c r="H72"/>
  <c r="J72" s="1"/>
  <c r="G85"/>
  <c r="H85" s="1"/>
  <c r="J85" s="1"/>
  <c r="G112"/>
  <c r="H109"/>
  <c r="J109" s="1"/>
  <c r="G59"/>
  <c r="H59" s="1"/>
  <c r="J59" s="1"/>
  <c r="H49"/>
  <c r="J49" s="1"/>
  <c r="H27"/>
  <c r="J27" s="1"/>
  <c r="F119"/>
  <c r="G119"/>
  <c r="H119" s="1"/>
  <c r="J119" s="1"/>
  <c r="G101"/>
  <c r="H101" s="1"/>
  <c r="J101" s="1"/>
  <c r="H95"/>
  <c r="J95" s="1"/>
  <c r="I13"/>
  <c r="G150"/>
  <c r="G146"/>
  <c r="H13"/>
  <c r="J13" s="1"/>
  <c r="H114"/>
  <c r="J114" s="1"/>
  <c r="G117"/>
  <c r="H117" s="1"/>
  <c r="J117" s="1"/>
  <c r="G107"/>
  <c r="H107" s="1"/>
  <c r="J107" s="1"/>
  <c r="H108"/>
  <c r="J104" s="1"/>
  <c r="H104"/>
  <c r="H148"/>
  <c r="J148" s="1"/>
  <c r="G149"/>
  <c r="H149" s="1"/>
  <c r="J149" s="1"/>
  <c r="H15"/>
  <c r="J15" s="1"/>
  <c r="I16" s="1"/>
  <c r="G47"/>
  <c r="G142"/>
  <c r="E28"/>
  <c r="G28" s="1"/>
  <c r="H28" s="1"/>
  <c r="J28" s="1"/>
  <c r="G118"/>
  <c r="H118" s="1"/>
  <c r="J118" s="1"/>
  <c r="I140"/>
  <c r="G152"/>
  <c r="H9"/>
  <c r="J9" s="1"/>
  <c r="H39"/>
  <c r="J39" s="1"/>
  <c r="H9" i="3"/>
  <c r="J9" s="1"/>
  <c r="G13"/>
  <c r="H35"/>
  <c r="J35" s="1"/>
  <c r="G142"/>
  <c r="G47"/>
  <c r="H136"/>
  <c r="J136" s="1"/>
  <c r="I138"/>
  <c r="H8"/>
  <c r="J8" s="1"/>
  <c r="I9" s="1"/>
  <c r="E27"/>
  <c r="G27" s="1"/>
  <c r="H37"/>
  <c r="J37" s="1"/>
  <c r="G152"/>
  <c r="F118"/>
  <c r="G118"/>
  <c r="H118" s="1"/>
  <c r="J118" s="1"/>
  <c r="E30"/>
  <c r="G30" s="1"/>
  <c r="H30" s="1"/>
  <c r="J30" s="1"/>
  <c r="H19"/>
  <c r="J19" s="1"/>
  <c r="H41"/>
  <c r="J41" s="1"/>
  <c r="G144"/>
  <c r="H104"/>
  <c r="J104" s="1"/>
  <c r="G107"/>
  <c r="H107" s="1"/>
  <c r="J107" s="1"/>
  <c r="I13"/>
  <c r="H7"/>
  <c r="J7" s="1"/>
  <c r="H109"/>
  <c r="J109" s="1"/>
  <c r="G112"/>
  <c r="G146"/>
  <c r="H39"/>
  <c r="J39" s="1"/>
  <c r="G94"/>
  <c r="H94" s="1"/>
  <c r="J94" s="1"/>
  <c r="H92"/>
  <c r="J92" s="1"/>
  <c r="I20"/>
  <c r="G59"/>
  <c r="H59" s="1"/>
  <c r="J59" s="1"/>
  <c r="H38"/>
  <c r="J38" s="1"/>
  <c r="G148"/>
  <c r="I133"/>
  <c r="H132"/>
  <c r="J132" s="1"/>
  <c r="I140"/>
  <c r="H139"/>
  <c r="J139" s="1"/>
  <c r="G128"/>
  <c r="H128" s="1"/>
  <c r="J128" s="1"/>
  <c r="E28"/>
  <c r="G28" s="1"/>
  <c r="H28" s="1"/>
  <c r="J28" s="1"/>
  <c r="H15"/>
  <c r="J15" s="1"/>
  <c r="I16" s="1"/>
  <c r="O16"/>
  <c r="G150"/>
  <c r="H36"/>
  <c r="J36" s="1"/>
  <c r="E31"/>
  <c r="G31" s="1"/>
  <c r="H31" s="1"/>
  <c r="J31" s="1"/>
  <c r="G117"/>
  <c r="H117" s="1"/>
  <c r="J117" s="1"/>
  <c r="G119"/>
  <c r="H119" s="1"/>
  <c r="J119" s="1"/>
  <c r="G85"/>
  <c r="H85" s="1"/>
  <c r="J85" s="1"/>
  <c r="F119"/>
  <c r="H49"/>
  <c r="J49" s="1"/>
  <c r="G172" i="2"/>
  <c r="G60"/>
  <c r="H60" s="1"/>
  <c r="J60" s="1"/>
  <c r="H47"/>
  <c r="J47" s="1"/>
  <c r="G153"/>
  <c r="H153" s="1"/>
  <c r="J153" s="1"/>
  <c r="H152"/>
  <c r="J152" s="1"/>
  <c r="H27"/>
  <c r="J27" s="1"/>
  <c r="H150"/>
  <c r="J150" s="1"/>
  <c r="G151"/>
  <c r="H151" s="1"/>
  <c r="J151" s="1"/>
  <c r="I13"/>
  <c r="H13"/>
  <c r="J13" s="1"/>
  <c r="H146"/>
  <c r="J146" s="1"/>
  <c r="G147"/>
  <c r="H147" s="1"/>
  <c r="J147" s="1"/>
  <c r="E29"/>
  <c r="G29" s="1"/>
  <c r="H29" s="1"/>
  <c r="J29" s="1"/>
  <c r="H24"/>
  <c r="J24" s="1"/>
  <c r="H142"/>
  <c r="J142" s="1"/>
  <c r="G143"/>
  <c r="H143" s="1"/>
  <c r="J143" s="1"/>
  <c r="H8"/>
  <c r="J8" s="1"/>
  <c r="I9" s="1"/>
  <c r="G120"/>
  <c r="H120" s="1"/>
  <c r="J120" s="1"/>
  <c r="I138"/>
  <c r="H51"/>
  <c r="J51" s="1"/>
  <c r="G85"/>
  <c r="H85" s="1"/>
  <c r="J85" s="1"/>
  <c r="H97"/>
  <c r="J97" s="1"/>
  <c r="F120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27" i="5" l="1"/>
  <c r="J27" s="1"/>
  <c r="G32"/>
  <c r="H32" s="1"/>
  <c r="J32" s="1"/>
  <c r="H142"/>
  <c r="J142" s="1"/>
  <c r="G143"/>
  <c r="H143" s="1"/>
  <c r="J143" s="1"/>
  <c r="H13"/>
  <c r="J13" s="1"/>
  <c r="F120"/>
  <c r="G120"/>
  <c r="H120" s="1"/>
  <c r="J120" s="1"/>
  <c r="H112"/>
  <c r="J112" s="1"/>
  <c r="H144"/>
  <c r="J144" s="1"/>
  <c r="G145"/>
  <c r="H145" s="1"/>
  <c r="J145" s="1"/>
  <c r="G60"/>
  <c r="H47"/>
  <c r="J47" s="1"/>
  <c r="H150"/>
  <c r="J150" s="1"/>
  <c r="G151"/>
  <c r="H151" s="1"/>
  <c r="J151" s="1"/>
  <c r="H148"/>
  <c r="J148" s="1"/>
  <c r="G149"/>
  <c r="H149" s="1"/>
  <c r="J149" s="1"/>
  <c r="G151" i="4"/>
  <c r="H151" s="1"/>
  <c r="J151" s="1"/>
  <c r="H150"/>
  <c r="J150" s="1"/>
  <c r="H146"/>
  <c r="J146" s="1"/>
  <c r="G147"/>
  <c r="H147" s="1"/>
  <c r="J147" s="1"/>
  <c r="H152"/>
  <c r="J152" s="1"/>
  <c r="G153"/>
  <c r="H153" s="1"/>
  <c r="J153" s="1"/>
  <c r="H144"/>
  <c r="J144" s="1"/>
  <c r="G145"/>
  <c r="H145" s="1"/>
  <c r="J145" s="1"/>
  <c r="G32"/>
  <c r="H32" s="1"/>
  <c r="J32" s="1"/>
  <c r="H47"/>
  <c r="J47" s="1"/>
  <c r="G60"/>
  <c r="G143"/>
  <c r="H143" s="1"/>
  <c r="J143" s="1"/>
  <c r="H142"/>
  <c r="J142" s="1"/>
  <c r="H112"/>
  <c r="J112" s="1"/>
  <c r="F120"/>
  <c r="G120"/>
  <c r="H120" s="1"/>
  <c r="J120" s="1"/>
  <c r="H150" i="3"/>
  <c r="J150" s="1"/>
  <c r="G151"/>
  <c r="H151" s="1"/>
  <c r="J151" s="1"/>
  <c r="H146"/>
  <c r="J146" s="1"/>
  <c r="G147"/>
  <c r="H147" s="1"/>
  <c r="J147" s="1"/>
  <c r="H144"/>
  <c r="J144" s="1"/>
  <c r="G145"/>
  <c r="H145" s="1"/>
  <c r="J145" s="1"/>
  <c r="H27"/>
  <c r="J27" s="1"/>
  <c r="G32"/>
  <c r="H32" s="1"/>
  <c r="J32" s="1"/>
  <c r="H13"/>
  <c r="J13" s="1"/>
  <c r="H152"/>
  <c r="J152" s="1"/>
  <c r="G153"/>
  <c r="H153" s="1"/>
  <c r="J153" s="1"/>
  <c r="H142"/>
  <c r="J142" s="1"/>
  <c r="G143"/>
  <c r="H143" s="1"/>
  <c r="J143" s="1"/>
  <c r="G60"/>
  <c r="H47"/>
  <c r="J47" s="1"/>
  <c r="G149"/>
  <c r="H149" s="1"/>
  <c r="J149" s="1"/>
  <c r="H148"/>
  <c r="J148" s="1"/>
  <c r="H112"/>
  <c r="J112" s="1"/>
  <c r="F120"/>
  <c r="G120"/>
  <c r="H120" s="1"/>
  <c r="J120" s="1"/>
  <c r="G145" i="2"/>
  <c r="H145" s="1"/>
  <c r="J145" s="1"/>
  <c r="H144"/>
  <c r="J144" s="1"/>
  <c r="I60"/>
  <c r="I59"/>
  <c r="G32"/>
  <c r="H32" s="1"/>
  <c r="J32" s="1"/>
  <c r="H60" i="5" l="1"/>
  <c r="J60" s="1"/>
  <c r="I59"/>
  <c r="I60"/>
  <c r="H60" i="4"/>
  <c r="J60" s="1"/>
  <c r="I60"/>
  <c r="I59"/>
  <c r="H60" i="3"/>
  <c r="J60" s="1"/>
  <c r="I59"/>
  <c r="I60"/>
  <c r="E8" i="7" l="1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F29" i="4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N29"/>
  <c r="AM29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N28"/>
  <c r="AM28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N27"/>
  <c r="AM27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N25"/>
  <c r="AM25"/>
  <c r="BF24"/>
  <c r="BE24"/>
  <c r="BD24"/>
  <c r="BC24"/>
  <c r="BB24"/>
  <c r="BA24"/>
  <c r="AZ24"/>
  <c r="AY24"/>
  <c r="AX24"/>
  <c r="AW24"/>
  <c r="AV24"/>
  <c r="AU24"/>
  <c r="AT24"/>
  <c r="AS24"/>
  <c r="AR24"/>
  <c r="AQ24"/>
  <c r="AP24"/>
  <c r="AO24"/>
  <c r="AN24"/>
  <c r="AM24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N23"/>
  <c r="AM23"/>
  <c r="BF22"/>
  <c r="BE22"/>
  <c r="BD22"/>
  <c r="BC22"/>
  <c r="BB22"/>
  <c r="BA22"/>
  <c r="AZ22"/>
  <c r="AY22"/>
  <c r="AX22"/>
  <c r="AW22"/>
  <c r="AV22"/>
  <c r="AU22"/>
  <c r="AT22"/>
  <c r="AS22"/>
  <c r="AR22"/>
  <c r="AQ22"/>
  <c r="AP22"/>
  <c r="AO22"/>
  <c r="AN22"/>
  <c r="AM22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AM21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N20"/>
  <c r="AM20"/>
  <c r="BF19"/>
  <c r="BE19"/>
  <c r="BD19"/>
  <c r="BC19"/>
  <c r="BB19"/>
  <c r="BA19"/>
  <c r="AZ19"/>
  <c r="AY19"/>
  <c r="AX19"/>
  <c r="AW19"/>
  <c r="AV19"/>
  <c r="AU19"/>
  <c r="AT19"/>
  <c r="AS19"/>
  <c r="AR19"/>
  <c r="AQ19"/>
  <c r="AP19"/>
  <c r="AO19"/>
  <c r="AN19"/>
  <c r="AM19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M18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N17"/>
  <c r="AM17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N16"/>
  <c r="AM16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N15"/>
  <c r="AM15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N14"/>
  <c r="AM14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N12"/>
  <c r="AM12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N11"/>
  <c r="AM11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BF9"/>
  <c r="BE9"/>
  <c r="BD9"/>
  <c r="BC9"/>
  <c r="BB9"/>
  <c r="BA9"/>
  <c r="AZ9"/>
  <c r="AY9"/>
  <c r="AX9"/>
  <c r="AW9"/>
  <c r="AV9"/>
  <c r="AU9"/>
  <c r="AT9"/>
  <c r="AS9"/>
  <c r="AR9"/>
  <c r="AQ9"/>
  <c r="AP9"/>
  <c r="AO9"/>
  <c r="AN9"/>
  <c r="AM9"/>
  <c r="BF8"/>
  <c r="BE8"/>
  <c r="BD8"/>
  <c r="BC8"/>
  <c r="BB8"/>
  <c r="BA8"/>
  <c r="AZ8"/>
  <c r="AY8"/>
  <c r="AX8"/>
  <c r="AW8"/>
  <c r="AV8"/>
  <c r="AU8"/>
  <c r="AT8"/>
  <c r="AS8"/>
  <c r="AR8"/>
  <c r="AQ8"/>
  <c r="AP8"/>
  <c r="AO8"/>
  <c r="AN8"/>
  <c r="AM8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N7"/>
  <c r="AM7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N4"/>
  <c r="AM4"/>
  <c r="BF3"/>
  <c r="BE3"/>
  <c r="BD3"/>
  <c r="BC3"/>
  <c r="BB3"/>
  <c r="BA3"/>
  <c r="AZ3"/>
  <c r="AY3"/>
  <c r="AX3"/>
  <c r="AW3"/>
  <c r="AV3"/>
  <c r="AU3"/>
  <c r="AT3"/>
  <c r="AS3"/>
  <c r="AR3"/>
  <c r="AQ3"/>
  <c r="AP3"/>
  <c r="AO3"/>
  <c r="AN3"/>
  <c r="AM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F2"/>
  <c r="BE2"/>
  <c r="BD2"/>
  <c r="BC2"/>
  <c r="BB2"/>
  <c r="BA2"/>
  <c r="AZ2"/>
  <c r="AY2"/>
  <c r="AX2"/>
  <c r="AW2"/>
  <c r="AV2"/>
  <c r="AU2"/>
  <c r="AT2"/>
  <c r="AS2"/>
  <c r="AR2"/>
  <c r="AQ2"/>
  <c r="AP2"/>
  <c r="AO2"/>
  <c r="AN2"/>
  <c r="AM2"/>
  <c r="E36" i="25" l="1"/>
  <c r="E37"/>
  <c r="E38"/>
  <c r="E39"/>
  <c r="E40"/>
  <c r="E41"/>
  <c r="E42"/>
  <c r="E43"/>
  <c r="E44"/>
  <c r="E45"/>
  <c r="E46"/>
  <c r="E7" i="24"/>
  <c r="K31" i="47"/>
  <c r="K5"/>
  <c r="G3" i="48"/>
  <c r="K3" i="47" s="1"/>
  <c r="G4" i="48"/>
  <c r="K4" i="47" s="1"/>
  <c r="G5" i="48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G2" i="48"/>
  <c r="K2" i="47" s="1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0"/>
  <c r="G160" s="1"/>
  <c r="E161"/>
  <c r="G161" s="1"/>
  <c r="E162"/>
  <c r="G162" s="1"/>
  <c r="E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E161" i="17"/>
  <c r="E73" i="13"/>
  <c r="E161" i="12"/>
  <c r="E162"/>
  <c r="E163"/>
  <c r="E160"/>
  <c r="F166"/>
  <c r="F167"/>
  <c r="F168"/>
  <c r="F169"/>
  <c r="F170"/>
  <c r="F171"/>
  <c r="F165"/>
  <c r="O142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4"/>
  <c r="G164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G164" s="1"/>
  <c r="E168" i="8"/>
  <c r="F171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3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G170" s="1"/>
  <c r="F169" i="7"/>
  <c r="E169" i="8" s="1"/>
  <c r="F168" i="7"/>
  <c r="F16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M34"/>
  <c r="AL34"/>
  <c r="AJ34"/>
  <c r="AI34"/>
  <c r="AH34"/>
  <c r="AD34"/>
  <c r="AC34"/>
  <c r="AB34"/>
  <c r="AA34"/>
  <c r="Y34"/>
  <c r="X34"/>
  <c r="W34"/>
  <c r="T34"/>
  <c r="V34" s="1"/>
  <c r="P34"/>
  <c r="R34" s="1"/>
  <c r="M34"/>
  <c r="O34" s="1"/>
  <c r="I34"/>
  <c r="L34" s="1"/>
  <c r="K34"/>
  <c r="G34"/>
  <c r="F34"/>
  <c r="S34" s="1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O34" i="1" l="1"/>
  <c r="G166" i="8"/>
  <c r="BN34" i="1"/>
  <c r="G164" i="11"/>
  <c r="G166"/>
  <c r="BM34" i="1"/>
  <c r="AF34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Z34" i="1"/>
  <c r="AK34"/>
  <c r="BO34"/>
  <c r="AE34"/>
  <c r="BP34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AG34" i="1" l="1"/>
  <c r="BQ34"/>
  <c r="E15" i="30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1"/>
  <c r="E12"/>
  <c r="AL43" i="44"/>
  <c r="AL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N29" i="29" l="1"/>
  <c r="N30" l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Y35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E62" i="20"/>
  <c r="E87"/>
  <c r="E88"/>
  <c r="E89"/>
  <c r="G89" s="1"/>
  <c r="E90"/>
  <c r="G90" s="1"/>
  <c r="E86"/>
  <c r="E163" i="19"/>
  <c r="E162"/>
  <c r="E161"/>
  <c r="E160"/>
  <c r="E134" i="15"/>
  <c r="E135"/>
  <c r="E72"/>
  <c r="O90" i="23" l="1"/>
  <c r="O89"/>
  <c r="E135" i="13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Z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Z12" i="44" l="1"/>
  <c r="AC9" i="49" s="1"/>
  <c r="Z10" i="44"/>
  <c r="AC7" i="49" s="1"/>
  <c r="Z11" i="44"/>
  <c r="AC8" i="49" s="1"/>
  <c r="Z9" i="44"/>
  <c r="AC6" i="49" s="1"/>
  <c r="D33" i="1" l="1"/>
  <c r="G89" i="29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J89" i="19" l="1"/>
  <c r="H89" i="20"/>
  <c r="J90"/>
  <c r="H90" i="21"/>
  <c r="J89" i="9"/>
  <c r="H89" i="10"/>
  <c r="J90" i="9"/>
  <c r="H90" i="10"/>
  <c r="H90" i="11" s="1"/>
  <c r="J90" s="1"/>
  <c r="J90" i="43"/>
  <c r="H90" i="31"/>
  <c r="N90" s="1"/>
  <c r="J89" i="43"/>
  <c r="H89" i="31"/>
  <c r="J89" s="1"/>
  <c r="Z8" i="44"/>
  <c r="AC5" i="49" s="1"/>
  <c r="Z6" i="44"/>
  <c r="AC3" i="49" s="1"/>
  <c r="Z7" i="44"/>
  <c r="AC4" i="49" s="1"/>
  <c r="H89" i="29"/>
  <c r="J89" s="1"/>
  <c r="H89" i="21" l="1"/>
  <c r="J89" i="20"/>
  <c r="H90" i="22"/>
  <c r="J90" i="21"/>
  <c r="Z13" i="44"/>
  <c r="AC10" i="49" s="1"/>
  <c r="J90" i="10"/>
  <c r="N89" i="31"/>
  <c r="H89" i="11"/>
  <c r="J89" s="1"/>
  <c r="J89" i="10"/>
  <c r="J90" i="31"/>
  <c r="E7" i="8"/>
  <c r="G7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E77" i="24"/>
  <c r="E7" i="23"/>
  <c r="E8"/>
  <c r="E9"/>
  <c r="G9" s="1"/>
  <c r="G88" i="31"/>
  <c r="G86"/>
  <c r="G88" i="43"/>
  <c r="G86"/>
  <c r="Y33" i="44"/>
  <c r="G87" i="29"/>
  <c r="G88"/>
  <c r="G86"/>
  <c r="G87" i="28"/>
  <c r="G88"/>
  <c r="G86"/>
  <c r="W31" i="44" s="1"/>
  <c r="Z28" i="49" s="1"/>
  <c r="G88" i="27"/>
  <c r="G86"/>
  <c r="G87" i="40"/>
  <c r="G86"/>
  <c r="N86" s="1"/>
  <c r="G88" i="25"/>
  <c r="Y28" i="44" s="1"/>
  <c r="AB25" i="49" s="1"/>
  <c r="G86" i="25"/>
  <c r="W28" i="44" s="1"/>
  <c r="Z25" i="49" s="1"/>
  <c r="G87" i="24"/>
  <c r="G88"/>
  <c r="Y27" i="44" s="1"/>
  <c r="AB24" i="49" s="1"/>
  <c r="G86" i="24"/>
  <c r="W27" i="44" s="1"/>
  <c r="Z24" i="49" s="1"/>
  <c r="G86" i="23"/>
  <c r="G86" i="22"/>
  <c r="G86" i="21"/>
  <c r="G88" i="20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Y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Y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Y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W33" i="44" s="1"/>
  <c r="O9" i="23" l="1"/>
  <c r="O86"/>
  <c r="H89"/>
  <c r="J89" s="1"/>
  <c r="J89" i="22"/>
  <c r="O88" i="23"/>
  <c r="O87"/>
  <c r="Y13" i="44"/>
  <c r="AB10" i="49" s="1"/>
  <c r="H89" i="33"/>
  <c r="Y8" i="44"/>
  <c r="AB5" i="49" s="1"/>
  <c r="H90" i="33"/>
  <c r="X27" i="44"/>
  <c r="AA24" i="49" s="1"/>
  <c r="Z27" i="44"/>
  <c r="AC24" i="49" s="1"/>
  <c r="Z28" i="44"/>
  <c r="AC25" i="49" s="1"/>
  <c r="X28" i="44"/>
  <c r="AA25" i="49" s="1"/>
  <c r="X35" i="44"/>
  <c r="H88" i="24"/>
  <c r="J88" s="1"/>
  <c r="H86"/>
  <c r="J86" s="1"/>
  <c r="W14" i="44"/>
  <c r="Z11" i="49" s="1"/>
  <c r="W13" i="44"/>
  <c r="Z10" i="49" s="1"/>
  <c r="H86" i="9"/>
  <c r="J86" s="1"/>
  <c r="W12" i="44"/>
  <c r="Z9" i="49" s="1"/>
  <c r="H86" i="8"/>
  <c r="J86" s="1"/>
  <c r="W11" i="44"/>
  <c r="Z8" i="49" s="1"/>
  <c r="W10" i="44"/>
  <c r="Z7" i="49" s="1"/>
  <c r="X9" i="44"/>
  <c r="AA6" i="49" s="1"/>
  <c r="Y9" i="44"/>
  <c r="AB6" i="49" s="1"/>
  <c r="W9" i="44"/>
  <c r="Z6" i="49" s="1"/>
  <c r="X8" i="44"/>
  <c r="AA5" i="49" s="1"/>
  <c r="W8" i="44"/>
  <c r="Z5" i="49" s="1"/>
  <c r="W7" i="44"/>
  <c r="Z4" i="49" s="1"/>
  <c r="Y7" i="44"/>
  <c r="AB4" i="49" s="1"/>
  <c r="Y6" i="44"/>
  <c r="AB3" i="49" s="1"/>
  <c r="X6" i="44"/>
  <c r="AA3" i="49" s="1"/>
  <c r="X5" i="44"/>
  <c r="AA2" i="49" s="1"/>
  <c r="X7" i="44"/>
  <c r="AA4" i="49" s="1"/>
  <c r="W6" i="44"/>
  <c r="Z3" i="49" s="1"/>
  <c r="W5" i="44"/>
  <c r="Z2" i="49" s="1"/>
  <c r="Y5" i="44"/>
  <c r="AB2" i="49" s="1"/>
  <c r="H86" i="43"/>
  <c r="J86" s="1"/>
  <c r="W34" i="44"/>
  <c r="H86" i="29"/>
  <c r="J86" s="1"/>
  <c r="W32" i="44"/>
  <c r="Z29" i="49" s="1"/>
  <c r="H86" i="27"/>
  <c r="J86" s="1"/>
  <c r="W30" i="44"/>
  <c r="Z27" i="49" s="1"/>
  <c r="H86" i="40"/>
  <c r="J86" s="1"/>
  <c r="W29" i="44"/>
  <c r="Z26" i="49" s="1"/>
  <c r="H86" i="25"/>
  <c r="J86" s="1"/>
  <c r="W26" i="44"/>
  <c r="Z23" i="49" s="1"/>
  <c r="W25" i="44"/>
  <c r="Z22" i="49" s="1"/>
  <c r="W24" i="44"/>
  <c r="Z21" i="49" s="1"/>
  <c r="W23" i="44"/>
  <c r="Z20" i="49" s="1"/>
  <c r="H86" i="19"/>
  <c r="J86" s="1"/>
  <c r="W22" i="44"/>
  <c r="Z19" i="49" s="1"/>
  <c r="H86" i="18"/>
  <c r="J86" s="1"/>
  <c r="W21" i="44"/>
  <c r="Z18" i="49" s="1"/>
  <c r="H86" i="17"/>
  <c r="J86" s="1"/>
  <c r="W20" i="44"/>
  <c r="Z17" i="49" s="1"/>
  <c r="H86" i="16"/>
  <c r="J86" s="1"/>
  <c r="W19" i="44"/>
  <c r="Z16" i="49" s="1"/>
  <c r="H86" i="15"/>
  <c r="J86" s="1"/>
  <c r="W18" i="44"/>
  <c r="Z15" i="49" s="1"/>
  <c r="H86" i="14"/>
  <c r="J86" s="1"/>
  <c r="W17" i="44"/>
  <c r="Z14" i="49" s="1"/>
  <c r="H86" i="13"/>
  <c r="J86" s="1"/>
  <c r="W16" i="44"/>
  <c r="Z13" i="49" s="1"/>
  <c r="H86" i="12"/>
  <c r="J86" s="1"/>
  <c r="W15" i="44"/>
  <c r="Z12" i="49" s="1"/>
  <c r="X10" i="44"/>
  <c r="AA7" i="49" s="1"/>
  <c r="Y25" i="44"/>
  <c r="AB22" i="49" s="1"/>
  <c r="H87" i="13"/>
  <c r="J87" s="1"/>
  <c r="X16" i="44"/>
  <c r="AA13" i="49" s="1"/>
  <c r="Z16" i="44"/>
  <c r="AC13" i="49" s="1"/>
  <c r="Z26" i="44"/>
  <c r="AC23" i="49" s="1"/>
  <c r="X26" i="44"/>
  <c r="AA23" i="49" s="1"/>
  <c r="H87" i="12"/>
  <c r="J87" s="1"/>
  <c r="Z15" i="44"/>
  <c r="AC12" i="49" s="1"/>
  <c r="X15" i="44"/>
  <c r="AA12" i="49" s="1"/>
  <c r="Z25" i="44"/>
  <c r="AC22" i="49" s="1"/>
  <c r="X25" i="44"/>
  <c r="AA22" i="49" s="1"/>
  <c r="H88" i="18"/>
  <c r="J88" s="1"/>
  <c r="Y21" i="44"/>
  <c r="AB18" i="49" s="1"/>
  <c r="H88" i="14"/>
  <c r="J88" s="1"/>
  <c r="Y17" i="44"/>
  <c r="AB14" i="49" s="1"/>
  <c r="H88" i="9"/>
  <c r="J88" s="1"/>
  <c r="H87" i="25"/>
  <c r="J87" s="1"/>
  <c r="H87" i="43"/>
  <c r="J87" s="1"/>
  <c r="Z34" i="44"/>
  <c r="X34"/>
  <c r="Z14"/>
  <c r="AC11" i="49" s="1"/>
  <c r="X14" i="44"/>
  <c r="AA11" i="49" s="1"/>
  <c r="Z23" i="44"/>
  <c r="AC20" i="49" s="1"/>
  <c r="X23" i="44"/>
  <c r="AA20" i="49" s="1"/>
  <c r="H88" i="8"/>
  <c r="J88" s="1"/>
  <c r="Y14" i="44"/>
  <c r="AB11" i="49" s="1"/>
  <c r="H88" i="17"/>
  <c r="J88" s="1"/>
  <c r="Y20" i="44"/>
  <c r="AB17" i="49" s="1"/>
  <c r="H87" i="24"/>
  <c r="J87" s="1"/>
  <c r="H87" i="40"/>
  <c r="J87" s="1"/>
  <c r="Z29" i="44"/>
  <c r="AC26" i="49" s="1"/>
  <c r="X29" i="44"/>
  <c r="AA26" i="49" s="1"/>
  <c r="H88" i="28"/>
  <c r="J88" s="1"/>
  <c r="Y31" i="44"/>
  <c r="AB28" i="49" s="1"/>
  <c r="H87" i="29"/>
  <c r="J87" s="1"/>
  <c r="X32" i="44"/>
  <c r="AA29" i="49" s="1"/>
  <c r="Z32" i="44"/>
  <c r="AC29" i="49" s="1"/>
  <c r="W35" i="44"/>
  <c r="H87" i="18"/>
  <c r="J87" s="1"/>
  <c r="Z21" i="44"/>
  <c r="AC18" i="49" s="1"/>
  <c r="X21" i="44"/>
  <c r="AA18" i="49" s="1"/>
  <c r="H88" i="12"/>
  <c r="J88" s="1"/>
  <c r="Y15" i="44"/>
  <c r="AB12" i="49" s="1"/>
  <c r="Z35" i="44"/>
  <c r="H88" i="13"/>
  <c r="J88" s="1"/>
  <c r="Y16" i="44"/>
  <c r="AB13" i="49" s="1"/>
  <c r="H87" i="16"/>
  <c r="J87" s="1"/>
  <c r="Z19" i="44"/>
  <c r="AC16" i="49" s="1"/>
  <c r="X19" i="44"/>
  <c r="AA16" i="49" s="1"/>
  <c r="H88" i="19"/>
  <c r="J88" s="1"/>
  <c r="Y22" i="44"/>
  <c r="AB19" i="49" s="1"/>
  <c r="Y24" i="44"/>
  <c r="AB21" i="49" s="1"/>
  <c r="H88" i="29"/>
  <c r="J88" s="1"/>
  <c r="Y32" i="44"/>
  <c r="AB29" i="49" s="1"/>
  <c r="H88" i="43"/>
  <c r="J88" s="1"/>
  <c r="Y34" i="44"/>
  <c r="H88" i="40"/>
  <c r="J88" s="1"/>
  <c r="Y29" i="44"/>
  <c r="AB26" i="49" s="1"/>
  <c r="H87" i="14"/>
  <c r="J87" s="1"/>
  <c r="Z17" i="44"/>
  <c r="AC14" i="49" s="1"/>
  <c r="X17" i="44"/>
  <c r="AA14" i="49" s="1"/>
  <c r="X13" i="44"/>
  <c r="AA10" i="49" s="1"/>
  <c r="H87" i="27"/>
  <c r="J87" s="1"/>
  <c r="Z30" i="44"/>
  <c r="AC27" i="49" s="1"/>
  <c r="X30" i="44"/>
  <c r="AA27" i="49" s="1"/>
  <c r="H87" i="15"/>
  <c r="J87" s="1"/>
  <c r="Z18" i="44"/>
  <c r="AC15" i="49" s="1"/>
  <c r="X18" i="44"/>
  <c r="AA15" i="49" s="1"/>
  <c r="Z33" i="44"/>
  <c r="X33"/>
  <c r="X24"/>
  <c r="AA21" i="49" s="1"/>
  <c r="Z24" i="44"/>
  <c r="AC21" i="49" s="1"/>
  <c r="H87" i="17"/>
  <c r="J87" s="1"/>
  <c r="X20" i="44"/>
  <c r="AA17" i="49" s="1"/>
  <c r="Z20" i="44"/>
  <c r="AC17" i="49" s="1"/>
  <c r="H88" i="16"/>
  <c r="J88" s="1"/>
  <c r="Y19" i="44"/>
  <c r="AB16" i="49" s="1"/>
  <c r="H88" i="15"/>
  <c r="J88" s="1"/>
  <c r="Y18" i="44"/>
  <c r="AB15" i="49" s="1"/>
  <c r="H87" i="19"/>
  <c r="J87" s="1"/>
  <c r="Z22" i="44"/>
  <c r="AC19" i="49" s="1"/>
  <c r="X22" i="44"/>
  <c r="AA19" i="49" s="1"/>
  <c r="H87" i="8"/>
  <c r="J87" s="1"/>
  <c r="X11" i="44"/>
  <c r="AA8" i="49" s="1"/>
  <c r="H87" i="9"/>
  <c r="J87" s="1"/>
  <c r="X12" i="44"/>
  <c r="AA9" i="49" s="1"/>
  <c r="H88" i="25"/>
  <c r="J88" s="1"/>
  <c r="H88" i="27"/>
  <c r="J88" s="1"/>
  <c r="Y30" i="44"/>
  <c r="AB27" i="49" s="1"/>
  <c r="Y26" i="44"/>
  <c r="AB23" i="49" s="1"/>
  <c r="Y23" i="44"/>
  <c r="AB20" i="49" s="1"/>
  <c r="H87" i="28"/>
  <c r="J87" s="1"/>
  <c r="Z31" i="44"/>
  <c r="AC28" i="49" s="1"/>
  <c r="X31" i="44"/>
  <c r="AA28" i="49" s="1"/>
  <c r="H87" i="30"/>
  <c r="J87" s="1"/>
  <c r="H88"/>
  <c r="J88" s="1"/>
  <c r="H86"/>
  <c r="J86" s="1"/>
  <c r="H86" i="28"/>
  <c r="J86" s="1"/>
  <c r="E40" i="22"/>
  <c r="E8"/>
  <c r="H88" i="20" l="1"/>
  <c r="H86"/>
  <c r="H87"/>
  <c r="H90" i="7"/>
  <c r="J90" s="1"/>
  <c r="J90" i="33"/>
  <c r="H86" i="10"/>
  <c r="H87"/>
  <c r="H88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H86" i="21" l="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J87" i="21" l="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E94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G54" s="1"/>
  <c r="E55"/>
  <c r="G55" s="1"/>
  <c r="E56"/>
  <c r="G56" s="1"/>
  <c r="E57"/>
  <c r="G57" s="1"/>
  <c r="E58"/>
  <c r="G58" s="1"/>
  <c r="U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E10"/>
  <c r="G10" s="1"/>
  <c r="E11"/>
  <c r="G11" s="1"/>
  <c r="E12"/>
  <c r="G12" s="1"/>
  <c r="E7"/>
  <c r="G7" s="1"/>
  <c r="E104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E49"/>
  <c r="G49" s="1"/>
  <c r="E50"/>
  <c r="G50" s="1"/>
  <c r="E62"/>
  <c r="G62" s="1"/>
  <c r="AA13" i="44" s="1"/>
  <c r="AD10" i="49" s="1"/>
  <c r="G63" i="10"/>
  <c r="AB13" i="44" s="1"/>
  <c r="AE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R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E105" i="8"/>
  <c r="E115" i="7"/>
  <c r="E114"/>
  <c r="E123" i="8"/>
  <c r="E115"/>
  <c r="E114"/>
  <c r="E106"/>
  <c r="AQ13" i="44" l="1"/>
  <c r="E13"/>
  <c r="H10" i="49" s="1"/>
  <c r="F13" i="44"/>
  <c r="I10" i="49" s="1"/>
  <c r="H13" i="44"/>
  <c r="K10" i="49" s="1"/>
  <c r="B13" i="44"/>
  <c r="E10" i="49" s="1"/>
  <c r="G13" i="44"/>
  <c r="J10" i="49" s="1"/>
  <c r="I13" i="44"/>
  <c r="L10" i="49" s="1"/>
  <c r="C13" i="44"/>
  <c r="F10" i="49" s="1"/>
  <c r="D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H86" l="1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I59" i="10" l="1"/>
  <c r="E107" i="33"/>
  <c r="E108"/>
  <c r="E112"/>
  <c r="E113"/>
  <c r="E100"/>
  <c r="E96" l="1"/>
  <c r="E8"/>
  <c r="G8" s="1"/>
  <c r="N27" i="29" l="1"/>
  <c r="E29" i="43"/>
  <c r="N27" i="31" l="1"/>
  <c r="A3" i="46"/>
  <c r="G79" i="31"/>
  <c r="G131"/>
  <c r="G132"/>
  <c r="G133"/>
  <c r="G135"/>
  <c r="G136"/>
  <c r="G137"/>
  <c r="G139"/>
  <c r="AQ35" i="44" s="1"/>
  <c r="G140" i="31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H35" i="44" s="1"/>
  <c r="G51" i="31"/>
  <c r="G53"/>
  <c r="G54"/>
  <c r="G55"/>
  <c r="G57"/>
  <c r="G58"/>
  <c r="G49"/>
  <c r="G36"/>
  <c r="I35" i="44" s="1"/>
  <c r="G37" i="31"/>
  <c r="C35" i="44" s="1"/>
  <c r="G38" i="31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G35" i="44" l="1"/>
  <c r="E35"/>
  <c r="F35"/>
  <c r="D35"/>
  <c r="B35"/>
  <c r="E28" i="31"/>
  <c r="G28" s="1"/>
  <c r="E31"/>
  <c r="G31" s="1"/>
  <c r="AH13" i="45"/>
  <c r="E27" i="31"/>
  <c r="G27" s="1"/>
  <c r="AR35" i="44"/>
  <c r="AH14" i="45"/>
  <c r="E30" i="31"/>
  <c r="G30" s="1"/>
  <c r="AA35" i="44"/>
  <c r="AB35"/>
  <c r="G68" i="31"/>
  <c r="G170"/>
  <c r="G67"/>
  <c r="G66"/>
  <c r="G168"/>
  <c r="G64"/>
  <c r="G166"/>
  <c r="U35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I13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AA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H15" i="44" l="1"/>
  <c r="K12" i="49" s="1"/>
  <c r="F2" i="47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U15" i="44"/>
  <c r="X12" i="49" s="1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11"/>
  <c r="E110"/>
  <c r="E109"/>
  <c r="E106"/>
  <c r="E105"/>
  <c r="E104"/>
  <c r="E29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G114"/>
  <c r="J113"/>
  <c r="G111"/>
  <c r="G110"/>
  <c r="G109"/>
  <c r="G106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H116" i="33"/>
  <c r="G190" i="11"/>
  <c r="G191"/>
  <c r="G189"/>
  <c r="G185"/>
  <c r="G186"/>
  <c r="G184"/>
  <c r="G180"/>
  <c r="G181"/>
  <c r="G179"/>
  <c r="H116" i="7" l="1"/>
  <c r="H116" i="8" s="1"/>
  <c r="H116" i="9" s="1"/>
  <c r="H116" i="10" s="1"/>
  <c r="H116" i="11" s="1"/>
  <c r="W20" i="45"/>
  <c r="X21"/>
  <c r="W18"/>
  <c r="V16"/>
  <c r="V14"/>
  <c r="X20"/>
  <c r="W17"/>
  <c r="X18"/>
  <c r="W16"/>
  <c r="W14"/>
  <c r="W21"/>
  <c r="X17"/>
  <c r="V22"/>
  <c r="V18"/>
  <c r="V17"/>
  <c r="X16"/>
  <c r="X14"/>
  <c r="V21"/>
  <c r="X22"/>
  <c r="W22"/>
  <c r="V20"/>
  <c r="D14"/>
  <c r="H115" i="33"/>
  <c r="H115" i="7" s="1"/>
  <c r="H115" i="8" s="1"/>
  <c r="H115" i="9" s="1"/>
  <c r="H115" i="10" s="1"/>
  <c r="H115" i="11" s="1"/>
  <c r="D13" i="45"/>
  <c r="E21"/>
  <c r="H110" i="33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F21"/>
  <c r="K22"/>
  <c r="J20"/>
  <c r="H16"/>
  <c r="H14"/>
  <c r="E20"/>
  <c r="H109" i="33"/>
  <c r="H109" i="7" s="1"/>
  <c r="H109" i="8" s="1"/>
  <c r="H109" i="9" s="1"/>
  <c r="H109" i="10" s="1"/>
  <c r="H109" i="11" s="1"/>
  <c r="F20" i="45"/>
  <c r="E18"/>
  <c r="H106" i="33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F14"/>
  <c r="H21"/>
  <c r="E14"/>
  <c r="F13"/>
  <c r="E17"/>
  <c r="H105" i="33"/>
  <c r="H105" i="7" s="1"/>
  <c r="H105" i="8" s="1"/>
  <c r="H105" i="9" s="1"/>
  <c r="H105" i="10" s="1"/>
  <c r="H105" i="11" s="1"/>
  <c r="E22" i="45"/>
  <c r="H111" i="33"/>
  <c r="H111" i="7" s="1"/>
  <c r="H111" i="8" s="1"/>
  <c r="H111" i="9" s="1"/>
  <c r="H111" i="10" s="1"/>
  <c r="H111" i="11" s="1"/>
  <c r="F17" i="45"/>
  <c r="F22"/>
  <c r="J16"/>
  <c r="J21"/>
  <c r="I13"/>
  <c r="H17"/>
  <c r="H22"/>
  <c r="G20"/>
  <c r="M22"/>
  <c r="M21"/>
  <c r="M18"/>
  <c r="M17"/>
  <c r="M14"/>
  <c r="J14"/>
  <c r="J13"/>
  <c r="G13"/>
  <c r="E13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X13" i="45"/>
  <c r="W13"/>
  <c r="V13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7" i="45"/>
  <c r="G112" i="23"/>
  <c r="O112" s="1"/>
  <c r="Y20" i="45"/>
  <c r="G117" i="13"/>
  <c r="G193" i="1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H114" i="43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H114" i="20" l="1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J114" i="43"/>
  <c r="H114" i="31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8" i="11"/>
  <c r="G8" i="9"/>
  <c r="I8" i="20"/>
  <c r="I8" i="19"/>
  <c r="I8" i="18"/>
  <c r="I8" i="17"/>
  <c r="I7" i="16"/>
  <c r="I8"/>
  <c r="I8" i="14"/>
  <c r="I8" i="13"/>
  <c r="J114" i="20" l="1"/>
  <c r="H114" i="21"/>
  <c r="H120" i="33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H114" i="22" l="1"/>
  <c r="J114" s="1"/>
  <c r="J114" i="21"/>
  <c r="H114" i="33"/>
  <c r="G27" i="11"/>
  <c r="BF33" i="1"/>
  <c r="BI33" s="1"/>
  <c r="BE33"/>
  <c r="BD33"/>
  <c r="BC33"/>
  <c r="BB33"/>
  <c r="BA33"/>
  <c r="T33"/>
  <c r="F33"/>
  <c r="E33"/>
  <c r="H1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G8" i="25"/>
  <c r="G8" i="40"/>
  <c r="G8" i="27"/>
  <c r="G8" i="28"/>
  <c r="G8" i="29"/>
  <c r="K9" i="43"/>
  <c r="M8"/>
  <c r="O8" i="23" l="1"/>
  <c r="H114" i="7"/>
  <c r="J114" i="33"/>
  <c r="L8" i="22"/>
  <c r="E27" i="7"/>
  <c r="G27" s="1"/>
  <c r="E27" i="8"/>
  <c r="G27" s="1"/>
  <c r="E27" i="33"/>
  <c r="G27" s="1"/>
  <c r="K33" i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35" l="1"/>
  <c r="H114" i="8"/>
  <c r="J114" i="7"/>
  <c r="K4" i="1"/>
  <c r="K35" s="1"/>
  <c r="G27" i="13"/>
  <c r="G27" i="30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V28" i="44" s="1"/>
  <c r="Y25" i="49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E24"/>
  <c r="E22"/>
  <c r="E19"/>
  <c r="E18"/>
  <c r="E15"/>
  <c r="E10"/>
  <c r="E11"/>
  <c r="E12"/>
  <c r="E9"/>
  <c r="G9" s="1"/>
  <c r="E11" i="17"/>
  <c r="E12"/>
  <c r="E24" i="14"/>
  <c r="E23"/>
  <c r="E22"/>
  <c r="H28" i="44" l="1"/>
  <c r="K25" i="49" s="1"/>
  <c r="G172" i="25"/>
  <c r="E35" i="13"/>
  <c r="I7" i="9"/>
  <c r="E92" i="8"/>
  <c r="E93"/>
  <c r="I7"/>
  <c r="E132" i="43" l="1"/>
  <c r="G140" i="25"/>
  <c r="G139"/>
  <c r="G138"/>
  <c r="AT28" i="44" s="1"/>
  <c r="G137" i="25"/>
  <c r="G136"/>
  <c r="AR28" i="44" s="1"/>
  <c r="G135" i="25"/>
  <c r="G134"/>
  <c r="H134" s="1"/>
  <c r="G133"/>
  <c r="G132"/>
  <c r="G131"/>
  <c r="G130"/>
  <c r="G127"/>
  <c r="AO28" i="44" s="1"/>
  <c r="BL25" i="49" s="1"/>
  <c r="G126" i="25"/>
  <c r="AN28" i="44" s="1"/>
  <c r="BK25" i="49" s="1"/>
  <c r="G125" i="25"/>
  <c r="AM28" i="44" s="1"/>
  <c r="BJ25" i="49" s="1"/>
  <c r="G124" i="25"/>
  <c r="AL28" i="44" s="1"/>
  <c r="BI25" i="49" s="1"/>
  <c r="G123" i="25"/>
  <c r="AK28" i="44" s="1"/>
  <c r="BH25" i="49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I28" i="44" s="1"/>
  <c r="AL25" i="49" s="1"/>
  <c r="G82" i="25"/>
  <c r="T28" i="44" s="1"/>
  <c r="W25" i="49" s="1"/>
  <c r="G81" i="25"/>
  <c r="S28" i="44" s="1"/>
  <c r="V25" i="49" s="1"/>
  <c r="G80" i="25"/>
  <c r="R28" i="44" s="1"/>
  <c r="U25" i="49" s="1"/>
  <c r="G79" i="25"/>
  <c r="Q28" i="44" s="1"/>
  <c r="T25" i="49" s="1"/>
  <c r="G78" i="25"/>
  <c r="P28" i="44" s="1"/>
  <c r="S25" i="49" s="1"/>
  <c r="G77" i="25"/>
  <c r="O28" i="44" s="1"/>
  <c r="R25" i="49" s="1"/>
  <c r="G76" i="25"/>
  <c r="N28" i="44" s="1"/>
  <c r="Q25" i="49" s="1"/>
  <c r="G75" i="25"/>
  <c r="M28" i="44" s="1"/>
  <c r="P25" i="49" s="1"/>
  <c r="G74" i="25"/>
  <c r="L28" i="44" s="1"/>
  <c r="O25" i="49" s="1"/>
  <c r="G73" i="25"/>
  <c r="G72"/>
  <c r="G69"/>
  <c r="AH28" i="44" s="1"/>
  <c r="AK25" i="49" s="1"/>
  <c r="G68" i="25"/>
  <c r="AG28" i="44" s="1"/>
  <c r="AJ25" i="49" s="1"/>
  <c r="G67" i="25"/>
  <c r="AF28" i="44" s="1"/>
  <c r="AI25" i="49" s="1"/>
  <c r="G66" i="25"/>
  <c r="AE28" i="44" s="1"/>
  <c r="AH25" i="49" s="1"/>
  <c r="G65" i="25"/>
  <c r="AD28" i="44" s="1"/>
  <c r="AG25" i="49" s="1"/>
  <c r="G64" i="25"/>
  <c r="AC28" i="44" s="1"/>
  <c r="AF25" i="49" s="1"/>
  <c r="G63" i="25"/>
  <c r="AB28" i="44" s="1"/>
  <c r="AE25" i="49" s="1"/>
  <c r="G62" i="25"/>
  <c r="AA28" i="44" s="1"/>
  <c r="AD25" i="49" s="1"/>
  <c r="G58" i="25"/>
  <c r="U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G12"/>
  <c r="G11"/>
  <c r="G10"/>
  <c r="E28" l="1"/>
  <c r="G28" s="1"/>
  <c r="I28" i="44"/>
  <c r="L25" i="49" s="1"/>
  <c r="G28" i="44"/>
  <c r="J25" i="49" s="1"/>
  <c r="E28" i="44"/>
  <c r="H25" i="49" s="1"/>
  <c r="AQ28" i="44"/>
  <c r="F28"/>
  <c r="I25" i="49" s="1"/>
  <c r="C28" i="44"/>
  <c r="F25" i="49" s="1"/>
  <c r="B28" i="44"/>
  <c r="E25" i="49" s="1"/>
  <c r="D28" i="44"/>
  <c r="G25" i="49" s="1"/>
  <c r="G85" i="25"/>
  <c r="AA29" i="45"/>
  <c r="AA30" s="1"/>
  <c r="E31" i="25"/>
  <c r="G31" s="1"/>
  <c r="AA5" i="45"/>
  <c r="H137" i="25"/>
  <c r="J137" s="1"/>
  <c r="AS28" i="44"/>
  <c r="AU28" s="1"/>
  <c r="AA24" i="45"/>
  <c r="E30" i="25"/>
  <c r="G30" s="1"/>
  <c r="AA6" i="45"/>
  <c r="F119" i="25"/>
  <c r="G119"/>
  <c r="F118"/>
  <c r="G118"/>
  <c r="H135"/>
  <c r="J135" s="1"/>
  <c r="M27" i="1"/>
  <c r="G25" i="47" s="1"/>
  <c r="AJ28" i="44"/>
  <c r="BG25" i="49" s="1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P28" i="44" l="1"/>
  <c r="G32" i="25"/>
  <c r="I13"/>
  <c r="G60"/>
  <c r="I60" s="1"/>
  <c r="G143"/>
  <c r="G147"/>
  <c r="G149"/>
  <c r="E123" i="30"/>
  <c r="E35" i="28"/>
  <c r="G35" s="1"/>
  <c r="AW28" i="44" l="1"/>
  <c r="BM25" i="49"/>
  <c r="I59" i="25"/>
  <c r="E45" i="21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O43" i="23" l="1"/>
  <c r="G172" i="16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S35" i="44"/>
  <c r="AT35"/>
  <c r="AL35"/>
  <c r="AM35"/>
  <c r="AN35"/>
  <c r="AO35"/>
  <c r="AH9" i="45"/>
  <c r="AH10"/>
  <c r="AH12"/>
  <c r="AH26" s="1"/>
  <c r="AH8"/>
  <c r="AH28" s="1"/>
  <c r="AH7"/>
  <c r="K35" i="44"/>
  <c r="N35"/>
  <c r="O35"/>
  <c r="P35"/>
  <c r="Q35"/>
  <c r="R35"/>
  <c r="S35"/>
  <c r="T35"/>
  <c r="V35"/>
  <c r="J35"/>
  <c r="AC35"/>
  <c r="AD35"/>
  <c r="AE35"/>
  <c r="AF35"/>
  <c r="AG35"/>
  <c r="AH35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R34" i="44" s="1"/>
  <c r="E137" i="43"/>
  <c r="G137" s="1"/>
  <c r="E138"/>
  <c r="G138" s="1"/>
  <c r="E139"/>
  <c r="G139" s="1"/>
  <c r="AQ34" i="44" s="1"/>
  <c r="E140" i="43"/>
  <c r="G140" s="1"/>
  <c r="E130"/>
  <c r="G130" s="1"/>
  <c r="E124"/>
  <c r="G124" s="1"/>
  <c r="AL34" i="44" s="1"/>
  <c r="E125" i="43"/>
  <c r="G125" s="1"/>
  <c r="AM34" i="44" s="1"/>
  <c r="E126" i="43"/>
  <c r="G126" s="1"/>
  <c r="AN34" i="44" s="1"/>
  <c r="E127" i="43"/>
  <c r="G127" s="1"/>
  <c r="AO34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K34" i="44" s="1"/>
  <c r="E74" i="43"/>
  <c r="G74" s="1"/>
  <c r="L34" i="44" s="1"/>
  <c r="E75" i="43"/>
  <c r="G75" s="1"/>
  <c r="M34" i="44" s="1"/>
  <c r="E76" i="43"/>
  <c r="G76" s="1"/>
  <c r="N34" i="44" s="1"/>
  <c r="E77" i="43"/>
  <c r="G77" s="1"/>
  <c r="O34" i="44" s="1"/>
  <c r="E78" i="43"/>
  <c r="G78" s="1"/>
  <c r="P34" i="44" s="1"/>
  <c r="E79" i="43"/>
  <c r="G79" s="1"/>
  <c r="Q34" i="44" s="1"/>
  <c r="E80" i="43"/>
  <c r="G80" s="1"/>
  <c r="R34" i="44" s="1"/>
  <c r="E81" i="43"/>
  <c r="G81" s="1"/>
  <c r="S34" i="44" s="1"/>
  <c r="E82" i="43"/>
  <c r="G82" s="1"/>
  <c r="T34" i="44" s="1"/>
  <c r="E83" i="43"/>
  <c r="G83" s="1"/>
  <c r="V34" i="44" s="1"/>
  <c r="E84" i="43"/>
  <c r="G84" s="1"/>
  <c r="AI34" i="44" s="1"/>
  <c r="E72" i="43"/>
  <c r="G72" s="1"/>
  <c r="J34" i="44" s="1"/>
  <c r="E63" i="43"/>
  <c r="E64"/>
  <c r="E65"/>
  <c r="E66"/>
  <c r="E67"/>
  <c r="E68"/>
  <c r="E69"/>
  <c r="E62"/>
  <c r="G50"/>
  <c r="H34" i="44" s="1"/>
  <c r="G51" i="43"/>
  <c r="C34" i="44" s="1"/>
  <c r="G52" i="43"/>
  <c r="D34" i="44" s="1"/>
  <c r="G53" i="43"/>
  <c r="E34" i="44" s="1"/>
  <c r="G54" i="43"/>
  <c r="G55"/>
  <c r="G56"/>
  <c r="G57"/>
  <c r="G58"/>
  <c r="E49"/>
  <c r="G49" s="1"/>
  <c r="B34" i="44" s="1"/>
  <c r="G36" i="43"/>
  <c r="I34" i="44" s="1"/>
  <c r="G37" i="43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I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U22" i="44" s="1"/>
  <c r="X19" i="49" s="1"/>
  <c r="E52" i="18"/>
  <c r="G52" s="1"/>
  <c r="BC20" i="1" s="1"/>
  <c r="E54" i="18"/>
  <c r="G54" s="1"/>
  <c r="BE20" i="1" s="1"/>
  <c r="E135" i="16"/>
  <c r="G135" s="1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L13" i="44"/>
  <c r="BI10" i="49" s="1"/>
  <c r="AM13" i="44"/>
  <c r="BJ10" i="49" s="1"/>
  <c r="AN13" i="44"/>
  <c r="BK10" i="49" s="1"/>
  <c r="AO13" i="44"/>
  <c r="BL10" i="49" s="1"/>
  <c r="K13" i="44"/>
  <c r="N10" i="49" s="1"/>
  <c r="L13" i="44"/>
  <c r="O10" i="49" s="1"/>
  <c r="M13" i="44"/>
  <c r="P10" i="49" s="1"/>
  <c r="N13" i="44"/>
  <c r="Q10" i="49" s="1"/>
  <c r="O13" i="44"/>
  <c r="R10" i="49" s="1"/>
  <c r="P13" i="44"/>
  <c r="S10" i="49" s="1"/>
  <c r="Q13" i="44"/>
  <c r="T10" i="49" s="1"/>
  <c r="R13" i="44"/>
  <c r="U10" i="49" s="1"/>
  <c r="S13" i="44"/>
  <c r="V10" i="49" s="1"/>
  <c r="T13" i="44"/>
  <c r="W10" i="49" s="1"/>
  <c r="V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O23" i="44" s="1"/>
  <c r="BL20" i="49" s="1"/>
  <c r="E126" i="20"/>
  <c r="G126" s="1"/>
  <c r="AN23" i="44" s="1"/>
  <c r="BK20" i="49" s="1"/>
  <c r="E125" i="20"/>
  <c r="G125" s="1"/>
  <c r="AM23" i="44" s="1"/>
  <c r="BJ20" i="49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9" i="45" s="1"/>
  <c r="G97" i="11"/>
  <c r="G98"/>
  <c r="M12" i="45" s="1"/>
  <c r="M26" s="1"/>
  <c r="G99" i="11"/>
  <c r="G100"/>
  <c r="G93"/>
  <c r="G73"/>
  <c r="K14" i="44" s="1"/>
  <c r="N11" i="49" s="1"/>
  <c r="G74" i="11"/>
  <c r="L14" i="44" s="1"/>
  <c r="O11" i="49" s="1"/>
  <c r="G75" i="11"/>
  <c r="M14" i="44" s="1"/>
  <c r="P11" i="49" s="1"/>
  <c r="G76" i="11"/>
  <c r="N14" i="44" s="1"/>
  <c r="Q11" i="49" s="1"/>
  <c r="G77" i="11"/>
  <c r="O14" i="44" s="1"/>
  <c r="R11" i="49" s="1"/>
  <c r="G78" i="11"/>
  <c r="P14" i="44" s="1"/>
  <c r="S11" i="49" s="1"/>
  <c r="G79" i="11"/>
  <c r="Q14" i="44" s="1"/>
  <c r="T11" i="49" s="1"/>
  <c r="G80" i="11"/>
  <c r="R14" i="44" s="1"/>
  <c r="U11" i="49" s="1"/>
  <c r="G81" i="11"/>
  <c r="S14" i="44" s="1"/>
  <c r="V11" i="49" s="1"/>
  <c r="G82" i="11"/>
  <c r="T14" i="44" s="1"/>
  <c r="W11" i="49" s="1"/>
  <c r="G83" i="11"/>
  <c r="V14" i="44" s="1"/>
  <c r="Y11" i="49" s="1"/>
  <c r="G84" i="11"/>
  <c r="AI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X11" i="49" s="1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U11" i="44" s="1"/>
  <c r="X8" i="49" s="1"/>
  <c r="E62" i="8"/>
  <c r="G62" s="1"/>
  <c r="AA11" i="44" s="1"/>
  <c r="AD8" i="49" s="1"/>
  <c r="E63" i="8"/>
  <c r="G63" s="1"/>
  <c r="AB11" i="44" s="1"/>
  <c r="AE8" i="49" s="1"/>
  <c r="E64" i="8"/>
  <c r="G64" s="1"/>
  <c r="AC11" i="44" s="1"/>
  <c r="AF8" i="49" s="1"/>
  <c r="E65" i="8"/>
  <c r="G65" s="1"/>
  <c r="AD11" i="44" s="1"/>
  <c r="AG8" i="49" s="1"/>
  <c r="E66" i="8"/>
  <c r="G66" s="1"/>
  <c r="AE11" i="44" s="1"/>
  <c r="AH8" i="49" s="1"/>
  <c r="E67" i="8"/>
  <c r="G67" s="1"/>
  <c r="AF11" i="44" s="1"/>
  <c r="AI8" i="49" s="1"/>
  <c r="E68" i="8"/>
  <c r="G68" s="1"/>
  <c r="AG11" i="44" s="1"/>
  <c r="AJ8" i="49" s="1"/>
  <c r="E69" i="8"/>
  <c r="G69" s="1"/>
  <c r="G72"/>
  <c r="G73"/>
  <c r="K11" i="44" s="1"/>
  <c r="N8" i="49" s="1"/>
  <c r="G74" i="8"/>
  <c r="L11" i="44" s="1"/>
  <c r="O8" i="49" s="1"/>
  <c r="G75" i="8"/>
  <c r="M11" i="44" s="1"/>
  <c r="P8" i="49" s="1"/>
  <c r="G76" i="8"/>
  <c r="N11" i="44" s="1"/>
  <c r="Q8" i="49" s="1"/>
  <c r="G77" i="8"/>
  <c r="O11" i="44" s="1"/>
  <c r="R8" i="49" s="1"/>
  <c r="G78" i="8"/>
  <c r="P11" i="44" s="1"/>
  <c r="S8" i="49" s="1"/>
  <c r="G79" i="8"/>
  <c r="Q11" i="44" s="1"/>
  <c r="T8" i="49" s="1"/>
  <c r="G80" i="8"/>
  <c r="R11" i="44" s="1"/>
  <c r="U8" i="49" s="1"/>
  <c r="G81" i="8"/>
  <c r="S11" i="44" s="1"/>
  <c r="V8" i="49" s="1"/>
  <c r="G82" i="8"/>
  <c r="T11" i="44" s="1"/>
  <c r="W8" i="49" s="1"/>
  <c r="G83" i="8"/>
  <c r="V11" i="44" s="1"/>
  <c r="Y8" i="49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L11" i="44" s="1"/>
  <c r="BI8" i="49" s="1"/>
  <c r="G125" i="8"/>
  <c r="AM11" i="44" s="1"/>
  <c r="BJ8" i="49" s="1"/>
  <c r="G126" i="8"/>
  <c r="AN11" i="44" s="1"/>
  <c r="BK8" i="49" s="1"/>
  <c r="G127" i="8"/>
  <c r="AO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R11" i="44" s="1"/>
  <c r="E137" i="8"/>
  <c r="G137" s="1"/>
  <c r="AS11" i="44" s="1"/>
  <c r="E138" i="8"/>
  <c r="G138" s="1"/>
  <c r="E139"/>
  <c r="G139" s="1"/>
  <c r="E140"/>
  <c r="G140" s="1"/>
  <c r="F12" i="45"/>
  <c r="F26" s="1"/>
  <c r="F8"/>
  <c r="F28" s="1"/>
  <c r="AU6" i="1"/>
  <c r="BB6"/>
  <c r="BD6"/>
  <c r="BH6"/>
  <c r="U7" i="44"/>
  <c r="X4" i="49" s="1"/>
  <c r="AE7" i="44"/>
  <c r="AH4" i="49" s="1"/>
  <c r="J7" i="44"/>
  <c r="M4" i="49" s="1"/>
  <c r="K7" i="44"/>
  <c r="N4" i="49" s="1"/>
  <c r="L7" i="44"/>
  <c r="O4" i="49" s="1"/>
  <c r="M7" i="44"/>
  <c r="P4" i="49" s="1"/>
  <c r="N7" i="44"/>
  <c r="Q4" i="49" s="1"/>
  <c r="O7" i="44"/>
  <c r="R4" i="49" s="1"/>
  <c r="P7" i="44"/>
  <c r="S4" i="49" s="1"/>
  <c r="Q7" i="44"/>
  <c r="T4" i="49" s="1"/>
  <c r="R7" i="44"/>
  <c r="U4" i="49" s="1"/>
  <c r="S7" i="44"/>
  <c r="V4" i="49" s="1"/>
  <c r="T7" i="44"/>
  <c r="W4" i="49" s="1"/>
  <c r="V7" i="44"/>
  <c r="Y4" i="49" s="1"/>
  <c r="AI7" i="44"/>
  <c r="AL4" i="49" s="1"/>
  <c r="F7" i="45"/>
  <c r="AL7" i="44"/>
  <c r="BI4" i="49" s="1"/>
  <c r="AM7" i="44"/>
  <c r="BJ4" i="49" s="1"/>
  <c r="AN7" i="44"/>
  <c r="BK4" i="49" s="1"/>
  <c r="AO7" i="44"/>
  <c r="BL4" i="49" s="1"/>
  <c r="AB6" i="1"/>
  <c r="AD6"/>
  <c r="AR7" i="44"/>
  <c r="AS7"/>
  <c r="E70" i="14"/>
  <c r="G70" s="1"/>
  <c r="J16" i="35" s="1"/>
  <c r="G64" i="9"/>
  <c r="AC12" i="44" s="1"/>
  <c r="AF9" i="49" s="1"/>
  <c r="E140" i="23"/>
  <c r="G140" s="1"/>
  <c r="E73" i="22"/>
  <c r="G73" s="1"/>
  <c r="K25" i="44" s="1"/>
  <c r="N22" i="49" s="1"/>
  <c r="E74" i="22"/>
  <c r="G74" s="1"/>
  <c r="L25" i="44" s="1"/>
  <c r="O22" i="49" s="1"/>
  <c r="E75" i="22"/>
  <c r="G75" s="1"/>
  <c r="M25" i="44" s="1"/>
  <c r="P22" i="49" s="1"/>
  <c r="E76" i="22"/>
  <c r="G76" s="1"/>
  <c r="N25" i="44" s="1"/>
  <c r="Q22" i="49" s="1"/>
  <c r="E77" i="22"/>
  <c r="G77" s="1"/>
  <c r="O25" i="44" s="1"/>
  <c r="R22" i="49" s="1"/>
  <c r="E78" i="22"/>
  <c r="G78" s="1"/>
  <c r="P25" i="44" s="1"/>
  <c r="S22" i="49" s="1"/>
  <c r="E79" i="22"/>
  <c r="G79" s="1"/>
  <c r="Q25" i="44" s="1"/>
  <c r="T22" i="49" s="1"/>
  <c r="E80" i="22"/>
  <c r="G80" s="1"/>
  <c r="R25" i="44" s="1"/>
  <c r="U22" i="49" s="1"/>
  <c r="E81" i="22"/>
  <c r="G81" s="1"/>
  <c r="S25" i="44" s="1"/>
  <c r="V22" i="49" s="1"/>
  <c r="E82" i="22"/>
  <c r="G82" s="1"/>
  <c r="T25" i="44" s="1"/>
  <c r="W22" i="49" s="1"/>
  <c r="E83" i="22"/>
  <c r="G83" s="1"/>
  <c r="V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U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R16" i="44" s="1"/>
  <c r="G137" i="13"/>
  <c r="G138"/>
  <c r="G139"/>
  <c r="G140"/>
  <c r="G96"/>
  <c r="G97"/>
  <c r="G98"/>
  <c r="G99"/>
  <c r="G100"/>
  <c r="G93"/>
  <c r="H70" i="12"/>
  <c r="E84" i="14"/>
  <c r="G84" s="1"/>
  <c r="E83"/>
  <c r="G83" s="1"/>
  <c r="V17" i="44" s="1"/>
  <c r="Y14" i="49" s="1"/>
  <c r="E82" i="14"/>
  <c r="G82" s="1"/>
  <c r="T17" i="44" s="1"/>
  <c r="W14" i="49" s="1"/>
  <c r="E81" i="14"/>
  <c r="G81" s="1"/>
  <c r="S17" i="44" s="1"/>
  <c r="V14" i="49" s="1"/>
  <c r="E80" i="14"/>
  <c r="G80" s="1"/>
  <c r="R17" i="44" s="1"/>
  <c r="U14" i="49" s="1"/>
  <c r="E79" i="14"/>
  <c r="G79" s="1"/>
  <c r="Q17" i="44" s="1"/>
  <c r="T14" i="49" s="1"/>
  <c r="E78" i="14"/>
  <c r="G78" s="1"/>
  <c r="P17" i="44" s="1"/>
  <c r="S14" i="49" s="1"/>
  <c r="E77" i="14"/>
  <c r="G77" s="1"/>
  <c r="O17" i="44" s="1"/>
  <c r="R14" i="49" s="1"/>
  <c r="E76" i="14"/>
  <c r="G76" s="1"/>
  <c r="N17" i="44" s="1"/>
  <c r="Q14" i="49" s="1"/>
  <c r="E75" i="14"/>
  <c r="G75" s="1"/>
  <c r="M17" i="44" s="1"/>
  <c r="P14" i="49" s="1"/>
  <c r="E74" i="14"/>
  <c r="G74" s="1"/>
  <c r="L17" i="44" s="1"/>
  <c r="O14" i="49" s="1"/>
  <c r="G73" i="14"/>
  <c r="K17" i="44" s="1"/>
  <c r="N14" i="49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J13" i="44"/>
  <c r="M10" i="49" s="1"/>
  <c r="G84" i="9"/>
  <c r="G83"/>
  <c r="V12" i="44" s="1"/>
  <c r="Y9" i="49" s="1"/>
  <c r="G82" i="9"/>
  <c r="T12" i="44" s="1"/>
  <c r="W9" i="49" s="1"/>
  <c r="G81" i="9"/>
  <c r="S12" i="44" s="1"/>
  <c r="V9" i="49" s="1"/>
  <c r="G80" i="9"/>
  <c r="R12" i="44" s="1"/>
  <c r="U9" i="49" s="1"/>
  <c r="G79" i="9"/>
  <c r="Q12" i="44" s="1"/>
  <c r="T9" i="49" s="1"/>
  <c r="G78" i="9"/>
  <c r="P12" i="44" s="1"/>
  <c r="S9" i="49" s="1"/>
  <c r="G77" i="9"/>
  <c r="O12" i="44" s="1"/>
  <c r="R9" i="49" s="1"/>
  <c r="G76" i="9"/>
  <c r="N12" i="44" s="1"/>
  <c r="Q9" i="49" s="1"/>
  <c r="G75" i="9"/>
  <c r="M12" i="44" s="1"/>
  <c r="P9" i="49" s="1"/>
  <c r="G74" i="9"/>
  <c r="L12" i="44" s="1"/>
  <c r="O9" i="49" s="1"/>
  <c r="G73" i="9"/>
  <c r="K12" i="44" s="1"/>
  <c r="N9" i="49" s="1"/>
  <c r="E72" i="9"/>
  <c r="G72" s="1"/>
  <c r="J12" i="44" s="1"/>
  <c r="M9" i="49" s="1"/>
  <c r="E84" i="7"/>
  <c r="G84" s="1"/>
  <c r="E83"/>
  <c r="G83" s="1"/>
  <c r="V10" i="44" s="1"/>
  <c r="Y7" i="49" s="1"/>
  <c r="E82" i="7"/>
  <c r="G82" s="1"/>
  <c r="T10" i="44" s="1"/>
  <c r="W7" i="49" s="1"/>
  <c r="E81" i="7"/>
  <c r="G81" s="1"/>
  <c r="S10" i="44" s="1"/>
  <c r="V7" i="49" s="1"/>
  <c r="E80" i="7"/>
  <c r="G80" s="1"/>
  <c r="R10" i="44" s="1"/>
  <c r="U7" i="49" s="1"/>
  <c r="E79" i="7"/>
  <c r="G79" s="1"/>
  <c r="Q10" i="44" s="1"/>
  <c r="T7" i="49" s="1"/>
  <c r="E78" i="7"/>
  <c r="G78" s="1"/>
  <c r="P10" i="44" s="1"/>
  <c r="S7" i="49" s="1"/>
  <c r="E77" i="7"/>
  <c r="G77" s="1"/>
  <c r="O10" i="44" s="1"/>
  <c r="R7" i="49" s="1"/>
  <c r="E76" i="7"/>
  <c r="G76" s="1"/>
  <c r="N10" i="44" s="1"/>
  <c r="Q7" i="49" s="1"/>
  <c r="E75" i="7"/>
  <c r="G75" s="1"/>
  <c r="M10" i="44" s="1"/>
  <c r="P7" i="49" s="1"/>
  <c r="E74" i="7"/>
  <c r="G74" s="1"/>
  <c r="L10" i="44" s="1"/>
  <c r="O7" i="49" s="1"/>
  <c r="E73" i="7"/>
  <c r="G73" s="1"/>
  <c r="K10" i="44" s="1"/>
  <c r="N7" i="49" s="1"/>
  <c r="E72" i="7"/>
  <c r="G72" s="1"/>
  <c r="J10" i="44" s="1"/>
  <c r="M7" i="49" s="1"/>
  <c r="E84" i="33"/>
  <c r="G84" s="1"/>
  <c r="E83"/>
  <c r="G83" s="1"/>
  <c r="V9" i="44" s="1"/>
  <c r="Y6" i="49" s="1"/>
  <c r="E82" i="33"/>
  <c r="G82" s="1"/>
  <c r="T9" i="44" s="1"/>
  <c r="W6" i="49" s="1"/>
  <c r="E81" i="33"/>
  <c r="G81" s="1"/>
  <c r="S9" i="44" s="1"/>
  <c r="V6" i="49" s="1"/>
  <c r="E80" i="33"/>
  <c r="G80" s="1"/>
  <c r="R9" i="44" s="1"/>
  <c r="U6" i="49" s="1"/>
  <c r="E79" i="33"/>
  <c r="G79" s="1"/>
  <c r="Q9" i="44" s="1"/>
  <c r="T6" i="49" s="1"/>
  <c r="E78" i="33"/>
  <c r="G78" s="1"/>
  <c r="P9" i="44" s="1"/>
  <c r="S6" i="49" s="1"/>
  <c r="E77" i="33"/>
  <c r="G77" s="1"/>
  <c r="O9" i="44" s="1"/>
  <c r="R6" i="49" s="1"/>
  <c r="E76" i="33"/>
  <c r="G76" s="1"/>
  <c r="N9" i="44" s="1"/>
  <c r="Q6" i="49" s="1"/>
  <c r="E75" i="33"/>
  <c r="G75" s="1"/>
  <c r="M9" i="44" s="1"/>
  <c r="P6" i="49" s="1"/>
  <c r="E74" i="33"/>
  <c r="G74" s="1"/>
  <c r="L9" i="44" s="1"/>
  <c r="O6" i="49" s="1"/>
  <c r="E73" i="33"/>
  <c r="G73" s="1"/>
  <c r="K9" i="44" s="1"/>
  <c r="N6" i="49" s="1"/>
  <c r="E72" i="33"/>
  <c r="G72" s="1"/>
  <c r="J9" i="44" s="1"/>
  <c r="M6" i="49" s="1"/>
  <c r="AI8" i="44"/>
  <c r="AL5" i="49" s="1"/>
  <c r="V8" i="44"/>
  <c r="Y5" i="49" s="1"/>
  <c r="T8" i="44"/>
  <c r="W5" i="49" s="1"/>
  <c r="S8" i="44"/>
  <c r="V5" i="49" s="1"/>
  <c r="R8" i="44"/>
  <c r="U5" i="49" s="1"/>
  <c r="Q8" i="44"/>
  <c r="T5" i="49" s="1"/>
  <c r="P8" i="44"/>
  <c r="S5" i="49" s="1"/>
  <c r="O8" i="44"/>
  <c r="R5" i="49" s="1"/>
  <c r="N8" i="44"/>
  <c r="Q5" i="49" s="1"/>
  <c r="K8" i="44"/>
  <c r="N5" i="49" s="1"/>
  <c r="J8" i="44"/>
  <c r="M5" i="49" s="1"/>
  <c r="V6" i="44"/>
  <c r="Y3" i="49" s="1"/>
  <c r="T6" i="44"/>
  <c r="W3" i="49" s="1"/>
  <c r="S6" i="44"/>
  <c r="V3" i="49" s="1"/>
  <c r="R6" i="44"/>
  <c r="U3" i="49" s="1"/>
  <c r="Q6" i="44"/>
  <c r="T3" i="49" s="1"/>
  <c r="P6" i="44"/>
  <c r="S3" i="49" s="1"/>
  <c r="O6" i="44"/>
  <c r="R3" i="49" s="1"/>
  <c r="N6" i="44"/>
  <c r="Q3" i="49" s="1"/>
  <c r="M6" i="44"/>
  <c r="P3" i="49" s="1"/>
  <c r="L6" i="44"/>
  <c r="O3" i="49" s="1"/>
  <c r="K6" i="44"/>
  <c r="N3" i="49" s="1"/>
  <c r="J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R14" i="44" s="1"/>
  <c r="G137" i="11"/>
  <c r="G138"/>
  <c r="G139"/>
  <c r="G140"/>
  <c r="E124"/>
  <c r="G124" s="1"/>
  <c r="AL14" i="44" s="1"/>
  <c r="BI11" i="49" s="1"/>
  <c r="E125" i="11"/>
  <c r="G125" s="1"/>
  <c r="AM14" i="44" s="1"/>
  <c r="BJ11" i="49" s="1"/>
  <c r="E126" i="11"/>
  <c r="G126" s="1"/>
  <c r="AN14" i="44" s="1"/>
  <c r="BK11" i="49" s="1"/>
  <c r="E127" i="11"/>
  <c r="G127" s="1"/>
  <c r="AO14" i="44" s="1"/>
  <c r="BL11" i="49" s="1"/>
  <c r="G10" i="11"/>
  <c r="G11"/>
  <c r="G12"/>
  <c r="E124" i="9"/>
  <c r="G124" s="1"/>
  <c r="AL12" i="44" s="1"/>
  <c r="BI9" i="49" s="1"/>
  <c r="E125" i="9"/>
  <c r="G125" s="1"/>
  <c r="AM12" i="44" s="1"/>
  <c r="BJ9" i="49" s="1"/>
  <c r="E126" i="9"/>
  <c r="G126" s="1"/>
  <c r="AN12" i="44" s="1"/>
  <c r="BK9" i="49" s="1"/>
  <c r="E127" i="9"/>
  <c r="G127" s="1"/>
  <c r="AO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R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AB33" i="44" s="1"/>
  <c r="E62" i="30"/>
  <c r="G58"/>
  <c r="G57"/>
  <c r="G56"/>
  <c r="G55"/>
  <c r="G54"/>
  <c r="G53"/>
  <c r="G52"/>
  <c r="G51"/>
  <c r="G50"/>
  <c r="H33" i="44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C33" i="44" s="1"/>
  <c r="E36" i="30"/>
  <c r="G36" s="1"/>
  <c r="I33" i="44" s="1"/>
  <c r="E35" i="30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G138"/>
  <c r="G137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O32" i="44" s="1"/>
  <c r="BL29" i="49" s="1"/>
  <c r="G126" i="29"/>
  <c r="AN32" i="44" s="1"/>
  <c r="BK29" i="49" s="1"/>
  <c r="G125" i="29"/>
  <c r="AM32" i="44" s="1"/>
  <c r="BJ29" i="49" s="1"/>
  <c r="G124" i="29"/>
  <c r="AL32" i="44" s="1"/>
  <c r="BI29" i="49" s="1"/>
  <c r="E123" i="29"/>
  <c r="G123" s="1"/>
  <c r="AK32" i="44" s="1"/>
  <c r="BH29" i="49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I32" i="44" s="1"/>
  <c r="AL29" i="49" s="1"/>
  <c r="G83" i="29"/>
  <c r="V32" i="44" s="1"/>
  <c r="Y29" i="49" s="1"/>
  <c r="G82" i="29"/>
  <c r="T32" i="44" s="1"/>
  <c r="W29" i="49" s="1"/>
  <c r="G81" i="29"/>
  <c r="S32" i="44" s="1"/>
  <c r="V29" i="49" s="1"/>
  <c r="G80" i="29"/>
  <c r="R32" i="44" s="1"/>
  <c r="U29" i="49" s="1"/>
  <c r="G79" i="29"/>
  <c r="Q32" i="44" s="1"/>
  <c r="T29" i="49" s="1"/>
  <c r="G78" i="29"/>
  <c r="P32" i="44" s="1"/>
  <c r="S29" i="49" s="1"/>
  <c r="G77" i="29"/>
  <c r="O32" i="44" s="1"/>
  <c r="R29" i="49" s="1"/>
  <c r="G76" i="29"/>
  <c r="N32" i="44" s="1"/>
  <c r="Q29" i="49" s="1"/>
  <c r="G75" i="29"/>
  <c r="M32" i="44" s="1"/>
  <c r="P29" i="49" s="1"/>
  <c r="G74" i="29"/>
  <c r="L32" i="44" s="1"/>
  <c r="O29" i="49" s="1"/>
  <c r="G73" i="29"/>
  <c r="K32" i="44" s="1"/>
  <c r="N29" i="49" s="1"/>
  <c r="E72" i="29"/>
  <c r="G72" s="1"/>
  <c r="J32" i="44" s="1"/>
  <c r="M29" i="49" s="1"/>
  <c r="G69" i="29"/>
  <c r="AH32" i="44" s="1"/>
  <c r="AK29" i="49" s="1"/>
  <c r="G68" i="29"/>
  <c r="AG32" i="44" s="1"/>
  <c r="AJ29" i="49" s="1"/>
  <c r="G67" i="29"/>
  <c r="AF32" i="44" s="1"/>
  <c r="AI29" i="49" s="1"/>
  <c r="G66" i="29"/>
  <c r="AE32" i="44" s="1"/>
  <c r="AH29" i="49" s="1"/>
  <c r="G65" i="29"/>
  <c r="AD32" i="44" s="1"/>
  <c r="AG29" i="49" s="1"/>
  <c r="G64" i="29"/>
  <c r="AC32" i="44" s="1"/>
  <c r="AF29" i="49" s="1"/>
  <c r="G63" i="29"/>
  <c r="AB32" i="44" s="1"/>
  <c r="AE29" i="49" s="1"/>
  <c r="E62" i="29"/>
  <c r="G58"/>
  <c r="U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R31" i="44" s="1"/>
  <c r="G135" i="28"/>
  <c r="G134"/>
  <c r="AC30" i="1" s="1"/>
  <c r="G133" i="28"/>
  <c r="AB30" i="1" s="1"/>
  <c r="G132" i="28"/>
  <c r="AA30" i="1" s="1"/>
  <c r="G131" i="28"/>
  <c r="E130"/>
  <c r="G130" s="1"/>
  <c r="G127"/>
  <c r="AO31" i="44" s="1"/>
  <c r="BL28" i="49" s="1"/>
  <c r="G126" i="28"/>
  <c r="AN31" i="44" s="1"/>
  <c r="BK28" i="49" s="1"/>
  <c r="G125" i="28"/>
  <c r="AM31" i="44" s="1"/>
  <c r="BJ28" i="49" s="1"/>
  <c r="G124" i="28"/>
  <c r="AL31" i="44" s="1"/>
  <c r="BI28" i="49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G92"/>
  <c r="AD7" i="45" s="1"/>
  <c r="G84" i="28"/>
  <c r="G83"/>
  <c r="V31" i="44" s="1"/>
  <c r="Y28" i="49" s="1"/>
  <c r="G82" i="28"/>
  <c r="T31" i="44" s="1"/>
  <c r="W28" i="49" s="1"/>
  <c r="G81" i="28"/>
  <c r="S31" i="44" s="1"/>
  <c r="V28" i="49" s="1"/>
  <c r="G80" i="28"/>
  <c r="R31" i="44" s="1"/>
  <c r="U28" i="49" s="1"/>
  <c r="G79" i="28"/>
  <c r="Q31" i="44" s="1"/>
  <c r="T28" i="49" s="1"/>
  <c r="G78" i="28"/>
  <c r="P31" i="44" s="1"/>
  <c r="S28" i="49" s="1"/>
  <c r="G77" i="28"/>
  <c r="O31" i="44" s="1"/>
  <c r="R28" i="49" s="1"/>
  <c r="G76" i="28"/>
  <c r="N31" i="44" s="1"/>
  <c r="Q28" i="49" s="1"/>
  <c r="G75" i="28"/>
  <c r="M31" i="44" s="1"/>
  <c r="P28" i="49" s="1"/>
  <c r="G74" i="28"/>
  <c r="L31" i="44" s="1"/>
  <c r="O28" i="49" s="1"/>
  <c r="G73" i="28"/>
  <c r="K31" i="44" s="1"/>
  <c r="N28" i="49" s="1"/>
  <c r="E72" i="28"/>
  <c r="G72" s="1"/>
  <c r="J31" i="44" s="1"/>
  <c r="M28" i="49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G138"/>
  <c r="G137"/>
  <c r="G136"/>
  <c r="AR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O30" i="44" s="1"/>
  <c r="BL27" i="49" s="1"/>
  <c r="E126" i="27"/>
  <c r="G126" s="1"/>
  <c r="AN30" i="44" s="1"/>
  <c r="BK27" i="49" s="1"/>
  <c r="E125" i="27"/>
  <c r="G125" s="1"/>
  <c r="AM30" i="44" s="1"/>
  <c r="BJ27" i="49" s="1"/>
  <c r="E124" i="27"/>
  <c r="G124" s="1"/>
  <c r="AL30" i="44" s="1"/>
  <c r="BI27" i="49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V30" i="44" s="1"/>
  <c r="Y27" i="49" s="1"/>
  <c r="E82" i="27"/>
  <c r="G82" s="1"/>
  <c r="T30" i="44" s="1"/>
  <c r="W27" i="49" s="1"/>
  <c r="E81" i="27"/>
  <c r="G81" s="1"/>
  <c r="S30" i="44" s="1"/>
  <c r="V27" i="49" s="1"/>
  <c r="E80" i="27"/>
  <c r="G80" s="1"/>
  <c r="R30" i="44" s="1"/>
  <c r="U27" i="49" s="1"/>
  <c r="E79" i="27"/>
  <c r="G79" s="1"/>
  <c r="Q30" i="44" s="1"/>
  <c r="T27" i="49" s="1"/>
  <c r="E78" i="27"/>
  <c r="G78" s="1"/>
  <c r="P30" i="44" s="1"/>
  <c r="S27" i="49" s="1"/>
  <c r="E77" i="27"/>
  <c r="G77" s="1"/>
  <c r="O30" i="44" s="1"/>
  <c r="R27" i="49" s="1"/>
  <c r="E76" i="27"/>
  <c r="G76" s="1"/>
  <c r="N30" i="44" s="1"/>
  <c r="Q27" i="49" s="1"/>
  <c r="E75" i="27"/>
  <c r="G75" s="1"/>
  <c r="M30" i="44" s="1"/>
  <c r="P27" i="49" s="1"/>
  <c r="G74" i="27"/>
  <c r="L30" i="44" s="1"/>
  <c r="O27" i="49" s="1"/>
  <c r="E73" i="27"/>
  <c r="G73" s="1"/>
  <c r="K30" i="44" s="1"/>
  <c r="N27" i="49" s="1"/>
  <c r="E72" i="27"/>
  <c r="G72" s="1"/>
  <c r="J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G139"/>
  <c r="G138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O29" i="44" s="1"/>
  <c r="BL26" i="49" s="1"/>
  <c r="E126" i="40"/>
  <c r="G126" s="1"/>
  <c r="AN29" i="44" s="1"/>
  <c r="BK26" i="49" s="1"/>
  <c r="E125" i="40"/>
  <c r="G125" s="1"/>
  <c r="AM29" i="44" s="1"/>
  <c r="BJ26" i="49" s="1"/>
  <c r="E124" i="40"/>
  <c r="G124" s="1"/>
  <c r="AL29" i="44" s="1"/>
  <c r="BI26" i="49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V29" i="44" s="1"/>
  <c r="Y26" i="49" s="1"/>
  <c r="E82" i="40"/>
  <c r="G82" s="1"/>
  <c r="T29" i="44" s="1"/>
  <c r="W26" i="49" s="1"/>
  <c r="E81" i="40"/>
  <c r="G81" s="1"/>
  <c r="S29" i="44" s="1"/>
  <c r="V26" i="49" s="1"/>
  <c r="E80" i="40"/>
  <c r="G80" s="1"/>
  <c r="R29" i="44" s="1"/>
  <c r="U26" i="49" s="1"/>
  <c r="E79" i="40"/>
  <c r="G79" s="1"/>
  <c r="Q29" i="44" s="1"/>
  <c r="T26" i="49" s="1"/>
  <c r="E78" i="40"/>
  <c r="G78" s="1"/>
  <c r="P29" i="44" s="1"/>
  <c r="S26" i="49" s="1"/>
  <c r="E77" i="40"/>
  <c r="G77" s="1"/>
  <c r="O29" i="44" s="1"/>
  <c r="R26" i="49" s="1"/>
  <c r="E76" i="40"/>
  <c r="G76" s="1"/>
  <c r="N29" i="44" s="1"/>
  <c r="Q26" i="49" s="1"/>
  <c r="E75" i="40"/>
  <c r="G75" s="1"/>
  <c r="M29" i="44" s="1"/>
  <c r="P26" i="49" s="1"/>
  <c r="E74" i="40"/>
  <c r="G74" s="1"/>
  <c r="L29" i="44" s="1"/>
  <c r="O26" i="49" s="1"/>
  <c r="E73" i="40"/>
  <c r="G73" s="1"/>
  <c r="K29" i="44" s="1"/>
  <c r="N26" i="49" s="1"/>
  <c r="E72" i="40"/>
  <c r="G72" s="1"/>
  <c r="J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E138"/>
  <c r="G138" s="1"/>
  <c r="E137"/>
  <c r="G137" s="1"/>
  <c r="E136"/>
  <c r="G136" s="1"/>
  <c r="AR27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O27" i="44" s="1"/>
  <c r="BL24" i="49" s="1"/>
  <c r="E126" i="24"/>
  <c r="G126" s="1"/>
  <c r="AN27" i="44" s="1"/>
  <c r="BK24" i="49" s="1"/>
  <c r="E125" i="24"/>
  <c r="G125" s="1"/>
  <c r="AM27" i="44" s="1"/>
  <c r="BJ24" i="49" s="1"/>
  <c r="E124" i="24"/>
  <c r="G124" s="1"/>
  <c r="AL27" i="44" s="1"/>
  <c r="BI24" i="49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V27" i="44" s="1"/>
  <c r="Y24" i="49" s="1"/>
  <c r="E82" i="24"/>
  <c r="G82" s="1"/>
  <c r="T27" i="44" s="1"/>
  <c r="W24" i="49" s="1"/>
  <c r="E81" i="24"/>
  <c r="G81" s="1"/>
  <c r="S27" i="44" s="1"/>
  <c r="V24" i="49" s="1"/>
  <c r="E80" i="24"/>
  <c r="G80" s="1"/>
  <c r="R27" i="44" s="1"/>
  <c r="U24" i="49" s="1"/>
  <c r="E79" i="24"/>
  <c r="G79" s="1"/>
  <c r="Q27" i="44" s="1"/>
  <c r="T24" i="49" s="1"/>
  <c r="E78" i="24"/>
  <c r="G78" s="1"/>
  <c r="P27" i="44" s="1"/>
  <c r="S24" i="49" s="1"/>
  <c r="G77" i="24"/>
  <c r="O27" i="44" s="1"/>
  <c r="R24" i="49" s="1"/>
  <c r="E76" i="24"/>
  <c r="G76" s="1"/>
  <c r="N27" i="44" s="1"/>
  <c r="Q24" i="49" s="1"/>
  <c r="E75" i="24"/>
  <c r="G75" s="1"/>
  <c r="M27" i="44" s="1"/>
  <c r="P24" i="49" s="1"/>
  <c r="E74" i="24"/>
  <c r="G74" s="1"/>
  <c r="L27" i="44" s="1"/>
  <c r="O24" i="49" s="1"/>
  <c r="E73" i="24"/>
  <c r="G73" s="1"/>
  <c r="E72"/>
  <c r="G72" s="1"/>
  <c r="E69"/>
  <c r="E68"/>
  <c r="E67"/>
  <c r="E66"/>
  <c r="E65"/>
  <c r="E64"/>
  <c r="E63"/>
  <c r="E62"/>
  <c r="E58"/>
  <c r="G58" s="1"/>
  <c r="U27" i="44" s="1"/>
  <c r="X24" i="49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G9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O46" s="1"/>
  <c r="G45"/>
  <c r="O45" s="1"/>
  <c r="G44"/>
  <c r="G42"/>
  <c r="O42" s="1"/>
  <c r="G41"/>
  <c r="G40"/>
  <c r="O40" s="1"/>
  <c r="G39"/>
  <c r="G38"/>
  <c r="G37"/>
  <c r="G36"/>
  <c r="E35"/>
  <c r="G35" s="1"/>
  <c r="E24"/>
  <c r="E23"/>
  <c r="E22"/>
  <c r="G22" s="1"/>
  <c r="O22" s="1"/>
  <c r="E19"/>
  <c r="G19" s="1"/>
  <c r="E18"/>
  <c r="E15"/>
  <c r="G15" s="1"/>
  <c r="E12"/>
  <c r="G12" s="1"/>
  <c r="O12" s="1"/>
  <c r="E11"/>
  <c r="G11" s="1"/>
  <c r="O11" s="1"/>
  <c r="E10"/>
  <c r="G10" s="1"/>
  <c r="G7"/>
  <c r="E140" i="22"/>
  <c r="G140" s="1"/>
  <c r="E139"/>
  <c r="G139" s="1"/>
  <c r="E138"/>
  <c r="G138" s="1"/>
  <c r="AT25" i="44" s="1"/>
  <c r="E137" i="22"/>
  <c r="G137" s="1"/>
  <c r="E136"/>
  <c r="G136" s="1"/>
  <c r="AR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O25" i="44" s="1"/>
  <c r="BL22" i="49" s="1"/>
  <c r="E126" i="22"/>
  <c r="G126" s="1"/>
  <c r="AN25" i="44" s="1"/>
  <c r="BK22" i="49" s="1"/>
  <c r="E125" i="22"/>
  <c r="G125" s="1"/>
  <c r="AM25" i="44" s="1"/>
  <c r="BJ22" i="49" s="1"/>
  <c r="E124" i="22"/>
  <c r="G124" s="1"/>
  <c r="AL25" i="44" s="1"/>
  <c r="BI22" i="49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J25" i="44" s="1"/>
  <c r="M22" i="49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E138"/>
  <c r="G138" s="1"/>
  <c r="AT24" i="44" s="1"/>
  <c r="E137" i="21"/>
  <c r="G137" s="1"/>
  <c r="E136"/>
  <c r="G136" s="1"/>
  <c r="AR24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O24" i="44" s="1"/>
  <c r="BL21" i="49" s="1"/>
  <c r="E126" i="21"/>
  <c r="G126" s="1"/>
  <c r="AN24" i="44" s="1"/>
  <c r="BK21" i="49" s="1"/>
  <c r="E125" i="21"/>
  <c r="G125" s="1"/>
  <c r="AM24" i="44" s="1"/>
  <c r="BJ21" i="49" s="1"/>
  <c r="E124" i="21"/>
  <c r="G124" s="1"/>
  <c r="AL24" i="44" s="1"/>
  <c r="BI21" i="49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V24" i="44" s="1"/>
  <c r="Y21" i="49" s="1"/>
  <c r="E82" i="21"/>
  <c r="G82" s="1"/>
  <c r="T24" i="44" s="1"/>
  <c r="W21" i="49" s="1"/>
  <c r="E81" i="21"/>
  <c r="G81" s="1"/>
  <c r="S24" i="44" s="1"/>
  <c r="V21" i="49" s="1"/>
  <c r="E80" i="21"/>
  <c r="G80" s="1"/>
  <c r="R24" i="44" s="1"/>
  <c r="U21" i="49" s="1"/>
  <c r="E79" i="21"/>
  <c r="G79" s="1"/>
  <c r="Q24" i="44" s="1"/>
  <c r="T21" i="49" s="1"/>
  <c r="E78" i="21"/>
  <c r="G78" s="1"/>
  <c r="P24" i="44" s="1"/>
  <c r="S21" i="49" s="1"/>
  <c r="E77" i="21"/>
  <c r="G77" s="1"/>
  <c r="O24" i="44" s="1"/>
  <c r="R21" i="49" s="1"/>
  <c r="E76" i="21"/>
  <c r="G76" s="1"/>
  <c r="N24" i="44" s="1"/>
  <c r="Q21" i="49" s="1"/>
  <c r="E75" i="21"/>
  <c r="G75" s="1"/>
  <c r="M24" i="44" s="1"/>
  <c r="P21" i="49" s="1"/>
  <c r="E74" i="21"/>
  <c r="G74" s="1"/>
  <c r="L24" i="44" s="1"/>
  <c r="O21" i="49" s="1"/>
  <c r="E73" i="21"/>
  <c r="G73" s="1"/>
  <c r="K24" i="44" s="1"/>
  <c r="N21" i="49" s="1"/>
  <c r="E72" i="21"/>
  <c r="G72" s="1"/>
  <c r="J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E43"/>
  <c r="G43" s="1"/>
  <c r="G42"/>
  <c r="G41"/>
  <c r="G40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G138"/>
  <c r="G137"/>
  <c r="G136"/>
  <c r="AR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L23" i="44" s="1"/>
  <c r="BI20" i="49" s="1"/>
  <c r="E123" i="20"/>
  <c r="G123" s="1"/>
  <c r="E94"/>
  <c r="E93"/>
  <c r="G93" s="1"/>
  <c r="E92"/>
  <c r="G92" s="1"/>
  <c r="V7" i="45" s="1"/>
  <c r="G84" i="20"/>
  <c r="G83"/>
  <c r="V23" i="44" s="1"/>
  <c r="Y20" i="49" s="1"/>
  <c r="G82" i="20"/>
  <c r="T23" i="44" s="1"/>
  <c r="W20" i="49" s="1"/>
  <c r="G81" i="20"/>
  <c r="S23" i="44" s="1"/>
  <c r="V20" i="49" s="1"/>
  <c r="G80" i="20"/>
  <c r="R23" i="44" s="1"/>
  <c r="U20" i="49" s="1"/>
  <c r="G79" i="20"/>
  <c r="Q23" i="44" s="1"/>
  <c r="T20" i="49" s="1"/>
  <c r="G78" i="20"/>
  <c r="P23" i="44" s="1"/>
  <c r="S20" i="49" s="1"/>
  <c r="G77" i="20"/>
  <c r="O23" i="44" s="1"/>
  <c r="R20" i="49" s="1"/>
  <c r="G76" i="20"/>
  <c r="N23" i="44" s="1"/>
  <c r="Q20" i="49" s="1"/>
  <c r="G75" i="20"/>
  <c r="M23" i="44" s="1"/>
  <c r="P20" i="49" s="1"/>
  <c r="G74" i="20"/>
  <c r="L23" i="44" s="1"/>
  <c r="O20" i="49" s="1"/>
  <c r="G73" i="20"/>
  <c r="K23" i="44" s="1"/>
  <c r="N20" i="49" s="1"/>
  <c r="E72" i="20"/>
  <c r="G72" s="1"/>
  <c r="J23" i="44" s="1"/>
  <c r="M20" i="49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R22" i="44" s="1"/>
  <c r="E135" i="19"/>
  <c r="E134"/>
  <c r="E133"/>
  <c r="E131"/>
  <c r="G131" s="1"/>
  <c r="E130"/>
  <c r="G130" s="1"/>
  <c r="E127"/>
  <c r="G127" s="1"/>
  <c r="AO22" i="44" s="1"/>
  <c r="BL19" i="49" s="1"/>
  <c r="E126" i="19"/>
  <c r="G126" s="1"/>
  <c r="AN22" i="44" s="1"/>
  <c r="BK19" i="49" s="1"/>
  <c r="E125" i="19"/>
  <c r="G125" s="1"/>
  <c r="AM22" i="44" s="1"/>
  <c r="BJ19" i="49" s="1"/>
  <c r="E124" i="19"/>
  <c r="G124" s="1"/>
  <c r="AL22" i="44" s="1"/>
  <c r="BI19" i="49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V22" i="44" s="1"/>
  <c r="Y19" i="49" s="1"/>
  <c r="E82" i="19"/>
  <c r="G82" s="1"/>
  <c r="T22" i="44" s="1"/>
  <c r="W19" i="49" s="1"/>
  <c r="E81" i="19"/>
  <c r="G81" s="1"/>
  <c r="S22" i="44" s="1"/>
  <c r="V19" i="49" s="1"/>
  <c r="E80" i="19"/>
  <c r="G80" s="1"/>
  <c r="R22" i="44" s="1"/>
  <c r="U19" i="49" s="1"/>
  <c r="E79" i="19"/>
  <c r="G79" s="1"/>
  <c r="Q22" i="44" s="1"/>
  <c r="T19" i="49" s="1"/>
  <c r="E78" i="19"/>
  <c r="G78" s="1"/>
  <c r="P22" i="44" s="1"/>
  <c r="S19" i="49" s="1"/>
  <c r="E77" i="19"/>
  <c r="G77" s="1"/>
  <c r="O22" i="44" s="1"/>
  <c r="R19" i="49" s="1"/>
  <c r="E76" i="19"/>
  <c r="G76" s="1"/>
  <c r="N22" i="44" s="1"/>
  <c r="Q19" i="49" s="1"/>
  <c r="E75" i="19"/>
  <c r="G75" s="1"/>
  <c r="M22" i="44" s="1"/>
  <c r="P19" i="49" s="1"/>
  <c r="E74" i="19"/>
  <c r="G74" s="1"/>
  <c r="L22" i="44" s="1"/>
  <c r="O19" i="49" s="1"/>
  <c r="E73" i="19"/>
  <c r="G73" s="1"/>
  <c r="K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E139"/>
  <c r="E138"/>
  <c r="G138" s="1"/>
  <c r="E137"/>
  <c r="G137" s="1"/>
  <c r="E136"/>
  <c r="G136" s="1"/>
  <c r="AR21" i="44" s="1"/>
  <c r="E135" i="18"/>
  <c r="E134"/>
  <c r="G134" s="1"/>
  <c r="E133"/>
  <c r="E132"/>
  <c r="E131"/>
  <c r="G131" s="1"/>
  <c r="E130"/>
  <c r="G130" s="1"/>
  <c r="E127"/>
  <c r="G127" s="1"/>
  <c r="AO21" i="44" s="1"/>
  <c r="BL18" i="49" s="1"/>
  <c r="E126" i="18"/>
  <c r="G126" s="1"/>
  <c r="AN21" i="44" s="1"/>
  <c r="BK18" i="49" s="1"/>
  <c r="E125" i="18"/>
  <c r="G125" s="1"/>
  <c r="AM21" i="44" s="1"/>
  <c r="BJ18" i="49" s="1"/>
  <c r="E124" i="18"/>
  <c r="G124" s="1"/>
  <c r="AL21" i="44" s="1"/>
  <c r="BI18" i="49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V21" i="44" s="1"/>
  <c r="Y18" i="49" s="1"/>
  <c r="E82" i="18"/>
  <c r="G82" s="1"/>
  <c r="T21" i="44" s="1"/>
  <c r="W18" i="49" s="1"/>
  <c r="E81" i="18"/>
  <c r="G81" s="1"/>
  <c r="S21" i="44" s="1"/>
  <c r="V18" i="49" s="1"/>
  <c r="E80" i="18"/>
  <c r="G80" s="1"/>
  <c r="R21" i="44" s="1"/>
  <c r="U18" i="49" s="1"/>
  <c r="E79" i="18"/>
  <c r="G79" s="1"/>
  <c r="Q21" i="44" s="1"/>
  <c r="T18" i="49" s="1"/>
  <c r="E78" i="18"/>
  <c r="G78" s="1"/>
  <c r="P21" i="44" s="1"/>
  <c r="S18" i="49" s="1"/>
  <c r="E77" i="18"/>
  <c r="G77" s="1"/>
  <c r="O21" i="44" s="1"/>
  <c r="R18" i="49" s="1"/>
  <c r="E76" i="18"/>
  <c r="G76" s="1"/>
  <c r="N21" i="44" s="1"/>
  <c r="Q18" i="49" s="1"/>
  <c r="E75" i="18"/>
  <c r="G75" s="1"/>
  <c r="M21" i="44" s="1"/>
  <c r="P18" i="49" s="1"/>
  <c r="E74" i="18"/>
  <c r="G74" s="1"/>
  <c r="L21" i="44" s="1"/>
  <c r="O18" i="49" s="1"/>
  <c r="E73" i="18"/>
  <c r="G73" s="1"/>
  <c r="K21" i="44" s="1"/>
  <c r="N18" i="49" s="1"/>
  <c r="E72" i="18"/>
  <c r="G72" s="1"/>
  <c r="E69"/>
  <c r="E68"/>
  <c r="E67"/>
  <c r="E66"/>
  <c r="E65"/>
  <c r="E64"/>
  <c r="E63"/>
  <c r="E62"/>
  <c r="E58"/>
  <c r="G58" s="1"/>
  <c r="U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O20" i="44" s="1"/>
  <c r="BL17" i="49" s="1"/>
  <c r="E126" i="17"/>
  <c r="G126" s="1"/>
  <c r="AN20" i="44" s="1"/>
  <c r="BK17" i="49" s="1"/>
  <c r="E125" i="17"/>
  <c r="G125" s="1"/>
  <c r="AM20" i="44" s="1"/>
  <c r="BJ17" i="49" s="1"/>
  <c r="E124" i="17"/>
  <c r="G124" s="1"/>
  <c r="AL20" i="44" s="1"/>
  <c r="BI17" i="49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V20" i="44" s="1"/>
  <c r="Y17" i="49" s="1"/>
  <c r="E82" i="17"/>
  <c r="G82" s="1"/>
  <c r="T20" i="44" s="1"/>
  <c r="W17" i="49" s="1"/>
  <c r="E81" i="17"/>
  <c r="G81" s="1"/>
  <c r="S20" i="44" s="1"/>
  <c r="V17" i="49" s="1"/>
  <c r="E80" i="17"/>
  <c r="G80" s="1"/>
  <c r="R20" i="44" s="1"/>
  <c r="U17" i="49" s="1"/>
  <c r="E79" i="17"/>
  <c r="G79" s="1"/>
  <c r="Q20" i="44" s="1"/>
  <c r="T17" i="49" s="1"/>
  <c r="E78" i="17"/>
  <c r="G78" s="1"/>
  <c r="P20" i="44" s="1"/>
  <c r="S17" i="49" s="1"/>
  <c r="E77" i="17"/>
  <c r="G77" s="1"/>
  <c r="O20" i="44" s="1"/>
  <c r="R17" i="49" s="1"/>
  <c r="E76" i="17"/>
  <c r="G76" s="1"/>
  <c r="N20" i="44" s="1"/>
  <c r="Q17" i="49" s="1"/>
  <c r="E75" i="17"/>
  <c r="G75" s="1"/>
  <c r="M20" i="44" s="1"/>
  <c r="P17" i="49" s="1"/>
  <c r="E74" i="17"/>
  <c r="G74" s="1"/>
  <c r="L20" i="44" s="1"/>
  <c r="O17" i="49" s="1"/>
  <c r="E73" i="17"/>
  <c r="G73" s="1"/>
  <c r="K20" i="44" s="1"/>
  <c r="N17" i="49" s="1"/>
  <c r="G72" i="17"/>
  <c r="J20" i="44" s="1"/>
  <c r="M17" i="49" s="1"/>
  <c r="G69" i="17"/>
  <c r="AH20" i="44" s="1"/>
  <c r="AK17" i="49" s="1"/>
  <c r="G68" i="17"/>
  <c r="AG20" i="44" s="1"/>
  <c r="AJ17" i="49" s="1"/>
  <c r="G67" i="17"/>
  <c r="AF20" i="44" s="1"/>
  <c r="AI17" i="49" s="1"/>
  <c r="G66" i="17"/>
  <c r="AE20" i="44" s="1"/>
  <c r="AH17" i="49" s="1"/>
  <c r="G65" i="17"/>
  <c r="AD20" i="44" s="1"/>
  <c r="AG17" i="49" s="1"/>
  <c r="G63" i="17"/>
  <c r="AB20" i="44" s="1"/>
  <c r="AE17" i="49" s="1"/>
  <c r="G62" i="17"/>
  <c r="AA20" i="44" s="1"/>
  <c r="AD17" i="49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E138"/>
  <c r="G138" s="1"/>
  <c r="E137"/>
  <c r="G137" s="1"/>
  <c r="E136"/>
  <c r="G136" s="1"/>
  <c r="AR19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O19" i="44" s="1"/>
  <c r="BL16" i="49" s="1"/>
  <c r="E126" i="16"/>
  <c r="G126" s="1"/>
  <c r="AN19" i="44" s="1"/>
  <c r="BK16" i="49" s="1"/>
  <c r="E125" i="16"/>
  <c r="G125" s="1"/>
  <c r="AM19" i="44" s="1"/>
  <c r="BJ16" i="49" s="1"/>
  <c r="E124" i="16"/>
  <c r="G124" s="1"/>
  <c r="AL19" i="44" s="1"/>
  <c r="BI16" i="49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V19" i="44" s="1"/>
  <c r="Y16" i="49" s="1"/>
  <c r="E82" i="16"/>
  <c r="G82" s="1"/>
  <c r="T19" i="44" s="1"/>
  <c r="W16" i="49" s="1"/>
  <c r="E81" i="16"/>
  <c r="G81" s="1"/>
  <c r="S19" i="44" s="1"/>
  <c r="V16" i="49" s="1"/>
  <c r="E80" i="16"/>
  <c r="G80" s="1"/>
  <c r="R19" i="44" s="1"/>
  <c r="U16" i="49" s="1"/>
  <c r="E79" i="16"/>
  <c r="G79" s="1"/>
  <c r="Q19" i="44" s="1"/>
  <c r="T16" i="49" s="1"/>
  <c r="E78" i="16"/>
  <c r="G78" s="1"/>
  <c r="P19" i="44" s="1"/>
  <c r="S16" i="49" s="1"/>
  <c r="E77" i="16"/>
  <c r="G77" s="1"/>
  <c r="O19" i="44" s="1"/>
  <c r="R16" i="49" s="1"/>
  <c r="E76" i="16"/>
  <c r="G76" s="1"/>
  <c r="N19" i="44" s="1"/>
  <c r="Q16" i="49" s="1"/>
  <c r="E75" i="16"/>
  <c r="G75" s="1"/>
  <c r="M19" i="44" s="1"/>
  <c r="P16" i="49" s="1"/>
  <c r="E74" i="16"/>
  <c r="G74" s="1"/>
  <c r="L19" i="44" s="1"/>
  <c r="O16" i="49" s="1"/>
  <c r="E73" i="16"/>
  <c r="G73" s="1"/>
  <c r="E72"/>
  <c r="G72" s="1"/>
  <c r="J19" i="44" s="1"/>
  <c r="M16" i="49" s="1"/>
  <c r="G69" i="16"/>
  <c r="G68"/>
  <c r="AG19" i="44" s="1"/>
  <c r="AJ16" i="49" s="1"/>
  <c r="G67" i="16"/>
  <c r="AF19" i="44" s="1"/>
  <c r="AI16" i="49" s="1"/>
  <c r="G66" i="16"/>
  <c r="AE19" i="44" s="1"/>
  <c r="AH16" i="49" s="1"/>
  <c r="G65" i="16"/>
  <c r="AD19" i="44" s="1"/>
  <c r="AG16" i="49" s="1"/>
  <c r="G64" i="16"/>
  <c r="AC19" i="44" s="1"/>
  <c r="AF16" i="49" s="1"/>
  <c r="G63" i="16"/>
  <c r="AB19" i="44" s="1"/>
  <c r="AE16" i="49" s="1"/>
  <c r="G62" i="16"/>
  <c r="AA19" i="44" s="1"/>
  <c r="AD16" i="49" s="1"/>
  <c r="G58" i="16"/>
  <c r="U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E138"/>
  <c r="G138" s="1"/>
  <c r="E137"/>
  <c r="G137" s="1"/>
  <c r="E136"/>
  <c r="G136" s="1"/>
  <c r="AR18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O18" i="44" s="1"/>
  <c r="BL15" i="49" s="1"/>
  <c r="E126" i="15"/>
  <c r="G126" s="1"/>
  <c r="AN18" i="44" s="1"/>
  <c r="BK15" i="49" s="1"/>
  <c r="E125" i="15"/>
  <c r="G125" s="1"/>
  <c r="AM18" i="44" s="1"/>
  <c r="BJ15" i="49" s="1"/>
  <c r="E124" i="15"/>
  <c r="G124" s="1"/>
  <c r="AL18" i="44" s="1"/>
  <c r="BI15" i="49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E138"/>
  <c r="G138" s="1"/>
  <c r="AT17" i="44" s="1"/>
  <c r="E137" i="14"/>
  <c r="G137" s="1"/>
  <c r="E136"/>
  <c r="G136" s="1"/>
  <c r="AR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O17" i="44" s="1"/>
  <c r="BL14" i="49" s="1"/>
  <c r="E126" i="14"/>
  <c r="G126" s="1"/>
  <c r="AN17" i="44" s="1"/>
  <c r="BK14" i="49" s="1"/>
  <c r="E125" i="14"/>
  <c r="G125" s="1"/>
  <c r="AM17" i="44" s="1"/>
  <c r="BJ14" i="49" s="1"/>
  <c r="E124" i="14"/>
  <c r="G124" s="1"/>
  <c r="AL17" i="44" s="1"/>
  <c r="BI14" i="49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E130" i="11"/>
  <c r="G130" s="1"/>
  <c r="E123"/>
  <c r="G123" s="1"/>
  <c r="AK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AG13" i="44"/>
  <c r="AJ10" i="49" s="1"/>
  <c r="AF13" i="44"/>
  <c r="AI10" i="49" s="1"/>
  <c r="AE13" i="44"/>
  <c r="AH10" i="49" s="1"/>
  <c r="AD13" i="44"/>
  <c r="AG10" i="49" s="1"/>
  <c r="AC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R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G69" i="9"/>
  <c r="G68"/>
  <c r="AG12" i="44" s="1"/>
  <c r="AJ9" i="49" s="1"/>
  <c r="G67" i="9"/>
  <c r="AF12" i="44" s="1"/>
  <c r="AI9" i="49" s="1"/>
  <c r="G66" i="9"/>
  <c r="AE12" i="44" s="1"/>
  <c r="AH9" i="49" s="1"/>
  <c r="G65" i="9"/>
  <c r="AD12" i="44" s="1"/>
  <c r="AG9" i="49" s="1"/>
  <c r="G63" i="9"/>
  <c r="AB12" i="44" s="1"/>
  <c r="AE9" i="49" s="1"/>
  <c r="E62" i="9"/>
  <c r="G62" s="1"/>
  <c r="AA12" i="44" s="1"/>
  <c r="AD9" i="49" s="1"/>
  <c r="E58" i="9"/>
  <c r="G58" s="1"/>
  <c r="U12" i="44" s="1"/>
  <c r="X9" i="49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E140" i="7"/>
  <c r="G140" s="1"/>
  <c r="E139"/>
  <c r="G139" s="1"/>
  <c r="E138"/>
  <c r="G138" s="1"/>
  <c r="E137"/>
  <c r="G137" s="1"/>
  <c r="AS10" i="44" s="1"/>
  <c r="E136" i="7"/>
  <c r="G136" s="1"/>
  <c r="AR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O10" i="44" s="1"/>
  <c r="BL7" i="49" s="1"/>
  <c r="E126" i="7"/>
  <c r="G126" s="1"/>
  <c r="AN10" i="44" s="1"/>
  <c r="BK7" i="49" s="1"/>
  <c r="E125" i="7"/>
  <c r="G125" s="1"/>
  <c r="AM10" i="44" s="1"/>
  <c r="BJ7" i="49" s="1"/>
  <c r="E124" i="7"/>
  <c r="G124" s="1"/>
  <c r="AL10" i="44" s="1"/>
  <c r="BI7" i="49" s="1"/>
  <c r="E123" i="7"/>
  <c r="G123" s="1"/>
  <c r="E100"/>
  <c r="G100" s="1"/>
  <c r="E99"/>
  <c r="G99" s="1"/>
  <c r="E98"/>
  <c r="G98" s="1"/>
  <c r="I12" i="45" s="1"/>
  <c r="I26" s="1"/>
  <c r="G97" i="7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U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G12"/>
  <c r="G11"/>
  <c r="G10"/>
  <c r="G9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R9" i="44" s="1"/>
  <c r="E137" i="33"/>
  <c r="G137" s="1"/>
  <c r="E138"/>
  <c r="G138" s="1"/>
  <c r="E139"/>
  <c r="G139" s="1"/>
  <c r="E140"/>
  <c r="G140" s="1"/>
  <c r="E130"/>
  <c r="G130" s="1"/>
  <c r="E124"/>
  <c r="G124" s="1"/>
  <c r="AL9" i="44" s="1"/>
  <c r="BI6" i="49" s="1"/>
  <c r="E125" i="33"/>
  <c r="G125" s="1"/>
  <c r="AM9" i="44" s="1"/>
  <c r="BJ6" i="49" s="1"/>
  <c r="E126" i="33"/>
  <c r="G126" s="1"/>
  <c r="AN9" i="44" s="1"/>
  <c r="BK6" i="49" s="1"/>
  <c r="E127" i="33"/>
  <c r="G127" s="1"/>
  <c r="AO9" i="44" s="1"/>
  <c r="BL6" i="49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U9" i="44" s="1"/>
  <c r="X6" i="49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G11" s="1"/>
  <c r="E12"/>
  <c r="G12" s="1"/>
  <c r="E9"/>
  <c r="G9" s="1"/>
  <c r="E7"/>
  <c r="AC7" i="1"/>
  <c r="AR8" i="44"/>
  <c r="AS8"/>
  <c r="AL8"/>
  <c r="BI5" i="49" s="1"/>
  <c r="AM8" i="44"/>
  <c r="BJ5" i="49" s="1"/>
  <c r="AN8" i="44"/>
  <c r="BK5" i="49" s="1"/>
  <c r="AO8" i="44"/>
  <c r="BL5" i="49" s="1"/>
  <c r="G8" i="45"/>
  <c r="G28" s="1"/>
  <c r="G12"/>
  <c r="G26" s="1"/>
  <c r="G7"/>
  <c r="BC7" i="1"/>
  <c r="BE7"/>
  <c r="BF7"/>
  <c r="BH7"/>
  <c r="U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C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S6" i="44"/>
  <c r="AR6"/>
  <c r="AD5" i="1"/>
  <c r="AB5"/>
  <c r="AO6" i="44"/>
  <c r="BL3" i="49" s="1"/>
  <c r="AN6" i="44"/>
  <c r="BK3" i="49" s="1"/>
  <c r="AM6" i="44"/>
  <c r="BJ3" i="49" s="1"/>
  <c r="AL6" i="44"/>
  <c r="BI3" i="49" s="1"/>
  <c r="E12" i="45"/>
  <c r="E26" s="1"/>
  <c r="E8"/>
  <c r="E28" s="1"/>
  <c r="E7"/>
  <c r="AA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R5" i="44"/>
  <c r="AB4" i="1"/>
  <c r="I5" i="44"/>
  <c r="L2" i="49" s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E33" i="44" l="1"/>
  <c r="AQ16"/>
  <c r="E8"/>
  <c r="H5" i="49" s="1"/>
  <c r="AQ26" i="44"/>
  <c r="G10"/>
  <c r="J7" i="49" s="1"/>
  <c r="C25" i="44"/>
  <c r="F22" i="49" s="1"/>
  <c r="A6" i="46"/>
  <c r="O7" i="23"/>
  <c r="B8" i="44"/>
  <c r="E5" i="49" s="1"/>
  <c r="D8" i="44"/>
  <c r="G5" i="49" s="1"/>
  <c r="BD7" i="1"/>
  <c r="G9" i="44"/>
  <c r="J6" i="49" s="1"/>
  <c r="H12" i="44"/>
  <c r="K9" i="49" s="1"/>
  <c r="B18" i="44"/>
  <c r="E15" i="49" s="1"/>
  <c r="G18" i="44"/>
  <c r="J15" i="49" s="1"/>
  <c r="B19" i="44"/>
  <c r="E16" i="49" s="1"/>
  <c r="I24" i="44"/>
  <c r="L21" i="49" s="1"/>
  <c r="L44" i="21"/>
  <c r="D27" i="44"/>
  <c r="G24" i="49" s="1"/>
  <c r="H31" i="44"/>
  <c r="K28" i="49" s="1"/>
  <c r="B32" i="44"/>
  <c r="E29" i="49" s="1"/>
  <c r="G20" i="44"/>
  <c r="J17" i="49" s="1"/>
  <c r="C15" i="44"/>
  <c r="F12" i="49" s="1"/>
  <c r="AQ29" i="44"/>
  <c r="E25"/>
  <c r="H22" i="49" s="1"/>
  <c r="F9" i="44"/>
  <c r="I6" i="49" s="1"/>
  <c r="C18" i="44"/>
  <c r="F15" i="49" s="1"/>
  <c r="C19" i="44"/>
  <c r="F16" i="49" s="1"/>
  <c r="D21" i="44"/>
  <c r="G18" i="49" s="1"/>
  <c r="F5" i="45"/>
  <c r="H23" i="44"/>
  <c r="K20" i="49" s="1"/>
  <c r="D25" i="44"/>
  <c r="G22" i="49" s="1"/>
  <c r="I15" i="44"/>
  <c r="L12" i="49" s="1"/>
  <c r="G6" i="44"/>
  <c r="J3" i="49" s="1"/>
  <c r="I30" i="44"/>
  <c r="L27" i="49" s="1"/>
  <c r="E19" i="44"/>
  <c r="I9"/>
  <c r="L6" i="49" s="1"/>
  <c r="E10" i="44"/>
  <c r="H7" i="49" s="1"/>
  <c r="H10" i="44"/>
  <c r="K7" i="49" s="1"/>
  <c r="E12" i="44"/>
  <c r="H9" i="49" s="1"/>
  <c r="E23" i="44"/>
  <c r="H20" i="49" s="1"/>
  <c r="B24" i="44"/>
  <c r="E21" i="49" s="1"/>
  <c r="G24" i="44"/>
  <c r="J21" i="49" s="1"/>
  <c r="O19" i="23"/>
  <c r="C27" i="44"/>
  <c r="F24" i="49" s="1"/>
  <c r="E31" i="44"/>
  <c r="H28" i="49" s="1"/>
  <c r="B31" i="44"/>
  <c r="E28" i="49" s="1"/>
  <c r="G32" i="44"/>
  <c r="J29" i="49" s="1"/>
  <c r="E32" i="44"/>
  <c r="H29" i="49" s="1"/>
  <c r="I7" i="44"/>
  <c r="L4" i="49" s="1"/>
  <c r="D15" i="44"/>
  <c r="G12" i="49" s="1"/>
  <c r="I14" i="44"/>
  <c r="L11" i="49" s="1"/>
  <c r="H6" i="44"/>
  <c r="K3" i="49" s="1"/>
  <c r="B29" i="44"/>
  <c r="E26" i="49" s="1"/>
  <c r="B30" i="44"/>
  <c r="E27" i="49" s="1"/>
  <c r="H9" i="44"/>
  <c r="K6" i="49" s="1"/>
  <c r="B16" i="44"/>
  <c r="E13" i="49" s="1"/>
  <c r="B20" i="44"/>
  <c r="E17" i="49" s="1"/>
  <c r="L55" i="21"/>
  <c r="O18" i="23"/>
  <c r="C9" i="44"/>
  <c r="F6" i="49" s="1"/>
  <c r="D10" i="44"/>
  <c r="G7" i="49" s="1"/>
  <c r="D12" i="44"/>
  <c r="G9" i="49" s="1"/>
  <c r="F18" i="44"/>
  <c r="I15" i="49" s="1"/>
  <c r="G19" i="44"/>
  <c r="J16" i="49" s="1"/>
  <c r="G26" i="44"/>
  <c r="J23" i="49" s="1"/>
  <c r="I27" i="44"/>
  <c r="L24" i="49" s="1"/>
  <c r="D31" i="44"/>
  <c r="G28" i="49" s="1"/>
  <c r="H20" i="44"/>
  <c r="K17" i="49" s="1"/>
  <c r="H11" i="44"/>
  <c r="K8" i="49" s="1"/>
  <c r="E15" i="44"/>
  <c r="H12" i="49" s="1"/>
  <c r="B33" i="44"/>
  <c r="G33"/>
  <c r="F20"/>
  <c r="I17" i="49" s="1"/>
  <c r="A5" i="46"/>
  <c r="I16" i="44"/>
  <c r="L13" i="49" s="1"/>
  <c r="F8" i="44"/>
  <c r="I5" i="49" s="1"/>
  <c r="D9" i="44"/>
  <c r="G6" i="49" s="1"/>
  <c r="C10" i="44"/>
  <c r="F7" i="49" s="1"/>
  <c r="C12" i="44"/>
  <c r="F9" i="49" s="1"/>
  <c r="H18" i="44"/>
  <c r="K15" i="49" s="1"/>
  <c r="F19" i="44"/>
  <c r="D22"/>
  <c r="G19" i="49" s="1"/>
  <c r="C23" i="44"/>
  <c r="F20" i="49" s="1"/>
  <c r="O15" i="23"/>
  <c r="B27" i="44"/>
  <c r="E24" i="49" s="1"/>
  <c r="G27" i="44"/>
  <c r="J24" i="49" s="1"/>
  <c r="C31" i="44"/>
  <c r="F28" i="49" s="1"/>
  <c r="F32" i="44"/>
  <c r="I29" i="49" s="1"/>
  <c r="I20" i="44"/>
  <c r="L17" i="49" s="1"/>
  <c r="G25" i="44"/>
  <c r="J22" i="49" s="1"/>
  <c r="D7" i="44"/>
  <c r="G4" i="49" s="1"/>
  <c r="F11" i="44"/>
  <c r="I8" i="49" s="1"/>
  <c r="D14" i="44"/>
  <c r="G11" i="49" s="1"/>
  <c r="E6" i="44"/>
  <c r="H3" i="49" s="1"/>
  <c r="I6" i="44"/>
  <c r="L3" i="49" s="1"/>
  <c r="F24" i="44"/>
  <c r="I21" i="49" s="1"/>
  <c r="I11" i="44"/>
  <c r="L8" i="49" s="1"/>
  <c r="G15" i="44"/>
  <c r="J12" i="49" s="1"/>
  <c r="I8" i="44"/>
  <c r="L5" i="49" s="1"/>
  <c r="I32" i="44"/>
  <c r="L29" i="49" s="1"/>
  <c r="B9" i="44"/>
  <c r="E6" i="49" s="1"/>
  <c r="E9" i="44"/>
  <c r="H6" i="49" s="1"/>
  <c r="I10" i="44"/>
  <c r="L7" i="49" s="1"/>
  <c r="I12" i="44"/>
  <c r="L9" i="49" s="1"/>
  <c r="B15" i="44"/>
  <c r="E12" i="49" s="1"/>
  <c r="E18" i="44"/>
  <c r="H15" i="49" s="1"/>
  <c r="I23" i="44"/>
  <c r="L20" i="49" s="1"/>
  <c r="H24" i="44"/>
  <c r="K21" i="49" s="1"/>
  <c r="H29" i="44"/>
  <c r="K26" i="49" s="1"/>
  <c r="H30" i="44"/>
  <c r="K27" i="49" s="1"/>
  <c r="I31" i="44"/>
  <c r="L28" i="49" s="1"/>
  <c r="H32" i="44"/>
  <c r="K29" i="49" s="1"/>
  <c r="L44" i="22"/>
  <c r="H25" i="44"/>
  <c r="K22" i="49" s="1"/>
  <c r="H14" i="44"/>
  <c r="K11" i="49" s="1"/>
  <c r="F15" i="44"/>
  <c r="I12" i="49" s="1"/>
  <c r="D6" i="44"/>
  <c r="G3" i="49" s="1"/>
  <c r="D24" i="44"/>
  <c r="G21" i="49" s="1"/>
  <c r="O10" i="23"/>
  <c r="H27" i="44"/>
  <c r="K24" i="49" s="1"/>
  <c r="I18" i="44"/>
  <c r="L15" i="49" s="1"/>
  <c r="H8" i="44"/>
  <c r="K5" i="49" s="1"/>
  <c r="B10" i="44"/>
  <c r="E7" i="49" s="1"/>
  <c r="B12" i="44"/>
  <c r="E9" i="49" s="1"/>
  <c r="G12" i="44"/>
  <c r="J9" i="49" s="1"/>
  <c r="O9" i="12"/>
  <c r="H16" i="44"/>
  <c r="K13" i="49" s="1"/>
  <c r="H17" i="44"/>
  <c r="K14" i="49" s="1"/>
  <c r="D18" i="44"/>
  <c r="G15" i="49" s="1"/>
  <c r="B23" i="44"/>
  <c r="E20" i="49" s="1"/>
  <c r="G23" i="44"/>
  <c r="J20" i="49" s="1"/>
  <c r="E24" i="44"/>
  <c r="H21" i="49" s="1"/>
  <c r="O44" i="23"/>
  <c r="F27" i="44"/>
  <c r="I24" i="49" s="1"/>
  <c r="G31" i="44"/>
  <c r="J28" i="49" s="1"/>
  <c r="D32" i="44"/>
  <c r="G29" i="49" s="1"/>
  <c r="I17" i="44"/>
  <c r="L14" i="49" s="1"/>
  <c r="D20" i="44"/>
  <c r="G17" i="49" s="1"/>
  <c r="I25" i="44"/>
  <c r="L22" i="49" s="1"/>
  <c r="H7" i="44"/>
  <c r="K4" i="49" s="1"/>
  <c r="C6" i="44"/>
  <c r="F3" i="49" s="1"/>
  <c r="I29" i="44"/>
  <c r="L26" i="49" s="1"/>
  <c r="AQ33" i="44"/>
  <c r="F5"/>
  <c r="I2" i="49" s="1"/>
  <c r="AQ8" i="44"/>
  <c r="D19"/>
  <c r="BI18" i="1"/>
  <c r="H19" i="44"/>
  <c r="K16" i="49" s="1"/>
  <c r="I22" i="44"/>
  <c r="L19" i="49" s="1"/>
  <c r="I21" i="44"/>
  <c r="L18" i="49" s="1"/>
  <c r="AL22" i="1"/>
  <c r="AQ23" i="44"/>
  <c r="O35" i="23"/>
  <c r="B26" i="44"/>
  <c r="E23" i="49" s="1"/>
  <c r="AL13" i="1"/>
  <c r="AQ14" i="44"/>
  <c r="BD19" i="1"/>
  <c r="E20" i="44"/>
  <c r="H17" i="49" s="1"/>
  <c r="G11" i="44"/>
  <c r="J8" i="49" s="1"/>
  <c r="B11" i="44"/>
  <c r="E8" i="49" s="1"/>
  <c r="G16" i="44"/>
  <c r="J13" i="49" s="1"/>
  <c r="G5" i="44"/>
  <c r="J2" i="49" s="1"/>
  <c r="AQ6" i="44"/>
  <c r="B14"/>
  <c r="E11" i="49" s="1"/>
  <c r="AL16" i="1"/>
  <c r="AQ17" i="44"/>
  <c r="B25"/>
  <c r="E22" i="49" s="1"/>
  <c r="O36" i="23"/>
  <c r="I26" i="44"/>
  <c r="L23" i="49" s="1"/>
  <c r="F33" i="44"/>
  <c r="G17"/>
  <c r="J14" i="49" s="1"/>
  <c r="C20" i="44"/>
  <c r="F17" i="49" s="1"/>
  <c r="E7" i="44"/>
  <c r="H4" i="49" s="1"/>
  <c r="F16" i="44"/>
  <c r="I13" i="49" s="1"/>
  <c r="E14" i="44"/>
  <c r="H11" i="49" s="1"/>
  <c r="F30" i="44"/>
  <c r="I27" i="49" s="1"/>
  <c r="G29" i="44"/>
  <c r="J26" i="49" s="1"/>
  <c r="AL30" i="1"/>
  <c r="AQ31" i="44"/>
  <c r="AL17" i="1"/>
  <c r="AQ18" i="44"/>
  <c r="O37" i="23"/>
  <c r="C26" i="44"/>
  <c r="F23" i="49" s="1"/>
  <c r="AL18" i="1"/>
  <c r="AL36" s="1"/>
  <c r="AQ19" i="44"/>
  <c r="H21"/>
  <c r="K18" i="49" s="1"/>
  <c r="H22" i="44"/>
  <c r="K19" i="49" s="1"/>
  <c r="O38" i="23"/>
  <c r="D26" i="44"/>
  <c r="G23" i="49" s="1"/>
  <c r="F17" i="44"/>
  <c r="I14" i="49" s="1"/>
  <c r="C7" i="44"/>
  <c r="F4" i="49" s="1"/>
  <c r="E16" i="44"/>
  <c r="H13" i="49" s="1"/>
  <c r="C14" i="44"/>
  <c r="F11" i="49" s="1"/>
  <c r="E30" i="44"/>
  <c r="H27" i="49" s="1"/>
  <c r="F29" i="44"/>
  <c r="I26" i="49" s="1"/>
  <c r="AL9" i="1"/>
  <c r="AQ10" i="44"/>
  <c r="F22"/>
  <c r="I19" i="49" s="1"/>
  <c r="AL24" i="1"/>
  <c r="AQ25" i="44"/>
  <c r="O39" i="23"/>
  <c r="E26" i="44"/>
  <c r="H23" i="49" s="1"/>
  <c r="O50" i="23"/>
  <c r="H26" i="44"/>
  <c r="K23" i="49" s="1"/>
  <c r="AL28" i="1"/>
  <c r="AQ27" i="44"/>
  <c r="L41" i="22"/>
  <c r="F25" i="44"/>
  <c r="I22" i="49" s="1"/>
  <c r="E11" i="44"/>
  <c r="H8" i="49" s="1"/>
  <c r="D16" i="44"/>
  <c r="G13" i="49" s="1"/>
  <c r="F6" i="44"/>
  <c r="I3" i="49" s="1"/>
  <c r="D30" i="44"/>
  <c r="G27" i="49" s="1"/>
  <c r="D5" i="44"/>
  <c r="G2" i="49" s="1"/>
  <c r="B5" i="44"/>
  <c r="E2" i="49" s="1"/>
  <c r="E17" i="44"/>
  <c r="H14" i="49" s="1"/>
  <c r="G8" i="44"/>
  <c r="J5" i="49" s="1"/>
  <c r="G7" i="44"/>
  <c r="J4" i="49" s="1"/>
  <c r="B7" i="44"/>
  <c r="E4" i="49" s="1"/>
  <c r="D11" i="44"/>
  <c r="G8" i="49" s="1"/>
  <c r="C16" i="44"/>
  <c r="F13" i="49" s="1"/>
  <c r="G14" i="44"/>
  <c r="J11" i="49" s="1"/>
  <c r="C30" i="44"/>
  <c r="F27" i="49" s="1"/>
  <c r="E29" i="44"/>
  <c r="H26" i="49" s="1"/>
  <c r="AQ5" i="44"/>
  <c r="E5"/>
  <c r="H2" i="49" s="1"/>
  <c r="H5" i="44"/>
  <c r="K2" i="49" s="1"/>
  <c r="AQ9" i="44"/>
  <c r="F10"/>
  <c r="I7" i="49" s="1"/>
  <c r="F12" i="44"/>
  <c r="I9" i="49" s="1"/>
  <c r="B17" i="44"/>
  <c r="E14" i="49" s="1"/>
  <c r="AZ18" i="1"/>
  <c r="I19" i="44"/>
  <c r="L16" i="49" s="1"/>
  <c r="C21" i="44"/>
  <c r="F18" i="49" s="1"/>
  <c r="G22" i="44"/>
  <c r="J19" i="49" s="1"/>
  <c r="C24" i="44"/>
  <c r="F21" i="49" s="1"/>
  <c r="AL23" i="1"/>
  <c r="AQ24" i="44"/>
  <c r="O41" i="23"/>
  <c r="F26" i="44"/>
  <c r="I23" i="49" s="1"/>
  <c r="E27" i="44"/>
  <c r="H24" i="49" s="1"/>
  <c r="AL29" i="1"/>
  <c r="AQ30" i="44"/>
  <c r="F31"/>
  <c r="I28" i="49" s="1"/>
  <c r="AL31" i="1"/>
  <c r="AQ32" i="44"/>
  <c r="D33"/>
  <c r="D17"/>
  <c r="G14" i="49" s="1"/>
  <c r="C8" i="44"/>
  <c r="F5" i="49" s="1"/>
  <c r="AL10" i="1"/>
  <c r="AQ11" i="44"/>
  <c r="C11"/>
  <c r="F8" i="49" s="1"/>
  <c r="AQ15" i="44"/>
  <c r="D29"/>
  <c r="G26" i="49" s="1"/>
  <c r="F34" i="44"/>
  <c r="BG33" i="1"/>
  <c r="G34" i="44"/>
  <c r="AL6" i="1"/>
  <c r="AQ7" i="44"/>
  <c r="AL11" i="1"/>
  <c r="AQ12" i="44"/>
  <c r="C37"/>
  <c r="AL19" i="1"/>
  <c r="AQ20" i="44"/>
  <c r="C32"/>
  <c r="F29" i="49" s="1"/>
  <c r="C17" i="44"/>
  <c r="F14" i="49" s="1"/>
  <c r="F14" i="44"/>
  <c r="I11" i="49" s="1"/>
  <c r="B6" i="44"/>
  <c r="E3" i="49" s="1"/>
  <c r="G30" i="44"/>
  <c r="J27" i="49" s="1"/>
  <c r="C29" i="44"/>
  <c r="F26" i="49" s="1"/>
  <c r="G24" i="9"/>
  <c r="G13"/>
  <c r="I13" s="1"/>
  <c r="F118" i="29"/>
  <c r="N118" s="1"/>
  <c r="AB6" i="44"/>
  <c r="AE3" i="49" s="1"/>
  <c r="AA8" i="44"/>
  <c r="AD5" i="49" s="1"/>
  <c r="AE8" i="44"/>
  <c r="AH5" i="49" s="1"/>
  <c r="G68" i="33"/>
  <c r="AG9" i="44" s="1"/>
  <c r="AJ6" i="49" s="1"/>
  <c r="E170" i="33"/>
  <c r="G170" s="1"/>
  <c r="G64"/>
  <c r="AC9" i="44" s="1"/>
  <c r="AF6" i="49" s="1"/>
  <c r="E166" i="33"/>
  <c r="G166" s="1"/>
  <c r="G62" i="7"/>
  <c r="AA10" i="44" s="1"/>
  <c r="AD7" i="49" s="1"/>
  <c r="G164" i="7"/>
  <c r="G66"/>
  <c r="AE10" i="44" s="1"/>
  <c r="AH7" i="49" s="1"/>
  <c r="G168" i="7"/>
  <c r="G136" i="17"/>
  <c r="AR20" i="44" s="1"/>
  <c r="AD7"/>
  <c r="AG4" i="49" s="1"/>
  <c r="E170" i="12"/>
  <c r="G170" s="1"/>
  <c r="E165"/>
  <c r="G165" s="1"/>
  <c r="AF6" i="44"/>
  <c r="AI3" i="49" s="1"/>
  <c r="AE6" i="44"/>
  <c r="AH3" i="49" s="1"/>
  <c r="AF8" i="44"/>
  <c r="AI5" i="49" s="1"/>
  <c r="AB8" i="44"/>
  <c r="AE5" i="49" s="1"/>
  <c r="G69" i="33"/>
  <c r="AH9" i="44" s="1"/>
  <c r="AK6" i="49" s="1"/>
  <c r="E171" i="33"/>
  <c r="G171" s="1"/>
  <c r="G65"/>
  <c r="AD9" i="44" s="1"/>
  <c r="AG6" i="49" s="1"/>
  <c r="E167" i="33"/>
  <c r="G167" s="1"/>
  <c r="G65" i="7"/>
  <c r="AD10" i="44" s="1"/>
  <c r="AG7" i="49" s="1"/>
  <c r="G167" i="7"/>
  <c r="G69"/>
  <c r="AH10" i="44" s="1"/>
  <c r="AK7" i="49" s="1"/>
  <c r="G171" i="7"/>
  <c r="AA7" i="44"/>
  <c r="AD4" i="49" s="1"/>
  <c r="E166" i="12"/>
  <c r="G166" s="1"/>
  <c r="AD6" i="44"/>
  <c r="AG3" i="49" s="1"/>
  <c r="AG8" i="44"/>
  <c r="AJ5" i="49" s="1"/>
  <c r="AC8" i="44"/>
  <c r="AF5" i="49" s="1"/>
  <c r="G62" i="33"/>
  <c r="AA9" i="44" s="1"/>
  <c r="AD6" i="49" s="1"/>
  <c r="G164" i="33"/>
  <c r="G66"/>
  <c r="AE9" i="44" s="1"/>
  <c r="AH6" i="49" s="1"/>
  <c r="E168" i="33"/>
  <c r="G168" s="1"/>
  <c r="G64" i="7"/>
  <c r="AC10" i="44" s="1"/>
  <c r="AF7" i="49" s="1"/>
  <c r="G166" i="7"/>
  <c r="G68"/>
  <c r="AG10" i="44" s="1"/>
  <c r="AJ7" i="49" s="1"/>
  <c r="G170" i="7"/>
  <c r="AF7" i="44"/>
  <c r="AI4" i="49" s="1"/>
  <c r="AB7" i="44"/>
  <c r="AE4" i="49" s="1"/>
  <c r="E167" i="12"/>
  <c r="G167" s="1"/>
  <c r="AC6" i="44"/>
  <c r="AF3" i="49" s="1"/>
  <c r="AG6" i="44"/>
  <c r="AJ3" i="49" s="1"/>
  <c r="AH8" i="44"/>
  <c r="AK5" i="49" s="1"/>
  <c r="AD8" i="44"/>
  <c r="AG5" i="49" s="1"/>
  <c r="G67" i="33"/>
  <c r="AF9" i="44" s="1"/>
  <c r="AI6" i="49" s="1"/>
  <c r="E169" i="33"/>
  <c r="G169" s="1"/>
  <c r="G63"/>
  <c r="AB9" i="44" s="1"/>
  <c r="AE6" i="49" s="1"/>
  <c r="E165" i="33"/>
  <c r="G165" s="1"/>
  <c r="G63" i="7"/>
  <c r="AB10" i="44" s="1"/>
  <c r="AE7" i="49" s="1"/>
  <c r="G165" i="7"/>
  <c r="G67"/>
  <c r="AF10" i="44" s="1"/>
  <c r="AI7" i="49" s="1"/>
  <c r="G169" i="7"/>
  <c r="AG7" i="44"/>
  <c r="AJ4" i="49" s="1"/>
  <c r="AC7" i="44"/>
  <c r="AF4" i="49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H119" s="1"/>
  <c r="J119" s="1"/>
  <c r="J28" i="44"/>
  <c r="M25" i="49" s="1"/>
  <c r="K28" i="44"/>
  <c r="N25" i="49" s="1"/>
  <c r="J27" i="44"/>
  <c r="M24" i="49" s="1"/>
  <c r="K27" i="44"/>
  <c r="N24" i="49" s="1"/>
  <c r="G7" i="33"/>
  <c r="A7" i="46" s="1"/>
  <c r="G15" i="13"/>
  <c r="M15" i="1" s="1"/>
  <c r="AW33"/>
  <c r="AT33"/>
  <c r="AQ33"/>
  <c r="U30" i="44"/>
  <c r="X27" i="49" s="1"/>
  <c r="U31" i="44"/>
  <c r="X28" i="49" s="1"/>
  <c r="AW30" i="1"/>
  <c r="U29" i="44"/>
  <c r="X26" i="49" s="1"/>
  <c r="O100" i="23"/>
  <c r="G119"/>
  <c r="U17" i="44"/>
  <c r="X14" i="49" s="1"/>
  <c r="U18" i="44"/>
  <c r="X15" i="49" s="1"/>
  <c r="BC17" i="1"/>
  <c r="BC16"/>
  <c r="AW17"/>
  <c r="AW16"/>
  <c r="U6" i="44"/>
  <c r="X3" i="49" s="1"/>
  <c r="AW5" i="1"/>
  <c r="N31" i="29"/>
  <c r="A4" i="46"/>
  <c r="AM5" i="1"/>
  <c r="AM8"/>
  <c r="AM11"/>
  <c r="AO11" s="1"/>
  <c r="G63" i="15"/>
  <c r="AB18" i="44" s="1"/>
  <c r="AE15" i="49" s="1"/>
  <c r="E165" i="15"/>
  <c r="G165" s="1"/>
  <c r="AM18" i="1"/>
  <c r="AM19"/>
  <c r="AO19" s="1"/>
  <c r="G49" i="18"/>
  <c r="B21" i="44" s="1"/>
  <c r="E18" i="49" s="1"/>
  <c r="K49" i="18"/>
  <c r="G62"/>
  <c r="AA21" i="44" s="1"/>
  <c r="AD18" i="49" s="1"/>
  <c r="E164" i="18"/>
  <c r="G164" s="1"/>
  <c r="T28" i="45"/>
  <c r="G135" i="18"/>
  <c r="AD20" i="1" s="1"/>
  <c r="G139" i="18"/>
  <c r="E166" i="19"/>
  <c r="G166"/>
  <c r="G64"/>
  <c r="AC22" i="44" s="1"/>
  <c r="AF19" i="49" s="1"/>
  <c r="E170" i="19"/>
  <c r="G170"/>
  <c r="G133"/>
  <c r="AB21" i="1" s="1"/>
  <c r="G42" i="20"/>
  <c r="AW22" i="1" s="1"/>
  <c r="E169" i="20"/>
  <c r="G169"/>
  <c r="BB23" i="1"/>
  <c r="L51" i="21"/>
  <c r="G62"/>
  <c r="AA24" i="44" s="1"/>
  <c r="AD21" i="49" s="1"/>
  <c r="E164" i="21"/>
  <c r="G164" s="1"/>
  <c r="BG25" i="1"/>
  <c r="O56" i="23"/>
  <c r="G63"/>
  <c r="E165"/>
  <c r="G165" s="1"/>
  <c r="AN26" i="44"/>
  <c r="BK23" i="49" s="1"/>
  <c r="O126" i="23"/>
  <c r="BB24" i="1"/>
  <c r="L51" i="22"/>
  <c r="G63"/>
  <c r="AB25" i="44" s="1"/>
  <c r="AE22" i="49" s="1"/>
  <c r="E165" i="22"/>
  <c r="G165" s="1"/>
  <c r="L165" s="1"/>
  <c r="G63" i="11"/>
  <c r="AB14" i="44" s="1"/>
  <c r="AE11" i="49" s="1"/>
  <c r="G62" i="11"/>
  <c r="AA14" i="44" s="1"/>
  <c r="AD11" i="49" s="1"/>
  <c r="AM17" i="1"/>
  <c r="G42" i="18"/>
  <c r="AW20" i="1" s="1"/>
  <c r="G62" i="19"/>
  <c r="E164"/>
  <c r="G164" s="1"/>
  <c r="E169"/>
  <c r="G169"/>
  <c r="G67"/>
  <c r="AF22" i="44" s="1"/>
  <c r="AI19" i="49" s="1"/>
  <c r="G132" i="19"/>
  <c r="AA21" i="1" s="1"/>
  <c r="G140" i="19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AA33" i="44" s="1"/>
  <c r="E164" i="30"/>
  <c r="G164" s="1"/>
  <c r="G172" s="1"/>
  <c r="BG24" i="1"/>
  <c r="L56" i="22"/>
  <c r="G62" i="43"/>
  <c r="AA34" i="44" s="1"/>
  <c r="E164" i="43"/>
  <c r="G164" s="1"/>
  <c r="AM7" i="1"/>
  <c r="AM16"/>
  <c r="AO16" s="1"/>
  <c r="G133" i="18"/>
  <c r="AB20" i="1" s="1"/>
  <c r="G49" i="19"/>
  <c r="BA21" i="1" s="1"/>
  <c r="K49" i="19"/>
  <c r="E168"/>
  <c r="G66"/>
  <c r="AE22" i="44" s="1"/>
  <c r="AH19" i="49" s="1"/>
  <c r="G168" i="19"/>
  <c r="G135"/>
  <c r="AD21" i="1" s="1"/>
  <c r="G139" i="19"/>
  <c r="E167" i="20"/>
  <c r="G167"/>
  <c r="E171"/>
  <c r="G171"/>
  <c r="BH23" i="1"/>
  <c r="L57" i="21"/>
  <c r="BE25" i="1"/>
  <c r="O54" i="23"/>
  <c r="AL26" i="44"/>
  <c r="BI23" i="49" s="1"/>
  <c r="O124" i="23"/>
  <c r="AC25" i="1"/>
  <c r="O134" i="23"/>
  <c r="AM13" i="1"/>
  <c r="G63" i="14"/>
  <c r="AB17" i="44" s="1"/>
  <c r="AE14" i="49" s="1"/>
  <c r="E165" i="14"/>
  <c r="G165" s="1"/>
  <c r="G63" i="19"/>
  <c r="AB22" i="44" s="1"/>
  <c r="AE19" i="49" s="1"/>
  <c r="E165" i="19"/>
  <c r="G165" s="1"/>
  <c r="BH24" i="1"/>
  <c r="L57" i="22"/>
  <c r="AW6" i="1"/>
  <c r="G63" i="43"/>
  <c r="AB34" i="44" s="1"/>
  <c r="E165" i="43"/>
  <c r="G165" s="1"/>
  <c r="AL33" i="1"/>
  <c r="G128" i="33"/>
  <c r="G62" i="13"/>
  <c r="AA16" i="44" s="1"/>
  <c r="AD13" i="49" s="1"/>
  <c r="E164" i="13"/>
  <c r="G164" s="1"/>
  <c r="G62" i="14"/>
  <c r="AA17" i="44" s="1"/>
  <c r="AD14" i="49" s="1"/>
  <c r="E164" i="14"/>
  <c r="G164" s="1"/>
  <c r="G63" i="18"/>
  <c r="AB21" i="44" s="1"/>
  <c r="AE18" i="49" s="1"/>
  <c r="E165" i="18"/>
  <c r="G165" s="1"/>
  <c r="G132"/>
  <c r="AA20" i="1" s="1"/>
  <c r="E167" i="19"/>
  <c r="G65"/>
  <c r="AD22" i="44" s="1"/>
  <c r="AG19" i="49" s="1"/>
  <c r="G167" i="19"/>
  <c r="G134"/>
  <c r="AC21" i="1" s="1"/>
  <c r="G138" i="19"/>
  <c r="AT22" i="44" s="1"/>
  <c r="E166" i="20"/>
  <c r="G166"/>
  <c r="E170"/>
  <c r="G170"/>
  <c r="BG23" i="1"/>
  <c r="L56" i="21"/>
  <c r="G63"/>
  <c r="AB24" i="44" s="1"/>
  <c r="AE21" i="49" s="1"/>
  <c r="E165" i="21"/>
  <c r="G165" s="1"/>
  <c r="L165" s="1"/>
  <c r="G62" i="22"/>
  <c r="AA25" i="44" s="1"/>
  <c r="AD22" i="49" s="1"/>
  <c r="E164" i="22"/>
  <c r="G164" s="1"/>
  <c r="L164" s="1"/>
  <c r="BH25" i="1"/>
  <c r="O57" i="23"/>
  <c r="AO26" i="44"/>
  <c r="BL23" i="49" s="1"/>
  <c r="O127" i="23"/>
  <c r="P136" i="12"/>
  <c r="AR15" i="44"/>
  <c r="G63" i="13"/>
  <c r="AB16" i="44" s="1"/>
  <c r="AE13" i="49" s="1"/>
  <c r="E165" i="13"/>
  <c r="G165" s="1"/>
  <c r="AM33" i="1"/>
  <c r="BA19"/>
  <c r="AM31"/>
  <c r="AO31" s="1"/>
  <c r="AM30"/>
  <c r="AM29"/>
  <c r="N7" i="40"/>
  <c r="N11" s="1"/>
  <c r="AM26" i="1"/>
  <c r="AM25"/>
  <c r="O140" i="23"/>
  <c r="AT26" i="44"/>
  <c r="O138" i="23"/>
  <c r="AR26" i="44"/>
  <c r="O136" i="23"/>
  <c r="AB25" i="1"/>
  <c r="O133" i="23"/>
  <c r="AA25" i="1"/>
  <c r="O132" i="23"/>
  <c r="AM26" i="44"/>
  <c r="BJ23" i="49" s="1"/>
  <c r="O125" i="23"/>
  <c r="Y12" i="45"/>
  <c r="Y26" s="1"/>
  <c r="O98" i="23"/>
  <c r="Y8" i="45"/>
  <c r="Y28" s="1"/>
  <c r="O95" i="23"/>
  <c r="Y7" i="45"/>
  <c r="O92" i="23"/>
  <c r="V26" i="44"/>
  <c r="Y23" i="49" s="1"/>
  <c r="O83" i="23"/>
  <c r="T26" i="44"/>
  <c r="W23" i="49" s="1"/>
  <c r="O82" i="23"/>
  <c r="S26" i="44"/>
  <c r="V23" i="49" s="1"/>
  <c r="O81" i="23"/>
  <c r="R26" i="44"/>
  <c r="U23" i="49" s="1"/>
  <c r="O80" i="23"/>
  <c r="Q26" i="44"/>
  <c r="T23" i="49" s="1"/>
  <c r="O79" i="23"/>
  <c r="P26" i="44"/>
  <c r="S23" i="49" s="1"/>
  <c r="O78" i="23"/>
  <c r="O26" i="44"/>
  <c r="R23" i="49" s="1"/>
  <c r="O77" i="23"/>
  <c r="N26" i="44"/>
  <c r="Q23" i="49" s="1"/>
  <c r="O76" i="23"/>
  <c r="M26" i="44"/>
  <c r="P23" i="49" s="1"/>
  <c r="O75" i="23"/>
  <c r="L26" i="44"/>
  <c r="O23" i="49" s="1"/>
  <c r="O74" i="23"/>
  <c r="K26" i="44"/>
  <c r="N23" i="49" s="1"/>
  <c r="O73" i="23"/>
  <c r="J26" i="44"/>
  <c r="M23" i="49" s="1"/>
  <c r="O72" i="23"/>
  <c r="U26" i="44"/>
  <c r="X23" i="49" s="1"/>
  <c r="O58" i="23"/>
  <c r="BD25" i="1"/>
  <c r="O53" i="23"/>
  <c r="BC25" i="1"/>
  <c r="O52" i="23"/>
  <c r="BA25" i="1"/>
  <c r="O49" i="23"/>
  <c r="AM24" i="1"/>
  <c r="AO24" s="1"/>
  <c r="U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AO22" s="1"/>
  <c r="U23" i="44"/>
  <c r="X20" i="49" s="1"/>
  <c r="U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H22" i="44" s="1"/>
  <c r="AK19" i="49" s="1"/>
  <c r="E171" i="19"/>
  <c r="U16" i="44"/>
  <c r="X13" i="49" s="1"/>
  <c r="G69" i="12"/>
  <c r="P69" s="1"/>
  <c r="G171"/>
  <c r="G69" i="11"/>
  <c r="AH14" i="44" s="1"/>
  <c r="AK11" i="49" s="1"/>
  <c r="G68" i="11"/>
  <c r="AG14" i="44" s="1"/>
  <c r="AJ11" i="49" s="1"/>
  <c r="G67" i="11"/>
  <c r="AF14" i="44" s="1"/>
  <c r="AI11" i="49" s="1"/>
  <c r="G66" i="11"/>
  <c r="AE14" i="44" s="1"/>
  <c r="AH11" i="49" s="1"/>
  <c r="G65" i="11"/>
  <c r="AD14" i="44" s="1"/>
  <c r="AG11" i="49" s="1"/>
  <c r="G64" i="11"/>
  <c r="AC14" i="44" s="1"/>
  <c r="AF11" i="49" s="1"/>
  <c r="F118" i="11"/>
  <c r="BH4" i="1"/>
  <c r="AY4"/>
  <c r="BI4"/>
  <c r="BG4"/>
  <c r="AC5" i="44"/>
  <c r="AF2" i="49" s="1"/>
  <c r="AO5" i="44"/>
  <c r="BL2" i="49" s="1"/>
  <c r="AD5" i="44"/>
  <c r="AG2" i="49" s="1"/>
  <c r="J104" i="10"/>
  <c r="AF5" i="44"/>
  <c r="AI2" i="49" s="1"/>
  <c r="J117" i="10"/>
  <c r="N30" i="31"/>
  <c r="AX4" i="1"/>
  <c r="AB5" i="44"/>
  <c r="AE2" i="49" s="1"/>
  <c r="AM4" i="1"/>
  <c r="U5" i="44"/>
  <c r="X2" i="49" s="1"/>
  <c r="AZ4" i="1"/>
  <c r="AE5" i="44"/>
  <c r="AH2" i="49" s="1"/>
  <c r="AA5" i="44"/>
  <c r="AD2" i="49" s="1"/>
  <c r="AG5" i="44"/>
  <c r="AJ2" i="49" s="1"/>
  <c r="AA4" i="1"/>
  <c r="AT5" i="44"/>
  <c r="J120" i="10"/>
  <c r="J115"/>
  <c r="J5" i="44"/>
  <c r="M2" i="49" s="1"/>
  <c r="G69" i="43"/>
  <c r="AH34" i="44" s="1"/>
  <c r="E171" i="43"/>
  <c r="G171" s="1"/>
  <c r="G68"/>
  <c r="AG34" i="44" s="1"/>
  <c r="E170" i="43"/>
  <c r="G170" s="1"/>
  <c r="G67"/>
  <c r="AF34" i="44" s="1"/>
  <c r="E169" i="43"/>
  <c r="G169" s="1"/>
  <c r="G66"/>
  <c r="AE34" i="44" s="1"/>
  <c r="E168" i="43"/>
  <c r="G168" s="1"/>
  <c r="G65"/>
  <c r="AD34" i="44" s="1"/>
  <c r="E167" i="43"/>
  <c r="G167" s="1"/>
  <c r="G64"/>
  <c r="AC34" i="44" s="1"/>
  <c r="E166" i="43"/>
  <c r="G166" s="1"/>
  <c r="U34" i="44"/>
  <c r="U33"/>
  <c r="G62" i="29"/>
  <c r="AA32" i="44" s="1"/>
  <c r="AD29" i="49" s="1"/>
  <c r="E164" i="29"/>
  <c r="G164" s="1"/>
  <c r="G172" s="1"/>
  <c r="BD31" i="1"/>
  <c r="AW29"/>
  <c r="N42" i="27"/>
  <c r="G62" i="28"/>
  <c r="AA31" i="44" s="1"/>
  <c r="AD28" i="49" s="1"/>
  <c r="E164" i="28"/>
  <c r="G164" s="1"/>
  <c r="G66"/>
  <c r="AE31" i="44" s="1"/>
  <c r="AH28" i="49" s="1"/>
  <c r="E168" i="28"/>
  <c r="G168" s="1"/>
  <c r="G65"/>
  <c r="AD31" i="44" s="1"/>
  <c r="AG28" i="49" s="1"/>
  <c r="E167" i="28"/>
  <c r="G167" s="1"/>
  <c r="G69"/>
  <c r="AH31" i="44" s="1"/>
  <c r="AK28" i="49" s="1"/>
  <c r="E171" i="28"/>
  <c r="G171" s="1"/>
  <c r="G64"/>
  <c r="AC31" i="44" s="1"/>
  <c r="AF28" i="49" s="1"/>
  <c r="E166" i="28"/>
  <c r="G166" s="1"/>
  <c r="G68"/>
  <c r="AG31" i="44" s="1"/>
  <c r="AJ28" i="49" s="1"/>
  <c r="E170" i="28"/>
  <c r="G170" s="1"/>
  <c r="G63"/>
  <c r="AB31" i="44" s="1"/>
  <c r="AE28" i="49" s="1"/>
  <c r="E165" i="28"/>
  <c r="G165" s="1"/>
  <c r="G67"/>
  <c r="AF31" i="44" s="1"/>
  <c r="AI28" i="49" s="1"/>
  <c r="E169" i="28"/>
  <c r="G169" s="1"/>
  <c r="G63" i="27"/>
  <c r="AB30" i="44" s="1"/>
  <c r="AE27" i="49" s="1"/>
  <c r="E165" i="27"/>
  <c r="G165" s="1"/>
  <c r="G67"/>
  <c r="AF30" i="44" s="1"/>
  <c r="AI27" i="49" s="1"/>
  <c r="E169" i="27"/>
  <c r="G169" s="1"/>
  <c r="G62"/>
  <c r="AA30" i="44" s="1"/>
  <c r="AD27" i="49" s="1"/>
  <c r="E164" i="27"/>
  <c r="G164" s="1"/>
  <c r="G66"/>
  <c r="AE30" i="44" s="1"/>
  <c r="AH27" i="49" s="1"/>
  <c r="E168" i="27"/>
  <c r="G168" s="1"/>
  <c r="G65"/>
  <c r="AD30" i="44" s="1"/>
  <c r="AG27" i="49" s="1"/>
  <c r="E167" i="27"/>
  <c r="G167" s="1"/>
  <c r="G69"/>
  <c r="AH30" i="44" s="1"/>
  <c r="AK27" i="49" s="1"/>
  <c r="E171" i="27"/>
  <c r="G171" s="1"/>
  <c r="G64"/>
  <c r="AC30" i="44" s="1"/>
  <c r="AF27" i="49" s="1"/>
  <c r="E166" i="27"/>
  <c r="G166" s="1"/>
  <c r="G68"/>
  <c r="AG30" i="44" s="1"/>
  <c r="AJ27" i="49" s="1"/>
  <c r="E170" i="27"/>
  <c r="G170" s="1"/>
  <c r="G63" i="40"/>
  <c r="AB29" i="44" s="1"/>
  <c r="AE26" i="49" s="1"/>
  <c r="E165" i="40"/>
  <c r="G165" s="1"/>
  <c r="G67"/>
  <c r="AF29" i="44" s="1"/>
  <c r="AI26" i="49" s="1"/>
  <c r="E169" i="40"/>
  <c r="G169" s="1"/>
  <c r="G62"/>
  <c r="AA29" i="44" s="1"/>
  <c r="AD26" i="49" s="1"/>
  <c r="E164" i="40"/>
  <c r="G164" s="1"/>
  <c r="G66"/>
  <c r="AE29" i="44" s="1"/>
  <c r="AH26" i="49" s="1"/>
  <c r="E168" i="40"/>
  <c r="G168" s="1"/>
  <c r="G65"/>
  <c r="AD29" i="44" s="1"/>
  <c r="AG26" i="49" s="1"/>
  <c r="E167" i="40"/>
  <c r="G167" s="1"/>
  <c r="G69"/>
  <c r="AH29" i="44" s="1"/>
  <c r="AK26" i="49" s="1"/>
  <c r="E171" i="40"/>
  <c r="G171" s="1"/>
  <c r="I28" i="1"/>
  <c r="E26" i="47" s="1"/>
  <c r="G64" i="40"/>
  <c r="AC29" i="44" s="1"/>
  <c r="AF26" i="49" s="1"/>
  <c r="E166" i="40"/>
  <c r="G166" s="1"/>
  <c r="G68"/>
  <c r="AG29" i="44" s="1"/>
  <c r="AJ26" i="49" s="1"/>
  <c r="E170" i="40"/>
  <c r="G170" s="1"/>
  <c r="G65" i="24"/>
  <c r="AD27" i="44" s="1"/>
  <c r="AG24" i="49" s="1"/>
  <c r="E167" i="24"/>
  <c r="G167" s="1"/>
  <c r="G69"/>
  <c r="AH27" i="44" s="1"/>
  <c r="AK24" i="49" s="1"/>
  <c r="E171" i="24"/>
  <c r="G171" s="1"/>
  <c r="G64"/>
  <c r="AC27" i="44" s="1"/>
  <c r="AF24" i="49" s="1"/>
  <c r="E166" i="24"/>
  <c r="G166" s="1"/>
  <c r="G68"/>
  <c r="AG27" i="44" s="1"/>
  <c r="AJ24" i="49" s="1"/>
  <c r="E170" i="24"/>
  <c r="G170" s="1"/>
  <c r="G63"/>
  <c r="AB27" i="44" s="1"/>
  <c r="AE24" i="49" s="1"/>
  <c r="E165" i="24"/>
  <c r="G165" s="1"/>
  <c r="G67"/>
  <c r="AF27" i="44" s="1"/>
  <c r="AI24" i="49" s="1"/>
  <c r="E169" i="24"/>
  <c r="G169" s="1"/>
  <c r="G62"/>
  <c r="AA27" i="44" s="1"/>
  <c r="AD24" i="49" s="1"/>
  <c r="E164" i="24"/>
  <c r="G164" s="1"/>
  <c r="G66"/>
  <c r="AE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H25" i="44" s="1"/>
  <c r="AK22" i="49" s="1"/>
  <c r="E171" i="22"/>
  <c r="G171" s="1"/>
  <c r="L171" s="1"/>
  <c r="G68"/>
  <c r="AG25" i="44" s="1"/>
  <c r="AJ22" i="49" s="1"/>
  <c r="E170" i="22"/>
  <c r="G170" s="1"/>
  <c r="L170" s="1"/>
  <c r="G67"/>
  <c r="AF25" i="44" s="1"/>
  <c r="AI22" i="49" s="1"/>
  <c r="E169" i="22"/>
  <c r="G169" s="1"/>
  <c r="L169" s="1"/>
  <c r="G66"/>
  <c r="AE25" i="44" s="1"/>
  <c r="AH22" i="49" s="1"/>
  <c r="E168" i="22"/>
  <c r="G168" s="1"/>
  <c r="L168" s="1"/>
  <c r="G65"/>
  <c r="AD25" i="44" s="1"/>
  <c r="AG22" i="49" s="1"/>
  <c r="E167" i="22"/>
  <c r="G167" s="1"/>
  <c r="L167" s="1"/>
  <c r="G64"/>
  <c r="AC25" i="44" s="1"/>
  <c r="AF22" i="49" s="1"/>
  <c r="E166" i="22"/>
  <c r="G166" s="1"/>
  <c r="L166" s="1"/>
  <c r="G69" i="21"/>
  <c r="AH24" i="44" s="1"/>
  <c r="AK21" i="49" s="1"/>
  <c r="E171" i="21"/>
  <c r="G171" s="1"/>
  <c r="L171" s="1"/>
  <c r="G68"/>
  <c r="AG24" i="44" s="1"/>
  <c r="AJ21" i="49" s="1"/>
  <c r="E170" i="21"/>
  <c r="G170" s="1"/>
  <c r="L170" s="1"/>
  <c r="G67"/>
  <c r="AF24" i="44" s="1"/>
  <c r="AI21" i="49" s="1"/>
  <c r="E169" i="21"/>
  <c r="G169" s="1"/>
  <c r="L169" s="1"/>
  <c r="G66"/>
  <c r="AE24" i="44" s="1"/>
  <c r="AH21" i="49" s="1"/>
  <c r="E168" i="21"/>
  <c r="G168" s="1"/>
  <c r="L168" s="1"/>
  <c r="G65"/>
  <c r="AD24" i="44" s="1"/>
  <c r="AG21" i="49" s="1"/>
  <c r="E167" i="21"/>
  <c r="G167" s="1"/>
  <c r="L167" s="1"/>
  <c r="G64"/>
  <c r="AC24" i="44" s="1"/>
  <c r="AF21" i="49" s="1"/>
  <c r="E166" i="21"/>
  <c r="G166" s="1"/>
  <c r="L166" s="1"/>
  <c r="G63" i="20"/>
  <c r="AB23" i="44" s="1"/>
  <c r="AE20" i="49" s="1"/>
  <c r="G165" i="20"/>
  <c r="AA22" i="44"/>
  <c r="AD19" i="49" s="1"/>
  <c r="G69" i="20"/>
  <c r="AH23" i="44" s="1"/>
  <c r="AK20" i="49" s="1"/>
  <c r="G68" i="20"/>
  <c r="AG23" i="44" s="1"/>
  <c r="AJ20" i="49" s="1"/>
  <c r="G67" i="20"/>
  <c r="AF23" i="44" s="1"/>
  <c r="AI20" i="49" s="1"/>
  <c r="G66" i="20"/>
  <c r="AE23" i="44" s="1"/>
  <c r="AH20" i="49" s="1"/>
  <c r="G65" i="20"/>
  <c r="AD23" i="44" s="1"/>
  <c r="AG20" i="49" s="1"/>
  <c r="G64" i="20"/>
  <c r="AC23" i="44" s="1"/>
  <c r="AF20" i="49" s="1"/>
  <c r="G68" i="19"/>
  <c r="AG22" i="44" s="1"/>
  <c r="AJ19" i="49" s="1"/>
  <c r="G69" i="18"/>
  <c r="AH21" i="44" s="1"/>
  <c r="AK18" i="49" s="1"/>
  <c r="E171" i="18"/>
  <c r="G171" s="1"/>
  <c r="G68"/>
  <c r="AG21" i="44" s="1"/>
  <c r="AJ18" i="49" s="1"/>
  <c r="E170" i="18"/>
  <c r="G170" s="1"/>
  <c r="G67"/>
  <c r="AF21" i="44" s="1"/>
  <c r="AI18" i="49" s="1"/>
  <c r="E169" i="18"/>
  <c r="G169" s="1"/>
  <c r="G66"/>
  <c r="AE21" i="44" s="1"/>
  <c r="AH18" i="49" s="1"/>
  <c r="E168" i="18"/>
  <c r="G168" s="1"/>
  <c r="G65"/>
  <c r="AD21" i="44" s="1"/>
  <c r="AG18" i="49" s="1"/>
  <c r="E167" i="18"/>
  <c r="G167" s="1"/>
  <c r="G64"/>
  <c r="AC21" i="44" s="1"/>
  <c r="AF18" i="49" s="1"/>
  <c r="E166" i="18"/>
  <c r="G166" s="1"/>
  <c r="G69" i="15"/>
  <c r="I17" i="35" s="1"/>
  <c r="E171" i="15"/>
  <c r="G171" s="1"/>
  <c r="G68"/>
  <c r="AG18" i="44" s="1"/>
  <c r="AJ15" i="49" s="1"/>
  <c r="E170" i="15"/>
  <c r="G170" s="1"/>
  <c r="G67"/>
  <c r="AF18" i="44" s="1"/>
  <c r="AI15" i="49" s="1"/>
  <c r="E169" i="15"/>
  <c r="G169" s="1"/>
  <c r="G66"/>
  <c r="AE18" i="44" s="1"/>
  <c r="AH15" i="49" s="1"/>
  <c r="E168" i="15"/>
  <c r="G168" s="1"/>
  <c r="G65"/>
  <c r="AD18" i="44" s="1"/>
  <c r="AG15" i="49" s="1"/>
  <c r="E167" i="15"/>
  <c r="G167" s="1"/>
  <c r="G64"/>
  <c r="AC18" i="44" s="1"/>
  <c r="AF15" i="49" s="1"/>
  <c r="E166" i="15"/>
  <c r="G166" s="1"/>
  <c r="G62"/>
  <c r="AA18" i="44" s="1"/>
  <c r="AD15" i="49" s="1"/>
  <c r="E164" i="15"/>
  <c r="G164" s="1"/>
  <c r="G69" i="14"/>
  <c r="I16" i="35" s="1"/>
  <c r="E171" i="14"/>
  <c r="G171" s="1"/>
  <c r="G68"/>
  <c r="AG17" i="44" s="1"/>
  <c r="AJ14" i="49" s="1"/>
  <c r="E170" i="14"/>
  <c r="G170" s="1"/>
  <c r="G67"/>
  <c r="AF17" i="44" s="1"/>
  <c r="AI14" i="49" s="1"/>
  <c r="E169" i="14"/>
  <c r="G169" s="1"/>
  <c r="G66"/>
  <c r="AE17" i="44" s="1"/>
  <c r="AH14" i="49" s="1"/>
  <c r="E168" i="14"/>
  <c r="G168" s="1"/>
  <c r="G65"/>
  <c r="AD17" i="44" s="1"/>
  <c r="AG14" i="49" s="1"/>
  <c r="E167" i="14"/>
  <c r="G167" s="1"/>
  <c r="G64"/>
  <c r="AC17" i="44" s="1"/>
  <c r="AF14" i="49" s="1"/>
  <c r="E166" i="14"/>
  <c r="G166" s="1"/>
  <c r="G69" i="13"/>
  <c r="E171"/>
  <c r="G171" s="1"/>
  <c r="G68"/>
  <c r="AG16" i="44" s="1"/>
  <c r="AJ13" i="49" s="1"/>
  <c r="E170" i="13"/>
  <c r="G170" s="1"/>
  <c r="G67"/>
  <c r="E169"/>
  <c r="G169" s="1"/>
  <c r="G66"/>
  <c r="AE16" i="44" s="1"/>
  <c r="AH13" i="49" s="1"/>
  <c r="E168" i="13"/>
  <c r="G168" s="1"/>
  <c r="G65"/>
  <c r="AD16" i="44" s="1"/>
  <c r="AG13" i="49" s="1"/>
  <c r="E167" i="13"/>
  <c r="G167" s="1"/>
  <c r="G64"/>
  <c r="AC16" i="44" s="1"/>
  <c r="AF13" i="49" s="1"/>
  <c r="E166" i="13"/>
  <c r="G166" s="1"/>
  <c r="F119" i="11"/>
  <c r="M8" i="45"/>
  <c r="M28" s="1"/>
  <c r="F196" i="11"/>
  <c r="M7" i="45"/>
  <c r="F194" i="11"/>
  <c r="BH32" i="1"/>
  <c r="AC33" i="44"/>
  <c r="AG33"/>
  <c r="AF12" i="45"/>
  <c r="AF26" s="1"/>
  <c r="AL33" i="44"/>
  <c r="AC32" i="1"/>
  <c r="AT33" i="44"/>
  <c r="J110" i="10"/>
  <c r="J105"/>
  <c r="R33" i="44"/>
  <c r="N33"/>
  <c r="J107" i="10"/>
  <c r="AW32" i="1"/>
  <c r="BG32"/>
  <c r="AF33" i="44"/>
  <c r="AF7" i="45"/>
  <c r="AF10"/>
  <c r="AO33" i="44"/>
  <c r="AB32" i="1"/>
  <c r="AS33" i="44"/>
  <c r="J111" i="10"/>
  <c r="J106"/>
  <c r="S33" i="44"/>
  <c r="O33"/>
  <c r="K33"/>
  <c r="D5" i="45"/>
  <c r="BB32" i="1"/>
  <c r="AE33" i="44"/>
  <c r="J33"/>
  <c r="AF9" i="45"/>
  <c r="AN33" i="44"/>
  <c r="T33"/>
  <c r="P33"/>
  <c r="L33"/>
  <c r="J116" i="10"/>
  <c r="BH36" i="1"/>
  <c r="AD33" i="44"/>
  <c r="AH33"/>
  <c r="AM33"/>
  <c r="AL32" i="1"/>
  <c r="J109" i="10"/>
  <c r="V33" i="44"/>
  <c r="Q33"/>
  <c r="M33"/>
  <c r="J112" i="10"/>
  <c r="P15" i="12"/>
  <c r="P44"/>
  <c r="R16" i="44"/>
  <c r="U13" i="49" s="1"/>
  <c r="N16" i="44"/>
  <c r="Q13" i="49" s="1"/>
  <c r="AM16" i="44"/>
  <c r="BJ13" i="49" s="1"/>
  <c r="AU24" i="1"/>
  <c r="BA15"/>
  <c r="BD15"/>
  <c r="BH15"/>
  <c r="O8" i="45"/>
  <c r="O28" s="1"/>
  <c r="P41" i="12"/>
  <c r="P37"/>
  <c r="S16" i="44"/>
  <c r="V13" i="49" s="1"/>
  <c r="O16" i="44"/>
  <c r="R13" i="49" s="1"/>
  <c r="K16" i="44"/>
  <c r="N13" i="49" s="1"/>
  <c r="AN16" i="44"/>
  <c r="BK13" i="49" s="1"/>
  <c r="BE15" i="1"/>
  <c r="P40" i="12"/>
  <c r="P19"/>
  <c r="G118" i="13"/>
  <c r="O7" i="45"/>
  <c r="O12"/>
  <c r="O26" s="1"/>
  <c r="P38" i="12"/>
  <c r="T16" i="44"/>
  <c r="W13" i="49" s="1"/>
  <c r="P16" i="44"/>
  <c r="S13" i="49" s="1"/>
  <c r="L16" i="44"/>
  <c r="O13" i="49" s="1"/>
  <c r="AO16" i="44"/>
  <c r="BL13" i="49" s="1"/>
  <c r="F119" i="9"/>
  <c r="P18" i="12"/>
  <c r="P36"/>
  <c r="AW15" i="1"/>
  <c r="AL16" i="44"/>
  <c r="BI13" i="49" s="1"/>
  <c r="G20" i="7"/>
  <c r="P9" i="1" s="1"/>
  <c r="I7" i="47" s="1"/>
  <c r="O7" i="9"/>
  <c r="P35" i="12"/>
  <c r="E28" i="20"/>
  <c r="G28" s="1"/>
  <c r="AA15" i="1"/>
  <c r="P43" i="12"/>
  <c r="P39"/>
  <c r="V16" i="44"/>
  <c r="Y13" i="49" s="1"/>
  <c r="Q16" i="44"/>
  <c r="T13" i="49" s="1"/>
  <c r="M16" i="44"/>
  <c r="P13" i="49" s="1"/>
  <c r="N7" i="14"/>
  <c r="AB15" i="1"/>
  <c r="AL15"/>
  <c r="AD15"/>
  <c r="AM15"/>
  <c r="AC15"/>
  <c r="BF15"/>
  <c r="K15" i="44"/>
  <c r="N12" i="49" s="1"/>
  <c r="P73" i="12"/>
  <c r="S15" i="44"/>
  <c r="V12" i="49" s="1"/>
  <c r="P81" i="12"/>
  <c r="AM14" i="1"/>
  <c r="P140" i="12"/>
  <c r="N12" i="45"/>
  <c r="N26" s="1"/>
  <c r="P98" i="12"/>
  <c r="AL15" i="44"/>
  <c r="BI12" i="49" s="1"/>
  <c r="P124" i="12"/>
  <c r="N15" i="44"/>
  <c r="Q12" i="49" s="1"/>
  <c r="P76" i="12"/>
  <c r="R15" i="44"/>
  <c r="U12" i="49" s="1"/>
  <c r="P80" i="12"/>
  <c r="AB14" i="1"/>
  <c r="P133" i="12"/>
  <c r="P99"/>
  <c r="N7" i="45"/>
  <c r="P92" i="12"/>
  <c r="AO15" i="44"/>
  <c r="BL12" i="49" s="1"/>
  <c r="P127" i="12"/>
  <c r="M15" i="44"/>
  <c r="P12" i="49" s="1"/>
  <c r="P75" i="12"/>
  <c r="Q15" i="44"/>
  <c r="T12" i="49" s="1"/>
  <c r="P79" i="12"/>
  <c r="V15" i="44"/>
  <c r="Y12" i="49" s="1"/>
  <c r="P83" i="12"/>
  <c r="AW14" i="1"/>
  <c r="P42" i="12"/>
  <c r="AC14" i="1"/>
  <c r="P134" i="12"/>
  <c r="AM15" i="44"/>
  <c r="BJ12" i="49" s="1"/>
  <c r="P125" i="12"/>
  <c r="O15" i="44"/>
  <c r="R12" i="49" s="1"/>
  <c r="P77" i="12"/>
  <c r="P100"/>
  <c r="AN15" i="44"/>
  <c r="BK12" i="49" s="1"/>
  <c r="P126" i="12"/>
  <c r="AA14" i="1"/>
  <c r="P132" i="12"/>
  <c r="L15" i="44"/>
  <c r="O12" i="49" s="1"/>
  <c r="P74" i="12"/>
  <c r="P15" i="44"/>
  <c r="S12" i="49" s="1"/>
  <c r="P78" i="12"/>
  <c r="T15" i="44"/>
  <c r="W12" i="49" s="1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E31" i="18"/>
  <c r="T5" i="45"/>
  <c r="E30" i="19"/>
  <c r="G30" s="1"/>
  <c r="U6" i="45"/>
  <c r="Y21" i="1"/>
  <c r="U10" i="45"/>
  <c r="AI21" i="1"/>
  <c r="AS22" i="44"/>
  <c r="AH22" i="1"/>
  <c r="E28" i="22"/>
  <c r="G28" s="1"/>
  <c r="AH24" i="1"/>
  <c r="AI25"/>
  <c r="AS26" i="44"/>
  <c r="E28" i="24"/>
  <c r="G28" s="1"/>
  <c r="AI26" i="1"/>
  <c r="AS27" i="44"/>
  <c r="AF8" i="45"/>
  <c r="AF28" s="1"/>
  <c r="F119" i="30"/>
  <c r="AH13" i="1"/>
  <c r="X15"/>
  <c r="O9" i="45"/>
  <c r="AI15" i="1"/>
  <c r="AS16" i="44"/>
  <c r="G5" i="45"/>
  <c r="E30" i="8"/>
  <c r="G30" s="1"/>
  <c r="J6" i="45"/>
  <c r="Y13" i="1"/>
  <c r="M10" i="45"/>
  <c r="M29" s="1"/>
  <c r="G67" i="12"/>
  <c r="AH14" i="1"/>
  <c r="AJ12"/>
  <c r="AT13" i="44"/>
  <c r="E28" i="43"/>
  <c r="G28" s="1"/>
  <c r="AS33" i="1"/>
  <c r="E31" i="11"/>
  <c r="M5" i="45"/>
  <c r="E31" i="28"/>
  <c r="G31" s="1"/>
  <c r="AD5" i="45"/>
  <c r="Y8" i="1"/>
  <c r="H10" i="45"/>
  <c r="AJ17" i="1"/>
  <c r="AT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S9" i="44"/>
  <c r="E28" i="33"/>
  <c r="G28" s="1"/>
  <c r="AJ9" i="1"/>
  <c r="AT10" i="44"/>
  <c r="AU10" s="1"/>
  <c r="E28" i="9"/>
  <c r="G28" s="1"/>
  <c r="Y11" i="1"/>
  <c r="K10" i="45"/>
  <c r="K24" s="1"/>
  <c r="AJ11" i="1"/>
  <c r="AT12" i="44"/>
  <c r="E30" i="12"/>
  <c r="G30" s="1"/>
  <c r="P30" s="1"/>
  <c r="N6" i="45"/>
  <c r="E30" i="14"/>
  <c r="G30" s="1"/>
  <c r="P6" i="45"/>
  <c r="Y17" i="1"/>
  <c r="Q10" i="45"/>
  <c r="AI17" i="1"/>
  <c r="AS18" i="44"/>
  <c r="E28" i="16"/>
  <c r="G28" s="1"/>
  <c r="AJ20" i="1"/>
  <c r="AT21" i="44"/>
  <c r="X21" i="1"/>
  <c r="U9" i="45"/>
  <c r="AH21" i="1"/>
  <c r="AI23"/>
  <c r="AS24" i="44"/>
  <c r="AU24" s="1"/>
  <c r="AH25" i="1"/>
  <c r="AH26"/>
  <c r="E28" i="40"/>
  <c r="G28" s="1"/>
  <c r="AH31" i="1"/>
  <c r="G118" i="30"/>
  <c r="F118"/>
  <c r="AI13" i="1"/>
  <c r="AS14" i="44"/>
  <c r="Y15" i="1"/>
  <c r="O10" i="45"/>
  <c r="AJ15" i="1"/>
  <c r="AT16" i="44"/>
  <c r="AH10" i="1"/>
  <c r="X10"/>
  <c r="J9" i="45"/>
  <c r="E28" i="8"/>
  <c r="G28" s="1"/>
  <c r="G68" i="12"/>
  <c r="G63"/>
  <c r="AB15" i="44" s="1"/>
  <c r="AE12" i="49" s="1"/>
  <c r="AI14" i="1"/>
  <c r="AS15" i="44"/>
  <c r="E31" i="14"/>
  <c r="G31" s="1"/>
  <c r="P5" i="45"/>
  <c r="E28" i="11"/>
  <c r="G62" i="12"/>
  <c r="AA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T9" i="44"/>
  <c r="E30" i="7"/>
  <c r="G30" s="1"/>
  <c r="I6" i="45"/>
  <c r="Y9" i="1"/>
  <c r="I10" i="45"/>
  <c r="I29" s="1"/>
  <c r="I30" s="1"/>
  <c r="AI11" i="1"/>
  <c r="AS12" i="44"/>
  <c r="Y12" i="1"/>
  <c r="L10" i="45"/>
  <c r="E30" i="11"/>
  <c r="M6" i="45"/>
  <c r="Y14" i="1"/>
  <c r="N10" i="45"/>
  <c r="AI16" i="1"/>
  <c r="AS17" i="44"/>
  <c r="E28" i="15"/>
  <c r="G28" s="1"/>
  <c r="X17" i="1"/>
  <c r="Q9" i="45"/>
  <c r="AH17" i="1"/>
  <c r="AW18"/>
  <c r="Y18"/>
  <c r="R10" i="45"/>
  <c r="AJ18" i="1"/>
  <c r="AT19" i="44"/>
  <c r="E28" i="17"/>
  <c r="G28" s="1"/>
  <c r="AJ19" i="1"/>
  <c r="AT20" i="44"/>
  <c r="E28" i="18"/>
  <c r="G28" s="1"/>
  <c r="Y20" i="1"/>
  <c r="T10" i="45"/>
  <c r="AI20" i="1"/>
  <c r="AS21" i="44"/>
  <c r="E28" i="19"/>
  <c r="G28" s="1"/>
  <c r="AJ22" i="1"/>
  <c r="AT23" i="44"/>
  <c r="E28" i="21"/>
  <c r="G28" s="1"/>
  <c r="AH23" i="1"/>
  <c r="E28" i="23"/>
  <c r="G28" s="1"/>
  <c r="O28" s="1"/>
  <c r="AH30" i="1"/>
  <c r="AJ13"/>
  <c r="AT14" i="44"/>
  <c r="E30" i="17"/>
  <c r="G30" s="1"/>
  <c r="S6" i="45"/>
  <c r="BF24" i="1"/>
  <c r="Y10"/>
  <c r="J10" i="45"/>
  <c r="G64" i="12"/>
  <c r="AJ14" i="1"/>
  <c r="AT15" i="44"/>
  <c r="AH12" i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S19" i="44"/>
  <c r="AI19" i="1"/>
  <c r="AS20" i="44"/>
  <c r="X20" i="1"/>
  <c r="T9" i="45"/>
  <c r="AH20" i="1"/>
  <c r="AI22"/>
  <c r="AS23" i="44"/>
  <c r="AI24" i="1"/>
  <c r="AS25" i="44"/>
  <c r="AJ26" i="1"/>
  <c r="AT27" i="44"/>
  <c r="AH29" i="1"/>
  <c r="BF6"/>
  <c r="AJ10"/>
  <c r="AT11" i="44"/>
  <c r="E31" i="8"/>
  <c r="G31" s="1"/>
  <c r="J5" i="45"/>
  <c r="G65" i="12"/>
  <c r="AI12" i="1"/>
  <c r="AS13" i="44"/>
  <c r="G66" i="12"/>
  <c r="AV33" i="1"/>
  <c r="AR33"/>
  <c r="G100" i="43"/>
  <c r="G119" s="1"/>
  <c r="H119" s="1"/>
  <c r="BG6" i="1"/>
  <c r="BG7"/>
  <c r="AJ7"/>
  <c r="AT8" i="44"/>
  <c r="AU8" s="1"/>
  <c r="X7" i="1"/>
  <c r="G9" i="45"/>
  <c r="G6"/>
  <c r="Y7" i="1"/>
  <c r="G10" i="45"/>
  <c r="F6"/>
  <c r="X6" i="1"/>
  <c r="F9" i="45"/>
  <c r="AJ6" i="1"/>
  <c r="AT7" i="44"/>
  <c r="AU7" s="1"/>
  <c r="Y6" i="1"/>
  <c r="F10" i="45"/>
  <c r="H120" i="43"/>
  <c r="D7" i="45"/>
  <c r="AS5" i="44"/>
  <c r="D8" i="45"/>
  <c r="D28" s="1"/>
  <c r="AJ5" i="1"/>
  <c r="AT6" i="44"/>
  <c r="AU6" s="1"/>
  <c r="AH4" i="1"/>
  <c r="D9" i="45"/>
  <c r="H104" i="30"/>
  <c r="J104" s="1"/>
  <c r="D12" i="45"/>
  <c r="D26" s="1"/>
  <c r="AX33" i="1"/>
  <c r="AH5" i="45"/>
  <c r="AU35" i="44"/>
  <c r="E31" i="43"/>
  <c r="G31" s="1"/>
  <c r="AG5" i="45"/>
  <c r="AH6"/>
  <c r="AH24"/>
  <c r="AG8"/>
  <c r="AG28" s="1"/>
  <c r="AH33" i="1"/>
  <c r="E31" i="30"/>
  <c r="G31" s="1"/>
  <c r="AF5" i="45"/>
  <c r="AJ33" i="1"/>
  <c r="AT34" i="44"/>
  <c r="AI33" i="1"/>
  <c r="AS34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T32" i="44"/>
  <c r="Y31" i="1"/>
  <c r="AE10" i="45"/>
  <c r="X31" i="1"/>
  <c r="AE9" i="45"/>
  <c r="BF31" i="1"/>
  <c r="E30" i="29"/>
  <c r="G30" s="1"/>
  <c r="AE6" i="45"/>
  <c r="E28" i="29"/>
  <c r="G28" s="1"/>
  <c r="AJ30" i="1"/>
  <c r="AT31" i="44"/>
  <c r="AI30" i="1"/>
  <c r="AS31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T30" i="44"/>
  <c r="AI29" i="1"/>
  <c r="AS30" i="44"/>
  <c r="Y29" i="1"/>
  <c r="AC10" i="45"/>
  <c r="X29" i="1"/>
  <c r="AC9" i="45"/>
  <c r="E30" i="27"/>
  <c r="G30" s="1"/>
  <c r="AC6" i="45"/>
  <c r="AU29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D10"/>
  <c r="D6"/>
  <c r="Y5" i="1"/>
  <c r="E10" i="45"/>
  <c r="E5"/>
  <c r="X5" i="1"/>
  <c r="E9" i="45"/>
  <c r="E6"/>
  <c r="H107" i="12"/>
  <c r="J107" s="1"/>
  <c r="H107" i="43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J109" s="1"/>
  <c r="H109" i="28"/>
  <c r="J109" s="1"/>
  <c r="H109" i="16"/>
  <c r="J109" s="1"/>
  <c r="J109" i="9"/>
  <c r="H109" i="15"/>
  <c r="J109" s="1"/>
  <c r="H109" i="24"/>
  <c r="J109" s="1"/>
  <c r="H109" i="43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43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H115" i="28"/>
  <c r="J115" s="1"/>
  <c r="J115" i="9"/>
  <c r="H115" i="43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J111" s="1"/>
  <c r="H111" i="43"/>
  <c r="H111" i="25"/>
  <c r="J111" s="1"/>
  <c r="J111" i="9"/>
  <c r="W4" i="1"/>
  <c r="H117" i="13"/>
  <c r="J117" s="1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s="1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s="1"/>
  <c r="J105" i="11"/>
  <c r="H105" i="43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43"/>
  <c r="H116" i="30"/>
  <c r="J116" s="1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H106" i="29"/>
  <c r="J106" s="1"/>
  <c r="J106" i="8"/>
  <c r="H106" i="43"/>
  <c r="H106" i="27"/>
  <c r="J106" s="1"/>
  <c r="H106" i="28"/>
  <c r="J106" s="1"/>
  <c r="H106" i="16"/>
  <c r="J106" s="1"/>
  <c r="H106" i="13"/>
  <c r="J106" s="1"/>
  <c r="AI5" i="44"/>
  <c r="AL2" i="49" s="1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43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40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F118" i="27"/>
  <c r="G118"/>
  <c r="H118" s="1"/>
  <c r="J118" s="1"/>
  <c r="F118" i="28"/>
  <c r="G118"/>
  <c r="H118" s="1"/>
  <c r="J118" s="1"/>
  <c r="F118" i="9"/>
  <c r="G118"/>
  <c r="G119" i="14"/>
  <c r="H119" s="1"/>
  <c r="J119" s="1"/>
  <c r="F119"/>
  <c r="G119" i="22"/>
  <c r="F119"/>
  <c r="F119" i="29"/>
  <c r="N119" s="1"/>
  <c r="G11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O6" s="1"/>
  <c r="AH9"/>
  <c r="I136" i="7"/>
  <c r="AA7" i="1"/>
  <c r="L21" i="27"/>
  <c r="AH5" i="1"/>
  <c r="AL8"/>
  <c r="I139" i="33"/>
  <c r="AM9" i="1"/>
  <c r="AO9" s="1"/>
  <c r="I139" i="7"/>
  <c r="AH6" i="1"/>
  <c r="AK34" i="44"/>
  <c r="AP33" i="1"/>
  <c r="AA9"/>
  <c r="AE9" s="1"/>
  <c r="I133" i="7"/>
  <c r="AI10" i="1"/>
  <c r="I136" i="8"/>
  <c r="I133"/>
  <c r="AM10" i="1"/>
  <c r="I139" i="8"/>
  <c r="I4" i="35"/>
  <c r="AH5" i="44"/>
  <c r="AK2" i="49" s="1"/>
  <c r="AT18" i="1"/>
  <c r="AQ7"/>
  <c r="AS7"/>
  <c r="AQ8"/>
  <c r="AX8"/>
  <c r="AJ10" i="44"/>
  <c r="BG7" i="49" s="1"/>
  <c r="AT9" i="1"/>
  <c r="AY9"/>
  <c r="BI9"/>
  <c r="AS11"/>
  <c r="AZ12"/>
  <c r="AU12"/>
  <c r="AY12"/>
  <c r="BI12"/>
  <c r="I12" i="35"/>
  <c r="AH13" i="44"/>
  <c r="AK10" i="49" s="1"/>
  <c r="AJ14" i="44"/>
  <c r="BG11" i="49" s="1"/>
  <c r="AJ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J8" i="44"/>
  <c r="BG5" i="49" s="1"/>
  <c r="I7" i="35"/>
  <c r="AH7" i="44"/>
  <c r="AK4" i="49" s="1"/>
  <c r="BE6" i="1"/>
  <c r="BI6"/>
  <c r="AY6"/>
  <c r="I10" i="35"/>
  <c r="AH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J9" i="44"/>
  <c r="BG6" i="49" s="1"/>
  <c r="AS9" i="1"/>
  <c r="AX9"/>
  <c r="AJ12" i="44"/>
  <c r="BG9" i="49" s="1"/>
  <c r="AQ12" i="1"/>
  <c r="AT12"/>
  <c r="AJ17" i="44"/>
  <c r="BG14" i="49" s="1"/>
  <c r="AZ17" i="1"/>
  <c r="AU17"/>
  <c r="AY17"/>
  <c r="AU18"/>
  <c r="AY18"/>
  <c r="I18" i="35"/>
  <c r="AH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J11" i="44"/>
  <c r="BG8" i="49" s="1"/>
  <c r="AV14" i="1"/>
  <c r="AR14"/>
  <c r="AX15"/>
  <c r="AT15"/>
  <c r="AY13"/>
  <c r="AU13"/>
  <c r="BI5"/>
  <c r="AS29"/>
  <c r="I5" i="35"/>
  <c r="AH6" i="44"/>
  <c r="AK3" i="49" s="1"/>
  <c r="AU7" i="1"/>
  <c r="AV8"/>
  <c r="BJ8" s="1"/>
  <c r="I9"/>
  <c r="AR9"/>
  <c r="I11"/>
  <c r="AZ11"/>
  <c r="AU11"/>
  <c r="AY11"/>
  <c r="BI11"/>
  <c r="I13"/>
  <c r="E11" i="47" s="1"/>
  <c r="AJ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J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J35" i="44"/>
  <c r="AS8" i="1"/>
  <c r="BI8"/>
  <c r="AU9"/>
  <c r="AT11"/>
  <c r="AX11"/>
  <c r="I11" i="35"/>
  <c r="AH12" i="44"/>
  <c r="AK9" i="49" s="1"/>
  <c r="AQ13" i="1"/>
  <c r="AQ15"/>
  <c r="AS17"/>
  <c r="AJ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AM5" i="44"/>
  <c r="BJ2" i="49" s="1"/>
  <c r="AP8" i="1"/>
  <c r="AK9" i="44"/>
  <c r="BH6" i="49" s="1"/>
  <c r="AP9" i="1"/>
  <c r="AK10" i="44"/>
  <c r="BH7" i="49" s="1"/>
  <c r="AP12" i="1"/>
  <c r="AK13" i="44"/>
  <c r="BH10" i="49" s="1"/>
  <c r="H18" i="35"/>
  <c r="BK19" i="1"/>
  <c r="AI20" i="44"/>
  <c r="AL17" i="49" s="1"/>
  <c r="M21" i="1"/>
  <c r="AJ22" i="44"/>
  <c r="BG19" i="49" s="1"/>
  <c r="J21" i="44"/>
  <c r="M18" i="49" s="1"/>
  <c r="J22" i="44"/>
  <c r="M19" i="49" s="1"/>
  <c r="BK21" i="1"/>
  <c r="AI22" i="44"/>
  <c r="AL19" i="49" s="1"/>
  <c r="M23" i="1"/>
  <c r="AJ24" i="44"/>
  <c r="BG21" i="49" s="1"/>
  <c r="M25" i="1"/>
  <c r="AJ26" i="44"/>
  <c r="BG23" i="49" s="1"/>
  <c r="BK25" i="1"/>
  <c r="AI26" i="44"/>
  <c r="AL23" i="49" s="1"/>
  <c r="BK26" i="1"/>
  <c r="AI27" i="44"/>
  <c r="AL24" i="49" s="1"/>
  <c r="M29" i="1"/>
  <c r="AJ30" i="44"/>
  <c r="BG27" i="49" s="1"/>
  <c r="R5" i="44"/>
  <c r="U2" i="49" s="1"/>
  <c r="K5" i="44"/>
  <c r="N2" i="49" s="1"/>
  <c r="M16" i="35"/>
  <c r="O16" s="1"/>
  <c r="J17" i="44"/>
  <c r="M14" i="49" s="1"/>
  <c r="BK16" i="1"/>
  <c r="AI17" i="44"/>
  <c r="AL14" i="49" s="1"/>
  <c r="AP6" i="1"/>
  <c r="AK7" i="44"/>
  <c r="BH4" i="49" s="1"/>
  <c r="BK15" i="1"/>
  <c r="AI16" i="44"/>
  <c r="AL13" i="49" s="1"/>
  <c r="L18" i="44"/>
  <c r="O15" i="49" s="1"/>
  <c r="BK32" i="1"/>
  <c r="AI33" i="44"/>
  <c r="L35"/>
  <c r="M35"/>
  <c r="Q5"/>
  <c r="T2" i="49" s="1"/>
  <c r="AP5" i="1"/>
  <c r="AK6" i="44"/>
  <c r="BH3" i="49" s="1"/>
  <c r="AJ20" i="44"/>
  <c r="BG17" i="49" s="1"/>
  <c r="M19" i="1"/>
  <c r="M20"/>
  <c r="AJ21" i="44"/>
  <c r="BG18" i="49" s="1"/>
  <c r="G128" i="18"/>
  <c r="G57"/>
  <c r="BH20" i="1" s="1"/>
  <c r="AP20"/>
  <c r="AK21" i="44"/>
  <c r="BH18" i="49" s="1"/>
  <c r="G7" i="19"/>
  <c r="G37"/>
  <c r="M22" i="1"/>
  <c r="AJ23" i="44"/>
  <c r="BG20" i="49" s="1"/>
  <c r="BK23" i="1"/>
  <c r="AI24" i="44"/>
  <c r="AL21" i="49" s="1"/>
  <c r="AP24" i="1"/>
  <c r="AK25" i="44"/>
  <c r="BH22" i="49" s="1"/>
  <c r="AP28" i="1"/>
  <c r="AK29" i="44"/>
  <c r="BH26" i="49" s="1"/>
  <c r="BK29" i="1"/>
  <c r="AI30" i="44"/>
  <c r="AL27" i="49" s="1"/>
  <c r="AP30" i="1"/>
  <c r="AK31" i="44"/>
  <c r="BH28" i="49" s="1"/>
  <c r="S5" i="44"/>
  <c r="V2" i="49" s="1"/>
  <c r="M5" i="44"/>
  <c r="P2" i="49" s="1"/>
  <c r="BK13" i="1"/>
  <c r="AI12" i="44"/>
  <c r="AL9" i="49" s="1"/>
  <c r="M15" i="35"/>
  <c r="O15" s="1"/>
  <c r="J16" i="44"/>
  <c r="M13" i="49" s="1"/>
  <c r="BK10" i="1"/>
  <c r="AI11" i="44"/>
  <c r="AL8" i="49" s="1"/>
  <c r="M10" i="35"/>
  <c r="O10" s="1"/>
  <c r="J11" i="44"/>
  <c r="M8" i="49" s="1"/>
  <c r="M18" i="44"/>
  <c r="P15" i="49" s="1"/>
  <c r="M33" i="1"/>
  <c r="AJ34" i="44"/>
  <c r="N5"/>
  <c r="Q2" i="49" s="1"/>
  <c r="AP7" i="1"/>
  <c r="AK8" i="44"/>
  <c r="BH5" i="49" s="1"/>
  <c r="H11" i="35"/>
  <c r="AP15" i="1"/>
  <c r="AK16" i="44"/>
  <c r="BH13" i="49" s="1"/>
  <c r="AP16" i="1"/>
  <c r="AK17" i="44"/>
  <c r="BH14" i="49" s="1"/>
  <c r="AP19" i="1"/>
  <c r="AK20" i="44"/>
  <c r="BH17" i="49" s="1"/>
  <c r="G56" i="18"/>
  <c r="AM20" i="1"/>
  <c r="AP21"/>
  <c r="AK22" i="44"/>
  <c r="BH19" i="49" s="1"/>
  <c r="BK22" i="1"/>
  <c r="AI23" i="44"/>
  <c r="AL20" i="49" s="1"/>
  <c r="AP22" i="1"/>
  <c r="AK23" i="44"/>
  <c r="BH20" i="49" s="1"/>
  <c r="M24" i="1"/>
  <c r="AJ25" i="44"/>
  <c r="BG22" i="49" s="1"/>
  <c r="AP25" i="1"/>
  <c r="AK26" i="44"/>
  <c r="BH23" i="49" s="1"/>
  <c r="M26" i="1"/>
  <c r="AJ27" i="44"/>
  <c r="BG24" i="49" s="1"/>
  <c r="AP26" i="1"/>
  <c r="AK27" i="44"/>
  <c r="BH24" i="49" s="1"/>
  <c r="BK28" i="1"/>
  <c r="AI29" i="44"/>
  <c r="AL26" i="49" s="1"/>
  <c r="M31" i="1"/>
  <c r="AJ32" i="44"/>
  <c r="AP32" i="1"/>
  <c r="AK33" i="44"/>
  <c r="T5"/>
  <c r="W2" i="49" s="1"/>
  <c r="O5" i="44"/>
  <c r="R2" i="49" s="1"/>
  <c r="BK5" i="1"/>
  <c r="AI6" i="44"/>
  <c r="AL3" i="49" s="1"/>
  <c r="BK9" i="1"/>
  <c r="AI10" i="44"/>
  <c r="AL7" i="49" s="1"/>
  <c r="M14" i="35"/>
  <c r="O14" s="1"/>
  <c r="J15" i="44"/>
  <c r="M12" i="49" s="1"/>
  <c r="BK14" i="1"/>
  <c r="AI15" i="44"/>
  <c r="AL12" i="49" s="1"/>
  <c r="BK33" i="1"/>
  <c r="AI35" i="44"/>
  <c r="AK35"/>
  <c r="L5"/>
  <c r="O2" i="49" s="1"/>
  <c r="AN5" i="44"/>
  <c r="BK2" i="49" s="1"/>
  <c r="AP4" i="1"/>
  <c r="AK5" i="44"/>
  <c r="BH2" i="49" s="1"/>
  <c r="AJ5" i="44"/>
  <c r="BG2" i="49" s="1"/>
  <c r="AJ13" i="44"/>
  <c r="BG10" i="49" s="1"/>
  <c r="H12" i="35"/>
  <c r="AP13" i="1"/>
  <c r="AP14"/>
  <c r="AK15" i="44"/>
  <c r="BH12" i="49" s="1"/>
  <c r="G39" i="18"/>
  <c r="BK20" i="1"/>
  <c r="AI21" i="44"/>
  <c r="AL18" i="49" s="1"/>
  <c r="G39" i="19"/>
  <c r="AP23" i="1"/>
  <c r="AK24" i="44"/>
  <c r="BH21" i="49" s="1"/>
  <c r="M28" i="1"/>
  <c r="AJ29" i="44"/>
  <c r="BG26" i="49" s="1"/>
  <c r="AP29" i="1"/>
  <c r="AK30" i="44"/>
  <c r="BH27" i="49" s="1"/>
  <c r="M30" i="1"/>
  <c r="AJ31" i="44"/>
  <c r="BG28" i="49" s="1"/>
  <c r="BK30" i="1"/>
  <c r="AI31" i="44"/>
  <c r="AL28" i="49" s="1"/>
  <c r="M32" i="1"/>
  <c r="AJ33" i="44"/>
  <c r="AP11" i="1"/>
  <c r="AK12" i="44"/>
  <c r="BH9" i="49" s="1"/>
  <c r="V5" i="44"/>
  <c r="Y2" i="49" s="1"/>
  <c r="P5" i="44"/>
  <c r="S2" i="49" s="1"/>
  <c r="L8" i="44"/>
  <c r="O5" i="49" s="1"/>
  <c r="M8" i="44"/>
  <c r="P5" i="49" s="1"/>
  <c r="BK8" i="1"/>
  <c r="AI9" i="44"/>
  <c r="AL6" i="49" s="1"/>
  <c r="M13" i="35"/>
  <c r="O13" s="1"/>
  <c r="J14" i="44"/>
  <c r="M11" i="49" s="1"/>
  <c r="BK24" i="1"/>
  <c r="AI25" i="44"/>
  <c r="AL22" i="49" s="1"/>
  <c r="H7" i="35"/>
  <c r="AP10" i="1"/>
  <c r="AK11" i="44"/>
  <c r="BH8" i="49" s="1"/>
  <c r="H10" i="35"/>
  <c r="J18" i="44"/>
  <c r="M15" i="49" s="1"/>
  <c r="AL5" i="44"/>
  <c r="BI2" i="49" s="1"/>
  <c r="AP17" i="1"/>
  <c r="AK18" i="44"/>
  <c r="BH15" i="49" s="1"/>
  <c r="AP18" i="1"/>
  <c r="AK19" i="44"/>
  <c r="BH16" i="49" s="1"/>
  <c r="BK18" i="1"/>
  <c r="AI19" i="44"/>
  <c r="AL16" i="49" s="1"/>
  <c r="BK17" i="1"/>
  <c r="AI18" i="44"/>
  <c r="AL15" i="49" s="1"/>
  <c r="V18" i="44"/>
  <c r="Y15" i="49" s="1"/>
  <c r="T18" i="44"/>
  <c r="W15" i="49" s="1"/>
  <c r="S18" i="44"/>
  <c r="V15" i="49" s="1"/>
  <c r="R18" i="44"/>
  <c r="U15" i="49" s="1"/>
  <c r="Q18" i="44"/>
  <c r="T15" i="49" s="1"/>
  <c r="P18" i="44"/>
  <c r="S15" i="49" s="1"/>
  <c r="O18" i="44"/>
  <c r="R15" i="49" s="1"/>
  <c r="N18" i="44"/>
  <c r="Q15" i="49" s="1"/>
  <c r="M18" i="35"/>
  <c r="K19" i="44"/>
  <c r="N16" i="49" s="1"/>
  <c r="M17" i="35"/>
  <c r="K18" i="44"/>
  <c r="N15" i="49" s="1"/>
  <c r="G128" i="1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7"/>
  <c r="M10" i="1"/>
  <c r="G128" i="8"/>
  <c r="G128" i="9"/>
  <c r="G52" i="20"/>
  <c r="D23" i="44" s="1"/>
  <c r="G20" i="49" s="1"/>
  <c r="W13" i="1"/>
  <c r="G8" i="35"/>
  <c r="Q36" i="1"/>
  <c r="I27"/>
  <c r="E25" i="47" s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AO17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3" i="24"/>
  <c r="AZ13" i="1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V12"/>
  <c r="BA11"/>
  <c r="I133" i="13"/>
  <c r="G150" i="14"/>
  <c r="G151" s="1"/>
  <c r="I133"/>
  <c r="G13" i="19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V22"/>
  <c r="I133" i="24"/>
  <c r="G152" i="7"/>
  <c r="G153" s="1"/>
  <c r="G47" i="16"/>
  <c r="I133"/>
  <c r="AE19" i="1"/>
  <c r="G101" i="22"/>
  <c r="G13" i="23"/>
  <c r="G109" i="42"/>
  <c r="G110" s="1"/>
  <c r="G142" i="14"/>
  <c r="G143" s="1"/>
  <c r="G94"/>
  <c r="G13" i="15"/>
  <c r="I13" s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AT8" i="1"/>
  <c r="G146" i="33"/>
  <c r="M8" i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W6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I6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C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G151" i="33" l="1"/>
  <c r="AO18" i="1"/>
  <c r="AO36" s="1"/>
  <c r="I13" i="7"/>
  <c r="H9" i="35"/>
  <c r="I133" i="43"/>
  <c r="BJ5" i="1"/>
  <c r="I9" i="35"/>
  <c r="AM36" i="1"/>
  <c r="F37" i="44"/>
  <c r="I16" i="49"/>
  <c r="E28" i="13"/>
  <c r="G28" s="1"/>
  <c r="G32" s="1"/>
  <c r="E37" i="44"/>
  <c r="H16" i="49"/>
  <c r="E22" i="44"/>
  <c r="H19" i="49" s="1"/>
  <c r="C22" i="44"/>
  <c r="F19" i="49" s="1"/>
  <c r="I13" i="33"/>
  <c r="AJ16" i="44"/>
  <c r="BG13" i="49" s="1"/>
  <c r="AO30" i="1"/>
  <c r="D37" i="44"/>
  <c r="G16" i="49"/>
  <c r="E21" i="44"/>
  <c r="H18" i="49" s="1"/>
  <c r="AP32" i="44"/>
  <c r="BG29" i="49"/>
  <c r="B37" i="44"/>
  <c r="G37"/>
  <c r="G128" i="13"/>
  <c r="AO29" i="1"/>
  <c r="B22" i="44"/>
  <c r="E19" i="49" s="1"/>
  <c r="F23" i="44"/>
  <c r="I20" i="49" s="1"/>
  <c r="AL21" i="1"/>
  <c r="AQ22" i="44"/>
  <c r="AL20" i="1"/>
  <c r="AQ21" i="44"/>
  <c r="AO10" i="1"/>
  <c r="D36" i="44"/>
  <c r="C36"/>
  <c r="AO13" i="1"/>
  <c r="F7" i="44"/>
  <c r="I4" i="49" s="1"/>
  <c r="G21" i="44"/>
  <c r="J18" i="49" s="1"/>
  <c r="F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29" i="45"/>
  <c r="T30" s="1"/>
  <c r="BJ14" i="1"/>
  <c r="M30" i="45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AB35" i="1"/>
  <c r="L28"/>
  <c r="G172" i="12"/>
  <c r="AK23" i="1"/>
  <c r="H17" i="35"/>
  <c r="K17" s="1"/>
  <c r="L29" i="45"/>
  <c r="L30" s="1"/>
  <c r="BB35" i="1"/>
  <c r="F37"/>
  <c r="N31" i="31"/>
  <c r="AO25" i="1"/>
  <c r="AO8"/>
  <c r="AV35"/>
  <c r="BF35"/>
  <c r="E2" i="47"/>
  <c r="BE35" i="1"/>
  <c r="AU35"/>
  <c r="BA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I13" i="35"/>
  <c r="AO15" i="1"/>
  <c r="G32" i="17"/>
  <c r="I13" i="24"/>
  <c r="G32" i="22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AH17" i="44"/>
  <c r="AK14" i="49" s="1"/>
  <c r="AH16" i="44"/>
  <c r="AK13" i="49" s="1"/>
  <c r="Z14" i="1"/>
  <c r="AO5"/>
  <c r="BL4"/>
  <c r="AE2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AA26" i="44"/>
  <c r="AD23" i="49" s="1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AB26" i="44"/>
  <c r="AE23" i="49" s="1"/>
  <c r="O63" i="23"/>
  <c r="F29" i="45"/>
  <c r="F30" s="1"/>
  <c r="AM21" i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AH26" i="44"/>
  <c r="AK23" i="49" s="1"/>
  <c r="O69" i="23"/>
  <c r="AG26" i="44"/>
  <c r="AJ23" i="49" s="1"/>
  <c r="O68" i="23"/>
  <c r="AF26" i="44"/>
  <c r="AI23" i="49" s="1"/>
  <c r="O67" i="23"/>
  <c r="AE26" i="44"/>
  <c r="AH23" i="49" s="1"/>
  <c r="O66" i="23"/>
  <c r="AD26" i="44"/>
  <c r="AG23" i="49" s="1"/>
  <c r="O65" i="23"/>
  <c r="AC26" i="44"/>
  <c r="AF23" i="49" s="1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R25" s="1"/>
  <c r="O20" i="23"/>
  <c r="H118"/>
  <c r="J118" s="1"/>
  <c r="O118"/>
  <c r="I13"/>
  <c r="O13"/>
  <c r="BJ24" i="1"/>
  <c r="AP5" i="44"/>
  <c r="BM2" i="49" s="1"/>
  <c r="Z21" i="1"/>
  <c r="Y36"/>
  <c r="G32" i="16"/>
  <c r="AW16" i="44"/>
  <c r="M24" i="45"/>
  <c r="I14" i="35"/>
  <c r="AH15" i="44"/>
  <c r="AK12" i="49" s="1"/>
  <c r="H13" i="35"/>
  <c r="G32" i="8"/>
  <c r="G32" i="20"/>
  <c r="AI36" i="1"/>
  <c r="AO4"/>
  <c r="Z7"/>
  <c r="N29" i="31"/>
  <c r="J111"/>
  <c r="G172" i="43"/>
  <c r="BJ33" i="1"/>
  <c r="AF33"/>
  <c r="BJ29"/>
  <c r="G172" i="28"/>
  <c r="G172" i="27"/>
  <c r="AU32" i="44"/>
  <c r="G172" i="40"/>
  <c r="G172" i="23"/>
  <c r="G172" i="22"/>
  <c r="U24" i="45"/>
  <c r="Z22" i="1"/>
  <c r="BJ21"/>
  <c r="G172" i="20"/>
  <c r="AU22" i="44"/>
  <c r="G172" i="19"/>
  <c r="Z20" i="1"/>
  <c r="G172" i="18"/>
  <c r="AK17" i="1"/>
  <c r="Z18"/>
  <c r="AH18" i="44"/>
  <c r="AK15" i="49" s="1"/>
  <c r="G172" i="15"/>
  <c r="O24" i="45"/>
  <c r="H16" i="35"/>
  <c r="K16" s="1"/>
  <c r="G172" i="13"/>
  <c r="G172" i="14"/>
  <c r="AE15" i="1"/>
  <c r="I15" i="35"/>
  <c r="H15"/>
  <c r="AF16" i="44"/>
  <c r="AI13" i="49" s="1"/>
  <c r="H118" i="13"/>
  <c r="J118" s="1"/>
  <c r="G28" i="11"/>
  <c r="G30"/>
  <c r="G31"/>
  <c r="AU12" i="44"/>
  <c r="AK8" i="1"/>
  <c r="AU26" i="44"/>
  <c r="AU21"/>
  <c r="R24" i="45"/>
  <c r="AH36" i="1"/>
  <c r="AK26"/>
  <c r="AF24" i="45"/>
  <c r="AU33" i="44"/>
  <c r="M5" i="1"/>
  <c r="M35" s="1"/>
  <c r="BJ6"/>
  <c r="G149" i="30"/>
  <c r="H119"/>
  <c r="J119" s="1"/>
  <c r="G32" i="7"/>
  <c r="G101" i="43"/>
  <c r="Z6" i="1"/>
  <c r="BJ18"/>
  <c r="Y24" i="45"/>
  <c r="G32" i="29"/>
  <c r="G143" i="30"/>
  <c r="H118"/>
  <c r="J118" s="1"/>
  <c r="G32" i="40"/>
  <c r="I13" i="30"/>
  <c r="G145"/>
  <c r="G60"/>
  <c r="G32" i="23"/>
  <c r="O32" s="1"/>
  <c r="G32" i="24"/>
  <c r="G146" i="19"/>
  <c r="G147" s="1"/>
  <c r="G146" i="18"/>
  <c r="G147" s="1"/>
  <c r="X36" i="1"/>
  <c r="AK20"/>
  <c r="Q24" i="45"/>
  <c r="G153" i="13"/>
  <c r="H119"/>
  <c r="J119" s="1"/>
  <c r="Z5" i="1"/>
  <c r="K11" i="35"/>
  <c r="AJ6" i="44"/>
  <c r="AU5"/>
  <c r="G32" i="21"/>
  <c r="AK18" i="1"/>
  <c r="Z17"/>
  <c r="AU18" i="44"/>
  <c r="AU17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AE15" i="44"/>
  <c r="AH12" i="49" s="1"/>
  <c r="P66" i="12"/>
  <c r="AG15" i="44"/>
  <c r="AJ12" i="49" s="1"/>
  <c r="P68" i="12"/>
  <c r="AF15" i="44"/>
  <c r="AI12" i="49" s="1"/>
  <c r="P67" i="12"/>
  <c r="G145"/>
  <c r="P145" s="1"/>
  <c r="P144"/>
  <c r="G147"/>
  <c r="P147" s="1"/>
  <c r="P146"/>
  <c r="AD15" i="44"/>
  <c r="AG12" i="49" s="1"/>
  <c r="P65" i="12"/>
  <c r="AC15" i="44"/>
  <c r="AF12" i="49" s="1"/>
  <c r="P64" i="12"/>
  <c r="P63"/>
  <c r="G153"/>
  <c r="P153" s="1"/>
  <c r="P152"/>
  <c r="P62"/>
  <c r="G60" i="11"/>
  <c r="I60" s="1"/>
  <c r="Z24" i="45"/>
  <c r="G32" i="33"/>
  <c r="G32" i="14"/>
  <c r="P13" i="12"/>
  <c r="AK15" i="1"/>
  <c r="AU16" i="44"/>
  <c r="N24" i="45"/>
  <c r="AK14" i="1"/>
  <c r="G32" i="12"/>
  <c r="P32" s="1"/>
  <c r="AK13" i="1"/>
  <c r="BN13"/>
  <c r="L13"/>
  <c r="BM13"/>
  <c r="AK12"/>
  <c r="Z12"/>
  <c r="AP12" i="44"/>
  <c r="BM9" i="49" s="1"/>
  <c r="L24" i="45"/>
  <c r="AK9" i="1"/>
  <c r="J24" i="45"/>
  <c r="H24"/>
  <c r="AK22" i="1"/>
  <c r="G32" i="15"/>
  <c r="X24" i="45"/>
  <c r="AU11" i="44"/>
  <c r="G32" i="19"/>
  <c r="AP8" i="44"/>
  <c r="BM5" i="49" s="1"/>
  <c r="AU9" i="44"/>
  <c r="I15" i="1"/>
  <c r="H14" i="35"/>
  <c r="G32" i="27"/>
  <c r="Z29" i="1"/>
  <c r="AK29"/>
  <c r="G32" i="28"/>
  <c r="AG24" i="45"/>
  <c r="AU25" i="44"/>
  <c r="AU23"/>
  <c r="AU19"/>
  <c r="Z9" i="1"/>
  <c r="Z15"/>
  <c r="Z10"/>
  <c r="L18"/>
  <c r="AE24" i="45"/>
  <c r="AU20" i="44"/>
  <c r="F119" i="43"/>
  <c r="H128" i="18"/>
  <c r="J128" s="1"/>
  <c r="J128" i="17"/>
  <c r="AK16" i="1"/>
  <c r="AK24"/>
  <c r="AK25"/>
  <c r="AK10"/>
  <c r="Z8"/>
  <c r="AU13" i="44"/>
  <c r="AU27"/>
  <c r="G32" i="43"/>
  <c r="AU15" i="44"/>
  <c r="AU14"/>
  <c r="AK7" i="1"/>
  <c r="F24" i="45"/>
  <c r="G24"/>
  <c r="T4" i="1"/>
  <c r="Z4"/>
  <c r="D24" i="45"/>
  <c r="G60" i="43"/>
  <c r="I60" s="1"/>
  <c r="AK33" i="1"/>
  <c r="AU34" i="44"/>
  <c r="Z33" i="1"/>
  <c r="G32" i="30"/>
  <c r="AK31" i="1"/>
  <c r="Z31"/>
  <c r="BP31"/>
  <c r="BQ31" s="1"/>
  <c r="BJ31"/>
  <c r="BJ41" s="1"/>
  <c r="AK30"/>
  <c r="AU31" i="44"/>
  <c r="AC24" i="45"/>
  <c r="BN30" i="1"/>
  <c r="AU30" i="44"/>
  <c r="AB24" i="45"/>
  <c r="Z28" i="1"/>
  <c r="Z26"/>
  <c r="AF25"/>
  <c r="Z25"/>
  <c r="AF24"/>
  <c r="AG24" s="1"/>
  <c r="Z24"/>
  <c r="Z23"/>
  <c r="G148" i="20"/>
  <c r="G149" s="1"/>
  <c r="G47" i="18"/>
  <c r="AF18" i="1"/>
  <c r="K9" i="35"/>
  <c r="BN27" i="1"/>
  <c r="AP34" i="44"/>
  <c r="AW34" s="1"/>
  <c r="AF21" i="1"/>
  <c r="BG20"/>
  <c r="BL20" s="1"/>
  <c r="G145" i="13"/>
  <c r="G147"/>
  <c r="G151"/>
  <c r="G143"/>
  <c r="I13"/>
  <c r="G149"/>
  <c r="Z19" i="1"/>
  <c r="AK5"/>
  <c r="AP33" i="44"/>
  <c r="AW33" s="1"/>
  <c r="BP24" i="1"/>
  <c r="BQ24" s="1"/>
  <c r="AV36"/>
  <c r="BL28"/>
  <c r="AF28"/>
  <c r="AG28" s="1"/>
  <c r="BP28"/>
  <c r="BQ28" s="1"/>
  <c r="G47" i="19"/>
  <c r="AX36" i="1"/>
  <c r="AP17" i="44"/>
  <c r="K18" i="35"/>
  <c r="G145" i="19"/>
  <c r="BP21" i="1"/>
  <c r="G149" i="19"/>
  <c r="BP23" i="1"/>
  <c r="BQ23" s="1"/>
  <c r="K5" i="35"/>
  <c r="AK6" i="1"/>
  <c r="AF19"/>
  <c r="AG19" s="1"/>
  <c r="AF15"/>
  <c r="AP18" i="44"/>
  <c r="AP20"/>
  <c r="G151" i="19"/>
  <c r="Z30" i="1"/>
  <c r="AP9" i="44"/>
  <c r="BM6" i="49" s="1"/>
  <c r="AU36" i="1"/>
  <c r="K12" i="35"/>
  <c r="AT36" i="1"/>
  <c r="O17" i="35"/>
  <c r="AP14" i="44"/>
  <c r="BM11" i="49" s="1"/>
  <c r="BP13" i="1"/>
  <c r="BQ13" s="1"/>
  <c r="BP14"/>
  <c r="AP25" i="44"/>
  <c r="AP7"/>
  <c r="BM4" i="49" s="1"/>
  <c r="K7" i="35"/>
  <c r="AF16" i="1"/>
  <c r="AG16" s="1"/>
  <c r="AP11" i="44"/>
  <c r="BM8" i="49" s="1"/>
  <c r="BJ32" i="1"/>
  <c r="BM18"/>
  <c r="AP19" i="44"/>
  <c r="P33" i="1"/>
  <c r="S33" s="1"/>
  <c r="BP26"/>
  <c r="BQ26" s="1"/>
  <c r="AF14"/>
  <c r="AF31"/>
  <c r="AG31" s="1"/>
  <c r="BP16"/>
  <c r="BQ16" s="1"/>
  <c r="BP22"/>
  <c r="BQ22" s="1"/>
  <c r="AF26"/>
  <c r="AG26" s="1"/>
  <c r="AF22"/>
  <c r="AG22" s="1"/>
  <c r="AP35" i="44"/>
  <c r="AW35" s="1"/>
  <c r="BL13" i="1"/>
  <c r="I13" i="11"/>
  <c r="AP15" i="44"/>
  <c r="BM12" i="49" s="1"/>
  <c r="AF13" i="1"/>
  <c r="AG13" s="1"/>
  <c r="BM11"/>
  <c r="BN11"/>
  <c r="K10" i="35"/>
  <c r="AP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BJ4"/>
  <c r="AP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P31" i="44"/>
  <c r="AF30" i="1"/>
  <c r="AG30" s="1"/>
  <c r="BJ30"/>
  <c r="AP29" i="44"/>
  <c r="AP27"/>
  <c r="AP23"/>
  <c r="G152" i="19"/>
  <c r="G153" s="1"/>
  <c r="I13"/>
  <c r="BN20" i="1"/>
  <c r="G59" i="18"/>
  <c r="P4" i="1"/>
  <c r="AP21" i="44"/>
  <c r="AP30"/>
  <c r="AP24"/>
  <c r="AP26"/>
  <c r="AP22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S21"/>
  <c r="P15"/>
  <c r="G145" i="29"/>
  <c r="P26" i="1"/>
  <c r="I31"/>
  <c r="G147" i="29"/>
  <c r="G149"/>
  <c r="G153"/>
  <c r="G151"/>
  <c r="P6" i="1"/>
  <c r="AK4"/>
  <c r="BP27"/>
  <c r="BQ27" s="1"/>
  <c r="G60" i="27"/>
  <c r="I59" s="1"/>
  <c r="S24" i="1"/>
  <c r="P23"/>
  <c r="R11"/>
  <c r="Z16"/>
  <c r="P22"/>
  <c r="P8"/>
  <c r="I6" i="47" s="1"/>
  <c r="G31" i="42"/>
  <c r="P13" i="1"/>
  <c r="BP30"/>
  <c r="BQ30" s="1"/>
  <c r="L29"/>
  <c r="P29"/>
  <c r="I27" i="47" s="1"/>
  <c r="Z11" i="1"/>
  <c r="AC36"/>
  <c r="L22"/>
  <c r="G60" i="28"/>
  <c r="I59" s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I25" i="47" s="1"/>
  <c r="M25" s="1"/>
  <c r="AF29" i="1"/>
  <c r="AG29" s="1"/>
  <c r="BP29"/>
  <c r="BQ29" s="1"/>
  <c r="L25"/>
  <c r="H24" i="33"/>
  <c r="AF23" i="1"/>
  <c r="AG23" s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G60" i="33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BP25"/>
  <c r="G60" i="13"/>
  <c r="AE7" i="1"/>
  <c r="AE6"/>
  <c r="BP6"/>
  <c r="AF6"/>
  <c r="L6"/>
  <c r="AE5"/>
  <c r="AF5"/>
  <c r="BP5"/>
  <c r="L5"/>
  <c r="AE4"/>
  <c r="AF4"/>
  <c r="L4"/>
  <c r="AE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K13" i="35" l="1"/>
  <c r="AP16" i="44"/>
  <c r="BM13" i="49" s="1"/>
  <c r="AL35" i="1"/>
  <c r="H119" i="21"/>
  <c r="H119" i="22" s="1"/>
  <c r="J119" s="1"/>
  <c r="E36" i="44"/>
  <c r="J118" i="21"/>
  <c r="H118" i="22"/>
  <c r="J118" s="1"/>
  <c r="AW24" i="44"/>
  <c r="BM21" i="49"/>
  <c r="AW23" i="44"/>
  <c r="BM20" i="49"/>
  <c r="AW20" i="44"/>
  <c r="BM17" i="49"/>
  <c r="J118" i="20"/>
  <c r="F36" i="44"/>
  <c r="G36"/>
  <c r="AW21"/>
  <c r="BM18" i="49"/>
  <c r="AW26" i="44"/>
  <c r="BM23" i="49"/>
  <c r="AP6" i="44"/>
  <c r="BM3" i="49" s="1"/>
  <c r="BG3"/>
  <c r="AW18" i="44"/>
  <c r="BM15" i="49"/>
  <c r="AW22" i="44"/>
  <c r="BM19" i="49"/>
  <c r="AW29" i="44"/>
  <c r="BM26" i="49"/>
  <c r="AW30" i="44"/>
  <c r="BM27" i="49"/>
  <c r="AW31" i="44"/>
  <c r="BM28" i="49"/>
  <c r="AW27" i="44"/>
  <c r="BM24" i="49"/>
  <c r="AW19" i="44"/>
  <c r="BM16" i="49"/>
  <c r="AW25" i="44"/>
  <c r="BM22" i="49"/>
  <c r="AW17" i="44"/>
  <c r="BM14" i="49"/>
  <c r="AW32" i="44"/>
  <c r="BM29" i="49"/>
  <c r="B36" i="44"/>
  <c r="J119" i="21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N116" i="31"/>
  <c r="J109"/>
  <c r="J115"/>
  <c r="H118" i="33"/>
  <c r="BO24" i="1"/>
  <c r="M22" i="47"/>
  <c r="O36" i="1"/>
  <c r="AG14"/>
  <c r="BQ14"/>
  <c r="N119" i="31"/>
  <c r="J106"/>
  <c r="J105"/>
  <c r="M14" i="47"/>
  <c r="V4" i="1"/>
  <c r="V35" s="1"/>
  <c r="T35"/>
  <c r="P35"/>
  <c r="AM35"/>
  <c r="BC35"/>
  <c r="BR4"/>
  <c r="AE35"/>
  <c r="M30" i="47"/>
  <c r="BG35" i="1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BO23" s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107" i="31"/>
  <c r="BQ4" i="1"/>
  <c r="BQ32"/>
  <c r="BQ25"/>
  <c r="AG25"/>
  <c r="I59" i="23"/>
  <c r="O60"/>
  <c r="BQ18" i="1"/>
  <c r="BQ15"/>
  <c r="AG15"/>
  <c r="BQ10"/>
  <c r="BQ6"/>
  <c r="BQ7"/>
  <c r="L15"/>
  <c r="K15" i="35"/>
  <c r="G32" i="11"/>
  <c r="I60" i="30"/>
  <c r="AG33" i="1"/>
  <c r="R4"/>
  <c r="AF20"/>
  <c r="AG20" s="1"/>
  <c r="I59" i="11"/>
  <c r="H128" i="19"/>
  <c r="H128" i="20" s="1"/>
  <c r="P60" i="12"/>
  <c r="I59"/>
  <c r="BM15" i="1"/>
  <c r="L36"/>
  <c r="BN15"/>
  <c r="G60" i="18"/>
  <c r="I59" s="1"/>
  <c r="BM21" i="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BO16"/>
  <c r="R19"/>
  <c r="BO19" s="1"/>
  <c r="S19"/>
  <c r="S36"/>
  <c r="AG18"/>
  <c r="AG36" s="1"/>
  <c r="BO12"/>
  <c r="I60" i="9"/>
  <c r="BO10" i="1"/>
  <c r="AG10"/>
  <c r="I59" i="22"/>
  <c r="I60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H120" i="22" l="1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H150" l="1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H30" i="33"/>
  <c r="J30" s="1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29" i="33" l="1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29" i="7" l="1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H31" i="31" s="1"/>
  <c r="J31" i="23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60" l="1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<sst xmlns="http://schemas.openxmlformats.org/spreadsheetml/2006/main" count="10276" uniqueCount="359">
  <si>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</si>
  <si>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</si>
  <si>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</si>
  <si>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</si>
  <si>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</si>
  <si>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</si>
  <si>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</si>
  <si>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</si>
  <si>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</si>
  <si>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</si>
  <si>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</si>
  <si>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</si>
  <si>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</si>
  <si>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</si>
  <si>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</si>
  <si>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</si>
  <si>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</si>
  <si>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</si>
  <si>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</si>
  <si>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</si>
  <si>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</si>
  <si>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</si>
  <si>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</si>
  <si>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</si>
  <si>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</si>
  <si>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</si>
  <si>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</si>
  <si>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</si>
  <si>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</si>
  <si>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</si>
  <si>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</si>
  <si>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</si>
  <si>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</si>
  <si>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</si>
  <si>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</si>
  <si>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</si>
  <si>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</si>
  <si>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</si>
  <si>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</si>
  <si>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</si>
  <si>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</si>
  <si>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</si>
  <si>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</si>
  <si>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</si>
  <si>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</si>
  <si>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</si>
  <si>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</si>
  <si>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</si>
  <si>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</si>
  <si>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</si>
  <si>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</si>
  <si>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</si>
  <si>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</si>
  <si>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</si>
  <si>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</si>
  <si>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</si>
  <si>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</si>
  <si>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</si>
  <si>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</si>
  <si>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</si>
  <si>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</si>
  <si>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</si>
  <si>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</si>
  <si>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</si>
  <si>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</si>
  <si>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</si>
  <si>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</si>
  <si>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</si>
  <si>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</si>
  <si>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</si>
  <si>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</si>
  <si>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</si>
  <si>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</si>
  <si>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</si>
  <si>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</si>
  <si>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</si>
  <si>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</si>
  <si>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</si>
  <si>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</si>
  <si>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</si>
  <si>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</si>
  <si>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</si>
  <si>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</si>
  <si>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</si>
  <si>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</si>
  <si>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</si>
  <si>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</si>
  <si>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</si>
  <si>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</si>
  <si>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</si>
  <si>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</si>
  <si>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</si>
  <si>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</si>
  <si>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</si>
  <si>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</si>
  <si>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</si>
  <si>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</si>
  <si>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</si>
  <si>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</si>
  <si>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</si>
  <si>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</si>
  <si>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</si>
  <si>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</si>
  <si>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</si>
  <si>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</si>
  <si>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</si>
  <si>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</si>
  <si>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</si>
  <si>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</si>
  <si>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</si>
  <si>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</si>
  <si>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</si>
  <si>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</si>
  <si>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</si>
  <si>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</si>
  <si>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</si>
  <si>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</si>
  <si>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</si>
  <si>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</si>
  <si>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</si>
  <si>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</si>
  <si>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</si>
  <si>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</si>
  <si>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</si>
  <si>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</si>
  <si>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</si>
  <si>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</si>
  <si>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</si>
  <si>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</si>
  <si>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</si>
  <si>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</si>
  <si>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</si>
  <si>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</si>
  <si>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</si>
  <si>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</si>
  <si>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</si>
  <si>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</si>
  <si>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</si>
  <si>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</si>
  <si>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</si>
  <si>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</si>
  <si>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</si>
  <si>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</si>
  <si>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</si>
  <si>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</si>
  <si>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</si>
  <si>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</si>
  <si>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</si>
  <si>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</si>
  <si>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</si>
  <si>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</si>
  <si>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</si>
  <si>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</si>
  <si>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</si>
  <si>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</si>
  <si>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</si>
  <si>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</si>
  <si>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</si>
  <si>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</si>
  <si>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</si>
  <si>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</si>
  <si>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</si>
  <si>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</si>
  <si>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</si>
  <si>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</si>
  <si>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</si>
  <si>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</si>
  <si>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</si>
  <si>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</si>
  <si>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</si>
  <si>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</si>
  <si>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</si>
  <si>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</si>
  <si>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</si>
  <si>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</si>
  <si>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</si>
  <si>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</si>
  <si>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</si>
  <si>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</si>
  <si>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</si>
  <si>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</si>
  <si>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</si>
  <si>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</si>
  <si>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</si>
  <si>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</si>
  <si>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</si>
  <si>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</si>
  <si>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</si>
  <si>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</si>
  <si>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</si>
  <si>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</si>
  <si>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</si>
  <si>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</si>
  <si>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</si>
  <si>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</si>
  <si>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</si>
  <si>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</si>
  <si>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</si>
  <si>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</si>
  <si>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</si>
  <si>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</si>
  <si>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</si>
  <si>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</si>
  <si>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</si>
  <si>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</si>
  <si>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</si>
  <si>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</si>
  <si>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</si>
  <si>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</si>
  <si>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</si>
  <si>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</si>
  <si>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</si>
  <si>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</si>
  <si>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</si>
  <si>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</si>
  <si>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</si>
  <si>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</si>
  <si>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</si>
  <si>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</si>
  <si>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</si>
  <si>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</si>
  <si>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</si>
  <si>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</si>
  <si>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</si>
  <si>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</si>
  <si>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</si>
  <si>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</si>
  <si>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</si>
  <si>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</si>
  <si>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</si>
  <si>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</si>
  <si>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</si>
  <si>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</si>
  <si>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</si>
  <si>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</si>
  <si>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</si>
  <si>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</si>
  <si>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</si>
  <si>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</si>
  <si>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</si>
  <si>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</si>
  <si>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</si>
  <si>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</si>
  <si>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</si>
  <si>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</si>
  <si>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</si>
  <si>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</si>
  <si>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</si>
  <si>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</si>
  <si>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</si>
  <si>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</si>
  <si>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</si>
  <si>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</si>
  <si>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</si>
  <si>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</si>
  <si>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</si>
  <si>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</si>
  <si>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</si>
  <si>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</si>
  <si>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</si>
  <si>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</si>
  <si>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</si>
  <si>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</si>
  <si>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</si>
  <si>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</si>
  <si>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</si>
  <si>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</si>
  <si>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</si>
  <si>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</si>
  <si>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</si>
  <si>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</si>
  <si>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</si>
  <si>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</si>
  <si>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</si>
  <si>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</si>
  <si>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</si>
  <si>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</si>
  <si>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</si>
  <si>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</si>
  <si>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</si>
  <si>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</si>
  <si>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</si>
  <si>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</si>
  <si>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</si>
  <si>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</si>
  <si>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</si>
  <si>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</si>
  <si>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</si>
  <si>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</si>
  <si>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</si>
  <si>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</si>
  <si>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</si>
  <si>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</si>
  <si>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</si>
  <si>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</si>
  <si>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</si>
  <si>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</si>
  <si>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</si>
  <si>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</si>
  <si>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</si>
  <si>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</si>
  <si>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</si>
  <si>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</si>
  <si>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</si>
  <si>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</si>
  <si>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</si>
  <si>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</si>
  <si>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</si>
  <si>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</si>
  <si>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</si>
  <si>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</si>
  <si>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</si>
  <si>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</si>
  <si>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</si>
  <si>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</si>
  <si>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</si>
  <si>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by--Prakash</t>
  </si>
  <si>
    <t>Prepaired by- Prakash</t>
  </si>
  <si>
    <t>Prepaired by---Nilesh</t>
  </si>
  <si>
    <t>Prepaired by--  Nilesh</t>
  </si>
  <si>
    <t>Prepaired by----Nilesh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</si>
  <si>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</si>
  <si>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</si>
  <si>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</si>
  <si>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</si>
  <si>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</si>
  <si>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</si>
  <si>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>Prepaired by Prakash</t>
  </si>
  <si>
    <t xml:space="preserve">Prepaired by------- Devendra </t>
  </si>
  <si>
    <t xml:space="preserve">Prepaired by --Devendra </t>
  </si>
  <si>
    <t xml:space="preserve">                                                  </t>
  </si>
  <si>
    <t xml:space="preserve">Prepaired by----Devendra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</si>
  <si>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</si>
  <si>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</si>
  <si>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</si>
  <si>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</si>
  <si>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</si>
  <si>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</si>
  <si>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</si>
  <si>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</si>
  <si>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</si>
  <si>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</si>
  <si>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</si>
  <si>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</si>
  <si>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</si>
  <si>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</si>
  <si>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</si>
  <si>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</si>
  <si>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</si>
  <si>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</si>
  <si>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</si>
  <si>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</si>
  <si>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</si>
  <si>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</si>
  <si>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</si>
  <si>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</si>
  <si>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Prepaired by --- Nilesh</t>
  </si>
  <si>
    <t>..</t>
  </si>
  <si>
    <t xml:space="preserve">Prepaired by-- Nilesh 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</si>
</sst>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35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90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80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40" fillId="2" borderId="6" xfId="3" applyFont="1" applyFill="1" applyBorder="1" applyAlignment="1">
      <alignment horizontal="center" vertical="center"/>
    </xf>
    <xf numFmtId="0" fontId="38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164" fontId="40" fillId="2" borderId="6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2" fontId="41" fillId="8" borderId="7" xfId="3" applyNumberFormat="1" applyFont="1" applyFill="1" applyBorder="1" applyAlignment="1">
      <alignment horizontal="right" vertical="center"/>
    </xf>
    <xf numFmtId="1" fontId="41" fillId="8" borderId="7" xfId="3" applyNumberFormat="1" applyFont="1" applyFill="1" applyBorder="1" applyAlignment="1">
      <alignment horizontal="center" vertical="center"/>
    </xf>
    <xf numFmtId="164" fontId="35" fillId="2" borderId="6" xfId="3" applyNumberFormat="1" applyFont="1" applyFill="1" applyBorder="1" applyAlignment="1">
      <alignment horizontal="center" vertical="center" wrapText="1" shrinkToFit="1"/>
    </xf>
    <xf numFmtId="0" fontId="35" fillId="2" borderId="6" xfId="3" applyFont="1" applyFill="1" applyBorder="1" applyAlignment="1">
      <alignment horizontal="center" vertical="center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1" fontId="35" fillId="2" borderId="6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2" borderId="6" xfId="3" applyFont="1" applyFill="1" applyBorder="1" applyAlignment="1">
      <alignment horizont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1" fontId="35" fillId="2" borderId="8" xfId="3" applyNumberFormat="1" applyFont="1" applyFill="1" applyBorder="1" applyAlignment="1">
      <alignment horizontal="center"/>
    </xf>
    <xf numFmtId="1" fontId="35" fillId="2" borderId="2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1" fontId="34" fillId="12" borderId="1" xfId="5" applyNumberFormat="1" applyFont="1" applyFill="1" applyBorder="1" applyAlignment="1" applyProtection="1">
      <alignment horizontal="center"/>
    </xf>
    <xf numFmtId="0" fontId="45" fillId="0" borderId="1" xfId="4" applyFont="1" applyBorder="1" applyAlignment="1">
      <alignment horizontal="center"/>
    </xf>
    <xf numFmtId="0" fontId="48" fillId="2" borderId="2" xfId="3" applyFont="1" applyFill="1" applyBorder="1" applyAlignment="1">
      <alignment horizontal="center"/>
    </xf>
    <xf numFmtId="0" fontId="48" fillId="2" borderId="3" xfId="3" applyFont="1" applyFill="1" applyBorder="1" applyAlignment="1">
      <alignment horizontal="center"/>
    </xf>
    <xf numFmtId="0" fontId="48" fillId="2" borderId="4" xfId="3" applyFont="1" applyFill="1" applyBorder="1" applyAlignment="1">
      <alignment horizontal="center"/>
    </xf>
    <xf numFmtId="44" fontId="48" fillId="8" borderId="1" xfId="8" applyFont="1" applyFill="1" applyBorder="1" applyAlignment="1">
      <alignment horizontal="center"/>
    </xf>
    <xf numFmtId="2" fontId="48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7" fillId="8" borderId="1" xfId="3" applyNumberFormat="1" applyFont="1" applyFill="1" applyBorder="1" applyAlignment="1">
      <alignment horizontal="center"/>
    </xf>
    <xf numFmtId="0" fontId="48" fillId="8" borderId="1" xfId="3" applyFont="1" applyFill="1" applyBorder="1" applyAlignment="1">
      <alignment horizontal="center"/>
    </xf>
    <xf numFmtId="1" fontId="48" fillId="8" borderId="1" xfId="5" applyNumberFormat="1" applyFont="1" applyFill="1" applyBorder="1" applyAlignment="1">
      <alignment horizontal="center" vertical="center"/>
    </xf>
    <xf numFmtId="164" fontId="47" fillId="8" borderId="1" xfId="5" applyNumberFormat="1" applyFont="1" applyFill="1" applyBorder="1" applyAlignment="1" applyProtection="1">
      <alignment horizontal="center"/>
    </xf>
    <xf numFmtId="1" fontId="48" fillId="0" borderId="1" xfId="4" applyNumberFormat="1" applyFont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1" fontId="48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" fontId="46" fillId="2" borderId="1" xfId="3" applyNumberFormat="1" applyFont="1" applyFill="1" applyBorder="1" applyAlignment="1">
      <alignment horizontal="center" vertical="top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164" fontId="34" fillId="2" borderId="1" xfId="5" applyNumberFormat="1" applyFont="1" applyFill="1" applyBorder="1" applyAlignment="1" applyProtection="1">
      <alignment horizontal="center" vertical="center"/>
    </xf>
    <xf numFmtId="164" fontId="34" fillId="8" borderId="1" xfId="5" applyNumberFormat="1" applyFont="1" applyFill="1" applyBorder="1" applyAlignment="1" applyProtection="1">
      <alignment horizontal="center" vertical="top"/>
    </xf>
    <xf numFmtId="2" fontId="35" fillId="2" borderId="6" xfId="5" applyNumberFormat="1" applyFont="1" applyFill="1" applyBorder="1" applyAlignment="1" applyProtection="1">
      <alignment horizontal="center"/>
    </xf>
    <xf numFmtId="165" fontId="35" fillId="2" borderId="6" xfId="6" applyNumberFormat="1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1" fontId="35" fillId="2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164" fontId="35" fillId="2" borderId="6" xfId="5" applyNumberFormat="1" applyFont="1" applyFill="1" applyBorder="1" applyAlignment="1" applyProtection="1">
      <alignment horizontal="center"/>
    </xf>
    <xf numFmtId="0" fontId="35" fillId="0" borderId="1" xfId="4" applyFont="1" applyBorder="1"/>
    <xf numFmtId="0" fontId="34" fillId="0" borderId="0" xfId="0" applyFont="1" applyBorder="1"/>
    <xf numFmtId="0" fontId="34" fillId="0" borderId="0" xfId="0" applyFont="1"/>
    <xf numFmtId="164" fontId="35" fillId="2" borderId="6" xfId="3" applyNumberFormat="1" applyFont="1" applyFill="1" applyBorder="1" applyAlignment="1">
      <alignment horizontal="center"/>
    </xf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8" xfId="7" applyFont="1" applyFill="1" applyBorder="1" applyAlignment="1">
      <alignment horizontal="right" wrapText="1"/>
    </xf>
    <xf numFmtId="43" fontId="34" fillId="8" borderId="1" xfId="7" applyFont="1" applyFill="1" applyBorder="1" applyAlignment="1">
      <alignment horizontal="right" wrapText="1"/>
    </xf>
    <xf numFmtId="165" fontId="34" fillId="0" borderId="1" xfId="6" applyNumberFormat="1" applyFont="1" applyFill="1" applyBorder="1" applyAlignment="1"/>
    <xf numFmtId="164" fontId="35" fillId="2" borderId="0" xfId="5" applyNumberFormat="1" applyFont="1" applyFill="1" applyBorder="1" applyAlignment="1" applyProtection="1">
      <alignment horizontal="center"/>
    </xf>
    <xf numFmtId="1" fontId="34" fillId="8" borderId="1" xfId="5" applyNumberFormat="1" applyFont="1" applyFill="1" applyBorder="1" applyAlignment="1">
      <alignment horizontal="right"/>
    </xf>
    <xf numFmtId="0" fontId="50" fillId="0" borderId="0" xfId="4" applyFont="1"/>
    <xf numFmtId="1" fontId="38" fillId="0" borderId="0" xfId="0" applyNumberFormat="1" applyFont="1" applyAlignment="1">
      <alignment horizontal="center"/>
    </xf>
    <xf numFmtId="1" fontId="38" fillId="0" borderId="0" xfId="0" applyNumberFormat="1" applyFont="1"/>
    <xf numFmtId="168" fontId="43" fillId="8" borderId="1" xfId="5" applyNumberFormat="1" applyFont="1" applyFill="1" applyBorder="1" applyAlignment="1" applyProtection="1">
      <alignment horizontal="center" vertic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2" fontId="34" fillId="12" borderId="8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51" fillId="0" borderId="0" xfId="0" applyFont="1"/>
    <xf numFmtId="0" fontId="51" fillId="0" borderId="0" xfId="0" applyFont="1" applyBorder="1"/>
    <xf numFmtId="0" fontId="53" fillId="0" borderId="0" xfId="0" applyFont="1" applyBorder="1"/>
    <xf numFmtId="0" fontId="53" fillId="0" borderId="0" xfId="0" applyFont="1"/>
    <xf numFmtId="164" fontId="52" fillId="2" borderId="0" xfId="5" applyNumberFormat="1" applyFont="1" applyFill="1" applyBorder="1" applyAlignment="1" applyProtection="1">
      <alignment horizontal="center"/>
    </xf>
    <xf numFmtId="0" fontId="55" fillId="0" borderId="0" xfId="4" applyFont="1"/>
    <xf numFmtId="1" fontId="51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1" fontId="38" fillId="0" borderId="0" xfId="0" applyNumberFormat="1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1" fontId="56" fillId="2" borderId="1" xfId="5" applyNumberFormat="1" applyFont="1" applyFill="1" applyBorder="1" applyAlignment="1">
      <alignment horizontal="center" vertical="center"/>
    </xf>
    <xf numFmtId="1" fontId="56" fillId="8" borderId="1" xfId="5" applyNumberFormat="1" applyFont="1" applyFill="1" applyBorder="1" applyAlignment="1">
      <alignment horizontal="center" vertical="center"/>
    </xf>
    <xf numFmtId="0" fontId="35" fillId="15" borderId="1" xfId="3" applyFont="1" applyFill="1" applyBorder="1" applyAlignment="1">
      <alignment horizontal="center" vertical="center"/>
    </xf>
    <xf numFmtId="1" fontId="35" fillId="15" borderId="1" xfId="3" applyNumberFormat="1" applyFont="1" applyFill="1" applyBorder="1" applyAlignment="1">
      <alignment horizontal="center" vertical="center"/>
    </xf>
    <xf numFmtId="1" fontId="35" fillId="15" borderId="2" xfId="3" applyNumberFormat="1" applyFont="1" applyFill="1" applyBorder="1" applyAlignment="1">
      <alignment horizontal="center" vertical="center"/>
    </xf>
    <xf numFmtId="0" fontId="43" fillId="15" borderId="1" xfId="3" applyFont="1" applyFill="1" applyBorder="1" applyAlignment="1">
      <alignment horizontal="center"/>
    </xf>
    <xf numFmtId="1" fontId="43" fillId="15" borderId="1" xfId="3" applyNumberFormat="1" applyFont="1" applyFill="1" applyBorder="1" applyAlignment="1">
      <alignment horizontal="center"/>
    </xf>
    <xf numFmtId="0" fontId="43" fillId="15" borderId="1" xfId="3" applyFont="1" applyFill="1" applyBorder="1" applyAlignment="1">
      <alignment horizontal="center" vertical="center"/>
    </xf>
    <xf numFmtId="0" fontId="47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8" fillId="16" borderId="2" xfId="3" applyFont="1" applyFill="1" applyBorder="1" applyAlignment="1">
      <alignment horizontal="center"/>
    </xf>
    <xf numFmtId="0" fontId="48" fillId="16" borderId="3" xfId="3" applyFont="1" applyFill="1" applyBorder="1" applyAlignment="1">
      <alignment horizontal="center"/>
    </xf>
    <xf numFmtId="0" fontId="48" fillId="16" borderId="4" xfId="3" applyFont="1" applyFill="1" applyBorder="1" applyAlignment="1">
      <alignment horizontal="center"/>
    </xf>
    <xf numFmtId="0" fontId="44" fillId="16" borderId="1" xfId="4" applyFont="1" applyFill="1" applyBorder="1"/>
    <xf numFmtId="0" fontId="47" fillId="16" borderId="1" xfId="0" applyFont="1" applyFill="1" applyBorder="1"/>
    <xf numFmtId="1" fontId="43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5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6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5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>
      <alignment horizontal="left"/>
    </xf>
    <xf numFmtId="0" fontId="39" fillId="2" borderId="1" xfId="4" applyFont="1" applyFill="1" applyBorder="1" applyAlignment="1"/>
    <xf numFmtId="2" fontId="34" fillId="2" borderId="1" xfId="3" applyNumberFormat="1" applyFont="1" applyFill="1" applyBorder="1" applyAlignment="1">
      <alignment horizontal="right"/>
    </xf>
    <xf numFmtId="0" fontId="39" fillId="2" borderId="8" xfId="4" applyFont="1" applyFill="1" applyBorder="1" applyAlignment="1">
      <alignment horizontal="left"/>
    </xf>
    <xf numFmtId="2" fontId="53" fillId="8" borderId="1" xfId="3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 vertical="center" wrapText="1" shrinkToFit="1"/>
    </xf>
    <xf numFmtId="0" fontId="52" fillId="2" borderId="0" xfId="3" applyFont="1" applyFill="1" applyBorder="1" applyAlignment="1">
      <alignment horizontal="center" vertical="center"/>
    </xf>
    <xf numFmtId="1" fontId="52" fillId="2" borderId="0" xfId="5" applyNumberFormat="1" applyFont="1" applyFill="1" applyBorder="1" applyAlignment="1" applyProtection="1">
      <alignment horizontal="center"/>
    </xf>
    <xf numFmtId="0" fontId="52" fillId="2" borderId="0" xfId="3" applyFont="1" applyFill="1" applyBorder="1" applyAlignment="1">
      <alignment horizontal="center"/>
    </xf>
    <xf numFmtId="2" fontId="52" fillId="2" borderId="0" xfId="5" applyNumberFormat="1" applyFont="1" applyFill="1" applyBorder="1" applyAlignment="1" applyProtection="1">
      <alignment horizontal="center"/>
    </xf>
    <xf numFmtId="165" fontId="52" fillId="2" borderId="0" xfId="6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/>
    </xf>
    <xf numFmtId="0" fontId="58" fillId="0" borderId="30" xfId="4" applyFont="1" applyBorder="1" applyAlignment="1">
      <alignment vertical="center" wrapText="1"/>
    </xf>
    <xf numFmtId="0" fontId="58" fillId="0" borderId="25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9" fillId="2" borderId="1" xfId="1" applyNumberFormat="1" applyFont="1" applyFill="1" applyBorder="1" applyAlignment="1">
      <alignment vertical="center" wrapText="1"/>
    </xf>
    <xf numFmtId="2" fontId="51" fillId="0" borderId="0" xfId="0" applyNumberFormat="1" applyFont="1"/>
    <xf numFmtId="0" fontId="51" fillId="0" borderId="0" xfId="0" applyFont="1" applyFill="1"/>
    <xf numFmtId="0" fontId="62" fillId="0" borderId="0" xfId="0" applyFont="1"/>
    <xf numFmtId="1" fontId="35" fillId="0" borderId="1" xfId="3" applyNumberFormat="1" applyFont="1" applyFill="1" applyBorder="1" applyAlignment="1">
      <alignment horizontal="center"/>
    </xf>
    <xf numFmtId="0" fontId="61" fillId="0" borderId="1" xfId="0" applyFont="1" applyFill="1" applyBorder="1"/>
    <xf numFmtId="0" fontId="62" fillId="0" borderId="0" xfId="0" applyFont="1" applyBorder="1"/>
    <xf numFmtId="0" fontId="62" fillId="0" borderId="1" xfId="0" applyFont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0" fontId="62" fillId="0" borderId="1" xfId="0" applyFont="1" applyFill="1" applyBorder="1" applyAlignment="1">
      <alignment horizontal="center"/>
    </xf>
    <xf numFmtId="1" fontId="35" fillId="0" borderId="1" xfId="5" applyNumberFormat="1" applyFont="1" applyFill="1" applyBorder="1" applyAlignment="1" applyProtection="1">
      <alignment horizontal="center"/>
    </xf>
    <xf numFmtId="1" fontId="62" fillId="0" borderId="1" xfId="0" applyNumberFormat="1" applyFont="1" applyFill="1" applyBorder="1" applyAlignment="1">
      <alignment horizontal="center"/>
    </xf>
    <xf numFmtId="1" fontId="62" fillId="0" borderId="0" xfId="0" applyNumberFormat="1" applyFont="1" applyAlignment="1">
      <alignment horizontal="center"/>
    </xf>
    <xf numFmtId="1" fontId="62" fillId="0" borderId="0" xfId="0" applyNumberFormat="1" applyFont="1"/>
    <xf numFmtId="0" fontId="62" fillId="0" borderId="0" xfId="0" applyFont="1" applyFill="1"/>
    <xf numFmtId="0" fontId="61" fillId="0" borderId="0" xfId="0" applyFont="1" applyFill="1"/>
    <xf numFmtId="1" fontId="61" fillId="0" borderId="1" xfId="0" applyNumberFormat="1" applyFont="1" applyFill="1" applyBorder="1"/>
    <xf numFmtId="0" fontId="35" fillId="0" borderId="32" xfId="3" applyFont="1" applyFill="1" applyBorder="1" applyAlignment="1">
      <alignment horizontal="center" vertical="center"/>
    </xf>
    <xf numFmtId="0" fontId="35" fillId="0" borderId="25" xfId="3" applyFont="1" applyFill="1" applyBorder="1" applyAlignment="1">
      <alignment horizontal="center" vertical="center"/>
    </xf>
    <xf numFmtId="2" fontId="34" fillId="0" borderId="25" xfId="3" applyNumberFormat="1" applyFont="1" applyFill="1" applyBorder="1" applyAlignment="1">
      <alignment horizontal="center" vertical="center"/>
    </xf>
    <xf numFmtId="0" fontId="36" fillId="0" borderId="25" xfId="4" applyFont="1" applyFill="1" applyBorder="1" applyAlignment="1">
      <alignment horizontal="center" vertical="center"/>
    </xf>
    <xf numFmtId="1" fontId="35" fillId="0" borderId="25" xfId="5" applyNumberFormat="1" applyFont="1" applyFill="1" applyBorder="1" applyAlignment="1">
      <alignment horizontal="center" vertical="center"/>
    </xf>
    <xf numFmtId="1" fontId="35" fillId="0" borderId="25" xfId="3" applyNumberFormat="1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1" fontId="35" fillId="0" borderId="30" xfId="5" applyNumberFormat="1" applyFont="1" applyFill="1" applyBorder="1" applyAlignment="1" applyProtection="1">
      <alignment horizontal="center" vertical="center"/>
    </xf>
    <xf numFmtId="0" fontId="35" fillId="10" borderId="32" xfId="3" applyFont="1" applyFill="1" applyBorder="1" applyAlignment="1">
      <alignment horizontal="center" vertical="center"/>
    </xf>
    <xf numFmtId="2" fontId="34" fillId="10" borderId="25" xfId="3" applyNumberFormat="1" applyFont="1" applyFill="1" applyBorder="1" applyAlignment="1">
      <alignment horizontal="center" vertical="center"/>
    </xf>
    <xf numFmtId="0" fontId="36" fillId="10" borderId="25" xfId="4" applyFont="1" applyFill="1" applyBorder="1" applyAlignment="1">
      <alignment horizontal="center" vertical="center"/>
    </xf>
    <xf numFmtId="1" fontId="35" fillId="10" borderId="25" xfId="5" applyNumberFormat="1" applyFont="1" applyFill="1" applyBorder="1" applyAlignment="1">
      <alignment horizontal="center" vertical="center"/>
    </xf>
    <xf numFmtId="1" fontId="35" fillId="10" borderId="25" xfId="3" applyNumberFormat="1" applyFont="1" applyFill="1" applyBorder="1" applyAlignment="1">
      <alignment horizontal="center" vertical="center"/>
    </xf>
    <xf numFmtId="0" fontId="62" fillId="10" borderId="0" xfId="0" applyFont="1" applyFill="1" applyBorder="1" applyAlignment="1">
      <alignment horizontal="center" vertical="center"/>
    </xf>
    <xf numFmtId="1" fontId="35" fillId="10" borderId="30" xfId="5" applyNumberFormat="1" applyFont="1" applyFill="1" applyBorder="1" applyAlignment="1" applyProtection="1">
      <alignment horizontal="center" vertical="center"/>
    </xf>
    <xf numFmtId="1" fontId="61" fillId="0" borderId="1" xfId="0" applyNumberFormat="1" applyFont="1" applyFill="1" applyBorder="1" applyAlignment="1">
      <alignment horizontal="center"/>
    </xf>
    <xf numFmtId="0" fontId="62" fillId="0" borderId="1" xfId="0" applyFont="1" applyFill="1" applyBorder="1"/>
    <xf numFmtId="0" fontId="35" fillId="10" borderId="24" xfId="3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/>
    </xf>
    <xf numFmtId="0" fontId="61" fillId="0" borderId="4" xfId="0" applyFont="1" applyFill="1" applyBorder="1"/>
    <xf numFmtId="0" fontId="62" fillId="0" borderId="4" xfId="0" applyFont="1" applyFill="1" applyBorder="1" applyAlignment="1">
      <alignment horizontal="center"/>
    </xf>
    <xf numFmtId="0" fontId="35" fillId="10" borderId="0" xfId="3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left"/>
    </xf>
    <xf numFmtId="0" fontId="34" fillId="0" borderId="1" xfId="0" applyFont="1" applyFill="1" applyBorder="1"/>
    <xf numFmtId="1" fontId="62" fillId="0" borderId="0" xfId="0" applyNumberFormat="1" applyFont="1" applyFill="1" applyAlignment="1">
      <alignment horizontal="center"/>
    </xf>
    <xf numFmtId="1" fontId="62" fillId="0" borderId="0" xfId="0" applyNumberFormat="1" applyFont="1" applyFill="1"/>
    <xf numFmtId="1" fontId="34" fillId="2" borderId="1" xfId="3" applyNumberFormat="1" applyFont="1" applyFill="1" applyBorder="1" applyAlignment="1">
      <alignment horizontal="center"/>
    </xf>
    <xf numFmtId="0" fontId="60" fillId="0" borderId="1" xfId="0" applyFont="1" applyBorder="1"/>
    <xf numFmtId="9" fontId="60" fillId="0" borderId="1" xfId="0" applyNumberFormat="1" applyFont="1" applyBorder="1"/>
    <xf numFmtId="1" fontId="60" fillId="0" borderId="1" xfId="0" applyNumberFormat="1" applyFont="1" applyBorder="1"/>
    <xf numFmtId="0" fontId="0" fillId="0" borderId="0" xfId="0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63" fillId="15" borderId="1" xfId="3" applyFont="1" applyFill="1" applyBorder="1" applyAlignment="1"/>
    <xf numFmtId="0" fontId="69" fillId="0" borderId="0" xfId="0" applyFont="1"/>
    <xf numFmtId="2" fontId="70" fillId="8" borderId="1" xfId="3" applyNumberFormat="1" applyFont="1" applyFill="1" applyBorder="1" applyAlignment="1">
      <alignment horizontal="center"/>
    </xf>
    <xf numFmtId="0" fontId="73" fillId="0" borderId="0" xfId="0" applyFont="1"/>
    <xf numFmtId="0" fontId="71" fillId="0" borderId="0" xfId="0" applyFont="1"/>
    <xf numFmtId="0" fontId="63" fillId="15" borderId="1" xfId="3" applyFont="1" applyFill="1" applyBorder="1" applyAlignment="1">
      <alignment horizontal="center" vertical="center"/>
    </xf>
    <xf numFmtId="0" fontId="63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64" fillId="9" borderId="1" xfId="3" applyFont="1" applyFill="1" applyBorder="1" applyAlignment="1">
      <alignment horizontal="center" vertical="center"/>
    </xf>
    <xf numFmtId="10" fontId="64" fillId="9" borderId="1" xfId="3" applyNumberFormat="1" applyFont="1" applyFill="1" applyBorder="1" applyAlignment="1">
      <alignment horizontal="center"/>
    </xf>
    <xf numFmtId="1" fontId="64" fillId="9" borderId="1" xfId="3" applyNumberFormat="1" applyFont="1" applyFill="1" applyBorder="1" applyAlignment="1">
      <alignment horizontal="center"/>
    </xf>
    <xf numFmtId="2" fontId="64" fillId="9" borderId="1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center"/>
    </xf>
    <xf numFmtId="0" fontId="72" fillId="0" borderId="0" xfId="0" applyFont="1"/>
    <xf numFmtId="2" fontId="70" fillId="2" borderId="1" xfId="3" applyNumberFormat="1" applyFont="1" applyFill="1" applyBorder="1" applyAlignment="1">
      <alignment horizontal="center" vertical="center"/>
    </xf>
    <xf numFmtId="164" fontId="70" fillId="8" borderId="1" xfId="3" applyNumberFormat="1" applyFont="1" applyFill="1" applyBorder="1" applyAlignment="1">
      <alignment horizontal="center" wrapText="1" shrinkToFit="1"/>
    </xf>
    <xf numFmtId="2" fontId="70" fillId="8" borderId="1" xfId="3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 vertical="center"/>
    </xf>
    <xf numFmtId="0" fontId="70" fillId="2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1" fontId="70" fillId="2" borderId="7" xfId="5" applyNumberFormat="1" applyFont="1" applyFill="1" applyBorder="1" applyAlignment="1">
      <alignment horizontal="center" vertical="center"/>
    </xf>
    <xf numFmtId="1" fontId="70" fillId="2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2" fontId="70" fillId="12" borderId="1" xfId="3" applyNumberFormat="1" applyFont="1" applyFill="1" applyBorder="1" applyAlignment="1">
      <alignment horizontal="center"/>
    </xf>
    <xf numFmtId="1" fontId="75" fillId="15" borderId="1" xfId="3" applyNumberFormat="1" applyFont="1" applyFill="1" applyBorder="1" applyAlignment="1">
      <alignment horizontal="center"/>
    </xf>
    <xf numFmtId="0" fontId="70" fillId="0" borderId="1" xfId="4" applyFont="1" applyBorder="1"/>
    <xf numFmtId="0" fontId="77" fillId="8" borderId="1" xfId="3" applyFont="1" applyFill="1" applyBorder="1" applyAlignment="1">
      <alignment horizontal="center"/>
    </xf>
    <xf numFmtId="164" fontId="77" fillId="8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0" fontId="77" fillId="2" borderId="1" xfId="4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horizontal="center" vertical="center"/>
    </xf>
    <xf numFmtId="2" fontId="79" fillId="8" borderId="1" xfId="3" applyNumberFormat="1" applyFont="1" applyFill="1" applyBorder="1" applyAlignment="1">
      <alignment horizontal="center"/>
    </xf>
    <xf numFmtId="164" fontId="75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9" fillId="8" borderId="1" xfId="5" applyNumberFormat="1" applyFont="1" applyFill="1" applyBorder="1" applyAlignment="1">
      <alignment horizontal="center" vertical="center"/>
    </xf>
    <xf numFmtId="2" fontId="70" fillId="8" borderId="1" xfId="9" applyNumberFormat="1" applyFont="1" applyFill="1" applyBorder="1" applyAlignment="1">
      <alignment horizontal="center"/>
    </xf>
    <xf numFmtId="168" fontId="75" fillId="8" borderId="1" xfId="5" applyNumberFormat="1" applyFont="1" applyFill="1" applyBorder="1" applyAlignment="1" applyProtection="1">
      <alignment horizontal="center" vertical="center"/>
    </xf>
    <xf numFmtId="164" fontId="78" fillId="8" borderId="1" xfId="5" applyNumberFormat="1" applyFont="1" applyFill="1" applyBorder="1" applyAlignment="1" applyProtection="1">
      <alignment horizontal="center"/>
    </xf>
    <xf numFmtId="1" fontId="79" fillId="0" borderId="1" xfId="4" applyNumberFormat="1" applyFont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1" fontId="79" fillId="8" borderId="1" xfId="3" applyNumberFormat="1" applyFont="1" applyFill="1" applyBorder="1" applyAlignment="1">
      <alignment horizontal="center" vertical="center"/>
    </xf>
    <xf numFmtId="0" fontId="77" fillId="2" borderId="1" xfId="3" applyFont="1" applyFill="1" applyBorder="1" applyAlignment="1">
      <alignment horizontal="center"/>
    </xf>
    <xf numFmtId="169" fontId="77" fillId="8" borderId="1" xfId="5" applyNumberFormat="1" applyFont="1" applyFill="1" applyBorder="1" applyAlignment="1" applyProtection="1">
      <alignment horizontal="center" vertical="center"/>
    </xf>
    <xf numFmtId="1" fontId="77" fillId="2" borderId="1" xfId="3" applyNumberFormat="1" applyFont="1" applyFill="1" applyBorder="1" applyAlignment="1">
      <alignment horizontal="center" vertical="top"/>
    </xf>
    <xf numFmtId="0" fontId="70" fillId="0" borderId="1" xfId="4" applyFont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0" fontId="70" fillId="15" borderId="1" xfId="3" applyFont="1" applyFill="1" applyBorder="1" applyAlignment="1"/>
    <xf numFmtId="1" fontId="70" fillId="2" borderId="1" xfId="3" applyNumberFormat="1" applyFont="1" applyFill="1" applyBorder="1" applyAlignment="1">
      <alignment horizontal="center" vertical="center"/>
    </xf>
    <xf numFmtId="164" fontId="70" fillId="2" borderId="1" xfId="5" applyNumberFormat="1" applyFont="1" applyFill="1" applyBorder="1" applyAlignment="1" applyProtection="1">
      <alignment horizontal="center" vertical="center"/>
    </xf>
    <xf numFmtId="164" fontId="70" fillId="8" borderId="1" xfId="5" applyNumberFormat="1" applyFont="1" applyFill="1" applyBorder="1" applyAlignment="1" applyProtection="1">
      <alignment horizontal="center" vertical="top"/>
    </xf>
    <xf numFmtId="0" fontId="70" fillId="2" borderId="1" xfId="4" applyFont="1" applyFill="1" applyBorder="1" applyAlignment="1">
      <alignment horizontal="left"/>
    </xf>
    <xf numFmtId="0" fontId="70" fillId="2" borderId="1" xfId="4" applyFont="1" applyFill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6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1" fontId="75" fillId="2" borderId="1" xfId="3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right" wrapText="1"/>
    </xf>
    <xf numFmtId="2" fontId="70" fillId="10" borderId="25" xfId="3" applyNumberFormat="1" applyFont="1" applyFill="1" applyBorder="1" applyAlignment="1">
      <alignment horizontal="center" vertical="center"/>
    </xf>
    <xf numFmtId="0" fontId="76" fillId="10" borderId="25" xfId="4" applyFont="1" applyFill="1" applyBorder="1" applyAlignment="1">
      <alignment horizontal="center" vertical="center"/>
    </xf>
    <xf numFmtId="1" fontId="70" fillId="10" borderId="25" xfId="5" applyNumberFormat="1" applyFont="1" applyFill="1" applyBorder="1" applyAlignment="1">
      <alignment horizontal="center" vertical="center"/>
    </xf>
    <xf numFmtId="1" fontId="70" fillId="10" borderId="25" xfId="3" applyNumberFormat="1" applyFont="1" applyFill="1" applyBorder="1" applyAlignment="1">
      <alignment horizontal="center" vertical="center"/>
    </xf>
    <xf numFmtId="0" fontId="75" fillId="10" borderId="0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/>
    </xf>
    <xf numFmtId="1" fontId="75" fillId="0" borderId="1" xfId="0" applyNumberFormat="1" applyFont="1" applyBorder="1" applyAlignment="1">
      <alignment horizontal="center"/>
    </xf>
    <xf numFmtId="0" fontId="75" fillId="0" borderId="1" xfId="0" applyFont="1" applyFill="1" applyBorder="1" applyAlignment="1">
      <alignment horizontal="center"/>
    </xf>
    <xf numFmtId="0" fontId="75" fillId="0" borderId="1" xfId="0" applyFont="1" applyFill="1" applyBorder="1"/>
    <xf numFmtId="1" fontId="75" fillId="0" borderId="1" xfId="0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 applyProtection="1">
      <alignment horizontal="center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1" fontId="70" fillId="15" borderId="1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75" fillId="0" borderId="1" xfId="0" applyFont="1" applyBorder="1"/>
    <xf numFmtId="9" fontId="70" fillId="8" borderId="1" xfId="6" applyNumberFormat="1" applyFont="1" applyFill="1" applyBorder="1" applyAlignment="1">
      <alignment horizontal="center"/>
    </xf>
    <xf numFmtId="165" fontId="70" fillId="0" borderId="1" xfId="6" applyNumberFormat="1" applyFont="1" applyFill="1" applyBorder="1" applyAlignment="1"/>
    <xf numFmtId="1" fontId="70" fillId="8" borderId="1" xfId="5" applyNumberFormat="1" applyFont="1" applyFill="1" applyBorder="1" applyAlignment="1">
      <alignment horizontal="right"/>
    </xf>
    <xf numFmtId="0" fontId="80" fillId="0" borderId="0" xfId="0" applyFont="1"/>
    <xf numFmtId="1" fontId="80" fillId="0" borderId="0" xfId="0" applyNumberFormat="1" applyFont="1" applyAlignment="1">
      <alignment horizontal="center"/>
    </xf>
    <xf numFmtId="1" fontId="80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70" fillId="8" borderId="15" xfId="3" applyNumberFormat="1" applyFont="1" applyFill="1" applyBorder="1" applyAlignment="1">
      <alignment horizontal="center" wrapText="1" shrinkToFit="1"/>
    </xf>
    <xf numFmtId="0" fontId="70" fillId="15" borderId="15" xfId="3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1" fontId="70" fillId="2" borderId="15" xfId="5" applyNumberFormat="1" applyFont="1" applyFill="1" applyBorder="1" applyAlignment="1" applyProtection="1">
      <alignment horizontal="center"/>
    </xf>
    <xf numFmtId="1" fontId="70" fillId="15" borderId="15" xfId="3" applyNumberFormat="1" applyFont="1" applyFill="1" applyBorder="1" applyAlignment="1">
      <alignment horizontal="center" vertical="center"/>
    </xf>
    <xf numFmtId="0" fontId="70" fillId="15" borderId="15" xfId="3" applyFont="1" applyFill="1" applyBorder="1" applyAlignment="1"/>
    <xf numFmtId="0" fontId="70" fillId="2" borderId="15" xfId="4" applyFont="1" applyFill="1" applyBorder="1" applyAlignment="1"/>
    <xf numFmtId="1" fontId="70" fillId="10" borderId="31" xfId="5" applyNumberFormat="1" applyFont="1" applyFill="1" applyBorder="1" applyAlignment="1" applyProtection="1">
      <alignment horizontal="center" vertical="center"/>
    </xf>
    <xf numFmtId="1" fontId="75" fillId="0" borderId="15" xfId="0" applyNumberFormat="1" applyFont="1" applyBorder="1" applyAlignment="1">
      <alignment horizontal="center"/>
    </xf>
    <xf numFmtId="1" fontId="75" fillId="0" borderId="15" xfId="0" applyNumberFormat="1" applyFont="1" applyFill="1" applyBorder="1" applyAlignment="1">
      <alignment horizontal="center"/>
    </xf>
    <xf numFmtId="0" fontId="75" fillId="0" borderId="0" xfId="0" applyFont="1" applyBorder="1"/>
    <xf numFmtId="1" fontId="75" fillId="0" borderId="0" xfId="0" applyNumberFormat="1" applyFont="1" applyBorder="1" applyAlignment="1">
      <alignment horizontal="center"/>
    </xf>
    <xf numFmtId="1" fontId="75" fillId="0" borderId="35" xfId="0" applyNumberFormat="1" applyFont="1" applyBorder="1"/>
    <xf numFmtId="0" fontId="75" fillId="15" borderId="15" xfId="3" applyFont="1" applyFill="1" applyBorder="1" applyAlignment="1">
      <alignment horizontal="center"/>
    </xf>
    <xf numFmtId="1" fontId="70" fillId="15" borderId="15" xfId="5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9" fontId="70" fillId="8" borderId="7" xfId="6" applyNumberFormat="1" applyFont="1" applyFill="1" applyBorder="1" applyAlignment="1">
      <alignment horizontal="center"/>
    </xf>
    <xf numFmtId="1" fontId="70" fillId="8" borderId="7" xfId="3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right"/>
    </xf>
    <xf numFmtId="1" fontId="70" fillId="8" borderId="23" xfId="5" applyNumberFormat="1" applyFont="1" applyFill="1" applyBorder="1" applyAlignment="1" applyProtection="1">
      <alignment horizontal="center"/>
    </xf>
    <xf numFmtId="9" fontId="64" fillId="9" borderId="21" xfId="3" applyNumberFormat="1" applyFont="1" applyFill="1" applyBorder="1" applyAlignment="1">
      <alignment horizontal="left"/>
    </xf>
    <xf numFmtId="0" fontId="65" fillId="0" borderId="1" xfId="4" applyFont="1" applyBorder="1" applyAlignment="1">
      <alignment horizontal="left"/>
    </xf>
    <xf numFmtId="0" fontId="67" fillId="16" borderId="1" xfId="0" applyFont="1" applyFill="1" applyBorder="1"/>
    <xf numFmtId="0" fontId="69" fillId="0" borderId="0" xfId="0" applyFont="1" applyBorder="1"/>
    <xf numFmtId="0" fontId="72" fillId="0" borderId="1" xfId="0" applyFont="1" applyFill="1" applyBorder="1" applyAlignment="1">
      <alignment horizontal="left"/>
    </xf>
    <xf numFmtId="166" fontId="64" fillId="9" borderId="21" xfId="3" applyNumberFormat="1" applyFont="1" applyFill="1" applyBorder="1" applyAlignment="1">
      <alignment horizontal="left"/>
    </xf>
    <xf numFmtId="0" fontId="64" fillId="9" borderId="21" xfId="3" applyFont="1" applyFill="1" applyBorder="1"/>
    <xf numFmtId="0" fontId="64" fillId="8" borderId="21" xfId="3" applyFont="1" applyFill="1" applyBorder="1" applyAlignment="1">
      <alignment horizontal="center" vertical="center"/>
    </xf>
    <xf numFmtId="0" fontId="64" fillId="8" borderId="2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center"/>
    </xf>
    <xf numFmtId="0" fontId="64" fillId="8" borderId="28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167" fontId="64" fillId="8" borderId="21" xfId="3" applyNumberFormat="1" applyFont="1" applyFill="1" applyBorder="1" applyAlignment="1">
      <alignment vertical="center"/>
    </xf>
    <xf numFmtId="167" fontId="63" fillId="8" borderId="1" xfId="3" applyNumberFormat="1" applyFont="1" applyFill="1" applyBorder="1" applyAlignment="1">
      <alignment vertical="center"/>
    </xf>
    <xf numFmtId="0" fontId="64" fillId="16" borderId="21" xfId="3" applyFont="1" applyFill="1" applyBorder="1" applyAlignment="1">
      <alignment horizontal="center"/>
    </xf>
    <xf numFmtId="0" fontId="63" fillId="16" borderId="1" xfId="3" applyFont="1" applyFill="1" applyBorder="1" applyAlignment="1">
      <alignment horizontal="center"/>
    </xf>
    <xf numFmtId="0" fontId="64" fillId="2" borderId="21" xfId="3" applyFont="1" applyFill="1" applyBorder="1" applyAlignment="1">
      <alignment horizontal="left" vertical="center"/>
    </xf>
    <xf numFmtId="0" fontId="63" fillId="2" borderId="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/>
    </xf>
    <xf numFmtId="0" fontId="64" fillId="16" borderId="21" xfId="3" applyFont="1" applyFill="1" applyBorder="1" applyAlignment="1">
      <alignment horizontal="center" vertical="center"/>
    </xf>
    <xf numFmtId="0" fontId="63" fillId="16" borderId="1" xfId="3" applyFont="1" applyFill="1" applyBorder="1" applyAlignment="1">
      <alignment horizontal="center" vertical="center"/>
    </xf>
    <xf numFmtId="0" fontId="74" fillId="2" borderId="16" xfId="3" applyFont="1" applyFill="1" applyBorder="1" applyAlignment="1">
      <alignment horizontal="center"/>
    </xf>
    <xf numFmtId="0" fontId="74" fillId="2" borderId="3" xfId="3" applyFont="1" applyFill="1" applyBorder="1" applyAlignment="1">
      <alignment horizontal="center"/>
    </xf>
    <xf numFmtId="0" fontId="74" fillId="2" borderId="4" xfId="3" applyFont="1" applyFill="1" applyBorder="1" applyAlignment="1">
      <alignment horizontal="center"/>
    </xf>
    <xf numFmtId="0" fontId="74" fillId="16" borderId="16" xfId="3" applyFont="1" applyFill="1" applyBorder="1" applyAlignment="1">
      <alignment horizontal="center"/>
    </xf>
    <xf numFmtId="0" fontId="74" fillId="16" borderId="3" xfId="3" applyFont="1" applyFill="1" applyBorder="1" applyAlignment="1">
      <alignment horizontal="center"/>
    </xf>
    <xf numFmtId="0" fontId="74" fillId="16" borderId="4" xfId="3" applyFont="1" applyFill="1" applyBorder="1" applyAlignment="1">
      <alignment horizontal="center"/>
    </xf>
    <xf numFmtId="0" fontId="64" fillId="15" borderId="21" xfId="3" applyFont="1" applyFill="1" applyBorder="1" applyAlignment="1">
      <alignment horizontal="left"/>
    </xf>
    <xf numFmtId="2" fontId="64" fillId="8" borderId="21" xfId="3" applyNumberFormat="1" applyFont="1" applyFill="1" applyBorder="1" applyAlignment="1">
      <alignment horizontal="left" vertical="center"/>
    </xf>
    <xf numFmtId="2" fontId="63" fillId="8" borderId="1" xfId="3" applyNumberFormat="1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justify"/>
    </xf>
    <xf numFmtId="0" fontId="64" fillId="15" borderId="21" xfId="3" applyFont="1" applyFill="1" applyBorder="1" applyAlignment="1"/>
    <xf numFmtId="0" fontId="64" fillId="0" borderId="21" xfId="4" applyFont="1" applyBorder="1" applyAlignment="1">
      <alignment vertical="center"/>
    </xf>
    <xf numFmtId="0" fontId="63" fillId="0" borderId="1" xfId="4" applyFont="1" applyBorder="1" applyAlignment="1">
      <alignment vertical="center"/>
    </xf>
    <xf numFmtId="0" fontId="66" fillId="16" borderId="21" xfId="4" applyFont="1" applyFill="1" applyBorder="1"/>
    <xf numFmtId="0" fontId="64" fillId="15" borderId="21" xfId="3" applyFont="1" applyFill="1" applyBorder="1" applyAlignment="1">
      <alignment horizontal="center"/>
    </xf>
    <xf numFmtId="0" fontId="64" fillId="10" borderId="33" xfId="3" applyFont="1" applyFill="1" applyBorder="1" applyAlignment="1">
      <alignment horizontal="center" vertical="center"/>
    </xf>
    <xf numFmtId="0" fontId="64" fillId="10" borderId="0" xfId="3" applyFont="1" applyFill="1" applyBorder="1" applyAlignment="1">
      <alignment horizontal="center" vertical="center"/>
    </xf>
    <xf numFmtId="0" fontId="64" fillId="0" borderId="21" xfId="4" applyFont="1" applyBorder="1"/>
    <xf numFmtId="0" fontId="64" fillId="15" borderId="21" xfId="3" applyFont="1" applyFill="1" applyBorder="1" applyAlignment="1">
      <alignment horizontal="center" vertic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/>
    <xf numFmtId="1" fontId="64" fillId="9" borderId="15" xfId="3" applyNumberFormat="1" applyFont="1" applyFill="1" applyBorder="1" applyAlignment="1">
      <alignment horizontal="center" vertical="center"/>
    </xf>
    <xf numFmtId="0" fontId="64" fillId="9" borderId="1" xfId="3" applyFont="1" applyFill="1" applyBorder="1" applyAlignment="1">
      <alignment horizontal="left"/>
    </xf>
    <xf numFmtId="1" fontId="64" fillId="9" borderId="15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left"/>
    </xf>
    <xf numFmtId="0" fontId="70" fillId="8" borderId="8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 vertical="center"/>
    </xf>
    <xf numFmtId="0" fontId="70" fillId="10" borderId="32" xfId="3" applyFont="1" applyFill="1" applyBorder="1" applyAlignment="1">
      <alignment horizontal="center" vertical="center"/>
    </xf>
    <xf numFmtId="0" fontId="75" fillId="0" borderId="4" xfId="0" applyFont="1" applyBorder="1" applyAlignment="1">
      <alignment horizontal="center"/>
    </xf>
    <xf numFmtId="0" fontId="80" fillId="0" borderId="4" xfId="0" applyFont="1" applyFill="1" applyBorder="1"/>
    <xf numFmtId="0" fontId="75" fillId="0" borderId="4" xfId="0" applyFont="1" applyFill="1" applyBorder="1" applyAlignment="1">
      <alignment horizontal="center"/>
    </xf>
    <xf numFmtId="0" fontId="70" fillId="8" borderId="7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/>
    </xf>
    <xf numFmtId="0" fontId="70" fillId="0" borderId="1" xfId="3" applyFont="1" applyFill="1" applyBorder="1" applyAlignment="1">
      <alignment horizontal="center"/>
    </xf>
    <xf numFmtId="1" fontId="84" fillId="12" borderId="0" xfId="0" applyNumberFormat="1" applyFont="1" applyFill="1"/>
    <xf numFmtId="1" fontId="84" fillId="0" borderId="0" xfId="0" applyNumberFormat="1" applyFont="1"/>
    <xf numFmtId="0" fontId="69" fillId="9" borderId="1" xfId="3" applyFont="1" applyFill="1" applyBorder="1" applyAlignment="1">
      <alignment horizontal="center" vertical="center"/>
    </xf>
    <xf numFmtId="2" fontId="69" fillId="9" borderId="1" xfId="3" applyNumberFormat="1" applyFont="1" applyFill="1" applyBorder="1" applyAlignment="1">
      <alignment horizontal="center"/>
    </xf>
    <xf numFmtId="2" fontId="75" fillId="2" borderId="1" xfId="3" applyNumberFormat="1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2" fontId="75" fillId="8" borderId="8" xfId="3" applyNumberFormat="1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5" fillId="2" borderId="1" xfId="4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2" fontId="75" fillId="8" borderId="1" xfId="9" applyNumberFormat="1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 vertical="center"/>
    </xf>
    <xf numFmtId="0" fontId="75" fillId="8" borderId="1" xfId="3" applyFont="1" applyFill="1" applyBorder="1" applyAlignment="1">
      <alignment horizontal="center" vertical="center"/>
    </xf>
    <xf numFmtId="0" fontId="75" fillId="0" borderId="1" xfId="4" applyFont="1" applyFill="1" applyBorder="1" applyAlignment="1">
      <alignment horizontal="center" vertical="center"/>
    </xf>
    <xf numFmtId="0" fontId="75" fillId="15" borderId="1" xfId="3" applyFont="1" applyFill="1" applyBorder="1" applyAlignment="1">
      <alignment vertical="center"/>
    </xf>
    <xf numFmtId="1" fontId="75" fillId="2" borderId="1" xfId="3" applyNumberFormat="1" applyFont="1" applyFill="1" applyBorder="1" applyAlignment="1">
      <alignment horizontal="center" vertical="center"/>
    </xf>
    <xf numFmtId="0" fontId="75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0" borderId="1" xfId="3" applyFont="1" applyFill="1" applyBorder="1" applyAlignment="1">
      <alignment horizontal="center"/>
    </xf>
    <xf numFmtId="0" fontId="75" fillId="10" borderId="25" xfId="4" applyFont="1" applyFill="1" applyBorder="1" applyAlignment="1">
      <alignment horizontal="center" vertical="center"/>
    </xf>
    <xf numFmtId="0" fontId="75" fillId="12" borderId="1" xfId="4" applyFont="1" applyFill="1" applyBorder="1" applyAlignment="1">
      <alignment horizontal="center"/>
    </xf>
    <xf numFmtId="2" fontId="75" fillId="8" borderId="7" xfId="3" applyNumberFormat="1" applyFont="1" applyFill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10" borderId="25" xfId="4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1" fontId="70" fillId="0" borderId="1" xfId="0" applyNumberFormat="1" applyFont="1" applyFill="1" applyBorder="1" applyAlignment="1">
      <alignment horizontal="center"/>
    </xf>
    <xf numFmtId="0" fontId="70" fillId="0" borderId="0" xfId="0" applyFont="1" applyBorder="1"/>
    <xf numFmtId="0" fontId="85" fillId="0" borderId="0" xfId="0" applyFont="1"/>
    <xf numFmtId="0" fontId="70" fillId="0" borderId="0" xfId="0" applyFont="1"/>
    <xf numFmtId="1" fontId="86" fillId="20" borderId="1" xfId="5" applyNumberFormat="1" applyFont="1" applyFill="1" applyBorder="1" applyAlignment="1">
      <alignment horizontal="center" vertical="center"/>
    </xf>
    <xf numFmtId="0" fontId="82" fillId="21" borderId="2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left"/>
    </xf>
    <xf numFmtId="0" fontId="86" fillId="21" borderId="1" xfId="3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/>
    </xf>
    <xf numFmtId="1" fontId="86" fillId="21" borderId="1" xfId="5" applyNumberFormat="1" applyFont="1" applyFill="1" applyBorder="1" applyAlignment="1">
      <alignment horizontal="center" vertical="center"/>
    </xf>
    <xf numFmtId="1" fontId="86" fillId="21" borderId="1" xfId="3" applyNumberFormat="1" applyFont="1" applyFill="1" applyBorder="1" applyAlignment="1">
      <alignment horizontal="center"/>
    </xf>
    <xf numFmtId="0" fontId="86" fillId="21" borderId="1" xfId="3" applyNumberFormat="1" applyFont="1" applyFill="1" applyBorder="1" applyAlignment="1">
      <alignment horizontal="center"/>
    </xf>
    <xf numFmtId="1" fontId="86" fillId="21" borderId="15" xfId="5" applyNumberFormat="1" applyFont="1" applyFill="1" applyBorder="1" applyAlignment="1" applyProtection="1">
      <alignment horizontal="center"/>
    </xf>
    <xf numFmtId="0" fontId="82" fillId="21" borderId="21" xfId="3" applyFont="1" applyFill="1" applyBorder="1" applyAlignment="1">
      <alignment horizontal="left" vertical="center"/>
    </xf>
    <xf numFmtId="0" fontId="81" fillId="21" borderId="1" xfId="3" applyFont="1" applyFill="1" applyBorder="1" applyAlignment="1">
      <alignment horizontal="left" vertical="center"/>
    </xf>
    <xf numFmtId="2" fontId="86" fillId="21" borderId="1" xfId="3" applyNumberFormat="1" applyFont="1" applyFill="1" applyBorder="1" applyAlignment="1">
      <alignment horizontal="center"/>
    </xf>
    <xf numFmtId="0" fontId="69" fillId="8" borderId="21" xfId="3" applyFont="1" applyFill="1" applyBorder="1" applyAlignment="1">
      <alignment horizontal="left" vertical="center"/>
    </xf>
    <xf numFmtId="0" fontId="71" fillId="8" borderId="1" xfId="3" applyFont="1" applyFill="1" applyBorder="1" applyAlignment="1">
      <alignment horizontal="left" vertical="center"/>
    </xf>
    <xf numFmtId="1" fontId="75" fillId="20" borderId="1" xfId="5" applyNumberFormat="1" applyFont="1" applyFill="1" applyBorder="1" applyAlignment="1">
      <alignment horizontal="center" vertical="center"/>
    </xf>
    <xf numFmtId="1" fontId="75" fillId="8" borderId="1" xfId="3" applyNumberFormat="1" applyFont="1" applyFill="1" applyBorder="1" applyAlignment="1">
      <alignment horizontal="center"/>
    </xf>
    <xf numFmtId="0" fontId="75" fillId="2" borderId="1" xfId="3" applyNumberFormat="1" applyFont="1" applyFill="1" applyBorder="1" applyAlignment="1">
      <alignment horizontal="center"/>
    </xf>
    <xf numFmtId="1" fontId="75" fillId="8" borderId="15" xfId="5" applyNumberFormat="1" applyFont="1" applyFill="1" applyBorder="1" applyAlignment="1" applyProtection="1">
      <alignment horizontal="center"/>
    </xf>
    <xf numFmtId="0" fontId="69" fillId="8" borderId="28" xfId="3" applyFont="1" applyFill="1" applyBorder="1" applyAlignment="1">
      <alignment horizontal="left" vertical="center"/>
    </xf>
    <xf numFmtId="0" fontId="69" fillId="8" borderId="5" xfId="3" applyFont="1" applyFill="1" applyBorder="1" applyAlignment="1">
      <alignment horizontal="left" vertical="center"/>
    </xf>
    <xf numFmtId="0" fontId="69" fillId="8" borderId="13" xfId="3" applyFont="1" applyFill="1" applyBorder="1" applyAlignment="1">
      <alignment horizontal="left" vertical="center"/>
    </xf>
    <xf numFmtId="0" fontId="75" fillId="8" borderId="8" xfId="3" applyFont="1" applyFill="1" applyBorder="1" applyAlignment="1">
      <alignment horizontal="center"/>
    </xf>
    <xf numFmtId="1" fontId="75" fillId="2" borderId="8" xfId="3" applyNumberFormat="1" applyFont="1" applyFill="1" applyBorder="1" applyAlignment="1">
      <alignment horizontal="center"/>
    </xf>
    <xf numFmtId="167" fontId="69" fillId="8" borderId="21" xfId="3" applyNumberFormat="1" applyFont="1" applyFill="1" applyBorder="1" applyAlignment="1">
      <alignment vertical="center"/>
    </xf>
    <xf numFmtId="167" fontId="71" fillId="8" borderId="1" xfId="3" applyNumberFormat="1" applyFont="1" applyFill="1" applyBorder="1" applyAlignment="1">
      <alignment vertical="center"/>
    </xf>
    <xf numFmtId="1" fontId="75" fillId="2" borderId="1" xfId="5" applyNumberFormat="1" applyFont="1" applyFill="1" applyBorder="1" applyAlignment="1">
      <alignment horizontal="center" vertical="center"/>
    </xf>
    <xf numFmtId="1" fontId="75" fillId="12" borderId="1" xfId="3" applyNumberFormat="1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right"/>
    </xf>
    <xf numFmtId="0" fontId="69" fillId="16" borderId="21" xfId="3" applyFont="1" applyFill="1" applyBorder="1" applyAlignment="1">
      <alignment horizontal="center"/>
    </xf>
    <xf numFmtId="0" fontId="71" fillId="16" borderId="1" xfId="3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75" fillId="2" borderId="1" xfId="3" applyNumberFormat="1" applyFont="1" applyFill="1" applyBorder="1" applyAlignment="1">
      <alignment horizontal="center"/>
    </xf>
    <xf numFmtId="0" fontId="75" fillId="0" borderId="1" xfId="4" applyFont="1" applyBorder="1"/>
    <xf numFmtId="164" fontId="75" fillId="20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 applyProtection="1">
      <alignment horizontal="center"/>
    </xf>
    <xf numFmtId="1" fontId="70" fillId="8" borderId="1" xfId="9" applyNumberFormat="1" applyFont="1" applyFill="1" applyBorder="1" applyAlignment="1">
      <alignment horizontal="center"/>
    </xf>
    <xf numFmtId="0" fontId="70" fillId="21" borderId="1" xfId="4" applyFont="1" applyFill="1" applyBorder="1" applyAlignment="1">
      <alignment horizontal="center"/>
    </xf>
    <xf numFmtId="0" fontId="76" fillId="12" borderId="1" xfId="4" applyFont="1" applyFill="1" applyBorder="1" applyAlignment="1">
      <alignment horizontal="center"/>
    </xf>
    <xf numFmtId="1" fontId="75" fillId="2" borderId="8" xfId="5" applyNumberFormat="1" applyFont="1" applyFill="1" applyBorder="1" applyAlignment="1">
      <alignment horizontal="center" vertical="center"/>
    </xf>
    <xf numFmtId="171" fontId="51" fillId="0" borderId="0" xfId="0" applyNumberFormat="1" applyFont="1"/>
    <xf numFmtId="1" fontId="84" fillId="0" borderId="5" xfId="0" applyNumberFormat="1" applyFont="1" applyBorder="1"/>
    <xf numFmtId="0" fontId="78" fillId="0" borderId="1" xfId="4" applyFont="1" applyFill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1" fontId="70" fillId="0" borderId="15" xfId="5" applyNumberFormat="1" applyFont="1" applyFill="1" applyBorder="1" applyAlignment="1" applyProtection="1">
      <alignment horizontal="center"/>
    </xf>
    <xf numFmtId="172" fontId="51" fillId="0" borderId="0" xfId="0" applyNumberFormat="1" applyFont="1"/>
    <xf numFmtId="0" fontId="70" fillId="12" borderId="1" xfId="3" applyFont="1" applyFill="1" applyBorder="1" applyAlignment="1">
      <alignment horizontal="center"/>
    </xf>
    <xf numFmtId="0" fontId="38" fillId="0" borderId="0" xfId="0" applyFont="1" applyFill="1"/>
    <xf numFmtId="172" fontId="51" fillId="0" borderId="0" xfId="0" applyNumberFormat="1" applyFont="1" applyFill="1"/>
    <xf numFmtId="171" fontId="51" fillId="0" borderId="0" xfId="0" applyNumberFormat="1" applyFont="1" applyFill="1"/>
    <xf numFmtId="1" fontId="51" fillId="0" borderId="0" xfId="0" applyNumberFormat="1" applyFont="1" applyFill="1"/>
    <xf numFmtId="1" fontId="84" fillId="0" borderId="0" xfId="0" applyNumberFormat="1" applyFont="1" applyFill="1"/>
    <xf numFmtId="1" fontId="84" fillId="0" borderId="5" xfId="0" applyNumberFormat="1" applyFont="1" applyFill="1" applyBorder="1"/>
    <xf numFmtId="0" fontId="87" fillId="0" borderId="0" xfId="0" applyFont="1" applyFill="1" applyAlignment="1">
      <alignment horizontal="center"/>
    </xf>
    <xf numFmtId="0" fontId="88" fillId="0" borderId="0" xfId="0" applyFont="1" applyFill="1" applyAlignment="1">
      <alignment horizontal="center"/>
    </xf>
    <xf numFmtId="1" fontId="87" fillId="0" borderId="0" xfId="0" applyNumberFormat="1" applyFont="1" applyFill="1" applyAlignment="1">
      <alignment horizontal="center"/>
    </xf>
    <xf numFmtId="1" fontId="89" fillId="0" borderId="0" xfId="0" applyNumberFormat="1" applyFont="1" applyFill="1" applyAlignment="1">
      <alignment horizontal="center"/>
    </xf>
    <xf numFmtId="1" fontId="89" fillId="0" borderId="5" xfId="0" applyNumberFormat="1" applyFont="1" applyFill="1" applyBorder="1" applyAlignment="1">
      <alignment horizontal="center"/>
    </xf>
    <xf numFmtId="1" fontId="51" fillId="12" borderId="0" xfId="0" applyNumberFormat="1" applyFont="1" applyFill="1"/>
    <xf numFmtId="1" fontId="87" fillId="12" borderId="0" xfId="0" applyNumberFormat="1" applyFont="1" applyFill="1" applyAlignment="1">
      <alignment horizontal="center"/>
    </xf>
    <xf numFmtId="0" fontId="51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51" fillId="0" borderId="0" xfId="0" applyNumberFormat="1" applyFont="1" applyAlignment="1">
      <alignment horizontal="center"/>
    </xf>
    <xf numFmtId="173" fontId="51" fillId="12" borderId="0" xfId="0" applyNumberFormat="1" applyFont="1" applyFill="1" applyAlignment="1">
      <alignment horizontal="center"/>
    </xf>
    <xf numFmtId="173" fontId="51" fillId="0" borderId="0" xfId="0" applyNumberFormat="1" applyFont="1" applyFill="1" applyAlignment="1">
      <alignment horizontal="center"/>
    </xf>
    <xf numFmtId="172" fontId="51" fillId="12" borderId="0" xfId="0" applyNumberFormat="1" applyFont="1" applyFill="1"/>
    <xf numFmtId="172" fontId="87" fillId="12" borderId="0" xfId="0" applyNumberFormat="1" applyFont="1" applyFill="1" applyAlignment="1">
      <alignment horizontal="center"/>
    </xf>
    <xf numFmtId="0" fontId="66" fillId="0" borderId="21" xfId="4" applyFont="1" applyFill="1" applyBorder="1"/>
    <xf numFmtId="0" fontId="67" fillId="0" borderId="1" xfId="0" applyFont="1" applyFill="1" applyBorder="1"/>
    <xf numFmtId="0" fontId="70" fillId="0" borderId="1" xfId="4" applyFont="1" applyFill="1" applyBorder="1"/>
    <xf numFmtId="164" fontId="52" fillId="0" borderId="0" xfId="5" applyNumberFormat="1" applyFont="1" applyFill="1" applyBorder="1" applyAlignment="1" applyProtection="1">
      <alignment horizontal="center"/>
    </xf>
    <xf numFmtId="0" fontId="53" fillId="0" borderId="0" xfId="0" applyFont="1" applyFill="1" applyBorder="1"/>
    <xf numFmtId="0" fontId="53" fillId="0" borderId="0" xfId="0" applyFont="1" applyFill="1"/>
    <xf numFmtId="1" fontId="64" fillId="9" borderId="1" xfId="3" applyNumberFormat="1" applyFont="1" applyFill="1" applyBorder="1" applyAlignment="1">
      <alignment horizontal="center" vertical="center"/>
    </xf>
    <xf numFmtId="1" fontId="70" fillId="8" borderId="8" xfId="3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1" fontId="70" fillId="21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 vertical="center"/>
    </xf>
    <xf numFmtId="1" fontId="70" fillId="0" borderId="1" xfId="4" applyNumberFormat="1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vertical="center"/>
    </xf>
    <xf numFmtId="1" fontId="70" fillId="0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/>
    <xf numFmtId="1" fontId="70" fillId="2" borderId="1" xfId="4" applyNumberFormat="1" applyFont="1" applyFill="1" applyBorder="1" applyAlignment="1">
      <alignment horizontal="center" wrapText="1"/>
    </xf>
    <xf numFmtId="1" fontId="70" fillId="0" borderId="1" xfId="4" applyNumberFormat="1" applyFont="1" applyFill="1" applyBorder="1" applyAlignment="1">
      <alignment horizontal="center" wrapText="1"/>
    </xf>
    <xf numFmtId="1" fontId="70" fillId="0" borderId="1" xfId="4" applyNumberFormat="1" applyFont="1" applyBorder="1" applyAlignment="1">
      <alignment horizontal="center" wrapText="1"/>
    </xf>
    <xf numFmtId="1" fontId="75" fillId="0" borderId="1" xfId="3" applyNumberFormat="1" applyFont="1" applyFill="1" applyBorder="1" applyAlignment="1">
      <alignment horizontal="center"/>
    </xf>
    <xf numFmtId="1" fontId="70" fillId="10" borderId="25" xfId="4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>
      <alignment horizontal="center"/>
    </xf>
    <xf numFmtId="1" fontId="70" fillId="0" borderId="0" xfId="0" applyNumberFormat="1" applyFont="1" applyBorder="1"/>
    <xf numFmtId="1" fontId="70" fillId="12" borderId="1" xfId="4" applyNumberFormat="1" applyFont="1" applyFill="1" applyBorder="1" applyAlignment="1">
      <alignment horizontal="center"/>
    </xf>
    <xf numFmtId="1" fontId="85" fillId="0" borderId="0" xfId="0" applyNumberFormat="1" applyFont="1"/>
    <xf numFmtId="1" fontId="70" fillId="0" borderId="0" xfId="0" applyNumberFormat="1" applyFont="1"/>
    <xf numFmtId="1" fontId="86" fillId="21" borderId="1" xfId="4" applyNumberFormat="1" applyFont="1" applyFill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0" borderId="1" xfId="4" applyNumberFormat="1" applyFont="1" applyBorder="1" applyAlignment="1">
      <alignment horizontal="center"/>
    </xf>
    <xf numFmtId="1" fontId="77" fillId="2" borderId="1" xfId="4" applyNumberFormat="1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76" fillId="2" borderId="1" xfId="4" applyNumberFormat="1" applyFont="1" applyFill="1" applyBorder="1" applyAlignment="1">
      <alignment horizontal="center" wrapText="1"/>
    </xf>
    <xf numFmtId="1" fontId="76" fillId="2" borderId="1" xfId="4" applyNumberFormat="1" applyFont="1" applyFill="1" applyBorder="1" applyAlignment="1">
      <alignment horizontal="center"/>
    </xf>
    <xf numFmtId="1" fontId="76" fillId="10" borderId="25" xfId="4" applyNumberFormat="1" applyFont="1" applyFill="1" applyBorder="1" applyAlignment="1">
      <alignment horizontal="center" vertical="center"/>
    </xf>
    <xf numFmtId="1" fontId="75" fillId="0" borderId="0" xfId="0" applyNumberFormat="1" applyFont="1" applyBorder="1"/>
    <xf numFmtId="1" fontId="76" fillId="0" borderId="1" xfId="4" applyNumberFormat="1" applyFont="1" applyFill="1" applyBorder="1" applyAlignment="1">
      <alignment horizontal="center"/>
    </xf>
    <xf numFmtId="1" fontId="76" fillId="12" borderId="1" xfId="4" applyNumberFormat="1" applyFont="1" applyFill="1" applyBorder="1" applyAlignment="1">
      <alignment horizontal="center"/>
    </xf>
    <xf numFmtId="0" fontId="91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90" fillId="0" borderId="0" xfId="16" applyAlignment="1" applyProtection="1"/>
    <xf numFmtId="1" fontId="14" fillId="0" borderId="0" xfId="2" applyNumberFormat="1" applyAlignment="1" applyProtection="1"/>
    <xf numFmtId="1" fontId="70" fillId="12" borderId="1" xfId="5" applyNumberFormat="1" applyFont="1" applyFill="1" applyBorder="1" applyAlignment="1">
      <alignment horizontal="center" vertical="center"/>
    </xf>
    <xf numFmtId="1" fontId="70" fillId="12" borderId="15" xfId="5" applyNumberFormat="1" applyFont="1" applyFill="1" applyBorder="1" applyAlignment="1" applyProtection="1">
      <alignment horizontal="center"/>
    </xf>
    <xf numFmtId="0" fontId="51" fillId="12" borderId="0" xfId="0" applyFont="1" applyFill="1"/>
    <xf numFmtId="1" fontId="53" fillId="0" borderId="0" xfId="0" applyNumberFormat="1" applyFont="1"/>
    <xf numFmtId="1" fontId="53" fillId="0" borderId="0" xfId="0" applyNumberFormat="1" applyFont="1" applyFill="1"/>
    <xf numFmtId="1" fontId="61" fillId="0" borderId="0" xfId="0" applyNumberFormat="1" applyFont="1" applyFill="1"/>
    <xf numFmtId="1" fontId="78" fillId="12" borderId="1" xfId="5" applyNumberFormat="1" applyFont="1" applyFill="1" applyBorder="1" applyAlignment="1">
      <alignment horizontal="center" vertical="center"/>
    </xf>
    <xf numFmtId="0" fontId="75" fillId="0" borderId="4" xfId="0" applyFont="1" applyFill="1" applyBorder="1"/>
    <xf numFmtId="1" fontId="93" fillId="0" borderId="1" xfId="0" applyNumberFormat="1" applyFont="1" applyFill="1" applyBorder="1" applyAlignment="1">
      <alignment horizontal="center" wrapText="1"/>
    </xf>
    <xf numFmtId="0" fontId="76" fillId="12" borderId="1" xfId="4" applyFont="1" applyFill="1" applyBorder="1" applyAlignment="1">
      <alignment horizontal="center" wrapText="1"/>
    </xf>
    <xf numFmtId="0" fontId="70" fillId="12" borderId="1" xfId="0" applyFont="1" applyFill="1" applyBorder="1" applyAlignment="1">
      <alignment horizontal="center"/>
    </xf>
    <xf numFmtId="0" fontId="69" fillId="0" borderId="1" xfId="0" applyFont="1" applyBorder="1"/>
    <xf numFmtId="0" fontId="71" fillId="0" borderId="1" xfId="0" applyFont="1" applyBorder="1"/>
    <xf numFmtId="0" fontId="64" fillId="0" borderId="1" xfId="4" applyFont="1" applyBorder="1" applyAlignment="1">
      <alignment vertical="center"/>
    </xf>
    <xf numFmtId="0" fontId="81" fillId="2" borderId="1" xfId="3" applyFont="1" applyFill="1" applyBorder="1" applyAlignment="1">
      <alignment horizontal="left"/>
    </xf>
    <xf numFmtId="0" fontId="86" fillId="2" borderId="1" xfId="3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/>
    </xf>
    <xf numFmtId="0" fontId="82" fillId="2" borderId="21" xfId="3" applyFont="1" applyFill="1" applyBorder="1" applyAlignment="1">
      <alignment horizontal="left" vertical="center"/>
    </xf>
    <xf numFmtId="0" fontId="81" fillId="2" borderId="1" xfId="3" applyFont="1" applyFill="1" applyBorder="1" applyAlignment="1">
      <alignment horizontal="left" vertical="center"/>
    </xf>
    <xf numFmtId="0" fontId="64" fillId="2" borderId="21" xfId="3" applyFont="1" applyFill="1" applyBorder="1" applyAlignment="1">
      <alignment horizontal="left"/>
    </xf>
    <xf numFmtId="0" fontId="63" fillId="2" borderId="1" xfId="3" applyFont="1" applyFill="1" applyBorder="1" applyAlignment="1">
      <alignment horizontal="left"/>
    </xf>
    <xf numFmtId="0" fontId="69" fillId="2" borderId="1" xfId="0" applyFont="1" applyFill="1" applyBorder="1"/>
    <xf numFmtId="0" fontId="71" fillId="2" borderId="1" xfId="0" applyFont="1" applyFill="1" applyBorder="1"/>
    <xf numFmtId="0" fontId="64" fillId="2" borderId="1" xfId="4" applyFont="1" applyFill="1" applyBorder="1" applyAlignment="1">
      <alignment vertical="center"/>
    </xf>
    <xf numFmtId="0" fontId="63" fillId="2" borderId="1" xfId="4" applyFont="1" applyFill="1" applyBorder="1" applyAlignment="1">
      <alignment vertical="center"/>
    </xf>
    <xf numFmtId="0" fontId="69" fillId="2" borderId="0" xfId="0" applyFont="1" applyFill="1"/>
    <xf numFmtId="0" fontId="71" fillId="2" borderId="0" xfId="0" applyFont="1" applyFill="1"/>
    <xf numFmtId="0" fontId="75" fillId="2" borderId="0" xfId="0" applyFont="1" applyFill="1"/>
    <xf numFmtId="0" fontId="70" fillId="2" borderId="0" xfId="0" applyFont="1" applyFill="1"/>
    <xf numFmtId="1" fontId="75" fillId="2" borderId="0" xfId="0" applyNumberFormat="1" applyFont="1" applyFill="1"/>
    <xf numFmtId="0" fontId="70" fillId="2" borderId="1" xfId="0" applyFont="1" applyFill="1" applyBorder="1" applyAlignment="1">
      <alignment horizontal="center"/>
    </xf>
    <xf numFmtId="0" fontId="62" fillId="0" borderId="25" xfId="0" applyFont="1" applyFill="1" applyBorder="1" applyAlignment="1">
      <alignment horizontal="center"/>
    </xf>
    <xf numFmtId="1" fontId="51" fillId="0" borderId="0" xfId="0" applyNumberFormat="1" applyFont="1" applyBorder="1"/>
    <xf numFmtId="0" fontId="95" fillId="0" borderId="0" xfId="0" applyFont="1"/>
    <xf numFmtId="166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center"/>
    </xf>
    <xf numFmtId="9" fontId="96" fillId="9" borderId="1" xfId="4" applyNumberFormat="1" applyFont="1" applyFill="1" applyBorder="1"/>
    <xf numFmtId="0" fontId="96" fillId="9" borderId="1" xfId="3" applyFont="1" applyFill="1" applyBorder="1" applyAlignment="1">
      <alignment horizontal="center" vertical="center"/>
    </xf>
    <xf numFmtId="1" fontId="96" fillId="9" borderId="15" xfId="3" applyNumberFormat="1" applyFont="1" applyFill="1" applyBorder="1" applyAlignment="1">
      <alignment horizontal="center" vertical="center"/>
    </xf>
    <xf numFmtId="9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left"/>
    </xf>
    <xf numFmtId="0" fontId="96" fillId="9" borderId="1" xfId="3" applyFont="1" applyFill="1" applyBorder="1" applyAlignment="1"/>
    <xf numFmtId="10" fontId="96" fillId="9" borderId="1" xfId="3" applyNumberFormat="1" applyFont="1" applyFill="1" applyBorder="1" applyAlignment="1">
      <alignment horizontal="center"/>
    </xf>
    <xf numFmtId="1" fontId="96" fillId="9" borderId="1" xfId="3" applyNumberFormat="1" applyFont="1" applyFill="1" applyBorder="1" applyAlignment="1">
      <alignment horizontal="center"/>
    </xf>
    <xf numFmtId="1" fontId="96" fillId="9" borderId="15" xfId="3" applyNumberFormat="1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0" borderId="0" xfId="0" applyFont="1" applyBorder="1"/>
    <xf numFmtId="0" fontId="96" fillId="9" borderId="21" xfId="3" applyFont="1" applyFill="1" applyBorder="1"/>
    <xf numFmtId="9" fontId="96" fillId="9" borderId="1" xfId="3" applyNumberFormat="1" applyFont="1" applyFill="1" applyBorder="1" applyAlignment="1">
      <alignment horizontal="left"/>
    </xf>
    <xf numFmtId="2" fontId="96" fillId="9" borderId="1" xfId="3" applyNumberFormat="1" applyFont="1" applyFill="1" applyBorder="1" applyAlignment="1">
      <alignment horizontal="center"/>
    </xf>
    <xf numFmtId="9" fontId="96" fillId="9" borderId="1" xfId="3" applyNumberFormat="1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0" fontId="96" fillId="8" borderId="21" xfId="3" applyFont="1" applyFill="1" applyBorder="1" applyAlignment="1">
      <alignment horizontal="center" vertical="center"/>
    </xf>
    <xf numFmtId="0" fontId="96" fillId="8" borderId="1" xfId="3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 vertical="center"/>
    </xf>
    <xf numFmtId="164" fontId="96" fillId="8" borderId="1" xfId="3" applyNumberFormat="1" applyFont="1" applyFill="1" applyBorder="1" applyAlignment="1">
      <alignment horizontal="center" wrapText="1" shrinkToFit="1"/>
    </xf>
    <xf numFmtId="2" fontId="96" fillId="8" borderId="1" xfId="3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 vertical="center"/>
    </xf>
    <xf numFmtId="164" fontId="96" fillId="8" borderId="15" xfId="3" applyNumberFormat="1" applyFont="1" applyFill="1" applyBorder="1" applyAlignment="1">
      <alignment horizontal="center" wrapText="1" shrinkToFit="1"/>
    </xf>
    <xf numFmtId="164" fontId="98" fillId="2" borderId="0" xfId="3" applyNumberFormat="1" applyFont="1" applyFill="1" applyBorder="1" applyAlignment="1">
      <alignment horizontal="center" vertical="center" wrapText="1" shrinkToFit="1"/>
    </xf>
    <xf numFmtId="0" fontId="96" fillId="15" borderId="1" xfId="3" applyFont="1" applyFill="1" applyBorder="1" applyAlignment="1">
      <alignment horizontal="center" vertical="center"/>
    </xf>
    <xf numFmtId="0" fontId="96" fillId="15" borderId="1" xfId="3" applyFont="1" applyFill="1" applyBorder="1" applyAlignment="1">
      <alignment horizontal="center"/>
    </xf>
    <xf numFmtId="0" fontId="96" fillId="15" borderId="15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 vertical="center"/>
    </xf>
    <xf numFmtId="0" fontId="96" fillId="8" borderId="2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1" fontId="96" fillId="2" borderId="1" xfId="5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/>
    </xf>
    <xf numFmtId="0" fontId="96" fillId="2" borderId="1" xfId="3" applyNumberFormat="1" applyFont="1" applyFill="1" applyBorder="1" applyAlignment="1">
      <alignment horizontal="center"/>
    </xf>
    <xf numFmtId="1" fontId="96" fillId="8" borderId="15" xfId="5" applyNumberFormat="1" applyFont="1" applyFill="1" applyBorder="1" applyAlignment="1" applyProtection="1">
      <alignment horizontal="center"/>
    </xf>
    <xf numFmtId="2" fontId="100" fillId="8" borderId="11" xfId="3" applyNumberFormat="1" applyFont="1" applyFill="1" applyBorder="1" applyAlignment="1">
      <alignment horizontal="center"/>
    </xf>
    <xf numFmtId="1" fontId="95" fillId="0" borderId="0" xfId="0" applyNumberFormat="1" applyFont="1"/>
    <xf numFmtId="0" fontId="96" fillId="8" borderId="28" xfId="3" applyFont="1" applyFill="1" applyBorder="1" applyAlignment="1">
      <alignment horizontal="left" vertical="center"/>
    </xf>
    <xf numFmtId="0" fontId="96" fillId="8" borderId="5" xfId="3" applyFont="1" applyFill="1" applyBorder="1" applyAlignment="1">
      <alignment horizontal="left" vertical="center"/>
    </xf>
    <xf numFmtId="0" fontId="96" fillId="8" borderId="13" xfId="3" applyFont="1" applyFill="1" applyBorder="1" applyAlignment="1">
      <alignment horizontal="left" vertical="center"/>
    </xf>
    <xf numFmtId="0" fontId="96" fillId="8" borderId="8" xfId="3" applyFont="1" applyFill="1" applyBorder="1" applyAlignment="1">
      <alignment horizontal="center"/>
    </xf>
    <xf numFmtId="2" fontId="96" fillId="8" borderId="8" xfId="3" applyNumberFormat="1" applyFont="1" applyFill="1" applyBorder="1" applyAlignment="1">
      <alignment horizontal="center"/>
    </xf>
    <xf numFmtId="1" fontId="96" fillId="2" borderId="7" xfId="5" applyNumberFormat="1" applyFont="1" applyFill="1" applyBorder="1" applyAlignment="1">
      <alignment horizontal="center" vertical="center"/>
    </xf>
    <xf numFmtId="1" fontId="96" fillId="2" borderId="8" xfId="3" applyNumberFormat="1" applyFont="1" applyFill="1" applyBorder="1" applyAlignment="1">
      <alignment horizontal="center"/>
    </xf>
    <xf numFmtId="2" fontId="100" fillId="8" borderId="1" xfId="3" applyNumberFormat="1" applyFont="1" applyFill="1" applyBorder="1" applyAlignment="1">
      <alignment horizontal="center"/>
    </xf>
    <xf numFmtId="2" fontId="95" fillId="0" borderId="0" xfId="0" applyNumberFormat="1" applyFont="1"/>
    <xf numFmtId="167" fontId="96" fillId="8" borderId="21" xfId="3" applyNumberFormat="1" applyFont="1" applyFill="1" applyBorder="1" applyAlignment="1">
      <alignment vertical="center"/>
    </xf>
    <xf numFmtId="167" fontId="96" fillId="8" borderId="1" xfId="3" applyNumberFormat="1" applyFont="1" applyFill="1" applyBorder="1" applyAlignment="1">
      <alignment vertical="center"/>
    </xf>
    <xf numFmtId="0" fontId="96" fillId="0" borderId="1" xfId="4" applyFont="1" applyBorder="1" applyAlignment="1">
      <alignment horizontal="center"/>
    </xf>
    <xf numFmtId="1" fontId="96" fillId="12" borderId="1" xfId="3" applyNumberFormat="1" applyFont="1" applyFill="1" applyBorder="1" applyAlignment="1">
      <alignment horizontal="center"/>
    </xf>
    <xf numFmtId="1" fontId="98" fillId="2" borderId="0" xfId="5" applyNumberFormat="1" applyFont="1" applyFill="1" applyBorder="1" applyAlignment="1" applyProtection="1">
      <alignment horizontal="center"/>
    </xf>
    <xf numFmtId="2" fontId="96" fillId="8" borderId="1" xfId="3" applyNumberFormat="1" applyFont="1" applyFill="1" applyBorder="1" applyAlignment="1">
      <alignment horizontal="right"/>
    </xf>
    <xf numFmtId="0" fontId="96" fillId="16" borderId="21" xfId="3" applyFont="1" applyFill="1" applyBorder="1" applyAlignment="1">
      <alignment horizontal="center"/>
    </xf>
    <xf numFmtId="0" fontId="96" fillId="16" borderId="1" xfId="3" applyFont="1" applyFill="1" applyBorder="1" applyAlignment="1">
      <alignment horizontal="center"/>
    </xf>
    <xf numFmtId="1" fontId="96" fillId="8" borderId="1" xfId="5" applyNumberFormat="1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/>
    </xf>
    <xf numFmtId="0" fontId="96" fillId="8" borderId="21" xfId="3" applyFont="1" applyFill="1" applyBorder="1" applyAlignment="1">
      <alignment horizontal="left"/>
    </xf>
    <xf numFmtId="0" fontId="96" fillId="8" borderId="1" xfId="3" applyFont="1" applyFill="1" applyBorder="1" applyAlignment="1">
      <alignment horizontal="left"/>
    </xf>
    <xf numFmtId="0" fontId="102" fillId="0" borderId="1" xfId="4" applyFont="1" applyBorder="1" applyAlignment="1">
      <alignment horizontal="center"/>
    </xf>
    <xf numFmtId="0" fontId="96" fillId="2" borderId="2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center"/>
    </xf>
    <xf numFmtId="0" fontId="96" fillId="2" borderId="1" xfId="4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2" fontId="96" fillId="12" borderId="1" xfId="3" applyNumberFormat="1" applyFont="1" applyFill="1" applyBorder="1" applyAlignment="1">
      <alignment horizontal="center"/>
    </xf>
    <xf numFmtId="1" fontId="96" fillId="2" borderId="15" xfId="5" applyNumberFormat="1" applyFont="1" applyFill="1" applyBorder="1" applyAlignment="1" applyProtection="1">
      <alignment horizontal="center"/>
    </xf>
    <xf numFmtId="1" fontId="101" fillId="15" borderId="1" xfId="3" applyNumberFormat="1" applyFont="1" applyFill="1" applyBorder="1" applyAlignment="1">
      <alignment horizontal="center"/>
    </xf>
    <xf numFmtId="0" fontId="96" fillId="0" borderId="1" xfId="4" applyFont="1" applyBorder="1"/>
    <xf numFmtId="0" fontId="103" fillId="8" borderId="1" xfId="3" applyFont="1" applyFill="1" applyBorder="1" applyAlignment="1">
      <alignment horizontal="center"/>
    </xf>
    <xf numFmtId="164" fontId="103" fillId="8" borderId="1" xfId="5" applyNumberFormat="1" applyFont="1" applyFill="1" applyBorder="1" applyAlignment="1">
      <alignment horizontal="center" vertical="center"/>
    </xf>
    <xf numFmtId="1" fontId="96" fillId="12" borderId="1" xfId="5" applyNumberFormat="1" applyFont="1" applyFill="1" applyBorder="1" applyAlignment="1" applyProtection="1">
      <alignment horizontal="center"/>
    </xf>
    <xf numFmtId="0" fontId="96" fillId="16" borderId="21" xfId="3" applyFont="1" applyFill="1" applyBorder="1" applyAlignment="1">
      <alignment horizontal="center" vertical="center"/>
    </xf>
    <xf numFmtId="0" fontId="96" fillId="16" borderId="1" xfId="3" applyFont="1" applyFill="1" applyBorder="1" applyAlignment="1">
      <alignment horizontal="center" vertical="center"/>
    </xf>
    <xf numFmtId="0" fontId="103" fillId="2" borderId="1" xfId="4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 vertical="center"/>
    </xf>
    <xf numFmtId="1" fontId="96" fillId="15" borderId="1" xfId="3" applyNumberFormat="1" applyFont="1" applyFill="1" applyBorder="1" applyAlignment="1">
      <alignment horizontal="center" vertical="center"/>
    </xf>
    <xf numFmtId="0" fontId="104" fillId="15" borderId="1" xfId="3" applyFont="1" applyFill="1" applyBorder="1" applyAlignment="1">
      <alignment horizontal="center" vertical="center"/>
    </xf>
    <xf numFmtId="1" fontId="96" fillId="15" borderId="15" xfId="3" applyNumberFormat="1" applyFont="1" applyFill="1" applyBorder="1" applyAlignment="1">
      <alignment horizontal="center" vertical="center"/>
    </xf>
    <xf numFmtId="0" fontId="105" fillId="0" borderId="0" xfId="0" applyFont="1" applyBorder="1"/>
    <xf numFmtId="0" fontId="105" fillId="0" borderId="0" xfId="0" applyFont="1"/>
    <xf numFmtId="0" fontId="106" fillId="2" borderId="16" xfId="3" applyFont="1" applyFill="1" applyBorder="1" applyAlignment="1">
      <alignment horizontal="center"/>
    </xf>
    <xf numFmtId="0" fontId="106" fillId="2" borderId="3" xfId="3" applyFont="1" applyFill="1" applyBorder="1" applyAlignment="1">
      <alignment horizontal="center"/>
    </xf>
    <xf numFmtId="0" fontId="106" fillId="2" borderId="4" xfId="3" applyFont="1" applyFill="1" applyBorder="1" applyAlignment="1">
      <alignment horizontal="center"/>
    </xf>
    <xf numFmtId="44" fontId="106" fillId="8" borderId="1" xfId="8" applyFont="1" applyFill="1" applyBorder="1" applyAlignment="1">
      <alignment horizontal="center"/>
    </xf>
    <xf numFmtId="2" fontId="106" fillId="8" borderId="1" xfId="3" applyNumberFormat="1" applyFont="1" applyFill="1" applyBorder="1" applyAlignment="1">
      <alignment horizontal="center"/>
    </xf>
    <xf numFmtId="164" fontId="101" fillId="8" borderId="1" xfId="3" applyNumberFormat="1" applyFont="1" applyFill="1" applyBorder="1" applyAlignment="1">
      <alignment horizontal="center"/>
    </xf>
    <xf numFmtId="1" fontId="104" fillId="8" borderId="1" xfId="3" applyNumberFormat="1" applyFont="1" applyFill="1" applyBorder="1" applyAlignment="1">
      <alignment horizontal="center"/>
    </xf>
    <xf numFmtId="0" fontId="106" fillId="8" borderId="1" xfId="3" applyFont="1" applyFill="1" applyBorder="1" applyAlignment="1">
      <alignment horizontal="center"/>
    </xf>
    <xf numFmtId="1" fontId="106" fillId="8" borderId="1" xfId="5" applyNumberFormat="1" applyFont="1" applyFill="1" applyBorder="1" applyAlignment="1">
      <alignment horizontal="center" vertical="center"/>
    </xf>
    <xf numFmtId="2" fontId="96" fillId="8" borderId="1" xfId="9" applyNumberFormat="1" applyFont="1" applyFill="1" applyBorder="1" applyAlignment="1">
      <alignment horizontal="center"/>
    </xf>
    <xf numFmtId="168" fontId="101" fillId="8" borderId="1" xfId="5" applyNumberFormat="1" applyFont="1" applyFill="1" applyBorder="1" applyAlignment="1" applyProtection="1">
      <alignment horizontal="center" vertical="center"/>
    </xf>
    <xf numFmtId="164" fontId="104" fillId="8" borderId="1" xfId="5" applyNumberFormat="1" applyFont="1" applyFill="1" applyBorder="1" applyAlignment="1" applyProtection="1">
      <alignment horizontal="center"/>
    </xf>
    <xf numFmtId="2" fontId="104" fillId="8" borderId="1" xfId="3" applyNumberFormat="1" applyFont="1" applyFill="1" applyBorder="1" applyAlignment="1">
      <alignment horizontal="right"/>
    </xf>
    <xf numFmtId="0" fontId="106" fillId="16" borderId="16" xfId="3" applyFont="1" applyFill="1" applyBorder="1" applyAlignment="1">
      <alignment horizontal="center"/>
    </xf>
    <xf numFmtId="0" fontId="106" fillId="16" borderId="3" xfId="3" applyFont="1" applyFill="1" applyBorder="1" applyAlignment="1">
      <alignment horizontal="center"/>
    </xf>
    <xf numFmtId="0" fontId="106" fillId="16" borderId="4" xfId="3" applyFont="1" applyFill="1" applyBorder="1" applyAlignment="1">
      <alignment horizontal="center"/>
    </xf>
    <xf numFmtId="0" fontId="103" fillId="2" borderId="1" xfId="3" applyFont="1" applyFill="1" applyBorder="1" applyAlignment="1">
      <alignment horizontal="center"/>
    </xf>
    <xf numFmtId="169" fontId="103" fillId="8" borderId="1" xfId="5" applyNumberFormat="1" applyFont="1" applyFill="1" applyBorder="1" applyAlignment="1" applyProtection="1">
      <alignment horizontal="center" vertical="center"/>
    </xf>
    <xf numFmtId="1" fontId="103" fillId="2" borderId="1" xfId="3" applyNumberFormat="1" applyFont="1" applyFill="1" applyBorder="1" applyAlignment="1">
      <alignment horizontal="center" vertical="top"/>
    </xf>
    <xf numFmtId="0" fontId="96" fillId="15" borderId="21" xfId="3" applyFont="1" applyFill="1" applyBorder="1" applyAlignment="1">
      <alignment horizontal="left"/>
    </xf>
    <xf numFmtId="0" fontId="96" fillId="15" borderId="1" xfId="3" applyFont="1" applyFill="1" applyBorder="1" applyAlignment="1">
      <alignment horizontal="left"/>
    </xf>
    <xf numFmtId="0" fontId="96" fillId="0" borderId="1" xfId="4" applyFont="1" applyBorder="1" applyAlignment="1">
      <alignment horizontal="center" vertical="center"/>
    </xf>
    <xf numFmtId="2" fontId="96" fillId="8" borderId="21" xfId="3" applyNumberFormat="1" applyFont="1" applyFill="1" applyBorder="1" applyAlignment="1">
      <alignment horizontal="left" vertical="center"/>
    </xf>
    <xf numFmtId="2" fontId="96" fillId="8" borderId="1" xfId="3" applyNumberFormat="1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justify"/>
    </xf>
    <xf numFmtId="0" fontId="96" fillId="15" borderId="21" xfId="3" applyFont="1" applyFill="1" applyBorder="1" applyAlignment="1"/>
    <xf numFmtId="0" fontId="96" fillId="15" borderId="1" xfId="3" applyFont="1" applyFill="1" applyBorder="1" applyAlignment="1"/>
    <xf numFmtId="0" fontId="96" fillId="15" borderId="1" xfId="3" applyFont="1" applyFill="1" applyBorder="1" applyAlignment="1">
      <alignment vertical="center"/>
    </xf>
    <xf numFmtId="0" fontId="96" fillId="15" borderId="15" xfId="3" applyFont="1" applyFill="1" applyBorder="1" applyAlignment="1"/>
    <xf numFmtId="0" fontId="96" fillId="0" borderId="21" xfId="4" applyFont="1" applyBorder="1" applyAlignment="1">
      <alignment vertical="center"/>
    </xf>
    <xf numFmtId="0" fontId="96" fillId="0" borderId="1" xfId="4" applyFont="1" applyBorder="1" applyAlignment="1">
      <alignment vertical="center"/>
    </xf>
    <xf numFmtId="1" fontId="96" fillId="2" borderId="1" xfId="3" applyNumberFormat="1" applyFont="1" applyFill="1" applyBorder="1" applyAlignment="1">
      <alignment horizontal="center" vertical="center"/>
    </xf>
    <xf numFmtId="164" fontId="96" fillId="2" borderId="1" xfId="5" applyNumberFormat="1" applyFont="1" applyFill="1" applyBorder="1" applyAlignment="1" applyProtection="1">
      <alignment horizontal="center" vertical="center"/>
    </xf>
    <xf numFmtId="164" fontId="96" fillId="8" borderId="1" xfId="5" applyNumberFormat="1" applyFont="1" applyFill="1" applyBorder="1" applyAlignment="1" applyProtection="1">
      <alignment horizontal="center" vertical="top"/>
    </xf>
    <xf numFmtId="2" fontId="98" fillId="2" borderId="0" xfId="5" applyNumberFormat="1" applyFont="1" applyFill="1" applyBorder="1" applyAlignment="1" applyProtection="1">
      <alignment horizontal="center"/>
    </xf>
    <xf numFmtId="165" fontId="98" fillId="2" borderId="0" xfId="6" applyNumberFormat="1" applyFont="1" applyFill="1" applyBorder="1" applyAlignment="1">
      <alignment horizontal="center"/>
    </xf>
    <xf numFmtId="0" fontId="96" fillId="2" borderId="1" xfId="4" applyFont="1" applyFill="1" applyBorder="1" applyAlignment="1">
      <alignment horizontal="left"/>
    </xf>
    <xf numFmtId="0" fontId="96" fillId="2" borderId="1" xfId="4" applyFont="1" applyFill="1" applyBorder="1" applyAlignment="1"/>
    <xf numFmtId="0" fontId="96" fillId="2" borderId="15" xfId="4" applyFont="1" applyFill="1" applyBorder="1" applyAlignment="1"/>
    <xf numFmtId="0" fontId="102" fillId="2" borderId="1" xfId="4" applyFont="1" applyFill="1" applyBorder="1" applyAlignment="1">
      <alignment horizontal="center" wrapText="1"/>
    </xf>
    <xf numFmtId="0" fontId="102" fillId="0" borderId="1" xfId="4" applyFont="1" applyFill="1" applyBorder="1" applyAlignment="1">
      <alignment horizontal="center" wrapText="1"/>
    </xf>
    <xf numFmtId="0" fontId="102" fillId="0" borderId="1" xfId="4" applyFont="1" applyBorder="1" applyAlignment="1">
      <alignment horizontal="center" wrapText="1"/>
    </xf>
    <xf numFmtId="0" fontId="96" fillId="0" borderId="21" xfId="4" applyFont="1" applyBorder="1" applyAlignment="1">
      <alignment horizontal="left"/>
    </xf>
    <xf numFmtId="0" fontId="102" fillId="2" borderId="1" xfId="4" applyFont="1" applyFill="1" applyBorder="1" applyAlignment="1">
      <alignment horizontal="center"/>
    </xf>
    <xf numFmtId="0" fontId="96" fillId="2" borderId="1" xfId="3" applyFont="1" applyFill="1" applyBorder="1" applyAlignment="1">
      <alignment horizontal="center" vertical="center"/>
    </xf>
    <xf numFmtId="0" fontId="102" fillId="0" borderId="21" xfId="4" applyFont="1" applyBorder="1" applyAlignment="1">
      <alignment horizontal="left"/>
    </xf>
    <xf numFmtId="0" fontId="102" fillId="0" borderId="1" xfId="4" applyFont="1" applyBorder="1" applyAlignment="1">
      <alignment horizontal="left"/>
    </xf>
    <xf numFmtId="0" fontId="96" fillId="0" borderId="1" xfId="3" applyFont="1" applyFill="1" applyBorder="1" applyAlignment="1">
      <alignment horizontal="center"/>
    </xf>
    <xf numFmtId="164" fontId="98" fillId="2" borderId="0" xfId="5" applyNumberFormat="1" applyFont="1" applyFill="1" applyBorder="1" applyAlignment="1" applyProtection="1">
      <alignment horizontal="center"/>
    </xf>
    <xf numFmtId="0" fontId="104" fillId="16" borderId="21" xfId="4" applyFont="1" applyFill="1" applyBorder="1"/>
    <xf numFmtId="0" fontId="104" fillId="16" borderId="1" xfId="0" applyFont="1" applyFill="1" applyBorder="1"/>
    <xf numFmtId="0" fontId="100" fillId="0" borderId="0" xfId="0" applyFont="1" applyBorder="1"/>
    <xf numFmtId="0" fontId="100" fillId="0" borderId="0" xfId="0" applyFont="1"/>
    <xf numFmtId="0" fontId="104" fillId="0" borderId="21" xfId="4" applyFont="1" applyFill="1" applyBorder="1"/>
    <xf numFmtId="0" fontId="104" fillId="0" borderId="1" xfId="0" applyFont="1" applyFill="1" applyBorder="1"/>
    <xf numFmtId="0" fontId="96" fillId="0" borderId="1" xfId="4" applyFont="1" applyFill="1" applyBorder="1"/>
    <xf numFmtId="0" fontId="101" fillId="0" borderId="1" xfId="3" applyFont="1" applyFill="1" applyBorder="1" applyAlignment="1">
      <alignment horizontal="center"/>
    </xf>
    <xf numFmtId="1" fontId="96" fillId="0" borderId="1" xfId="3" applyNumberFormat="1" applyFont="1" applyFill="1" applyBorder="1" applyAlignment="1">
      <alignment horizontal="center"/>
    </xf>
    <xf numFmtId="1" fontId="96" fillId="0" borderId="1" xfId="5" applyNumberFormat="1" applyFont="1" applyFill="1" applyBorder="1" applyAlignment="1">
      <alignment horizontal="center" vertical="center"/>
    </xf>
    <xf numFmtId="1" fontId="96" fillId="0" borderId="15" xfId="5" applyNumberFormat="1" applyFont="1" applyFill="1" applyBorder="1" applyAlignment="1" applyProtection="1">
      <alignment horizontal="center"/>
    </xf>
    <xf numFmtId="164" fontId="98" fillId="0" borderId="0" xfId="5" applyNumberFormat="1" applyFont="1" applyFill="1" applyBorder="1" applyAlignment="1" applyProtection="1">
      <alignment horizontal="center"/>
    </xf>
    <xf numFmtId="0" fontId="100" fillId="0" borderId="0" xfId="0" applyFont="1" applyFill="1" applyBorder="1"/>
    <xf numFmtId="0" fontId="100" fillId="0" borderId="0" xfId="0" applyFont="1" applyFill="1"/>
    <xf numFmtId="0" fontId="96" fillId="15" borderId="21" xfId="3" applyFont="1" applyFill="1" applyBorder="1" applyAlignment="1">
      <alignment horizontal="center"/>
    </xf>
    <xf numFmtId="164" fontId="98" fillId="2" borderId="0" xfId="3" applyNumberFormat="1" applyFont="1" applyFill="1" applyBorder="1" applyAlignment="1">
      <alignment horizontal="center"/>
    </xf>
    <xf numFmtId="1" fontId="101" fillId="2" borderId="1" xfId="3" applyNumberFormat="1" applyFont="1" applyFill="1" applyBorder="1" applyAlignment="1">
      <alignment horizontal="center"/>
    </xf>
    <xf numFmtId="43" fontId="96" fillId="8" borderId="1" xfId="7" applyFont="1" applyFill="1" applyBorder="1" applyAlignment="1">
      <alignment horizontal="right" wrapText="1"/>
    </xf>
    <xf numFmtId="0" fontId="96" fillId="10" borderId="33" xfId="3" applyFont="1" applyFill="1" applyBorder="1" applyAlignment="1">
      <alignment horizontal="center" vertical="center"/>
    </xf>
    <xf numFmtId="0" fontId="96" fillId="10" borderId="0" xfId="3" applyFont="1" applyFill="1" applyBorder="1" applyAlignment="1">
      <alignment horizontal="center" vertical="center"/>
    </xf>
    <xf numFmtId="0" fontId="96" fillId="10" borderId="32" xfId="3" applyFont="1" applyFill="1" applyBorder="1" applyAlignment="1">
      <alignment horizontal="center" vertical="center"/>
    </xf>
    <xf numFmtId="2" fontId="96" fillId="10" borderId="25" xfId="3" applyNumberFormat="1" applyFont="1" applyFill="1" applyBorder="1" applyAlignment="1">
      <alignment horizontal="center" vertical="center"/>
    </xf>
    <xf numFmtId="0" fontId="102" fillId="10" borderId="25" xfId="4" applyFont="1" applyFill="1" applyBorder="1" applyAlignment="1">
      <alignment horizontal="center" vertical="center"/>
    </xf>
    <xf numFmtId="1" fontId="96" fillId="10" borderId="25" xfId="5" applyNumberFormat="1" applyFont="1" applyFill="1" applyBorder="1" applyAlignment="1">
      <alignment horizontal="center" vertical="center"/>
    </xf>
    <xf numFmtId="1" fontId="96" fillId="10" borderId="25" xfId="3" applyNumberFormat="1" applyFont="1" applyFill="1" applyBorder="1" applyAlignment="1">
      <alignment horizontal="center" vertical="center"/>
    </xf>
    <xf numFmtId="0" fontId="101" fillId="10" borderId="0" xfId="0" applyFont="1" applyFill="1" applyBorder="1" applyAlignment="1">
      <alignment horizontal="center" vertical="center"/>
    </xf>
    <xf numFmtId="1" fontId="96" fillId="10" borderId="31" xfId="5" applyNumberFormat="1" applyFont="1" applyFill="1" applyBorder="1" applyAlignment="1" applyProtection="1">
      <alignment horizontal="center" vertical="center"/>
    </xf>
    <xf numFmtId="0" fontId="101" fillId="0" borderId="0" xfId="0" applyFont="1" applyBorder="1"/>
    <xf numFmtId="0" fontId="101" fillId="0" borderId="4" xfId="0" applyFont="1" applyBorder="1" applyAlignment="1">
      <alignment horizontal="center"/>
    </xf>
    <xf numFmtId="0" fontId="101" fillId="0" borderId="1" xfId="0" applyFont="1" applyBorder="1" applyAlignment="1">
      <alignment horizontal="center"/>
    </xf>
    <xf numFmtId="1" fontId="101" fillId="0" borderId="1" xfId="0" applyNumberFormat="1" applyFont="1" applyBorder="1" applyAlignment="1">
      <alignment horizontal="center"/>
    </xf>
    <xf numFmtId="1" fontId="101" fillId="0" borderId="15" xfId="0" applyNumberFormat="1" applyFont="1" applyBorder="1" applyAlignment="1">
      <alignment horizontal="center"/>
    </xf>
    <xf numFmtId="0" fontId="101" fillId="0" borderId="1" xfId="0" applyFont="1" applyBorder="1" applyAlignment="1">
      <alignment horizontal="left"/>
    </xf>
    <xf numFmtId="0" fontId="101" fillId="0" borderId="1" xfId="0" applyFont="1" applyFill="1" applyBorder="1" applyAlignment="1">
      <alignment horizontal="center"/>
    </xf>
    <xf numFmtId="0" fontId="92" fillId="0" borderId="1" xfId="0" applyFont="1" applyFill="1" applyBorder="1" applyAlignment="1">
      <alignment horizontal="left"/>
    </xf>
    <xf numFmtId="0" fontId="92" fillId="0" borderId="4" xfId="0" applyFont="1" applyFill="1" applyBorder="1"/>
    <xf numFmtId="0" fontId="105" fillId="0" borderId="0" xfId="0" applyFont="1" applyFill="1"/>
    <xf numFmtId="0" fontId="101" fillId="0" borderId="1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center"/>
    </xf>
    <xf numFmtId="0" fontId="101" fillId="0" borderId="1" xfId="0" applyFont="1" applyFill="1" applyBorder="1"/>
    <xf numFmtId="1" fontId="101" fillId="0" borderId="1" xfId="0" applyNumberFormat="1" applyFont="1" applyFill="1" applyBorder="1" applyAlignment="1">
      <alignment horizontal="center"/>
    </xf>
    <xf numFmtId="1" fontId="101" fillId="0" borderId="15" xfId="0" applyNumberFormat="1" applyFont="1" applyFill="1" applyBorder="1" applyAlignment="1">
      <alignment horizontal="center"/>
    </xf>
    <xf numFmtId="1" fontId="101" fillId="0" borderId="0" xfId="0" applyNumberFormat="1" applyFont="1" applyBorder="1" applyAlignment="1">
      <alignment horizontal="center"/>
    </xf>
    <xf numFmtId="1" fontId="101" fillId="0" borderId="35" xfId="0" applyNumberFormat="1" applyFont="1" applyBorder="1"/>
    <xf numFmtId="0" fontId="101" fillId="15" borderId="15" xfId="3" applyFont="1" applyFill="1" applyBorder="1" applyAlignment="1">
      <alignment horizontal="center"/>
    </xf>
    <xf numFmtId="0" fontId="96" fillId="12" borderId="1" xfId="4" applyFont="1" applyFill="1" applyBorder="1" applyAlignment="1">
      <alignment horizontal="center"/>
    </xf>
    <xf numFmtId="0" fontId="96" fillId="0" borderId="21" xfId="4" applyFont="1" applyBorder="1"/>
    <xf numFmtId="0" fontId="96" fillId="15" borderId="21" xfId="3" applyFont="1" applyFill="1" applyBorder="1" applyAlignment="1">
      <alignment horizontal="center" vertical="center"/>
    </xf>
    <xf numFmtId="1" fontId="96" fillId="15" borderId="1" xfId="5" applyNumberFormat="1" applyFont="1" applyFill="1" applyBorder="1" applyAlignment="1">
      <alignment horizontal="center"/>
    </xf>
    <xf numFmtId="1" fontId="96" fillId="15" borderId="15" xfId="5" applyNumberFormat="1" applyFont="1" applyFill="1" applyBorder="1" applyAlignment="1">
      <alignment horizontal="center"/>
    </xf>
    <xf numFmtId="0" fontId="102" fillId="0" borderId="1" xfId="4" applyFont="1" applyFill="1" applyBorder="1" applyAlignment="1">
      <alignment horizontal="center"/>
    </xf>
    <xf numFmtId="0" fontId="101" fillId="0" borderId="1" xfId="0" applyFont="1" applyBorder="1"/>
    <xf numFmtId="9" fontId="96" fillId="8" borderId="1" xfId="6" applyNumberFormat="1" applyFont="1" applyFill="1" applyBorder="1" applyAlignment="1">
      <alignment horizontal="center"/>
    </xf>
    <xf numFmtId="165" fontId="96" fillId="0" borderId="1" xfId="6" applyNumberFormat="1" applyFont="1" applyFill="1" applyBorder="1" applyAlignment="1"/>
    <xf numFmtId="1" fontId="96" fillId="8" borderId="1" xfId="5" applyNumberFormat="1" applyFont="1" applyFill="1" applyBorder="1" applyAlignment="1">
      <alignment horizontal="right"/>
    </xf>
    <xf numFmtId="0" fontId="108" fillId="0" borderId="0" xfId="4" applyFont="1"/>
    <xf numFmtId="0" fontId="96" fillId="8" borderId="7" xfId="3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center"/>
    </xf>
    <xf numFmtId="9" fontId="96" fillId="8" borderId="7" xfId="6" applyNumberFormat="1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right"/>
    </xf>
    <xf numFmtId="1" fontId="96" fillId="8" borderId="23" xfId="5" applyNumberFormat="1" applyFont="1" applyFill="1" applyBorder="1" applyAlignment="1" applyProtection="1">
      <alignment horizontal="center"/>
    </xf>
    <xf numFmtId="0" fontId="92" fillId="0" borderId="0" xfId="0" applyFont="1"/>
    <xf numFmtId="1" fontId="92" fillId="0" borderId="0" xfId="0" applyNumberFormat="1" applyFont="1" applyAlignment="1">
      <alignment horizontal="center"/>
    </xf>
    <xf numFmtId="1" fontId="92" fillId="0" borderId="0" xfId="0" applyNumberFormat="1" applyFont="1"/>
    <xf numFmtId="0" fontId="101" fillId="0" borderId="0" xfId="0" applyFont="1"/>
    <xf numFmtId="1" fontId="101" fillId="0" borderId="0" xfId="0" applyNumberFormat="1" applyFont="1" applyAlignment="1">
      <alignment horizontal="center"/>
    </xf>
    <xf numFmtId="1" fontId="101" fillId="0" borderId="0" xfId="0" applyNumberFormat="1" applyFont="1"/>
    <xf numFmtId="0" fontId="95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1" fontId="95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1" fontId="100" fillId="0" borderId="0" xfId="0" applyNumberFormat="1" applyFont="1" applyFill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0" fontId="91" fillId="0" borderId="0" xfId="0" applyFont="1" applyFill="1" applyAlignment="1">
      <alignment horizontal="center" vertic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12" borderId="1" xfId="5" applyNumberFormat="1" applyFont="1" applyFill="1" applyBorder="1" applyAlignment="1">
      <alignment horizontal="center" vertical="center"/>
    </xf>
    <xf numFmtId="174" fontId="100" fillId="0" borderId="0" xfId="0" applyNumberFormat="1" applyFont="1" applyFill="1" applyAlignment="1">
      <alignment horizontal="center" vertical="center"/>
    </xf>
    <xf numFmtId="171" fontId="95" fillId="0" borderId="0" xfId="0" applyNumberFormat="1" applyFont="1" applyAlignment="1">
      <alignment horizontal="center" vertical="center"/>
    </xf>
    <xf numFmtId="164" fontId="95" fillId="0" borderId="0" xfId="0" applyNumberFormat="1" applyFont="1" applyAlignment="1">
      <alignment horizontal="center" vertical="center"/>
    </xf>
    <xf numFmtId="9" fontId="96" fillId="9" borderId="1" xfId="4" applyNumberFormat="1" applyFont="1" applyFill="1" applyBorder="1" applyAlignment="1">
      <alignment horizontal="center"/>
    </xf>
    <xf numFmtId="164" fontId="77" fillId="12" borderId="1" xfId="5" applyNumberFormat="1" applyFont="1" applyFill="1" applyBorder="1" applyAlignment="1">
      <alignment horizontal="center" vertical="center"/>
    </xf>
    <xf numFmtId="2" fontId="75" fillId="8" borderId="0" xfId="3" applyNumberFormat="1" applyFont="1" applyFill="1" applyBorder="1" applyAlignment="1">
      <alignment horizontal="center"/>
    </xf>
    <xf numFmtId="2" fontId="51" fillId="0" borderId="0" xfId="0" applyNumberFormat="1" applyFont="1" applyBorder="1"/>
    <xf numFmtId="168" fontId="75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0" fillId="12" borderId="1" xfId="0" applyFont="1" applyFill="1" applyBorder="1"/>
    <xf numFmtId="1" fontId="84" fillId="0" borderId="0" xfId="0" applyNumberFormat="1" applyFont="1" applyBorder="1"/>
    <xf numFmtId="1" fontId="70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170" fontId="110" fillId="9" borderId="1" xfId="3" applyNumberFormat="1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 vertical="center"/>
    </xf>
    <xf numFmtId="164" fontId="77" fillId="2" borderId="1" xfId="5" applyNumberFormat="1" applyFont="1" applyFill="1" applyBorder="1" applyAlignment="1">
      <alignment horizontal="center" vertical="center"/>
    </xf>
    <xf numFmtId="1" fontId="86" fillId="2" borderId="1" xfId="5" applyNumberFormat="1" applyFont="1" applyFill="1" applyBorder="1" applyAlignment="1">
      <alignment horizontal="center" vertical="center"/>
    </xf>
    <xf numFmtId="0" fontId="111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30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11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12" fillId="0" borderId="1" xfId="0" applyNumberFormat="1" applyFont="1" applyFill="1" applyBorder="1" applyAlignment="1">
      <alignment horizontal="center" wrapText="1"/>
    </xf>
    <xf numFmtId="1" fontId="111" fillId="0" borderId="0" xfId="0" applyNumberFormat="1" applyFont="1"/>
    <xf numFmtId="1" fontId="111" fillId="0" borderId="0" xfId="0" applyNumberFormat="1" applyFont="1" applyFill="1"/>
    <xf numFmtId="0" fontId="75" fillId="2" borderId="1" xfId="0" applyFont="1" applyFill="1" applyBorder="1" applyAlignment="1">
      <alignment horizontal="center"/>
    </xf>
    <xf numFmtId="164" fontId="75" fillId="12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>
      <alignment horizontal="center" vertical="center"/>
    </xf>
    <xf numFmtId="1" fontId="93" fillId="0" borderId="1" xfId="0" applyNumberFormat="1" applyFont="1" applyBorder="1" applyAlignment="1">
      <alignment horizontal="center" wrapText="1"/>
    </xf>
    <xf numFmtId="1" fontId="112" fillId="0" borderId="1" xfId="0" applyNumberFormat="1" applyFont="1" applyBorder="1" applyAlignment="1">
      <alignment horizontal="center" wrapText="1"/>
    </xf>
    <xf numFmtId="1" fontId="86" fillId="2" borderId="1" xfId="3" applyNumberFormat="1" applyFont="1" applyFill="1" applyBorder="1" applyAlignment="1">
      <alignment horizontal="center"/>
    </xf>
    <xf numFmtId="1" fontId="86" fillId="2" borderId="15" xfId="5" applyNumberFormat="1" applyFont="1" applyFill="1" applyBorder="1" applyAlignment="1" applyProtection="1">
      <alignment horizontal="center"/>
    </xf>
    <xf numFmtId="169" fontId="77" fillId="8" borderId="1" xfId="5" applyNumberFormat="1" applyFont="1" applyFill="1" applyBorder="1" applyAlignment="1" applyProtection="1">
      <alignment vertical="center"/>
    </xf>
    <xf numFmtId="1" fontId="70" fillId="22" borderId="1" xfId="5" applyNumberFormat="1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 vertical="center"/>
    </xf>
    <xf numFmtId="0" fontId="70" fillId="10" borderId="1" xfId="4" applyFont="1" applyFill="1" applyBorder="1" applyAlignment="1">
      <alignment horizontal="center"/>
    </xf>
    <xf numFmtId="1" fontId="70" fillId="10" borderId="1" xfId="5" applyNumberFormat="1" applyFont="1" applyFill="1" applyBorder="1" applyAlignment="1">
      <alignment horizontal="center" vertical="center"/>
    </xf>
    <xf numFmtId="1" fontId="70" fillId="17" borderId="1" xfId="5" applyNumberFormat="1" applyFont="1" applyFill="1" applyBorder="1" applyAlignment="1">
      <alignment horizontal="center" vertical="center"/>
    </xf>
    <xf numFmtId="0" fontId="76" fillId="10" borderId="1" xfId="4" applyFont="1" applyFill="1" applyBorder="1" applyAlignment="1">
      <alignment horizontal="center"/>
    </xf>
    <xf numFmtId="0" fontId="76" fillId="22" borderId="1" xfId="4" applyFont="1" applyFill="1" applyBorder="1" applyAlignment="1">
      <alignment horizontal="center"/>
    </xf>
    <xf numFmtId="0" fontId="70" fillId="22" borderId="1" xfId="4" applyFont="1" applyFill="1" applyBorder="1" applyAlignment="1">
      <alignment horizontal="center"/>
    </xf>
    <xf numFmtId="0" fontId="70" fillId="17" borderId="1" xfId="4" applyFont="1" applyFill="1" applyBorder="1" applyAlignment="1">
      <alignment horizontal="center"/>
    </xf>
    <xf numFmtId="0" fontId="63" fillId="2" borderId="1" xfId="3" applyFont="1" applyFill="1" applyBorder="1" applyAlignment="1">
      <alignment horizontal="left" vertical="justify"/>
    </xf>
    <xf numFmtId="0" fontId="70" fillId="12" borderId="1" xfId="3" applyNumberFormat="1" applyFont="1" applyFill="1" applyBorder="1" applyAlignment="1">
      <alignment horizontal="center"/>
    </xf>
    <xf numFmtId="1" fontId="93" fillId="2" borderId="1" xfId="0" applyNumberFormat="1" applyFont="1" applyFill="1" applyBorder="1" applyAlignment="1">
      <alignment horizontal="center" wrapText="1"/>
    </xf>
    <xf numFmtId="1" fontId="93" fillId="12" borderId="1" xfId="0" applyNumberFormat="1" applyFont="1" applyFill="1" applyBorder="1" applyAlignment="1">
      <alignment horizontal="center" wrapText="1"/>
    </xf>
    <xf numFmtId="0" fontId="60" fillId="0" borderId="1" xfId="0" applyFont="1" applyFill="1" applyBorder="1" applyAlignment="1">
      <alignment vertical="center" wrapText="1"/>
    </xf>
    <xf numFmtId="0" fontId="60" fillId="0" borderId="1" xfId="0" applyFont="1" applyFill="1" applyBorder="1"/>
    <xf numFmtId="0" fontId="64" fillId="0" borderId="21" xfId="3" applyFont="1" applyFill="1" applyBorder="1" applyAlignment="1">
      <alignment horizontal="left"/>
    </xf>
    <xf numFmtId="0" fontId="64" fillId="0" borderId="1" xfId="3" applyFont="1" applyFill="1" applyBorder="1" applyAlignment="1">
      <alignment horizontal="left"/>
    </xf>
    <xf numFmtId="2" fontId="70" fillId="0" borderId="1" xfId="3" applyNumberFormat="1" applyFont="1" applyFill="1" applyBorder="1" applyAlignment="1">
      <alignment horizontal="right"/>
    </xf>
    <xf numFmtId="1" fontId="113" fillId="0" borderId="0" xfId="0" applyNumberFormat="1" applyFont="1"/>
    <xf numFmtId="1" fontId="114" fillId="0" borderId="0" xfId="0" applyNumberFormat="1" applyFont="1"/>
    <xf numFmtId="49" fontId="101" fillId="0" borderId="0" xfId="0" applyNumberFormat="1" applyFont="1"/>
    <xf numFmtId="1" fontId="115" fillId="0" borderId="1" xfId="0" applyNumberFormat="1" applyFont="1" applyFill="1" applyBorder="1" applyAlignment="1">
      <alignment horizontal="center" wrapText="1"/>
    </xf>
    <xf numFmtId="170" fontId="100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11" fillId="15" borderId="0" xfId="0" applyFont="1" applyFill="1"/>
    <xf numFmtId="1" fontId="111" fillId="15" borderId="0" xfId="0" applyNumberFormat="1" applyFont="1" applyFill="1"/>
    <xf numFmtId="16" fontId="16" fillId="0" borderId="25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11" fillId="0" borderId="0" xfId="0" applyFont="1" applyBorder="1"/>
    <xf numFmtId="0" fontId="117" fillId="0" borderId="1" xfId="0" applyFont="1" applyBorder="1"/>
    <xf numFmtId="0" fontId="111" fillId="0" borderId="1" xfId="0" applyFont="1" applyBorder="1"/>
    <xf numFmtId="0" fontId="111" fillId="22" borderId="1" xfId="0" applyFont="1" applyFill="1" applyBorder="1"/>
    <xf numFmtId="0" fontId="116" fillId="0" borderId="1" xfId="0" applyFont="1" applyBorder="1"/>
    <xf numFmtId="1" fontId="118" fillId="21" borderId="1" xfId="3" applyNumberFormat="1" applyFont="1" applyFill="1" applyBorder="1" applyAlignment="1">
      <alignment horizontal="center"/>
    </xf>
    <xf numFmtId="0" fontId="118" fillId="21" borderId="1" xfId="3" applyNumberFormat="1" applyFont="1" applyFill="1" applyBorder="1" applyAlignment="1">
      <alignment horizontal="center"/>
    </xf>
    <xf numFmtId="1" fontId="118" fillId="21" borderId="15" xfId="5" applyNumberFormat="1" applyFont="1" applyFill="1" applyBorder="1" applyAlignment="1" applyProtection="1">
      <alignment horizontal="center"/>
    </xf>
    <xf numFmtId="2" fontId="118" fillId="21" borderId="1" xfId="3" applyNumberFormat="1" applyFont="1" applyFill="1" applyBorder="1" applyAlignment="1">
      <alignment horizontal="center"/>
    </xf>
    <xf numFmtId="1" fontId="118" fillId="8" borderId="1" xfId="3" applyNumberFormat="1" applyFont="1" applyFill="1" applyBorder="1" applyAlignment="1">
      <alignment horizontal="center"/>
    </xf>
    <xf numFmtId="2" fontId="118" fillId="2" borderId="1" xfId="3" applyNumberFormat="1" applyFont="1" applyFill="1" applyBorder="1" applyAlignment="1">
      <alignment horizontal="center"/>
    </xf>
    <xf numFmtId="1" fontId="118" fillId="8" borderId="15" xfId="5" applyNumberFormat="1" applyFont="1" applyFill="1" applyBorder="1" applyAlignment="1" applyProtection="1">
      <alignment horizontal="center"/>
    </xf>
    <xf numFmtId="0" fontId="118" fillId="15" borderId="1" xfId="3" applyFont="1" applyFill="1" applyBorder="1" applyAlignment="1">
      <alignment horizontal="center"/>
    </xf>
    <xf numFmtId="0" fontId="118" fillId="15" borderId="15" xfId="3" applyFont="1" applyFill="1" applyBorder="1" applyAlignment="1">
      <alignment horizontal="center"/>
    </xf>
    <xf numFmtId="0" fontId="118" fillId="2" borderId="1" xfId="3" applyNumberFormat="1" applyFont="1" applyFill="1" applyBorder="1" applyAlignment="1">
      <alignment horizontal="center"/>
    </xf>
    <xf numFmtId="0" fontId="118" fillId="8" borderId="1" xfId="3" applyFont="1" applyFill="1" applyBorder="1" applyAlignment="1">
      <alignment horizontal="center"/>
    </xf>
    <xf numFmtId="1" fontId="118" fillId="15" borderId="1" xfId="3" applyNumberFormat="1" applyFont="1" applyFill="1" applyBorder="1" applyAlignment="1">
      <alignment horizontal="center"/>
    </xf>
    <xf numFmtId="0" fontId="118" fillId="21" borderId="1" xfId="3" applyFont="1" applyFill="1" applyBorder="1" applyAlignment="1">
      <alignment horizontal="center"/>
    </xf>
    <xf numFmtId="1" fontId="118" fillId="21" borderId="1" xfId="4" applyNumberFormat="1" applyFont="1" applyFill="1" applyBorder="1" applyAlignment="1">
      <alignment horizontal="center"/>
    </xf>
    <xf numFmtId="0" fontId="119" fillId="0" borderId="0" xfId="2" applyFont="1" applyAlignment="1" applyProtection="1"/>
    <xf numFmtId="2" fontId="119" fillId="0" borderId="0" xfId="2" applyNumberFormat="1" applyFont="1" applyAlignment="1" applyProtection="1"/>
    <xf numFmtId="0" fontId="64" fillId="0" borderId="21" xfId="3" applyFont="1" applyFill="1" applyBorder="1" applyAlignment="1">
      <alignment horizontal="left" vertical="center"/>
    </xf>
    <xf numFmtId="0" fontId="63" fillId="0" borderId="1" xfId="3" applyFont="1" applyFill="1" applyBorder="1" applyAlignment="1">
      <alignment horizontal="left" vertical="justify"/>
    </xf>
    <xf numFmtId="1" fontId="52" fillId="0" borderId="0" xfId="5" applyNumberFormat="1" applyFont="1" applyFill="1" applyBorder="1" applyAlignment="1" applyProtection="1">
      <alignment horizontal="center"/>
    </xf>
    <xf numFmtId="0" fontId="51" fillId="0" borderId="0" xfId="0" applyFont="1" applyFill="1" applyBorder="1"/>
    <xf numFmtId="0" fontId="63" fillId="0" borderId="1" xfId="3" applyFont="1" applyFill="1" applyBorder="1" applyAlignment="1">
      <alignment horizontal="left" vertical="center"/>
    </xf>
    <xf numFmtId="1" fontId="70" fillId="0" borderId="1" xfId="3" applyNumberFormat="1" applyFont="1" applyFill="1" applyBorder="1" applyAlignment="1">
      <alignment horizontal="center" vertical="center"/>
    </xf>
    <xf numFmtId="2" fontId="64" fillId="0" borderId="21" xfId="3" applyNumberFormat="1" applyFont="1" applyFill="1" applyBorder="1" applyAlignment="1">
      <alignment horizontal="left" vertical="center"/>
    </xf>
    <xf numFmtId="2" fontId="63" fillId="0" borderId="1" xfId="3" applyNumberFormat="1" applyFont="1" applyFill="1" applyBorder="1" applyAlignment="1">
      <alignment horizontal="left" vertical="center"/>
    </xf>
    <xf numFmtId="0" fontId="52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11" fillId="17" borderId="5" xfId="0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6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20" fillId="0" borderId="36" xfId="17" applyFont="1" applyBorder="1" applyAlignment="1">
      <alignment horizontal="center"/>
    </xf>
    <xf numFmtId="0" fontId="121" fillId="0" borderId="36" xfId="17" applyFont="1" applyBorder="1" applyAlignment="1">
      <alignment horizontal="center"/>
    </xf>
    <xf numFmtId="1" fontId="121" fillId="0" borderId="36" xfId="17" applyNumberFormat="1" applyFont="1" applyBorder="1" applyAlignment="1">
      <alignment horizontal="center"/>
    </xf>
    <xf numFmtId="1" fontId="120" fillId="0" borderId="36" xfId="17" applyNumberFormat="1" applyFont="1" applyBorder="1" applyAlignment="1">
      <alignment horizontal="center" wrapText="1"/>
    </xf>
    <xf numFmtId="0" fontId="120" fillId="0" borderId="36" xfId="17" applyFont="1" applyBorder="1" applyAlignment="1">
      <alignment horizontal="center" wrapText="1"/>
    </xf>
    <xf numFmtId="0" fontId="120" fillId="0" borderId="0" xfId="17" applyFont="1" applyAlignment="1">
      <alignment wrapText="1"/>
    </xf>
    <xf numFmtId="0" fontId="120" fillId="0" borderId="0" xfId="17" applyFont="1"/>
    <xf numFmtId="0" fontId="16" fillId="0" borderId="0" xfId="17" applyFont="1" applyAlignment="1">
      <alignment horizontal="center"/>
    </xf>
    <xf numFmtId="0" fontId="93" fillId="0" borderId="0" xfId="17" applyFont="1" applyAlignment="1">
      <alignment horizontal="center"/>
    </xf>
    <xf numFmtId="1" fontId="93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24" fillId="21" borderId="1" xfId="3" applyFont="1" applyFill="1" applyBorder="1" applyAlignment="1">
      <alignment horizontal="center"/>
    </xf>
    <xf numFmtId="0" fontId="124" fillId="21" borderId="1" xfId="4" applyFont="1" applyFill="1" applyBorder="1" applyAlignment="1">
      <alignment horizontal="center"/>
    </xf>
    <xf numFmtId="1" fontId="54" fillId="2" borderId="0" xfId="5" applyNumberFormat="1" applyFont="1" applyFill="1" applyBorder="1" applyAlignment="1" applyProtection="1">
      <alignment horizontal="center"/>
    </xf>
    <xf numFmtId="0" fontId="125" fillId="0" borderId="0" xfId="0" applyFont="1" applyBorder="1"/>
    <xf numFmtId="0" fontId="125" fillId="0" borderId="0" xfId="0" applyFont="1"/>
    <xf numFmtId="1" fontId="125" fillId="0" borderId="0" xfId="0" applyNumberFormat="1" applyFont="1"/>
    <xf numFmtId="0" fontId="122" fillId="21" borderId="21" xfId="3" applyFont="1" applyFill="1" applyBorder="1" applyAlignment="1">
      <alignment horizontal="left" vertical="center"/>
    </xf>
    <xf numFmtId="0" fontId="123" fillId="21" borderId="1" xfId="3" applyFont="1" applyFill="1" applyBorder="1" applyAlignment="1">
      <alignment horizontal="left" vertical="center"/>
    </xf>
    <xf numFmtId="1" fontId="126" fillId="21" borderId="1" xfId="3" applyNumberFormat="1" applyFont="1" applyFill="1" applyBorder="1" applyAlignment="1">
      <alignment horizontal="center"/>
    </xf>
    <xf numFmtId="0" fontId="126" fillId="21" borderId="1" xfId="3" applyNumberFormat="1" applyFont="1" applyFill="1" applyBorder="1" applyAlignment="1">
      <alignment horizontal="center"/>
    </xf>
    <xf numFmtId="1" fontId="126" fillId="21" borderId="15" xfId="5" applyNumberFormat="1" applyFont="1" applyFill="1" applyBorder="1" applyAlignment="1" applyProtection="1">
      <alignment horizontal="center"/>
    </xf>
    <xf numFmtId="1" fontId="126" fillId="21" borderId="1" xfId="5" applyNumberFormat="1" applyFont="1" applyFill="1" applyBorder="1" applyAlignment="1">
      <alignment horizontal="center" vertical="center"/>
    </xf>
    <xf numFmtId="2" fontId="126" fillId="21" borderId="1" xfId="3" applyNumberFormat="1" applyFont="1" applyFill="1" applyBorder="1" applyAlignment="1">
      <alignment horizontal="center"/>
    </xf>
    <xf numFmtId="0" fontId="69" fillId="21" borderId="2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left"/>
    </xf>
    <xf numFmtId="0" fontId="75" fillId="21" borderId="1" xfId="3" applyFont="1" applyFill="1" applyBorder="1" applyAlignment="1">
      <alignment horizontal="center"/>
    </xf>
    <xf numFmtId="0" fontId="51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2" fontId="52" fillId="12" borderId="0" xfId="5" applyNumberFormat="1" applyFont="1" applyFill="1" applyBorder="1" applyAlignment="1" applyProtection="1">
      <alignment horizontal="center"/>
    </xf>
    <xf numFmtId="0" fontId="51" fillId="12" borderId="0" xfId="0" applyFont="1" applyFill="1" applyBorder="1"/>
    <xf numFmtId="0" fontId="64" fillId="15" borderId="15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 vertical="center"/>
    </xf>
    <xf numFmtId="0" fontId="34" fillId="2" borderId="1" xfId="4" applyFont="1" applyFill="1" applyBorder="1" applyAlignment="1">
      <alignment horizontal="center" vertical="center"/>
    </xf>
    <xf numFmtId="0" fontId="102" fillId="12" borderId="1" xfId="4" applyFont="1" applyFill="1" applyBorder="1" applyAlignment="1">
      <alignment horizontal="center" wrapText="1"/>
    </xf>
    <xf numFmtId="1" fontId="70" fillId="2" borderId="1" xfId="4" applyNumberFormat="1" applyFont="1" applyFill="1" applyBorder="1" applyAlignment="1">
      <alignment horizontal="center" vertical="center"/>
    </xf>
    <xf numFmtId="1" fontId="120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7" fillId="0" borderId="1" xfId="0" applyNumberFormat="1" applyFont="1" applyBorder="1" applyAlignment="1">
      <alignment horizontal="center"/>
    </xf>
    <xf numFmtId="0" fontId="64" fillId="2" borderId="1" xfId="3" applyFont="1" applyFill="1" applyBorder="1" applyAlignment="1">
      <alignment horizontal="left"/>
    </xf>
    <xf numFmtId="2" fontId="70" fillId="2" borderId="1" xfId="3" applyNumberFormat="1" applyFont="1" applyFill="1" applyBorder="1" applyAlignment="1">
      <alignment horizontal="right"/>
    </xf>
    <xf numFmtId="0" fontId="118" fillId="0" borderId="1" xfId="4" applyFont="1" applyBorder="1" applyAlignment="1">
      <alignment horizontal="center" vertical="center"/>
    </xf>
    <xf numFmtId="2" fontId="118" fillId="8" borderId="1" xfId="3" applyNumberFormat="1" applyFont="1" applyFill="1" applyBorder="1" applyAlignment="1">
      <alignment horizontal="center" vertical="center"/>
    </xf>
    <xf numFmtId="0" fontId="118" fillId="8" borderId="1" xfId="3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horizontal="center" vertical="center"/>
    </xf>
    <xf numFmtId="0" fontId="118" fillId="0" borderId="1" xfId="4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vertical="center"/>
    </xf>
    <xf numFmtId="1" fontId="118" fillId="2" borderId="1" xfId="3" applyNumberFormat="1" applyFont="1" applyFill="1" applyBorder="1" applyAlignment="1">
      <alignment horizontal="center" vertical="center"/>
    </xf>
    <xf numFmtId="0" fontId="118" fillId="0" borderId="1" xfId="4" applyFont="1" applyBorder="1" applyAlignment="1">
      <alignment horizontal="center"/>
    </xf>
    <xf numFmtId="0" fontId="118" fillId="0" borderId="1" xfId="4" applyFont="1" applyFill="1" applyBorder="1" applyAlignment="1">
      <alignment horizontal="center"/>
    </xf>
    <xf numFmtId="0" fontId="118" fillId="2" borderId="1" xfId="4" applyFont="1" applyFill="1" applyBorder="1" applyAlignment="1"/>
    <xf numFmtId="2" fontId="118" fillId="8" borderId="1" xfId="3" applyNumberFormat="1" applyFont="1" applyFill="1" applyBorder="1" applyAlignment="1">
      <alignment horizontal="center"/>
    </xf>
    <xf numFmtId="2" fontId="118" fillId="8" borderId="8" xfId="3" applyNumberFormat="1" applyFont="1" applyFill="1" applyBorder="1" applyAlignment="1">
      <alignment horizontal="center"/>
    </xf>
    <xf numFmtId="0" fontId="118" fillId="23" borderId="1" xfId="4" applyFont="1" applyFill="1" applyBorder="1" applyAlignment="1">
      <alignment horizontal="center" vertical="center"/>
    </xf>
    <xf numFmtId="0" fontId="82" fillId="2" borderId="21" xfId="3" applyFont="1" applyFill="1" applyBorder="1" applyAlignment="1">
      <alignment horizontal="left"/>
    </xf>
    <xf numFmtId="0" fontId="118" fillId="2" borderId="1" xfId="4" applyFont="1" applyFill="1" applyBorder="1" applyAlignment="1">
      <alignment horizontal="center"/>
    </xf>
    <xf numFmtId="1" fontId="118" fillId="2" borderId="1" xfId="5" applyNumberFormat="1" applyFont="1" applyFill="1" applyBorder="1" applyAlignment="1">
      <alignment horizontal="center" vertical="center"/>
    </xf>
    <xf numFmtId="1" fontId="118" fillId="2" borderId="1" xfId="3" applyNumberFormat="1" applyFont="1" applyFill="1" applyBorder="1" applyAlignment="1">
      <alignment horizontal="center"/>
    </xf>
    <xf numFmtId="1" fontId="118" fillId="2" borderId="15" xfId="5" applyNumberFormat="1" applyFont="1" applyFill="1" applyBorder="1" applyAlignment="1" applyProtection="1">
      <alignment horizontal="center"/>
    </xf>
    <xf numFmtId="0" fontId="118" fillId="2" borderId="1" xfId="3" applyFont="1" applyFill="1" applyBorder="1" applyAlignment="1">
      <alignment horizontal="center"/>
    </xf>
    <xf numFmtId="164" fontId="118" fillId="2" borderId="1" xfId="5" applyNumberFormat="1" applyFont="1" applyFill="1" applyBorder="1" applyAlignment="1">
      <alignment horizontal="center" vertical="center"/>
    </xf>
    <xf numFmtId="0" fontId="118" fillId="2" borderId="1" xfId="4" applyFont="1" applyFill="1" applyBorder="1" applyAlignment="1">
      <alignment horizontal="center" wrapText="1"/>
    </xf>
    <xf numFmtId="0" fontId="118" fillId="0" borderId="1" xfId="4" applyFont="1" applyFill="1" applyBorder="1" applyAlignment="1">
      <alignment horizontal="center" wrapText="1"/>
    </xf>
    <xf numFmtId="0" fontId="118" fillId="0" borderId="1" xfId="4" applyFont="1" applyBorder="1" applyAlignment="1">
      <alignment horizontal="center" wrapText="1"/>
    </xf>
    <xf numFmtId="0" fontId="118" fillId="0" borderId="1" xfId="3" applyFont="1" applyFill="1" applyBorder="1" applyAlignment="1">
      <alignment horizontal="center"/>
    </xf>
    <xf numFmtId="0" fontId="118" fillId="10" borderId="25" xfId="4" applyFont="1" applyFill="1" applyBorder="1" applyAlignment="1">
      <alignment horizontal="center" vertical="center"/>
    </xf>
    <xf numFmtId="0" fontId="118" fillId="0" borderId="1" xfId="0" applyFont="1" applyBorder="1" applyAlignment="1">
      <alignment horizontal="center"/>
    </xf>
    <xf numFmtId="0" fontId="118" fillId="0" borderId="1" xfId="0" applyFont="1" applyFill="1" applyBorder="1" applyAlignment="1">
      <alignment horizontal="center"/>
    </xf>
    <xf numFmtId="1" fontId="118" fillId="0" borderId="1" xfId="0" applyNumberFormat="1" applyFont="1" applyFill="1" applyBorder="1" applyAlignment="1">
      <alignment horizontal="center"/>
    </xf>
    <xf numFmtId="0" fontId="118" fillId="0" borderId="0" xfId="0" applyFont="1" applyBorder="1"/>
    <xf numFmtId="0" fontId="118" fillId="12" borderId="1" xfId="4" applyFont="1" applyFill="1" applyBorder="1" applyAlignment="1">
      <alignment horizontal="center"/>
    </xf>
    <xf numFmtId="2" fontId="118" fillId="8" borderId="7" xfId="3" applyNumberFormat="1" applyFont="1" applyFill="1" applyBorder="1" applyAlignment="1">
      <alignment horizontal="center"/>
    </xf>
    <xf numFmtId="0" fontId="118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102" fillId="12" borderId="1" xfId="4" applyFont="1" applyFill="1" applyBorder="1" applyAlignment="1">
      <alignment horizontal="center"/>
    </xf>
    <xf numFmtId="0" fontId="96" fillId="12" borderId="1" xfId="3" applyFont="1" applyFill="1" applyBorder="1" applyAlignment="1">
      <alignment horizontal="center" vertical="center"/>
    </xf>
    <xf numFmtId="0" fontId="101" fillId="12" borderId="1" xfId="0" applyFont="1" applyFill="1" applyBorder="1" applyAlignment="1">
      <alignment horizontal="center"/>
    </xf>
    <xf numFmtId="0" fontId="120" fillId="0" borderId="5" xfId="18" applyFont="1" applyBorder="1"/>
    <xf numFmtId="0" fontId="121" fillId="0" borderId="5" xfId="18" applyFont="1" applyBorder="1" applyAlignment="1">
      <alignment horizontal="center"/>
    </xf>
    <xf numFmtId="0" fontId="120" fillId="0" borderId="0" xfId="18" applyFont="1"/>
    <xf numFmtId="0" fontId="16" fillId="0" borderId="0" xfId="19" applyFont="1" applyAlignment="1">
      <alignment horizontal="center"/>
    </xf>
    <xf numFmtId="0" fontId="90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101" fillId="12" borderId="1" xfId="3" applyFont="1" applyFill="1" applyBorder="1" applyAlignment="1">
      <alignment horizontal="center"/>
    </xf>
    <xf numFmtId="1" fontId="86" fillId="24" borderId="15" xfId="5" applyNumberFormat="1" applyFont="1" applyFill="1" applyBorder="1" applyAlignment="1" applyProtection="1">
      <alignment horizontal="center"/>
    </xf>
    <xf numFmtId="0" fontId="111" fillId="19" borderId="5" xfId="0" applyFont="1" applyFill="1" applyBorder="1" applyAlignment="1">
      <alignment horizontal="center"/>
    </xf>
    <xf numFmtId="0" fontId="3" fillId="0" borderId="28" xfId="1" applyFont="1" applyFill="1" applyBorder="1" applyAlignment="1">
      <alignment horizontal="center" vertical="center" wrapText="1"/>
    </xf>
    <xf numFmtId="0" fontId="3" fillId="0" borderId="37" xfId="1" applyFont="1" applyFill="1" applyBorder="1" applyAlignment="1">
      <alignment horizontal="center" vertical="center" wrapText="1"/>
    </xf>
    <xf numFmtId="0" fontId="111" fillId="19" borderId="0" xfId="0" applyFont="1" applyFill="1" applyBorder="1" applyAlignment="1">
      <alignment horizontal="center"/>
    </xf>
    <xf numFmtId="0" fontId="134" fillId="0" borderId="21" xfId="1" applyFont="1" applyFill="1" applyBorder="1" applyAlignment="1">
      <alignment vertical="top" wrapText="1"/>
    </xf>
    <xf numFmtId="0" fontId="134" fillId="0" borderId="1" xfId="1" applyFont="1" applyFill="1" applyBorder="1" applyAlignment="1">
      <alignment horizontal="center" vertical="top" wrapText="1"/>
    </xf>
    <xf numFmtId="0" fontId="134" fillId="0" borderId="15" xfId="1" applyFont="1" applyFill="1" applyBorder="1" applyAlignment="1">
      <alignment horizontal="center" vertical="top" wrapText="1"/>
    </xf>
    <xf numFmtId="1" fontId="128" fillId="0" borderId="5" xfId="18" applyNumberFormat="1" applyFont="1" applyFill="1" applyBorder="1" applyAlignment="1">
      <alignment horizontal="center" wrapText="1"/>
    </xf>
    <xf numFmtId="1" fontId="129" fillId="0" borderId="5" xfId="18" applyNumberFormat="1" applyFont="1" applyFill="1" applyBorder="1" applyAlignment="1">
      <alignment horizontal="center" wrapText="1"/>
    </xf>
    <xf numFmtId="1" fontId="130" fillId="0" borderId="5" xfId="18" applyNumberFormat="1" applyFont="1" applyFill="1" applyBorder="1" applyAlignment="1">
      <alignment horizontal="center" wrapText="1"/>
    </xf>
    <xf numFmtId="1" fontId="131" fillId="0" borderId="0" xfId="18" applyNumberFormat="1" applyFont="1" applyFill="1" applyAlignment="1">
      <alignment horizontal="center"/>
    </xf>
    <xf numFmtId="1" fontId="132" fillId="0" borderId="0" xfId="18" applyNumberFormat="1" applyFont="1" applyFill="1" applyAlignment="1">
      <alignment horizontal="center"/>
    </xf>
    <xf numFmtId="1" fontId="133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5" fillId="12" borderId="1" xfId="4" applyFont="1" applyFill="1" applyBorder="1" applyAlignment="1">
      <alignment horizontal="center" wrapText="1"/>
    </xf>
    <xf numFmtId="0" fontId="75" fillId="12" borderId="1" xfId="3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 wrapText="1"/>
    </xf>
    <xf numFmtId="0" fontId="75" fillId="12" borderId="1" xfId="3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111" fillId="16" borderId="5" xfId="0" applyFont="1" applyFill="1" applyBorder="1" applyAlignment="1">
      <alignment horizontal="center"/>
    </xf>
    <xf numFmtId="0" fontId="111" fillId="17" borderId="5" xfId="0" applyFont="1" applyFill="1" applyBorder="1" applyAlignment="1">
      <alignment horizontal="center"/>
    </xf>
    <xf numFmtId="0" fontId="111" fillId="19" borderId="5" xfId="0" applyFont="1" applyFill="1" applyBorder="1" applyAlignment="1">
      <alignment horizontal="center"/>
    </xf>
    <xf numFmtId="0" fontId="111" fillId="17" borderId="3" xfId="0" applyFont="1" applyFill="1" applyBorder="1" applyAlignment="1">
      <alignment horizontal="center"/>
    </xf>
    <xf numFmtId="0" fontId="111" fillId="16" borderId="3" xfId="0" applyFont="1" applyFill="1" applyBorder="1" applyAlignment="1">
      <alignment horizontal="center"/>
    </xf>
    <xf numFmtId="0" fontId="63" fillId="15" borderId="16" xfId="3" applyFont="1" applyFill="1" applyBorder="1" applyAlignment="1">
      <alignment horizontal="left"/>
    </xf>
    <xf numFmtId="0" fontId="63" fillId="15" borderId="3" xfId="3" applyFont="1" applyFill="1" applyBorder="1" applyAlignment="1">
      <alignment horizontal="left"/>
    </xf>
    <xf numFmtId="0" fontId="63" fillId="15" borderId="4" xfId="3" applyFont="1" applyFill="1" applyBorder="1" applyAlignment="1">
      <alignment horizontal="left"/>
    </xf>
    <xf numFmtId="0" fontId="63" fillId="16" borderId="16" xfId="3" applyFont="1" applyFill="1" applyBorder="1" applyAlignment="1">
      <alignment horizontal="left"/>
    </xf>
    <xf numFmtId="0" fontId="63" fillId="16" borderId="3" xfId="3" applyFont="1" applyFill="1" applyBorder="1" applyAlignment="1">
      <alignment horizontal="left"/>
    </xf>
    <xf numFmtId="0" fontId="63" fillId="16" borderId="4" xfId="3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64" fillId="17" borderId="28" xfId="0" applyFont="1" applyFill="1" applyBorder="1" applyAlignment="1">
      <alignment horizontal="center"/>
    </xf>
    <xf numFmtId="0" fontId="64" fillId="17" borderId="5" xfId="0" applyFont="1" applyFill="1" applyBorder="1" applyAlignment="1">
      <alignment horizontal="center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83" fillId="8" borderId="19" xfId="3" applyFont="1" applyFill="1" applyBorder="1" applyAlignment="1">
      <alignment horizontal="center"/>
    </xf>
    <xf numFmtId="0" fontId="83" fillId="8" borderId="14" xfId="3" applyFont="1" applyFill="1" applyBorder="1" applyAlignment="1">
      <alignment horizontal="center"/>
    </xf>
    <xf numFmtId="0" fontId="83" fillId="8" borderId="20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81" fillId="15" borderId="16" xfId="3" applyFont="1" applyFill="1" applyBorder="1" applyAlignment="1">
      <alignment horizontal="center"/>
    </xf>
    <xf numFmtId="0" fontId="81" fillId="15" borderId="3" xfId="3" applyFont="1" applyFill="1" applyBorder="1" applyAlignment="1">
      <alignment horizontal="center"/>
    </xf>
    <xf numFmtId="0" fontId="81" fillId="15" borderId="4" xfId="3" applyFont="1" applyFill="1" applyBorder="1" applyAlignment="1">
      <alignment horizontal="center"/>
    </xf>
    <xf numFmtId="0" fontId="64" fillId="9" borderId="2" xfId="3" applyFont="1" applyFill="1" applyBorder="1" applyAlignment="1">
      <alignment horizontal="center"/>
    </xf>
    <xf numFmtId="0" fontId="64" fillId="9" borderId="4" xfId="3" applyFont="1" applyFill="1" applyBorder="1" applyAlignment="1">
      <alignment horizontal="center"/>
    </xf>
    <xf numFmtId="0" fontId="82" fillId="15" borderId="16" xfId="3" applyFont="1" applyFill="1" applyBorder="1" applyAlignment="1">
      <alignment horizontal="center" vertical="center"/>
    </xf>
    <xf numFmtId="0" fontId="82" fillId="15" borderId="3" xfId="3" applyFont="1" applyFill="1" applyBorder="1" applyAlignment="1">
      <alignment horizontal="center" vertical="center"/>
    </xf>
    <xf numFmtId="0" fontId="82" fillId="15" borderId="4" xfId="3" applyFont="1" applyFill="1" applyBorder="1" applyAlignment="1">
      <alignment horizontal="center" vertical="center"/>
    </xf>
    <xf numFmtId="0" fontId="52" fillId="2" borderId="16" xfId="3" applyFont="1" applyFill="1" applyBorder="1" applyAlignment="1">
      <alignment horizontal="center" vertical="justify"/>
    </xf>
    <xf numFmtId="0" fontId="52" fillId="2" borderId="3" xfId="3" applyFont="1" applyFill="1" applyBorder="1" applyAlignment="1">
      <alignment horizontal="center" vertical="justify"/>
    </xf>
    <xf numFmtId="0" fontId="52" fillId="2" borderId="29" xfId="3" applyFont="1" applyFill="1" applyBorder="1" applyAlignment="1">
      <alignment horizontal="center" vertical="justify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8" borderId="27" xfId="3" applyFont="1" applyFill="1" applyBorder="1" applyAlignment="1">
      <alignment horizontal="left"/>
    </xf>
    <xf numFmtId="0" fontId="64" fillId="8" borderId="10" xfId="3" applyFont="1" applyFill="1" applyBorder="1" applyAlignment="1">
      <alignment horizontal="left"/>
    </xf>
    <xf numFmtId="0" fontId="64" fillId="8" borderId="11" xfId="3" applyFont="1" applyFill="1" applyBorder="1" applyAlignment="1">
      <alignment horizontal="left"/>
    </xf>
    <xf numFmtId="0" fontId="63" fillId="15" borderId="16" xfId="3" applyFont="1" applyFill="1" applyBorder="1" applyAlignment="1">
      <alignment horizontal="center"/>
    </xf>
    <xf numFmtId="0" fontId="63" fillId="15" borderId="4" xfId="3" applyFont="1" applyFill="1" applyBorder="1" applyAlignment="1">
      <alignment horizontal="center"/>
    </xf>
    <xf numFmtId="0" fontId="69" fillId="18" borderId="16" xfId="0" applyFont="1" applyFill="1" applyBorder="1" applyAlignment="1">
      <alignment horizontal="left"/>
    </xf>
    <xf numFmtId="0" fontId="69" fillId="18" borderId="4" xfId="0" applyFont="1" applyFill="1" applyBorder="1" applyAlignment="1">
      <alignment horizontal="left"/>
    </xf>
    <xf numFmtId="0" fontId="69" fillId="0" borderId="16" xfId="0" applyFont="1" applyFill="1" applyBorder="1" applyAlignment="1">
      <alignment horizontal="left"/>
    </xf>
    <xf numFmtId="0" fontId="69" fillId="0" borderId="4" xfId="0" applyFont="1" applyFill="1" applyBorder="1" applyAlignment="1">
      <alignment horizontal="left"/>
    </xf>
    <xf numFmtId="0" fontId="69" fillId="0" borderId="16" xfId="0" applyFont="1" applyBorder="1" applyAlignment="1">
      <alignment horizontal="left"/>
    </xf>
    <xf numFmtId="0" fontId="69" fillId="0" borderId="4" xfId="0" applyFont="1" applyBorder="1" applyAlignment="1">
      <alignment horizontal="left"/>
    </xf>
    <xf numFmtId="0" fontId="57" fillId="15" borderId="16" xfId="4" applyFont="1" applyFill="1" applyBorder="1" applyAlignment="1">
      <alignment horizontal="left"/>
    </xf>
    <xf numFmtId="0" fontId="57" fillId="15" borderId="3" xfId="4" applyFont="1" applyFill="1" applyBorder="1" applyAlignment="1">
      <alignment horizontal="left"/>
    </xf>
    <xf numFmtId="0" fontId="57" fillId="15" borderId="29" xfId="4" applyFont="1" applyFill="1" applyBorder="1" applyAlignment="1">
      <alignment horizontal="left"/>
    </xf>
    <xf numFmtId="0" fontId="68" fillId="0" borderId="16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109" fillId="0" borderId="2" xfId="0" applyFont="1" applyBorder="1" applyAlignment="1">
      <alignment horizontal="center"/>
    </xf>
    <xf numFmtId="0" fontId="109" fillId="0" borderId="3" xfId="0" applyFont="1" applyBorder="1" applyAlignment="1">
      <alignment horizontal="center"/>
    </xf>
    <xf numFmtId="0" fontId="109" fillId="0" borderId="4" xfId="0" applyFont="1" applyBorder="1" applyAlignment="1">
      <alignment horizontal="center"/>
    </xf>
    <xf numFmtId="0" fontId="69" fillId="8" borderId="16" xfId="3" applyFont="1" applyFill="1" applyBorder="1" applyAlignment="1">
      <alignment horizontal="left"/>
    </xf>
    <xf numFmtId="0" fontId="69" fillId="8" borderId="3" xfId="3" applyFont="1" applyFill="1" applyBorder="1" applyAlignment="1">
      <alignment horizontal="left"/>
    </xf>
    <xf numFmtId="0" fontId="69" fillId="8" borderId="4" xfId="3" applyFont="1" applyFill="1" applyBorder="1" applyAlignment="1">
      <alignment horizontal="left"/>
    </xf>
    <xf numFmtId="0" fontId="69" fillId="17" borderId="16" xfId="0" applyFont="1" applyFill="1" applyBorder="1" applyAlignment="1">
      <alignment horizontal="left"/>
    </xf>
    <xf numFmtId="0" fontId="69" fillId="17" borderId="4" xfId="0" applyFont="1" applyFill="1" applyBorder="1" applyAlignment="1">
      <alignment horizontal="left"/>
    </xf>
    <xf numFmtId="0" fontId="69" fillId="0" borderId="3" xfId="0" applyFont="1" applyBorder="1" applyAlignment="1">
      <alignment horizontal="left"/>
    </xf>
    <xf numFmtId="0" fontId="64" fillId="2" borderId="1" xfId="4" applyFont="1" applyFill="1" applyBorder="1" applyAlignment="1">
      <alignment horizontal="left"/>
    </xf>
    <xf numFmtId="0" fontId="68" fillId="2" borderId="16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8" fillId="12" borderId="16" xfId="4" applyFont="1" applyFill="1" applyBorder="1" applyAlignment="1">
      <alignment horizontal="left"/>
    </xf>
    <xf numFmtId="0" fontId="68" fillId="12" borderId="3" xfId="4" applyFont="1" applyFill="1" applyBorder="1" applyAlignment="1">
      <alignment horizontal="left"/>
    </xf>
    <xf numFmtId="0" fontId="68" fillId="12" borderId="4" xfId="4" applyFont="1" applyFill="1" applyBorder="1" applyAlignment="1">
      <alignment horizontal="left"/>
    </xf>
    <xf numFmtId="0" fontId="37" fillId="8" borderId="5" xfId="3" applyFont="1" applyFill="1" applyBorder="1" applyAlignment="1">
      <alignment horizontal="center"/>
    </xf>
    <xf numFmtId="0" fontId="42" fillId="15" borderId="17" xfId="3" applyFont="1" applyFill="1" applyBorder="1" applyAlignment="1">
      <alignment horizontal="center" vertical="center"/>
    </xf>
    <xf numFmtId="0" fontId="42" fillId="15" borderId="14" xfId="3" applyFont="1" applyFill="1" applyBorder="1" applyAlignment="1">
      <alignment horizontal="center" vertical="center"/>
    </xf>
    <xf numFmtId="0" fontId="42" fillId="15" borderId="18" xfId="3" applyFont="1" applyFill="1" applyBorder="1" applyAlignment="1">
      <alignment horizontal="center" vertical="center"/>
    </xf>
    <xf numFmtId="0" fontId="42" fillId="15" borderId="2" xfId="3" applyFont="1" applyFill="1" applyBorder="1" applyAlignment="1">
      <alignment horizontal="center"/>
    </xf>
    <xf numFmtId="0" fontId="42" fillId="15" borderId="3" xfId="3" applyFont="1" applyFill="1" applyBorder="1" applyAlignment="1">
      <alignment horizontal="center"/>
    </xf>
    <xf numFmtId="0" fontId="42" fillId="15" borderId="4" xfId="3" applyFont="1" applyFill="1" applyBorder="1" applyAlignment="1">
      <alignment horizontal="center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center" vertical="justify"/>
    </xf>
    <xf numFmtId="0" fontId="35" fillId="2" borderId="3" xfId="3" applyFont="1" applyFill="1" applyBorder="1" applyAlignment="1">
      <alignment horizontal="center" vertical="justify"/>
    </xf>
    <xf numFmtId="0" fontId="35" fillId="2" borderId="4" xfId="3" applyFont="1" applyFill="1" applyBorder="1" applyAlignment="1">
      <alignment horizontal="center" vertical="justify"/>
    </xf>
    <xf numFmtId="0" fontId="42" fillId="15" borderId="2" xfId="3" applyFont="1" applyFill="1" applyBorder="1" applyAlignment="1">
      <alignment horizontal="center" vertical="center"/>
    </xf>
    <xf numFmtId="0" fontId="42" fillId="15" borderId="3" xfId="3" applyFont="1" applyFill="1" applyBorder="1" applyAlignment="1">
      <alignment horizontal="center" vertical="center"/>
    </xf>
    <xf numFmtId="0" fontId="42" fillId="15" borderId="4" xfId="3" applyFont="1" applyFill="1" applyBorder="1" applyAlignment="1">
      <alignment horizontal="center" vertical="center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9" fillId="0" borderId="2" xfId="4" applyFont="1" applyBorder="1" applyAlignment="1">
      <alignment horizontal="left"/>
    </xf>
    <xf numFmtId="0" fontId="49" fillId="0" borderId="3" xfId="4" applyFont="1" applyBorder="1" applyAlignment="1">
      <alignment horizontal="left"/>
    </xf>
    <xf numFmtId="0" fontId="49" fillId="0" borderId="4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4" fillId="17" borderId="6" xfId="0" applyFont="1" applyFill="1" applyBorder="1" applyAlignment="1">
      <alignment horizontal="center"/>
    </xf>
    <xf numFmtId="0" fontId="34" fillId="17" borderId="0" xfId="0" applyFont="1" applyFill="1" applyBorder="1" applyAlignment="1">
      <alignment horizontal="center"/>
    </xf>
    <xf numFmtId="0" fontId="61" fillId="0" borderId="1" xfId="0" applyFont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61" fillId="17" borderId="1" xfId="0" applyFont="1" applyFill="1" applyBorder="1" applyAlignment="1">
      <alignment horizontal="left"/>
    </xf>
    <xf numFmtId="0" fontId="62" fillId="18" borderId="1" xfId="0" applyFont="1" applyFill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96" fillId="0" borderId="16" xfId="4" applyFont="1" applyBorder="1" applyAlignment="1">
      <alignment horizontal="left"/>
    </xf>
    <xf numFmtId="0" fontId="96" fillId="0" borderId="3" xfId="4" applyFont="1" applyBorder="1" applyAlignment="1">
      <alignment horizontal="left"/>
    </xf>
    <xf numFmtId="0" fontId="96" fillId="0" borderId="4" xfId="4" applyFont="1" applyBorder="1" applyAlignment="1">
      <alignment horizontal="left"/>
    </xf>
    <xf numFmtId="0" fontId="96" fillId="8" borderId="16" xfId="3" applyFont="1" applyFill="1" applyBorder="1" applyAlignment="1">
      <alignment horizontal="left"/>
    </xf>
    <xf numFmtId="0" fontId="96" fillId="8" borderId="3" xfId="3" applyFont="1" applyFill="1" applyBorder="1" applyAlignment="1">
      <alignment horizontal="left"/>
    </xf>
    <xf numFmtId="0" fontId="96" fillId="8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center"/>
    </xf>
    <xf numFmtId="0" fontId="99" fillId="15" borderId="3" xfId="3" applyFont="1" applyFill="1" applyBorder="1" applyAlignment="1">
      <alignment horizontal="center"/>
    </xf>
    <xf numFmtId="0" fontId="99" fillId="15" borderId="4" xfId="3" applyFont="1" applyFill="1" applyBorder="1" applyAlignment="1">
      <alignment horizontal="center"/>
    </xf>
    <xf numFmtId="0" fontId="98" fillId="2" borderId="16" xfId="3" applyFont="1" applyFill="1" applyBorder="1" applyAlignment="1">
      <alignment horizontal="center" vertical="justify"/>
    </xf>
    <xf numFmtId="0" fontId="98" fillId="2" borderId="3" xfId="3" applyFont="1" applyFill="1" applyBorder="1" applyAlignment="1">
      <alignment horizontal="center" vertical="justify"/>
    </xf>
    <xf numFmtId="0" fontId="98" fillId="2" borderId="29" xfId="3" applyFont="1" applyFill="1" applyBorder="1" applyAlignment="1">
      <alignment horizontal="center" vertical="justify"/>
    </xf>
    <xf numFmtId="0" fontId="99" fillId="15" borderId="16" xfId="3" applyFont="1" applyFill="1" applyBorder="1" applyAlignment="1">
      <alignment horizontal="center" vertical="center"/>
    </xf>
    <xf numFmtId="0" fontId="99" fillId="15" borderId="3" xfId="3" applyFont="1" applyFill="1" applyBorder="1" applyAlignment="1">
      <alignment horizontal="center" vertical="center"/>
    </xf>
    <xf numFmtId="0" fontId="99" fillId="15" borderId="4" xfId="3" applyFont="1" applyFill="1" applyBorder="1" applyAlignment="1">
      <alignment horizontal="center" vertical="center"/>
    </xf>
    <xf numFmtId="0" fontId="94" fillId="8" borderId="19" xfId="3" applyFont="1" applyFill="1" applyBorder="1" applyAlignment="1">
      <alignment horizontal="center"/>
    </xf>
    <xf numFmtId="0" fontId="94" fillId="8" borderId="14" xfId="3" applyFont="1" applyFill="1" applyBorder="1" applyAlignment="1">
      <alignment horizontal="center"/>
    </xf>
    <xf numFmtId="0" fontId="94" fillId="8" borderId="20" xfId="3" applyFont="1" applyFill="1" applyBorder="1" applyAlignment="1">
      <alignment horizontal="center"/>
    </xf>
    <xf numFmtId="0" fontId="96" fillId="9" borderId="2" xfId="3" applyFont="1" applyFill="1" applyBorder="1" applyAlignment="1">
      <alignment horizontal="center"/>
    </xf>
    <xf numFmtId="0" fontId="96" fillId="9" borderId="4" xfId="3" applyFont="1" applyFill="1" applyBorder="1" applyAlignment="1">
      <alignment horizontal="center"/>
    </xf>
    <xf numFmtId="0" fontId="107" fillId="15" borderId="16" xfId="4" applyFont="1" applyFill="1" applyBorder="1" applyAlignment="1">
      <alignment horizontal="left"/>
    </xf>
    <xf numFmtId="0" fontId="107" fillId="15" borderId="3" xfId="4" applyFont="1" applyFill="1" applyBorder="1" applyAlignment="1">
      <alignment horizontal="left"/>
    </xf>
    <xf numFmtId="0" fontId="107" fillId="15" borderId="29" xfId="4" applyFont="1" applyFill="1" applyBorder="1" applyAlignment="1">
      <alignment horizontal="left"/>
    </xf>
    <xf numFmtId="0" fontId="96" fillId="2" borderId="16" xfId="4" applyFont="1" applyFill="1" applyBorder="1" applyAlignment="1">
      <alignment horizontal="left"/>
    </xf>
    <xf numFmtId="0" fontId="96" fillId="2" borderId="3" xfId="4" applyFont="1" applyFill="1" applyBorder="1" applyAlignment="1">
      <alignment horizontal="left"/>
    </xf>
    <xf numFmtId="0" fontId="96" fillId="2" borderId="4" xfId="4" applyFont="1" applyFill="1" applyBorder="1" applyAlignment="1">
      <alignment horizontal="left"/>
    </xf>
    <xf numFmtId="0" fontId="102" fillId="0" borderId="16" xfId="4" applyFont="1" applyBorder="1" applyAlignment="1">
      <alignment horizontal="left"/>
    </xf>
    <xf numFmtId="0" fontId="102" fillId="0" borderId="3" xfId="4" applyFont="1" applyBorder="1" applyAlignment="1">
      <alignment horizontal="left"/>
    </xf>
    <xf numFmtId="0" fontId="102" fillId="0" borderId="4" xfId="4" applyFont="1" applyBorder="1" applyAlignment="1">
      <alignment horizontal="left"/>
    </xf>
    <xf numFmtId="0" fontId="96" fillId="16" borderId="16" xfId="3" applyFont="1" applyFill="1" applyBorder="1" applyAlignment="1">
      <alignment horizontal="left"/>
    </xf>
    <xf numFmtId="0" fontId="96" fillId="16" borderId="3" xfId="3" applyFont="1" applyFill="1" applyBorder="1" applyAlignment="1">
      <alignment horizontal="left"/>
    </xf>
    <xf numFmtId="0" fontId="96" fillId="16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left"/>
    </xf>
    <xf numFmtId="0" fontId="96" fillId="15" borderId="3" xfId="3" applyFont="1" applyFill="1" applyBorder="1" applyAlignment="1">
      <alignment horizontal="left"/>
    </xf>
    <xf numFmtId="0" fontId="96" fillId="15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center"/>
    </xf>
    <xf numFmtId="0" fontId="96" fillId="15" borderId="4" xfId="3" applyFont="1" applyFill="1" applyBorder="1" applyAlignment="1">
      <alignment horizontal="center"/>
    </xf>
    <xf numFmtId="0" fontId="96" fillId="17" borderId="28" xfId="0" applyFont="1" applyFill="1" applyBorder="1" applyAlignment="1">
      <alignment horizontal="center"/>
    </xf>
    <xf numFmtId="0" fontId="96" fillId="17" borderId="5" xfId="0" applyFont="1" applyFill="1" applyBorder="1" applyAlignment="1">
      <alignment horizontal="center"/>
    </xf>
    <xf numFmtId="0" fontId="92" fillId="0" borderId="16" xfId="0" applyFont="1" applyBorder="1" applyAlignment="1">
      <alignment horizontal="left"/>
    </xf>
    <xf numFmtId="0" fontId="92" fillId="0" borderId="4" xfId="0" applyFont="1" applyBorder="1" applyAlignment="1">
      <alignment horizontal="left"/>
    </xf>
    <xf numFmtId="0" fontId="92" fillId="0" borderId="3" xfId="0" applyFont="1" applyBorder="1" applyAlignment="1">
      <alignment horizontal="left"/>
    </xf>
    <xf numFmtId="0" fontId="92" fillId="18" borderId="16" xfId="0" applyFont="1" applyFill="1" applyBorder="1" applyAlignment="1">
      <alignment horizontal="left"/>
    </xf>
    <xf numFmtId="0" fontId="92" fillId="18" borderId="4" xfId="0" applyFont="1" applyFill="1" applyBorder="1" applyAlignment="1">
      <alignment horizontal="left"/>
    </xf>
    <xf numFmtId="0" fontId="92" fillId="17" borderId="16" xfId="0" applyFont="1" applyFill="1" applyBorder="1" applyAlignment="1">
      <alignment horizontal="left"/>
    </xf>
    <xf numFmtId="0" fontId="92" fillId="17" borderId="4" xfId="0" applyFont="1" applyFill="1" applyBorder="1" applyAlignment="1">
      <alignment horizontal="left"/>
    </xf>
    <xf numFmtId="0" fontId="96" fillId="8" borderId="27" xfId="3" applyFont="1" applyFill="1" applyBorder="1" applyAlignment="1">
      <alignment horizontal="left"/>
    </xf>
    <xf numFmtId="0" fontId="96" fillId="8" borderId="10" xfId="3" applyFont="1" applyFill="1" applyBorder="1" applyAlignment="1">
      <alignment horizontal="left"/>
    </xf>
    <xf numFmtId="0" fontId="96" fillId="8" borderId="11" xfId="3" applyFont="1" applyFill="1" applyBorder="1" applyAlignment="1">
      <alignment horizontal="left"/>
    </xf>
    <xf numFmtId="0" fontId="101" fillId="18" borderId="16" xfId="0" applyFont="1" applyFill="1" applyBorder="1" applyAlignment="1">
      <alignment horizontal="left"/>
    </xf>
    <xf numFmtId="0" fontId="101" fillId="18" borderId="4" xfId="0" applyFont="1" applyFill="1" applyBorder="1" applyAlignment="1">
      <alignment horizontal="left"/>
    </xf>
    <xf numFmtId="0" fontId="101" fillId="0" borderId="16" xfId="0" applyFont="1" applyBorder="1" applyAlignment="1">
      <alignment horizontal="left"/>
    </xf>
    <xf numFmtId="0" fontId="101" fillId="0" borderId="4" xfId="0" applyFont="1" applyBorder="1" applyAlignment="1">
      <alignment horizontal="left"/>
    </xf>
    <xf numFmtId="0" fontId="101" fillId="0" borderId="16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left"/>
    </xf>
    <xf numFmtId="0" fontId="96" fillId="0" borderId="1" xfId="4" applyFont="1" applyBorder="1" applyAlignment="1">
      <alignment horizontal="left"/>
    </xf>
    <xf numFmtId="0" fontId="64" fillId="8" borderId="22" xfId="3" applyFont="1" applyFill="1" applyBorder="1" applyAlignment="1">
      <alignment horizontal="left"/>
    </xf>
    <xf numFmtId="0" fontId="64" fillId="8" borderId="7" xfId="3" applyFont="1" applyFill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left"/>
    </xf>
    <xf numFmtId="0" fontId="63" fillId="16" borderId="1" xfId="3" applyFont="1" applyFill="1" applyBorder="1" applyAlignment="1">
      <alignment horizontal="left"/>
    </xf>
    <xf numFmtId="0" fontId="63" fillId="15" borderId="2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21" xfId="3" applyFont="1" applyFill="1" applyBorder="1" applyAlignment="1">
      <alignment horizontal="center"/>
    </xf>
    <xf numFmtId="0" fontId="63" fillId="15" borderId="1" xfId="3" applyFont="1" applyFill="1" applyBorder="1" applyAlignment="1">
      <alignment horizontal="center"/>
    </xf>
    <xf numFmtId="0" fontId="64" fillId="17" borderId="34" xfId="0" applyFont="1" applyFill="1" applyBorder="1" applyAlignment="1">
      <alignment horizontal="center"/>
    </xf>
    <xf numFmtId="0" fontId="64" fillId="17" borderId="0" xfId="0" applyFont="1" applyFill="1" applyBorder="1" applyAlignment="1">
      <alignment horizontal="center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57" fillId="15" borderId="21" xfId="4" applyFont="1" applyFill="1" applyBorder="1" applyAlignment="1">
      <alignment horizontal="left"/>
    </xf>
    <xf numFmtId="0" fontId="57" fillId="15" borderId="1" xfId="4" applyFont="1" applyFill="1" applyBorder="1" applyAlignment="1">
      <alignment horizontal="left"/>
    </xf>
    <xf numFmtId="0" fontId="57" fillId="15" borderId="15" xfId="4" applyFont="1" applyFill="1" applyBorder="1" applyAlignment="1">
      <alignment horizontal="left"/>
    </xf>
    <xf numFmtId="0" fontId="81" fillId="15" borderId="21" xfId="3" applyFont="1" applyFill="1" applyBorder="1" applyAlignment="1">
      <alignment horizontal="center"/>
    </xf>
    <xf numFmtId="0" fontId="81" fillId="15" borderId="1" xfId="3" applyFont="1" applyFill="1" applyBorder="1" applyAlignment="1">
      <alignment horizontal="center"/>
    </xf>
    <xf numFmtId="0" fontId="52" fillId="2" borderId="21" xfId="3" applyFont="1" applyFill="1" applyBorder="1" applyAlignment="1">
      <alignment horizontal="center" vertical="justify"/>
    </xf>
    <xf numFmtId="0" fontId="52" fillId="2" borderId="1" xfId="3" applyFont="1" applyFill="1" applyBorder="1" applyAlignment="1">
      <alignment horizontal="center" vertical="justify"/>
    </xf>
    <xf numFmtId="0" fontId="52" fillId="2" borderId="15" xfId="3" applyFont="1" applyFill="1" applyBorder="1" applyAlignment="1">
      <alignment horizontal="center" vertical="justify"/>
    </xf>
    <xf numFmtId="0" fontId="64" fillId="2" borderId="21" xfId="4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81" fillId="15" borderId="21" xfId="3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2" fillId="17" borderId="21" xfId="0" applyFont="1" applyFill="1" applyBorder="1" applyAlignment="1">
      <alignment horizontal="left"/>
    </xf>
    <xf numFmtId="0" fontId="72" fillId="17" borderId="1" xfId="0" applyFont="1" applyFill="1" applyBorder="1" applyAlignment="1">
      <alignment horizontal="left"/>
    </xf>
    <xf numFmtId="0" fontId="69" fillId="18" borderId="21" xfId="0" applyFont="1" applyFill="1" applyBorder="1" applyAlignment="1">
      <alignment horizontal="left"/>
    </xf>
    <xf numFmtId="0" fontId="69" fillId="18" borderId="1" xfId="0" applyFont="1" applyFill="1" applyBorder="1" applyAlignment="1">
      <alignment horizontal="left"/>
    </xf>
    <xf numFmtId="0" fontId="69" fillId="0" borderId="21" xfId="0" applyFont="1" applyFill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2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4" fillId="0" borderId="2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27.43999999999869</c:v>
                </c:pt>
                <c:pt idx="1">
                  <c:v>26.650000000001455</c:v>
                </c:pt>
                <c:pt idx="2">
                  <c:v>23.579999999997654</c:v>
                </c:pt>
                <c:pt idx="3">
                  <c:v>24.190000000002783</c:v>
                </c:pt>
                <c:pt idx="4">
                  <c:v>408.54999999999927</c:v>
                </c:pt>
                <c:pt idx="5">
                  <c:v>25.010000000002037</c:v>
                </c:pt>
                <c:pt idx="6">
                  <c:v>24</c:v>
                </c:pt>
                <c:pt idx="7">
                  <c:v>28.349999999998545</c:v>
                </c:pt>
                <c:pt idx="8">
                  <c:v>24.419999999998254</c:v>
                </c:pt>
                <c:pt idx="9">
                  <c:v>24.010000000002037</c:v>
                </c:pt>
                <c:pt idx="10">
                  <c:v>24.080000000001746</c:v>
                </c:pt>
                <c:pt idx="11">
                  <c:v>24.059999999997672</c:v>
                </c:pt>
                <c:pt idx="12">
                  <c:v>-662.10999999999694</c:v>
                </c:pt>
                <c:pt idx="13">
                  <c:v>24.169999999998254</c:v>
                </c:pt>
                <c:pt idx="14">
                  <c:v>23.989999999997963</c:v>
                </c:pt>
                <c:pt idx="15">
                  <c:v>24.069999999999709</c:v>
                </c:pt>
                <c:pt idx="16">
                  <c:v>24.160000000003492</c:v>
                </c:pt>
                <c:pt idx="17">
                  <c:v>24.149999999993724</c:v>
                </c:pt>
                <c:pt idx="18">
                  <c:v>23.659999999999854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24.479999999999563</c:v>
                </c:pt>
                <c:pt idx="23">
                  <c:v>26.920000000001892</c:v>
                </c:pt>
                <c:pt idx="24">
                  <c:v>24.080000000001746</c:v>
                </c:pt>
                <c:pt idx="25">
                  <c:v>24.120000000002619</c:v>
                </c:pt>
                <c:pt idx="26">
                  <c:v>23.879999999997381</c:v>
                </c:pt>
                <c:pt idx="27">
                  <c:v>24.139999999996235</c:v>
                </c:pt>
                <c:pt idx="28">
                  <c:v>-337.59999999999854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96.239999999997963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94815744"/>
        <c:axId val="94817280"/>
      </c:lineChart>
      <c:catAx>
        <c:axId val="948157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17280"/>
        <c:crosses val="autoZero"/>
        <c:auto val="1"/>
        <c:lblAlgn val="ctr"/>
        <c:lblOffset val="100"/>
      </c:catAx>
      <c:valAx>
        <c:axId val="9481728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9481574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14.140000000010332</c:v>
                </c:pt>
                <c:pt idx="1">
                  <c:v>15.479999999999563</c:v>
                </c:pt>
                <c:pt idx="2">
                  <c:v>13.989999999990687</c:v>
                </c:pt>
                <c:pt idx="3">
                  <c:v>11.270000000004075</c:v>
                </c:pt>
                <c:pt idx="4">
                  <c:v>13.93999999999869</c:v>
                </c:pt>
                <c:pt idx="5">
                  <c:v>14.319999999999709</c:v>
                </c:pt>
                <c:pt idx="6">
                  <c:v>12.919999999998254</c:v>
                </c:pt>
                <c:pt idx="7">
                  <c:v>11.510000000009313</c:v>
                </c:pt>
                <c:pt idx="8">
                  <c:v>11.220000000001164</c:v>
                </c:pt>
                <c:pt idx="9">
                  <c:v>11.349999999991269</c:v>
                </c:pt>
                <c:pt idx="10">
                  <c:v>14.31000000000131</c:v>
                </c:pt>
                <c:pt idx="11">
                  <c:v>11.860000000000582</c:v>
                </c:pt>
                <c:pt idx="12">
                  <c:v>-364.20999999999913</c:v>
                </c:pt>
                <c:pt idx="13">
                  <c:v>17.379999999990105</c:v>
                </c:pt>
                <c:pt idx="14">
                  <c:v>15.450000000004366</c:v>
                </c:pt>
                <c:pt idx="15">
                  <c:v>14.929999999996653</c:v>
                </c:pt>
                <c:pt idx="16">
                  <c:v>13.960000000013679</c:v>
                </c:pt>
                <c:pt idx="17">
                  <c:v>12.309999999990396</c:v>
                </c:pt>
                <c:pt idx="18">
                  <c:v>10.940000000009604</c:v>
                </c:pt>
                <c:pt idx="19">
                  <c:v>16.749999999996362</c:v>
                </c:pt>
                <c:pt idx="20">
                  <c:v>12.059999999990396</c:v>
                </c:pt>
                <c:pt idx="21">
                  <c:v>15.220000000012078</c:v>
                </c:pt>
                <c:pt idx="22">
                  <c:v>15.450000000000728</c:v>
                </c:pt>
                <c:pt idx="23">
                  <c:v>8.8999999999941792</c:v>
                </c:pt>
                <c:pt idx="24">
                  <c:v>8.8999999999941792</c:v>
                </c:pt>
                <c:pt idx="25">
                  <c:v>13.719999999997526</c:v>
                </c:pt>
                <c:pt idx="26">
                  <c:v>16.029999999998836</c:v>
                </c:pt>
                <c:pt idx="27">
                  <c:v>15.110000000000582</c:v>
                </c:pt>
                <c:pt idx="28">
                  <c:v>-345.40999999999985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-332.01000000000204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94825856"/>
        <c:axId val="95093888"/>
      </c:lineChart>
      <c:catAx>
        <c:axId val="9482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93888"/>
        <c:crosses val="autoZero"/>
        <c:auto val="1"/>
        <c:lblAlgn val="ctr"/>
        <c:lblOffset val="100"/>
      </c:catAx>
      <c:valAx>
        <c:axId val="9509388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2585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931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228</c:v>
                </c:pt>
                <c:pt idx="1">
                  <c:v>192</c:v>
                </c:pt>
                <c:pt idx="2">
                  <c:v>192</c:v>
                </c:pt>
                <c:pt idx="3">
                  <c:v>192</c:v>
                </c:pt>
                <c:pt idx="4">
                  <c:v>191</c:v>
                </c:pt>
                <c:pt idx="5">
                  <c:v>191</c:v>
                </c:pt>
                <c:pt idx="6">
                  <c:v>251</c:v>
                </c:pt>
                <c:pt idx="7">
                  <c:v>193</c:v>
                </c:pt>
                <c:pt idx="8">
                  <c:v>172</c:v>
                </c:pt>
                <c:pt idx="9">
                  <c:v>152</c:v>
                </c:pt>
                <c:pt idx="10">
                  <c:v>171</c:v>
                </c:pt>
                <c:pt idx="11">
                  <c:v>154</c:v>
                </c:pt>
                <c:pt idx="12">
                  <c:v>-1165</c:v>
                </c:pt>
                <c:pt idx="13">
                  <c:v>241</c:v>
                </c:pt>
                <c:pt idx="14">
                  <c:v>372</c:v>
                </c:pt>
                <c:pt idx="15">
                  <c:v>250</c:v>
                </c:pt>
                <c:pt idx="16">
                  <c:v>191</c:v>
                </c:pt>
                <c:pt idx="17">
                  <c:v>167</c:v>
                </c:pt>
                <c:pt idx="18">
                  <c:v>190</c:v>
                </c:pt>
                <c:pt idx="19">
                  <c:v>191</c:v>
                </c:pt>
                <c:pt idx="20">
                  <c:v>231</c:v>
                </c:pt>
                <c:pt idx="21">
                  <c:v>201</c:v>
                </c:pt>
                <c:pt idx="22">
                  <c:v>211</c:v>
                </c:pt>
                <c:pt idx="23">
                  <c:v>192</c:v>
                </c:pt>
                <c:pt idx="24">
                  <c:v>192</c:v>
                </c:pt>
                <c:pt idx="25">
                  <c:v>171</c:v>
                </c:pt>
                <c:pt idx="26">
                  <c:v>234</c:v>
                </c:pt>
                <c:pt idx="27">
                  <c:v>222</c:v>
                </c:pt>
                <c:pt idx="28">
                  <c:v>-1425</c:v>
                </c:pt>
                <c:pt idx="29">
                  <c:v>171</c:v>
                </c:pt>
                <c:pt idx="30">
                  <c:v>184</c:v>
                </c:pt>
                <c:pt idx="31">
                  <c:v>3300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95131520"/>
        <c:axId val="95133056"/>
      </c:lineChart>
      <c:catAx>
        <c:axId val="9513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3056"/>
        <c:crosses val="autoZero"/>
        <c:auto val="1"/>
        <c:lblAlgn val="ctr"/>
        <c:lblOffset val="100"/>
      </c:catAx>
      <c:valAx>
        <c:axId val="9513305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3152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69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880.63199999998324</c:v>
                </c:pt>
                <c:pt idx="1">
                  <c:v>993.17799999983981</c:v>
                </c:pt>
                <c:pt idx="2">
                  <c:v>830.41000000014901</c:v>
                </c:pt>
                <c:pt idx="3">
                  <c:v>884.16999999992549</c:v>
                </c:pt>
                <c:pt idx="4">
                  <c:v>893.63999999989755</c:v>
                </c:pt>
                <c:pt idx="5">
                  <c:v>944.36000000010245</c:v>
                </c:pt>
                <c:pt idx="6">
                  <c:v>931</c:v>
                </c:pt>
                <c:pt idx="7">
                  <c:v>859.85000000009313</c:v>
                </c:pt>
                <c:pt idx="8">
                  <c:v>779.02000000001863</c:v>
                </c:pt>
                <c:pt idx="9">
                  <c:v>847.12999999988824</c:v>
                </c:pt>
                <c:pt idx="10">
                  <c:v>852</c:v>
                </c:pt>
                <c:pt idx="11">
                  <c:v>804.77000000001863</c:v>
                </c:pt>
                <c:pt idx="12">
                  <c:v>-24979.18200000003</c:v>
                </c:pt>
                <c:pt idx="13">
                  <c:v>1135.4930000000168</c:v>
                </c:pt>
                <c:pt idx="14">
                  <c:v>1235.2890000001062</c:v>
                </c:pt>
                <c:pt idx="15">
                  <c:v>1012.5699999998324</c:v>
                </c:pt>
                <c:pt idx="16">
                  <c:v>930.51000000000931</c:v>
                </c:pt>
                <c:pt idx="17">
                  <c:v>840.14000000013039</c:v>
                </c:pt>
                <c:pt idx="18">
                  <c:v>881.40999999991618</c:v>
                </c:pt>
                <c:pt idx="19">
                  <c:v>1086</c:v>
                </c:pt>
                <c:pt idx="20">
                  <c:v>940</c:v>
                </c:pt>
                <c:pt idx="21">
                  <c:v>935</c:v>
                </c:pt>
                <c:pt idx="22">
                  <c:v>972.81000000005588</c:v>
                </c:pt>
                <c:pt idx="23">
                  <c:v>787.75</c:v>
                </c:pt>
                <c:pt idx="24">
                  <c:v>861.98999999999069</c:v>
                </c:pt>
                <c:pt idx="25">
                  <c:v>838.44999999995343</c:v>
                </c:pt>
                <c:pt idx="26">
                  <c:v>961.60299999988638</c:v>
                </c:pt>
                <c:pt idx="27">
                  <c:v>1060.0070000002161</c:v>
                </c:pt>
                <c:pt idx="28">
                  <c:v>-26977.64000000013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-25482.229999999981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95157632"/>
        <c:axId val="95245440"/>
      </c:lineChart>
      <c:catAx>
        <c:axId val="9515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45440"/>
        <c:crosses val="autoZero"/>
        <c:auto val="1"/>
        <c:lblAlgn val="ctr"/>
        <c:lblOffset val="100"/>
      </c:catAx>
      <c:valAx>
        <c:axId val="9524544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5763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693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4328.8000000000029</c:v>
                </c:pt>
                <c:pt idx="1">
                  <c:v>4368.929999999993</c:v>
                </c:pt>
                <c:pt idx="2">
                  <c:v>695.16000000000349</c:v>
                </c:pt>
                <c:pt idx="3">
                  <c:v>0</c:v>
                </c:pt>
                <c:pt idx="4">
                  <c:v>100066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-73358.3</c:v>
                </c:pt>
                <c:pt idx="13">
                  <c:v>4655.1399999999994</c:v>
                </c:pt>
                <c:pt idx="14">
                  <c:v>4654.59</c:v>
                </c:pt>
                <c:pt idx="15">
                  <c:v>4228.1200000000026</c:v>
                </c:pt>
                <c:pt idx="16">
                  <c:v>4187.6299999999974</c:v>
                </c:pt>
                <c:pt idx="17">
                  <c:v>4281.18</c:v>
                </c:pt>
                <c:pt idx="18">
                  <c:v>4162.6399999999994</c:v>
                </c:pt>
                <c:pt idx="19">
                  <c:v>4389</c:v>
                </c:pt>
                <c:pt idx="20">
                  <c:v>4214</c:v>
                </c:pt>
                <c:pt idx="21">
                  <c:v>4115</c:v>
                </c:pt>
                <c:pt idx="22">
                  <c:v>4149.8300000000017</c:v>
                </c:pt>
                <c:pt idx="23">
                  <c:v>4084.1699999999983</c:v>
                </c:pt>
                <c:pt idx="24">
                  <c:v>4098</c:v>
                </c:pt>
                <c:pt idx="25">
                  <c:v>4202</c:v>
                </c:pt>
                <c:pt idx="26">
                  <c:v>4175.4499999999971</c:v>
                </c:pt>
                <c:pt idx="27">
                  <c:v>4370.9400000000023</c:v>
                </c:pt>
                <c:pt idx="28">
                  <c:v>821804.61</c:v>
                </c:pt>
                <c:pt idx="29">
                  <c:v>0</c:v>
                </c:pt>
                <c:pt idx="30">
                  <c:v>0</c:v>
                </c:pt>
                <c:pt idx="31">
                  <c:v>921872.89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3661.2600000000093</c:v>
                </c:pt>
                <c:pt idx="3">
                  <c:v>4163.2299999999814</c:v>
                </c:pt>
                <c:pt idx="4">
                  <c:v>4265</c:v>
                </c:pt>
                <c:pt idx="5">
                  <c:v>4237</c:v>
                </c:pt>
                <c:pt idx="6">
                  <c:v>4230</c:v>
                </c:pt>
                <c:pt idx="7">
                  <c:v>4272</c:v>
                </c:pt>
                <c:pt idx="8">
                  <c:v>4195</c:v>
                </c:pt>
                <c:pt idx="9">
                  <c:v>4185</c:v>
                </c:pt>
                <c:pt idx="10">
                  <c:v>4105</c:v>
                </c:pt>
                <c:pt idx="11">
                  <c:v>4165</c:v>
                </c:pt>
                <c:pt idx="12">
                  <c:v>-41478.489999999991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0.48999999999068677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-0.48999999999068677</c:v>
                </c:pt>
                <c:pt idx="27">
                  <c:v>0</c:v>
                </c:pt>
                <c:pt idx="28">
                  <c:v>-35921.540000000037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5283456"/>
        <c:axId val="95285248"/>
      </c:lineChart>
      <c:catAx>
        <c:axId val="9528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85248"/>
        <c:crosses val="autoZero"/>
        <c:auto val="1"/>
        <c:lblAlgn val="ctr"/>
        <c:lblOffset val="100"/>
      </c:catAx>
      <c:valAx>
        <c:axId val="95285248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83456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3193.1199999999953</c:v>
                </c:pt>
                <c:pt idx="1">
                  <c:v>3503.7600000000093</c:v>
                </c:pt>
                <c:pt idx="2">
                  <c:v>3426.8800000000047</c:v>
                </c:pt>
                <c:pt idx="3">
                  <c:v>3260.6500000000233</c:v>
                </c:pt>
                <c:pt idx="4">
                  <c:v>3368</c:v>
                </c:pt>
                <c:pt idx="5">
                  <c:v>3484</c:v>
                </c:pt>
                <c:pt idx="6">
                  <c:v>3319</c:v>
                </c:pt>
                <c:pt idx="7">
                  <c:v>3394</c:v>
                </c:pt>
                <c:pt idx="8">
                  <c:v>3381</c:v>
                </c:pt>
                <c:pt idx="9">
                  <c:v>3447</c:v>
                </c:pt>
                <c:pt idx="10">
                  <c:v>3850</c:v>
                </c:pt>
                <c:pt idx="11">
                  <c:v>3783</c:v>
                </c:pt>
                <c:pt idx="12">
                  <c:v>-86100.329999999958</c:v>
                </c:pt>
                <c:pt idx="13">
                  <c:v>2968.1999999999534</c:v>
                </c:pt>
                <c:pt idx="14">
                  <c:v>2919.7600000000093</c:v>
                </c:pt>
                <c:pt idx="15">
                  <c:v>3038.5200000000186</c:v>
                </c:pt>
                <c:pt idx="16">
                  <c:v>2711.640000000014</c:v>
                </c:pt>
                <c:pt idx="17">
                  <c:v>2740.1599999999162</c:v>
                </c:pt>
                <c:pt idx="18">
                  <c:v>2681.0500000000466</c:v>
                </c:pt>
                <c:pt idx="19">
                  <c:v>2854</c:v>
                </c:pt>
                <c:pt idx="20">
                  <c:v>3035</c:v>
                </c:pt>
                <c:pt idx="21">
                  <c:v>2796</c:v>
                </c:pt>
                <c:pt idx="22">
                  <c:v>3006</c:v>
                </c:pt>
                <c:pt idx="23">
                  <c:v>3198</c:v>
                </c:pt>
                <c:pt idx="24">
                  <c:v>3189</c:v>
                </c:pt>
                <c:pt idx="25">
                  <c:v>3115</c:v>
                </c:pt>
                <c:pt idx="26">
                  <c:v>3121.3499999999767</c:v>
                </c:pt>
                <c:pt idx="27">
                  <c:v>3316.2399999999907</c:v>
                </c:pt>
                <c:pt idx="28">
                  <c:v>-64059.589999999967</c:v>
                </c:pt>
                <c:pt idx="29">
                  <c:v>0</c:v>
                </c:pt>
                <c:pt idx="30">
                  <c:v>0</c:v>
                </c:pt>
                <c:pt idx="31">
                  <c:v>-64059.589999999967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5306112"/>
        <c:axId val="95307648"/>
      </c:lineChart>
      <c:catAx>
        <c:axId val="9530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07648"/>
        <c:crosses val="autoZero"/>
        <c:auto val="1"/>
        <c:lblAlgn val="ctr"/>
        <c:lblOffset val="100"/>
      </c:catAx>
      <c:valAx>
        <c:axId val="9530764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061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0.43519999999999998</c:v>
                </c:pt>
                <c:pt idx="3">
                  <c:v>0.45</c:v>
                </c:pt>
                <c:pt idx="4">
                  <c:v>0.48</c:v>
                </c:pt>
                <c:pt idx="5">
                  <c:v>0.8</c:v>
                </c:pt>
                <c:pt idx="6">
                  <c:v>0.51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0.42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0.98</c:v>
                </c:pt>
                <c:pt idx="20">
                  <c:v>0.48</c:v>
                </c:pt>
                <c:pt idx="21">
                  <c:v>0.38</c:v>
                </c:pt>
                <c:pt idx="22">
                  <c:v>0.57999999999999996</c:v>
                </c:pt>
                <c:pt idx="23">
                  <c:v>0.55000000000000004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1.5009032258064519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95324032"/>
        <c:axId val="95325568"/>
      </c:lineChart>
      <c:catAx>
        <c:axId val="9532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25568"/>
        <c:crosses val="autoZero"/>
        <c:auto val="1"/>
        <c:lblAlgn val="ctr"/>
        <c:lblOffset val="100"/>
      </c:catAx>
      <c:valAx>
        <c:axId val="953255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532403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050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050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050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22397</c:v>
                </c:pt>
                <c:pt idx="1">
                  <c:v>22379</c:v>
                </c:pt>
                <c:pt idx="2">
                  <c:v>21109</c:v>
                </c:pt>
                <c:pt idx="3">
                  <c:v>19792</c:v>
                </c:pt>
                <c:pt idx="4">
                  <c:v>20391</c:v>
                </c:pt>
                <c:pt idx="5">
                  <c:v>21871</c:v>
                </c:pt>
                <c:pt idx="6">
                  <c:v>21611</c:v>
                </c:pt>
                <c:pt idx="7">
                  <c:v>22521</c:v>
                </c:pt>
                <c:pt idx="8">
                  <c:v>20912</c:v>
                </c:pt>
                <c:pt idx="9">
                  <c:v>21790</c:v>
                </c:pt>
                <c:pt idx="10">
                  <c:v>21316</c:v>
                </c:pt>
                <c:pt idx="11">
                  <c:v>21182</c:v>
                </c:pt>
                <c:pt idx="12">
                  <c:v>-570933</c:v>
                </c:pt>
                <c:pt idx="13">
                  <c:v>22577</c:v>
                </c:pt>
                <c:pt idx="14">
                  <c:v>23207</c:v>
                </c:pt>
                <c:pt idx="15">
                  <c:v>20975</c:v>
                </c:pt>
                <c:pt idx="16">
                  <c:v>19571</c:v>
                </c:pt>
                <c:pt idx="17">
                  <c:v>20195</c:v>
                </c:pt>
                <c:pt idx="18">
                  <c:v>19578</c:v>
                </c:pt>
                <c:pt idx="19">
                  <c:v>19799</c:v>
                </c:pt>
                <c:pt idx="20">
                  <c:v>20106</c:v>
                </c:pt>
                <c:pt idx="21">
                  <c:v>20271</c:v>
                </c:pt>
                <c:pt idx="22">
                  <c:v>21273</c:v>
                </c:pt>
                <c:pt idx="23">
                  <c:v>22810</c:v>
                </c:pt>
                <c:pt idx="24">
                  <c:v>20603</c:v>
                </c:pt>
                <c:pt idx="25">
                  <c:v>20278</c:v>
                </c:pt>
                <c:pt idx="26">
                  <c:v>20601</c:v>
                </c:pt>
                <c:pt idx="27">
                  <c:v>21818</c:v>
                </c:pt>
                <c:pt idx="28">
                  <c:v>-594257</c:v>
                </c:pt>
                <c:pt idx="29">
                  <c:v>18917</c:v>
                </c:pt>
                <c:pt idx="30">
                  <c:v>19398</c:v>
                </c:pt>
                <c:pt idx="31">
                  <c:v>-555942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95375360"/>
        <c:axId val="95376896"/>
      </c:lineChart>
      <c:catAx>
        <c:axId val="9537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76896"/>
        <c:crosses val="autoZero"/>
        <c:auto val="1"/>
        <c:lblAlgn val="ctr"/>
        <c:lblOffset val="100"/>
      </c:catAx>
      <c:valAx>
        <c:axId val="9537689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7536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7.2399999999995543</c:v>
                </c:pt>
                <c:pt idx="1">
                  <c:v>8.5300000000004275</c:v>
                </c:pt>
                <c:pt idx="2">
                  <c:v>7.0599999999999454</c:v>
                </c:pt>
                <c:pt idx="3">
                  <c:v>7.0299999999999727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6.6800000000000637</c:v>
                </c:pt>
                <c:pt idx="8">
                  <c:v>7.3199999999999363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-203.89000000000033</c:v>
                </c:pt>
                <c:pt idx="13">
                  <c:v>8.9500000000000455</c:v>
                </c:pt>
                <c:pt idx="14">
                  <c:v>7.7899999999999636</c:v>
                </c:pt>
                <c:pt idx="15">
                  <c:v>7.8900000000001</c:v>
                </c:pt>
                <c:pt idx="16">
                  <c:v>7.4700000000000273</c:v>
                </c:pt>
                <c:pt idx="17">
                  <c:v>7.5599999999999454</c:v>
                </c:pt>
                <c:pt idx="18">
                  <c:v>6.9700000000000273</c:v>
                </c:pt>
                <c:pt idx="19">
                  <c:v>8.6199999999998909</c:v>
                </c:pt>
                <c:pt idx="20">
                  <c:v>8.1500000000000909</c:v>
                </c:pt>
                <c:pt idx="21">
                  <c:v>7.2999999999999545</c:v>
                </c:pt>
                <c:pt idx="22">
                  <c:v>7.2300000000000182</c:v>
                </c:pt>
                <c:pt idx="23">
                  <c:v>7.5999999999999091</c:v>
                </c:pt>
                <c:pt idx="24">
                  <c:v>7.2300000000000182</c:v>
                </c:pt>
                <c:pt idx="25">
                  <c:v>7.2400000000000091</c:v>
                </c:pt>
                <c:pt idx="26">
                  <c:v>7.2999999999999545</c:v>
                </c:pt>
                <c:pt idx="27">
                  <c:v>8.3100000000004002</c:v>
                </c:pt>
                <c:pt idx="28">
                  <c:v>-238.72000000000003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95413376"/>
        <c:axId val="95414912"/>
      </c:lineChart>
      <c:catAx>
        <c:axId val="9541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4912"/>
        <c:crosses val="autoZero"/>
        <c:auto val="1"/>
        <c:lblAlgn val="ctr"/>
        <c:lblOffset val="100"/>
      </c:catAx>
      <c:valAx>
        <c:axId val="9541491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133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7496E-2"/>
          <c:w val="0.84489954093856523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244.95999999996275</c:v>
                </c:pt>
                <c:pt idx="1">
                  <c:v>245</c:v>
                </c:pt>
                <c:pt idx="2">
                  <c:v>264</c:v>
                </c:pt>
                <c:pt idx="3">
                  <c:v>275</c:v>
                </c:pt>
                <c:pt idx="4">
                  <c:v>241</c:v>
                </c:pt>
                <c:pt idx="5">
                  <c:v>253</c:v>
                </c:pt>
                <c:pt idx="6">
                  <c:v>247</c:v>
                </c:pt>
                <c:pt idx="7">
                  <c:v>233</c:v>
                </c:pt>
                <c:pt idx="8">
                  <c:v>245</c:v>
                </c:pt>
                <c:pt idx="9">
                  <c:v>-7046.5999999999767</c:v>
                </c:pt>
                <c:pt idx="10">
                  <c:v>307.53000000002794</c:v>
                </c:pt>
                <c:pt idx="11">
                  <c:v>276.40999999991618</c:v>
                </c:pt>
                <c:pt idx="12">
                  <c:v>274.44000000006054</c:v>
                </c:pt>
                <c:pt idx="13">
                  <c:v>259.15000000002328</c:v>
                </c:pt>
                <c:pt idx="14">
                  <c:v>260.40999999991618</c:v>
                </c:pt>
                <c:pt idx="15">
                  <c:v>241.6600000000326</c:v>
                </c:pt>
                <c:pt idx="16">
                  <c:v>300</c:v>
                </c:pt>
                <c:pt idx="17">
                  <c:v>283</c:v>
                </c:pt>
                <c:pt idx="18">
                  <c:v>252</c:v>
                </c:pt>
                <c:pt idx="19">
                  <c:v>252</c:v>
                </c:pt>
                <c:pt idx="20">
                  <c:v>260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536.95999999995001</c:v>
                </c:pt>
                <c:pt idx="1">
                  <c:v>564.63999999989755</c:v>
                </c:pt>
                <c:pt idx="2">
                  <c:v>574.36000000010245</c:v>
                </c:pt>
                <c:pt idx="3">
                  <c:v>542</c:v>
                </c:pt>
                <c:pt idx="4">
                  <c:v>538.45000000009895</c:v>
                </c:pt>
                <c:pt idx="5">
                  <c:v>396.02000000001863</c:v>
                </c:pt>
                <c:pt idx="6">
                  <c:v>470.52999999988242</c:v>
                </c:pt>
                <c:pt idx="7">
                  <c:v>531</c:v>
                </c:pt>
                <c:pt idx="8">
                  <c:v>476.77000000001863</c:v>
                </c:pt>
                <c:pt idx="9">
                  <c:v>-15043.832000000049</c:v>
                </c:pt>
                <c:pt idx="10">
                  <c:v>655.02299999999377</c:v>
                </c:pt>
                <c:pt idx="11">
                  <c:v>776.52900000018417</c:v>
                </c:pt>
                <c:pt idx="12">
                  <c:v>623.2899999997735</c:v>
                </c:pt>
                <c:pt idx="13">
                  <c:v>582.95999999997366</c:v>
                </c:pt>
                <c:pt idx="14">
                  <c:v>475.66000000022723</c:v>
                </c:pt>
                <c:pt idx="15">
                  <c:v>525.59999999987849</c:v>
                </c:pt>
                <c:pt idx="16">
                  <c:v>667</c:v>
                </c:pt>
                <c:pt idx="17">
                  <c:v>545</c:v>
                </c:pt>
                <c:pt idx="18">
                  <c:v>587</c:v>
                </c:pt>
                <c:pt idx="19">
                  <c:v>619.81000000005588</c:v>
                </c:pt>
                <c:pt idx="20">
                  <c:v>435.75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71.350000000005821</c:v>
                </c:pt>
                <c:pt idx="1">
                  <c:v>61</c:v>
                </c:pt>
                <c:pt idx="2">
                  <c:v>71</c:v>
                </c:pt>
                <c:pt idx="3">
                  <c:v>72</c:v>
                </c:pt>
                <c:pt idx="4">
                  <c:v>63</c:v>
                </c:pt>
                <c:pt idx="5">
                  <c:v>43</c:v>
                </c:pt>
                <c:pt idx="6">
                  <c:v>76</c:v>
                </c:pt>
                <c:pt idx="7">
                  <c:v>68</c:v>
                </c:pt>
                <c:pt idx="8">
                  <c:v>60</c:v>
                </c:pt>
                <c:pt idx="9">
                  <c:v>-2027.75</c:v>
                </c:pt>
                <c:pt idx="10">
                  <c:v>112.33999999999651</c:v>
                </c:pt>
                <c:pt idx="11">
                  <c:v>135.35000000000582</c:v>
                </c:pt>
                <c:pt idx="12">
                  <c:v>87.940000000002328</c:v>
                </c:pt>
                <c:pt idx="13">
                  <c:v>67.600000000005821</c:v>
                </c:pt>
                <c:pt idx="14">
                  <c:v>77.269999999989523</c:v>
                </c:pt>
                <c:pt idx="15">
                  <c:v>89.25</c:v>
                </c:pt>
                <c:pt idx="16">
                  <c:v>86</c:v>
                </c:pt>
                <c:pt idx="17">
                  <c:v>80</c:v>
                </c:pt>
                <c:pt idx="18">
                  <c:v>76</c:v>
                </c:pt>
                <c:pt idx="19">
                  <c:v>77</c:v>
                </c:pt>
                <c:pt idx="20">
                  <c:v>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07766144"/>
        <c:axId val="107767680"/>
      </c:lineChart>
      <c:catAx>
        <c:axId val="10776614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7767680"/>
        <c:crosses val="autoZero"/>
        <c:auto val="1"/>
        <c:lblAlgn val="ctr"/>
        <c:lblOffset val="100"/>
      </c:catAx>
      <c:valAx>
        <c:axId val="10776768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77661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70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85</c:v>
                </c:pt>
                <c:pt idx="2">
                  <c:v>76</c:v>
                </c:pt>
                <c:pt idx="3">
                  <c:v>98</c:v>
                </c:pt>
                <c:pt idx="4">
                  <c:v>0</c:v>
                </c:pt>
                <c:pt idx="5">
                  <c:v>120</c:v>
                </c:pt>
                <c:pt idx="6">
                  <c:v>119</c:v>
                </c:pt>
                <c:pt idx="7">
                  <c:v>72</c:v>
                </c:pt>
                <c:pt idx="8">
                  <c:v>91</c:v>
                </c:pt>
                <c:pt idx="9">
                  <c:v>68</c:v>
                </c:pt>
                <c:pt idx="10">
                  <c:v>79</c:v>
                </c:pt>
                <c:pt idx="11">
                  <c:v>71</c:v>
                </c:pt>
                <c:pt idx="12">
                  <c:v>-2406</c:v>
                </c:pt>
                <c:pt idx="13">
                  <c:v>121</c:v>
                </c:pt>
                <c:pt idx="14">
                  <c:v>131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6342016"/>
        <c:axId val="16634380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6345344"/>
        <c:axId val="166355328"/>
      </c:lineChart>
      <c:catAx>
        <c:axId val="16634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3808"/>
        <c:crosses val="autoZero"/>
        <c:auto val="1"/>
        <c:lblAlgn val="ctr"/>
        <c:lblOffset val="100"/>
      </c:catAx>
      <c:valAx>
        <c:axId val="16634380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2016"/>
        <c:crosses val="autoZero"/>
        <c:crossBetween val="between"/>
        <c:minorUnit val="50"/>
      </c:valAx>
      <c:catAx>
        <c:axId val="166345344"/>
        <c:scaling>
          <c:orientation val="minMax"/>
        </c:scaling>
        <c:delete val="1"/>
        <c:axPos val="b"/>
        <c:tickLblPos val="none"/>
        <c:crossAx val="166355328"/>
        <c:crosses val="autoZero"/>
        <c:auto val="1"/>
        <c:lblAlgn val="ctr"/>
        <c:lblOffset val="100"/>
      </c:catAx>
      <c:valAx>
        <c:axId val="16635532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4534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66388096"/>
        <c:axId val="166389632"/>
      </c:lineChart>
      <c:catAx>
        <c:axId val="16638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89632"/>
        <c:crosses val="autoZero"/>
        <c:auto val="1"/>
        <c:lblAlgn val="ctr"/>
        <c:lblOffset val="100"/>
      </c:catAx>
      <c:valAx>
        <c:axId val="16638963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880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6484224"/>
        <c:axId val="166490112"/>
      </c:lineChart>
      <c:catAx>
        <c:axId val="16648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90112"/>
        <c:crosses val="autoZero"/>
        <c:auto val="1"/>
        <c:lblAlgn val="ctr"/>
        <c:lblOffset val="100"/>
      </c:catAx>
      <c:valAx>
        <c:axId val="16649011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842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8415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70</c:v>
                </c:pt>
                <c:pt idx="1">
                  <c:v>73</c:v>
                </c:pt>
                <c:pt idx="2">
                  <c:v>90</c:v>
                </c:pt>
                <c:pt idx="3">
                  <c:v>98</c:v>
                </c:pt>
                <c:pt idx="4">
                  <c:v>0</c:v>
                </c:pt>
                <c:pt idx="5">
                  <c:v>75</c:v>
                </c:pt>
                <c:pt idx="6">
                  <c:v>72</c:v>
                </c:pt>
                <c:pt idx="7">
                  <c:v>106</c:v>
                </c:pt>
                <c:pt idx="8">
                  <c:v>100</c:v>
                </c:pt>
                <c:pt idx="9">
                  <c:v>87</c:v>
                </c:pt>
                <c:pt idx="10">
                  <c:v>95</c:v>
                </c:pt>
                <c:pt idx="11">
                  <c:v>87</c:v>
                </c:pt>
                <c:pt idx="12">
                  <c:v>-2199</c:v>
                </c:pt>
                <c:pt idx="13">
                  <c:v>104</c:v>
                </c:pt>
                <c:pt idx="14">
                  <c:v>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6659584"/>
        <c:axId val="16666112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6675200"/>
        <c:axId val="166676736"/>
      </c:lineChart>
      <c:catAx>
        <c:axId val="16665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61120"/>
        <c:crosses val="autoZero"/>
        <c:auto val="1"/>
        <c:lblAlgn val="ctr"/>
        <c:lblOffset val="100"/>
      </c:catAx>
      <c:valAx>
        <c:axId val="16666112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59584"/>
        <c:crosses val="autoZero"/>
        <c:crossBetween val="between"/>
      </c:valAx>
      <c:catAx>
        <c:axId val="166675200"/>
        <c:scaling>
          <c:orientation val="minMax"/>
        </c:scaling>
        <c:delete val="1"/>
        <c:axPos val="b"/>
        <c:tickLblPos val="none"/>
        <c:crossAx val="166676736"/>
        <c:crosses val="autoZero"/>
        <c:auto val="1"/>
        <c:lblAlgn val="ctr"/>
        <c:lblOffset val="100"/>
      </c:catAx>
      <c:valAx>
        <c:axId val="16667673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752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672.90099999999802</c:v>
                </c:pt>
                <c:pt idx="1">
                  <c:v>691.51900000000751</c:v>
                </c:pt>
                <c:pt idx="2">
                  <c:v>646.76000000000931</c:v>
                </c:pt>
                <c:pt idx="3">
                  <c:v>681.20999999998457</c:v>
                </c:pt>
                <c:pt idx="4">
                  <c:v>0</c:v>
                </c:pt>
                <c:pt idx="5">
                  <c:v>667</c:v>
                </c:pt>
                <c:pt idx="6">
                  <c:v>653</c:v>
                </c:pt>
                <c:pt idx="7">
                  <c:v>674</c:v>
                </c:pt>
                <c:pt idx="8">
                  <c:v>669</c:v>
                </c:pt>
                <c:pt idx="9">
                  <c:v>655</c:v>
                </c:pt>
                <c:pt idx="10">
                  <c:v>632</c:v>
                </c:pt>
                <c:pt idx="11">
                  <c:v>661</c:v>
                </c:pt>
                <c:pt idx="12">
                  <c:v>-17697.189999999995</c:v>
                </c:pt>
                <c:pt idx="13">
                  <c:v>670.11699999999109</c:v>
                </c:pt>
                <c:pt idx="14">
                  <c:v>643.66300000000774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6793600"/>
        <c:axId val="16679513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6796672"/>
        <c:axId val="166802560"/>
      </c:lineChart>
      <c:catAx>
        <c:axId val="16679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95136"/>
        <c:crosses val="autoZero"/>
        <c:auto val="1"/>
        <c:lblAlgn val="ctr"/>
        <c:lblOffset val="100"/>
      </c:catAx>
      <c:valAx>
        <c:axId val="16679513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93600"/>
        <c:crosses val="autoZero"/>
        <c:crossBetween val="between"/>
        <c:majorUnit val="2"/>
      </c:valAx>
      <c:catAx>
        <c:axId val="166796672"/>
        <c:scaling>
          <c:orientation val="minMax"/>
        </c:scaling>
        <c:delete val="1"/>
        <c:axPos val="b"/>
        <c:tickLblPos val="none"/>
        <c:crossAx val="166802560"/>
        <c:crosses val="autoZero"/>
        <c:auto val="1"/>
        <c:lblAlgn val="ctr"/>
        <c:lblOffset val="100"/>
      </c:catAx>
      <c:valAx>
        <c:axId val="16680256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9667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ownloads/FS%20Mumbai_HEP_Daily_feb%20202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FS%20Mumbai_HEP_Daily_Mar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H35">
            <v>0</v>
          </cell>
        </row>
        <row r="92">
          <cell r="H92">
            <v>87</v>
          </cell>
        </row>
        <row r="93">
          <cell r="H93">
            <v>200</v>
          </cell>
        </row>
        <row r="95">
          <cell r="H95">
            <v>72</v>
          </cell>
        </row>
        <row r="96">
          <cell r="H96">
            <v>23</v>
          </cell>
        </row>
        <row r="97">
          <cell r="H97">
            <v>18</v>
          </cell>
        </row>
        <row r="98">
          <cell r="H98">
            <v>83</v>
          </cell>
        </row>
        <row r="99">
          <cell r="H99">
            <v>13</v>
          </cell>
        </row>
        <row r="100">
          <cell r="H100">
            <v>6</v>
          </cell>
        </row>
        <row r="104">
          <cell r="H104">
            <v>0</v>
          </cell>
        </row>
        <row r="105">
          <cell r="H105">
            <v>8</v>
          </cell>
        </row>
        <row r="106">
          <cell r="H106">
            <v>7</v>
          </cell>
        </row>
        <row r="109">
          <cell r="H109">
            <v>41</v>
          </cell>
        </row>
        <row r="110">
          <cell r="H110">
            <v>79</v>
          </cell>
        </row>
        <row r="111">
          <cell r="H111">
            <v>0</v>
          </cell>
        </row>
        <row r="114">
          <cell r="H114">
            <v>16</v>
          </cell>
        </row>
        <row r="115">
          <cell r="H115">
            <v>5</v>
          </cell>
        </row>
        <row r="116">
          <cell r="H116">
            <v>0</v>
          </cell>
        </row>
        <row r="118">
          <cell r="H118">
            <v>138</v>
          </cell>
        </row>
        <row r="119">
          <cell r="H119">
            <v>132</v>
          </cell>
        </row>
        <row r="120">
          <cell r="H120">
            <v>120</v>
          </cell>
        </row>
      </sheetData>
      <sheetData sheetId="7">
        <row r="35">
          <cell r="H35">
            <v>0</v>
          </cell>
        </row>
        <row r="92">
          <cell r="H92">
            <v>162</v>
          </cell>
        </row>
        <row r="93">
          <cell r="H93">
            <v>351</v>
          </cell>
        </row>
        <row r="95">
          <cell r="H95">
            <v>142</v>
          </cell>
        </row>
        <row r="96">
          <cell r="H96">
            <v>53</v>
          </cell>
        </row>
        <row r="97">
          <cell r="H97">
            <v>34</v>
          </cell>
        </row>
        <row r="98">
          <cell r="H98">
            <v>150</v>
          </cell>
        </row>
        <row r="99">
          <cell r="H99">
            <v>21</v>
          </cell>
        </row>
        <row r="100">
          <cell r="H100">
            <v>11</v>
          </cell>
        </row>
        <row r="104">
          <cell r="H104">
            <v>0</v>
          </cell>
        </row>
        <row r="105">
          <cell r="H105">
            <v>16</v>
          </cell>
        </row>
        <row r="106">
          <cell r="H106">
            <v>12</v>
          </cell>
        </row>
        <row r="109">
          <cell r="H109">
            <v>102</v>
          </cell>
        </row>
        <row r="110">
          <cell r="H110">
            <v>118</v>
          </cell>
        </row>
        <row r="111">
          <cell r="H111">
            <v>16</v>
          </cell>
        </row>
        <row r="114">
          <cell r="H114">
            <v>27</v>
          </cell>
        </row>
        <row r="115">
          <cell r="H115">
            <v>8</v>
          </cell>
        </row>
        <row r="116">
          <cell r="H116">
            <v>0</v>
          </cell>
        </row>
        <row r="118">
          <cell r="H118">
            <v>264</v>
          </cell>
        </row>
        <row r="119">
          <cell r="H119">
            <v>261</v>
          </cell>
        </row>
        <row r="120">
          <cell r="H120">
            <v>236</v>
          </cell>
        </row>
      </sheetData>
      <sheetData sheetId="8">
        <row r="35">
          <cell r="H35">
            <v>2568.3299999999581</v>
          </cell>
        </row>
        <row r="92">
          <cell r="H92">
            <v>250</v>
          </cell>
        </row>
        <row r="93">
          <cell r="H93">
            <v>501</v>
          </cell>
        </row>
        <row r="95">
          <cell r="H95">
            <v>206</v>
          </cell>
        </row>
        <row r="96">
          <cell r="H96">
            <v>89</v>
          </cell>
        </row>
        <row r="97">
          <cell r="H97">
            <v>65</v>
          </cell>
        </row>
        <row r="98">
          <cell r="H98">
            <v>222</v>
          </cell>
        </row>
        <row r="99">
          <cell r="H99">
            <v>31</v>
          </cell>
        </row>
        <row r="100">
          <cell r="H100">
            <v>16</v>
          </cell>
        </row>
        <row r="104">
          <cell r="H104">
            <v>0</v>
          </cell>
        </row>
        <row r="105">
          <cell r="H105">
            <v>22</v>
          </cell>
        </row>
        <row r="106">
          <cell r="H106">
            <v>17</v>
          </cell>
        </row>
        <row r="109">
          <cell r="H109">
            <v>160</v>
          </cell>
        </row>
        <row r="110">
          <cell r="H110">
            <v>211</v>
          </cell>
        </row>
        <row r="111">
          <cell r="H111">
            <v>16</v>
          </cell>
        </row>
        <row r="114">
          <cell r="H114">
            <v>39</v>
          </cell>
        </row>
        <row r="115">
          <cell r="H115">
            <v>14</v>
          </cell>
        </row>
        <row r="116">
          <cell r="H116">
            <v>0</v>
          </cell>
        </row>
        <row r="118">
          <cell r="H118">
            <v>403</v>
          </cell>
        </row>
        <row r="119">
          <cell r="H119">
            <v>407</v>
          </cell>
        </row>
        <row r="120">
          <cell r="H120">
            <v>387</v>
          </cell>
        </row>
      </sheetData>
      <sheetData sheetId="9">
        <row r="35">
          <cell r="H35">
            <v>5175.3299999999581</v>
          </cell>
        </row>
        <row r="92">
          <cell r="H92">
            <v>352</v>
          </cell>
        </row>
        <row r="93">
          <cell r="H93">
            <v>641</v>
          </cell>
        </row>
        <row r="95">
          <cell r="H95">
            <v>284</v>
          </cell>
        </row>
        <row r="96">
          <cell r="H96">
            <v>124</v>
          </cell>
        </row>
        <row r="97">
          <cell r="H97">
            <v>110</v>
          </cell>
        </row>
        <row r="98">
          <cell r="H98">
            <v>289</v>
          </cell>
        </row>
        <row r="99">
          <cell r="H99">
            <v>41</v>
          </cell>
        </row>
        <row r="100">
          <cell r="H100">
            <v>23</v>
          </cell>
        </row>
        <row r="104">
          <cell r="H104">
            <v>0</v>
          </cell>
        </row>
        <row r="105">
          <cell r="H105">
            <v>28</v>
          </cell>
        </row>
        <row r="106">
          <cell r="H106">
            <v>23</v>
          </cell>
        </row>
        <row r="109">
          <cell r="H109">
            <v>215</v>
          </cell>
        </row>
        <row r="110">
          <cell r="H110">
            <v>258</v>
          </cell>
        </row>
        <row r="111">
          <cell r="H111">
            <v>30</v>
          </cell>
        </row>
        <row r="114">
          <cell r="H114">
            <v>53</v>
          </cell>
        </row>
        <row r="115">
          <cell r="H115">
            <v>21</v>
          </cell>
        </row>
        <row r="116">
          <cell r="H116">
            <v>0</v>
          </cell>
        </row>
        <row r="118">
          <cell r="H118">
            <v>555</v>
          </cell>
        </row>
        <row r="119">
          <cell r="H119">
            <v>582</v>
          </cell>
        </row>
        <row r="120">
          <cell r="H120">
            <v>503</v>
          </cell>
        </row>
      </sheetData>
      <sheetData sheetId="10">
        <row r="35">
          <cell r="H35">
            <v>5175.3299999999581</v>
          </cell>
        </row>
        <row r="92">
          <cell r="H92">
            <v>462</v>
          </cell>
        </row>
        <row r="93">
          <cell r="H93">
            <v>823</v>
          </cell>
        </row>
        <row r="95">
          <cell r="H95">
            <v>339</v>
          </cell>
        </row>
        <row r="96">
          <cell r="H96">
            <v>147</v>
          </cell>
        </row>
        <row r="97">
          <cell r="H97">
            <v>150</v>
          </cell>
        </row>
        <row r="98">
          <cell r="H98">
            <v>329</v>
          </cell>
        </row>
        <row r="99">
          <cell r="H99">
            <v>48</v>
          </cell>
        </row>
        <row r="100">
          <cell r="H100">
            <v>29</v>
          </cell>
        </row>
        <row r="104">
          <cell r="H104">
            <v>0</v>
          </cell>
        </row>
        <row r="105">
          <cell r="H105">
            <v>42</v>
          </cell>
        </row>
        <row r="106">
          <cell r="H106">
            <v>32</v>
          </cell>
        </row>
        <row r="109">
          <cell r="H109">
            <v>330</v>
          </cell>
        </row>
        <row r="110">
          <cell r="H110">
            <v>337</v>
          </cell>
        </row>
        <row r="111">
          <cell r="H111">
            <v>30</v>
          </cell>
        </row>
        <row r="114">
          <cell r="H114">
            <v>74</v>
          </cell>
        </row>
        <row r="115">
          <cell r="H115">
            <v>32</v>
          </cell>
        </row>
        <row r="116">
          <cell r="H116">
            <v>0</v>
          </cell>
        </row>
        <row r="118">
          <cell r="H118">
            <v>706</v>
          </cell>
        </row>
        <row r="119">
          <cell r="H119">
            <v>713</v>
          </cell>
        </row>
        <row r="120">
          <cell r="H120">
            <v>697</v>
          </cell>
        </row>
      </sheetData>
      <sheetData sheetId="11">
        <row r="35">
          <cell r="H35">
            <v>5175.3299999999581</v>
          </cell>
        </row>
        <row r="92">
          <cell r="H92">
            <v>551</v>
          </cell>
        </row>
        <row r="93">
          <cell r="H93">
            <v>924</v>
          </cell>
        </row>
        <row r="95">
          <cell r="H95">
            <v>400</v>
          </cell>
        </row>
        <row r="96">
          <cell r="H96">
            <v>181</v>
          </cell>
        </row>
        <row r="97">
          <cell r="H97">
            <v>181</v>
          </cell>
        </row>
        <row r="98">
          <cell r="H98">
            <v>401</v>
          </cell>
        </row>
        <row r="99">
          <cell r="H99">
            <v>57</v>
          </cell>
        </row>
        <row r="100">
          <cell r="H100">
            <v>38</v>
          </cell>
        </row>
        <row r="104">
          <cell r="H104">
            <v>0</v>
          </cell>
        </row>
        <row r="105">
          <cell r="H105">
            <v>48</v>
          </cell>
        </row>
        <row r="106">
          <cell r="H106">
            <v>38</v>
          </cell>
        </row>
        <row r="109">
          <cell r="H109">
            <v>370</v>
          </cell>
        </row>
        <row r="110">
          <cell r="H110">
            <v>382</v>
          </cell>
        </row>
        <row r="111">
          <cell r="H111">
            <v>62</v>
          </cell>
        </row>
        <row r="114">
          <cell r="H114">
            <v>85</v>
          </cell>
        </row>
        <row r="115">
          <cell r="H115">
            <v>38</v>
          </cell>
        </row>
        <row r="116">
          <cell r="H116">
            <v>0</v>
          </cell>
        </row>
        <row r="118">
          <cell r="H118">
            <v>846</v>
          </cell>
        </row>
        <row r="119">
          <cell r="H119">
            <v>857</v>
          </cell>
        </row>
        <row r="120">
          <cell r="H120">
            <v>814</v>
          </cell>
        </row>
      </sheetData>
      <sheetData sheetId="12">
        <row r="35">
          <cell r="H35">
            <v>5175.3299999999581</v>
          </cell>
        </row>
        <row r="92">
          <cell r="H92">
            <v>655</v>
          </cell>
        </row>
        <row r="93">
          <cell r="H93">
            <v>1131</v>
          </cell>
        </row>
        <row r="95">
          <cell r="H95">
            <v>457</v>
          </cell>
        </row>
        <row r="96">
          <cell r="H96">
            <v>224</v>
          </cell>
        </row>
        <row r="97">
          <cell r="H97">
            <v>204</v>
          </cell>
        </row>
        <row r="98">
          <cell r="H98">
            <v>459</v>
          </cell>
        </row>
        <row r="99">
          <cell r="H99">
            <v>71</v>
          </cell>
        </row>
        <row r="100">
          <cell r="H100">
            <v>46</v>
          </cell>
        </row>
        <row r="104">
          <cell r="H104">
            <v>0</v>
          </cell>
        </row>
        <row r="105">
          <cell r="H105">
            <v>54</v>
          </cell>
        </row>
        <row r="106">
          <cell r="H106">
            <v>42</v>
          </cell>
        </row>
        <row r="109">
          <cell r="H109">
            <v>409</v>
          </cell>
        </row>
        <row r="110">
          <cell r="H110">
            <v>483</v>
          </cell>
        </row>
        <row r="111">
          <cell r="H111">
            <v>62</v>
          </cell>
        </row>
        <row r="114">
          <cell r="H114">
            <v>101</v>
          </cell>
        </row>
        <row r="115">
          <cell r="H115">
            <v>45</v>
          </cell>
        </row>
        <row r="116">
          <cell r="H116">
            <v>0</v>
          </cell>
        </row>
        <row r="118">
          <cell r="H118">
            <v>1002</v>
          </cell>
        </row>
        <row r="119">
          <cell r="H119">
            <v>1002</v>
          </cell>
        </row>
        <row r="120">
          <cell r="H120">
            <v>954</v>
          </cell>
        </row>
      </sheetData>
      <sheetData sheetId="13">
        <row r="35">
          <cell r="H35">
            <v>6726.2399999999907</v>
          </cell>
        </row>
        <row r="92">
          <cell r="H92">
            <v>750</v>
          </cell>
        </row>
        <row r="93">
          <cell r="H93">
            <v>1338</v>
          </cell>
        </row>
        <row r="95">
          <cell r="H95">
            <v>528</v>
          </cell>
        </row>
        <row r="96">
          <cell r="H96">
            <v>275</v>
          </cell>
        </row>
        <row r="97">
          <cell r="H97">
            <v>224</v>
          </cell>
        </row>
        <row r="98">
          <cell r="H98">
            <v>537</v>
          </cell>
        </row>
        <row r="99">
          <cell r="H99">
            <v>83</v>
          </cell>
        </row>
        <row r="100">
          <cell r="H100">
            <v>54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47</v>
          </cell>
        </row>
        <row r="109">
          <cell r="H109">
            <v>483</v>
          </cell>
        </row>
        <row r="110">
          <cell r="H110">
            <v>526</v>
          </cell>
        </row>
        <row r="111">
          <cell r="H111">
            <v>62</v>
          </cell>
        </row>
        <row r="114">
          <cell r="H114">
            <v>117</v>
          </cell>
        </row>
        <row r="115">
          <cell r="H115">
            <v>52</v>
          </cell>
        </row>
        <row r="116">
          <cell r="H116">
            <v>0</v>
          </cell>
        </row>
        <row r="118">
          <cell r="H118">
            <v>1148</v>
          </cell>
        </row>
        <row r="119">
          <cell r="H119">
            <v>1164</v>
          </cell>
        </row>
        <row r="120">
          <cell r="H120">
            <v>1071</v>
          </cell>
        </row>
      </sheetData>
      <sheetData sheetId="14">
        <row r="35">
          <cell r="H35">
            <v>9240.1599999999162</v>
          </cell>
        </row>
        <row r="92">
          <cell r="H92">
            <v>854</v>
          </cell>
        </row>
        <row r="93">
          <cell r="H93">
            <v>1444</v>
          </cell>
        </row>
        <row r="95">
          <cell r="H95">
            <v>590</v>
          </cell>
        </row>
        <row r="96">
          <cell r="H96">
            <v>315</v>
          </cell>
        </row>
        <row r="97">
          <cell r="H97">
            <v>253</v>
          </cell>
        </row>
        <row r="98">
          <cell r="H98">
            <v>604</v>
          </cell>
        </row>
        <row r="99">
          <cell r="H99">
            <v>96</v>
          </cell>
        </row>
        <row r="100">
          <cell r="H100">
            <v>63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51</v>
          </cell>
        </row>
        <row r="109">
          <cell r="H109">
            <v>536</v>
          </cell>
        </row>
        <row r="110">
          <cell r="H110">
            <v>589</v>
          </cell>
        </row>
        <row r="111">
          <cell r="H111">
            <v>99</v>
          </cell>
        </row>
        <row r="114">
          <cell r="H114">
            <v>132</v>
          </cell>
        </row>
        <row r="115">
          <cell r="H115">
            <v>59</v>
          </cell>
        </row>
        <row r="116">
          <cell r="H116">
            <v>0</v>
          </cell>
        </row>
        <row r="118">
          <cell r="H118">
            <v>1304</v>
          </cell>
        </row>
        <row r="119">
          <cell r="H119">
            <v>1317</v>
          </cell>
        </row>
        <row r="120">
          <cell r="H120">
            <v>1224</v>
          </cell>
        </row>
      </sheetData>
      <sheetData sheetId="15">
        <row r="35">
          <cell r="H35">
            <v>11901.329999999958</v>
          </cell>
        </row>
        <row r="92">
          <cell r="H92">
            <v>991</v>
          </cell>
        </row>
        <row r="93">
          <cell r="H93">
            <v>1599</v>
          </cell>
        </row>
        <row r="95">
          <cell r="H95">
            <v>667</v>
          </cell>
        </row>
        <row r="96">
          <cell r="H96">
            <v>355</v>
          </cell>
        </row>
        <row r="97">
          <cell r="H97">
            <v>299</v>
          </cell>
        </row>
        <row r="98">
          <cell r="H98">
            <v>684</v>
          </cell>
        </row>
        <row r="99">
          <cell r="H99">
            <v>108</v>
          </cell>
        </row>
        <row r="100">
          <cell r="H100">
            <v>75</v>
          </cell>
        </row>
        <row r="104">
          <cell r="H104">
            <v>0</v>
          </cell>
        </row>
        <row r="105">
          <cell r="H105">
            <v>75</v>
          </cell>
        </row>
        <row r="106">
          <cell r="H106">
            <v>54</v>
          </cell>
        </row>
        <row r="109">
          <cell r="H109">
            <v>597</v>
          </cell>
        </row>
        <row r="110">
          <cell r="H110">
            <v>653</v>
          </cell>
        </row>
        <row r="111">
          <cell r="H111">
            <v>105</v>
          </cell>
        </row>
        <row r="114">
          <cell r="H114">
            <v>146</v>
          </cell>
        </row>
        <row r="115">
          <cell r="H115">
            <v>72</v>
          </cell>
        </row>
        <row r="116">
          <cell r="H116">
            <v>0</v>
          </cell>
        </row>
        <row r="118">
          <cell r="H118">
            <v>1491</v>
          </cell>
        </row>
        <row r="119">
          <cell r="H119">
            <v>1504</v>
          </cell>
        </row>
        <row r="120">
          <cell r="H120">
            <v>1355</v>
          </cell>
        </row>
      </sheetData>
      <sheetData sheetId="16">
        <row r="35">
          <cell r="H35">
            <v>14259.329999999958</v>
          </cell>
        </row>
        <row r="92">
          <cell r="H92">
            <v>1092</v>
          </cell>
        </row>
        <row r="93">
          <cell r="H93">
            <v>1733</v>
          </cell>
        </row>
        <row r="95">
          <cell r="H95">
            <v>738</v>
          </cell>
        </row>
        <row r="96">
          <cell r="H96">
            <v>404</v>
          </cell>
        </row>
        <row r="97">
          <cell r="H97">
            <v>322</v>
          </cell>
        </row>
        <row r="98">
          <cell r="H98">
            <v>759</v>
          </cell>
        </row>
        <row r="99">
          <cell r="H99">
            <v>118</v>
          </cell>
        </row>
        <row r="100">
          <cell r="H100">
            <v>84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340</v>
          </cell>
        </row>
        <row r="109">
          <cell r="H109">
            <v>181</v>
          </cell>
        </row>
        <row r="110">
          <cell r="H110">
            <v>144</v>
          </cell>
        </row>
        <row r="111">
          <cell r="H111">
            <v>445</v>
          </cell>
        </row>
        <row r="114">
          <cell r="H114">
            <v>12</v>
          </cell>
        </row>
        <row r="115">
          <cell r="H115">
            <v>90</v>
          </cell>
        </row>
        <row r="116">
          <cell r="H116">
            <v>200</v>
          </cell>
        </row>
        <row r="118">
          <cell r="H118">
            <v>175</v>
          </cell>
        </row>
        <row r="119">
          <cell r="H119">
            <v>245</v>
          </cell>
        </row>
        <row r="120">
          <cell r="H120">
            <v>222</v>
          </cell>
        </row>
      </sheetData>
      <sheetData sheetId="17">
        <row r="35">
          <cell r="H35">
            <v>16666.279999999912</v>
          </cell>
        </row>
        <row r="92">
          <cell r="H92">
            <v>1221</v>
          </cell>
        </row>
        <row r="93">
          <cell r="H93">
            <v>1850</v>
          </cell>
        </row>
        <row r="95">
          <cell r="H95">
            <v>824</v>
          </cell>
        </row>
        <row r="96">
          <cell r="H96">
            <v>442</v>
          </cell>
        </row>
        <row r="97">
          <cell r="H97">
            <v>349</v>
          </cell>
        </row>
        <row r="98">
          <cell r="H98">
            <v>842</v>
          </cell>
        </row>
        <row r="99">
          <cell r="H99">
            <v>128</v>
          </cell>
        </row>
        <row r="100">
          <cell r="H100">
            <v>91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346</v>
          </cell>
        </row>
        <row r="109">
          <cell r="H109">
            <v>140</v>
          </cell>
        </row>
        <row r="110">
          <cell r="H110">
            <v>104</v>
          </cell>
        </row>
        <row r="111">
          <cell r="H111">
            <v>433</v>
          </cell>
        </row>
        <row r="114">
          <cell r="H114">
            <v>14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203</v>
          </cell>
        </row>
        <row r="119">
          <cell r="H119">
            <v>251</v>
          </cell>
        </row>
        <row r="120">
          <cell r="H120">
            <v>129</v>
          </cell>
        </row>
      </sheetData>
      <sheetData sheetId="18">
        <row r="35">
          <cell r="H35">
            <v>19370</v>
          </cell>
        </row>
        <row r="92">
          <cell r="H92">
            <v>1370</v>
          </cell>
        </row>
        <row r="93">
          <cell r="H93">
            <v>2099</v>
          </cell>
        </row>
        <row r="95">
          <cell r="H95">
            <v>912</v>
          </cell>
        </row>
        <row r="96">
          <cell r="H96">
            <v>485</v>
          </cell>
        </row>
        <row r="97">
          <cell r="H97">
            <v>395</v>
          </cell>
        </row>
        <row r="98">
          <cell r="H98">
            <v>905</v>
          </cell>
        </row>
        <row r="99">
          <cell r="H99">
            <v>144</v>
          </cell>
        </row>
        <row r="100">
          <cell r="H100">
            <v>105</v>
          </cell>
        </row>
        <row r="104">
          <cell r="H104">
            <v>74</v>
          </cell>
        </row>
        <row r="105">
          <cell r="H105">
            <v>59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224</v>
          </cell>
        </row>
        <row r="119">
          <cell r="H119">
            <v>290</v>
          </cell>
        </row>
        <row r="120">
          <cell r="H120">
            <v>165</v>
          </cell>
        </row>
      </sheetData>
      <sheetData sheetId="19">
        <row r="35">
          <cell r="H35">
            <v>22338.199999999953</v>
          </cell>
        </row>
        <row r="92">
          <cell r="H92">
            <v>1536</v>
          </cell>
        </row>
        <row r="93">
          <cell r="H93">
            <v>2273</v>
          </cell>
        </row>
        <row r="95">
          <cell r="H95">
            <v>1033</v>
          </cell>
        </row>
        <row r="96">
          <cell r="H96">
            <v>532</v>
          </cell>
        </row>
        <row r="97">
          <cell r="H97">
            <v>441</v>
          </cell>
        </row>
        <row r="98">
          <cell r="H98">
            <v>976</v>
          </cell>
        </row>
        <row r="99">
          <cell r="H99">
            <v>163</v>
          </cell>
        </row>
        <row r="100">
          <cell r="H100">
            <v>129</v>
          </cell>
        </row>
        <row r="104">
          <cell r="H104">
            <v>161</v>
          </cell>
        </row>
        <row r="105">
          <cell r="H105">
            <v>59</v>
          </cell>
        </row>
        <row r="106">
          <cell r="H106">
            <v>339</v>
          </cell>
        </row>
        <row r="109">
          <cell r="H109">
            <v>136</v>
          </cell>
        </row>
        <row r="110">
          <cell r="H110">
            <v>87</v>
          </cell>
        </row>
        <row r="111">
          <cell r="H111">
            <v>433</v>
          </cell>
        </row>
        <row r="114">
          <cell r="H114">
            <v>22</v>
          </cell>
        </row>
        <row r="115">
          <cell r="H115">
            <v>107</v>
          </cell>
        </row>
        <row r="116">
          <cell r="H116">
            <v>200</v>
          </cell>
        </row>
        <row r="118">
          <cell r="H118">
            <v>240</v>
          </cell>
        </row>
        <row r="119">
          <cell r="H119">
            <v>340</v>
          </cell>
        </row>
        <row r="120">
          <cell r="H120">
            <v>108</v>
          </cell>
        </row>
      </sheetData>
      <sheetData sheetId="20">
        <row r="35">
          <cell r="H35">
            <v>25257.959999999963</v>
          </cell>
        </row>
        <row r="92">
          <cell r="H92">
            <v>1728</v>
          </cell>
        </row>
        <row r="93">
          <cell r="H93">
            <v>2467</v>
          </cell>
        </row>
        <row r="95">
          <cell r="H95">
            <v>1164</v>
          </cell>
        </row>
        <row r="96">
          <cell r="H96">
            <v>557</v>
          </cell>
        </row>
        <row r="97">
          <cell r="H97">
            <v>476</v>
          </cell>
        </row>
        <row r="98">
          <cell r="H98">
            <v>1052</v>
          </cell>
        </row>
        <row r="99">
          <cell r="H99">
            <v>193</v>
          </cell>
        </row>
        <row r="100">
          <cell r="H100">
            <v>152</v>
          </cell>
        </row>
        <row r="104">
          <cell r="H104">
            <v>74</v>
          </cell>
        </row>
        <row r="105">
          <cell r="H105">
            <v>65</v>
          </cell>
        </row>
        <row r="106">
          <cell r="H106">
            <v>345</v>
          </cell>
        </row>
        <row r="109">
          <cell r="H109">
            <v>159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35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267</v>
          </cell>
        </row>
        <row r="119">
          <cell r="H119">
            <v>327</v>
          </cell>
        </row>
        <row r="120">
          <cell r="H120">
            <v>188</v>
          </cell>
        </row>
      </sheetData>
      <sheetData sheetId="21">
        <row r="35">
          <cell r="H35">
            <v>28296.479999999981</v>
          </cell>
        </row>
        <row r="92">
          <cell r="H92">
            <v>1860</v>
          </cell>
        </row>
        <row r="93">
          <cell r="H93">
            <v>2621</v>
          </cell>
        </row>
        <row r="95">
          <cell r="H95">
            <v>1261</v>
          </cell>
        </row>
        <row r="96">
          <cell r="H96">
            <v>575</v>
          </cell>
        </row>
        <row r="97">
          <cell r="H97">
            <v>500</v>
          </cell>
        </row>
        <row r="98">
          <cell r="H98">
            <v>1108</v>
          </cell>
        </row>
        <row r="99">
          <cell r="H99">
            <v>210</v>
          </cell>
        </row>
        <row r="100">
          <cell r="H100">
            <v>158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103</v>
          </cell>
        </row>
        <row r="111">
          <cell r="H111">
            <v>433</v>
          </cell>
        </row>
        <row r="114">
          <cell r="H114">
            <v>21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205</v>
          </cell>
        </row>
        <row r="119">
          <cell r="H119">
            <v>245</v>
          </cell>
        </row>
        <row r="120">
          <cell r="H120">
            <v>124</v>
          </cell>
        </row>
      </sheetData>
      <sheetData sheetId="22">
        <row r="35">
          <cell r="H35">
            <v>31008.119999999995</v>
          </cell>
        </row>
        <row r="92">
          <cell r="H92">
            <v>1944</v>
          </cell>
        </row>
        <row r="93">
          <cell r="H93">
            <v>2755</v>
          </cell>
        </row>
        <row r="95">
          <cell r="H95">
            <v>1333</v>
          </cell>
        </row>
        <row r="96">
          <cell r="H96">
            <v>590</v>
          </cell>
        </row>
        <row r="97">
          <cell r="H97">
            <v>520</v>
          </cell>
        </row>
        <row r="98">
          <cell r="H98">
            <v>1143</v>
          </cell>
        </row>
        <row r="99">
          <cell r="H99">
            <v>224</v>
          </cell>
        </row>
        <row r="100">
          <cell r="H100">
            <v>164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339</v>
          </cell>
        </row>
        <row r="109">
          <cell r="H109">
            <v>116</v>
          </cell>
        </row>
        <row r="110">
          <cell r="H110">
            <v>82</v>
          </cell>
        </row>
        <row r="111">
          <cell r="H111">
            <v>455</v>
          </cell>
        </row>
        <row r="114">
          <cell r="H114">
            <v>17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158</v>
          </cell>
        </row>
        <row r="119">
          <cell r="H119">
            <v>210</v>
          </cell>
        </row>
        <row r="120">
          <cell r="H120">
            <v>105</v>
          </cell>
        </row>
      </sheetData>
      <sheetData sheetId="23">
        <row r="35">
          <cell r="H35">
            <v>33748.279999999912</v>
          </cell>
        </row>
        <row r="92">
          <cell r="H92">
            <v>2025</v>
          </cell>
        </row>
        <row r="93">
          <cell r="H93">
            <v>2892</v>
          </cell>
        </row>
        <row r="95">
          <cell r="H95">
            <v>1407</v>
          </cell>
        </row>
        <row r="96">
          <cell r="H96">
            <v>606</v>
          </cell>
        </row>
        <row r="97">
          <cell r="H97">
            <v>537</v>
          </cell>
        </row>
        <row r="98">
          <cell r="H98">
            <v>1221</v>
          </cell>
        </row>
        <row r="99">
          <cell r="H99">
            <v>246</v>
          </cell>
        </row>
        <row r="100">
          <cell r="H100">
            <v>169</v>
          </cell>
        </row>
        <row r="104">
          <cell r="H104">
            <v>74</v>
          </cell>
        </row>
        <row r="105">
          <cell r="H105">
            <v>56</v>
          </cell>
        </row>
        <row r="106">
          <cell r="H106">
            <v>344</v>
          </cell>
        </row>
        <row r="109">
          <cell r="H109">
            <v>136</v>
          </cell>
        </row>
        <row r="110">
          <cell r="H110">
            <v>137</v>
          </cell>
        </row>
        <row r="111">
          <cell r="H111">
            <v>440</v>
          </cell>
        </row>
        <row r="114">
          <cell r="H114">
            <v>25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151</v>
          </cell>
        </row>
        <row r="119">
          <cell r="H119">
            <v>217</v>
          </cell>
        </row>
        <row r="120">
          <cell r="H120">
            <v>165</v>
          </cell>
        </row>
      </sheetData>
      <sheetData sheetId="24">
        <row r="35">
          <cell r="H35">
            <v>36429.329999999958</v>
          </cell>
        </row>
        <row r="92">
          <cell r="H92">
            <v>2120</v>
          </cell>
        </row>
        <row r="93">
          <cell r="H93">
            <v>3034</v>
          </cell>
        </row>
        <row r="95">
          <cell r="H95">
            <v>1486</v>
          </cell>
        </row>
        <row r="96">
          <cell r="H96">
            <v>615</v>
          </cell>
        </row>
        <row r="97">
          <cell r="H97">
            <v>561</v>
          </cell>
        </row>
        <row r="98">
          <cell r="H98">
            <v>1284</v>
          </cell>
        </row>
        <row r="99">
          <cell r="H99">
            <v>269</v>
          </cell>
        </row>
        <row r="100">
          <cell r="H100">
            <v>175</v>
          </cell>
        </row>
        <row r="104">
          <cell r="H104">
            <v>74</v>
          </cell>
        </row>
        <row r="105">
          <cell r="H105">
            <v>63</v>
          </cell>
        </row>
        <row r="106">
          <cell r="H106">
            <v>350</v>
          </cell>
        </row>
        <row r="109">
          <cell r="H109">
            <v>176</v>
          </cell>
        </row>
        <row r="110">
          <cell r="H110">
            <v>168</v>
          </cell>
        </row>
        <row r="111">
          <cell r="H111">
            <v>440</v>
          </cell>
        </row>
        <row r="114">
          <cell r="H114">
            <v>51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296</v>
          </cell>
        </row>
        <row r="119">
          <cell r="H119">
            <v>358</v>
          </cell>
        </row>
        <row r="120">
          <cell r="H120">
            <v>236</v>
          </cell>
        </row>
      </sheetData>
      <sheetData sheetId="25">
        <row r="35">
          <cell r="H35">
            <v>39283.329999999958</v>
          </cell>
        </row>
        <row r="92">
          <cell r="H92">
            <v>2227</v>
          </cell>
        </row>
        <row r="93">
          <cell r="H93">
            <v>3167</v>
          </cell>
        </row>
        <row r="95">
          <cell r="H95">
            <v>1572</v>
          </cell>
        </row>
        <row r="96">
          <cell r="H96">
            <v>637</v>
          </cell>
        </row>
        <row r="97">
          <cell r="H97">
            <v>593</v>
          </cell>
        </row>
        <row r="98">
          <cell r="H98">
            <v>1352</v>
          </cell>
        </row>
        <row r="99">
          <cell r="H99">
            <v>290</v>
          </cell>
        </row>
        <row r="100">
          <cell r="H100">
            <v>183</v>
          </cell>
        </row>
        <row r="104">
          <cell r="H104">
            <v>74</v>
          </cell>
        </row>
        <row r="105">
          <cell r="H105">
            <v>76</v>
          </cell>
        </row>
        <row r="106">
          <cell r="H106">
            <v>358</v>
          </cell>
        </row>
        <row r="109">
          <cell r="H109">
            <v>235</v>
          </cell>
        </row>
        <row r="110">
          <cell r="H110">
            <v>243</v>
          </cell>
        </row>
        <row r="111">
          <cell r="H111">
            <v>460</v>
          </cell>
        </row>
        <row r="114">
          <cell r="H114">
            <v>77</v>
          </cell>
        </row>
        <row r="115">
          <cell r="H115">
            <v>102</v>
          </cell>
        </row>
        <row r="116">
          <cell r="H116">
            <v>200</v>
          </cell>
        </row>
        <row r="118">
          <cell r="H118">
            <v>454</v>
          </cell>
        </row>
        <row r="119">
          <cell r="H119">
            <v>527</v>
          </cell>
        </row>
        <row r="120">
          <cell r="H120">
            <v>390</v>
          </cell>
        </row>
      </sheetData>
      <sheetData sheetId="26">
        <row r="35">
          <cell r="H35">
            <v>42318.329999999958</v>
          </cell>
        </row>
        <row r="92">
          <cell r="H92">
            <v>2349</v>
          </cell>
        </row>
        <row r="93">
          <cell r="H93">
            <v>3277</v>
          </cell>
        </row>
        <row r="95">
          <cell r="H95">
            <v>1644</v>
          </cell>
        </row>
        <row r="96">
          <cell r="H96">
            <v>664</v>
          </cell>
        </row>
        <row r="97">
          <cell r="H97">
            <v>628</v>
          </cell>
        </row>
        <row r="98">
          <cell r="H98">
            <v>1439</v>
          </cell>
        </row>
        <row r="99">
          <cell r="H99">
            <v>305</v>
          </cell>
        </row>
        <row r="100">
          <cell r="H100">
            <v>195</v>
          </cell>
        </row>
        <row r="104">
          <cell r="H104">
            <v>74</v>
          </cell>
        </row>
        <row r="105">
          <cell r="H105">
            <v>83</v>
          </cell>
        </row>
        <row r="106">
          <cell r="H106">
            <v>364</v>
          </cell>
        </row>
        <row r="109">
          <cell r="H109">
            <v>295</v>
          </cell>
        </row>
        <row r="110">
          <cell r="H110">
            <v>343</v>
          </cell>
        </row>
        <row r="111">
          <cell r="H111">
            <v>466</v>
          </cell>
        </row>
        <row r="114">
          <cell r="H114">
            <v>94</v>
          </cell>
        </row>
        <row r="115">
          <cell r="H115">
            <v>111</v>
          </cell>
        </row>
        <row r="116">
          <cell r="H116">
            <v>200</v>
          </cell>
        </row>
        <row r="118">
          <cell r="H118">
            <v>627</v>
          </cell>
        </row>
        <row r="119">
          <cell r="H119">
            <v>688</v>
          </cell>
        </row>
        <row r="120">
          <cell r="H120">
            <v>556</v>
          </cell>
        </row>
      </sheetData>
      <sheetData sheetId="27">
        <row r="35">
          <cell r="H35">
            <v>0</v>
          </cell>
        </row>
        <row r="92">
          <cell r="H92">
            <v>-791</v>
          </cell>
        </row>
        <row r="93">
          <cell r="H93">
            <v>-1243</v>
          </cell>
        </row>
        <row r="95">
          <cell r="H95">
            <v>-591</v>
          </cell>
        </row>
        <row r="96">
          <cell r="H96">
            <v>-221</v>
          </cell>
        </row>
        <row r="97">
          <cell r="H97">
            <v>-204</v>
          </cell>
        </row>
        <row r="98">
          <cell r="H98">
            <v>-533</v>
          </cell>
        </row>
        <row r="99">
          <cell r="H99">
            <v>-170</v>
          </cell>
        </row>
        <row r="100">
          <cell r="H100">
            <v>-72</v>
          </cell>
        </row>
        <row r="104">
          <cell r="H104">
            <v>-13</v>
          </cell>
        </row>
        <row r="105">
          <cell r="H105">
            <v>-202</v>
          </cell>
        </row>
        <row r="106">
          <cell r="H106">
            <v>161</v>
          </cell>
        </row>
        <row r="109">
          <cell r="H109">
            <v>-1623</v>
          </cell>
        </row>
        <row r="110">
          <cell r="H110">
            <v>-1822</v>
          </cell>
        </row>
        <row r="111">
          <cell r="H111">
            <v>189</v>
          </cell>
        </row>
        <row r="114">
          <cell r="H114">
            <v>-566</v>
          </cell>
        </row>
        <row r="115">
          <cell r="H115">
            <v>-136</v>
          </cell>
        </row>
        <row r="116">
          <cell r="H116">
            <v>200</v>
          </cell>
        </row>
        <row r="118">
          <cell r="H118">
            <v>-4632</v>
          </cell>
        </row>
        <row r="119">
          <cell r="H119">
            <v>-4611</v>
          </cell>
        </row>
        <row r="120">
          <cell r="H120">
            <v>-3804</v>
          </cell>
        </row>
      </sheetData>
      <sheetData sheetId="28">
        <row r="35">
          <cell r="H35">
            <v>0</v>
          </cell>
        </row>
        <row r="92">
          <cell r="H92">
            <v>-688</v>
          </cell>
        </row>
        <row r="93">
          <cell r="H93">
            <v>-1123</v>
          </cell>
        </row>
        <row r="95">
          <cell r="H95">
            <v>-516</v>
          </cell>
        </row>
        <row r="96">
          <cell r="H96">
            <v>-203</v>
          </cell>
        </row>
        <row r="97">
          <cell r="H97">
            <v>-178</v>
          </cell>
        </row>
        <row r="98">
          <cell r="H98">
            <v>-477</v>
          </cell>
        </row>
        <row r="99">
          <cell r="H99">
            <v>-160</v>
          </cell>
        </row>
        <row r="100">
          <cell r="H100">
            <v>-59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342</v>
          </cell>
        </row>
        <row r="109">
          <cell r="H109">
            <v>121</v>
          </cell>
        </row>
        <row r="110">
          <cell r="H110">
            <v>86</v>
          </cell>
        </row>
        <row r="111">
          <cell r="H111">
            <v>446</v>
          </cell>
        </row>
        <row r="114">
          <cell r="H114">
            <v>12</v>
          </cell>
        </row>
        <row r="115">
          <cell r="H115">
            <v>99</v>
          </cell>
        </row>
        <row r="116">
          <cell r="H116">
            <v>200</v>
          </cell>
        </row>
        <row r="118">
          <cell r="H118">
            <v>169</v>
          </cell>
        </row>
        <row r="119">
          <cell r="H119">
            <v>225</v>
          </cell>
        </row>
        <row r="120">
          <cell r="H120">
            <v>105</v>
          </cell>
        </row>
      </sheetData>
      <sheetData sheetId="29">
        <row r="35">
          <cell r="H35">
            <v>0</v>
          </cell>
        </row>
        <row r="92">
          <cell r="H92">
            <v>-585</v>
          </cell>
        </row>
        <row r="93">
          <cell r="H93">
            <v>-974</v>
          </cell>
        </row>
        <row r="95">
          <cell r="H95">
            <v>-445</v>
          </cell>
        </row>
        <row r="96">
          <cell r="H96">
            <v>-178</v>
          </cell>
        </row>
        <row r="97">
          <cell r="H97">
            <v>-145</v>
          </cell>
        </row>
        <row r="98">
          <cell r="H98">
            <v>-432</v>
          </cell>
        </row>
        <row r="99">
          <cell r="H99">
            <v>-148</v>
          </cell>
        </row>
        <row r="100">
          <cell r="H100">
            <v>-50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339</v>
          </cell>
        </row>
        <row r="109">
          <cell r="H109">
            <v>137</v>
          </cell>
        </row>
        <row r="110">
          <cell r="H110">
            <v>80</v>
          </cell>
        </row>
        <row r="111">
          <cell r="H111">
            <v>433</v>
          </cell>
        </row>
        <row r="114">
          <cell r="H114">
            <v>15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176</v>
          </cell>
        </row>
        <row r="119">
          <cell r="H119">
            <v>233</v>
          </cell>
        </row>
        <row r="120">
          <cell r="H120">
            <v>102</v>
          </cell>
        </row>
      </sheetData>
      <sheetData sheetId="30">
        <row r="35">
          <cell r="H35">
            <v>0</v>
          </cell>
        </row>
        <row r="92">
          <cell r="H92">
            <v>-489</v>
          </cell>
        </row>
        <row r="93">
          <cell r="H93">
            <v>-813</v>
          </cell>
        </row>
        <row r="95">
          <cell r="H95">
            <v>-362</v>
          </cell>
        </row>
        <row r="96">
          <cell r="H96">
            <v>-154</v>
          </cell>
        </row>
        <row r="97">
          <cell r="H97">
            <v>-120</v>
          </cell>
        </row>
        <row r="98">
          <cell r="H98">
            <v>-382</v>
          </cell>
        </row>
        <row r="99">
          <cell r="H99">
            <v>-131</v>
          </cell>
        </row>
        <row r="100">
          <cell r="H100">
            <v>-42</v>
          </cell>
        </row>
        <row r="104">
          <cell r="H104">
            <v>74</v>
          </cell>
        </row>
        <row r="105">
          <cell r="H105">
            <v>62</v>
          </cell>
        </row>
        <row r="106">
          <cell r="H106">
            <v>341</v>
          </cell>
        </row>
        <row r="109">
          <cell r="H109">
            <v>117</v>
          </cell>
        </row>
        <row r="110">
          <cell r="H110">
            <v>105</v>
          </cell>
        </row>
        <row r="111">
          <cell r="H111">
            <v>447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172</v>
          </cell>
        </row>
        <row r="119">
          <cell r="H119">
            <v>240</v>
          </cell>
        </row>
        <row r="120">
          <cell r="H120">
            <v>121</v>
          </cell>
        </row>
      </sheetData>
      <sheetData sheetId="31">
        <row r="35">
          <cell r="H35">
            <v>0</v>
          </cell>
        </row>
        <row r="92">
          <cell r="H92">
            <v>-381</v>
          </cell>
        </row>
        <row r="93">
          <cell r="H93">
            <v>-708</v>
          </cell>
        </row>
        <row r="95">
          <cell r="H95">
            <v>-302</v>
          </cell>
        </row>
        <row r="96">
          <cell r="H96">
            <v>-135</v>
          </cell>
        </row>
        <row r="97">
          <cell r="H97">
            <v>-95</v>
          </cell>
        </row>
        <row r="98">
          <cell r="H98">
            <v>-320</v>
          </cell>
        </row>
        <row r="99">
          <cell r="H99">
            <v>-92</v>
          </cell>
        </row>
        <row r="100">
          <cell r="H100">
            <v>-32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337</v>
          </cell>
        </row>
        <row r="109">
          <cell r="H109">
            <v>118</v>
          </cell>
        </row>
        <row r="110">
          <cell r="H110">
            <v>105</v>
          </cell>
        </row>
        <row r="111">
          <cell r="H111">
            <v>433</v>
          </cell>
        </row>
        <row r="114">
          <cell r="H114">
            <v>44</v>
          </cell>
        </row>
        <row r="115">
          <cell r="H115">
            <v>97</v>
          </cell>
        </row>
        <row r="116">
          <cell r="H116">
            <v>200</v>
          </cell>
        </row>
        <row r="118">
          <cell r="H118">
            <v>180</v>
          </cell>
        </row>
        <row r="119">
          <cell r="H119">
            <v>236</v>
          </cell>
        </row>
        <row r="120">
          <cell r="H120">
            <v>108</v>
          </cell>
        </row>
      </sheetData>
      <sheetData sheetId="32">
        <row r="35">
          <cell r="H35">
            <v>0</v>
          </cell>
        </row>
        <row r="92">
          <cell r="H92">
            <v>-291</v>
          </cell>
        </row>
        <row r="93">
          <cell r="H93">
            <v>-595</v>
          </cell>
        </row>
        <row r="95">
          <cell r="H95">
            <v>-231</v>
          </cell>
        </row>
        <row r="96">
          <cell r="H96">
            <v>-120</v>
          </cell>
        </row>
        <row r="97">
          <cell r="H97">
            <v>-82</v>
          </cell>
        </row>
        <row r="98">
          <cell r="H98">
            <v>-256</v>
          </cell>
        </row>
        <row r="99">
          <cell r="H99">
            <v>-60</v>
          </cell>
        </row>
        <row r="100">
          <cell r="H100">
            <v>-27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341</v>
          </cell>
        </row>
        <row r="109">
          <cell r="H109">
            <v>118</v>
          </cell>
        </row>
        <row r="110">
          <cell r="H110">
            <v>104</v>
          </cell>
        </row>
        <row r="111">
          <cell r="H111">
            <v>438</v>
          </cell>
        </row>
        <row r="114">
          <cell r="H114">
            <v>37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167</v>
          </cell>
        </row>
        <row r="119">
          <cell r="H119">
            <v>219</v>
          </cell>
        </row>
        <row r="120">
          <cell r="H120">
            <v>112</v>
          </cell>
        </row>
      </sheetData>
      <sheetData sheetId="33">
        <row r="35">
          <cell r="H35">
            <v>0.32999999995809048</v>
          </cell>
        </row>
        <row r="92">
          <cell r="H92">
            <v>-234</v>
          </cell>
        </row>
        <row r="93">
          <cell r="H93">
            <v>-495</v>
          </cell>
        </row>
        <row r="95">
          <cell r="H95">
            <v>-188</v>
          </cell>
        </row>
        <row r="96">
          <cell r="H96">
            <v>-97</v>
          </cell>
        </row>
        <row r="97">
          <cell r="H97">
            <v>-71</v>
          </cell>
        </row>
        <row r="98">
          <cell r="H98">
            <v>-197</v>
          </cell>
        </row>
        <row r="99">
          <cell r="H99">
            <v>-38</v>
          </cell>
        </row>
        <row r="100">
          <cell r="H100">
            <v>-19</v>
          </cell>
        </row>
        <row r="104">
          <cell r="H104">
            <v>74</v>
          </cell>
        </row>
        <row r="105">
          <cell r="H105">
            <v>48</v>
          </cell>
        </row>
        <row r="106">
          <cell r="H106">
            <v>334</v>
          </cell>
        </row>
        <row r="109">
          <cell r="H109">
            <v>139</v>
          </cell>
        </row>
        <row r="110">
          <cell r="H110">
            <v>93</v>
          </cell>
        </row>
        <row r="111">
          <cell r="H111">
            <v>433</v>
          </cell>
        </row>
        <row r="114">
          <cell r="H114">
            <v>25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133</v>
          </cell>
        </row>
        <row r="119">
          <cell r="H119">
            <v>190</v>
          </cell>
        </row>
        <row r="120">
          <cell r="H120">
            <v>117</v>
          </cell>
        </row>
      </sheetData>
      <sheetData sheetId="34">
        <row r="35">
          <cell r="H35">
            <v>0.32999999995809048</v>
          </cell>
        </row>
      </sheetData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H7">
            <v>22397</v>
          </cell>
          <cell r="I7">
            <v>12000</v>
          </cell>
        </row>
        <row r="8">
          <cell r="F8">
            <v>4495710</v>
          </cell>
          <cell r="H8">
            <v>22554</v>
          </cell>
        </row>
        <row r="9">
          <cell r="F9">
            <v>101235.16</v>
          </cell>
          <cell r="H9">
            <v>14326.150000000009</v>
          </cell>
        </row>
        <row r="10">
          <cell r="F10">
            <v>33103.08</v>
          </cell>
          <cell r="H10">
            <v>7407.52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21733.670000000009</v>
          </cell>
        </row>
        <row r="15">
          <cell r="F15">
            <v>1620759.2420000001</v>
          </cell>
          <cell r="H15">
            <v>880.63199999998324</v>
          </cell>
        </row>
        <row r="18">
          <cell r="F18">
            <v>18</v>
          </cell>
          <cell r="H18">
            <v>180</v>
          </cell>
          <cell r="I18">
            <v>65</v>
          </cell>
        </row>
        <row r="19">
          <cell r="F19">
            <v>134516</v>
          </cell>
          <cell r="H19">
            <v>48</v>
          </cell>
        </row>
        <row r="20">
          <cell r="H20">
            <v>228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202986</v>
          </cell>
        </row>
        <row r="28">
          <cell r="H28">
            <v>43045.292159999182</v>
          </cell>
        </row>
        <row r="29">
          <cell r="H29">
            <v>0</v>
          </cell>
        </row>
        <row r="30">
          <cell r="H30">
            <v>24120</v>
          </cell>
        </row>
        <row r="31">
          <cell r="H31">
            <v>3840</v>
          </cell>
        </row>
        <row r="32">
          <cell r="H32">
            <v>273991.2921599992</v>
          </cell>
        </row>
        <row r="35">
          <cell r="F35">
            <v>696280.71</v>
          </cell>
          <cell r="H35">
            <v>3193.1199999999953</v>
          </cell>
        </row>
        <row r="36">
          <cell r="F36">
            <v>297204.81</v>
          </cell>
          <cell r="H36">
            <v>759.23999999999069</v>
          </cell>
        </row>
        <row r="37">
          <cell r="F37">
            <v>33512.550000000003</v>
          </cell>
          <cell r="H37">
            <v>1450.4500000000044</v>
          </cell>
        </row>
        <row r="38">
          <cell r="F38">
            <v>45953.91</v>
          </cell>
          <cell r="H38">
            <v>2140.4200000000055</v>
          </cell>
        </row>
        <row r="39">
          <cell r="F39">
            <v>95004.19</v>
          </cell>
          <cell r="H39">
            <v>4328.8000000000029</v>
          </cell>
        </row>
        <row r="40">
          <cell r="F40">
            <v>0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828353.19</v>
          </cell>
          <cell r="H43">
            <v>2455.359999999986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0.48000000000001819</v>
          </cell>
        </row>
        <row r="46">
          <cell r="F46">
            <v>187.49</v>
          </cell>
          <cell r="H46">
            <v>0.49000000000000909</v>
          </cell>
        </row>
        <row r="47">
          <cell r="H47">
            <v>14328.359999999984</v>
          </cell>
        </row>
        <row r="49">
          <cell r="F49">
            <v>260732.13</v>
          </cell>
          <cell r="H49">
            <v>0</v>
          </cell>
        </row>
        <row r="50">
          <cell r="F50">
            <v>404098.95</v>
          </cell>
          <cell r="H50">
            <v>1635.9199999999837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8163.82</v>
          </cell>
          <cell r="H54">
            <v>68.1899999999996</v>
          </cell>
        </row>
        <row r="55">
          <cell r="F55">
            <v>122678.46</v>
          </cell>
          <cell r="H55">
            <v>5092.7700000000041</v>
          </cell>
        </row>
        <row r="56">
          <cell r="F56">
            <v>586707.91</v>
          </cell>
          <cell r="H56">
            <v>656.88000000000466</v>
          </cell>
        </row>
        <row r="57">
          <cell r="F57">
            <v>7711.33</v>
          </cell>
          <cell r="H57">
            <v>0</v>
          </cell>
        </row>
        <row r="58">
          <cell r="F58">
            <v>36099.440000000002</v>
          </cell>
          <cell r="H58">
            <v>230.74000000000524</v>
          </cell>
        </row>
        <row r="59">
          <cell r="H59">
            <v>7684.4999999999973</v>
          </cell>
        </row>
        <row r="60">
          <cell r="H60">
            <v>22012.859999999982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1721.57</v>
          </cell>
          <cell r="H63">
            <v>14.210000000000036</v>
          </cell>
        </row>
        <row r="64">
          <cell r="F64">
            <v>124127.85</v>
          </cell>
          <cell r="H64">
            <v>500.55000000000291</v>
          </cell>
        </row>
        <row r="65">
          <cell r="F65">
            <v>132996.35999999999</v>
          </cell>
          <cell r="H65">
            <v>399.05999999999767</v>
          </cell>
        </row>
        <row r="66">
          <cell r="F66">
            <v>25566.36</v>
          </cell>
          <cell r="H66">
            <v>406.61000000000058</v>
          </cell>
        </row>
        <row r="67">
          <cell r="F67">
            <v>208546.07</v>
          </cell>
          <cell r="H67">
            <v>704.24000000001979</v>
          </cell>
        </row>
        <row r="68">
          <cell r="F68">
            <v>73027.42</v>
          </cell>
          <cell r="H68">
            <v>348.89999999999418</v>
          </cell>
        </row>
        <row r="69">
          <cell r="F69">
            <v>64776.091</v>
          </cell>
          <cell r="H69">
            <v>324.00100000000384</v>
          </cell>
        </row>
        <row r="72">
          <cell r="F72">
            <v>850662</v>
          </cell>
          <cell r="H72">
            <v>70</v>
          </cell>
        </row>
        <row r="73">
          <cell r="F73">
            <v>885772</v>
          </cell>
          <cell r="H73">
            <v>0</v>
          </cell>
        </row>
        <row r="74">
          <cell r="F74">
            <v>625.02</v>
          </cell>
          <cell r="H74">
            <v>38.850000000000023</v>
          </cell>
        </row>
        <row r="75">
          <cell r="F75">
            <v>3663.87</v>
          </cell>
          <cell r="H75">
            <v>144.65000000000009</v>
          </cell>
        </row>
        <row r="76">
          <cell r="F76">
            <v>1593.49</v>
          </cell>
          <cell r="H76">
            <v>79.150000000000091</v>
          </cell>
        </row>
        <row r="77">
          <cell r="F77">
            <v>698633</v>
          </cell>
          <cell r="H77">
            <v>45</v>
          </cell>
        </row>
        <row r="78">
          <cell r="F78">
            <v>653253</v>
          </cell>
          <cell r="H78">
            <v>390</v>
          </cell>
        </row>
        <row r="79">
          <cell r="F79">
            <v>815301</v>
          </cell>
          <cell r="H79">
            <v>192</v>
          </cell>
        </row>
        <row r="80">
          <cell r="F80">
            <v>495088.64000000001</v>
          </cell>
          <cell r="H80">
            <v>415</v>
          </cell>
        </row>
        <row r="81">
          <cell r="F81">
            <v>626056.4</v>
          </cell>
          <cell r="H81">
            <v>112.56000000005588</v>
          </cell>
        </row>
        <row r="82">
          <cell r="F82">
            <v>106220.65</v>
          </cell>
          <cell r="H82">
            <v>18.169999999998254</v>
          </cell>
        </row>
        <row r="83">
          <cell r="F83">
            <v>996969</v>
          </cell>
          <cell r="H83">
            <v>520</v>
          </cell>
        </row>
        <row r="84">
          <cell r="F84">
            <v>431488</v>
          </cell>
          <cell r="H84">
            <v>690</v>
          </cell>
        </row>
        <row r="86">
          <cell r="F86">
            <v>450506.84</v>
          </cell>
          <cell r="H86">
            <v>138.30999999999767</v>
          </cell>
        </row>
        <row r="87">
          <cell r="F87">
            <v>79246.899999999994</v>
          </cell>
          <cell r="H87">
            <v>39.19999999999709</v>
          </cell>
        </row>
        <row r="88">
          <cell r="F88">
            <v>148316.29</v>
          </cell>
          <cell r="H88">
            <v>51.680000000022119</v>
          </cell>
        </row>
        <row r="89">
          <cell r="F89">
            <v>61732.800000000003</v>
          </cell>
          <cell r="H89">
            <v>57.700000000004366</v>
          </cell>
        </row>
        <row r="90">
          <cell r="F90">
            <v>3168.3</v>
          </cell>
          <cell r="H90">
            <v>5.4000000000000909</v>
          </cell>
        </row>
        <row r="92">
          <cell r="F92">
            <v>239817</v>
          </cell>
          <cell r="H92">
            <v>122</v>
          </cell>
        </row>
        <row r="93">
          <cell r="F93">
            <v>175805</v>
          </cell>
          <cell r="H93">
            <v>144</v>
          </cell>
        </row>
        <row r="95">
          <cell r="F95">
            <v>408232</v>
          </cell>
          <cell r="H95">
            <v>76</v>
          </cell>
        </row>
        <row r="96">
          <cell r="F96">
            <v>101345</v>
          </cell>
          <cell r="H96">
            <v>13</v>
          </cell>
        </row>
        <row r="97">
          <cell r="F97">
            <v>96473</v>
          </cell>
          <cell r="H97">
            <v>24</v>
          </cell>
        </row>
        <row r="98">
          <cell r="F98">
            <v>147678</v>
          </cell>
          <cell r="H98">
            <v>70</v>
          </cell>
        </row>
        <row r="99">
          <cell r="F99">
            <v>6425</v>
          </cell>
          <cell r="H99">
            <v>17</v>
          </cell>
        </row>
        <row r="100">
          <cell r="F100">
            <v>4557</v>
          </cell>
          <cell r="H100">
            <v>14</v>
          </cell>
        </row>
        <row r="101">
          <cell r="H101">
            <v>214</v>
          </cell>
        </row>
        <row r="104">
          <cell r="F104">
            <v>7128</v>
          </cell>
          <cell r="H104">
            <v>0</v>
          </cell>
        </row>
        <row r="105">
          <cell r="F105">
            <v>35416</v>
          </cell>
          <cell r="H105">
            <v>9</v>
          </cell>
        </row>
        <row r="106">
          <cell r="F106">
            <v>19252</v>
          </cell>
          <cell r="H106">
            <v>5</v>
          </cell>
        </row>
        <row r="107">
          <cell r="H107">
            <v>14</v>
          </cell>
        </row>
        <row r="108">
          <cell r="H108">
            <v>0</v>
          </cell>
        </row>
        <row r="109">
          <cell r="F109">
            <v>56435</v>
          </cell>
          <cell r="H109">
            <v>82</v>
          </cell>
        </row>
        <row r="110">
          <cell r="F110">
            <v>30593</v>
          </cell>
          <cell r="H110">
            <v>66</v>
          </cell>
        </row>
        <row r="111">
          <cell r="F111">
            <v>3987</v>
          </cell>
          <cell r="H111">
            <v>7</v>
          </cell>
        </row>
        <row r="112">
          <cell r="H112">
            <v>155</v>
          </cell>
        </row>
        <row r="113">
          <cell r="H113">
            <v>0</v>
          </cell>
        </row>
        <row r="114">
          <cell r="F114">
            <v>10341</v>
          </cell>
          <cell r="H114">
            <v>19</v>
          </cell>
        </row>
        <row r="115">
          <cell r="F115">
            <v>7680</v>
          </cell>
          <cell r="H115">
            <v>13</v>
          </cell>
        </row>
        <row r="116">
          <cell r="H116">
            <v>0</v>
          </cell>
        </row>
        <row r="117">
          <cell r="H117">
            <v>32</v>
          </cell>
        </row>
        <row r="118">
          <cell r="H118">
            <v>170</v>
          </cell>
        </row>
        <row r="119">
          <cell r="H119">
            <v>144</v>
          </cell>
        </row>
        <row r="120">
          <cell r="H120">
            <v>155</v>
          </cell>
        </row>
        <row r="123">
          <cell r="F123">
            <v>811273.1</v>
          </cell>
          <cell r="H123">
            <v>266.26000000000931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140043.29</v>
          </cell>
          <cell r="H125">
            <v>63.950000000011642</v>
          </cell>
        </row>
        <row r="126">
          <cell r="F126">
            <v>59332</v>
          </cell>
          <cell r="H126">
            <v>25.099999999998545</v>
          </cell>
        </row>
        <row r="127">
          <cell r="F127">
            <v>8889.9</v>
          </cell>
          <cell r="H127">
            <v>2.1000000000003638</v>
          </cell>
        </row>
        <row r="128">
          <cell r="H128">
            <v>523.22199999996337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40391.14</v>
          </cell>
          <cell r="H134">
            <v>24</v>
          </cell>
        </row>
        <row r="135">
          <cell r="F135">
            <v>32574.44</v>
          </cell>
          <cell r="H135">
            <v>3.4399999999986903</v>
          </cell>
        </row>
        <row r="136">
          <cell r="F136">
            <v>22230.98</v>
          </cell>
          <cell r="H136">
            <v>8.7700000000004366</v>
          </cell>
        </row>
        <row r="137">
          <cell r="F137">
            <v>25044.31</v>
          </cell>
          <cell r="H137">
            <v>0</v>
          </cell>
        </row>
        <row r="138">
          <cell r="F138">
            <v>70152.710000000006</v>
          </cell>
          <cell r="H138">
            <v>5.3700000000098953</v>
          </cell>
        </row>
        <row r="139">
          <cell r="F139">
            <v>1430.85</v>
          </cell>
          <cell r="H139">
            <v>7.709999999999809</v>
          </cell>
        </row>
        <row r="140">
          <cell r="F140">
            <v>4333.53</v>
          </cell>
          <cell r="H140">
            <v>-0.47000000000025466</v>
          </cell>
        </row>
        <row r="142">
          <cell r="H142">
            <v>5648.4799999999814</v>
          </cell>
        </row>
        <row r="144">
          <cell r="H144">
            <v>5749.6500000000087</v>
          </cell>
        </row>
        <row r="145">
          <cell r="H145">
            <v>0.25671518506942931</v>
          </cell>
        </row>
        <row r="146">
          <cell r="H146">
            <v>4328.8000000000029</v>
          </cell>
        </row>
        <row r="147">
          <cell r="H147">
            <v>0.19327588516319164</v>
          </cell>
        </row>
        <row r="148">
          <cell r="H148">
            <v>2140.4200000000055</v>
          </cell>
        </row>
        <row r="149">
          <cell r="H149">
            <v>9.5567263472786781E-2</v>
          </cell>
        </row>
        <row r="150">
          <cell r="H150">
            <v>2395.1599999999744</v>
          </cell>
        </row>
        <row r="151">
          <cell r="H151">
            <v>0.10694110818413066</v>
          </cell>
        </row>
        <row r="152">
          <cell r="H152">
            <v>1450.4500000000044</v>
          </cell>
        </row>
        <row r="153">
          <cell r="H153">
            <v>6.4760905478412484E-2</v>
          </cell>
        </row>
        <row r="160">
          <cell r="F160">
            <v>30881.599999999999</v>
          </cell>
        </row>
        <row r="161">
          <cell r="F161">
            <v>55548.51</v>
          </cell>
        </row>
        <row r="162">
          <cell r="F162">
            <v>20843.25</v>
          </cell>
        </row>
        <row r="163">
          <cell r="F163">
            <v>5449.61</v>
          </cell>
        </row>
        <row r="164">
          <cell r="F164">
            <v>20419</v>
          </cell>
        </row>
        <row r="165">
          <cell r="F165">
            <v>1721.57</v>
          </cell>
        </row>
        <row r="166">
          <cell r="F166">
            <v>124127.85</v>
          </cell>
        </row>
        <row r="167">
          <cell r="F167">
            <v>132996.35999999999</v>
          </cell>
        </row>
        <row r="168">
          <cell r="F168">
            <v>25566.36</v>
          </cell>
        </row>
        <row r="169">
          <cell r="F169">
            <v>208546.07</v>
          </cell>
        </row>
        <row r="170">
          <cell r="F170">
            <v>73027.42</v>
          </cell>
        </row>
        <row r="171">
          <cell r="F171">
            <v>64776.091</v>
          </cell>
        </row>
      </sheetData>
      <sheetData sheetId="7">
        <row r="7">
          <cell r="F7">
            <v>4489853</v>
          </cell>
          <cell r="H7">
            <v>44776</v>
          </cell>
        </row>
        <row r="8">
          <cell r="F8">
            <v>4518306</v>
          </cell>
          <cell r="H8">
            <v>45150</v>
          </cell>
        </row>
        <row r="9">
          <cell r="F9">
            <v>115804.21</v>
          </cell>
          <cell r="H9">
            <v>28895.200000000012</v>
          </cell>
        </row>
        <row r="10">
          <cell r="F10">
            <v>40262.76</v>
          </cell>
          <cell r="H10">
            <v>14567.2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43462.400000000009</v>
          </cell>
        </row>
        <row r="15">
          <cell r="F15">
            <v>1621752.42</v>
          </cell>
          <cell r="H15">
            <v>1873.809999999823</v>
          </cell>
        </row>
        <row r="18">
          <cell r="F18">
            <v>14</v>
          </cell>
          <cell r="H18">
            <v>320</v>
          </cell>
        </row>
        <row r="19">
          <cell r="F19">
            <v>134568</v>
          </cell>
          <cell r="H19">
            <v>100</v>
          </cell>
        </row>
        <row r="20">
          <cell r="H20">
            <v>420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406350</v>
          </cell>
        </row>
        <row r="28">
          <cell r="H28">
            <v>91591.83279999136</v>
          </cell>
        </row>
        <row r="29">
          <cell r="H29">
            <v>0</v>
          </cell>
        </row>
        <row r="30">
          <cell r="H30">
            <v>31088</v>
          </cell>
        </row>
        <row r="31">
          <cell r="H31">
            <v>15040</v>
          </cell>
        </row>
        <row r="32">
          <cell r="H32">
            <v>544069.83279999136</v>
          </cell>
        </row>
        <row r="35">
          <cell r="F35">
            <v>699784.47</v>
          </cell>
          <cell r="H35">
            <v>6696.8800000000047</v>
          </cell>
        </row>
        <row r="36">
          <cell r="F36">
            <v>297874.09000000003</v>
          </cell>
          <cell r="H36">
            <v>1428.5200000000186</v>
          </cell>
        </row>
        <row r="37">
          <cell r="F37">
            <v>34969.39</v>
          </cell>
          <cell r="H37">
            <v>2907.2900000000009</v>
          </cell>
        </row>
        <row r="38">
          <cell r="F38">
            <v>48043.42</v>
          </cell>
          <cell r="H38">
            <v>4229.93</v>
          </cell>
        </row>
        <row r="39">
          <cell r="F39">
            <v>99373.119999999995</v>
          </cell>
          <cell r="H39">
            <v>8697.7299999999959</v>
          </cell>
        </row>
        <row r="40"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59128.851000000002</v>
          </cell>
          <cell r="H42">
            <v>1.0000000038417056E-3</v>
          </cell>
        </row>
        <row r="43">
          <cell r="F43">
            <v>830838.71</v>
          </cell>
          <cell r="H43">
            <v>4940.8800000000047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28901.231000000029</v>
          </cell>
        </row>
        <row r="49">
          <cell r="F49">
            <v>260732.13</v>
          </cell>
          <cell r="H49">
            <v>0</v>
          </cell>
        </row>
        <row r="50">
          <cell r="F50">
            <v>405699.31</v>
          </cell>
          <cell r="H50">
            <v>3236.2799999999697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8200.0300000000007</v>
          </cell>
          <cell r="H54">
            <v>104.40000000000055</v>
          </cell>
        </row>
        <row r="55">
          <cell r="F55">
            <v>126470</v>
          </cell>
          <cell r="H55">
            <v>8884.3099999999977</v>
          </cell>
        </row>
        <row r="56">
          <cell r="F56">
            <v>588549.03</v>
          </cell>
          <cell r="H56">
            <v>2498</v>
          </cell>
        </row>
        <row r="57">
          <cell r="F57">
            <v>7711.33</v>
          </cell>
          <cell r="H57">
            <v>0</v>
          </cell>
        </row>
        <row r="58">
          <cell r="F58">
            <v>36312.120000000003</v>
          </cell>
          <cell r="H58">
            <v>443.42000000000553</v>
          </cell>
        </row>
        <row r="59">
          <cell r="H59">
            <v>15166.409999999974</v>
          </cell>
        </row>
        <row r="60">
          <cell r="H60">
            <v>44067.641000000003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1733.45</v>
          </cell>
          <cell r="H63">
            <v>26.090000000000146</v>
          </cell>
        </row>
        <row r="64">
          <cell r="F64">
            <v>124657.34</v>
          </cell>
          <cell r="H64">
            <v>1030.0399999999936</v>
          </cell>
        </row>
        <row r="65">
          <cell r="F65">
            <v>133392.66</v>
          </cell>
          <cell r="H65">
            <v>795.36000000001513</v>
          </cell>
        </row>
        <row r="66">
          <cell r="F66">
            <v>25980.5</v>
          </cell>
          <cell r="H66">
            <v>820.75</v>
          </cell>
        </row>
        <row r="67">
          <cell r="F67">
            <v>209249</v>
          </cell>
          <cell r="H67">
            <v>1407.1700000000128</v>
          </cell>
        </row>
        <row r="68">
          <cell r="F68">
            <v>73391.91</v>
          </cell>
          <cell r="H68">
            <v>713.38999999999942</v>
          </cell>
        </row>
        <row r="69">
          <cell r="F69">
            <v>65103.12</v>
          </cell>
          <cell r="H69">
            <v>651.03000000000611</v>
          </cell>
        </row>
        <row r="72">
          <cell r="F72">
            <v>850735</v>
          </cell>
          <cell r="H72">
            <v>143</v>
          </cell>
        </row>
        <row r="73">
          <cell r="F73">
            <v>885772</v>
          </cell>
          <cell r="H73">
            <v>0</v>
          </cell>
        </row>
        <row r="74">
          <cell r="F74">
            <v>656.16</v>
          </cell>
          <cell r="H74">
            <v>69.990000000000009</v>
          </cell>
        </row>
        <row r="75">
          <cell r="F75">
            <v>3814.26</v>
          </cell>
          <cell r="H75">
            <v>295.04000000000042</v>
          </cell>
        </row>
        <row r="76">
          <cell r="F76">
            <v>1674.12</v>
          </cell>
          <cell r="H76">
            <v>159.77999999999997</v>
          </cell>
        </row>
        <row r="77">
          <cell r="F77">
            <v>698678</v>
          </cell>
          <cell r="H77">
            <v>90</v>
          </cell>
        </row>
        <row r="78">
          <cell r="F78">
            <v>653630</v>
          </cell>
          <cell r="H78">
            <v>767</v>
          </cell>
        </row>
        <row r="79">
          <cell r="F79">
            <v>815599</v>
          </cell>
          <cell r="H79">
            <v>490</v>
          </cell>
        </row>
        <row r="80">
          <cell r="F80">
            <v>495488.36</v>
          </cell>
          <cell r="H80">
            <v>814.71999999997206</v>
          </cell>
        </row>
        <row r="81">
          <cell r="F81">
            <v>626157.64</v>
          </cell>
          <cell r="H81">
            <v>213.80000000004657</v>
          </cell>
        </row>
        <row r="82">
          <cell r="F82">
            <v>106242.13</v>
          </cell>
          <cell r="H82">
            <v>39.650000000008731</v>
          </cell>
        </row>
        <row r="83">
          <cell r="F83">
            <v>997516</v>
          </cell>
          <cell r="H83">
            <v>1067</v>
          </cell>
        </row>
        <row r="84">
          <cell r="F84">
            <v>432215</v>
          </cell>
          <cell r="H84">
            <v>1417</v>
          </cell>
        </row>
        <row r="85">
          <cell r="H85">
            <v>3541.5999999999735</v>
          </cell>
        </row>
        <row r="86">
          <cell r="F86">
            <v>450647.2</v>
          </cell>
          <cell r="H86">
            <v>278.6699999999837</v>
          </cell>
        </row>
        <row r="87">
          <cell r="F87">
            <v>79285.100000000006</v>
          </cell>
          <cell r="H87">
            <v>77.400000000008731</v>
          </cell>
        </row>
        <row r="88">
          <cell r="F88">
            <v>148388.41</v>
          </cell>
          <cell r="H88">
            <v>123.80000000001746</v>
          </cell>
        </row>
        <row r="89">
          <cell r="F89">
            <v>61817.8</v>
          </cell>
          <cell r="H89">
            <v>142.70000000000437</v>
          </cell>
        </row>
        <row r="90">
          <cell r="F90">
            <v>3173.2</v>
          </cell>
          <cell r="H90">
            <v>10.299999999999727</v>
          </cell>
        </row>
        <row r="92">
          <cell r="F92">
            <v>239912</v>
          </cell>
          <cell r="H92">
            <v>217</v>
          </cell>
        </row>
        <row r="93">
          <cell r="F93">
            <v>175994</v>
          </cell>
          <cell r="H93">
            <v>333</v>
          </cell>
        </row>
        <row r="94">
          <cell r="H94">
            <v>284</v>
          </cell>
        </row>
        <row r="95">
          <cell r="F95">
            <v>408317</v>
          </cell>
          <cell r="H95">
            <v>161</v>
          </cell>
        </row>
        <row r="96">
          <cell r="F96">
            <v>101363</v>
          </cell>
          <cell r="H96">
            <v>31</v>
          </cell>
        </row>
        <row r="97">
          <cell r="F97">
            <v>96492</v>
          </cell>
          <cell r="H97">
            <v>43</v>
          </cell>
        </row>
        <row r="98">
          <cell r="F98">
            <v>147779</v>
          </cell>
          <cell r="H98">
            <v>171</v>
          </cell>
        </row>
        <row r="99">
          <cell r="F99">
            <v>6444</v>
          </cell>
          <cell r="H99">
            <v>36</v>
          </cell>
        </row>
        <row r="100">
          <cell r="F100">
            <v>4574</v>
          </cell>
          <cell r="H100">
            <v>31</v>
          </cell>
        </row>
        <row r="101">
          <cell r="H101">
            <v>473</v>
          </cell>
        </row>
        <row r="104">
          <cell r="F104">
            <v>7128</v>
          </cell>
          <cell r="H104">
            <v>0</v>
          </cell>
        </row>
        <row r="105">
          <cell r="F105">
            <v>35425</v>
          </cell>
          <cell r="H105">
            <v>18</v>
          </cell>
        </row>
        <row r="106">
          <cell r="F106">
            <v>19257</v>
          </cell>
          <cell r="H106">
            <v>10</v>
          </cell>
        </row>
        <row r="107">
          <cell r="H107">
            <v>28</v>
          </cell>
        </row>
        <row r="109">
          <cell r="F109">
            <v>56516</v>
          </cell>
          <cell r="H109">
            <v>163</v>
          </cell>
        </row>
        <row r="110">
          <cell r="F110">
            <v>30690</v>
          </cell>
          <cell r="H110">
            <v>163</v>
          </cell>
        </row>
        <row r="111">
          <cell r="F111">
            <v>3987</v>
          </cell>
          <cell r="H111">
            <v>7</v>
          </cell>
        </row>
        <row r="112">
          <cell r="H112">
            <v>333</v>
          </cell>
        </row>
        <row r="113">
          <cell r="H113">
            <v>0</v>
          </cell>
        </row>
        <row r="114">
          <cell r="F114">
            <v>10363</v>
          </cell>
          <cell r="H114">
            <v>41</v>
          </cell>
        </row>
        <row r="115">
          <cell r="F115">
            <v>7690</v>
          </cell>
          <cell r="H115">
            <v>23</v>
          </cell>
        </row>
        <row r="116">
          <cell r="H116">
            <v>0</v>
          </cell>
        </row>
        <row r="117">
          <cell r="H117">
            <v>64</v>
          </cell>
        </row>
        <row r="118">
          <cell r="H118">
            <v>317</v>
          </cell>
        </row>
        <row r="119">
          <cell r="H119">
            <v>302</v>
          </cell>
        </row>
        <row r="120">
          <cell r="H120">
            <v>333</v>
          </cell>
        </row>
        <row r="123">
          <cell r="F123">
            <v>811551.39</v>
          </cell>
          <cell r="H123">
            <v>544.55000000004657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140124.99</v>
          </cell>
          <cell r="H125">
            <v>145.64999999999418</v>
          </cell>
        </row>
        <row r="126">
          <cell r="F126">
            <v>59358.9</v>
          </cell>
          <cell r="H126">
            <v>52</v>
          </cell>
        </row>
        <row r="127">
          <cell r="F127">
            <v>8890.4</v>
          </cell>
          <cell r="H127">
            <v>2.6000000000003638</v>
          </cell>
        </row>
        <row r="128">
          <cell r="H128">
            <v>1129.0099999997819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40410.14</v>
          </cell>
          <cell r="H134">
            <v>43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22239.82</v>
          </cell>
          <cell r="H136">
            <v>17.610000000000582</v>
          </cell>
        </row>
        <row r="137">
          <cell r="F137">
            <v>25044.31</v>
          </cell>
          <cell r="H137">
            <v>0</v>
          </cell>
        </row>
        <row r="138">
          <cell r="F138">
            <v>70159.350000000006</v>
          </cell>
          <cell r="H138">
            <v>12.010000000009313</v>
          </cell>
        </row>
        <row r="139">
          <cell r="F139">
            <v>1438.91</v>
          </cell>
          <cell r="H139">
            <v>15.769999999999982</v>
          </cell>
        </row>
        <row r="140">
          <cell r="F140">
            <v>4334</v>
          </cell>
          <cell r="H140">
            <v>0</v>
          </cell>
        </row>
        <row r="142">
          <cell r="H142">
            <v>11637.760000000009</v>
          </cell>
        </row>
        <row r="143">
          <cell r="H143">
            <v>0.33239037953891692</v>
          </cell>
        </row>
        <row r="144">
          <cell r="H144">
            <v>11382.311000000002</v>
          </cell>
        </row>
        <row r="145">
          <cell r="H145">
            <v>0.50840922859237458</v>
          </cell>
        </row>
        <row r="146">
          <cell r="H146">
            <v>8697.7299999999959</v>
          </cell>
        </row>
        <row r="147">
          <cell r="H147">
            <v>0.38850042602739437</v>
          </cell>
        </row>
        <row r="148">
          <cell r="H148">
            <v>4229.93</v>
          </cell>
        </row>
        <row r="149">
          <cell r="H149">
            <v>0.18893649355455963</v>
          </cell>
        </row>
        <row r="150">
          <cell r="H150">
            <v>4664.7999999999884</v>
          </cell>
        </row>
        <row r="151">
          <cell r="H151">
            <v>0.20835940212041082</v>
          </cell>
        </row>
        <row r="152">
          <cell r="H152">
            <v>2907.2900000000009</v>
          </cell>
        </row>
        <row r="153">
          <cell r="H153">
            <v>0.12985943535016709</v>
          </cell>
        </row>
      </sheetData>
      <sheetData sheetId="8">
        <row r="7">
          <cell r="F7">
            <v>4510962</v>
          </cell>
          <cell r="H7">
            <v>65885</v>
          </cell>
        </row>
        <row r="8">
          <cell r="F8">
            <v>4539500</v>
          </cell>
          <cell r="H8">
            <v>66344</v>
          </cell>
        </row>
        <row r="9">
          <cell r="F9">
            <v>123403.31</v>
          </cell>
          <cell r="H9">
            <v>36494.300000000003</v>
          </cell>
        </row>
        <row r="10">
          <cell r="F10">
            <v>53107.95</v>
          </cell>
          <cell r="H10">
            <v>27412.389999999996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63906.689999999995</v>
          </cell>
        </row>
        <row r="15">
          <cell r="F15">
            <v>1622582.83</v>
          </cell>
          <cell r="H15">
            <v>2704.2199999999721</v>
          </cell>
        </row>
        <row r="18">
          <cell r="F18">
            <v>14</v>
          </cell>
          <cell r="H18">
            <v>460</v>
          </cell>
        </row>
        <row r="19">
          <cell r="F19">
            <v>134620</v>
          </cell>
          <cell r="H19">
            <v>152</v>
          </cell>
        </row>
        <row r="20">
          <cell r="H20">
            <v>612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597096</v>
          </cell>
        </row>
        <row r="28">
          <cell r="H28">
            <v>132182.27359999865</v>
          </cell>
        </row>
        <row r="29">
          <cell r="H29">
            <v>0</v>
          </cell>
        </row>
        <row r="30">
          <cell r="H30">
            <v>38056</v>
          </cell>
        </row>
        <row r="31">
          <cell r="H31">
            <v>26240</v>
          </cell>
        </row>
        <row r="32">
          <cell r="H32">
            <v>793574.27359999868</v>
          </cell>
        </row>
        <row r="35">
          <cell r="F35">
            <v>703211.35</v>
          </cell>
          <cell r="H35">
            <v>10123.760000000009</v>
          </cell>
        </row>
        <row r="36">
          <cell r="F36">
            <v>298500.51</v>
          </cell>
          <cell r="H36">
            <v>2054.9400000000023</v>
          </cell>
        </row>
        <row r="37">
          <cell r="H37">
            <v>3105.0800000000017</v>
          </cell>
        </row>
        <row r="38">
          <cell r="F38">
            <v>48333.51</v>
          </cell>
          <cell r="H38">
            <v>4520.0200000000041</v>
          </cell>
        </row>
        <row r="39">
          <cell r="H39">
            <v>9392.89</v>
          </cell>
        </row>
        <row r="40">
          <cell r="F40">
            <v>0.17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833302.53</v>
          </cell>
          <cell r="H43">
            <v>7404.7000000000698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36601.390000000087</v>
          </cell>
        </row>
        <row r="49">
          <cell r="F49">
            <v>260732.13</v>
          </cell>
          <cell r="H49">
            <v>0</v>
          </cell>
        </row>
        <row r="50">
          <cell r="F50">
            <v>406764.67</v>
          </cell>
          <cell r="H50">
            <v>4301.6399999999558</v>
          </cell>
        </row>
        <row r="51">
          <cell r="F51">
            <v>121322.62</v>
          </cell>
          <cell r="H51">
            <v>1271.6999999999971</v>
          </cell>
        </row>
        <row r="52">
          <cell r="F52">
            <v>509794.67</v>
          </cell>
          <cell r="H52">
            <v>1881.9599999999627</v>
          </cell>
        </row>
        <row r="53">
          <cell r="F53">
            <v>335515.77</v>
          </cell>
          <cell r="H53">
            <v>3661.2600000000093</v>
          </cell>
        </row>
        <row r="54">
          <cell r="F54">
            <v>8200.0300000000007</v>
          </cell>
          <cell r="H54">
            <v>104.40000000000055</v>
          </cell>
        </row>
        <row r="55">
          <cell r="F55">
            <v>131386.60999999999</v>
          </cell>
          <cell r="H55">
            <v>13800.919999999984</v>
          </cell>
        </row>
        <row r="56">
          <cell r="F56">
            <v>588556.94999999995</v>
          </cell>
          <cell r="H56">
            <v>2505.9199999999255</v>
          </cell>
        </row>
        <row r="57">
          <cell r="F57">
            <v>7711.33</v>
          </cell>
          <cell r="H57">
            <v>0</v>
          </cell>
        </row>
        <row r="58">
          <cell r="F58">
            <v>36500.910000000003</v>
          </cell>
          <cell r="H58">
            <v>632.2100000000064</v>
          </cell>
        </row>
        <row r="59">
          <cell r="H59">
            <v>28160.009999999842</v>
          </cell>
        </row>
        <row r="60">
          <cell r="H60">
            <v>64761.399999999929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1745.37</v>
          </cell>
          <cell r="H63">
            <v>38.009999999999991</v>
          </cell>
        </row>
        <row r="64">
          <cell r="F64">
            <v>125180.16</v>
          </cell>
          <cell r="H64">
            <v>1552.8600000000006</v>
          </cell>
        </row>
        <row r="65">
          <cell r="F65">
            <v>133770.84</v>
          </cell>
          <cell r="H65">
            <v>1173.5400000000081</v>
          </cell>
        </row>
        <row r="66">
          <cell r="F66">
            <v>26413.93</v>
          </cell>
          <cell r="H66">
            <v>1254.1800000000003</v>
          </cell>
        </row>
        <row r="67">
          <cell r="F67">
            <v>209908.33</v>
          </cell>
          <cell r="H67">
            <v>2066.5</v>
          </cell>
        </row>
        <row r="68">
          <cell r="F68">
            <v>73751.149999999994</v>
          </cell>
          <cell r="H68">
            <v>1072.6299999999901</v>
          </cell>
        </row>
        <row r="69">
          <cell r="F69">
            <v>65425.09</v>
          </cell>
          <cell r="H69">
            <v>973</v>
          </cell>
        </row>
        <row r="72">
          <cell r="F72">
            <v>850833</v>
          </cell>
          <cell r="H72">
            <v>241</v>
          </cell>
        </row>
        <row r="73">
          <cell r="F73">
            <v>885772</v>
          </cell>
          <cell r="H73">
            <v>0</v>
          </cell>
        </row>
        <row r="74">
          <cell r="F74">
            <v>683.56</v>
          </cell>
          <cell r="H74">
            <v>97.389999999999986</v>
          </cell>
        </row>
        <row r="75">
          <cell r="F75">
            <v>3968.34</v>
          </cell>
          <cell r="H75">
            <v>449.12000000000035</v>
          </cell>
        </row>
        <row r="76">
          <cell r="F76">
            <v>1757.3</v>
          </cell>
          <cell r="H76">
            <v>242.96000000000004</v>
          </cell>
        </row>
        <row r="77">
          <cell r="F77">
            <v>698725</v>
          </cell>
          <cell r="H77">
            <v>137</v>
          </cell>
        </row>
        <row r="78">
          <cell r="F78">
            <v>653959</v>
          </cell>
          <cell r="H78">
            <v>1096</v>
          </cell>
        </row>
        <row r="79">
          <cell r="F79">
            <v>815715</v>
          </cell>
          <cell r="H79">
            <v>606</v>
          </cell>
        </row>
        <row r="80">
          <cell r="F80">
            <v>495836</v>
          </cell>
          <cell r="H80">
            <v>1162.359999999986</v>
          </cell>
        </row>
        <row r="81">
          <cell r="F81">
            <v>626258</v>
          </cell>
          <cell r="H81">
            <v>314.1600000000326</v>
          </cell>
        </row>
        <row r="82">
          <cell r="F82">
            <v>106261</v>
          </cell>
          <cell r="H82">
            <v>58.520000000004075</v>
          </cell>
        </row>
        <row r="83">
          <cell r="F83">
            <v>998039</v>
          </cell>
          <cell r="H83">
            <v>1590</v>
          </cell>
        </row>
        <row r="84">
          <cell r="F84">
            <v>432768</v>
          </cell>
          <cell r="H84">
            <v>1970</v>
          </cell>
        </row>
        <row r="85">
          <cell r="H85">
            <v>5939.1299999999683</v>
          </cell>
        </row>
        <row r="86">
          <cell r="F86">
            <v>450765</v>
          </cell>
          <cell r="H86">
            <v>396.46999999997206</v>
          </cell>
        </row>
        <row r="87">
          <cell r="F87">
            <v>79323.199999999997</v>
          </cell>
          <cell r="H87">
            <v>115.5</v>
          </cell>
        </row>
        <row r="88">
          <cell r="F88">
            <v>148414.26</v>
          </cell>
          <cell r="H88">
            <v>149.65000000002328</v>
          </cell>
        </row>
        <row r="89">
          <cell r="F89">
            <v>61900.4</v>
          </cell>
          <cell r="H89">
            <v>225.30000000000291</v>
          </cell>
        </row>
        <row r="90">
          <cell r="F90">
            <v>3178.6</v>
          </cell>
          <cell r="H90">
            <v>15.699999999999818</v>
          </cell>
        </row>
        <row r="92">
          <cell r="F92">
            <v>239994</v>
          </cell>
          <cell r="H92">
            <v>299</v>
          </cell>
        </row>
        <row r="93">
          <cell r="F93">
            <v>176158</v>
          </cell>
          <cell r="H93">
            <v>497</v>
          </cell>
        </row>
        <row r="94">
          <cell r="H94">
            <v>530</v>
          </cell>
        </row>
        <row r="95">
          <cell r="F95">
            <v>408393</v>
          </cell>
          <cell r="H95">
            <v>237</v>
          </cell>
        </row>
        <row r="96">
          <cell r="F96">
            <v>101380</v>
          </cell>
          <cell r="H96">
            <v>48</v>
          </cell>
        </row>
        <row r="97">
          <cell r="F97">
            <v>96508</v>
          </cell>
          <cell r="H97">
            <v>59</v>
          </cell>
        </row>
        <row r="98">
          <cell r="F98">
            <v>147866</v>
          </cell>
          <cell r="H98">
            <v>258</v>
          </cell>
        </row>
        <row r="99">
          <cell r="F99">
            <v>6457</v>
          </cell>
          <cell r="H99">
            <v>49</v>
          </cell>
        </row>
        <row r="100">
          <cell r="F100">
            <v>4587</v>
          </cell>
          <cell r="H100">
            <v>44</v>
          </cell>
        </row>
        <row r="101">
          <cell r="H101">
            <v>695</v>
          </cell>
        </row>
        <row r="104">
          <cell r="F104">
            <v>7128</v>
          </cell>
        </row>
        <row r="105">
          <cell r="F105">
            <v>35434</v>
          </cell>
          <cell r="H105">
            <v>27</v>
          </cell>
        </row>
        <row r="106">
          <cell r="F106">
            <v>19263</v>
          </cell>
          <cell r="H106">
            <v>16</v>
          </cell>
        </row>
        <row r="107">
          <cell r="H107">
            <v>43</v>
          </cell>
        </row>
        <row r="108">
          <cell r="H108">
            <v>0</v>
          </cell>
        </row>
        <row r="109">
          <cell r="F109">
            <v>56606</v>
          </cell>
          <cell r="H109">
            <v>253</v>
          </cell>
        </row>
        <row r="110">
          <cell r="F110">
            <v>30795</v>
          </cell>
          <cell r="H110">
            <v>268</v>
          </cell>
        </row>
        <row r="111">
          <cell r="F111">
            <v>4012</v>
          </cell>
          <cell r="H111">
            <v>32</v>
          </cell>
        </row>
        <row r="112">
          <cell r="H112">
            <v>553</v>
          </cell>
        </row>
        <row r="113">
          <cell r="H113">
            <v>0</v>
          </cell>
        </row>
        <row r="114">
          <cell r="F114">
            <v>10379</v>
          </cell>
          <cell r="H114">
            <v>57</v>
          </cell>
        </row>
        <row r="115">
          <cell r="F115">
            <v>7703</v>
          </cell>
          <cell r="H115">
            <v>36</v>
          </cell>
        </row>
        <row r="116">
          <cell r="H116">
            <v>0</v>
          </cell>
        </row>
        <row r="117">
          <cell r="H117">
            <v>93</v>
          </cell>
        </row>
        <row r="118">
          <cell r="H118">
            <v>451</v>
          </cell>
        </row>
        <row r="119">
          <cell r="H119">
            <v>437</v>
          </cell>
        </row>
        <row r="120">
          <cell r="H120">
            <v>553</v>
          </cell>
        </row>
        <row r="123">
          <cell r="F123">
            <v>811797.04</v>
          </cell>
          <cell r="H123">
            <v>790.20000000006985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140188.65</v>
          </cell>
          <cell r="H125">
            <v>209.30999999999767</v>
          </cell>
        </row>
        <row r="126">
          <cell r="F126">
            <v>59377.599999999999</v>
          </cell>
          <cell r="H126">
            <v>70.69999999999709</v>
          </cell>
        </row>
        <row r="127">
          <cell r="F127">
            <v>8894.1</v>
          </cell>
          <cell r="H127">
            <v>6.3000000000010914</v>
          </cell>
        </row>
        <row r="128">
          <cell r="H128">
            <v>1627.7099999999064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299.52</v>
          </cell>
          <cell r="H133">
            <v>-0.48000000000001819</v>
          </cell>
        </row>
        <row r="134">
          <cell r="F134">
            <v>40434.199999999997</v>
          </cell>
          <cell r="H134">
            <v>67.059999999997672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22248.35</v>
          </cell>
          <cell r="H136">
            <v>26.139999999999418</v>
          </cell>
        </row>
        <row r="137">
          <cell r="F137">
            <v>25044.31</v>
          </cell>
          <cell r="H137">
            <v>0</v>
          </cell>
        </row>
        <row r="138">
          <cell r="F138">
            <v>70164.81</v>
          </cell>
          <cell r="H138">
            <v>17.470000000001164</v>
          </cell>
        </row>
        <row r="139">
          <cell r="F139">
            <v>1445.97</v>
          </cell>
          <cell r="H139">
            <v>22.829999999999927</v>
          </cell>
        </row>
        <row r="140">
          <cell r="F140">
            <v>4334</v>
          </cell>
          <cell r="H140">
            <v>0</v>
          </cell>
        </row>
        <row r="142">
          <cell r="H142">
            <v>17528.460000000079</v>
          </cell>
        </row>
        <row r="143">
          <cell r="H143">
            <v>0.6114514435400572</v>
          </cell>
        </row>
        <row r="144">
          <cell r="H144">
            <v>16306.839999999909</v>
          </cell>
        </row>
        <row r="145">
          <cell r="H145">
            <v>0.74169972079948565</v>
          </cell>
        </row>
        <row r="146">
          <cell r="H146">
            <v>13054.150000000009</v>
          </cell>
        </row>
        <row r="147">
          <cell r="H147">
            <v>0.59487780060695816</v>
          </cell>
        </row>
        <row r="148">
          <cell r="H148">
            <v>6401.9799999999668</v>
          </cell>
        </row>
        <row r="149">
          <cell r="H149">
            <v>0.29183336218878986</v>
          </cell>
        </row>
        <row r="150">
          <cell r="H150">
            <v>6356.5799999999581</v>
          </cell>
        </row>
        <row r="151">
          <cell r="H151">
            <v>0.28850436398501689</v>
          </cell>
        </row>
        <row r="152">
          <cell r="H152">
            <v>4376.7799999999988</v>
          </cell>
        </row>
        <row r="153">
          <cell r="H153">
            <v>0.19947381784104767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0" workbookViewId="0">
      <selection activeCell="L2" sqref="L2:L31"/>
    </sheetView>
  </sheetViews>
  <sheetFormatPr defaultColWidth="9" defaultRowHeight="15"/>
  <cols>
    <col min="1" max="1" width="9.6640625" style="1253" customWidth="1"/>
    <col min="2" max="3" width="9" style="1247"/>
    <col min="4" max="4" width="10.44140625" style="1248" customWidth="1"/>
    <col min="5" max="5" width="9.77734375" style="1249" customWidth="1"/>
    <col min="6" max="6" width="9.77734375" style="1253" customWidth="1"/>
    <col min="7" max="10" width="9" style="1253"/>
    <col min="11" max="12" width="9" style="1249"/>
    <col min="13" max="13" width="0" style="1252" hidden="1" customWidth="1"/>
    <col min="14" max="256" width="9" style="1252"/>
    <col min="257" max="257" width="9.6640625" style="1252" customWidth="1"/>
    <col min="258" max="259" width="9" style="1252"/>
    <col min="260" max="260" width="10.44140625" style="1252" customWidth="1"/>
    <col min="261" max="262" width="9.77734375" style="1252" customWidth="1"/>
    <col min="263" max="268" width="9" style="1252"/>
    <col min="269" max="269" width="0" style="1252" hidden="1" customWidth="1"/>
    <col min="270" max="512" width="9" style="1252"/>
    <col min="513" max="513" width="9.6640625" style="1252" customWidth="1"/>
    <col min="514" max="515" width="9" style="1252"/>
    <col min="516" max="516" width="10.44140625" style="1252" customWidth="1"/>
    <col min="517" max="518" width="9.77734375" style="1252" customWidth="1"/>
    <col min="519" max="524" width="9" style="1252"/>
    <col min="525" max="525" width="0" style="1252" hidden="1" customWidth="1"/>
    <col min="526" max="768" width="9" style="1252"/>
    <col min="769" max="769" width="9.6640625" style="1252" customWidth="1"/>
    <col min="770" max="771" width="9" style="1252"/>
    <col min="772" max="772" width="10.44140625" style="1252" customWidth="1"/>
    <col min="773" max="774" width="9.77734375" style="1252" customWidth="1"/>
    <col min="775" max="780" width="9" style="1252"/>
    <col min="781" max="781" width="0" style="1252" hidden="1" customWidth="1"/>
    <col min="782" max="1024" width="9" style="1252"/>
    <col min="1025" max="1025" width="9.6640625" style="1252" customWidth="1"/>
    <col min="1026" max="1027" width="9" style="1252"/>
    <col min="1028" max="1028" width="10.44140625" style="1252" customWidth="1"/>
    <col min="1029" max="1030" width="9.77734375" style="1252" customWidth="1"/>
    <col min="1031" max="1036" width="9" style="1252"/>
    <col min="1037" max="1037" width="0" style="1252" hidden="1" customWidth="1"/>
    <col min="1038" max="1280" width="9" style="1252"/>
    <col min="1281" max="1281" width="9.6640625" style="1252" customWidth="1"/>
    <col min="1282" max="1283" width="9" style="1252"/>
    <col min="1284" max="1284" width="10.44140625" style="1252" customWidth="1"/>
    <col min="1285" max="1286" width="9.77734375" style="1252" customWidth="1"/>
    <col min="1287" max="1292" width="9" style="1252"/>
    <col min="1293" max="1293" width="0" style="1252" hidden="1" customWidth="1"/>
    <col min="1294" max="1536" width="9" style="1252"/>
    <col min="1537" max="1537" width="9.6640625" style="1252" customWidth="1"/>
    <col min="1538" max="1539" width="9" style="1252"/>
    <col min="1540" max="1540" width="10.44140625" style="1252" customWidth="1"/>
    <col min="1541" max="1542" width="9.77734375" style="1252" customWidth="1"/>
    <col min="1543" max="1548" width="9" style="1252"/>
    <col min="1549" max="1549" width="0" style="1252" hidden="1" customWidth="1"/>
    <col min="1550" max="1792" width="9" style="1252"/>
    <col min="1793" max="1793" width="9.6640625" style="1252" customWidth="1"/>
    <col min="1794" max="1795" width="9" style="1252"/>
    <col min="1796" max="1796" width="10.44140625" style="1252" customWidth="1"/>
    <col min="1797" max="1798" width="9.77734375" style="1252" customWidth="1"/>
    <col min="1799" max="1804" width="9" style="1252"/>
    <col min="1805" max="1805" width="0" style="1252" hidden="1" customWidth="1"/>
    <col min="1806" max="2048" width="9" style="1252"/>
    <col min="2049" max="2049" width="9.6640625" style="1252" customWidth="1"/>
    <col min="2050" max="2051" width="9" style="1252"/>
    <col min="2052" max="2052" width="10.44140625" style="1252" customWidth="1"/>
    <col min="2053" max="2054" width="9.77734375" style="1252" customWidth="1"/>
    <col min="2055" max="2060" width="9" style="1252"/>
    <col min="2061" max="2061" width="0" style="1252" hidden="1" customWidth="1"/>
    <col min="2062" max="2304" width="9" style="1252"/>
    <col min="2305" max="2305" width="9.6640625" style="1252" customWidth="1"/>
    <col min="2306" max="2307" width="9" style="1252"/>
    <col min="2308" max="2308" width="10.44140625" style="1252" customWidth="1"/>
    <col min="2309" max="2310" width="9.77734375" style="1252" customWidth="1"/>
    <col min="2311" max="2316" width="9" style="1252"/>
    <col min="2317" max="2317" width="0" style="1252" hidden="1" customWidth="1"/>
    <col min="2318" max="2560" width="9" style="1252"/>
    <col min="2561" max="2561" width="9.6640625" style="1252" customWidth="1"/>
    <col min="2562" max="2563" width="9" style="1252"/>
    <col min="2564" max="2564" width="10.44140625" style="1252" customWidth="1"/>
    <col min="2565" max="2566" width="9.77734375" style="1252" customWidth="1"/>
    <col min="2567" max="2572" width="9" style="1252"/>
    <col min="2573" max="2573" width="0" style="1252" hidden="1" customWidth="1"/>
    <col min="2574" max="2816" width="9" style="1252"/>
    <col min="2817" max="2817" width="9.6640625" style="1252" customWidth="1"/>
    <col min="2818" max="2819" width="9" style="1252"/>
    <col min="2820" max="2820" width="10.44140625" style="1252" customWidth="1"/>
    <col min="2821" max="2822" width="9.77734375" style="1252" customWidth="1"/>
    <col min="2823" max="2828" width="9" style="1252"/>
    <col min="2829" max="2829" width="0" style="1252" hidden="1" customWidth="1"/>
    <col min="2830" max="3072" width="9" style="1252"/>
    <col min="3073" max="3073" width="9.6640625" style="1252" customWidth="1"/>
    <col min="3074" max="3075" width="9" style="1252"/>
    <col min="3076" max="3076" width="10.44140625" style="1252" customWidth="1"/>
    <col min="3077" max="3078" width="9.77734375" style="1252" customWidth="1"/>
    <col min="3079" max="3084" width="9" style="1252"/>
    <col min="3085" max="3085" width="0" style="1252" hidden="1" customWidth="1"/>
    <col min="3086" max="3328" width="9" style="1252"/>
    <col min="3329" max="3329" width="9.6640625" style="1252" customWidth="1"/>
    <col min="3330" max="3331" width="9" style="1252"/>
    <col min="3332" max="3332" width="10.44140625" style="1252" customWidth="1"/>
    <col min="3333" max="3334" width="9.77734375" style="1252" customWidth="1"/>
    <col min="3335" max="3340" width="9" style="1252"/>
    <col min="3341" max="3341" width="0" style="1252" hidden="1" customWidth="1"/>
    <col min="3342" max="3584" width="9" style="1252"/>
    <col min="3585" max="3585" width="9.6640625" style="1252" customWidth="1"/>
    <col min="3586" max="3587" width="9" style="1252"/>
    <col min="3588" max="3588" width="10.44140625" style="1252" customWidth="1"/>
    <col min="3589" max="3590" width="9.77734375" style="1252" customWidth="1"/>
    <col min="3591" max="3596" width="9" style="1252"/>
    <col min="3597" max="3597" width="0" style="1252" hidden="1" customWidth="1"/>
    <col min="3598" max="3840" width="9" style="1252"/>
    <col min="3841" max="3841" width="9.6640625" style="1252" customWidth="1"/>
    <col min="3842" max="3843" width="9" style="1252"/>
    <col min="3844" max="3844" width="10.44140625" style="1252" customWidth="1"/>
    <col min="3845" max="3846" width="9.77734375" style="1252" customWidth="1"/>
    <col min="3847" max="3852" width="9" style="1252"/>
    <col min="3853" max="3853" width="0" style="1252" hidden="1" customWidth="1"/>
    <col min="3854" max="4096" width="9" style="1252"/>
    <col min="4097" max="4097" width="9.6640625" style="1252" customWidth="1"/>
    <col min="4098" max="4099" width="9" style="1252"/>
    <col min="4100" max="4100" width="10.44140625" style="1252" customWidth="1"/>
    <col min="4101" max="4102" width="9.77734375" style="1252" customWidth="1"/>
    <col min="4103" max="4108" width="9" style="1252"/>
    <col min="4109" max="4109" width="0" style="1252" hidden="1" customWidth="1"/>
    <col min="4110" max="4352" width="9" style="1252"/>
    <col min="4353" max="4353" width="9.6640625" style="1252" customWidth="1"/>
    <col min="4354" max="4355" width="9" style="1252"/>
    <col min="4356" max="4356" width="10.44140625" style="1252" customWidth="1"/>
    <col min="4357" max="4358" width="9.77734375" style="1252" customWidth="1"/>
    <col min="4359" max="4364" width="9" style="1252"/>
    <col min="4365" max="4365" width="0" style="1252" hidden="1" customWidth="1"/>
    <col min="4366" max="4608" width="9" style="1252"/>
    <col min="4609" max="4609" width="9.6640625" style="1252" customWidth="1"/>
    <col min="4610" max="4611" width="9" style="1252"/>
    <col min="4612" max="4612" width="10.44140625" style="1252" customWidth="1"/>
    <col min="4613" max="4614" width="9.77734375" style="1252" customWidth="1"/>
    <col min="4615" max="4620" width="9" style="1252"/>
    <col min="4621" max="4621" width="0" style="1252" hidden="1" customWidth="1"/>
    <col min="4622" max="4864" width="9" style="1252"/>
    <col min="4865" max="4865" width="9.6640625" style="1252" customWidth="1"/>
    <col min="4866" max="4867" width="9" style="1252"/>
    <col min="4868" max="4868" width="10.44140625" style="1252" customWidth="1"/>
    <col min="4869" max="4870" width="9.77734375" style="1252" customWidth="1"/>
    <col min="4871" max="4876" width="9" style="1252"/>
    <col min="4877" max="4877" width="0" style="1252" hidden="1" customWidth="1"/>
    <col min="4878" max="5120" width="9" style="1252"/>
    <col min="5121" max="5121" width="9.6640625" style="1252" customWidth="1"/>
    <col min="5122" max="5123" width="9" style="1252"/>
    <col min="5124" max="5124" width="10.44140625" style="1252" customWidth="1"/>
    <col min="5125" max="5126" width="9.77734375" style="1252" customWidth="1"/>
    <col min="5127" max="5132" width="9" style="1252"/>
    <col min="5133" max="5133" width="0" style="1252" hidden="1" customWidth="1"/>
    <col min="5134" max="5376" width="9" style="1252"/>
    <col min="5377" max="5377" width="9.6640625" style="1252" customWidth="1"/>
    <col min="5378" max="5379" width="9" style="1252"/>
    <col min="5380" max="5380" width="10.44140625" style="1252" customWidth="1"/>
    <col min="5381" max="5382" width="9.77734375" style="1252" customWidth="1"/>
    <col min="5383" max="5388" width="9" style="1252"/>
    <col min="5389" max="5389" width="0" style="1252" hidden="1" customWidth="1"/>
    <col min="5390" max="5632" width="9" style="1252"/>
    <col min="5633" max="5633" width="9.6640625" style="1252" customWidth="1"/>
    <col min="5634" max="5635" width="9" style="1252"/>
    <col min="5636" max="5636" width="10.44140625" style="1252" customWidth="1"/>
    <col min="5637" max="5638" width="9.77734375" style="1252" customWidth="1"/>
    <col min="5639" max="5644" width="9" style="1252"/>
    <col min="5645" max="5645" width="0" style="1252" hidden="1" customWidth="1"/>
    <col min="5646" max="5888" width="9" style="1252"/>
    <col min="5889" max="5889" width="9.6640625" style="1252" customWidth="1"/>
    <col min="5890" max="5891" width="9" style="1252"/>
    <col min="5892" max="5892" width="10.44140625" style="1252" customWidth="1"/>
    <col min="5893" max="5894" width="9.77734375" style="1252" customWidth="1"/>
    <col min="5895" max="5900" width="9" style="1252"/>
    <col min="5901" max="5901" width="0" style="1252" hidden="1" customWidth="1"/>
    <col min="5902" max="6144" width="9" style="1252"/>
    <col min="6145" max="6145" width="9.6640625" style="1252" customWidth="1"/>
    <col min="6146" max="6147" width="9" style="1252"/>
    <col min="6148" max="6148" width="10.44140625" style="1252" customWidth="1"/>
    <col min="6149" max="6150" width="9.77734375" style="1252" customWidth="1"/>
    <col min="6151" max="6156" width="9" style="1252"/>
    <col min="6157" max="6157" width="0" style="1252" hidden="1" customWidth="1"/>
    <col min="6158" max="6400" width="9" style="1252"/>
    <col min="6401" max="6401" width="9.6640625" style="1252" customWidth="1"/>
    <col min="6402" max="6403" width="9" style="1252"/>
    <col min="6404" max="6404" width="10.44140625" style="1252" customWidth="1"/>
    <col min="6405" max="6406" width="9.77734375" style="1252" customWidth="1"/>
    <col min="6407" max="6412" width="9" style="1252"/>
    <col min="6413" max="6413" width="0" style="1252" hidden="1" customWidth="1"/>
    <col min="6414" max="6656" width="9" style="1252"/>
    <col min="6657" max="6657" width="9.6640625" style="1252" customWidth="1"/>
    <col min="6658" max="6659" width="9" style="1252"/>
    <col min="6660" max="6660" width="10.44140625" style="1252" customWidth="1"/>
    <col min="6661" max="6662" width="9.77734375" style="1252" customWidth="1"/>
    <col min="6663" max="6668" width="9" style="1252"/>
    <col min="6669" max="6669" width="0" style="1252" hidden="1" customWidth="1"/>
    <col min="6670" max="6912" width="9" style="1252"/>
    <col min="6913" max="6913" width="9.6640625" style="1252" customWidth="1"/>
    <col min="6914" max="6915" width="9" style="1252"/>
    <col min="6916" max="6916" width="10.44140625" style="1252" customWidth="1"/>
    <col min="6917" max="6918" width="9.77734375" style="1252" customWidth="1"/>
    <col min="6919" max="6924" width="9" style="1252"/>
    <col min="6925" max="6925" width="0" style="1252" hidden="1" customWidth="1"/>
    <col min="6926" max="7168" width="9" style="1252"/>
    <col min="7169" max="7169" width="9.6640625" style="1252" customWidth="1"/>
    <col min="7170" max="7171" width="9" style="1252"/>
    <col min="7172" max="7172" width="10.44140625" style="1252" customWidth="1"/>
    <col min="7173" max="7174" width="9.77734375" style="1252" customWidth="1"/>
    <col min="7175" max="7180" width="9" style="1252"/>
    <col min="7181" max="7181" width="0" style="1252" hidden="1" customWidth="1"/>
    <col min="7182" max="7424" width="9" style="1252"/>
    <col min="7425" max="7425" width="9.6640625" style="1252" customWidth="1"/>
    <col min="7426" max="7427" width="9" style="1252"/>
    <col min="7428" max="7428" width="10.44140625" style="1252" customWidth="1"/>
    <col min="7429" max="7430" width="9.77734375" style="1252" customWidth="1"/>
    <col min="7431" max="7436" width="9" style="1252"/>
    <col min="7437" max="7437" width="0" style="1252" hidden="1" customWidth="1"/>
    <col min="7438" max="7680" width="9" style="1252"/>
    <col min="7681" max="7681" width="9.6640625" style="1252" customWidth="1"/>
    <col min="7682" max="7683" width="9" style="1252"/>
    <col min="7684" max="7684" width="10.44140625" style="1252" customWidth="1"/>
    <col min="7685" max="7686" width="9.77734375" style="1252" customWidth="1"/>
    <col min="7687" max="7692" width="9" style="1252"/>
    <col min="7693" max="7693" width="0" style="1252" hidden="1" customWidth="1"/>
    <col min="7694" max="7936" width="9" style="1252"/>
    <col min="7937" max="7937" width="9.6640625" style="1252" customWidth="1"/>
    <col min="7938" max="7939" width="9" style="1252"/>
    <col min="7940" max="7940" width="10.44140625" style="1252" customWidth="1"/>
    <col min="7941" max="7942" width="9.77734375" style="1252" customWidth="1"/>
    <col min="7943" max="7948" width="9" style="1252"/>
    <col min="7949" max="7949" width="0" style="1252" hidden="1" customWidth="1"/>
    <col min="7950" max="8192" width="9" style="1252"/>
    <col min="8193" max="8193" width="9.6640625" style="1252" customWidth="1"/>
    <col min="8194" max="8195" width="9" style="1252"/>
    <col min="8196" max="8196" width="10.44140625" style="1252" customWidth="1"/>
    <col min="8197" max="8198" width="9.77734375" style="1252" customWidth="1"/>
    <col min="8199" max="8204" width="9" style="1252"/>
    <col min="8205" max="8205" width="0" style="1252" hidden="1" customWidth="1"/>
    <col min="8206" max="8448" width="9" style="1252"/>
    <col min="8449" max="8449" width="9.6640625" style="1252" customWidth="1"/>
    <col min="8450" max="8451" width="9" style="1252"/>
    <col min="8452" max="8452" width="10.44140625" style="1252" customWidth="1"/>
    <col min="8453" max="8454" width="9.77734375" style="1252" customWidth="1"/>
    <col min="8455" max="8460" width="9" style="1252"/>
    <col min="8461" max="8461" width="0" style="1252" hidden="1" customWidth="1"/>
    <col min="8462" max="8704" width="9" style="1252"/>
    <col min="8705" max="8705" width="9.6640625" style="1252" customWidth="1"/>
    <col min="8706" max="8707" width="9" style="1252"/>
    <col min="8708" max="8708" width="10.44140625" style="1252" customWidth="1"/>
    <col min="8709" max="8710" width="9.77734375" style="1252" customWidth="1"/>
    <col min="8711" max="8716" width="9" style="1252"/>
    <col min="8717" max="8717" width="0" style="1252" hidden="1" customWidth="1"/>
    <col min="8718" max="8960" width="9" style="1252"/>
    <col min="8961" max="8961" width="9.6640625" style="1252" customWidth="1"/>
    <col min="8962" max="8963" width="9" style="1252"/>
    <col min="8964" max="8964" width="10.44140625" style="1252" customWidth="1"/>
    <col min="8965" max="8966" width="9.77734375" style="1252" customWidth="1"/>
    <col min="8967" max="8972" width="9" style="1252"/>
    <col min="8973" max="8973" width="0" style="1252" hidden="1" customWidth="1"/>
    <col min="8974" max="9216" width="9" style="1252"/>
    <col min="9217" max="9217" width="9.6640625" style="1252" customWidth="1"/>
    <col min="9218" max="9219" width="9" style="1252"/>
    <col min="9220" max="9220" width="10.44140625" style="1252" customWidth="1"/>
    <col min="9221" max="9222" width="9.77734375" style="1252" customWidth="1"/>
    <col min="9223" max="9228" width="9" style="1252"/>
    <col min="9229" max="9229" width="0" style="1252" hidden="1" customWidth="1"/>
    <col min="9230" max="9472" width="9" style="1252"/>
    <col min="9473" max="9473" width="9.6640625" style="1252" customWidth="1"/>
    <col min="9474" max="9475" width="9" style="1252"/>
    <col min="9476" max="9476" width="10.44140625" style="1252" customWidth="1"/>
    <col min="9477" max="9478" width="9.77734375" style="1252" customWidth="1"/>
    <col min="9479" max="9484" width="9" style="1252"/>
    <col min="9485" max="9485" width="0" style="1252" hidden="1" customWidth="1"/>
    <col min="9486" max="9728" width="9" style="1252"/>
    <col min="9729" max="9729" width="9.6640625" style="1252" customWidth="1"/>
    <col min="9730" max="9731" width="9" style="1252"/>
    <col min="9732" max="9732" width="10.44140625" style="1252" customWidth="1"/>
    <col min="9733" max="9734" width="9.77734375" style="1252" customWidth="1"/>
    <col min="9735" max="9740" width="9" style="1252"/>
    <col min="9741" max="9741" width="0" style="1252" hidden="1" customWidth="1"/>
    <col min="9742" max="9984" width="9" style="1252"/>
    <col min="9985" max="9985" width="9.6640625" style="1252" customWidth="1"/>
    <col min="9986" max="9987" width="9" style="1252"/>
    <col min="9988" max="9988" width="10.44140625" style="1252" customWidth="1"/>
    <col min="9989" max="9990" width="9.77734375" style="1252" customWidth="1"/>
    <col min="9991" max="9996" width="9" style="1252"/>
    <col min="9997" max="9997" width="0" style="1252" hidden="1" customWidth="1"/>
    <col min="9998" max="10240" width="9" style="1252"/>
    <col min="10241" max="10241" width="9.6640625" style="1252" customWidth="1"/>
    <col min="10242" max="10243" width="9" style="1252"/>
    <col min="10244" max="10244" width="10.44140625" style="1252" customWidth="1"/>
    <col min="10245" max="10246" width="9.77734375" style="1252" customWidth="1"/>
    <col min="10247" max="10252" width="9" style="1252"/>
    <col min="10253" max="10253" width="0" style="1252" hidden="1" customWidth="1"/>
    <col min="10254" max="10496" width="9" style="1252"/>
    <col min="10497" max="10497" width="9.6640625" style="1252" customWidth="1"/>
    <col min="10498" max="10499" width="9" style="1252"/>
    <col min="10500" max="10500" width="10.44140625" style="1252" customWidth="1"/>
    <col min="10501" max="10502" width="9.77734375" style="1252" customWidth="1"/>
    <col min="10503" max="10508" width="9" style="1252"/>
    <col min="10509" max="10509" width="0" style="1252" hidden="1" customWidth="1"/>
    <col min="10510" max="10752" width="9" style="1252"/>
    <col min="10753" max="10753" width="9.6640625" style="1252" customWidth="1"/>
    <col min="10754" max="10755" width="9" style="1252"/>
    <col min="10756" max="10756" width="10.44140625" style="1252" customWidth="1"/>
    <col min="10757" max="10758" width="9.77734375" style="1252" customWidth="1"/>
    <col min="10759" max="10764" width="9" style="1252"/>
    <col min="10765" max="10765" width="0" style="1252" hidden="1" customWidth="1"/>
    <col min="10766" max="11008" width="9" style="1252"/>
    <col min="11009" max="11009" width="9.6640625" style="1252" customWidth="1"/>
    <col min="11010" max="11011" width="9" style="1252"/>
    <col min="11012" max="11012" width="10.44140625" style="1252" customWidth="1"/>
    <col min="11013" max="11014" width="9.77734375" style="1252" customWidth="1"/>
    <col min="11015" max="11020" width="9" style="1252"/>
    <col min="11021" max="11021" width="0" style="1252" hidden="1" customWidth="1"/>
    <col min="11022" max="11264" width="9" style="1252"/>
    <col min="11265" max="11265" width="9.6640625" style="1252" customWidth="1"/>
    <col min="11266" max="11267" width="9" style="1252"/>
    <col min="11268" max="11268" width="10.44140625" style="1252" customWidth="1"/>
    <col min="11269" max="11270" width="9.77734375" style="1252" customWidth="1"/>
    <col min="11271" max="11276" width="9" style="1252"/>
    <col min="11277" max="11277" width="0" style="1252" hidden="1" customWidth="1"/>
    <col min="11278" max="11520" width="9" style="1252"/>
    <col min="11521" max="11521" width="9.6640625" style="1252" customWidth="1"/>
    <col min="11522" max="11523" width="9" style="1252"/>
    <col min="11524" max="11524" width="10.44140625" style="1252" customWidth="1"/>
    <col min="11525" max="11526" width="9.77734375" style="1252" customWidth="1"/>
    <col min="11527" max="11532" width="9" style="1252"/>
    <col min="11533" max="11533" width="0" style="1252" hidden="1" customWidth="1"/>
    <col min="11534" max="11776" width="9" style="1252"/>
    <col min="11777" max="11777" width="9.6640625" style="1252" customWidth="1"/>
    <col min="11778" max="11779" width="9" style="1252"/>
    <col min="11780" max="11780" width="10.44140625" style="1252" customWidth="1"/>
    <col min="11781" max="11782" width="9.77734375" style="1252" customWidth="1"/>
    <col min="11783" max="11788" width="9" style="1252"/>
    <col min="11789" max="11789" width="0" style="1252" hidden="1" customWidth="1"/>
    <col min="11790" max="12032" width="9" style="1252"/>
    <col min="12033" max="12033" width="9.6640625" style="1252" customWidth="1"/>
    <col min="12034" max="12035" width="9" style="1252"/>
    <col min="12036" max="12036" width="10.44140625" style="1252" customWidth="1"/>
    <col min="12037" max="12038" width="9.77734375" style="1252" customWidth="1"/>
    <col min="12039" max="12044" width="9" style="1252"/>
    <col min="12045" max="12045" width="0" style="1252" hidden="1" customWidth="1"/>
    <col min="12046" max="12288" width="9" style="1252"/>
    <col min="12289" max="12289" width="9.6640625" style="1252" customWidth="1"/>
    <col min="12290" max="12291" width="9" style="1252"/>
    <col min="12292" max="12292" width="10.44140625" style="1252" customWidth="1"/>
    <col min="12293" max="12294" width="9.77734375" style="1252" customWidth="1"/>
    <col min="12295" max="12300" width="9" style="1252"/>
    <col min="12301" max="12301" width="0" style="1252" hidden="1" customWidth="1"/>
    <col min="12302" max="12544" width="9" style="1252"/>
    <col min="12545" max="12545" width="9.6640625" style="1252" customWidth="1"/>
    <col min="12546" max="12547" width="9" style="1252"/>
    <col min="12548" max="12548" width="10.44140625" style="1252" customWidth="1"/>
    <col min="12549" max="12550" width="9.77734375" style="1252" customWidth="1"/>
    <col min="12551" max="12556" width="9" style="1252"/>
    <col min="12557" max="12557" width="0" style="1252" hidden="1" customWidth="1"/>
    <col min="12558" max="12800" width="9" style="1252"/>
    <col min="12801" max="12801" width="9.6640625" style="1252" customWidth="1"/>
    <col min="12802" max="12803" width="9" style="1252"/>
    <col min="12804" max="12804" width="10.44140625" style="1252" customWidth="1"/>
    <col min="12805" max="12806" width="9.77734375" style="1252" customWidth="1"/>
    <col min="12807" max="12812" width="9" style="1252"/>
    <col min="12813" max="12813" width="0" style="1252" hidden="1" customWidth="1"/>
    <col min="12814" max="13056" width="9" style="1252"/>
    <col min="13057" max="13057" width="9.6640625" style="1252" customWidth="1"/>
    <col min="13058" max="13059" width="9" style="1252"/>
    <col min="13060" max="13060" width="10.44140625" style="1252" customWidth="1"/>
    <col min="13061" max="13062" width="9.77734375" style="1252" customWidth="1"/>
    <col min="13063" max="13068" width="9" style="1252"/>
    <col min="13069" max="13069" width="0" style="1252" hidden="1" customWidth="1"/>
    <col min="13070" max="13312" width="9" style="1252"/>
    <col min="13313" max="13313" width="9.6640625" style="1252" customWidth="1"/>
    <col min="13314" max="13315" width="9" style="1252"/>
    <col min="13316" max="13316" width="10.44140625" style="1252" customWidth="1"/>
    <col min="13317" max="13318" width="9.77734375" style="1252" customWidth="1"/>
    <col min="13319" max="13324" width="9" style="1252"/>
    <col min="13325" max="13325" width="0" style="1252" hidden="1" customWidth="1"/>
    <col min="13326" max="13568" width="9" style="1252"/>
    <col min="13569" max="13569" width="9.6640625" style="1252" customWidth="1"/>
    <col min="13570" max="13571" width="9" style="1252"/>
    <col min="13572" max="13572" width="10.44140625" style="1252" customWidth="1"/>
    <col min="13573" max="13574" width="9.77734375" style="1252" customWidth="1"/>
    <col min="13575" max="13580" width="9" style="1252"/>
    <col min="13581" max="13581" width="0" style="1252" hidden="1" customWidth="1"/>
    <col min="13582" max="13824" width="9" style="1252"/>
    <col min="13825" max="13825" width="9.6640625" style="1252" customWidth="1"/>
    <col min="13826" max="13827" width="9" style="1252"/>
    <col min="13828" max="13828" width="10.44140625" style="1252" customWidth="1"/>
    <col min="13829" max="13830" width="9.77734375" style="1252" customWidth="1"/>
    <col min="13831" max="13836" width="9" style="1252"/>
    <col min="13837" max="13837" width="0" style="1252" hidden="1" customWidth="1"/>
    <col min="13838" max="14080" width="9" style="1252"/>
    <col min="14081" max="14081" width="9.6640625" style="1252" customWidth="1"/>
    <col min="14082" max="14083" width="9" style="1252"/>
    <col min="14084" max="14084" width="10.44140625" style="1252" customWidth="1"/>
    <col min="14085" max="14086" width="9.77734375" style="1252" customWidth="1"/>
    <col min="14087" max="14092" width="9" style="1252"/>
    <col min="14093" max="14093" width="0" style="1252" hidden="1" customWidth="1"/>
    <col min="14094" max="14336" width="9" style="1252"/>
    <col min="14337" max="14337" width="9.6640625" style="1252" customWidth="1"/>
    <col min="14338" max="14339" width="9" style="1252"/>
    <col min="14340" max="14340" width="10.44140625" style="1252" customWidth="1"/>
    <col min="14341" max="14342" width="9.77734375" style="1252" customWidth="1"/>
    <col min="14343" max="14348" width="9" style="1252"/>
    <col min="14349" max="14349" width="0" style="1252" hidden="1" customWidth="1"/>
    <col min="14350" max="14592" width="9" style="1252"/>
    <col min="14593" max="14593" width="9.6640625" style="1252" customWidth="1"/>
    <col min="14594" max="14595" width="9" style="1252"/>
    <col min="14596" max="14596" width="10.44140625" style="1252" customWidth="1"/>
    <col min="14597" max="14598" width="9.77734375" style="1252" customWidth="1"/>
    <col min="14599" max="14604" width="9" style="1252"/>
    <col min="14605" max="14605" width="0" style="1252" hidden="1" customWidth="1"/>
    <col min="14606" max="14848" width="9" style="1252"/>
    <col min="14849" max="14849" width="9.6640625" style="1252" customWidth="1"/>
    <col min="14850" max="14851" width="9" style="1252"/>
    <col min="14852" max="14852" width="10.44140625" style="1252" customWidth="1"/>
    <col min="14853" max="14854" width="9.77734375" style="1252" customWidth="1"/>
    <col min="14855" max="14860" width="9" style="1252"/>
    <col min="14861" max="14861" width="0" style="1252" hidden="1" customWidth="1"/>
    <col min="14862" max="15104" width="9" style="1252"/>
    <col min="15105" max="15105" width="9.6640625" style="1252" customWidth="1"/>
    <col min="15106" max="15107" width="9" style="1252"/>
    <col min="15108" max="15108" width="10.44140625" style="1252" customWidth="1"/>
    <col min="15109" max="15110" width="9.77734375" style="1252" customWidth="1"/>
    <col min="15111" max="15116" width="9" style="1252"/>
    <col min="15117" max="15117" width="0" style="1252" hidden="1" customWidth="1"/>
    <col min="15118" max="15360" width="9" style="1252"/>
    <col min="15361" max="15361" width="9.6640625" style="1252" customWidth="1"/>
    <col min="15362" max="15363" width="9" style="1252"/>
    <col min="15364" max="15364" width="10.44140625" style="1252" customWidth="1"/>
    <col min="15365" max="15366" width="9.77734375" style="1252" customWidth="1"/>
    <col min="15367" max="15372" width="9" style="1252"/>
    <col min="15373" max="15373" width="0" style="1252" hidden="1" customWidth="1"/>
    <col min="15374" max="15616" width="9" style="1252"/>
    <col min="15617" max="15617" width="9.6640625" style="1252" customWidth="1"/>
    <col min="15618" max="15619" width="9" style="1252"/>
    <col min="15620" max="15620" width="10.44140625" style="1252" customWidth="1"/>
    <col min="15621" max="15622" width="9.77734375" style="1252" customWidth="1"/>
    <col min="15623" max="15628" width="9" style="1252"/>
    <col min="15629" max="15629" width="0" style="1252" hidden="1" customWidth="1"/>
    <col min="15630" max="15872" width="9" style="1252"/>
    <col min="15873" max="15873" width="9.6640625" style="1252" customWidth="1"/>
    <col min="15874" max="15875" width="9" style="1252"/>
    <col min="15876" max="15876" width="10.44140625" style="1252" customWidth="1"/>
    <col min="15877" max="15878" width="9.77734375" style="1252" customWidth="1"/>
    <col min="15879" max="15884" width="9" style="1252"/>
    <col min="15885" max="15885" width="0" style="1252" hidden="1" customWidth="1"/>
    <col min="15886" max="16128" width="9" style="1252"/>
    <col min="16129" max="16129" width="9.6640625" style="1252" customWidth="1"/>
    <col min="16130" max="16131" width="9" style="1252"/>
    <col min="16132" max="16132" width="10.44140625" style="1252" customWidth="1"/>
    <col min="16133" max="16134" width="9.77734375" style="1252" customWidth="1"/>
    <col min="16135" max="16140" width="9" style="1252"/>
    <col min="16141" max="16141" width="0" style="1252" hidden="1" customWidth="1"/>
    <col min="16142" max="16384" width="9" style="1252"/>
  </cols>
  <sheetData>
    <row r="1" spans="1:13" s="1245" customFormat="1" ht="60.75" thickBot="1">
      <c r="A1" s="1239" t="s">
        <v>294</v>
      </c>
      <c r="B1" s="1240" t="s">
        <v>295</v>
      </c>
      <c r="C1" s="1240" t="s">
        <v>296</v>
      </c>
      <c r="D1" s="1241" t="s">
        <v>297</v>
      </c>
      <c r="E1" s="1242" t="s">
        <v>298</v>
      </c>
      <c r="F1" s="1243" t="s">
        <v>299</v>
      </c>
      <c r="G1" s="1242" t="s">
        <v>306</v>
      </c>
      <c r="H1" s="1243" t="s">
        <v>307</v>
      </c>
      <c r="I1" s="1243" t="s">
        <v>300</v>
      </c>
      <c r="J1" s="1243" t="s">
        <v>301</v>
      </c>
      <c r="K1" s="1242" t="s">
        <v>302</v>
      </c>
      <c r="L1" s="1242" t="s">
        <v>303</v>
      </c>
      <c r="M1" s="1244" t="s">
        <v>304</v>
      </c>
    </row>
    <row r="2" spans="1:13">
      <c r="A2" s="1246" t="s">
        <v>305</v>
      </c>
      <c r="B2" s="1247">
        <v>1</v>
      </c>
      <c r="C2" s="1247">
        <v>3</v>
      </c>
      <c r="D2" s="1248">
        <v>2021</v>
      </c>
      <c r="E2" s="1249">
        <f>'Daily HLP'!I4</f>
        <v>22397</v>
      </c>
      <c r="F2" s="1250">
        <f>'Daily HLP'!J4</f>
        <v>9</v>
      </c>
      <c r="G2" s="1250">
        <f>'Daily HLP'!M4</f>
        <v>880.63199999998324</v>
      </c>
      <c r="H2" s="1250">
        <v>48.88</v>
      </c>
      <c r="I2" s="1250">
        <f>'Daily HLP'!P4</f>
        <v>228</v>
      </c>
      <c r="J2" s="1250">
        <v>100</v>
      </c>
      <c r="K2" s="1326">
        <f>Occupancy!G2</f>
        <v>1</v>
      </c>
      <c r="L2" s="1249">
        <f>Occupancy!F2</f>
        <v>0</v>
      </c>
      <c r="M2" s="1251" t="e">
        <f>E2*F2+G2*H2+#REF!*#REF!+I2*J2</f>
        <v>#REF!</v>
      </c>
    </row>
    <row r="3" spans="1:13">
      <c r="A3" s="1246" t="s">
        <v>305</v>
      </c>
      <c r="B3" s="1247">
        <f>B2+1</f>
        <v>2</v>
      </c>
      <c r="C3" s="1247">
        <v>3</v>
      </c>
      <c r="D3" s="1248">
        <v>2021</v>
      </c>
      <c r="E3" s="1249">
        <f>'Daily HLP'!I5</f>
        <v>22379</v>
      </c>
      <c r="F3" s="1250">
        <f>F2</f>
        <v>9</v>
      </c>
      <c r="G3" s="1250">
        <f>'Daily HLP'!M5</f>
        <v>993.17799999983981</v>
      </c>
      <c r="H3" s="1250">
        <v>48.88</v>
      </c>
      <c r="I3" s="1250">
        <f>'Daily HLP'!P5</f>
        <v>192</v>
      </c>
      <c r="J3" s="1250">
        <v>100</v>
      </c>
      <c r="K3" s="1326">
        <f>Occupancy!G3</f>
        <v>121</v>
      </c>
      <c r="L3" s="1249">
        <f>Occupancy!F3</f>
        <v>349</v>
      </c>
      <c r="M3" s="1251" t="e">
        <f>E3*F3+G3*H3+#REF!*#REF!+I3*J3</f>
        <v>#REF!</v>
      </c>
    </row>
    <row r="4" spans="1:13">
      <c r="A4" s="1246" t="s">
        <v>305</v>
      </c>
      <c r="B4" s="1247">
        <f t="shared" ref="B4:B31" si="0">B3+1</f>
        <v>3</v>
      </c>
      <c r="C4" s="1247">
        <v>3</v>
      </c>
      <c r="D4" s="1248">
        <v>2021</v>
      </c>
      <c r="E4" s="1249">
        <f>'Daily HLP'!I6</f>
        <v>21109</v>
      </c>
      <c r="F4" s="1250">
        <f t="shared" ref="F4:F31" si="1">F3</f>
        <v>9</v>
      </c>
      <c r="G4" s="1250">
        <f>'Daily HLP'!M6</f>
        <v>830.41000000014901</v>
      </c>
      <c r="H4" s="1250">
        <v>48.88</v>
      </c>
      <c r="I4" s="1250">
        <f>'Daily HLP'!P6</f>
        <v>192</v>
      </c>
      <c r="J4" s="1250">
        <v>100</v>
      </c>
      <c r="K4" s="1326">
        <f>Occupancy!G4</f>
        <v>84</v>
      </c>
      <c r="L4" s="1249">
        <f>Occupancy!F4</f>
        <v>399</v>
      </c>
      <c r="M4" s="1251" t="e">
        <f>E4*F4+G4*H4+#REF!*#REF!+I4*J4</f>
        <v>#REF!</v>
      </c>
    </row>
    <row r="5" spans="1:13">
      <c r="A5" s="1246" t="s">
        <v>305</v>
      </c>
      <c r="B5" s="1247">
        <f t="shared" si="0"/>
        <v>4</v>
      </c>
      <c r="C5" s="1247">
        <v>3</v>
      </c>
      <c r="D5" s="1248">
        <v>2021</v>
      </c>
      <c r="E5" s="1249">
        <f>'Daily HLP'!I7</f>
        <v>19792</v>
      </c>
      <c r="F5" s="1250">
        <f t="shared" si="1"/>
        <v>9</v>
      </c>
      <c r="G5" s="1250">
        <f>'Daily HLP'!M7</f>
        <v>884.16999999992549</v>
      </c>
      <c r="H5" s="1250">
        <v>48.88</v>
      </c>
      <c r="I5" s="1250">
        <f>'Daily HLP'!P7</f>
        <v>192</v>
      </c>
      <c r="J5" s="1250">
        <v>100</v>
      </c>
      <c r="K5" s="1326">
        <f>Occupancy!G5</f>
        <v>86</v>
      </c>
      <c r="L5" s="1249">
        <f>Occupancy!F5</f>
        <v>369</v>
      </c>
      <c r="M5" s="1251" t="e">
        <f>E5*F5+G5*H5+#REF!*#REF!+I5*J5</f>
        <v>#REF!</v>
      </c>
    </row>
    <row r="6" spans="1:13">
      <c r="A6" s="1246" t="s">
        <v>305</v>
      </c>
      <c r="B6" s="1247">
        <f t="shared" si="0"/>
        <v>5</v>
      </c>
      <c r="C6" s="1247">
        <v>3</v>
      </c>
      <c r="D6" s="1248">
        <v>2021</v>
      </c>
      <c r="E6" s="1249">
        <f>'Daily HLP'!I8</f>
        <v>20391</v>
      </c>
      <c r="F6" s="1250">
        <f t="shared" si="1"/>
        <v>9</v>
      </c>
      <c r="G6" s="1250">
        <f>'Daily HLP'!M8</f>
        <v>893.63999999989755</v>
      </c>
      <c r="H6" s="1250">
        <v>48.88</v>
      </c>
      <c r="I6" s="1250">
        <f>'Daily HLP'!P8</f>
        <v>191</v>
      </c>
      <c r="J6" s="1250">
        <v>100</v>
      </c>
      <c r="K6" s="1326">
        <f>Occupancy!G6</f>
        <v>97</v>
      </c>
      <c r="L6" s="1249">
        <f>Occupancy!F6</f>
        <v>328</v>
      </c>
      <c r="M6" s="1251" t="e">
        <f>E6*F6+G6*H6+#REF!*#REF!+I6*J6</f>
        <v>#REF!</v>
      </c>
    </row>
    <row r="7" spans="1:13">
      <c r="A7" s="1246" t="s">
        <v>305</v>
      </c>
      <c r="B7" s="1247">
        <f t="shared" si="0"/>
        <v>6</v>
      </c>
      <c r="C7" s="1247">
        <v>3</v>
      </c>
      <c r="D7" s="1248">
        <v>2021</v>
      </c>
      <c r="E7" s="1249">
        <f>'Daily HLP'!I9</f>
        <v>21871</v>
      </c>
      <c r="F7" s="1250">
        <f t="shared" si="1"/>
        <v>9</v>
      </c>
      <c r="G7" s="1250">
        <f>'Daily HLP'!M9</f>
        <v>944.36000000010245</v>
      </c>
      <c r="H7" s="1250">
        <v>48.88</v>
      </c>
      <c r="I7" s="1250">
        <f>'Daily HLP'!P9</f>
        <v>191</v>
      </c>
      <c r="J7" s="1250">
        <v>100</v>
      </c>
      <c r="K7" s="1326">
        <f>Occupancy!G7</f>
        <v>162</v>
      </c>
      <c r="L7" s="1249">
        <f>Occupancy!F7</f>
        <v>506</v>
      </c>
      <c r="M7" s="1251" t="e">
        <f>E7*F7+G7*H7+#REF!*#REF!+I7*J7</f>
        <v>#REF!</v>
      </c>
    </row>
    <row r="8" spans="1:13">
      <c r="A8" s="1246" t="s">
        <v>305</v>
      </c>
      <c r="B8" s="1247">
        <f t="shared" si="0"/>
        <v>7</v>
      </c>
      <c r="C8" s="1247">
        <v>3</v>
      </c>
      <c r="D8" s="1248">
        <v>2021</v>
      </c>
      <c r="E8" s="1249">
        <f>'Daily HLP'!I10</f>
        <v>21611</v>
      </c>
      <c r="F8" s="1250">
        <f t="shared" si="1"/>
        <v>9</v>
      </c>
      <c r="G8" s="1250">
        <f>'Daily HLP'!M10</f>
        <v>931</v>
      </c>
      <c r="H8" s="1250">
        <v>48.88</v>
      </c>
      <c r="I8" s="1250">
        <f>'Daily HLP'!P10</f>
        <v>251</v>
      </c>
      <c r="J8" s="1250">
        <v>100</v>
      </c>
      <c r="K8" s="1326">
        <f>Occupancy!G8</f>
        <v>99</v>
      </c>
      <c r="L8" s="1249">
        <f>Occupancy!F8</f>
        <v>607</v>
      </c>
      <c r="M8" s="1251" t="e">
        <f>E8*F8+G8*H8+#REF!*#REF!+I8*J8</f>
        <v>#REF!</v>
      </c>
    </row>
    <row r="9" spans="1:13">
      <c r="A9" s="1246" t="s">
        <v>305</v>
      </c>
      <c r="B9" s="1247">
        <f t="shared" si="0"/>
        <v>8</v>
      </c>
      <c r="C9" s="1247">
        <v>3</v>
      </c>
      <c r="D9" s="1248">
        <v>2021</v>
      </c>
      <c r="E9" s="1249">
        <f>'Daily HLP'!I11</f>
        <v>22521</v>
      </c>
      <c r="F9" s="1250">
        <f t="shared" si="1"/>
        <v>9</v>
      </c>
      <c r="G9" s="1250">
        <f>'Daily HLP'!M11</f>
        <v>859.85000000009313</v>
      </c>
      <c r="H9" s="1250">
        <v>48.88</v>
      </c>
      <c r="I9" s="1250">
        <f>'Daily HLP'!P11</f>
        <v>193</v>
      </c>
      <c r="J9" s="1250">
        <v>100</v>
      </c>
      <c r="K9" s="1326">
        <f>Occupancy!G9</f>
        <v>82</v>
      </c>
      <c r="L9" s="1249">
        <f>Occupancy!F9</f>
        <v>406</v>
      </c>
      <c r="M9" s="1251" t="e">
        <f>E9*F9+G9*H9+#REF!*#REF!+I9*J9</f>
        <v>#REF!</v>
      </c>
    </row>
    <row r="10" spans="1:13">
      <c r="A10" s="1246" t="s">
        <v>305</v>
      </c>
      <c r="B10" s="1247">
        <f t="shared" si="0"/>
        <v>9</v>
      </c>
      <c r="C10" s="1247">
        <v>3</v>
      </c>
      <c r="D10" s="1248">
        <v>2021</v>
      </c>
      <c r="E10" s="1249">
        <f>'Daily HLP'!I12</f>
        <v>20912</v>
      </c>
      <c r="F10" s="1250">
        <f t="shared" si="1"/>
        <v>9</v>
      </c>
      <c r="G10" s="1250">
        <f>'Daily HLP'!M12</f>
        <v>779.02000000001863</v>
      </c>
      <c r="H10" s="1250">
        <v>48.88</v>
      </c>
      <c r="I10" s="1250">
        <f>'Daily HLP'!P12</f>
        <v>172</v>
      </c>
      <c r="J10" s="1250">
        <v>100</v>
      </c>
      <c r="K10" s="1326">
        <f>Occupancy!G10</f>
        <v>84</v>
      </c>
      <c r="L10" s="1249">
        <f>Occupancy!F10</f>
        <v>328</v>
      </c>
      <c r="M10" s="1251" t="e">
        <f>E10*F10+G10*H10+#REF!*#REF!+I10*J10</f>
        <v>#REF!</v>
      </c>
    </row>
    <row r="11" spans="1:13">
      <c r="A11" s="1246" t="s">
        <v>305</v>
      </c>
      <c r="B11" s="1247">
        <f t="shared" si="0"/>
        <v>10</v>
      </c>
      <c r="C11" s="1247">
        <v>3</v>
      </c>
      <c r="D11" s="1248">
        <v>2021</v>
      </c>
      <c r="E11" s="1249">
        <f>'Daily HLP'!I13</f>
        <v>21790</v>
      </c>
      <c r="F11" s="1250">
        <f t="shared" si="1"/>
        <v>9</v>
      </c>
      <c r="G11" s="1250">
        <f>'Daily HLP'!M13</f>
        <v>847.12999999988824</v>
      </c>
      <c r="H11" s="1250">
        <v>48.88</v>
      </c>
      <c r="I11" s="1250">
        <f>'Daily HLP'!P13</f>
        <v>152</v>
      </c>
      <c r="J11" s="1250">
        <v>100</v>
      </c>
      <c r="K11" s="1326">
        <f>Occupancy!G11</f>
        <v>81</v>
      </c>
      <c r="L11" s="1249">
        <f>Occupancy!F11</f>
        <v>362</v>
      </c>
      <c r="M11" s="1251" t="e">
        <f>E11*F11+G11*H11+#REF!*#REF!+I11*J11</f>
        <v>#REF!</v>
      </c>
    </row>
    <row r="12" spans="1:13">
      <c r="A12" s="1246" t="s">
        <v>305</v>
      </c>
      <c r="B12" s="1247">
        <f t="shared" si="0"/>
        <v>11</v>
      </c>
      <c r="C12" s="1247">
        <v>3</v>
      </c>
      <c r="D12" s="1248">
        <v>2021</v>
      </c>
      <c r="E12" s="1249">
        <f>'Daily HLP'!I14</f>
        <v>21316</v>
      </c>
      <c r="F12" s="1250">
        <f t="shared" si="1"/>
        <v>9</v>
      </c>
      <c r="G12" s="1250">
        <f>'Daily HLP'!M14</f>
        <v>852</v>
      </c>
      <c r="H12" s="1250">
        <v>48.88</v>
      </c>
      <c r="I12" s="1250">
        <f>'Daily HLP'!P14</f>
        <v>171</v>
      </c>
      <c r="J12" s="1250">
        <v>100</v>
      </c>
      <c r="K12" s="1326">
        <f>Occupancy!G12</f>
        <v>69</v>
      </c>
      <c r="L12" s="1249">
        <f>Occupancy!F12</f>
        <v>305</v>
      </c>
      <c r="M12" s="1251" t="e">
        <f>E12*F12+G12*H12+#REF!*#REF!+I12*J12</f>
        <v>#REF!</v>
      </c>
    </row>
    <row r="13" spans="1:13">
      <c r="A13" s="1246" t="s">
        <v>305</v>
      </c>
      <c r="B13" s="1247">
        <f t="shared" si="0"/>
        <v>12</v>
      </c>
      <c r="C13" s="1247">
        <v>3</v>
      </c>
      <c r="D13" s="1248">
        <v>2021</v>
      </c>
      <c r="E13" s="1249">
        <f>'Daily HLP'!I15</f>
        <v>21182</v>
      </c>
      <c r="F13" s="1250">
        <f t="shared" si="1"/>
        <v>9</v>
      </c>
      <c r="G13" s="1250">
        <f>'Daily HLP'!M15</f>
        <v>804.77000000001863</v>
      </c>
      <c r="H13" s="1250">
        <v>48.88</v>
      </c>
      <c r="I13" s="1250">
        <f>'Daily HLP'!P15</f>
        <v>154</v>
      </c>
      <c r="J13" s="1250">
        <v>100</v>
      </c>
      <c r="K13" s="1326">
        <f>Occupancy!G13</f>
        <v>0</v>
      </c>
      <c r="L13" s="1249">
        <f>Occupancy!F13</f>
        <v>0</v>
      </c>
      <c r="M13" s="1251" t="e">
        <f>E13*F13+G13*H13+#REF!*#REF!+I13*J13</f>
        <v>#REF!</v>
      </c>
    </row>
    <row r="14" spans="1:13">
      <c r="A14" s="1246" t="s">
        <v>305</v>
      </c>
      <c r="B14" s="1247">
        <f t="shared" si="0"/>
        <v>13</v>
      </c>
      <c r="C14" s="1247">
        <v>3</v>
      </c>
      <c r="D14" s="1248">
        <v>2021</v>
      </c>
      <c r="E14" s="1249">
        <f>'Daily HLP'!I16</f>
        <v>-570933</v>
      </c>
      <c r="F14" s="1250">
        <f t="shared" si="1"/>
        <v>9</v>
      </c>
      <c r="G14" s="1250">
        <f>'Daily HLP'!M16</f>
        <v>-24979.18200000003</v>
      </c>
      <c r="H14" s="1250">
        <v>48.88</v>
      </c>
      <c r="I14" s="1250">
        <f>'Daily HLP'!P16</f>
        <v>-1165</v>
      </c>
      <c r="J14" s="1250">
        <v>100</v>
      </c>
      <c r="K14" s="1326">
        <f>Occupancy!G14</f>
        <v>0</v>
      </c>
      <c r="L14" s="1249">
        <f>Occupancy!F14</f>
        <v>0</v>
      </c>
      <c r="M14" s="1251" t="e">
        <f>E14*F14+G14*H14+#REF!*#REF!+I14*J14</f>
        <v>#REF!</v>
      </c>
    </row>
    <row r="15" spans="1:13">
      <c r="A15" s="1246" t="s">
        <v>305</v>
      </c>
      <c r="B15" s="1247">
        <f t="shared" si="0"/>
        <v>14</v>
      </c>
      <c r="C15" s="1247">
        <v>3</v>
      </c>
      <c r="D15" s="1248">
        <v>2021</v>
      </c>
      <c r="E15" s="1249">
        <f>'Daily HLP'!I17</f>
        <v>22577</v>
      </c>
      <c r="F15" s="1250">
        <f t="shared" si="1"/>
        <v>9</v>
      </c>
      <c r="G15" s="1250">
        <f>'Daily HLP'!M17</f>
        <v>1135.4930000000168</v>
      </c>
      <c r="H15" s="1250">
        <v>48.88</v>
      </c>
      <c r="I15" s="1250">
        <f>'Daily HLP'!P17</f>
        <v>241</v>
      </c>
      <c r="J15" s="1250">
        <v>100</v>
      </c>
      <c r="K15" s="1326">
        <f>Occupancy!G15</f>
        <v>0</v>
      </c>
      <c r="L15" s="1249">
        <f>Occupancy!F15</f>
        <v>0</v>
      </c>
      <c r="M15" s="1251" t="e">
        <f>E15*F15+G15*H15+#REF!*#REF!+I15*J15</f>
        <v>#REF!</v>
      </c>
    </row>
    <row r="16" spans="1:13">
      <c r="A16" s="1246" t="s">
        <v>305</v>
      </c>
      <c r="B16" s="1247">
        <f t="shared" si="0"/>
        <v>15</v>
      </c>
      <c r="C16" s="1247">
        <v>3</v>
      </c>
      <c r="D16" s="1248">
        <v>2021</v>
      </c>
      <c r="E16" s="1249">
        <f>'Daily HLP'!I18</f>
        <v>23207</v>
      </c>
      <c r="F16" s="1250">
        <f t="shared" si="1"/>
        <v>9</v>
      </c>
      <c r="G16" s="1250">
        <f>'Daily HLP'!M18</f>
        <v>1235.2890000001062</v>
      </c>
      <c r="H16" s="1250">
        <v>48.88</v>
      </c>
      <c r="I16" s="1250">
        <f>'Daily HLP'!P18</f>
        <v>372</v>
      </c>
      <c r="J16" s="1250">
        <v>100</v>
      </c>
      <c r="K16" s="1326">
        <f>Occupancy!G16</f>
        <v>0</v>
      </c>
      <c r="L16" s="1249">
        <f>Occupancy!F16</f>
        <v>0</v>
      </c>
      <c r="M16" s="1251" t="e">
        <f>E16*F16+G16*H16+#REF!*#REF!+I16*J16</f>
        <v>#REF!</v>
      </c>
    </row>
    <row r="17" spans="1:13">
      <c r="A17" s="1246" t="s">
        <v>305</v>
      </c>
      <c r="B17" s="1247">
        <f t="shared" si="0"/>
        <v>16</v>
      </c>
      <c r="C17" s="1247">
        <v>3</v>
      </c>
      <c r="D17" s="1248">
        <v>2021</v>
      </c>
      <c r="E17" s="1249">
        <f>'Daily HLP'!I19</f>
        <v>20975</v>
      </c>
      <c r="F17" s="1250">
        <f t="shared" si="1"/>
        <v>9</v>
      </c>
      <c r="G17" s="1250">
        <f>'Daily HLP'!M19</f>
        <v>1012.5699999998324</v>
      </c>
      <c r="H17" s="1250">
        <v>48.88</v>
      </c>
      <c r="I17" s="1250">
        <f>'Daily HLP'!P19</f>
        <v>250</v>
      </c>
      <c r="J17" s="1250">
        <v>100</v>
      </c>
      <c r="K17" s="1326">
        <f>Occupancy!G17</f>
        <v>0</v>
      </c>
      <c r="L17" s="1249">
        <f>Occupancy!F17</f>
        <v>0</v>
      </c>
      <c r="M17" s="1251" t="e">
        <f>E17*F17+G17*H17+#REF!*#REF!+I17*J17</f>
        <v>#REF!</v>
      </c>
    </row>
    <row r="18" spans="1:13">
      <c r="A18" s="1246" t="s">
        <v>305</v>
      </c>
      <c r="B18" s="1247">
        <f t="shared" si="0"/>
        <v>17</v>
      </c>
      <c r="C18" s="1247">
        <v>3</v>
      </c>
      <c r="D18" s="1248">
        <v>2021</v>
      </c>
      <c r="E18" s="1249">
        <f>'Daily HLP'!I20</f>
        <v>19571</v>
      </c>
      <c r="F18" s="1250">
        <f t="shared" si="1"/>
        <v>9</v>
      </c>
      <c r="G18" s="1250">
        <f>'Daily HLP'!M20</f>
        <v>930.51000000000931</v>
      </c>
      <c r="H18" s="1250">
        <v>48.88</v>
      </c>
      <c r="I18" s="1250">
        <f>'Daily HLP'!P20</f>
        <v>191</v>
      </c>
      <c r="J18" s="1250">
        <v>100</v>
      </c>
      <c r="K18" s="1326">
        <f>Occupancy!G18</f>
        <v>0</v>
      </c>
      <c r="L18" s="1249">
        <f>Occupancy!F18</f>
        <v>0</v>
      </c>
      <c r="M18" s="1251" t="e">
        <f>E18*F18+G18*H18+#REF!*#REF!+I18*J18</f>
        <v>#REF!</v>
      </c>
    </row>
    <row r="19" spans="1:13">
      <c r="A19" s="1246" t="s">
        <v>305</v>
      </c>
      <c r="B19" s="1247">
        <f t="shared" si="0"/>
        <v>18</v>
      </c>
      <c r="C19" s="1247">
        <v>3</v>
      </c>
      <c r="D19" s="1248">
        <v>2021</v>
      </c>
      <c r="E19" s="1249">
        <f>'Daily HLP'!I21</f>
        <v>20195</v>
      </c>
      <c r="F19" s="1250">
        <f t="shared" si="1"/>
        <v>9</v>
      </c>
      <c r="G19" s="1250">
        <f>'Daily HLP'!M21</f>
        <v>840.14000000013039</v>
      </c>
      <c r="H19" s="1250">
        <v>48.88</v>
      </c>
      <c r="I19" s="1250">
        <f>'Daily HLP'!P21</f>
        <v>167</v>
      </c>
      <c r="J19" s="1250">
        <v>100</v>
      </c>
      <c r="K19" s="1326">
        <f>Occupancy!G19</f>
        <v>0</v>
      </c>
      <c r="L19" s="1249">
        <f>Occupancy!F19</f>
        <v>0</v>
      </c>
      <c r="M19" s="1251" t="e">
        <f>E19*F19+G19*H19+#REF!*#REF!+I19*J19</f>
        <v>#REF!</v>
      </c>
    </row>
    <row r="20" spans="1:13">
      <c r="A20" s="1246" t="s">
        <v>305</v>
      </c>
      <c r="B20" s="1247">
        <f t="shared" si="0"/>
        <v>19</v>
      </c>
      <c r="C20" s="1247">
        <v>3</v>
      </c>
      <c r="D20" s="1248">
        <v>2021</v>
      </c>
      <c r="E20" s="1249">
        <f>'Daily HLP'!I22</f>
        <v>19578</v>
      </c>
      <c r="F20" s="1250">
        <f t="shared" si="1"/>
        <v>9</v>
      </c>
      <c r="G20" s="1250">
        <f>'Daily HLP'!M22</f>
        <v>881.40999999991618</v>
      </c>
      <c r="H20" s="1250">
        <v>48.88</v>
      </c>
      <c r="I20" s="1250">
        <f>'Daily HLP'!P22</f>
        <v>190</v>
      </c>
      <c r="J20" s="1250">
        <v>100</v>
      </c>
      <c r="K20" s="1326">
        <f>Occupancy!G20</f>
        <v>0</v>
      </c>
      <c r="L20" s="1249">
        <f>Occupancy!F20</f>
        <v>0</v>
      </c>
      <c r="M20" s="1251" t="e">
        <f>E20*F20+G20*H20+#REF!*#REF!+I20*J20</f>
        <v>#REF!</v>
      </c>
    </row>
    <row r="21" spans="1:13">
      <c r="A21" s="1246" t="s">
        <v>305</v>
      </c>
      <c r="B21" s="1247">
        <f t="shared" si="0"/>
        <v>20</v>
      </c>
      <c r="C21" s="1247">
        <v>3</v>
      </c>
      <c r="D21" s="1248">
        <v>2021</v>
      </c>
      <c r="E21" s="1249">
        <f>'Daily HLP'!I23</f>
        <v>19799</v>
      </c>
      <c r="F21" s="1250">
        <f t="shared" si="1"/>
        <v>9</v>
      </c>
      <c r="G21" s="1250">
        <f>'Daily HLP'!M23</f>
        <v>1086</v>
      </c>
      <c r="H21" s="1250">
        <v>48.88</v>
      </c>
      <c r="I21" s="1250">
        <f>'Daily HLP'!P23</f>
        <v>191</v>
      </c>
      <c r="J21" s="1250">
        <v>100</v>
      </c>
      <c r="K21" s="1326">
        <f>Occupancy!G21</f>
        <v>0</v>
      </c>
      <c r="L21" s="1249">
        <f>Occupancy!F21</f>
        <v>0</v>
      </c>
      <c r="M21" s="1251" t="e">
        <f>E21*F21+G21*H21+#REF!*#REF!+I21*J21</f>
        <v>#REF!</v>
      </c>
    </row>
    <row r="22" spans="1:13">
      <c r="A22" s="1246" t="s">
        <v>305</v>
      </c>
      <c r="B22" s="1247">
        <f t="shared" si="0"/>
        <v>21</v>
      </c>
      <c r="C22" s="1247">
        <v>3</v>
      </c>
      <c r="D22" s="1248">
        <v>2021</v>
      </c>
      <c r="E22" s="1249">
        <f>'Daily HLP'!I24</f>
        <v>20106</v>
      </c>
      <c r="F22" s="1250">
        <f t="shared" si="1"/>
        <v>9</v>
      </c>
      <c r="G22" s="1250">
        <f>'Daily HLP'!M24</f>
        <v>940</v>
      </c>
      <c r="H22" s="1250">
        <v>48.88</v>
      </c>
      <c r="I22" s="1250">
        <f>'Daily HLP'!P24</f>
        <v>231</v>
      </c>
      <c r="J22" s="1250">
        <v>100</v>
      </c>
      <c r="K22" s="1326">
        <f>Occupancy!G22</f>
        <v>0</v>
      </c>
      <c r="L22" s="1249">
        <f>Occupancy!F22</f>
        <v>0</v>
      </c>
      <c r="M22" s="1251" t="e">
        <f>E22*F22+G22*H22+#REF!*#REF!+I22*J22</f>
        <v>#REF!</v>
      </c>
    </row>
    <row r="23" spans="1:13">
      <c r="A23" s="1246" t="s">
        <v>305</v>
      </c>
      <c r="B23" s="1247">
        <f t="shared" si="0"/>
        <v>22</v>
      </c>
      <c r="C23" s="1247">
        <v>3</v>
      </c>
      <c r="D23" s="1248">
        <v>2021</v>
      </c>
      <c r="E23" s="1249">
        <f>'Daily HLP'!I25</f>
        <v>20271</v>
      </c>
      <c r="F23" s="1250">
        <f t="shared" si="1"/>
        <v>9</v>
      </c>
      <c r="G23" s="1250">
        <f>'Daily HLP'!M25</f>
        <v>935</v>
      </c>
      <c r="H23" s="1250">
        <v>48.88</v>
      </c>
      <c r="I23" s="1250">
        <f>'Daily HLP'!P25</f>
        <v>201</v>
      </c>
      <c r="J23" s="1250">
        <v>100</v>
      </c>
      <c r="K23" s="1326">
        <f>Occupancy!G23</f>
        <v>0</v>
      </c>
      <c r="L23" s="1249">
        <f>Occupancy!F23</f>
        <v>0</v>
      </c>
      <c r="M23" s="1251" t="e">
        <f>E23*F23+G23*H23+#REF!*#REF!+I23*J23</f>
        <v>#REF!</v>
      </c>
    </row>
    <row r="24" spans="1:13">
      <c r="A24" s="1246" t="s">
        <v>305</v>
      </c>
      <c r="B24" s="1247">
        <f t="shared" si="0"/>
        <v>23</v>
      </c>
      <c r="C24" s="1247">
        <v>3</v>
      </c>
      <c r="D24" s="1248">
        <v>2021</v>
      </c>
      <c r="E24" s="1249">
        <f>'Daily HLP'!I26</f>
        <v>21273</v>
      </c>
      <c r="F24" s="1250">
        <f t="shared" si="1"/>
        <v>9</v>
      </c>
      <c r="G24" s="1250">
        <f>'Daily HLP'!M26</f>
        <v>972.81000000005588</v>
      </c>
      <c r="H24" s="1250">
        <v>48.88</v>
      </c>
      <c r="I24" s="1250">
        <f>'Daily HLP'!P26</f>
        <v>211</v>
      </c>
      <c r="J24" s="1250">
        <v>100</v>
      </c>
      <c r="K24" s="1326">
        <f>Occupancy!G24</f>
        <v>0</v>
      </c>
      <c r="L24" s="1249">
        <f>Occupancy!F24</f>
        <v>0</v>
      </c>
      <c r="M24" s="1251" t="e">
        <f>E24*F24+G24*H24+#REF!*#REF!+I24*J24</f>
        <v>#REF!</v>
      </c>
    </row>
    <row r="25" spans="1:13">
      <c r="A25" s="1246" t="s">
        <v>305</v>
      </c>
      <c r="B25" s="1247">
        <f t="shared" si="0"/>
        <v>24</v>
      </c>
      <c r="C25" s="1247">
        <v>3</v>
      </c>
      <c r="D25" s="1248">
        <v>2021</v>
      </c>
      <c r="E25" s="1249">
        <f>'Daily HLP'!I27</f>
        <v>22810</v>
      </c>
      <c r="F25" s="1250">
        <f t="shared" si="1"/>
        <v>9</v>
      </c>
      <c r="G25" s="1250">
        <f>'Daily HLP'!M27</f>
        <v>787.75</v>
      </c>
      <c r="H25" s="1250">
        <v>48.88</v>
      </c>
      <c r="I25" s="1250">
        <f>'Daily HLP'!P27</f>
        <v>192</v>
      </c>
      <c r="J25" s="1250">
        <v>100</v>
      </c>
      <c r="K25" s="1326">
        <f>Occupancy!G25</f>
        <v>0</v>
      </c>
      <c r="L25" s="1249">
        <f>Occupancy!F25</f>
        <v>0</v>
      </c>
      <c r="M25" s="1251" t="e">
        <f>E25*F25+G25*H25+#REF!*#REF!+I25*J25</f>
        <v>#REF!</v>
      </c>
    </row>
    <row r="26" spans="1:13">
      <c r="A26" s="1246" t="s">
        <v>305</v>
      </c>
      <c r="B26" s="1247">
        <f>B25+1</f>
        <v>25</v>
      </c>
      <c r="C26" s="1247">
        <v>3</v>
      </c>
      <c r="D26" s="1248">
        <v>2021</v>
      </c>
      <c r="E26" s="1249">
        <f>'Daily HLP'!I28</f>
        <v>20603</v>
      </c>
      <c r="F26" s="1250">
        <f t="shared" si="1"/>
        <v>9</v>
      </c>
      <c r="G26" s="1250">
        <f>'Daily HLP'!M28</f>
        <v>861.98999999999069</v>
      </c>
      <c r="H26" s="1250">
        <v>48.88</v>
      </c>
      <c r="I26" s="1250">
        <f>'Daily HLP'!P28</f>
        <v>192</v>
      </c>
      <c r="J26" s="1250">
        <v>100</v>
      </c>
      <c r="K26" s="1326">
        <f>Occupancy!G26</f>
        <v>0</v>
      </c>
      <c r="L26" s="1249">
        <f>Occupancy!F26</f>
        <v>0</v>
      </c>
      <c r="M26" s="1251" t="e">
        <f>E26*F26+G26*H26+#REF!*#REF!+I26*J26</f>
        <v>#REF!</v>
      </c>
    </row>
    <row r="27" spans="1:13">
      <c r="A27" s="1246" t="s">
        <v>305</v>
      </c>
      <c r="B27" s="1247">
        <f t="shared" si="0"/>
        <v>26</v>
      </c>
      <c r="C27" s="1247">
        <v>3</v>
      </c>
      <c r="D27" s="1248">
        <v>2021</v>
      </c>
      <c r="E27" s="1249">
        <f>'Daily HLP'!I29</f>
        <v>20278</v>
      </c>
      <c r="F27" s="1250">
        <f t="shared" si="1"/>
        <v>9</v>
      </c>
      <c r="G27" s="1250">
        <f>'Daily HLP'!M29</f>
        <v>838.44999999995343</v>
      </c>
      <c r="H27" s="1250">
        <v>48.88</v>
      </c>
      <c r="I27" s="1250">
        <f>'Daily HLP'!P29</f>
        <v>171</v>
      </c>
      <c r="J27" s="1250">
        <v>100</v>
      </c>
      <c r="K27" s="1326">
        <f>Occupancy!G27</f>
        <v>0</v>
      </c>
      <c r="L27" s="1249">
        <f>Occupancy!F27</f>
        <v>0</v>
      </c>
      <c r="M27" s="1251" t="e">
        <f>E27*F27+G27*H27+#REF!*#REF!+I27*J27</f>
        <v>#REF!</v>
      </c>
    </row>
    <row r="28" spans="1:13">
      <c r="A28" s="1246" t="s">
        <v>305</v>
      </c>
      <c r="B28" s="1247">
        <f t="shared" si="0"/>
        <v>27</v>
      </c>
      <c r="C28" s="1247">
        <v>3</v>
      </c>
      <c r="D28" s="1248">
        <v>2021</v>
      </c>
      <c r="E28" s="1249">
        <f>'Daily HLP'!I30</f>
        <v>20601</v>
      </c>
      <c r="F28" s="1250">
        <f t="shared" si="1"/>
        <v>9</v>
      </c>
      <c r="G28" s="1250">
        <f>'Daily HLP'!M30</f>
        <v>961.60299999988638</v>
      </c>
      <c r="H28" s="1250">
        <v>48.88</v>
      </c>
      <c r="I28" s="1250">
        <f>'Daily HLP'!P30</f>
        <v>234</v>
      </c>
      <c r="J28" s="1250">
        <v>100</v>
      </c>
      <c r="K28" s="1326">
        <f>Occupancy!G28</f>
        <v>0</v>
      </c>
      <c r="L28" s="1249">
        <f>Occupancy!F28</f>
        <v>0</v>
      </c>
      <c r="M28" s="1251" t="e">
        <f>E28*F28+G28*H28+#REF!*#REF!+I28*J28</f>
        <v>#REF!</v>
      </c>
    </row>
    <row r="29" spans="1:13">
      <c r="A29" s="1246" t="s">
        <v>305</v>
      </c>
      <c r="B29" s="1247">
        <f t="shared" si="0"/>
        <v>28</v>
      </c>
      <c r="C29" s="1247">
        <v>3</v>
      </c>
      <c r="D29" s="1248">
        <v>2021</v>
      </c>
      <c r="E29" s="1249">
        <f>'Daily HLP'!I31</f>
        <v>21818</v>
      </c>
      <c r="F29" s="1250">
        <f t="shared" si="1"/>
        <v>9</v>
      </c>
      <c r="G29" s="1250">
        <f>'Daily HLP'!M31</f>
        <v>1060.0070000002161</v>
      </c>
      <c r="H29" s="1250">
        <v>48.88</v>
      </c>
      <c r="I29" s="1250">
        <f>'Daily HLP'!P31</f>
        <v>222</v>
      </c>
      <c r="J29" s="1250">
        <v>100</v>
      </c>
      <c r="K29" s="1326">
        <f>Occupancy!G29</f>
        <v>0</v>
      </c>
      <c r="L29" s="1249">
        <f>Occupancy!F29</f>
        <v>0</v>
      </c>
      <c r="M29" s="1251" t="e">
        <f>E29*F29+G29*H29+#REF!*#REF!+I29*J29</f>
        <v>#REF!</v>
      </c>
    </row>
    <row r="30" spans="1:13">
      <c r="A30" s="1246" t="s">
        <v>305</v>
      </c>
      <c r="B30" s="1247">
        <f t="shared" si="0"/>
        <v>29</v>
      </c>
      <c r="C30" s="1247">
        <v>3</v>
      </c>
      <c r="D30" s="1248">
        <v>2021</v>
      </c>
      <c r="E30" s="1249">
        <f>'Daily HLP'!I32</f>
        <v>-594257</v>
      </c>
      <c r="F30" s="1250">
        <f t="shared" si="1"/>
        <v>9</v>
      </c>
      <c r="G30" s="1250">
        <f>'Daily HLP'!M32</f>
        <v>-26977.64000000013</v>
      </c>
      <c r="H30" s="1250">
        <v>48.88</v>
      </c>
      <c r="I30" s="1250">
        <f>'Daily HLP'!P32</f>
        <v>-1425</v>
      </c>
      <c r="J30" s="1250">
        <v>100</v>
      </c>
      <c r="K30" s="1326">
        <f>Occupancy!G30</f>
        <v>0</v>
      </c>
      <c r="L30" s="1249">
        <f>Occupancy!F30</f>
        <v>0</v>
      </c>
      <c r="M30" s="1251" t="e">
        <f>E30*F30+G30*H30+#REF!*#REF!+I30*J30</f>
        <v>#REF!</v>
      </c>
    </row>
    <row r="31" spans="1:13">
      <c r="A31" s="1246" t="s">
        <v>305</v>
      </c>
      <c r="B31" s="1247">
        <f t="shared" si="0"/>
        <v>30</v>
      </c>
      <c r="C31" s="1247">
        <v>3</v>
      </c>
      <c r="D31" s="1248">
        <v>2021</v>
      </c>
      <c r="E31" s="1249">
        <f>'Daily HLP'!I33</f>
        <v>18917</v>
      </c>
      <c r="F31" s="1250">
        <f t="shared" si="1"/>
        <v>9</v>
      </c>
      <c r="G31" s="1250">
        <f>'Daily HLP'!M33</f>
        <v>667.76000000000931</v>
      </c>
      <c r="H31" s="1250">
        <v>48.88</v>
      </c>
      <c r="I31" s="1250">
        <f>'Daily HLP'!P33</f>
        <v>171</v>
      </c>
      <c r="J31" s="1250">
        <v>100</v>
      </c>
      <c r="K31" s="1326">
        <f>Occupancy!G31</f>
        <v>0</v>
      </c>
      <c r="L31" s="1249">
        <f>Occupancy!F31</f>
        <v>0</v>
      </c>
      <c r="M31" s="1251" t="e">
        <f>E31*F31+G31*H31+#REF!*#REF!+I31*J31</f>
        <v>#REF!</v>
      </c>
    </row>
    <row r="32" spans="1:13" s="1249" customFormat="1">
      <c r="A32" s="1253"/>
      <c r="B32" s="1247"/>
      <c r="C32" s="1247"/>
      <c r="D32" s="1248"/>
      <c r="F32" s="1250"/>
      <c r="G32" s="1250"/>
      <c r="H32" s="1250"/>
      <c r="I32" s="1250"/>
      <c r="J32" s="1250"/>
      <c r="M32" s="1252"/>
    </row>
    <row r="33" spans="1:13" s="1249" customFormat="1">
      <c r="A33" s="1253"/>
      <c r="B33" s="1247"/>
      <c r="C33" s="1247"/>
      <c r="D33" s="1248"/>
      <c r="F33" s="1250"/>
      <c r="G33" s="1250"/>
      <c r="H33" s="1250"/>
      <c r="I33" s="1250"/>
      <c r="J33" s="1250"/>
      <c r="M33" s="1252"/>
    </row>
    <row r="34" spans="1:13" s="1249" customFormat="1">
      <c r="A34" s="1253"/>
      <c r="B34" s="1247"/>
      <c r="C34" s="1247"/>
      <c r="D34" s="1248"/>
      <c r="F34" s="1250"/>
      <c r="G34" s="1250"/>
      <c r="H34" s="1250"/>
      <c r="I34" s="1250"/>
      <c r="J34" s="1250"/>
      <c r="M34" s="1252"/>
    </row>
    <row r="35" spans="1:13" s="1249" customFormat="1">
      <c r="A35" s="1253"/>
      <c r="B35" s="1247"/>
      <c r="C35" s="1247"/>
      <c r="D35" s="1248"/>
      <c r="F35" s="1250"/>
      <c r="G35" s="1250"/>
      <c r="H35" s="1250"/>
      <c r="I35" s="1250"/>
      <c r="J35" s="1250"/>
      <c r="M35" s="1252"/>
    </row>
    <row r="36" spans="1:13" s="1249" customFormat="1">
      <c r="A36" s="1253"/>
      <c r="B36" s="1247"/>
      <c r="C36" s="1247"/>
      <c r="D36" s="1248"/>
      <c r="F36" s="1250"/>
      <c r="G36" s="1250"/>
      <c r="H36" s="1250"/>
      <c r="I36" s="1250"/>
      <c r="J36" s="1250"/>
      <c r="M36" s="1252"/>
    </row>
    <row r="37" spans="1:13" s="1249" customFormat="1">
      <c r="A37" s="1253"/>
      <c r="B37" s="1247"/>
      <c r="C37" s="1247"/>
      <c r="D37" s="1248"/>
      <c r="F37" s="1250"/>
      <c r="G37" s="1250"/>
      <c r="H37" s="1250"/>
      <c r="I37" s="1250"/>
      <c r="J37" s="1250"/>
      <c r="M37" s="1252"/>
    </row>
    <row r="38" spans="1:13" s="1249" customFormat="1">
      <c r="A38" s="1253"/>
      <c r="B38" s="1247"/>
      <c r="C38" s="1247"/>
      <c r="D38" s="1248"/>
      <c r="F38" s="1250"/>
      <c r="G38" s="1250"/>
      <c r="H38" s="1250"/>
      <c r="I38" s="1250"/>
      <c r="J38" s="1250"/>
      <c r="M38" s="125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29"/>
  <sheetViews>
    <sheetView workbookViewId="0">
      <pane xSplit="2" ySplit="1" topLeftCell="Z2" activePane="bottomRight" state="frozen"/>
      <selection pane="topRight" activeCell="C1" sqref="C1"/>
      <selection pane="bottomLeft" activeCell="A2" sqref="A2"/>
      <selection pane="bottomRight" activeCell="C24" sqref="C24"/>
    </sheetView>
  </sheetViews>
  <sheetFormatPr defaultColWidth="9" defaultRowHeight="15"/>
  <cols>
    <col min="1" max="1" width="20.109375" style="1368" customWidth="1"/>
    <col min="2" max="3" width="9" style="1372" customWidth="1"/>
    <col min="4" max="4" width="10.44140625" style="1372" customWidth="1"/>
    <col min="5" max="29" width="9.77734375" style="1388" customWidth="1"/>
    <col min="30" max="30" width="9" style="1388"/>
    <col min="31" max="31" width="9" style="1389"/>
    <col min="32" max="32" width="9" style="1388"/>
    <col min="33" max="65" width="9" style="1390"/>
    <col min="66" max="16384" width="9" style="1371"/>
  </cols>
  <sheetData>
    <row r="1" spans="1:65" s="1368" customFormat="1" ht="60" customHeight="1">
      <c r="A1" s="1366" t="s">
        <v>294</v>
      </c>
      <c r="B1" s="1367" t="s">
        <v>295</v>
      </c>
      <c r="C1" s="1367" t="s">
        <v>296</v>
      </c>
      <c r="D1" s="1367" t="s">
        <v>297</v>
      </c>
      <c r="E1" s="1382" t="str">
        <f>'Section Load'!B4</f>
        <v>HVAC</v>
      </c>
      <c r="F1" s="1382" t="str">
        <f>'Section Load'!C4</f>
        <v>Fire &amp; Emergency PP</v>
      </c>
      <c r="G1" s="1382" t="str">
        <f>'Section Load'!D4</f>
        <v>Main PP</v>
      </c>
      <c r="H1" s="1382" t="str">
        <f>'Section Load'!E4</f>
        <v>Lighting PP</v>
      </c>
      <c r="I1" s="1382" t="str">
        <f>'Section Load'!F4</f>
        <v>CH-1+ CH2+CH3+CH4</v>
      </c>
      <c r="J1" s="1382" t="str">
        <f>'Section Load'!G4</f>
        <v>Chilled water Pump</v>
      </c>
      <c r="K1" s="1382" t="str">
        <f>'Section Load'!H4</f>
        <v>Ball Room-1</v>
      </c>
      <c r="L1" s="1382" t="str">
        <f>'Section Load'!I4</f>
        <v>Ball Room-2</v>
      </c>
      <c r="M1" s="1382" t="str">
        <f>'Section Load'!J4</f>
        <v>MK-1</v>
      </c>
      <c r="N1" s="1382" t="str">
        <f>'Section Load'!K4</f>
        <v>MK-2</v>
      </c>
      <c r="O1" s="1382" t="str">
        <f>'Section Load'!L4</f>
        <v>Prato</v>
      </c>
      <c r="P1" s="1382" t="str">
        <f>'Section Load'!M4</f>
        <v>San- Qi Indian</v>
      </c>
      <c r="Q1" s="1382" t="str">
        <f>'Section Load'!N4</f>
        <v>San- Qi Japanese</v>
      </c>
      <c r="R1" s="1382" t="str">
        <f>'Section Load'!O4</f>
        <v>The club</v>
      </c>
      <c r="S1" s="1382" t="str">
        <f>'Section Load'!P4</f>
        <v>AER</v>
      </c>
      <c r="T1" s="1382" t="str">
        <f>'Section Load'!Q4</f>
        <v>COLD ROOM'S</v>
      </c>
      <c r="U1" s="1382" t="str">
        <f>'Section Load'!R4</f>
        <v>Ball Room 1</v>
      </c>
      <c r="V1" s="1382" t="str">
        <f>'Section Load'!S4</f>
        <v>Ball Room 2</v>
      </c>
      <c r="W1" s="1382" t="str">
        <f>'Section Load'!T4</f>
        <v>B1 Laundry</v>
      </c>
      <c r="X1" s="1382" t="str">
        <f>'Section Load'!U4</f>
        <v>B2 Laundry</v>
      </c>
      <c r="Y1" s="1382" t="str">
        <f>'Section Load'!V4</f>
        <v>STP</v>
      </c>
      <c r="Z1" s="1382" t="str">
        <f>'Section Load'!W4</f>
        <v>MOCK Up Room</v>
      </c>
      <c r="AA1" s="1382" t="str">
        <f>'Section Load'!X4</f>
        <v>27th Floor</v>
      </c>
      <c r="AB1" s="1382" t="str">
        <f>'Section Load'!Y4</f>
        <v>Physic57</v>
      </c>
      <c r="AC1" s="1382" t="str">
        <f>'Section Load'!Z4</f>
        <v>Pinoor Legal- Power+lighting</v>
      </c>
      <c r="AD1" s="1382" t="str">
        <f>'Section Load'!AA4</f>
        <v>2nd floor plant room</v>
      </c>
      <c r="AE1" s="1382" t="str">
        <f>'Section Load'!AB4</f>
        <v>5th Floor</v>
      </c>
      <c r="AF1" s="1382" t="str">
        <f>'Section Load'!AC4</f>
        <v>5th Floor</v>
      </c>
      <c r="AG1" s="1382" t="str">
        <f>'Section Load'!AD4</f>
        <v>12th Floor</v>
      </c>
      <c r="AH1" s="1382" t="str">
        <f>'Section Load'!AE4</f>
        <v>20th Floor</v>
      </c>
      <c r="AI1" s="1382" t="str">
        <f>'Section Load'!AF4</f>
        <v>27th Floor</v>
      </c>
      <c r="AJ1" s="1382" t="str">
        <f>'Section Load'!AG4</f>
        <v>34th Floor</v>
      </c>
      <c r="AK1" s="1382" t="str">
        <f>'Section Load'!AH4</f>
        <v>Sanqi</v>
      </c>
      <c r="AL1" s="1382" t="str">
        <f>'Section Load'!AI4</f>
        <v>Cooling Tower</v>
      </c>
      <c r="AM1" s="1383" t="s">
        <v>334</v>
      </c>
      <c r="AN1" s="1383" t="s">
        <v>207</v>
      </c>
      <c r="AO1" s="1383" t="s">
        <v>209</v>
      </c>
      <c r="AP1" s="1383" t="s">
        <v>210</v>
      </c>
      <c r="AQ1" s="1383" t="s">
        <v>211</v>
      </c>
      <c r="AR1" s="1383" t="s">
        <v>212</v>
      </c>
      <c r="AS1" s="1383" t="s">
        <v>213</v>
      </c>
      <c r="AT1" s="1383" t="s">
        <v>214</v>
      </c>
      <c r="AU1" s="1383" t="s">
        <v>219</v>
      </c>
      <c r="AV1" s="1383" t="s">
        <v>77</v>
      </c>
      <c r="AW1" s="1383" t="s">
        <v>78</v>
      </c>
      <c r="AX1" s="1383" t="s">
        <v>220</v>
      </c>
      <c r="AY1" s="1383" t="s">
        <v>221</v>
      </c>
      <c r="AZ1" s="1383" t="s">
        <v>222</v>
      </c>
      <c r="BA1" s="1383" t="s">
        <v>224</v>
      </c>
      <c r="BB1" s="1383" t="s">
        <v>225</v>
      </c>
      <c r="BC1" s="1383" t="s">
        <v>226</v>
      </c>
      <c r="BD1" s="1383" t="s">
        <v>227</v>
      </c>
      <c r="BE1" s="1383" t="s">
        <v>335</v>
      </c>
      <c r="BF1" s="1383" t="s">
        <v>336</v>
      </c>
      <c r="BG1" s="1384" t="str">
        <f>'Section Load'!AJ4</f>
        <v>MGL</v>
      </c>
      <c r="BH1" s="1384" t="str">
        <f>'Section Load'!AK4</f>
        <v>HWG</v>
      </c>
      <c r="BI1" s="1384" t="str">
        <f>'Section Load'!AL4</f>
        <v>Prato</v>
      </c>
      <c r="BJ1" s="1384" t="str">
        <f>'Section Load'!AM4</f>
        <v>BR-1</v>
      </c>
      <c r="BK1" s="1384" t="str">
        <f>'Section Load'!AN4</f>
        <v>SanQi IND</v>
      </c>
      <c r="BL1" s="1384" t="str">
        <f>'Section Load'!AO4</f>
        <v>SanQi JPN</v>
      </c>
      <c r="BM1" s="1384" t="str">
        <f>'Section Load'!AP4</f>
        <v>Boiler</v>
      </c>
    </row>
    <row r="2" spans="1:65" ht="15" customHeight="1">
      <c r="A2" s="1369" t="s">
        <v>305</v>
      </c>
      <c r="B2" s="1370">
        <v>1</v>
      </c>
      <c r="C2" s="1370">
        <v>3</v>
      </c>
      <c r="D2" s="1370">
        <v>2021</v>
      </c>
      <c r="E2" s="1385">
        <f>'Section Load'!B5</f>
        <v>3193.1199999999953</v>
      </c>
      <c r="F2" s="1385">
        <f>'Section Load'!C5</f>
        <v>1450.4500000000044</v>
      </c>
      <c r="G2" s="1385">
        <f>'Section Load'!D5</f>
        <v>2140.4200000000055</v>
      </c>
      <c r="H2" s="1385">
        <f>'Section Load'!E5</f>
        <v>4328.8000000000029</v>
      </c>
      <c r="I2" s="1385">
        <f>'Section Load'!F5</f>
        <v>5749.6500000000087</v>
      </c>
      <c r="J2" s="1385">
        <f>'Section Load'!G5</f>
        <v>2455.359999999986</v>
      </c>
      <c r="K2" s="1385">
        <f>'Section Load'!H5</f>
        <v>1635.9199999999837</v>
      </c>
      <c r="L2" s="1385">
        <f>'Section Load'!I5</f>
        <v>759.23999999999069</v>
      </c>
      <c r="M2" s="1385">
        <f>'Section Load'!J5</f>
        <v>70</v>
      </c>
      <c r="N2" s="1385">
        <f>'Section Load'!K5</f>
        <v>0</v>
      </c>
      <c r="O2" s="1385">
        <f>'Section Load'!L5</f>
        <v>38.850000000000023</v>
      </c>
      <c r="P2" s="1385">
        <f>'Section Load'!M5</f>
        <v>144.65000000000009</v>
      </c>
      <c r="Q2" s="1385">
        <f>'Section Load'!N5</f>
        <v>79.150000000000091</v>
      </c>
      <c r="R2" s="1385">
        <f>'Section Load'!O5</f>
        <v>45</v>
      </c>
      <c r="S2" s="1385">
        <f>'Section Load'!P5</f>
        <v>390</v>
      </c>
      <c r="T2" s="1385">
        <f>'Section Load'!Q5</f>
        <v>192</v>
      </c>
      <c r="U2" s="1385">
        <f>'Section Load'!R5</f>
        <v>415</v>
      </c>
      <c r="V2" s="1385">
        <f>'Section Load'!S5</f>
        <v>112.56000000005588</v>
      </c>
      <c r="W2" s="1385">
        <f>'Section Load'!T5</f>
        <v>18.169999999998254</v>
      </c>
      <c r="X2" s="1385">
        <f>'Section Load'!U5</f>
        <v>230.74000000000524</v>
      </c>
      <c r="Y2" s="1385">
        <f>'Section Load'!V5</f>
        <v>520</v>
      </c>
      <c r="Z2" s="1385">
        <f>'Section Load'!W5</f>
        <v>138.30999999999767</v>
      </c>
      <c r="AA2" s="1385">
        <f>'Section Load'!X5</f>
        <v>39.19999999999709</v>
      </c>
      <c r="AB2" s="1385">
        <f>'Section Load'!Y5</f>
        <v>51.680000000022119</v>
      </c>
      <c r="AC2" s="1385">
        <f>'Section Load'!Z5</f>
        <v>63.100000000004457</v>
      </c>
      <c r="AD2" s="1385">
        <f>'Section Load'!AA5</f>
        <v>1.9999999967694748E-3</v>
      </c>
      <c r="AE2" s="1385">
        <f>'Section Load'!AB5</f>
        <v>14.210000000000036</v>
      </c>
      <c r="AF2" s="1385">
        <f>'Section Load'!AC5</f>
        <v>500.55000000000291</v>
      </c>
      <c r="AG2" s="1385">
        <f>'Section Load'!AD5</f>
        <v>399.05999999999767</v>
      </c>
      <c r="AH2" s="1385">
        <f>'Section Load'!AE5</f>
        <v>406.61000000000058</v>
      </c>
      <c r="AI2" s="1385">
        <f>'Section Load'!AF5</f>
        <v>704.24000000001979</v>
      </c>
      <c r="AJ2" s="1385">
        <f>'Section Load'!AG5</f>
        <v>348.89999999999418</v>
      </c>
      <c r="AK2" s="1385">
        <f>'Section Load'!AH5</f>
        <v>324.00100000000384</v>
      </c>
      <c r="AL2" s="1385">
        <f>'Section Load'!AI5</f>
        <v>690</v>
      </c>
      <c r="AM2" s="1386">
        <f>'[1]1'!$H$92</f>
        <v>87</v>
      </c>
      <c r="AN2" s="1386">
        <f>'[1]1'!$H$93</f>
        <v>200</v>
      </c>
      <c r="AO2" s="1386">
        <f>'[1]1'!$H$95</f>
        <v>72</v>
      </c>
      <c r="AP2" s="1386">
        <f>'[1]1'!$H$96</f>
        <v>23</v>
      </c>
      <c r="AQ2" s="1386">
        <f>'[1]1'!$H$97</f>
        <v>18</v>
      </c>
      <c r="AR2" s="1386">
        <f>'[1]1'!$H$98</f>
        <v>83</v>
      </c>
      <c r="AS2" s="1386">
        <f>'[1]1'!$H$99</f>
        <v>13</v>
      </c>
      <c r="AT2" s="1386">
        <f>'[1]1'!$H$100</f>
        <v>6</v>
      </c>
      <c r="AU2" s="1386">
        <f>'[1]1'!$H$104</f>
        <v>0</v>
      </c>
      <c r="AV2" s="1386">
        <f>'[1]1'!$H$105</f>
        <v>8</v>
      </c>
      <c r="AW2" s="1386">
        <f>'[1]1'!$H$106</f>
        <v>7</v>
      </c>
      <c r="AX2" s="1386">
        <f>'[1]1'!$H$109</f>
        <v>41</v>
      </c>
      <c r="AY2" s="1386">
        <f>'[1]1'!$H$110</f>
        <v>79</v>
      </c>
      <c r="AZ2" s="1386">
        <f>'[1]1'!$H$111</f>
        <v>0</v>
      </c>
      <c r="BA2" s="1386">
        <f>'[1]1'!$H$114</f>
        <v>16</v>
      </c>
      <c r="BB2" s="1386">
        <f>'[1]1'!$H$115</f>
        <v>5</v>
      </c>
      <c r="BC2" s="1386">
        <f>'[1]1'!$H$116</f>
        <v>0</v>
      </c>
      <c r="BD2" s="1386">
        <f>'[1]1'!$H$118</f>
        <v>138</v>
      </c>
      <c r="BE2" s="1386">
        <f>'[1]1'!$H$119</f>
        <v>132</v>
      </c>
      <c r="BF2" s="1386">
        <f>'[1]1'!$H$120</f>
        <v>120</v>
      </c>
      <c r="BG2" s="1387">
        <f>'Section Load'!AJ5</f>
        <v>880.63199999998324</v>
      </c>
      <c r="BH2" s="1387">
        <f>'Section Load'!AK5</f>
        <v>266.26000000000931</v>
      </c>
      <c r="BI2" s="1387">
        <f>'Section Load'!AL5</f>
        <v>0</v>
      </c>
      <c r="BJ2" s="1387">
        <f>'Section Load'!AM5</f>
        <v>63.950000000011642</v>
      </c>
      <c r="BK2" s="1387">
        <f>'Section Load'!AN5</f>
        <v>25.099999999998545</v>
      </c>
      <c r="BL2" s="1387">
        <f>'Section Load'!AO5</f>
        <v>2.1000000000003638</v>
      </c>
      <c r="BM2" s="1387">
        <f>'Section Load'!AP5</f>
        <v>523.22199999996337</v>
      </c>
    </row>
    <row r="3" spans="1:65">
      <c r="A3" s="1369" t="s">
        <v>305</v>
      </c>
      <c r="B3" s="1370">
        <f>B2+1</f>
        <v>2</v>
      </c>
      <c r="C3" s="1370">
        <v>3</v>
      </c>
      <c r="D3" s="1370">
        <v>2021</v>
      </c>
      <c r="E3" s="1385">
        <f>'Section Load'!B6</f>
        <v>3503.7600000000093</v>
      </c>
      <c r="F3" s="1385">
        <f>'Section Load'!C6</f>
        <v>1456.8399999999965</v>
      </c>
      <c r="G3" s="1385">
        <f>'Section Load'!D6</f>
        <v>2089.5099999999948</v>
      </c>
      <c r="H3" s="1385">
        <f>'Section Load'!E6</f>
        <v>4368.929999999993</v>
      </c>
      <c r="I3" s="1385">
        <f>'Section Load'!F6</f>
        <v>5632.6609999999928</v>
      </c>
      <c r="J3" s="1385">
        <f>'Section Load'!G6</f>
        <v>2485.5200000000186</v>
      </c>
      <c r="K3" s="1385">
        <f>'Section Load'!H6</f>
        <v>1600.359999999986</v>
      </c>
      <c r="L3" s="1385">
        <f>'Section Load'!I6</f>
        <v>669.28000000002794</v>
      </c>
      <c r="M3" s="1385">
        <f>'Section Load'!J6</f>
        <v>73</v>
      </c>
      <c r="N3" s="1385">
        <f>'Section Load'!K6</f>
        <v>0</v>
      </c>
      <c r="O3" s="1385">
        <f>'Section Load'!L6</f>
        <v>31.139999999999986</v>
      </c>
      <c r="P3" s="1385">
        <f>'Section Load'!M6</f>
        <v>150.39000000000033</v>
      </c>
      <c r="Q3" s="1385">
        <f>'Section Load'!N6</f>
        <v>80.629999999999882</v>
      </c>
      <c r="R3" s="1385">
        <f>'Section Load'!O6</f>
        <v>45</v>
      </c>
      <c r="S3" s="1385">
        <f>'Section Load'!P6</f>
        <v>377</v>
      </c>
      <c r="T3" s="1385">
        <f>'Section Load'!Q6</f>
        <v>298</v>
      </c>
      <c r="U3" s="1385">
        <f>'Section Load'!R6</f>
        <v>399.71999999997206</v>
      </c>
      <c r="V3" s="1385">
        <f>'Section Load'!S6</f>
        <v>101.23999999999069</v>
      </c>
      <c r="W3" s="1385">
        <f>'Section Load'!T6</f>
        <v>21.480000000010477</v>
      </c>
      <c r="X3" s="1385">
        <f>'Section Load'!U6</f>
        <v>212.68000000000029</v>
      </c>
      <c r="Y3" s="1385">
        <f>'Section Load'!V6</f>
        <v>547</v>
      </c>
      <c r="Z3" s="1385">
        <f>'Section Load'!W6</f>
        <v>140.35999999998603</v>
      </c>
      <c r="AA3" s="1385">
        <f>'Section Load'!X6</f>
        <v>38.200000000011642</v>
      </c>
      <c r="AB3" s="1385">
        <f>'Section Load'!Y6</f>
        <v>72.119999999995343</v>
      </c>
      <c r="AC3" s="1385">
        <f>'Section Load'!Z6</f>
        <v>89.899999999999636</v>
      </c>
      <c r="AD3" s="1385">
        <f>'Section Load'!AA6</f>
        <v>0</v>
      </c>
      <c r="AE3" s="1385">
        <f>'Section Load'!AB6</f>
        <v>11.880000000000109</v>
      </c>
      <c r="AF3" s="1385">
        <f>'Section Load'!AC6</f>
        <v>529.48999999999069</v>
      </c>
      <c r="AG3" s="1385">
        <f>'Section Load'!AD6</f>
        <v>396.30000000001746</v>
      </c>
      <c r="AH3" s="1385">
        <f>'Section Load'!AE6</f>
        <v>414.13999999999942</v>
      </c>
      <c r="AI3" s="1385">
        <f>'Section Load'!AF6</f>
        <v>702.92999999999302</v>
      </c>
      <c r="AJ3" s="1385">
        <f>'Section Load'!AG6</f>
        <v>364.49000000000524</v>
      </c>
      <c r="AK3" s="1385">
        <f>'Section Load'!AH6</f>
        <v>327.02900000000227</v>
      </c>
      <c r="AL3" s="1385">
        <f>'Section Load'!AI6</f>
        <v>727</v>
      </c>
      <c r="AM3" s="1386">
        <f>'[1]2'!$H$92</f>
        <v>162</v>
      </c>
      <c r="AN3" s="1386">
        <f>'[1]2'!$H$93</f>
        <v>351</v>
      </c>
      <c r="AO3" s="1386">
        <f>'[1]2'!$H$95</f>
        <v>142</v>
      </c>
      <c r="AP3" s="1386">
        <f>'[1]2'!$H$96</f>
        <v>53</v>
      </c>
      <c r="AQ3" s="1386">
        <f>'[1]2'!$H$97</f>
        <v>34</v>
      </c>
      <c r="AR3" s="1386">
        <f>'[1]2'!$H$98</f>
        <v>150</v>
      </c>
      <c r="AS3" s="1386">
        <f>'[1]2'!$H$99</f>
        <v>21</v>
      </c>
      <c r="AT3" s="1386">
        <f>'[1]2'!$H$100</f>
        <v>11</v>
      </c>
      <c r="AU3" s="1386">
        <f>'[1]2'!$H$104</f>
        <v>0</v>
      </c>
      <c r="AV3" s="1386">
        <f>'[1]2'!$H$105</f>
        <v>16</v>
      </c>
      <c r="AW3" s="1386">
        <f>'[1]2'!$H$106</f>
        <v>12</v>
      </c>
      <c r="AX3" s="1386">
        <f>'[1]2'!$H$109</f>
        <v>102</v>
      </c>
      <c r="AY3" s="1386">
        <f>'[1]2'!$H$110</f>
        <v>118</v>
      </c>
      <c r="AZ3" s="1386">
        <f>'[1]2'!$H$111</f>
        <v>16</v>
      </c>
      <c r="BA3" s="1386">
        <f>'[1]2'!$H$114</f>
        <v>27</v>
      </c>
      <c r="BB3" s="1386">
        <f>'[1]2'!$H$115</f>
        <v>8</v>
      </c>
      <c r="BC3" s="1386">
        <f>'[1]2'!$H$116</f>
        <v>0</v>
      </c>
      <c r="BD3" s="1386">
        <f>'[1]2'!$H$118</f>
        <v>264</v>
      </c>
      <c r="BE3" s="1386">
        <f>'[1]2'!$H$119</f>
        <v>261</v>
      </c>
      <c r="BF3" s="1386">
        <f>'[1]2'!$H$120</f>
        <v>236</v>
      </c>
      <c r="BG3" s="1387">
        <f>'Section Load'!AJ6</f>
        <v>993.17799999983981</v>
      </c>
      <c r="BH3" s="1387">
        <f>'Section Load'!AK6</f>
        <v>278.29000000003725</v>
      </c>
      <c r="BI3" s="1387">
        <f>'Section Load'!AL6</f>
        <v>0</v>
      </c>
      <c r="BJ3" s="1387">
        <f>'Section Load'!AM6</f>
        <v>81.699999999982538</v>
      </c>
      <c r="BK3" s="1387">
        <f>'Section Load'!AN6</f>
        <v>26.900000000001455</v>
      </c>
      <c r="BL3" s="1387">
        <f>'Section Load'!AO6</f>
        <v>0.5</v>
      </c>
      <c r="BM3" s="1387">
        <f>'Section Load'!AP6</f>
        <v>605.78799999981857</v>
      </c>
    </row>
    <row r="4" spans="1:65">
      <c r="A4" s="1369" t="s">
        <v>305</v>
      </c>
      <c r="B4" s="1370">
        <f t="shared" ref="B4:B29" si="0">B3+1</f>
        <v>3</v>
      </c>
      <c r="C4" s="1370">
        <v>3</v>
      </c>
      <c r="D4" s="1370">
        <v>2021</v>
      </c>
      <c r="E4" s="1385">
        <f>'Section Load'!B7</f>
        <v>3426.8800000000047</v>
      </c>
      <c r="F4" s="1385">
        <f>'Section Load'!C7</f>
        <v>1469.489999999998</v>
      </c>
      <c r="G4" s="1385">
        <f>'Section Load'!D7</f>
        <v>2172.0499999999665</v>
      </c>
      <c r="H4" s="1385">
        <f>'Section Load'!E7</f>
        <v>4356.4200000000128</v>
      </c>
      <c r="I4" s="1385">
        <f>'Section Load'!F7</f>
        <v>4924.5289999999077</v>
      </c>
      <c r="J4" s="1385">
        <f>'Section Load'!G7</f>
        <v>2463.8200000000652</v>
      </c>
      <c r="K4" s="1385">
        <f>'Section Load'!H7</f>
        <v>1065.359999999986</v>
      </c>
      <c r="L4" s="1385">
        <f>'Section Load'!I7</f>
        <v>626.4199999999837</v>
      </c>
      <c r="M4" s="1385">
        <f>'Section Load'!J7</f>
        <v>98</v>
      </c>
      <c r="N4" s="1385">
        <f>'Section Load'!K7</f>
        <v>0</v>
      </c>
      <c r="O4" s="1385">
        <f>'Section Load'!L7</f>
        <v>27.399999999999977</v>
      </c>
      <c r="P4" s="1385">
        <f>'Section Load'!M7</f>
        <v>154.07999999999993</v>
      </c>
      <c r="Q4" s="1385">
        <f>'Section Load'!N7</f>
        <v>83.180000000000064</v>
      </c>
      <c r="R4" s="1385">
        <f>'Section Load'!O7</f>
        <v>47</v>
      </c>
      <c r="S4" s="1385">
        <f>'Section Load'!P7</f>
        <v>329</v>
      </c>
      <c r="T4" s="1385">
        <f>'Section Load'!Q7</f>
        <v>116</v>
      </c>
      <c r="U4" s="1385">
        <f>'Section Load'!R7</f>
        <v>347.64000000001397</v>
      </c>
      <c r="V4" s="1385">
        <f>'Section Load'!S7</f>
        <v>100.35999999998603</v>
      </c>
      <c r="W4" s="1385">
        <f>'Section Load'!T7</f>
        <v>18.869999999995343</v>
      </c>
      <c r="X4" s="1385">
        <f>'Section Load'!U7</f>
        <v>188.79000000000087</v>
      </c>
      <c r="Y4" s="1385">
        <f>'Section Load'!V7</f>
        <v>523</v>
      </c>
      <c r="Z4" s="1385">
        <f>'Section Load'!W7</f>
        <v>117.79999999998836</v>
      </c>
      <c r="AA4" s="1385">
        <f>'Section Load'!X7</f>
        <v>39.19999999999709</v>
      </c>
      <c r="AB4" s="1385">
        <f>'Section Load'!Y7</f>
        <v>25.850000000005821</v>
      </c>
      <c r="AC4" s="1385">
        <f>'Section Load'!Z7</f>
        <v>87.999999999998636</v>
      </c>
      <c r="AD4" s="1385">
        <f>'Section Load'!AA7</f>
        <v>0</v>
      </c>
      <c r="AE4" s="1385">
        <f>'Section Load'!AB7</f>
        <v>11.919999999999845</v>
      </c>
      <c r="AF4" s="1385">
        <f>'Section Load'!AC7</f>
        <v>522.82000000000698</v>
      </c>
      <c r="AG4" s="1385">
        <f>'Section Load'!AD7</f>
        <v>378.17999999999302</v>
      </c>
      <c r="AH4" s="1385">
        <f>'Section Load'!AE7</f>
        <v>433.43000000000029</v>
      </c>
      <c r="AI4" s="1385">
        <f>'Section Load'!AF7</f>
        <v>659.32999999998719</v>
      </c>
      <c r="AJ4" s="1385">
        <f>'Section Load'!AG7</f>
        <v>359.23999999999069</v>
      </c>
      <c r="AK4" s="1385">
        <f>'Section Load'!AH7</f>
        <v>321.96999999999389</v>
      </c>
      <c r="AL4" s="1385">
        <f>'Section Load'!AI7</f>
        <v>553</v>
      </c>
      <c r="AM4" s="1386">
        <f>'[1]3'!$H$92</f>
        <v>250</v>
      </c>
      <c r="AN4" s="1386">
        <f>'[1]3'!$H$93</f>
        <v>501</v>
      </c>
      <c r="AO4" s="1386">
        <f>'[1]3'!$H$95</f>
        <v>206</v>
      </c>
      <c r="AP4" s="1386">
        <f>'[1]3'!$H$96</f>
        <v>89</v>
      </c>
      <c r="AQ4" s="1386">
        <f>'[1]3'!$H$97</f>
        <v>65</v>
      </c>
      <c r="AR4" s="1386">
        <f>'[1]3'!$H$98</f>
        <v>222</v>
      </c>
      <c r="AS4" s="1386">
        <f>'[1]3'!$H$99</f>
        <v>31</v>
      </c>
      <c r="AT4" s="1386">
        <f>'[1]3'!$H$100</f>
        <v>16</v>
      </c>
      <c r="AU4" s="1386">
        <f>'[1]3'!$H$104</f>
        <v>0</v>
      </c>
      <c r="AV4" s="1386">
        <f>'[1]3'!$H$105</f>
        <v>22</v>
      </c>
      <c r="AW4" s="1386">
        <f>'[1]3'!$H$106</f>
        <v>17</v>
      </c>
      <c r="AX4" s="1386">
        <f>'[1]3'!$H$109</f>
        <v>160</v>
      </c>
      <c r="AY4" s="1386">
        <f>'[1]3'!$H$110</f>
        <v>211</v>
      </c>
      <c r="AZ4" s="1386">
        <f>'[1]3'!$H$111</f>
        <v>16</v>
      </c>
      <c r="BA4" s="1386">
        <f>'[1]3'!$H$114</f>
        <v>39</v>
      </c>
      <c r="BB4" s="1386">
        <f>'[1]3'!$H$115</f>
        <v>14</v>
      </c>
      <c r="BC4" s="1386">
        <f>'[1]3'!$H$116</f>
        <v>0</v>
      </c>
      <c r="BD4" s="1386">
        <f>'[1]3'!$H$118</f>
        <v>403</v>
      </c>
      <c r="BE4" s="1386">
        <f>'[1]3'!$H$119</f>
        <v>407</v>
      </c>
      <c r="BF4" s="1386">
        <f>'[1]3'!$H$120</f>
        <v>387</v>
      </c>
      <c r="BG4" s="1387">
        <f>'Section Load'!AJ7</f>
        <v>830.41000000014901</v>
      </c>
      <c r="BH4" s="1387">
        <f>'Section Load'!AK7</f>
        <v>245.65000000002328</v>
      </c>
      <c r="BI4" s="1387">
        <f>'Section Load'!AL7</f>
        <v>0</v>
      </c>
      <c r="BJ4" s="1387">
        <f>'Section Load'!AM7</f>
        <v>63.660000000003492</v>
      </c>
      <c r="BK4" s="1387">
        <f>'Section Load'!AN7</f>
        <v>18.69999999999709</v>
      </c>
      <c r="BL4" s="1387">
        <f>'Section Load'!AO7</f>
        <v>3.7000000000007276</v>
      </c>
      <c r="BM4" s="1387">
        <f>'Section Load'!AP7</f>
        <v>498.70000000012442</v>
      </c>
    </row>
    <row r="5" spans="1:65">
      <c r="A5" s="1369" t="s">
        <v>305</v>
      </c>
      <c r="B5" s="1370">
        <f t="shared" si="0"/>
        <v>4</v>
      </c>
      <c r="C5" s="1370">
        <v>3</v>
      </c>
      <c r="D5" s="1370">
        <v>2021</v>
      </c>
      <c r="E5" s="1385">
        <f>'Section Load'!B8</f>
        <v>3260.5200000000186</v>
      </c>
      <c r="F5" s="1385">
        <f>'Section Load'!C8</f>
        <v>1488.3800000000047</v>
      </c>
      <c r="G5" s="1385">
        <f>'Section Load'!D8</f>
        <v>2010.8200000000143</v>
      </c>
      <c r="H5" s="1385">
        <f>'Section Load'!E8</f>
        <v>4163.2299999999814</v>
      </c>
      <c r="I5" s="1385">
        <f>'Section Load'!F8</f>
        <v>4227.2200000000594</v>
      </c>
      <c r="J5" s="1385">
        <f>'Section Load'!G8</f>
        <v>2461.1399999999721</v>
      </c>
      <c r="K5" s="1385">
        <f>'Section Load'!H8</f>
        <v>1029.3300000000163</v>
      </c>
      <c r="L5" s="1385">
        <f>'Section Load'!I8</f>
        <v>622.48999999999069</v>
      </c>
      <c r="M5" s="1385">
        <f>'Section Load'!J8</f>
        <v>90</v>
      </c>
      <c r="N5" s="1385">
        <f>'Section Load'!K8</f>
        <v>1</v>
      </c>
      <c r="O5" s="1385">
        <f>'Section Load'!L8</f>
        <v>17.440000000000055</v>
      </c>
      <c r="P5" s="1385">
        <f>'Section Load'!M8</f>
        <v>17.440000000000055</v>
      </c>
      <c r="Q5" s="1385">
        <f>'Section Load'!N8</f>
        <v>84.700000000000045</v>
      </c>
      <c r="R5" s="1385">
        <f>'Section Load'!O8</f>
        <v>50</v>
      </c>
      <c r="S5" s="1385">
        <f>'Section Load'!P8</f>
        <v>388</v>
      </c>
      <c r="T5" s="1385">
        <f>'Section Load'!Q8</f>
        <v>250</v>
      </c>
      <c r="U5" s="1385">
        <f>'Section Load'!R8</f>
        <v>350</v>
      </c>
      <c r="V5" s="1385">
        <f>'Section Load'!S8</f>
        <v>120</v>
      </c>
      <c r="W5" s="1385">
        <f>'Section Load'!T8</f>
        <v>22</v>
      </c>
      <c r="X5" s="1385">
        <f>'Section Load'!U8</f>
        <v>164.08999999999651</v>
      </c>
      <c r="Y5" s="1385">
        <f>'Section Load'!V8</f>
        <v>493</v>
      </c>
      <c r="Z5" s="1385">
        <f>'Section Load'!W8</f>
        <v>106</v>
      </c>
      <c r="AA5" s="1385">
        <f>'Section Load'!X8</f>
        <v>37.19999999999709</v>
      </c>
      <c r="AB5" s="1385">
        <f>'Section Load'!Y8</f>
        <v>107.73999999999069</v>
      </c>
      <c r="AC5" s="1385">
        <f>'Section Load'!Z8</f>
        <v>66.999999999998636</v>
      </c>
      <c r="AD5" s="1385">
        <f>'Section Load'!AA8</f>
        <v>-1.0000000002037268E-3</v>
      </c>
      <c r="AE5" s="1385">
        <f>'Section Load'!AB8</f>
        <v>14.630000000000109</v>
      </c>
      <c r="AF5" s="1385">
        <f>'Section Load'!AC8</f>
        <v>487.83999999999651</v>
      </c>
      <c r="AG5" s="1385">
        <f>'Section Load'!AD8</f>
        <v>355.16000000000349</v>
      </c>
      <c r="AH5" s="1385">
        <f>'Section Load'!AE8</f>
        <v>401.06999999999971</v>
      </c>
      <c r="AI5" s="1385">
        <f>'Section Load'!AF8</f>
        <v>671.67000000001281</v>
      </c>
      <c r="AJ5" s="1385">
        <f>'Section Load'!AG8</f>
        <v>331.85000000000582</v>
      </c>
      <c r="AK5" s="1385">
        <f>'Section Load'!AH8</f>
        <v>314.91000000000349</v>
      </c>
      <c r="AL5" s="1385">
        <f>'Section Load'!AI8</f>
        <v>700</v>
      </c>
      <c r="AM5" s="1386">
        <f>'[1]4'!$H$92</f>
        <v>352</v>
      </c>
      <c r="AN5" s="1386">
        <f>'[1]4'!$H$93</f>
        <v>641</v>
      </c>
      <c r="AO5" s="1386">
        <f>'[1]4'!$H$95</f>
        <v>284</v>
      </c>
      <c r="AP5" s="1386">
        <f>'[1]4'!$H$96</f>
        <v>124</v>
      </c>
      <c r="AQ5" s="1386">
        <f>'[1]4'!$H$97</f>
        <v>110</v>
      </c>
      <c r="AR5" s="1386">
        <f>'[1]4'!$H$98</f>
        <v>289</v>
      </c>
      <c r="AS5" s="1386">
        <f>'[1]4'!$H$99</f>
        <v>41</v>
      </c>
      <c r="AT5" s="1386">
        <f>'[1]4'!$H$100</f>
        <v>23</v>
      </c>
      <c r="AU5" s="1386">
        <f>'[1]4'!$H$104</f>
        <v>0</v>
      </c>
      <c r="AV5" s="1386">
        <f>'[1]4'!$H$105</f>
        <v>28</v>
      </c>
      <c r="AW5" s="1386">
        <f>'[1]4'!$H$106</f>
        <v>23</v>
      </c>
      <c r="AX5" s="1386">
        <f>'[1]4'!$H$109</f>
        <v>215</v>
      </c>
      <c r="AY5" s="1386">
        <f>'[1]4'!$H$110</f>
        <v>258</v>
      </c>
      <c r="AZ5" s="1386">
        <f>'[1]4'!$H$111</f>
        <v>30</v>
      </c>
      <c r="BA5" s="1386">
        <f>'[1]4'!$H$114</f>
        <v>53</v>
      </c>
      <c r="BB5" s="1386">
        <f>'[1]4'!$H$115</f>
        <v>21</v>
      </c>
      <c r="BC5" s="1386">
        <f>'[1]4'!$H$116</f>
        <v>0</v>
      </c>
      <c r="BD5" s="1386">
        <f>'[1]4'!$H$118</f>
        <v>555</v>
      </c>
      <c r="BE5" s="1386">
        <f>'[1]4'!$H$119</f>
        <v>582</v>
      </c>
      <c r="BF5" s="1386">
        <f>'[1]4'!$H$120</f>
        <v>503</v>
      </c>
      <c r="BG5" s="1387">
        <f>'Section Load'!AJ8</f>
        <v>884.16999999992549</v>
      </c>
      <c r="BH5" s="1387">
        <f>'Section Load'!AK8</f>
        <v>244.95999999996275</v>
      </c>
      <c r="BI5" s="1387">
        <f>'Section Load'!AL8</f>
        <v>-0.39999999999417923</v>
      </c>
      <c r="BJ5" s="1387">
        <f>'Section Load'!AM8</f>
        <v>71.350000000005821</v>
      </c>
      <c r="BK5" s="1387">
        <f>'Section Load'!AN8</f>
        <v>29.400000000001455</v>
      </c>
      <c r="BL5" s="1387">
        <f>'Section Load'!AO8</f>
        <v>1.8999999999996362</v>
      </c>
      <c r="BM5" s="1387">
        <f>'Section Load'!AP8</f>
        <v>536.95999999995001</v>
      </c>
    </row>
    <row r="6" spans="1:65">
      <c r="A6" s="1369" t="s">
        <v>305</v>
      </c>
      <c r="B6" s="1370">
        <f t="shared" si="0"/>
        <v>5</v>
      </c>
      <c r="C6" s="1370">
        <v>3</v>
      </c>
      <c r="D6" s="1370">
        <v>2021</v>
      </c>
      <c r="E6" s="1385">
        <f>'Section Load'!B9</f>
        <v>3368</v>
      </c>
      <c r="F6" s="1385">
        <f>'Section Load'!C9</f>
        <v>36659</v>
      </c>
      <c r="G6" s="1385">
        <f>'Section Load'!D9</f>
        <v>1822</v>
      </c>
      <c r="H6" s="1385">
        <f>'Section Load'!E9</f>
        <v>104331</v>
      </c>
      <c r="I6" s="1385">
        <f>'Section Load'!F9</f>
        <v>4900.739999999998</v>
      </c>
      <c r="J6" s="1385">
        <f>'Section Load'!G9</f>
        <v>2387</v>
      </c>
      <c r="K6" s="1385">
        <f>'Section Load'!H9</f>
        <v>1011</v>
      </c>
      <c r="L6" s="1385">
        <f>'Section Load'!I9</f>
        <v>577</v>
      </c>
      <c r="M6" s="1385">
        <f>'Section Load'!J9</f>
        <v>75</v>
      </c>
      <c r="N6" s="1385">
        <f>'Section Load'!K9</f>
        <v>0</v>
      </c>
      <c r="O6" s="1385">
        <f>'Section Load'!L9</f>
        <v>18</v>
      </c>
      <c r="P6" s="1385">
        <f>'Section Load'!M9</f>
        <v>160</v>
      </c>
      <c r="Q6" s="1385">
        <f>'Section Load'!N9</f>
        <v>84</v>
      </c>
      <c r="R6" s="1385">
        <f>'Section Load'!O9</f>
        <v>57</v>
      </c>
      <c r="S6" s="1385">
        <f>'Section Load'!P9</f>
        <v>332</v>
      </c>
      <c r="T6" s="1385">
        <f>'Section Load'!Q9</f>
        <v>216</v>
      </c>
      <c r="U6" s="1385">
        <f>'Section Load'!R9</f>
        <v>265</v>
      </c>
      <c r="V6" s="1385">
        <f>'Section Load'!S9</f>
        <v>-189</v>
      </c>
      <c r="W6" s="1385">
        <f>'Section Load'!T9</f>
        <v>21</v>
      </c>
      <c r="X6" s="1385">
        <f>'Section Load'!U9</f>
        <v>209</v>
      </c>
      <c r="Y6" s="1385">
        <f>'Section Load'!V9</f>
        <v>356</v>
      </c>
      <c r="Z6" s="1385">
        <f>'Section Load'!W9</f>
        <v>134</v>
      </c>
      <c r="AA6" s="1385">
        <f>'Section Load'!X9</f>
        <v>24.600000000005821</v>
      </c>
      <c r="AB6" s="1385">
        <f>'Section Load'!Y9</f>
        <v>69</v>
      </c>
      <c r="AC6" s="1385">
        <f>'Section Load'!Z9</f>
        <v>77</v>
      </c>
      <c r="AD6" s="1385">
        <f>'Section Load'!AA9</f>
        <v>-0.18799999999828287</v>
      </c>
      <c r="AE6" s="1385">
        <f>'Section Load'!AB9</f>
        <v>11</v>
      </c>
      <c r="AF6" s="1385">
        <f>'Section Load'!AC9</f>
        <v>542</v>
      </c>
      <c r="AG6" s="1385">
        <f>'Section Load'!AD9</f>
        <v>373</v>
      </c>
      <c r="AH6" s="1385">
        <f>'Section Load'!AE9</f>
        <v>395</v>
      </c>
      <c r="AI6" s="1385">
        <f>'Section Load'!AF9</f>
        <v>674</v>
      </c>
      <c r="AJ6" s="1385">
        <f>'Section Load'!AG9</f>
        <v>329</v>
      </c>
      <c r="AK6" s="1385">
        <f>'Section Load'!AH9</f>
        <v>321</v>
      </c>
      <c r="AL6" s="1385">
        <f>'Section Load'!AI9</f>
        <v>954</v>
      </c>
      <c r="AM6" s="1386">
        <f>'[1]5'!$H$92</f>
        <v>462</v>
      </c>
      <c r="AN6" s="1386">
        <f>'[1]5'!$H$93</f>
        <v>823</v>
      </c>
      <c r="AO6" s="1386">
        <f>'[1]5'!$H$95</f>
        <v>339</v>
      </c>
      <c r="AP6" s="1386">
        <f>'[1]5'!$H$96</f>
        <v>147</v>
      </c>
      <c r="AQ6" s="1386">
        <f>'[1]5'!$H$97</f>
        <v>150</v>
      </c>
      <c r="AR6" s="1386">
        <f>'[1]5'!$H$98</f>
        <v>329</v>
      </c>
      <c r="AS6" s="1386">
        <f>'[1]5'!$H$99</f>
        <v>48</v>
      </c>
      <c r="AT6" s="1386">
        <f>'[1]5'!$H$100</f>
        <v>29</v>
      </c>
      <c r="AU6" s="1386">
        <f>'[1]5'!$H$104</f>
        <v>0</v>
      </c>
      <c r="AV6" s="1386">
        <f>'[1]5'!$H$105</f>
        <v>42</v>
      </c>
      <c r="AW6" s="1386">
        <f>'[1]5'!$H$106</f>
        <v>32</v>
      </c>
      <c r="AX6" s="1386">
        <f>'[1]5'!$H$109</f>
        <v>330</v>
      </c>
      <c r="AY6" s="1386">
        <f>'[1]5'!$H$110</f>
        <v>337</v>
      </c>
      <c r="AZ6" s="1386">
        <f>'[1]5'!$H$111</f>
        <v>30</v>
      </c>
      <c r="BA6" s="1386">
        <f>'[1]5'!$H$114</f>
        <v>74</v>
      </c>
      <c r="BB6" s="1386">
        <f>'[1]5'!$H$115</f>
        <v>32</v>
      </c>
      <c r="BC6" s="1386">
        <f>'[1]5'!$H$116</f>
        <v>0</v>
      </c>
      <c r="BD6" s="1386">
        <f>'[1]5'!$H$118</f>
        <v>706</v>
      </c>
      <c r="BE6" s="1386">
        <f>'[1]5'!$H$119</f>
        <v>713</v>
      </c>
      <c r="BF6" s="1386">
        <f>'[1]5'!$H$120</f>
        <v>697</v>
      </c>
      <c r="BG6" s="1387">
        <f>'Section Load'!AJ9</f>
        <v>893.63999999989755</v>
      </c>
      <c r="BH6" s="1387">
        <f>'Section Load'!AK9</f>
        <v>245</v>
      </c>
      <c r="BI6" s="1387">
        <f>'Section Load'!AL9</f>
        <v>0</v>
      </c>
      <c r="BJ6" s="1387">
        <f>'Section Load'!AM9</f>
        <v>61</v>
      </c>
      <c r="BK6" s="1387">
        <f>'Section Load'!AN9</f>
        <v>21</v>
      </c>
      <c r="BL6" s="1387">
        <f>'Section Load'!AO9</f>
        <v>2</v>
      </c>
      <c r="BM6" s="1387">
        <f>'Section Load'!AP9</f>
        <v>564.63999999989755</v>
      </c>
    </row>
    <row r="7" spans="1:65">
      <c r="A7" s="1369" t="s">
        <v>305</v>
      </c>
      <c r="B7" s="1370">
        <f t="shared" si="0"/>
        <v>6</v>
      </c>
      <c r="C7" s="1370">
        <v>3</v>
      </c>
      <c r="D7" s="1370">
        <v>2021</v>
      </c>
      <c r="E7" s="1385">
        <f>'Section Load'!B10</f>
        <v>3484</v>
      </c>
      <c r="F7" s="1385">
        <f>'Section Load'!C10</f>
        <v>1518</v>
      </c>
      <c r="G7" s="1385">
        <f>'Section Load'!D10</f>
        <v>2123</v>
      </c>
      <c r="H7" s="1385">
        <f>'Section Load'!E10</f>
        <v>4237</v>
      </c>
      <c r="I7" s="1385">
        <f>'Section Load'!F10</f>
        <v>5904</v>
      </c>
      <c r="J7" s="1385">
        <f>'Section Load'!G10</f>
        <v>2437</v>
      </c>
      <c r="K7" s="1385">
        <f>'Section Load'!H10</f>
        <v>1043</v>
      </c>
      <c r="L7" s="1385">
        <f>'Section Load'!I10</f>
        <v>624</v>
      </c>
      <c r="M7" s="1385">
        <f>'Section Load'!J10</f>
        <v>75</v>
      </c>
      <c r="N7" s="1385">
        <f>'Section Load'!K10</f>
        <v>1</v>
      </c>
      <c r="O7" s="1385">
        <f>'Section Load'!L10</f>
        <v>33</v>
      </c>
      <c r="P7" s="1385">
        <f>'Section Load'!M10</f>
        <v>183</v>
      </c>
      <c r="Q7" s="1385">
        <f>'Section Load'!N10</f>
        <v>88</v>
      </c>
      <c r="R7" s="1385">
        <f>'Section Load'!O10</f>
        <v>51</v>
      </c>
      <c r="S7" s="1385">
        <f>'Section Load'!P10</f>
        <v>415</v>
      </c>
      <c r="T7" s="1385">
        <f>'Section Load'!Q10</f>
        <v>235</v>
      </c>
      <c r="U7" s="1385">
        <f>'Section Load'!R10</f>
        <v>412</v>
      </c>
      <c r="V7" s="1385">
        <f>'Section Load'!S10</f>
        <v>412</v>
      </c>
      <c r="W7" s="1385">
        <f>'Section Load'!T10</f>
        <v>23</v>
      </c>
      <c r="X7" s="1385">
        <f>'Section Load'!U10</f>
        <v>194</v>
      </c>
      <c r="Y7" s="1385">
        <f>'Section Load'!V10</f>
        <v>468</v>
      </c>
      <c r="Z7" s="1385">
        <f>'Section Load'!W10</f>
        <v>88</v>
      </c>
      <c r="AA7" s="1385">
        <f>'Section Load'!X10</f>
        <v>29</v>
      </c>
      <c r="AB7" s="1385">
        <f>'Section Load'!Y10</f>
        <v>91</v>
      </c>
      <c r="AC7" s="1385">
        <f>'Section Load'!Z10</f>
        <v>102</v>
      </c>
      <c r="AD7" s="1385">
        <f>'Section Load'!AA10</f>
        <v>0</v>
      </c>
      <c r="AE7" s="1385">
        <f>'Section Load'!AB10</f>
        <v>14</v>
      </c>
      <c r="AF7" s="1385">
        <f>'Section Load'!AC10</f>
        <v>502</v>
      </c>
      <c r="AG7" s="1385">
        <f>'Section Load'!AD10</f>
        <v>364</v>
      </c>
      <c r="AH7" s="1385">
        <f>'Section Load'!AE10</f>
        <v>387</v>
      </c>
      <c r="AI7" s="1385">
        <f>'Section Load'!AF10</f>
        <v>705</v>
      </c>
      <c r="AJ7" s="1385">
        <f>'Section Load'!AG10</f>
        <v>335</v>
      </c>
      <c r="AK7" s="1385">
        <f>'Section Load'!AH10</f>
        <v>332</v>
      </c>
      <c r="AL7" s="1385">
        <f>'Section Load'!AI10</f>
        <v>644</v>
      </c>
      <c r="AM7" s="1386">
        <f>'[1]6'!$H$92</f>
        <v>551</v>
      </c>
      <c r="AN7" s="1386">
        <f>'[1]6'!$H$93</f>
        <v>924</v>
      </c>
      <c r="AO7" s="1386">
        <f>'[1]6'!$H$95</f>
        <v>400</v>
      </c>
      <c r="AP7" s="1386">
        <f>'[1]6'!$H$96</f>
        <v>181</v>
      </c>
      <c r="AQ7" s="1386">
        <f>'[1]6'!$H$97</f>
        <v>181</v>
      </c>
      <c r="AR7" s="1386">
        <f>'[1]6'!$H$98</f>
        <v>401</v>
      </c>
      <c r="AS7" s="1386">
        <f>'[1]6'!$H$99</f>
        <v>57</v>
      </c>
      <c r="AT7" s="1386">
        <f>'[1]6'!$H$100</f>
        <v>38</v>
      </c>
      <c r="AU7" s="1386">
        <f>'[1]6'!$H$104</f>
        <v>0</v>
      </c>
      <c r="AV7" s="1386">
        <f>'[1]6'!$H$105</f>
        <v>48</v>
      </c>
      <c r="AW7" s="1386">
        <f>'[1]6'!$H$106</f>
        <v>38</v>
      </c>
      <c r="AX7" s="1386">
        <f>'[1]6'!$H$109</f>
        <v>370</v>
      </c>
      <c r="AY7" s="1386">
        <f>'[1]6'!$H$110</f>
        <v>382</v>
      </c>
      <c r="AZ7" s="1386">
        <f>'[1]6'!$H$111</f>
        <v>62</v>
      </c>
      <c r="BA7" s="1386">
        <f>'[1]6'!$H$114</f>
        <v>85</v>
      </c>
      <c r="BB7" s="1386">
        <f>'[1]6'!$H$115</f>
        <v>38</v>
      </c>
      <c r="BC7" s="1386">
        <f>'[1]6'!$H$116</f>
        <v>0</v>
      </c>
      <c r="BD7" s="1386">
        <f>'[1]6'!$H$118</f>
        <v>846</v>
      </c>
      <c r="BE7" s="1386">
        <f>'[1]6'!$H$119</f>
        <v>857</v>
      </c>
      <c r="BF7" s="1386">
        <f>'[1]6'!$H$120</f>
        <v>814</v>
      </c>
      <c r="BG7" s="1387">
        <f>'Section Load'!AJ10</f>
        <v>944.36000000010245</v>
      </c>
      <c r="BH7" s="1387">
        <f>'Section Load'!AK10</f>
        <v>264</v>
      </c>
      <c r="BI7" s="1387">
        <f>'Section Load'!AL10</f>
        <v>0</v>
      </c>
      <c r="BJ7" s="1387">
        <f>'Section Load'!AM10</f>
        <v>71</v>
      </c>
      <c r="BK7" s="1387">
        <f>'Section Load'!AN10</f>
        <v>32</v>
      </c>
      <c r="BL7" s="1387">
        <f>'Section Load'!AO10</f>
        <v>3</v>
      </c>
      <c r="BM7" s="1387">
        <f>'Section Load'!AP10</f>
        <v>574.36000000010245</v>
      </c>
    </row>
    <row r="8" spans="1:65">
      <c r="A8" s="1369" t="s">
        <v>305</v>
      </c>
      <c r="B8" s="1370">
        <f t="shared" si="0"/>
        <v>7</v>
      </c>
      <c r="C8" s="1370">
        <v>3</v>
      </c>
      <c r="D8" s="1370">
        <v>2021</v>
      </c>
      <c r="E8" s="1385">
        <f>'Section Load'!B11</f>
        <v>3319</v>
      </c>
      <c r="F8" s="1385">
        <f>'Section Load'!C11</f>
        <v>1500</v>
      </c>
      <c r="G8" s="1385">
        <f>'Section Load'!D11</f>
        <v>2331</v>
      </c>
      <c r="H8" s="1385">
        <f>'Section Load'!E11</f>
        <v>4230</v>
      </c>
      <c r="I8" s="1385">
        <f>'Section Load'!F11</f>
        <v>5494</v>
      </c>
      <c r="J8" s="1385">
        <f>'Section Load'!G11</f>
        <v>2417</v>
      </c>
      <c r="K8" s="1385">
        <f>'Section Load'!H11</f>
        <v>1230</v>
      </c>
      <c r="L8" s="1385">
        <f>'Section Load'!I11</f>
        <v>611</v>
      </c>
      <c r="M8" s="1385">
        <f>'Section Load'!J11</f>
        <v>72</v>
      </c>
      <c r="N8" s="1385">
        <f>'Section Load'!K11</f>
        <v>0</v>
      </c>
      <c r="O8" s="1385">
        <f>'Section Load'!L11</f>
        <v>46</v>
      </c>
      <c r="P8" s="1385">
        <f>'Section Load'!M11</f>
        <v>181</v>
      </c>
      <c r="Q8" s="1385">
        <f>'Section Load'!N11</f>
        <v>94</v>
      </c>
      <c r="R8" s="1385">
        <f>'Section Load'!O11</f>
        <v>52</v>
      </c>
      <c r="S8" s="1385">
        <f>'Section Load'!P11</f>
        <v>428</v>
      </c>
      <c r="T8" s="1385">
        <f>'Section Load'!Q11</f>
        <v>216</v>
      </c>
      <c r="U8" s="1385">
        <f>'Section Load'!R11</f>
        <v>359</v>
      </c>
      <c r="V8" s="1385">
        <f>'Section Load'!S11</f>
        <v>123</v>
      </c>
      <c r="W8" s="1385">
        <f>'Section Load'!T11</f>
        <v>21</v>
      </c>
      <c r="X8" s="1385">
        <f>'Section Load'!U11</f>
        <v>191</v>
      </c>
      <c r="Y8" s="1385">
        <f>'Section Load'!V11</f>
        <v>496</v>
      </c>
      <c r="Z8" s="1385">
        <f>'Section Load'!W11</f>
        <v>100</v>
      </c>
      <c r="AA8" s="1385">
        <f>'Section Load'!X11</f>
        <v>8</v>
      </c>
      <c r="AB8" s="1385">
        <f>'Section Load'!Y11</f>
        <v>37</v>
      </c>
      <c r="AC8" s="1385">
        <f>'Section Load'!Z11</f>
        <v>69</v>
      </c>
      <c r="AD8" s="1385">
        <f>'Section Load'!AA11</f>
        <v>0</v>
      </c>
      <c r="AE8" s="1385">
        <f>'Section Load'!AB11</f>
        <v>12</v>
      </c>
      <c r="AF8" s="1385">
        <f>'Section Load'!AC11</f>
        <v>553</v>
      </c>
      <c r="AG8" s="1385">
        <f>'Section Load'!AD11</f>
        <v>371</v>
      </c>
      <c r="AH8" s="1385">
        <f>'Section Load'!AE11</f>
        <v>369</v>
      </c>
      <c r="AI8" s="1385">
        <f>'Section Load'!AF11</f>
        <v>665</v>
      </c>
      <c r="AJ8" s="1385">
        <f>'Section Load'!AG11</f>
        <v>324</v>
      </c>
      <c r="AK8" s="1385">
        <f>'Section Load'!AH11</f>
        <v>329</v>
      </c>
      <c r="AL8" s="1385">
        <f>'Section Load'!AI11</f>
        <v>834</v>
      </c>
      <c r="AM8" s="1386">
        <f>'[1]7'!$H$92</f>
        <v>655</v>
      </c>
      <c r="AN8" s="1386">
        <f>'[1]7'!$H$93</f>
        <v>1131</v>
      </c>
      <c r="AO8" s="1386">
        <f>'[1]7'!$H$95</f>
        <v>457</v>
      </c>
      <c r="AP8" s="1386">
        <f>'[1]7'!$H$96</f>
        <v>224</v>
      </c>
      <c r="AQ8" s="1386">
        <f>'[1]7'!$H$97</f>
        <v>204</v>
      </c>
      <c r="AR8" s="1386">
        <f>'[1]7'!$H$98</f>
        <v>459</v>
      </c>
      <c r="AS8" s="1386">
        <f>'[1]7'!$H$99</f>
        <v>71</v>
      </c>
      <c r="AT8" s="1386">
        <f>'[1]7'!$H$100</f>
        <v>46</v>
      </c>
      <c r="AU8" s="1386">
        <f>'[1]7'!$H$104</f>
        <v>0</v>
      </c>
      <c r="AV8" s="1386">
        <f>'[1]7'!$H$105</f>
        <v>54</v>
      </c>
      <c r="AW8" s="1386">
        <f>'[1]7'!$H$106</f>
        <v>42</v>
      </c>
      <c r="AX8" s="1386">
        <f>'[1]7'!$H$109</f>
        <v>409</v>
      </c>
      <c r="AY8" s="1386">
        <f>'[1]7'!$H$110</f>
        <v>483</v>
      </c>
      <c r="AZ8" s="1386">
        <f>'[1]7'!$H$111</f>
        <v>62</v>
      </c>
      <c r="BA8" s="1386">
        <f>'[1]7'!$H$114</f>
        <v>101</v>
      </c>
      <c r="BB8" s="1386">
        <f>'[1]7'!$H$115</f>
        <v>45</v>
      </c>
      <c r="BC8" s="1386">
        <f>'[1]7'!$H$116</f>
        <v>0</v>
      </c>
      <c r="BD8" s="1386">
        <f>'[1]7'!$H$118</f>
        <v>1002</v>
      </c>
      <c r="BE8" s="1386">
        <f>'[1]7'!$H$119</f>
        <v>1002</v>
      </c>
      <c r="BF8" s="1386">
        <f>'[1]7'!$H$120</f>
        <v>954</v>
      </c>
      <c r="BG8" s="1387">
        <f>'Section Load'!AJ11</f>
        <v>931</v>
      </c>
      <c r="BH8" s="1387">
        <f>'Section Load'!AK11</f>
        <v>275</v>
      </c>
      <c r="BI8" s="1387">
        <f>'Section Load'!AL11</f>
        <v>0</v>
      </c>
      <c r="BJ8" s="1387">
        <f>'Section Load'!AM11</f>
        <v>72</v>
      </c>
      <c r="BK8" s="1387">
        <f>'Section Load'!AN11</f>
        <v>38</v>
      </c>
      <c r="BL8" s="1387">
        <f>'Section Load'!AO11</f>
        <v>4</v>
      </c>
      <c r="BM8" s="1387">
        <f>'Section Load'!AP11</f>
        <v>542</v>
      </c>
    </row>
    <row r="9" spans="1:65">
      <c r="A9" s="1369" t="s">
        <v>305</v>
      </c>
      <c r="B9" s="1370">
        <f t="shared" si="0"/>
        <v>8</v>
      </c>
      <c r="C9" s="1370">
        <v>3</v>
      </c>
      <c r="D9" s="1370">
        <v>2021</v>
      </c>
      <c r="E9" s="1385">
        <f>'Section Load'!B12</f>
        <v>3394</v>
      </c>
      <c r="F9" s="1385">
        <f>'Section Load'!C12</f>
        <v>1483</v>
      </c>
      <c r="G9" s="1385">
        <f>'Section Load'!D12</f>
        <v>2160</v>
      </c>
      <c r="H9" s="1385">
        <f>'Section Load'!E12</f>
        <v>4272</v>
      </c>
      <c r="I9" s="1385">
        <f>'Section Load'!F12</f>
        <v>5838.260000000002</v>
      </c>
      <c r="J9" s="1385">
        <f>'Section Load'!G12</f>
        <v>2516</v>
      </c>
      <c r="K9" s="1385">
        <f>'Section Load'!H12</f>
        <v>1538</v>
      </c>
      <c r="L9" s="1385">
        <f>'Section Load'!I12</f>
        <v>676</v>
      </c>
      <c r="M9" s="1385">
        <f>'Section Load'!J12</f>
        <v>106</v>
      </c>
      <c r="N9" s="1385">
        <f>'Section Load'!K12</f>
        <v>0</v>
      </c>
      <c r="O9" s="1385">
        <f>'Section Load'!L12</f>
        <v>25</v>
      </c>
      <c r="P9" s="1385">
        <f>'Section Load'!M12</f>
        <v>170</v>
      </c>
      <c r="Q9" s="1385">
        <f>'Section Load'!N12</f>
        <v>74</v>
      </c>
      <c r="R9" s="1385">
        <f>'Section Load'!O12</f>
        <v>58</v>
      </c>
      <c r="S9" s="1385">
        <f>'Section Load'!P12</f>
        <v>372</v>
      </c>
      <c r="T9" s="1385">
        <f>'Section Load'!Q12</f>
        <v>210</v>
      </c>
      <c r="U9" s="1385">
        <f>'Section Load'!R12</f>
        <v>397</v>
      </c>
      <c r="V9" s="1385">
        <f>'Section Load'!S12</f>
        <v>122</v>
      </c>
      <c r="W9" s="1385">
        <f>'Section Load'!T12</f>
        <v>24</v>
      </c>
      <c r="X9" s="1385">
        <f>'Section Load'!U12</f>
        <v>201</v>
      </c>
      <c r="Y9" s="1385">
        <f>'Section Load'!V12</f>
        <v>361</v>
      </c>
      <c r="Z9" s="1385">
        <f>'Section Load'!W12</f>
        <v>100</v>
      </c>
      <c r="AA9" s="1385">
        <f>'Section Load'!X12</f>
        <v>36</v>
      </c>
      <c r="AB9" s="1385">
        <f>'Section Load'!Y12</f>
        <v>95</v>
      </c>
      <c r="AC9" s="1385">
        <f>'Section Load'!Z12</f>
        <v>83</v>
      </c>
      <c r="AD9" s="1385">
        <f>'Section Load'!AA12</f>
        <v>0</v>
      </c>
      <c r="AE9" s="1385">
        <f>'Section Load'!AB12</f>
        <v>12</v>
      </c>
      <c r="AF9" s="1385">
        <f>'Section Load'!AC12</f>
        <v>527</v>
      </c>
      <c r="AG9" s="1385">
        <f>'Section Load'!AD12</f>
        <v>378</v>
      </c>
      <c r="AH9" s="1385">
        <f>'Section Load'!AE12</f>
        <v>379</v>
      </c>
      <c r="AI9" s="1385">
        <f>'Section Load'!AF12</f>
        <v>678</v>
      </c>
      <c r="AJ9" s="1385">
        <f>'Section Load'!AG12</f>
        <v>343</v>
      </c>
      <c r="AK9" s="1385">
        <f>'Section Load'!AH12</f>
        <v>331</v>
      </c>
      <c r="AL9" s="1385">
        <f>'Section Load'!AI12</f>
        <v>793</v>
      </c>
      <c r="AM9" s="1386">
        <f>'[1]8'!$H$92</f>
        <v>750</v>
      </c>
      <c r="AN9" s="1386">
        <f>'[1]8'!$H$93</f>
        <v>1338</v>
      </c>
      <c r="AO9" s="1386">
        <f>'[1]8'!$H$95</f>
        <v>528</v>
      </c>
      <c r="AP9" s="1386">
        <f>'[1]8'!$H$96</f>
        <v>275</v>
      </c>
      <c r="AQ9" s="1386">
        <f>'[1]8'!$H$97</f>
        <v>224</v>
      </c>
      <c r="AR9" s="1386">
        <f>'[1]8'!$H$98</f>
        <v>537</v>
      </c>
      <c r="AS9" s="1386">
        <f>'[1]8'!$H$99</f>
        <v>83</v>
      </c>
      <c r="AT9" s="1386">
        <f>'[1]8'!$H$100</f>
        <v>54</v>
      </c>
      <c r="AU9" s="1386">
        <f>'[1]8'!$H$104</f>
        <v>0</v>
      </c>
      <c r="AV9" s="1386">
        <f>'[1]8'!$H$105</f>
        <v>63</v>
      </c>
      <c r="AW9" s="1386">
        <f>'[1]8'!$H$106</f>
        <v>47</v>
      </c>
      <c r="AX9" s="1386">
        <f>'[1]8'!$H$109</f>
        <v>483</v>
      </c>
      <c r="AY9" s="1386">
        <f>'[1]8'!$H$110</f>
        <v>526</v>
      </c>
      <c r="AZ9" s="1386">
        <f>'[1]8'!$H$111</f>
        <v>62</v>
      </c>
      <c r="BA9" s="1386">
        <f>'[1]8'!$H$114</f>
        <v>117</v>
      </c>
      <c r="BB9" s="1386">
        <f>'[1]8'!$H$115</f>
        <v>52</v>
      </c>
      <c r="BC9" s="1386">
        <f>'[1]8'!$H$116</f>
        <v>0</v>
      </c>
      <c r="BD9" s="1386">
        <f>'[1]8'!$H$118</f>
        <v>1148</v>
      </c>
      <c r="BE9" s="1386">
        <f>'[1]8'!$H$119</f>
        <v>1164</v>
      </c>
      <c r="BF9" s="1386">
        <f>'[1]8'!$H$120</f>
        <v>1071</v>
      </c>
      <c r="BG9" s="1387">
        <f>'Section Load'!AJ12</f>
        <v>859.85000000009313</v>
      </c>
      <c r="BH9" s="1387">
        <f>'Section Load'!AK12</f>
        <v>241</v>
      </c>
      <c r="BI9" s="1387">
        <f>'Section Load'!AL12</f>
        <v>0.39999999999417923</v>
      </c>
      <c r="BJ9" s="1387">
        <f>'Section Load'!AM12</f>
        <v>63</v>
      </c>
      <c r="BK9" s="1387">
        <f>'Section Load'!AN12</f>
        <v>16</v>
      </c>
      <c r="BL9" s="1387">
        <f>'Section Load'!AO12</f>
        <v>1</v>
      </c>
      <c r="BM9" s="1387">
        <f>'Section Load'!AP12</f>
        <v>538.45000000009895</v>
      </c>
    </row>
    <row r="10" spans="1:65">
      <c r="A10" s="1369" t="s">
        <v>305</v>
      </c>
      <c r="B10" s="1370">
        <f t="shared" si="0"/>
        <v>9</v>
      </c>
      <c r="C10" s="1370">
        <v>3</v>
      </c>
      <c r="D10" s="1370">
        <v>2021</v>
      </c>
      <c r="E10" s="1385">
        <f>'Section Load'!B13</f>
        <v>3381</v>
      </c>
      <c r="F10" s="1385">
        <f>'Section Load'!C13</f>
        <v>1491</v>
      </c>
      <c r="G10" s="1385">
        <f>'Section Load'!D13</f>
        <v>2121</v>
      </c>
      <c r="H10" s="1385">
        <f>'Section Load'!E13</f>
        <v>4195</v>
      </c>
      <c r="I10" s="1385">
        <f>'Section Load'!F13</f>
        <v>5115</v>
      </c>
      <c r="J10" s="1385">
        <f>'Section Load'!G13</f>
        <v>2377</v>
      </c>
      <c r="K10" s="1385">
        <f>'Section Load'!H13</f>
        <v>1028</v>
      </c>
      <c r="L10" s="1385">
        <f>'Section Load'!I13</f>
        <v>667</v>
      </c>
      <c r="M10" s="1385">
        <f>'Section Load'!J13</f>
        <v>100</v>
      </c>
      <c r="N10" s="1385">
        <f>'Section Load'!K13</f>
        <v>1</v>
      </c>
      <c r="O10" s="1385">
        <f>'Section Load'!L13</f>
        <v>24</v>
      </c>
      <c r="P10" s="1385">
        <f>'Section Load'!M13</f>
        <v>174</v>
      </c>
      <c r="Q10" s="1385">
        <f>'Section Load'!N13</f>
        <v>81</v>
      </c>
      <c r="R10" s="1385">
        <f>'Section Load'!O13</f>
        <v>65</v>
      </c>
      <c r="S10" s="1385">
        <f>'Section Load'!P13</f>
        <v>471</v>
      </c>
      <c r="T10" s="1385">
        <f>'Section Load'!Q13</f>
        <v>192</v>
      </c>
      <c r="U10" s="1385">
        <f>'Section Load'!R13</f>
        <v>134</v>
      </c>
      <c r="V10" s="1385">
        <f>'Section Load'!S13</f>
        <v>82</v>
      </c>
      <c r="W10" s="1385">
        <f>'Section Load'!T13</f>
        <v>22</v>
      </c>
      <c r="X10" s="1385">
        <f>'Section Load'!U13</f>
        <v>186</v>
      </c>
      <c r="Y10" s="1385">
        <f>'Section Load'!V13</f>
        <v>422</v>
      </c>
      <c r="Z10" s="1385">
        <f>'Section Load'!W13</f>
        <v>101</v>
      </c>
      <c r="AA10" s="1385">
        <f>'Section Load'!X13</f>
        <v>33</v>
      </c>
      <c r="AB10" s="1385">
        <f>'Section Load'!Y13</f>
        <v>102</v>
      </c>
      <c r="AC10" s="1385">
        <f>'Section Load'!Z13</f>
        <v>85</v>
      </c>
      <c r="AD10" s="1385">
        <f>'Section Load'!AA13</f>
        <v>0</v>
      </c>
      <c r="AE10" s="1385">
        <f>'Section Load'!AB13</f>
        <v>16</v>
      </c>
      <c r="AF10" s="1385">
        <f>'Section Load'!AC13</f>
        <v>504</v>
      </c>
      <c r="AG10" s="1385">
        <f>'Section Load'!AD13</f>
        <v>375</v>
      </c>
      <c r="AH10" s="1385">
        <f>'Section Load'!AE13</f>
        <v>378</v>
      </c>
      <c r="AI10" s="1385">
        <f>'Section Load'!AF13</f>
        <v>676</v>
      </c>
      <c r="AJ10" s="1385">
        <f>'Section Load'!AG13</f>
        <v>337</v>
      </c>
      <c r="AK10" s="1385">
        <f>'Section Load'!AH13</f>
        <v>332</v>
      </c>
      <c r="AL10" s="1385">
        <f>'Section Load'!AI13</f>
        <v>882</v>
      </c>
      <c r="AM10" s="1386">
        <f>'[1]9'!$H$92</f>
        <v>854</v>
      </c>
      <c r="AN10" s="1386">
        <f>'[1]9'!$H$93</f>
        <v>1444</v>
      </c>
      <c r="AO10" s="1386">
        <f>'[1]9'!$H$95</f>
        <v>590</v>
      </c>
      <c r="AP10" s="1386">
        <f>'[1]9'!$H$96</f>
        <v>315</v>
      </c>
      <c r="AQ10" s="1386">
        <f>'[1]9'!$H$97</f>
        <v>253</v>
      </c>
      <c r="AR10" s="1386">
        <f>'[1]9'!$H$98</f>
        <v>604</v>
      </c>
      <c r="AS10" s="1386">
        <f>'[1]9'!$H$99</f>
        <v>96</v>
      </c>
      <c r="AT10" s="1386">
        <f>'[1]9'!$H$100</f>
        <v>63</v>
      </c>
      <c r="AU10" s="1386">
        <f>'[1]9'!$H$104</f>
        <v>0</v>
      </c>
      <c r="AV10" s="1386">
        <f>'[1]9'!$H$105</f>
        <v>63</v>
      </c>
      <c r="AW10" s="1386">
        <f>'[1]9'!$H$106</f>
        <v>51</v>
      </c>
      <c r="AX10" s="1386">
        <f>'[1]9'!$H$109</f>
        <v>536</v>
      </c>
      <c r="AY10" s="1386">
        <f>'[1]9'!$H$110</f>
        <v>589</v>
      </c>
      <c r="AZ10" s="1386">
        <f>'[1]9'!$H$111</f>
        <v>99</v>
      </c>
      <c r="BA10" s="1386">
        <f>'[1]9'!$H$114</f>
        <v>132</v>
      </c>
      <c r="BB10" s="1386">
        <f>'[1]9'!$H$115</f>
        <v>59</v>
      </c>
      <c r="BC10" s="1386">
        <f>'[1]9'!$H$116</f>
        <v>0</v>
      </c>
      <c r="BD10" s="1386">
        <f>'[1]9'!$H$118</f>
        <v>1304</v>
      </c>
      <c r="BE10" s="1386">
        <f>'[1]9'!$H$119</f>
        <v>1317</v>
      </c>
      <c r="BF10" s="1386">
        <f>'[1]9'!$H$120</f>
        <v>1224</v>
      </c>
      <c r="BG10" s="1387">
        <f>'Section Load'!AJ13</f>
        <v>779.02000000001863</v>
      </c>
      <c r="BH10" s="1387">
        <f>'Section Load'!AK13</f>
        <v>253</v>
      </c>
      <c r="BI10" s="1387">
        <f>'Section Load'!AL13</f>
        <v>0</v>
      </c>
      <c r="BJ10" s="1387">
        <f>'Section Load'!AM13</f>
        <v>43</v>
      </c>
      <c r="BK10" s="1387">
        <f>'Section Load'!AN13</f>
        <v>85</v>
      </c>
      <c r="BL10" s="1387">
        <f>'Section Load'!AO13</f>
        <v>2</v>
      </c>
      <c r="BM10" s="1387">
        <f>'Section Load'!AP13</f>
        <v>396.02000000001863</v>
      </c>
    </row>
    <row r="11" spans="1:65">
      <c r="A11" s="1369" t="s">
        <v>305</v>
      </c>
      <c r="B11" s="1370">
        <f t="shared" si="0"/>
        <v>10</v>
      </c>
      <c r="C11" s="1370">
        <v>3</v>
      </c>
      <c r="D11" s="1370">
        <v>2021</v>
      </c>
      <c r="E11" s="1385">
        <f>'Section Load'!B14</f>
        <v>3447</v>
      </c>
      <c r="F11" s="1385">
        <f>'Section Load'!C14</f>
        <v>1549</v>
      </c>
      <c r="G11" s="1385">
        <f>'Section Load'!D14</f>
        <v>2046</v>
      </c>
      <c r="H11" s="1385">
        <f>'Section Load'!E14</f>
        <v>4185</v>
      </c>
      <c r="I11" s="1385">
        <f>'Section Load'!F14</f>
        <v>4999</v>
      </c>
      <c r="J11" s="1385">
        <f>'Section Load'!G14</f>
        <v>2507</v>
      </c>
      <c r="K11" s="1385">
        <f>'Section Load'!H14</f>
        <v>1194</v>
      </c>
      <c r="L11" s="1385">
        <f>'Section Load'!I14</f>
        <v>702</v>
      </c>
      <c r="M11" s="1385">
        <f>'Section Load'!J14</f>
        <v>87</v>
      </c>
      <c r="N11" s="1385">
        <f>'Section Load'!K14</f>
        <v>0</v>
      </c>
      <c r="O11" s="1385">
        <f>'Section Load'!L14</f>
        <v>25</v>
      </c>
      <c r="P11" s="1385">
        <f>'Section Load'!M14</f>
        <v>161</v>
      </c>
      <c r="Q11" s="1385">
        <f>'Section Load'!N14</f>
        <v>90</v>
      </c>
      <c r="R11" s="1385">
        <f>'Section Load'!O14</f>
        <v>56</v>
      </c>
      <c r="S11" s="1385">
        <f>'Section Load'!P14</f>
        <v>409</v>
      </c>
      <c r="T11" s="1385">
        <f>'Section Load'!Q14</f>
        <v>205</v>
      </c>
      <c r="U11" s="1385">
        <f>'Section Load'!R14</f>
        <v>517</v>
      </c>
      <c r="V11" s="1385">
        <f>'Section Load'!S14</f>
        <v>89</v>
      </c>
      <c r="W11" s="1385">
        <f>'Section Load'!T14</f>
        <v>25</v>
      </c>
      <c r="X11" s="1385">
        <f>'Section Load'!U14</f>
        <v>196</v>
      </c>
      <c r="Y11" s="1385">
        <f>'Section Load'!V14</f>
        <v>491</v>
      </c>
      <c r="Z11" s="1385">
        <f>'Section Load'!W14</f>
        <v>159</v>
      </c>
      <c r="AA11" s="1385">
        <f>'Section Load'!X14</f>
        <v>27</v>
      </c>
      <c r="AB11" s="1385">
        <f>'Section Load'!Y14</f>
        <v>96</v>
      </c>
      <c r="AC11" s="1385">
        <f>'Section Load'!Z14</f>
        <v>43</v>
      </c>
      <c r="AD11" s="1385">
        <f>'Section Load'!AA14</f>
        <v>0</v>
      </c>
      <c r="AE11" s="1385">
        <f>'Section Load'!AB14</f>
        <v>14</v>
      </c>
      <c r="AF11" s="1385">
        <f>'Section Load'!AC14</f>
        <v>545</v>
      </c>
      <c r="AG11" s="1385">
        <f>'Section Load'!AD14</f>
        <v>371</v>
      </c>
      <c r="AH11" s="1385">
        <f>'Section Load'!AE14</f>
        <v>355</v>
      </c>
      <c r="AI11" s="1385">
        <f>'Section Load'!AF14</f>
        <v>657</v>
      </c>
      <c r="AJ11" s="1385">
        <f>'Section Load'!AG14</f>
        <v>328</v>
      </c>
      <c r="AK11" s="1385">
        <f>'Section Load'!AH14</f>
        <v>327</v>
      </c>
      <c r="AL11" s="1385">
        <f>'Section Load'!AI14</f>
        <v>885</v>
      </c>
      <c r="AM11" s="1386">
        <f>'[1]10'!$H$92</f>
        <v>991</v>
      </c>
      <c r="AN11" s="1386">
        <f>'[1]10'!$H$93</f>
        <v>1599</v>
      </c>
      <c r="AO11" s="1386">
        <f>'[1]10'!$H$95</f>
        <v>667</v>
      </c>
      <c r="AP11" s="1386">
        <f>'[1]10'!$H$96</f>
        <v>355</v>
      </c>
      <c r="AQ11" s="1386">
        <f>'[1]10'!$H$97</f>
        <v>299</v>
      </c>
      <c r="AR11" s="1386">
        <f>'[1]10'!$H$98</f>
        <v>684</v>
      </c>
      <c r="AS11" s="1386">
        <f>'[1]10'!$H$99</f>
        <v>108</v>
      </c>
      <c r="AT11" s="1386">
        <f>'[1]10'!$H$100</f>
        <v>75</v>
      </c>
      <c r="AU11" s="1386">
        <f>'[1]10'!$H$104</f>
        <v>0</v>
      </c>
      <c r="AV11" s="1386">
        <f>'[1]10'!$H$105</f>
        <v>75</v>
      </c>
      <c r="AW11" s="1386">
        <f>'[1]10'!$H$106</f>
        <v>54</v>
      </c>
      <c r="AX11" s="1386">
        <f>'[1]10'!$H$109</f>
        <v>597</v>
      </c>
      <c r="AY11" s="1386">
        <f>'[1]10'!$H$110</f>
        <v>653</v>
      </c>
      <c r="AZ11" s="1386">
        <f>'[1]10'!$H$111</f>
        <v>105</v>
      </c>
      <c r="BA11" s="1386">
        <f>'[1]10'!$H$114</f>
        <v>146</v>
      </c>
      <c r="BB11" s="1386">
        <f>'[1]10'!$H$115</f>
        <v>72</v>
      </c>
      <c r="BC11" s="1386">
        <f>'[1]10'!$H$116</f>
        <v>0</v>
      </c>
      <c r="BD11" s="1386">
        <f>'[1]10'!$H$118</f>
        <v>1491</v>
      </c>
      <c r="BE11" s="1386">
        <f>'[1]10'!$H$119</f>
        <v>1504</v>
      </c>
      <c r="BF11" s="1386">
        <f>'[1]10'!$H$120</f>
        <v>1355</v>
      </c>
      <c r="BG11" s="1387">
        <f>'Section Load'!AJ14</f>
        <v>847.12999999988824</v>
      </c>
      <c r="BH11" s="1387">
        <f>'Section Load'!AK14</f>
        <v>247</v>
      </c>
      <c r="BI11" s="1387">
        <f>'Section Load'!AL14</f>
        <v>-0.39999999999417923</v>
      </c>
      <c r="BJ11" s="1387">
        <f>'Section Load'!AM14</f>
        <v>76</v>
      </c>
      <c r="BK11" s="1387">
        <f>'Section Load'!AN14</f>
        <v>51</v>
      </c>
      <c r="BL11" s="1387">
        <f>'Section Load'!AO14</f>
        <v>3</v>
      </c>
      <c r="BM11" s="1387">
        <f>'Section Load'!AP14</f>
        <v>470.52999999988242</v>
      </c>
    </row>
    <row r="12" spans="1:65">
      <c r="A12" s="1369" t="s">
        <v>305</v>
      </c>
      <c r="B12" s="1370">
        <f t="shared" si="0"/>
        <v>11</v>
      </c>
      <c r="C12" s="1370">
        <v>3</v>
      </c>
      <c r="D12" s="1370">
        <v>2021</v>
      </c>
      <c r="E12" s="1385">
        <f>'Section Load'!B15</f>
        <v>3850</v>
      </c>
      <c r="F12" s="1385">
        <f>'Section Load'!C15</f>
        <v>1551</v>
      </c>
      <c r="G12" s="1385">
        <f>'Section Load'!D15</f>
        <v>2085</v>
      </c>
      <c r="H12" s="1385">
        <f>'Section Load'!E15</f>
        <v>4105</v>
      </c>
      <c r="I12" s="1385">
        <f>'Section Load'!F15</f>
        <v>5075</v>
      </c>
      <c r="J12" s="1385">
        <f>'Section Load'!G15</f>
        <v>2394</v>
      </c>
      <c r="K12" s="1385">
        <f>'Section Load'!H15</f>
        <v>1135</v>
      </c>
      <c r="L12" s="1385">
        <f>'Section Load'!I15</f>
        <v>598</v>
      </c>
      <c r="M12" s="1385">
        <f>'Section Load'!J15</f>
        <v>95</v>
      </c>
      <c r="N12" s="1385">
        <f>'Section Load'!K15</f>
        <v>0</v>
      </c>
      <c r="O12" s="1385">
        <f>'Section Load'!L15</f>
        <v>26</v>
      </c>
      <c r="P12" s="1385">
        <f>'Section Load'!M15</f>
        <v>164</v>
      </c>
      <c r="Q12" s="1385">
        <f>'Section Load'!N15</f>
        <v>91</v>
      </c>
      <c r="R12" s="1385">
        <f>'Section Load'!O15</f>
        <v>55</v>
      </c>
      <c r="S12" s="1385">
        <f>'Section Load'!P15</f>
        <v>411</v>
      </c>
      <c r="T12" s="1385">
        <f>'Section Load'!Q15</f>
        <v>173</v>
      </c>
      <c r="U12" s="1385">
        <f>'Section Load'!R15</f>
        <v>97</v>
      </c>
      <c r="V12" s="1385">
        <f>'Section Load'!S15</f>
        <v>84</v>
      </c>
      <c r="W12" s="1385">
        <f>'Section Load'!T15</f>
        <v>26</v>
      </c>
      <c r="X12" s="1385">
        <f>'Section Load'!U15</f>
        <v>161</v>
      </c>
      <c r="Y12" s="1385">
        <f>'Section Load'!V15</f>
        <v>407</v>
      </c>
      <c r="Z12" s="1385">
        <f>'Section Load'!W15</f>
        <v>169</v>
      </c>
      <c r="AA12" s="1385">
        <f>'Section Load'!X15</f>
        <v>25</v>
      </c>
      <c r="AB12" s="1385">
        <f>'Section Load'!Y15</f>
        <v>83</v>
      </c>
      <c r="AC12" s="1385">
        <f>'Section Load'!Z15</f>
        <v>30</v>
      </c>
      <c r="AD12" s="1385">
        <f>'Section Load'!AA15</f>
        <v>0</v>
      </c>
      <c r="AE12" s="1385">
        <f>'Section Load'!AB15</f>
        <v>14</v>
      </c>
      <c r="AF12" s="1385">
        <f>'Section Load'!AC15</f>
        <v>507</v>
      </c>
      <c r="AG12" s="1385">
        <f>'Section Load'!AD15</f>
        <v>354</v>
      </c>
      <c r="AH12" s="1385">
        <f>'Section Load'!AE15</f>
        <v>346</v>
      </c>
      <c r="AI12" s="1385">
        <f>'Section Load'!AF15</f>
        <v>664</v>
      </c>
      <c r="AJ12" s="1385">
        <f>'Section Load'!AG15</f>
        <v>302</v>
      </c>
      <c r="AK12" s="1385">
        <f>'Section Load'!AH15</f>
        <v>330</v>
      </c>
      <c r="AL12" s="1385">
        <f>'Section Load'!AI15</f>
        <v>998</v>
      </c>
      <c r="AM12" s="1386">
        <f>'[1]11'!$H$92</f>
        <v>1092</v>
      </c>
      <c r="AN12" s="1386">
        <f>'[1]11'!$H$93</f>
        <v>1733</v>
      </c>
      <c r="AO12" s="1386">
        <f>'[1]11'!$H$95</f>
        <v>738</v>
      </c>
      <c r="AP12" s="1386">
        <f>'[1]11'!$H$96</f>
        <v>404</v>
      </c>
      <c r="AQ12" s="1386">
        <f>'[1]11'!$H$97</f>
        <v>322</v>
      </c>
      <c r="AR12" s="1386">
        <f>'[1]11'!$H$98</f>
        <v>759</v>
      </c>
      <c r="AS12" s="1386">
        <f>'[1]11'!$H$99</f>
        <v>118</v>
      </c>
      <c r="AT12" s="1386">
        <f>'[1]11'!$H$100</f>
        <v>84</v>
      </c>
      <c r="AU12" s="1386">
        <f>'[1]11'!$H$104</f>
        <v>74</v>
      </c>
      <c r="AV12" s="1386">
        <f>'[1]11'!$H$105</f>
        <v>55</v>
      </c>
      <c r="AW12" s="1386">
        <f>'[1]11'!$H$106</f>
        <v>340</v>
      </c>
      <c r="AX12" s="1386">
        <f>'[1]11'!$H$109</f>
        <v>181</v>
      </c>
      <c r="AY12" s="1386">
        <f>'[1]11'!$H$110</f>
        <v>144</v>
      </c>
      <c r="AZ12" s="1386">
        <f>'[1]11'!$H$111</f>
        <v>445</v>
      </c>
      <c r="BA12" s="1386">
        <f>'[1]11'!$H$114</f>
        <v>12</v>
      </c>
      <c r="BB12" s="1386">
        <f>'[1]11'!$H$115</f>
        <v>90</v>
      </c>
      <c r="BC12" s="1386">
        <f>'[1]11'!$H$116</f>
        <v>200</v>
      </c>
      <c r="BD12" s="1386">
        <f>'[1]11'!$H$118</f>
        <v>175</v>
      </c>
      <c r="BE12" s="1386">
        <f>'[1]11'!$H$119</f>
        <v>245</v>
      </c>
      <c r="BF12" s="1386">
        <f>'[1]11'!$H$120</f>
        <v>222</v>
      </c>
      <c r="BG12" s="1387">
        <f>'Section Load'!AJ15</f>
        <v>852</v>
      </c>
      <c r="BH12" s="1387">
        <f>'Section Load'!AK15</f>
        <v>233</v>
      </c>
      <c r="BI12" s="1387">
        <f>'Section Load'!AL15</f>
        <v>0</v>
      </c>
      <c r="BJ12" s="1387">
        <f>'Section Load'!AM15</f>
        <v>68</v>
      </c>
      <c r="BK12" s="1387">
        <f>'Section Load'!AN15</f>
        <v>17</v>
      </c>
      <c r="BL12" s="1387">
        <f>'Section Load'!AO15</f>
        <v>3</v>
      </c>
      <c r="BM12" s="1387">
        <f>'Section Load'!AP15</f>
        <v>531</v>
      </c>
    </row>
    <row r="13" spans="1:65">
      <c r="A13" s="1369" t="s">
        <v>305</v>
      </c>
      <c r="B13" s="1370">
        <f t="shared" si="0"/>
        <v>12</v>
      </c>
      <c r="C13" s="1370">
        <v>3</v>
      </c>
      <c r="D13" s="1370">
        <v>2021</v>
      </c>
      <c r="E13" s="1385">
        <f>'Section Load'!B16</f>
        <v>3783</v>
      </c>
      <c r="F13" s="1385">
        <f>'Section Load'!C16</f>
        <v>1569</v>
      </c>
      <c r="G13" s="1385">
        <f>'Section Load'!D16</f>
        <v>1820</v>
      </c>
      <c r="H13" s="1385">
        <f>'Section Load'!E16</f>
        <v>4165</v>
      </c>
      <c r="I13" s="1385">
        <f>'Section Load'!F16</f>
        <v>5122</v>
      </c>
      <c r="J13" s="1385">
        <f>'Section Load'!G16</f>
        <v>2392</v>
      </c>
      <c r="K13" s="1385">
        <f>'Section Load'!H16</f>
        <v>1179</v>
      </c>
      <c r="L13" s="1385">
        <f>'Section Load'!I16</f>
        <v>629</v>
      </c>
      <c r="M13" s="1385">
        <f>'Section Load'!J16</f>
        <v>87</v>
      </c>
      <c r="N13" s="1385">
        <f>'Section Load'!K16</f>
        <v>1</v>
      </c>
      <c r="O13" s="1385">
        <f>'Section Load'!L16</f>
        <v>24</v>
      </c>
      <c r="P13" s="1385">
        <f>'Section Load'!M16</f>
        <v>168</v>
      </c>
      <c r="Q13" s="1385">
        <f>'Section Load'!N16</f>
        <v>87</v>
      </c>
      <c r="R13" s="1385">
        <f>'Section Load'!O16</f>
        <v>53</v>
      </c>
      <c r="S13" s="1385">
        <f>'Section Load'!P16</f>
        <v>407</v>
      </c>
      <c r="T13" s="1385">
        <f>'Section Load'!Q16</f>
        <v>190</v>
      </c>
      <c r="U13" s="1385">
        <f>'Section Load'!R16</f>
        <v>576</v>
      </c>
      <c r="V13" s="1385">
        <f>'Section Load'!S16</f>
        <v>88</v>
      </c>
      <c r="W13" s="1385">
        <f>'Section Load'!T16</f>
        <v>23</v>
      </c>
      <c r="X13" s="1385">
        <f>'Section Load'!U16</f>
        <v>173</v>
      </c>
      <c r="Y13" s="1385">
        <f>'Section Load'!V16</f>
        <v>211</v>
      </c>
      <c r="Z13" s="1385">
        <f>'Section Load'!W16</f>
        <v>249</v>
      </c>
      <c r="AA13" s="1385">
        <f>'Section Load'!X16</f>
        <v>28</v>
      </c>
      <c r="AB13" s="1385">
        <f>'Section Load'!Y16</f>
        <v>74</v>
      </c>
      <c r="AC13" s="1385">
        <f>'Section Load'!Z16</f>
        <v>32</v>
      </c>
      <c r="AD13" s="1385">
        <f>'Section Load'!AA16</f>
        <v>0</v>
      </c>
      <c r="AE13" s="1385">
        <f>'Section Load'!AB16</f>
        <v>12</v>
      </c>
      <c r="AF13" s="1385">
        <f>'Section Load'!AC16</f>
        <v>514</v>
      </c>
      <c r="AG13" s="1385">
        <f>'Section Load'!AD16</f>
        <v>352</v>
      </c>
      <c r="AH13" s="1385">
        <f>'Section Load'!AE16</f>
        <v>366</v>
      </c>
      <c r="AI13" s="1385">
        <f>'Section Load'!AF16</f>
        <v>675</v>
      </c>
      <c r="AJ13" s="1385">
        <f>'Section Load'!AG16</f>
        <v>333</v>
      </c>
      <c r="AK13" s="1385">
        <f>'Section Load'!AH16</f>
        <v>328</v>
      </c>
      <c r="AL13" s="1385">
        <f>'Section Load'!AI16</f>
        <v>991</v>
      </c>
      <c r="AM13" s="1386">
        <f>'[1]12'!$H$92</f>
        <v>1221</v>
      </c>
      <c r="AN13" s="1386">
        <f>'[1]12'!$H$93</f>
        <v>1850</v>
      </c>
      <c r="AO13" s="1386">
        <f>'[1]12'!$H$95</f>
        <v>824</v>
      </c>
      <c r="AP13" s="1386">
        <f>'[1]12'!$H$96</f>
        <v>442</v>
      </c>
      <c r="AQ13" s="1386">
        <f>'[1]12'!$H$97</f>
        <v>349</v>
      </c>
      <c r="AR13" s="1386">
        <f>'[1]12'!$H$98</f>
        <v>842</v>
      </c>
      <c r="AS13" s="1386">
        <f>'[1]12'!$H$99</f>
        <v>128</v>
      </c>
      <c r="AT13" s="1386">
        <f>'[1]12'!$H$100</f>
        <v>91</v>
      </c>
      <c r="AU13" s="1386">
        <f>'[1]12'!$H$104</f>
        <v>74</v>
      </c>
      <c r="AV13" s="1386">
        <f>'[1]12'!$H$105</f>
        <v>57</v>
      </c>
      <c r="AW13" s="1386">
        <f>'[1]12'!$H$106</f>
        <v>346</v>
      </c>
      <c r="AX13" s="1386">
        <f>'[1]12'!$H$109</f>
        <v>140</v>
      </c>
      <c r="AY13" s="1386">
        <f>'[1]12'!$H$110</f>
        <v>104</v>
      </c>
      <c r="AZ13" s="1386">
        <f>'[1]12'!$H$111</f>
        <v>433</v>
      </c>
      <c r="BA13" s="1386">
        <f>'[1]12'!$H$114</f>
        <v>14</v>
      </c>
      <c r="BB13" s="1386">
        <f>'[1]12'!$H$115</f>
        <v>95</v>
      </c>
      <c r="BC13" s="1386">
        <f>'[1]12'!$H$116</f>
        <v>200</v>
      </c>
      <c r="BD13" s="1386">
        <f>'[1]12'!$H$118</f>
        <v>203</v>
      </c>
      <c r="BE13" s="1386">
        <f>'[1]12'!$H$119</f>
        <v>251</v>
      </c>
      <c r="BF13" s="1386">
        <f>'[1]12'!$H$120</f>
        <v>129</v>
      </c>
      <c r="BG13" s="1387">
        <f>'Section Load'!AJ16</f>
        <v>804.77000000001863</v>
      </c>
      <c r="BH13" s="1387">
        <f>'Section Load'!AK16</f>
        <v>245</v>
      </c>
      <c r="BI13" s="1387">
        <f>'Section Load'!AL16</f>
        <v>0</v>
      </c>
      <c r="BJ13" s="1387">
        <f>'Section Load'!AM16</f>
        <v>60</v>
      </c>
      <c r="BK13" s="1387">
        <f>'Section Load'!AN16</f>
        <v>20</v>
      </c>
      <c r="BL13" s="1387">
        <f>'Section Load'!AO16</f>
        <v>3</v>
      </c>
      <c r="BM13" s="1387">
        <f>'Section Load'!AP16</f>
        <v>476.77000000001863</v>
      </c>
    </row>
    <row r="14" spans="1:65">
      <c r="A14" s="1369" t="s">
        <v>305</v>
      </c>
      <c r="B14" s="1370">
        <f t="shared" si="0"/>
        <v>13</v>
      </c>
      <c r="C14" s="1370">
        <v>3</v>
      </c>
      <c r="D14" s="1370">
        <v>2021</v>
      </c>
      <c r="E14" s="1385">
        <f>'Section Load'!B17</f>
        <v>-86100.199999999953</v>
      </c>
      <c r="F14" s="1385">
        <f>'Section Load'!C17</f>
        <v>-40476.15</v>
      </c>
      <c r="G14" s="1385">
        <f>'Section Load'!D17</f>
        <v>-56670.429999999978</v>
      </c>
      <c r="H14" s="1385">
        <f>'Section Load'!E17</f>
        <v>-114836.79</v>
      </c>
      <c r="I14" s="1385">
        <f>'Section Load'!F17</f>
        <v>-137282.09599999999</v>
      </c>
      <c r="J14" s="1385">
        <f>'Section Load'!G17</f>
        <v>-64401.480000000054</v>
      </c>
      <c r="K14" s="1385">
        <f>'Section Load'!H17</f>
        <v>-33798.090000000026</v>
      </c>
      <c r="L14" s="1385">
        <f>'Section Load'!I17</f>
        <v>-19407.669999999984</v>
      </c>
      <c r="M14" s="1385">
        <f>'Section Load'!J17</f>
        <v>-2199</v>
      </c>
      <c r="N14" s="1385">
        <f>'Section Load'!K17</f>
        <v>-39</v>
      </c>
      <c r="O14" s="1385">
        <f>'Section Load'!L17</f>
        <v>-847.05500000000006</v>
      </c>
      <c r="P14" s="1385">
        <f>'Section Load'!M17</f>
        <v>-4682.32</v>
      </c>
      <c r="Q14" s="1385">
        <f>'Section Load'!N17</f>
        <v>-2192.12</v>
      </c>
      <c r="R14" s="1385">
        <f>'Section Load'!O17</f>
        <v>-1385</v>
      </c>
      <c r="S14" s="1385">
        <f>'Section Load'!P17</f>
        <v>-10267</v>
      </c>
      <c r="T14" s="1385">
        <f>'Section Load'!Q17</f>
        <v>-5404</v>
      </c>
      <c r="U14" s="1385">
        <f>'Section Load'!R17</f>
        <v>-9854.320000000007</v>
      </c>
      <c r="V14" s="1385">
        <f>'Section Load'!S17</f>
        <v>-3080.8800000000047</v>
      </c>
      <c r="W14" s="1385">
        <f>'Section Load'!T17</f>
        <v>-633.97999999999593</v>
      </c>
      <c r="X14" s="1385">
        <f>'Section Load'!U17</f>
        <v>-5456.0299999999988</v>
      </c>
      <c r="Y14" s="1385">
        <f>'Section Load'!V17</f>
        <v>987320</v>
      </c>
      <c r="Z14" s="1385">
        <f>'Section Load'!W17</f>
        <v>-3180.5599999999977</v>
      </c>
      <c r="AA14" s="1385">
        <f>'Section Load'!X17</f>
        <v>-758</v>
      </c>
      <c r="AB14" s="1385">
        <f>'Section Load'!Y17</f>
        <v>-1813.0100000000093</v>
      </c>
      <c r="AC14" s="1385">
        <f>'Section Load'!Z17</f>
        <v>-863.90000000000009</v>
      </c>
      <c r="AD14" s="1385">
        <f>'Section Load'!AA17</f>
        <v>0.18000000000029104</v>
      </c>
      <c r="AE14" s="1385">
        <f>'Section Load'!AB17</f>
        <v>-357.75</v>
      </c>
      <c r="AF14" s="1385">
        <f>'Section Load'!AC17</f>
        <v>-13143.559999999998</v>
      </c>
      <c r="AG14" s="1385">
        <f>'Section Load'!AD17</f>
        <v>-10430.160000000003</v>
      </c>
      <c r="AH14" s="1385">
        <f>'Section Load'!AE17</f>
        <v>-10545.897000000001</v>
      </c>
      <c r="AI14" s="1385">
        <f>'Section Load'!AF17</f>
        <v>-18187.670000000013</v>
      </c>
      <c r="AJ14" s="1385">
        <f>'Section Load'!AG17</f>
        <v>-8971.2299999999959</v>
      </c>
      <c r="AK14" s="1385">
        <f>'Section Load'!AH17</f>
        <v>-8725.9599999999991</v>
      </c>
      <c r="AL14" s="1385">
        <f>'Section Load'!AI17</f>
        <v>-18219</v>
      </c>
      <c r="AM14" s="1386">
        <f>'[1]13'!$H$92</f>
        <v>1370</v>
      </c>
      <c r="AN14" s="1386">
        <f>'[1]13'!$H$93</f>
        <v>2099</v>
      </c>
      <c r="AO14" s="1386">
        <f>'[1]13'!$H$95</f>
        <v>912</v>
      </c>
      <c r="AP14" s="1386">
        <f>'[1]13'!$H$96</f>
        <v>485</v>
      </c>
      <c r="AQ14" s="1386">
        <f>'[1]13'!$H$97</f>
        <v>395</v>
      </c>
      <c r="AR14" s="1386">
        <f>'[1]13'!$H$98</f>
        <v>905</v>
      </c>
      <c r="AS14" s="1386">
        <f>'[1]13'!$H$99</f>
        <v>144</v>
      </c>
      <c r="AT14" s="1386">
        <f>'[1]13'!$H$100</f>
        <v>105</v>
      </c>
      <c r="AU14" s="1386">
        <f>'[1]13'!$H$104</f>
        <v>74</v>
      </c>
      <c r="AV14" s="1386">
        <f>'[1]13'!$H$105</f>
        <v>59</v>
      </c>
      <c r="AW14" s="1386">
        <f>'[1]13'!$H$106</f>
        <v>340</v>
      </c>
      <c r="AX14" s="1386">
        <f>'[1]13'!$H$109</f>
        <v>136</v>
      </c>
      <c r="AY14" s="1386">
        <f>'[1]13'!$H$110</f>
        <v>131</v>
      </c>
      <c r="AZ14" s="1386">
        <f>'[1]13'!$H$111</f>
        <v>446</v>
      </c>
      <c r="BA14" s="1386">
        <f>'[1]13'!$H$114</f>
        <v>20</v>
      </c>
      <c r="BB14" s="1386">
        <f>'[1]13'!$H$115</f>
        <v>93</v>
      </c>
      <c r="BC14" s="1386">
        <f>'[1]13'!$H$116</f>
        <v>200</v>
      </c>
      <c r="BD14" s="1386">
        <f>'[1]13'!$H$118</f>
        <v>224</v>
      </c>
      <c r="BE14" s="1386">
        <f>'[1]13'!$H$119</f>
        <v>290</v>
      </c>
      <c r="BF14" s="1386">
        <f>'[1]13'!$H$120</f>
        <v>165</v>
      </c>
      <c r="BG14" s="1387">
        <f>'Section Load'!AJ17</f>
        <v>-24979.18200000003</v>
      </c>
      <c r="BH14" s="1387">
        <f>'Section Load'!AK17</f>
        <v>-7046.5999999999767</v>
      </c>
      <c r="BI14" s="1387">
        <f>'Section Load'!AL17</f>
        <v>0.39999999999417923</v>
      </c>
      <c r="BJ14" s="1387">
        <f>'Section Load'!AM17</f>
        <v>-2027.75</v>
      </c>
      <c r="BK14" s="1387">
        <f>'Section Load'!AN17</f>
        <v>-791.69999999999709</v>
      </c>
      <c r="BL14" s="1387">
        <f>'Section Load'!AO17</f>
        <v>-69.700000000000728</v>
      </c>
      <c r="BM14" s="1387">
        <f>'Section Load'!AP17</f>
        <v>-15043.832000000049</v>
      </c>
    </row>
    <row r="15" spans="1:65">
      <c r="A15" s="1369" t="s">
        <v>305</v>
      </c>
      <c r="B15" s="1370">
        <f t="shared" si="0"/>
        <v>14</v>
      </c>
      <c r="C15" s="1370">
        <v>3</v>
      </c>
      <c r="D15" s="1370">
        <v>2021</v>
      </c>
      <c r="E15" s="1385">
        <f>'Section Load'!B18</f>
        <v>2968.1999999999534</v>
      </c>
      <c r="F15" s="1385">
        <f>'Section Load'!C18</f>
        <v>1580.2299999999996</v>
      </c>
      <c r="G15" s="1385">
        <f>'Section Load'!D18</f>
        <v>2441.0599999999995</v>
      </c>
      <c r="H15" s="1385">
        <f>'Section Load'!E18</f>
        <v>4655.1399999999994</v>
      </c>
      <c r="I15" s="1385">
        <f>'Section Load'!F18</f>
        <v>5638.7550000000047</v>
      </c>
      <c r="J15" s="1385">
        <f>'Section Load'!G18</f>
        <v>2360.0800000000745</v>
      </c>
      <c r="K15" s="1385">
        <f>'Section Load'!H18</f>
        <v>1369.2800000000279</v>
      </c>
      <c r="L15" s="1385">
        <f>'Section Load'!I18</f>
        <v>864.61999999999534</v>
      </c>
      <c r="M15" s="1385">
        <f>'Section Load'!J18</f>
        <v>103</v>
      </c>
      <c r="N15" s="1385">
        <f>'Section Load'!K18</f>
        <v>1</v>
      </c>
      <c r="O15" s="1385">
        <f>'Section Load'!L18</f>
        <v>61.495000000000005</v>
      </c>
      <c r="P15" s="1385">
        <f>'Section Load'!M18</f>
        <v>207.68000000000006</v>
      </c>
      <c r="Q15" s="1385">
        <f>'Section Load'!N18</f>
        <v>90.509999999999991</v>
      </c>
      <c r="R15" s="1385">
        <f>'Section Load'!O18</f>
        <v>54</v>
      </c>
      <c r="S15" s="1385">
        <f>'Section Load'!P18</f>
        <v>454</v>
      </c>
      <c r="T15" s="1385">
        <f>'Section Load'!Q18</f>
        <v>192</v>
      </c>
      <c r="U15" s="1385">
        <f>'Section Load'!R18</f>
        <v>386.88000000000466</v>
      </c>
      <c r="V15" s="1385">
        <f>'Section Load'!S18</f>
        <v>135.19999999995343</v>
      </c>
      <c r="W15" s="1385">
        <f>'Section Load'!T18</f>
        <v>26.929999999993015</v>
      </c>
      <c r="X15" s="1385">
        <f>'Section Load'!U18</f>
        <v>225.36999999999534</v>
      </c>
      <c r="Y15" s="1385">
        <f>'Section Load'!V18</f>
        <v>490</v>
      </c>
      <c r="Z15" s="1385">
        <f>'Section Load'!W18</f>
        <v>22</v>
      </c>
      <c r="AA15" s="1385">
        <f>'Section Load'!X18</f>
        <v>10.5</v>
      </c>
      <c r="AB15" s="1385">
        <f>'Section Load'!Y18</f>
        <v>41.820000000006985</v>
      </c>
      <c r="AC15" s="1385">
        <f>'Section Load'!Z18</f>
        <v>11.5</v>
      </c>
      <c r="AD15" s="1385">
        <f>'Section Load'!AA18</f>
        <v>0</v>
      </c>
      <c r="AE15" s="1385">
        <f>'Section Load'!AB18</f>
        <v>13.230000000000018</v>
      </c>
      <c r="AF15" s="1385">
        <f>'Section Load'!AC18</f>
        <v>391.25999999999476</v>
      </c>
      <c r="AG15" s="1385">
        <f>'Section Load'!AD18</f>
        <v>404.08999999999651</v>
      </c>
      <c r="AH15" s="1385">
        <f>'Section Load'!AE18</f>
        <v>402.83699999999953</v>
      </c>
      <c r="AI15" s="1385">
        <f>'Section Load'!AF18</f>
        <v>738.36000000001513</v>
      </c>
      <c r="AJ15" s="1385">
        <f>'Section Load'!AG18</f>
        <v>357.76699999999255</v>
      </c>
      <c r="AK15" s="1385">
        <f>'Section Load'!AH18</f>
        <v>312.34999999999854</v>
      </c>
      <c r="AL15" s="1385">
        <f>'Section Load'!AI18</f>
        <v>498</v>
      </c>
      <c r="AM15" s="1386">
        <f>'[1]14'!$H$92</f>
        <v>1536</v>
      </c>
      <c r="AN15" s="1386">
        <f>'[1]14'!$H$93</f>
        <v>2273</v>
      </c>
      <c r="AO15" s="1386">
        <f>'[1]14'!$H$95</f>
        <v>1033</v>
      </c>
      <c r="AP15" s="1386">
        <f>'[1]14'!$H$96</f>
        <v>532</v>
      </c>
      <c r="AQ15" s="1386">
        <f>'[1]14'!$H$97</f>
        <v>441</v>
      </c>
      <c r="AR15" s="1386">
        <f>'[1]14'!$H$98</f>
        <v>976</v>
      </c>
      <c r="AS15" s="1386">
        <f>'[1]14'!$H$99</f>
        <v>163</v>
      </c>
      <c r="AT15" s="1386">
        <f>'[1]14'!$H$100</f>
        <v>129</v>
      </c>
      <c r="AU15" s="1386">
        <f>'[1]14'!$H$104</f>
        <v>161</v>
      </c>
      <c r="AV15" s="1386">
        <f>'[1]14'!$H$105</f>
        <v>59</v>
      </c>
      <c r="AW15" s="1386">
        <f>'[1]14'!$H$106</f>
        <v>339</v>
      </c>
      <c r="AX15" s="1386">
        <f>'[1]14'!$H$109</f>
        <v>136</v>
      </c>
      <c r="AY15" s="1386">
        <f>'[1]14'!$H$110</f>
        <v>87</v>
      </c>
      <c r="AZ15" s="1386">
        <f>'[1]14'!$H$111</f>
        <v>433</v>
      </c>
      <c r="BA15" s="1386">
        <f>'[1]14'!$H$114</f>
        <v>22</v>
      </c>
      <c r="BB15" s="1386">
        <f>'[1]14'!$H$115</f>
        <v>107</v>
      </c>
      <c r="BC15" s="1386">
        <f>'[1]14'!$H$116</f>
        <v>200</v>
      </c>
      <c r="BD15" s="1386">
        <f>'[1]14'!$H$118</f>
        <v>240</v>
      </c>
      <c r="BE15" s="1386">
        <f>'[1]14'!$H$119</f>
        <v>340</v>
      </c>
      <c r="BF15" s="1386">
        <f>'[1]14'!$H$120</f>
        <v>108</v>
      </c>
      <c r="BG15" s="1387">
        <f>'Section Load'!AJ18</f>
        <v>1135.4930000000168</v>
      </c>
      <c r="BH15" s="1387">
        <f>'Section Load'!AK18</f>
        <v>307.53000000002794</v>
      </c>
      <c r="BI15" s="1387">
        <f>'Section Load'!AL18</f>
        <v>0</v>
      </c>
      <c r="BJ15" s="1387">
        <f>'Section Load'!AM18</f>
        <v>112.33999999999651</v>
      </c>
      <c r="BK15" s="1387">
        <f>'Section Load'!AN18</f>
        <v>52.099999999998545</v>
      </c>
      <c r="BL15" s="1387">
        <f>'Section Load'!AO18</f>
        <v>8.5</v>
      </c>
      <c r="BM15" s="1387">
        <f>'Section Load'!AP18</f>
        <v>655.02299999999377</v>
      </c>
    </row>
    <row r="16" spans="1:65">
      <c r="A16" s="1369" t="s">
        <v>305</v>
      </c>
      <c r="B16" s="1370">
        <f t="shared" si="0"/>
        <v>15</v>
      </c>
      <c r="C16" s="1370">
        <v>3</v>
      </c>
      <c r="D16" s="1370">
        <v>2021</v>
      </c>
      <c r="E16" s="1385">
        <f>'Section Load'!B19</f>
        <v>2919.7600000000093</v>
      </c>
      <c r="F16" s="1385">
        <f>'Section Load'!C19</f>
        <v>1580.0900000000001</v>
      </c>
      <c r="G16" s="1385">
        <f>'Section Load'!D19</f>
        <v>2468.8999999999996</v>
      </c>
      <c r="H16" s="1385">
        <f>'Section Load'!E19</f>
        <v>4654.59</v>
      </c>
      <c r="I16" s="1385">
        <f>'Section Load'!F19</f>
        <v>5582.9709999999905</v>
      </c>
      <c r="J16" s="1385">
        <f>'Section Load'!G19</f>
        <v>2346.1600000000326</v>
      </c>
      <c r="K16" s="1385">
        <f>'Section Load'!H19</f>
        <v>1990</v>
      </c>
      <c r="L16" s="1385">
        <f>'Section Load'!I19</f>
        <v>941.51999999996042</v>
      </c>
      <c r="M16" s="1385">
        <f>'Section Load'!J19</f>
        <v>93</v>
      </c>
      <c r="N16" s="1385">
        <f>'Section Load'!K19</f>
        <v>1</v>
      </c>
      <c r="O16" s="1385">
        <f>'Section Load'!L19</f>
        <v>63.379999999999995</v>
      </c>
      <c r="P16" s="1385">
        <f>'Section Load'!M19</f>
        <v>209.36</v>
      </c>
      <c r="Q16" s="1385">
        <f>'Section Load'!N19</f>
        <v>79.009999999999991</v>
      </c>
      <c r="R16" s="1385">
        <f>'Section Load'!O19</f>
        <v>54</v>
      </c>
      <c r="S16" s="1385">
        <f>'Section Load'!P19</f>
        <v>401</v>
      </c>
      <c r="T16" s="1385">
        <f>'Section Load'!Q19</f>
        <v>211</v>
      </c>
      <c r="U16" s="1385">
        <f>'Section Load'!R19</f>
        <v>412.96000000002095</v>
      </c>
      <c r="V16" s="1385">
        <f>'Section Load'!S19</f>
        <v>139.72000000008848</v>
      </c>
      <c r="W16" s="1385">
        <f>'Section Load'!T19</f>
        <v>28.059999999997672</v>
      </c>
      <c r="X16" s="1385">
        <f>'Section Load'!U19</f>
        <v>286.33000000000175</v>
      </c>
      <c r="Y16" s="1385">
        <f>'Section Load'!V19</f>
        <v>538</v>
      </c>
      <c r="Z16" s="1385">
        <f>'Section Load'!W19</f>
        <v>104.40000000002328</v>
      </c>
      <c r="AA16" s="1385">
        <f>'Section Load'!X19</f>
        <v>34.30000000000291</v>
      </c>
      <c r="AB16" s="1385">
        <f>'Section Load'!Y19</f>
        <v>77.080000000016298</v>
      </c>
      <c r="AC16" s="1385">
        <f>'Section Load'!Z19</f>
        <v>38.30000000000291</v>
      </c>
      <c r="AD16" s="1385">
        <f>'Section Load'!AA19</f>
        <v>0</v>
      </c>
      <c r="AE16" s="1385">
        <f>'Section Load'!AB19</f>
        <v>12.220000000000027</v>
      </c>
      <c r="AF16" s="1385">
        <f>'Section Load'!AC19</f>
        <v>426.88000000000466</v>
      </c>
      <c r="AG16" s="1385">
        <f>'Section Load'!AD19</f>
        <v>404.42000000001281</v>
      </c>
      <c r="AH16" s="1385">
        <f>'Section Load'!AE19</f>
        <v>400.69000000000233</v>
      </c>
      <c r="AI16" s="1385">
        <f>'Section Load'!AF19</f>
        <v>714.48000000001048</v>
      </c>
      <c r="AJ16" s="1385">
        <f>'Section Load'!AG19</f>
        <v>337.84300000000803</v>
      </c>
      <c r="AK16" s="1385">
        <f>'Section Load'!AH19</f>
        <v>305.81999999999971</v>
      </c>
      <c r="AL16" s="1385">
        <f>'Section Load'!AI19</f>
        <v>536</v>
      </c>
      <c r="AM16" s="1386">
        <f>'[1]15'!$H$92</f>
        <v>1728</v>
      </c>
      <c r="AN16" s="1386">
        <f>'[1]15'!$H$93</f>
        <v>2467</v>
      </c>
      <c r="AO16" s="1386">
        <f>'[1]15'!$H$95</f>
        <v>1164</v>
      </c>
      <c r="AP16" s="1386">
        <f>'[1]15'!$H$96</f>
        <v>557</v>
      </c>
      <c r="AQ16" s="1386">
        <f>'[1]15'!$H$97</f>
        <v>476</v>
      </c>
      <c r="AR16" s="1386">
        <f>'[1]15'!$H$98</f>
        <v>1052</v>
      </c>
      <c r="AS16" s="1386">
        <f>'[1]15'!$H$99</f>
        <v>193</v>
      </c>
      <c r="AT16" s="1386">
        <f>'[1]15'!$H$100</f>
        <v>152</v>
      </c>
      <c r="AU16" s="1386">
        <f>'[1]15'!$H$104</f>
        <v>74</v>
      </c>
      <c r="AV16" s="1386">
        <f>'[1]15'!$H$105</f>
        <v>65</v>
      </c>
      <c r="AW16" s="1386">
        <f>'[1]15'!$H$106</f>
        <v>345</v>
      </c>
      <c r="AX16" s="1386">
        <f>'[1]15'!$H$109</f>
        <v>159</v>
      </c>
      <c r="AY16" s="1386">
        <f>'[1]15'!$H$110</f>
        <v>131</v>
      </c>
      <c r="AZ16" s="1386">
        <f>'[1]15'!$H$111</f>
        <v>446</v>
      </c>
      <c r="BA16" s="1386">
        <f>'[1]15'!$H$114</f>
        <v>35</v>
      </c>
      <c r="BB16" s="1386">
        <f>'[1]15'!$H$115</f>
        <v>100</v>
      </c>
      <c r="BC16" s="1386">
        <f>'[1]15'!$H$116</f>
        <v>200</v>
      </c>
      <c r="BD16" s="1386">
        <f>'[1]15'!$H$118</f>
        <v>267</v>
      </c>
      <c r="BE16" s="1386">
        <f>'[1]15'!$H$119</f>
        <v>327</v>
      </c>
      <c r="BF16" s="1386">
        <f>'[1]15'!$H$120</f>
        <v>188</v>
      </c>
      <c r="BG16" s="1387">
        <f>'Section Load'!AJ19</f>
        <v>1235.2890000001062</v>
      </c>
      <c r="BH16" s="1387">
        <f>'Section Load'!AK19</f>
        <v>276.40999999991618</v>
      </c>
      <c r="BI16" s="1387">
        <f>'Section Load'!AL19</f>
        <v>0</v>
      </c>
      <c r="BJ16" s="1387">
        <f>'Section Load'!AM19</f>
        <v>135.35000000000582</v>
      </c>
      <c r="BK16" s="1387">
        <f>'Section Load'!AN19</f>
        <v>41.5</v>
      </c>
      <c r="BL16" s="1387">
        <f>'Section Load'!AO19</f>
        <v>5.5</v>
      </c>
      <c r="BM16" s="1387">
        <f>'Section Load'!AP19</f>
        <v>776.52900000018417</v>
      </c>
    </row>
    <row r="17" spans="1:65">
      <c r="A17" s="1369" t="s">
        <v>305</v>
      </c>
      <c r="B17" s="1370">
        <f t="shared" si="0"/>
        <v>16</v>
      </c>
      <c r="C17" s="1370">
        <v>3</v>
      </c>
      <c r="D17" s="1370">
        <v>2021</v>
      </c>
      <c r="E17" s="1385">
        <f>'Section Load'!B20</f>
        <v>3038.5200000000186</v>
      </c>
      <c r="F17" s="1385">
        <f>'Section Load'!C20</f>
        <v>1517.1100000000006</v>
      </c>
      <c r="G17" s="1385">
        <f>'Section Load'!D20</f>
        <v>2233.6500000000015</v>
      </c>
      <c r="H17" s="1385">
        <f>'Section Load'!E20</f>
        <v>4228.1200000000026</v>
      </c>
      <c r="I17" s="1385">
        <f>'Section Load'!F20</f>
        <v>4709.0199999999895</v>
      </c>
      <c r="J17" s="1385">
        <f>'Section Load'!G20</f>
        <v>2361.359999999986</v>
      </c>
      <c r="K17" s="1385">
        <f>'Section Load'!H20</f>
        <v>1255</v>
      </c>
      <c r="L17" s="1385">
        <f>'Section Load'!I20</f>
        <v>957.28000000002794</v>
      </c>
      <c r="M17" s="1385">
        <f>'Section Load'!J20</f>
        <v>96</v>
      </c>
      <c r="N17" s="1385">
        <f>'Section Load'!K20</f>
        <v>1</v>
      </c>
      <c r="O17" s="1385">
        <f>'Section Load'!L20</f>
        <v>49.52000000000001</v>
      </c>
      <c r="P17" s="1385">
        <f>'Section Load'!M20</f>
        <v>202.6099999999999</v>
      </c>
      <c r="Q17" s="1385">
        <f>'Section Load'!N20</f>
        <v>72.600000000000023</v>
      </c>
      <c r="R17" s="1385">
        <f>'Section Load'!O20</f>
        <v>54</v>
      </c>
      <c r="S17" s="1385">
        <f>'Section Load'!P20</f>
        <v>383</v>
      </c>
      <c r="T17" s="1385">
        <f>'Section Load'!Q20</f>
        <v>212</v>
      </c>
      <c r="U17" s="1385">
        <f>'Section Load'!R20</f>
        <v>391.47999999998137</v>
      </c>
      <c r="V17" s="1385">
        <f>'Section Load'!S20</f>
        <v>120.95999999996275</v>
      </c>
      <c r="W17" s="1385">
        <f>'Section Load'!T20</f>
        <v>26.430000000007567</v>
      </c>
      <c r="X17" s="1385">
        <f>'Section Load'!U20</f>
        <v>210.52999999999884</v>
      </c>
      <c r="Y17" s="1385">
        <f>'Section Load'!V20</f>
        <v>497</v>
      </c>
      <c r="Z17" s="1385">
        <f>'Section Load'!W20</f>
        <v>108.19999999995343</v>
      </c>
      <c r="AA17" s="1385">
        <f>'Section Load'!X20</f>
        <v>20.19999999999709</v>
      </c>
      <c r="AB17" s="1385">
        <f>'Section Load'!Y20</f>
        <v>80.019999999989523</v>
      </c>
      <c r="AC17" s="1385">
        <f>'Section Load'!Z20</f>
        <v>24.999999999997272</v>
      </c>
      <c r="AD17" s="1385">
        <f>'Section Load'!AA20</f>
        <v>0</v>
      </c>
      <c r="AE17" s="1385">
        <f>'Section Load'!AB20</f>
        <v>11.930000000000064</v>
      </c>
      <c r="AF17" s="1385">
        <f>'Section Load'!AC20</f>
        <v>432.27000000000407</v>
      </c>
      <c r="AG17" s="1385">
        <f>'Section Load'!AD20</f>
        <v>401.56999999999243</v>
      </c>
      <c r="AH17" s="1385">
        <f>'Section Load'!AE20</f>
        <v>409.7599999999984</v>
      </c>
      <c r="AI17" s="1385">
        <f>'Section Load'!AF20</f>
        <v>678.07999999998719</v>
      </c>
      <c r="AJ17" s="1385">
        <f>'Section Load'!AG20</f>
        <v>314.79999999998836</v>
      </c>
      <c r="AK17" s="1385">
        <f>'Section Load'!AH20</f>
        <v>302.34999999999854</v>
      </c>
      <c r="AL17" s="1385">
        <f>'Section Load'!AI20</f>
        <v>659</v>
      </c>
      <c r="AM17" s="1386">
        <f>'[1]16'!$H$92</f>
        <v>1860</v>
      </c>
      <c r="AN17" s="1386">
        <f>'[1]16'!$H$93</f>
        <v>2621</v>
      </c>
      <c r="AO17" s="1386">
        <f>'[1]16'!$H$95</f>
        <v>1261</v>
      </c>
      <c r="AP17" s="1386">
        <f>'[1]16'!$H$96</f>
        <v>575</v>
      </c>
      <c r="AQ17" s="1386">
        <f>'[1]16'!$H$97</f>
        <v>500</v>
      </c>
      <c r="AR17" s="1386">
        <f>'[1]16'!$H$98</f>
        <v>1108</v>
      </c>
      <c r="AS17" s="1386">
        <f>'[1]16'!$H$99</f>
        <v>210</v>
      </c>
      <c r="AT17" s="1386">
        <f>'[1]16'!$H$100</f>
        <v>158</v>
      </c>
      <c r="AU17" s="1386">
        <f>'[1]16'!$H$104</f>
        <v>74</v>
      </c>
      <c r="AV17" s="1386">
        <f>'[1]16'!$H$105</f>
        <v>60</v>
      </c>
      <c r="AW17" s="1386">
        <f>'[1]16'!$H$106</f>
        <v>340</v>
      </c>
      <c r="AX17" s="1386">
        <f>'[1]16'!$H$109</f>
        <v>136</v>
      </c>
      <c r="AY17" s="1386">
        <f>'[1]16'!$H$110</f>
        <v>103</v>
      </c>
      <c r="AZ17" s="1386">
        <f>'[1]16'!$H$111</f>
        <v>433</v>
      </c>
      <c r="BA17" s="1386">
        <f>'[1]16'!$H$114</f>
        <v>21</v>
      </c>
      <c r="BB17" s="1386">
        <f>'[1]16'!$H$115</f>
        <v>100</v>
      </c>
      <c r="BC17" s="1386">
        <f>'[1]16'!$H$116</f>
        <v>200</v>
      </c>
      <c r="BD17" s="1386">
        <f>'[1]16'!$H$118</f>
        <v>205</v>
      </c>
      <c r="BE17" s="1386">
        <f>'[1]16'!$H$119</f>
        <v>245</v>
      </c>
      <c r="BF17" s="1386">
        <f>'[1]16'!$H$120</f>
        <v>124</v>
      </c>
      <c r="BG17" s="1387">
        <f>'Section Load'!AJ20</f>
        <v>1012.5699999998324</v>
      </c>
      <c r="BH17" s="1387">
        <f>'Section Load'!AK20</f>
        <v>274.44000000006054</v>
      </c>
      <c r="BI17" s="1387">
        <f>'Section Load'!AL20</f>
        <v>0</v>
      </c>
      <c r="BJ17" s="1387">
        <f>'Section Load'!AM20</f>
        <v>87.940000000002328</v>
      </c>
      <c r="BK17" s="1387">
        <f>'Section Load'!AN20</f>
        <v>24.799999999995634</v>
      </c>
      <c r="BL17" s="1387">
        <f>'Section Load'!AO20</f>
        <v>2.1000000000003638</v>
      </c>
      <c r="BM17" s="1387">
        <f>'Section Load'!AP20</f>
        <v>623.2899999997735</v>
      </c>
    </row>
    <row r="18" spans="1:65">
      <c r="A18" s="1369" t="s">
        <v>305</v>
      </c>
      <c r="B18" s="1370">
        <f t="shared" si="0"/>
        <v>17</v>
      </c>
      <c r="C18" s="1370">
        <v>3</v>
      </c>
      <c r="D18" s="1370">
        <v>2021</v>
      </c>
      <c r="E18" s="1385">
        <f>'Section Load'!B21</f>
        <v>2711.640000000014</v>
      </c>
      <c r="F18" s="1385">
        <f>'Section Load'!C21</f>
        <v>1476.619999999999</v>
      </c>
      <c r="G18" s="1385">
        <f>'Section Load'!D21</f>
        <v>2001.3899999999994</v>
      </c>
      <c r="H18" s="1385">
        <f>'Section Load'!E21</f>
        <v>4187.6299999999974</v>
      </c>
      <c r="I18" s="1385">
        <f>'Section Load'!F21</f>
        <v>4529.1700000000201</v>
      </c>
      <c r="J18" s="1385">
        <f>'Section Load'!G21</f>
        <v>2334.7999999999302</v>
      </c>
      <c r="K18" s="1385">
        <f>'Section Load'!H21</f>
        <v>1128.5600000000559</v>
      </c>
      <c r="L18" s="1385">
        <f>'Section Load'!I21</f>
        <v>883.79999999998836</v>
      </c>
      <c r="M18" s="1385">
        <f>'Section Load'!J21</f>
        <v>65</v>
      </c>
      <c r="N18" s="1385">
        <f>'Section Load'!K21</f>
        <v>0</v>
      </c>
      <c r="O18" s="1385">
        <f>'Section Load'!L21</f>
        <v>52.419999999999987</v>
      </c>
      <c r="P18" s="1385">
        <f>'Section Load'!M21</f>
        <v>190.22000000000003</v>
      </c>
      <c r="Q18" s="1385">
        <f>'Section Load'!N21</f>
        <v>77.5</v>
      </c>
      <c r="R18" s="1385">
        <f>'Section Load'!O21</f>
        <v>54</v>
      </c>
      <c r="S18" s="1385">
        <f>'Section Load'!P21</f>
        <v>362</v>
      </c>
      <c r="T18" s="1385">
        <f>'Section Load'!Q21</f>
        <v>192</v>
      </c>
      <c r="U18" s="1385">
        <f>'Section Load'!R21</f>
        <v>341.96000000002095</v>
      </c>
      <c r="V18" s="1385">
        <f>'Section Load'!S21</f>
        <v>91.160000000032596</v>
      </c>
      <c r="W18" s="1385">
        <f>'Section Load'!T21</f>
        <v>28.880000000004657</v>
      </c>
      <c r="X18" s="1385">
        <f>'Section Load'!U21</f>
        <v>201.11000000000058</v>
      </c>
      <c r="Y18" s="1385">
        <f>'Section Load'!V21</f>
        <v>450</v>
      </c>
      <c r="Z18" s="1385">
        <f>'Section Load'!W21</f>
        <v>58.960000000020955</v>
      </c>
      <c r="AA18" s="1385">
        <f>'Section Load'!X21</f>
        <v>30.69999999999709</v>
      </c>
      <c r="AB18" s="1385">
        <f>'Section Load'!Y21</f>
        <v>82.989999999990687</v>
      </c>
      <c r="AC18" s="1385">
        <f>'Section Load'!Z21</f>
        <v>34.19999999999709</v>
      </c>
      <c r="AD18" s="1385">
        <f>'Section Load'!AA21</f>
        <v>0</v>
      </c>
      <c r="AE18" s="1385">
        <f>'Section Load'!AB21</f>
        <v>13.7199999999998</v>
      </c>
      <c r="AF18" s="1385">
        <f>'Section Load'!AC21</f>
        <v>429.92999999999302</v>
      </c>
      <c r="AG18" s="1385">
        <f>'Section Load'!AD21</f>
        <v>403.88999999999942</v>
      </c>
      <c r="AH18" s="1385">
        <f>'Section Load'!AE21</f>
        <v>394.95000000000073</v>
      </c>
      <c r="AI18" s="1385">
        <f>'Section Load'!AF21</f>
        <v>678.64000000001397</v>
      </c>
      <c r="AJ18" s="1385">
        <f>'Section Load'!AG21</f>
        <v>338.99000000000524</v>
      </c>
      <c r="AK18" s="1385">
        <f>'Section Load'!AH21</f>
        <v>307.69000000000233</v>
      </c>
      <c r="AL18" s="1385">
        <f>'Section Load'!AI21</f>
        <v>482</v>
      </c>
      <c r="AM18" s="1386">
        <f>'[1]17'!$H$92</f>
        <v>1944</v>
      </c>
      <c r="AN18" s="1386">
        <f>'[1]17'!$H$93</f>
        <v>2755</v>
      </c>
      <c r="AO18" s="1386">
        <f>'[1]17'!$H$95</f>
        <v>1333</v>
      </c>
      <c r="AP18" s="1386">
        <f>'[1]17'!$H$96</f>
        <v>590</v>
      </c>
      <c r="AQ18" s="1386">
        <f>'[1]17'!$H$97</f>
        <v>520</v>
      </c>
      <c r="AR18" s="1386">
        <f>'[1]17'!$H$98</f>
        <v>1143</v>
      </c>
      <c r="AS18" s="1386">
        <f>'[1]17'!$H$99</f>
        <v>224</v>
      </c>
      <c r="AT18" s="1386">
        <f>'[1]17'!$H$100</f>
        <v>164</v>
      </c>
      <c r="AU18" s="1386">
        <f>'[1]17'!$H$104</f>
        <v>74</v>
      </c>
      <c r="AV18" s="1386">
        <f>'[1]17'!$H$105</f>
        <v>57</v>
      </c>
      <c r="AW18" s="1386">
        <f>'[1]17'!$H$106</f>
        <v>339</v>
      </c>
      <c r="AX18" s="1386">
        <f>'[1]17'!$H$109</f>
        <v>116</v>
      </c>
      <c r="AY18" s="1386">
        <f>'[1]17'!$H$110</f>
        <v>82</v>
      </c>
      <c r="AZ18" s="1386">
        <f>'[1]17'!$H$111</f>
        <v>455</v>
      </c>
      <c r="BA18" s="1386">
        <f>'[1]17'!$H$114</f>
        <v>17</v>
      </c>
      <c r="BB18" s="1386">
        <f>'[1]17'!$H$115</f>
        <v>93</v>
      </c>
      <c r="BC18" s="1386">
        <f>'[1]17'!$H$116</f>
        <v>200</v>
      </c>
      <c r="BD18" s="1386">
        <f>'[1]17'!$H$118</f>
        <v>158</v>
      </c>
      <c r="BE18" s="1386">
        <f>'[1]17'!$H$119</f>
        <v>210</v>
      </c>
      <c r="BF18" s="1386">
        <f>'[1]17'!$H$120</f>
        <v>105</v>
      </c>
      <c r="BG18" s="1387">
        <f>'Section Load'!AJ21</f>
        <v>930.51000000000931</v>
      </c>
      <c r="BH18" s="1387">
        <f>'Section Load'!AK21</f>
        <v>259.15000000002328</v>
      </c>
      <c r="BI18" s="1387">
        <f>'Section Load'!AL21</f>
        <v>0</v>
      </c>
      <c r="BJ18" s="1387">
        <f>'Section Load'!AM21</f>
        <v>67.600000000005821</v>
      </c>
      <c r="BK18" s="1387">
        <f>'Section Load'!AN21</f>
        <v>16.100000000005821</v>
      </c>
      <c r="BL18" s="1387">
        <f>'Section Load'!AO21</f>
        <v>4.7000000000007276</v>
      </c>
      <c r="BM18" s="1387">
        <f>'Section Load'!AP21</f>
        <v>582.95999999997366</v>
      </c>
    </row>
    <row r="19" spans="1:65">
      <c r="A19" s="1369" t="s">
        <v>305</v>
      </c>
      <c r="B19" s="1370">
        <f t="shared" si="0"/>
        <v>18</v>
      </c>
      <c r="C19" s="1370">
        <v>3</v>
      </c>
      <c r="D19" s="1370">
        <v>2021</v>
      </c>
      <c r="E19" s="1385">
        <f>'Section Load'!B22</f>
        <v>2740.1599999999162</v>
      </c>
      <c r="F19" s="1385">
        <f>'Section Load'!C22</f>
        <v>1468.9300000000003</v>
      </c>
      <c r="G19" s="1385">
        <f>'Section Load'!D22</f>
        <v>2050.5400000000009</v>
      </c>
      <c r="H19" s="1385">
        <f>'Section Load'!E22</f>
        <v>4281.18</v>
      </c>
      <c r="I19" s="1385">
        <f>'Section Load'!F22</f>
        <v>4586.8699999999371</v>
      </c>
      <c r="J19" s="1385">
        <f>'Section Load'!G22</f>
        <v>2334.1600000000326</v>
      </c>
      <c r="K19" s="1385">
        <f>'Section Load'!H22</f>
        <v>1128.5600000000559</v>
      </c>
      <c r="L19" s="1385">
        <f>'Section Load'!I22</f>
        <v>883.79999999998836</v>
      </c>
      <c r="M19" s="1385">
        <f>'Section Load'!J22</f>
        <v>65</v>
      </c>
      <c r="N19" s="1385">
        <f>'Section Load'!K22</f>
        <v>0</v>
      </c>
      <c r="O19" s="1385">
        <f>'Section Load'!L22</f>
        <v>52.019999999999982</v>
      </c>
      <c r="P19" s="1385">
        <f>'Section Load'!M22</f>
        <v>200.05999999999995</v>
      </c>
      <c r="Q19" s="1385">
        <f>'Section Load'!N22</f>
        <v>87.440000000000055</v>
      </c>
      <c r="R19" s="1385">
        <f>'Section Load'!O22</f>
        <v>51</v>
      </c>
      <c r="S19" s="1385">
        <f>'Section Load'!P22</f>
        <v>370</v>
      </c>
      <c r="T19" s="1385">
        <f>'Section Load'!Q22</f>
        <v>176</v>
      </c>
      <c r="U19" s="1385">
        <f>'Section Load'!R22</f>
        <v>337.03999999997905</v>
      </c>
      <c r="V19" s="1385">
        <f>'Section Load'!S22</f>
        <v>94.839999999967404</v>
      </c>
      <c r="W19" s="1385">
        <f>'Section Load'!T22</f>
        <v>20.679999999993015</v>
      </c>
      <c r="X19" s="1385">
        <f>'Section Load'!U22</f>
        <v>214.38000000000466</v>
      </c>
      <c r="Y19" s="1385">
        <f>'Section Load'!V22</f>
        <v>499</v>
      </c>
      <c r="Z19" s="1385">
        <f>'Section Load'!W22</f>
        <v>129</v>
      </c>
      <c r="AA19" s="1385">
        <f>'Section Load'!X22</f>
        <v>30.30000000000291</v>
      </c>
      <c r="AB19" s="1385">
        <f>'Section Load'!Y22</f>
        <v>76.100000000005821</v>
      </c>
      <c r="AC19" s="1385">
        <f>'Section Load'!Z22</f>
        <v>34.100000000002638</v>
      </c>
      <c r="AD19" s="1385">
        <f>'Section Load'!AA22</f>
        <v>0</v>
      </c>
      <c r="AE19" s="1385">
        <f>'Section Load'!AB22</f>
        <v>13.370000000000118</v>
      </c>
      <c r="AF19" s="1385">
        <f>'Section Load'!AC22</f>
        <v>429.19999999999709</v>
      </c>
      <c r="AG19" s="1385">
        <f>'Section Load'!AD22</f>
        <v>397.29000000000815</v>
      </c>
      <c r="AH19" s="1385">
        <f>'Section Load'!AE22</f>
        <v>398.93999999999869</v>
      </c>
      <c r="AI19" s="1385">
        <f>'Section Load'!AF22</f>
        <v>665.10999999998603</v>
      </c>
      <c r="AJ19" s="1385">
        <f>'Section Load'!AG22</f>
        <v>390.13000000000466</v>
      </c>
      <c r="AK19" s="1385">
        <f>'Section Load'!AH22</f>
        <v>316.0199999999968</v>
      </c>
      <c r="AL19" s="1385">
        <f>'Section Load'!AI22</f>
        <v>482</v>
      </c>
      <c r="AM19" s="1386">
        <f>'[1]18'!$H$92</f>
        <v>2025</v>
      </c>
      <c r="AN19" s="1386">
        <f>'[1]18'!$H$93</f>
        <v>2892</v>
      </c>
      <c r="AO19" s="1386">
        <f>'[1]18'!$H$95</f>
        <v>1407</v>
      </c>
      <c r="AP19" s="1386">
        <f>'[1]18'!$H$96</f>
        <v>606</v>
      </c>
      <c r="AQ19" s="1386">
        <f>'[1]18'!$H$97</f>
        <v>537</v>
      </c>
      <c r="AR19" s="1386">
        <f>'[1]18'!$H$98</f>
        <v>1221</v>
      </c>
      <c r="AS19" s="1386">
        <f>'[1]18'!$H$99</f>
        <v>246</v>
      </c>
      <c r="AT19" s="1386">
        <f>'[1]18'!$H$100</f>
        <v>169</v>
      </c>
      <c r="AU19" s="1386">
        <f>'[1]18'!$H$104</f>
        <v>74</v>
      </c>
      <c r="AV19" s="1386">
        <f>'[1]18'!$H$105</f>
        <v>56</v>
      </c>
      <c r="AW19" s="1386">
        <f>'[1]18'!$H$106</f>
        <v>344</v>
      </c>
      <c r="AX19" s="1386">
        <f>'[1]18'!$H$109</f>
        <v>136</v>
      </c>
      <c r="AY19" s="1386">
        <f>'[1]18'!$H$110</f>
        <v>137</v>
      </c>
      <c r="AZ19" s="1386">
        <f>'[1]18'!$H$111</f>
        <v>440</v>
      </c>
      <c r="BA19" s="1386">
        <f>'[1]18'!$H$114</f>
        <v>25</v>
      </c>
      <c r="BB19" s="1386">
        <f>'[1]18'!$H$115</f>
        <v>92</v>
      </c>
      <c r="BC19" s="1386">
        <f>'[1]18'!$H$116</f>
        <v>200</v>
      </c>
      <c r="BD19" s="1386">
        <f>'[1]18'!$H$118</f>
        <v>151</v>
      </c>
      <c r="BE19" s="1386">
        <f>'[1]18'!$H$119</f>
        <v>217</v>
      </c>
      <c r="BF19" s="1386">
        <f>'[1]18'!$H$120</f>
        <v>165</v>
      </c>
      <c r="BG19" s="1387">
        <f>'Section Load'!AJ22</f>
        <v>840.14000000013039</v>
      </c>
      <c r="BH19" s="1387">
        <f>'Section Load'!AK22</f>
        <v>260.40999999991618</v>
      </c>
      <c r="BI19" s="1387">
        <f>'Section Load'!AL22</f>
        <v>0</v>
      </c>
      <c r="BJ19" s="1387">
        <f>'Section Load'!AM22</f>
        <v>77.269999999989523</v>
      </c>
      <c r="BK19" s="1387">
        <f>'Section Load'!AN22</f>
        <v>25.69999999999709</v>
      </c>
      <c r="BL19" s="1387">
        <f>'Section Load'!AO22</f>
        <v>1.1000000000003638</v>
      </c>
      <c r="BM19" s="1387">
        <f>'Section Load'!AP22</f>
        <v>475.66000000022723</v>
      </c>
    </row>
    <row r="20" spans="1:65">
      <c r="A20" s="1369" t="s">
        <v>305</v>
      </c>
      <c r="B20" s="1370">
        <f t="shared" si="0"/>
        <v>19</v>
      </c>
      <c r="C20" s="1370">
        <v>3</v>
      </c>
      <c r="D20" s="1370">
        <v>2021</v>
      </c>
      <c r="E20" s="1385">
        <f>'Section Load'!B23</f>
        <v>2680.9200000000419</v>
      </c>
      <c r="F20" s="1385">
        <f>'Section Load'!C23</f>
        <v>1478.1700000000019</v>
      </c>
      <c r="G20" s="1385">
        <f>'Section Load'!D23</f>
        <v>1916.8899999999776</v>
      </c>
      <c r="H20" s="1385">
        <f>'Section Load'!E23</f>
        <v>4163.1299999999901</v>
      </c>
      <c r="I20" s="1385">
        <f>'Section Load'!F23</f>
        <v>4133.3100000000559</v>
      </c>
      <c r="J20" s="1385">
        <f>'Section Load'!G23</f>
        <v>2308.92</v>
      </c>
      <c r="K20" s="1385">
        <f>'Section Load'!H23</f>
        <v>1435.9699999999721</v>
      </c>
      <c r="L20" s="1385">
        <f>'Section Load'!I23</f>
        <v>664.45000000001164</v>
      </c>
      <c r="M20" s="1385">
        <f>'Section Load'!J23</f>
        <v>71</v>
      </c>
      <c r="N20" s="1385">
        <f>'Section Load'!K23</f>
        <v>0</v>
      </c>
      <c r="O20" s="1385">
        <f>'Section Load'!L23</f>
        <v>29.220000000000027</v>
      </c>
      <c r="P20" s="1385">
        <f>'Section Load'!M23</f>
        <v>160.3900000000001</v>
      </c>
      <c r="Q20" s="1385">
        <f>'Section Load'!N23</f>
        <v>69.059999999999945</v>
      </c>
      <c r="R20" s="1385">
        <f>'Section Load'!O23</f>
        <v>52</v>
      </c>
      <c r="S20" s="1385">
        <f>'Section Load'!P23</f>
        <v>333</v>
      </c>
      <c r="T20" s="1385">
        <f>'Section Load'!Q23</f>
        <v>178</v>
      </c>
      <c r="U20" s="1385">
        <f>'Section Load'!R23</f>
        <v>344</v>
      </c>
      <c r="V20" s="1385">
        <f>'Section Load'!S23</f>
        <v>108</v>
      </c>
      <c r="W20" s="1385">
        <f>'Section Load'!T23</f>
        <v>25</v>
      </c>
      <c r="X20" s="1385">
        <f>'Section Load'!U23</f>
        <v>219.30999999999767</v>
      </c>
      <c r="Y20" s="1385">
        <f>'Section Load'!V23</f>
        <v>355</v>
      </c>
      <c r="Z20" s="1385">
        <f>'Section Load'!W23</f>
        <v>142</v>
      </c>
      <c r="AA20" s="1385">
        <f>'Section Load'!X23</f>
        <v>25</v>
      </c>
      <c r="AB20" s="1385">
        <f>'Section Load'!Y23</f>
        <v>93</v>
      </c>
      <c r="AC20" s="1385">
        <f>'Section Load'!Z23</f>
        <v>29.800000000000182</v>
      </c>
      <c r="AD20" s="1385">
        <f>'Section Load'!AA23</f>
        <v>2.0000000000436557E-2</v>
      </c>
      <c r="AE20" s="1385">
        <f>'Section Load'!AB23</f>
        <v>13.279999999999973</v>
      </c>
      <c r="AF20" s="1385">
        <f>'Section Load'!AC23</f>
        <v>412.02000000000407</v>
      </c>
      <c r="AG20" s="1385">
        <f>'Section Load'!AD23</f>
        <v>402.89999999999418</v>
      </c>
      <c r="AH20" s="1385">
        <f>'Section Load'!AE23</f>
        <v>405.72000000000116</v>
      </c>
      <c r="AI20" s="1385">
        <f>'Section Load'!AF23</f>
        <v>639</v>
      </c>
      <c r="AJ20" s="1385">
        <f>'Section Load'!AG23</f>
        <v>342.69999999999709</v>
      </c>
      <c r="AK20" s="1385">
        <f>'Section Load'!AH23</f>
        <v>311.7300000000032</v>
      </c>
      <c r="AL20" s="1385">
        <f>'Section Load'!AI23</f>
        <v>499</v>
      </c>
      <c r="AM20" s="1386">
        <f>'[1]19'!$H$92</f>
        <v>2120</v>
      </c>
      <c r="AN20" s="1386">
        <f>'[1]19'!$H$93</f>
        <v>3034</v>
      </c>
      <c r="AO20" s="1386">
        <f>'[1]19'!$H$95</f>
        <v>1486</v>
      </c>
      <c r="AP20" s="1386">
        <f>'[1]19'!$H$96</f>
        <v>615</v>
      </c>
      <c r="AQ20" s="1386">
        <f>'[1]19'!$H$97</f>
        <v>561</v>
      </c>
      <c r="AR20" s="1386">
        <f>'[1]19'!$H$98</f>
        <v>1284</v>
      </c>
      <c r="AS20" s="1386">
        <f>'[1]19'!$H$99</f>
        <v>269</v>
      </c>
      <c r="AT20" s="1386">
        <f>'[1]19'!$H$100</f>
        <v>175</v>
      </c>
      <c r="AU20" s="1386">
        <f>'[1]19'!$H$104</f>
        <v>74</v>
      </c>
      <c r="AV20" s="1386">
        <f>'[1]19'!$H$105</f>
        <v>63</v>
      </c>
      <c r="AW20" s="1386">
        <f>'[1]19'!$H$106</f>
        <v>350</v>
      </c>
      <c r="AX20" s="1386">
        <f>'[1]19'!$H$109</f>
        <v>176</v>
      </c>
      <c r="AY20" s="1386">
        <f>'[1]19'!$H$110</f>
        <v>168</v>
      </c>
      <c r="AZ20" s="1386">
        <f>'[1]19'!$H$111</f>
        <v>440</v>
      </c>
      <c r="BA20" s="1386">
        <f>'[1]19'!$H$114</f>
        <v>51</v>
      </c>
      <c r="BB20" s="1386">
        <f>'[1]19'!$H$115</f>
        <v>94</v>
      </c>
      <c r="BC20" s="1386">
        <f>'[1]19'!$H$116</f>
        <v>200</v>
      </c>
      <c r="BD20" s="1386">
        <f>'[1]19'!$H$118</f>
        <v>296</v>
      </c>
      <c r="BE20" s="1386">
        <f>'[1]19'!$H$119</f>
        <v>358</v>
      </c>
      <c r="BF20" s="1386">
        <f>'[1]19'!$H$120</f>
        <v>236</v>
      </c>
      <c r="BG20" s="1387">
        <f>'Section Load'!AJ23</f>
        <v>881.40999999991618</v>
      </c>
      <c r="BH20" s="1387">
        <f>'Section Load'!AK23</f>
        <v>241.6600000000326</v>
      </c>
      <c r="BI20" s="1387">
        <f>'Section Load'!AL23</f>
        <v>-0.39999999999417923</v>
      </c>
      <c r="BJ20" s="1387">
        <f>'Section Load'!AM23</f>
        <v>89.25</v>
      </c>
      <c r="BK20" s="1387">
        <f>'Section Load'!AN23</f>
        <v>23.5</v>
      </c>
      <c r="BL20" s="1387">
        <f>'Section Load'!AO23</f>
        <v>1.7999999999992724</v>
      </c>
      <c r="BM20" s="1387">
        <f>'Section Load'!AP23</f>
        <v>525.59999999987849</v>
      </c>
    </row>
    <row r="21" spans="1:65">
      <c r="A21" s="1369" t="s">
        <v>305</v>
      </c>
      <c r="B21" s="1370">
        <f t="shared" si="0"/>
        <v>20</v>
      </c>
      <c r="C21" s="1370">
        <v>3</v>
      </c>
      <c r="D21" s="1370">
        <v>2021</v>
      </c>
      <c r="E21" s="1385">
        <f>'Section Load'!B24</f>
        <v>2854</v>
      </c>
      <c r="F21" s="1385">
        <f>'Section Load'!C24</f>
        <v>1511</v>
      </c>
      <c r="G21" s="1385">
        <f>'Section Load'!D24</f>
        <v>1965</v>
      </c>
      <c r="H21" s="1385">
        <f>'Section Load'!E24</f>
        <v>4389</v>
      </c>
      <c r="I21" s="1385">
        <f>'Section Load'!F24</f>
        <v>4051</v>
      </c>
      <c r="J21" s="1385">
        <f>'Section Load'!G24</f>
        <v>2302</v>
      </c>
      <c r="K21" s="1385">
        <f>'Section Load'!H24</f>
        <v>1156</v>
      </c>
      <c r="L21" s="1385">
        <f>'Section Load'!I24</f>
        <v>625</v>
      </c>
      <c r="M21" s="1385">
        <f>'Section Load'!J24</f>
        <v>66</v>
      </c>
      <c r="N21" s="1385">
        <f>'Section Load'!K24</f>
        <v>1</v>
      </c>
      <c r="O21" s="1385">
        <f>'Section Load'!L24</f>
        <v>20</v>
      </c>
      <c r="P21" s="1385">
        <f>'Section Load'!M24</f>
        <v>178</v>
      </c>
      <c r="Q21" s="1385">
        <f>'Section Load'!N24</f>
        <v>78</v>
      </c>
      <c r="R21" s="1385">
        <f>'Section Load'!O24</f>
        <v>48</v>
      </c>
      <c r="S21" s="1385">
        <f>'Section Load'!P24</f>
        <v>402</v>
      </c>
      <c r="T21" s="1385">
        <f>'Section Load'!Q24</f>
        <v>191</v>
      </c>
      <c r="U21" s="1385">
        <f>'Section Load'!R24</f>
        <v>356</v>
      </c>
      <c r="V21" s="1385">
        <f>'Section Load'!S24</f>
        <v>90</v>
      </c>
      <c r="W21" s="1385">
        <f>'Section Load'!T24</f>
        <v>26</v>
      </c>
      <c r="X21" s="1385">
        <f>'Section Load'!U24</f>
        <v>251</v>
      </c>
      <c r="Y21" s="1385">
        <f>'Section Load'!V24</f>
        <v>399</v>
      </c>
      <c r="Z21" s="1385">
        <f>'Section Load'!W24</f>
        <v>115</v>
      </c>
      <c r="AA21" s="1385">
        <f>'Section Load'!X24</f>
        <v>14</v>
      </c>
      <c r="AB21" s="1385">
        <f>'Section Load'!Y24</f>
        <v>67</v>
      </c>
      <c r="AC21" s="1385">
        <f>'Section Load'!Z24</f>
        <v>19.800000000000182</v>
      </c>
      <c r="AD21" s="1385">
        <f>'Section Load'!AA24</f>
        <v>0</v>
      </c>
      <c r="AE21" s="1385">
        <f>'Section Load'!AB24</f>
        <v>12</v>
      </c>
      <c r="AF21" s="1385">
        <f>'Section Load'!AC24</f>
        <v>400</v>
      </c>
      <c r="AG21" s="1385">
        <f>'Section Load'!AD24</f>
        <v>404</v>
      </c>
      <c r="AH21" s="1385">
        <f>'Section Load'!AE24</f>
        <v>411</v>
      </c>
      <c r="AI21" s="1385">
        <f>'Section Load'!AF24</f>
        <v>695</v>
      </c>
      <c r="AJ21" s="1385">
        <f>'Section Load'!AG24</f>
        <v>1350</v>
      </c>
      <c r="AK21" s="1385">
        <f>'Section Load'!AH24</f>
        <v>318</v>
      </c>
      <c r="AL21" s="1385">
        <f>'Section Load'!AI24</f>
        <v>562</v>
      </c>
      <c r="AM21" s="1386">
        <f>'[1]20'!$H$92</f>
        <v>2227</v>
      </c>
      <c r="AN21" s="1386">
        <f>'[1]20'!$H$93</f>
        <v>3167</v>
      </c>
      <c r="AO21" s="1386">
        <f>'[1]20'!$H$95</f>
        <v>1572</v>
      </c>
      <c r="AP21" s="1386">
        <f>'[1]20'!$H$96</f>
        <v>637</v>
      </c>
      <c r="AQ21" s="1386">
        <f>'[1]20'!$H$97</f>
        <v>593</v>
      </c>
      <c r="AR21" s="1386">
        <f>'[1]20'!$H$98</f>
        <v>1352</v>
      </c>
      <c r="AS21" s="1386">
        <f>'[1]20'!$H$99</f>
        <v>290</v>
      </c>
      <c r="AT21" s="1386">
        <f>'[1]20'!$H$100</f>
        <v>183</v>
      </c>
      <c r="AU21" s="1386">
        <f>'[1]20'!$H$104</f>
        <v>74</v>
      </c>
      <c r="AV21" s="1386">
        <f>'[1]20'!$H$105</f>
        <v>76</v>
      </c>
      <c r="AW21" s="1386">
        <f>'[1]20'!$H$106</f>
        <v>358</v>
      </c>
      <c r="AX21" s="1386">
        <f>'[1]20'!$H$109</f>
        <v>235</v>
      </c>
      <c r="AY21" s="1386">
        <f>'[1]20'!$H$110</f>
        <v>243</v>
      </c>
      <c r="AZ21" s="1386">
        <f>'[1]20'!$H$111</f>
        <v>460</v>
      </c>
      <c r="BA21" s="1386">
        <f>'[1]20'!$H$114</f>
        <v>77</v>
      </c>
      <c r="BB21" s="1386">
        <f>'[1]20'!$H$115</f>
        <v>102</v>
      </c>
      <c r="BC21" s="1386">
        <f>'[1]20'!$H$116</f>
        <v>200</v>
      </c>
      <c r="BD21" s="1386">
        <f>'[1]20'!$H$118</f>
        <v>454</v>
      </c>
      <c r="BE21" s="1386">
        <f>'[1]20'!$H$119</f>
        <v>527</v>
      </c>
      <c r="BF21" s="1386">
        <f>'[1]20'!$H$120</f>
        <v>390</v>
      </c>
      <c r="BG21" s="1387">
        <f>'Section Load'!AJ24</f>
        <v>1086</v>
      </c>
      <c r="BH21" s="1387">
        <f>'Section Load'!AK24</f>
        <v>300</v>
      </c>
      <c r="BI21" s="1387">
        <f>'Section Load'!AL24</f>
        <v>0</v>
      </c>
      <c r="BJ21" s="1387">
        <f>'Section Load'!AM24</f>
        <v>86</v>
      </c>
      <c r="BK21" s="1387">
        <f>'Section Load'!AN24</f>
        <v>30</v>
      </c>
      <c r="BL21" s="1387">
        <f>'Section Load'!AO24</f>
        <v>3</v>
      </c>
      <c r="BM21" s="1387">
        <f>'Section Load'!AP24</f>
        <v>667</v>
      </c>
    </row>
    <row r="22" spans="1:65">
      <c r="A22" s="1369" t="s">
        <v>305</v>
      </c>
      <c r="B22" s="1370">
        <f t="shared" si="0"/>
        <v>21</v>
      </c>
      <c r="C22" s="1370">
        <v>3</v>
      </c>
      <c r="D22" s="1370">
        <v>2021</v>
      </c>
      <c r="E22" s="1385">
        <f>'Section Load'!B25</f>
        <v>3035</v>
      </c>
      <c r="F22" s="1385">
        <f>'Section Load'!C25</f>
        <v>1522</v>
      </c>
      <c r="G22" s="1385">
        <f>'Section Load'!D25</f>
        <v>2026</v>
      </c>
      <c r="H22" s="1385">
        <f>'Section Load'!E25</f>
        <v>4214</v>
      </c>
      <c r="I22" s="1385">
        <f>'Section Load'!F25</f>
        <v>4354</v>
      </c>
      <c r="J22" s="1385">
        <f>'Section Load'!G25</f>
        <v>2354</v>
      </c>
      <c r="K22" s="1385">
        <f>'Section Load'!H25</f>
        <v>1111</v>
      </c>
      <c r="L22" s="1385">
        <f>'Section Load'!I25</f>
        <v>776</v>
      </c>
      <c r="M22" s="1385">
        <f>'Section Load'!J25</f>
        <v>22</v>
      </c>
      <c r="N22" s="1385">
        <f>'Section Load'!K25</f>
        <v>22</v>
      </c>
      <c r="O22" s="1385">
        <f>'Section Load'!L25</f>
        <v>35</v>
      </c>
      <c r="P22" s="1385">
        <f>'Section Load'!M25</f>
        <v>175</v>
      </c>
      <c r="Q22" s="1385">
        <f>'Section Load'!N25</f>
        <v>76</v>
      </c>
      <c r="R22" s="1385">
        <f>'Section Load'!O25</f>
        <v>50</v>
      </c>
      <c r="S22" s="1385">
        <f>'Section Load'!P25</f>
        <v>454</v>
      </c>
      <c r="T22" s="1385">
        <f>'Section Load'!Q25</f>
        <v>172</v>
      </c>
      <c r="U22" s="1385">
        <f>'Section Load'!R25</f>
        <v>386</v>
      </c>
      <c r="V22" s="1385">
        <f>'Section Load'!S25</f>
        <v>110</v>
      </c>
      <c r="W22" s="1385">
        <f>'Section Load'!T25</f>
        <v>22</v>
      </c>
      <c r="X22" s="1385">
        <f>'Section Load'!U25</f>
        <v>188</v>
      </c>
      <c r="Y22" s="1385">
        <f>'Section Load'!V25</f>
        <v>429</v>
      </c>
      <c r="Z22" s="1385">
        <f>'Section Load'!W25</f>
        <v>73</v>
      </c>
      <c r="AA22" s="1385">
        <f>'Section Load'!X25</f>
        <v>9</v>
      </c>
      <c r="AB22" s="1385">
        <f>'Section Load'!Y25</f>
        <v>35</v>
      </c>
      <c r="AC22" s="1385">
        <f>'Section Load'!Z25</f>
        <v>15.800000000000182</v>
      </c>
      <c r="AD22" s="1385">
        <f>'Section Load'!AA25</f>
        <v>0</v>
      </c>
      <c r="AE22" s="1385">
        <f>'Section Load'!AB25</f>
        <v>14</v>
      </c>
      <c r="AF22" s="1385">
        <f>'Section Load'!AC25</f>
        <v>398</v>
      </c>
      <c r="AG22" s="1385">
        <f>'Section Load'!AD25</f>
        <v>400</v>
      </c>
      <c r="AH22" s="1385">
        <f>'Section Load'!AE25</f>
        <v>372</v>
      </c>
      <c r="AI22" s="1385">
        <f>'Section Load'!AF25</f>
        <v>716</v>
      </c>
      <c r="AJ22" s="1385">
        <f>'Section Load'!AG25</f>
        <v>310</v>
      </c>
      <c r="AK22" s="1385">
        <f>'Section Load'!AH25</f>
        <v>339</v>
      </c>
      <c r="AL22" s="1385">
        <f>'Section Load'!AI25</f>
        <v>568</v>
      </c>
      <c r="AM22" s="1386">
        <f>'[1]21'!$H$92</f>
        <v>2349</v>
      </c>
      <c r="AN22" s="1386">
        <f>'[1]21'!$H$93</f>
        <v>3277</v>
      </c>
      <c r="AO22" s="1386">
        <f>'[1]21'!$H$95</f>
        <v>1644</v>
      </c>
      <c r="AP22" s="1386">
        <f>'[1]21'!$H$96</f>
        <v>664</v>
      </c>
      <c r="AQ22" s="1386">
        <f>'[1]21'!$H$97</f>
        <v>628</v>
      </c>
      <c r="AR22" s="1386">
        <f>'[1]21'!$H$98</f>
        <v>1439</v>
      </c>
      <c r="AS22" s="1386">
        <f>'[1]21'!$H$99</f>
        <v>305</v>
      </c>
      <c r="AT22" s="1386">
        <f>'[1]21'!$H$100</f>
        <v>195</v>
      </c>
      <c r="AU22" s="1386">
        <f>'[1]21'!$H$104</f>
        <v>74</v>
      </c>
      <c r="AV22" s="1386">
        <f>'[1]21'!$H$105</f>
        <v>83</v>
      </c>
      <c r="AW22" s="1386">
        <f>'[1]21'!$H$106</f>
        <v>364</v>
      </c>
      <c r="AX22" s="1386">
        <f>'[1]21'!$H$109</f>
        <v>295</v>
      </c>
      <c r="AY22" s="1386">
        <f>'[1]21'!$H$110</f>
        <v>343</v>
      </c>
      <c r="AZ22" s="1386">
        <f>'[1]21'!$H$111</f>
        <v>466</v>
      </c>
      <c r="BA22" s="1386">
        <f>'[1]21'!$H$114</f>
        <v>94</v>
      </c>
      <c r="BB22" s="1386">
        <f>'[1]21'!$H$115</f>
        <v>111</v>
      </c>
      <c r="BC22" s="1386">
        <f>'[1]21'!$H$116</f>
        <v>200</v>
      </c>
      <c r="BD22" s="1386">
        <f>'[1]21'!$H$118</f>
        <v>627</v>
      </c>
      <c r="BE22" s="1386">
        <f>'[1]21'!$H$119</f>
        <v>688</v>
      </c>
      <c r="BF22" s="1386">
        <f>'[1]21'!$H$120</f>
        <v>556</v>
      </c>
      <c r="BG22" s="1387">
        <f>'Section Load'!AJ25</f>
        <v>940</v>
      </c>
      <c r="BH22" s="1387">
        <f>'Section Load'!AK25</f>
        <v>283</v>
      </c>
      <c r="BI22" s="1387">
        <f>'Section Load'!AL25</f>
        <v>0</v>
      </c>
      <c r="BJ22" s="1387">
        <f>'Section Load'!AM25</f>
        <v>80</v>
      </c>
      <c r="BK22" s="1387">
        <f>'Section Load'!AN25</f>
        <v>30</v>
      </c>
      <c r="BL22" s="1387">
        <f>'Section Load'!AO25</f>
        <v>2</v>
      </c>
      <c r="BM22" s="1387">
        <f>'Section Load'!AP25</f>
        <v>545</v>
      </c>
    </row>
    <row r="23" spans="1:65">
      <c r="A23" s="1369" t="s">
        <v>305</v>
      </c>
      <c r="B23" s="1370">
        <f t="shared" si="0"/>
        <v>22</v>
      </c>
      <c r="C23" s="1370">
        <v>3</v>
      </c>
      <c r="D23" s="1370">
        <v>2021</v>
      </c>
      <c r="E23" s="1385">
        <f>'Section Load'!B26</f>
        <v>2796</v>
      </c>
      <c r="F23" s="1385">
        <f>'Section Load'!C26</f>
        <v>1467</v>
      </c>
      <c r="G23" s="1385">
        <f>'Section Load'!D26</f>
        <v>2080</v>
      </c>
      <c r="H23" s="1385">
        <f>'Section Load'!E26</f>
        <v>4115</v>
      </c>
      <c r="I23" s="1385">
        <f>'Section Load'!F26</f>
        <v>4684</v>
      </c>
      <c r="J23" s="1385">
        <f>'Section Load'!G26</f>
        <v>2349</v>
      </c>
      <c r="K23" s="1385">
        <f>'Section Load'!H26</f>
        <v>1196</v>
      </c>
      <c r="L23" s="1385">
        <f>'Section Load'!I26</f>
        <v>729</v>
      </c>
      <c r="M23" s="1385">
        <f>'Section Load'!J26</f>
        <v>83</v>
      </c>
      <c r="N23" s="1385">
        <f>'Section Load'!K26</f>
        <v>0</v>
      </c>
      <c r="O23" s="1385">
        <f>'Section Load'!L26</f>
        <v>17</v>
      </c>
      <c r="P23" s="1385">
        <f>'Section Load'!M26</f>
        <v>187</v>
      </c>
      <c r="Q23" s="1385">
        <f>'Section Load'!N26</f>
        <v>71</v>
      </c>
      <c r="R23" s="1385">
        <f>'Section Load'!O26</f>
        <v>51</v>
      </c>
      <c r="S23" s="1385">
        <f>'Section Load'!P26</f>
        <v>384</v>
      </c>
      <c r="T23" s="1385">
        <f>'Section Load'!Q26</f>
        <v>186</v>
      </c>
      <c r="U23" s="1385">
        <f>'Section Load'!R26</f>
        <v>367</v>
      </c>
      <c r="V23" s="1385">
        <f>'Section Load'!S26</f>
        <v>132</v>
      </c>
      <c r="W23" s="1385">
        <f>'Section Load'!T26</f>
        <v>28</v>
      </c>
      <c r="X23" s="1385">
        <f>'Section Load'!U26</f>
        <v>205</v>
      </c>
      <c r="Y23" s="1385">
        <f>'Section Load'!V26</f>
        <v>514</v>
      </c>
      <c r="Z23" s="1385">
        <f>'Section Load'!W26</f>
        <v>138</v>
      </c>
      <c r="AA23" s="1385">
        <f>'Section Load'!X26</f>
        <v>33</v>
      </c>
      <c r="AB23" s="1385">
        <f>'Section Load'!Y26</f>
        <v>60</v>
      </c>
      <c r="AC23" s="1385">
        <f>'Section Load'!Z26</f>
        <v>45.800000000000182</v>
      </c>
      <c r="AD23" s="1385">
        <f>'Section Load'!AA26</f>
        <v>0</v>
      </c>
      <c r="AE23" s="1385">
        <f>'Section Load'!AB26</f>
        <v>13</v>
      </c>
      <c r="AF23" s="1385">
        <f>'Section Load'!AC26</f>
        <v>470</v>
      </c>
      <c r="AG23" s="1385">
        <f>'Section Load'!AD26</f>
        <v>376</v>
      </c>
      <c r="AH23" s="1385">
        <f>'Section Load'!AE26</f>
        <v>379</v>
      </c>
      <c r="AI23" s="1385">
        <f>'Section Load'!AF26</f>
        <v>671</v>
      </c>
      <c r="AJ23" s="1385">
        <f>'Section Load'!AG26</f>
        <v>308</v>
      </c>
      <c r="AK23" s="1385">
        <f>'Section Load'!AH26</f>
        <v>330</v>
      </c>
      <c r="AL23" s="1385">
        <f>'Section Load'!AI26</f>
        <v>565</v>
      </c>
      <c r="AM23" s="1386">
        <f>'[1]22'!$H$92</f>
        <v>-791</v>
      </c>
      <c r="AN23" s="1386">
        <f>'[1]22'!$H$93</f>
        <v>-1243</v>
      </c>
      <c r="AO23" s="1386">
        <f>'[1]22'!$H$95</f>
        <v>-591</v>
      </c>
      <c r="AP23" s="1386">
        <f>'[1]22'!$H$96</f>
        <v>-221</v>
      </c>
      <c r="AQ23" s="1386">
        <f>'[1]22'!$H$97</f>
        <v>-204</v>
      </c>
      <c r="AR23" s="1386">
        <f>'[1]22'!$H$98</f>
        <v>-533</v>
      </c>
      <c r="AS23" s="1386">
        <f>'[1]22'!$H$99</f>
        <v>-170</v>
      </c>
      <c r="AT23" s="1386">
        <f>'[1]22'!$H$100</f>
        <v>-72</v>
      </c>
      <c r="AU23" s="1386">
        <f>'[1]22'!$H$104</f>
        <v>-13</v>
      </c>
      <c r="AV23" s="1386">
        <f>'[1]22'!$H$105</f>
        <v>-202</v>
      </c>
      <c r="AW23" s="1386">
        <f>'[1]22'!$H$106</f>
        <v>161</v>
      </c>
      <c r="AX23" s="1386">
        <f>'[1]22'!$H$109</f>
        <v>-1623</v>
      </c>
      <c r="AY23" s="1386">
        <f>'[1]22'!$H$110</f>
        <v>-1822</v>
      </c>
      <c r="AZ23" s="1386">
        <f>'[1]22'!$H$111</f>
        <v>189</v>
      </c>
      <c r="BA23" s="1386">
        <f>'[1]22'!$H$114</f>
        <v>-566</v>
      </c>
      <c r="BB23" s="1386">
        <f>'[1]22'!$H$115</f>
        <v>-136</v>
      </c>
      <c r="BC23" s="1386">
        <f>'[1]22'!$H$116</f>
        <v>200</v>
      </c>
      <c r="BD23" s="1386">
        <f>'[1]22'!$H$118</f>
        <v>-4632</v>
      </c>
      <c r="BE23" s="1386">
        <f>'[1]22'!$H$119</f>
        <v>-4611</v>
      </c>
      <c r="BF23" s="1386">
        <f>'[1]22'!$H$120</f>
        <v>-3804</v>
      </c>
      <c r="BG23" s="1387">
        <f>'Section Load'!AJ26</f>
        <v>935</v>
      </c>
      <c r="BH23" s="1387">
        <f>'Section Load'!AK26</f>
        <v>252</v>
      </c>
      <c r="BI23" s="1387">
        <f>'Section Load'!AL26</f>
        <v>0</v>
      </c>
      <c r="BJ23" s="1387">
        <f>'Section Load'!AM26</f>
        <v>76</v>
      </c>
      <c r="BK23" s="1387">
        <f>'Section Load'!AN26</f>
        <v>18</v>
      </c>
      <c r="BL23" s="1387">
        <f>'Section Load'!AO26</f>
        <v>2</v>
      </c>
      <c r="BM23" s="1387">
        <f>'Section Load'!AP26</f>
        <v>587</v>
      </c>
    </row>
    <row r="24" spans="1:65">
      <c r="A24" s="1369" t="s">
        <v>305</v>
      </c>
      <c r="B24" s="1370">
        <f t="shared" si="0"/>
        <v>23</v>
      </c>
      <c r="C24" s="1370">
        <v>3</v>
      </c>
      <c r="D24" s="1370">
        <v>2021</v>
      </c>
      <c r="E24" s="1385">
        <f>'Section Load'!B27</f>
        <v>3006</v>
      </c>
      <c r="F24" s="1385">
        <f>'Section Load'!C27</f>
        <v>1462</v>
      </c>
      <c r="G24" s="1385">
        <f>'Section Load'!D27</f>
        <v>2020</v>
      </c>
      <c r="H24" s="1385">
        <f>'Section Load'!E27</f>
        <v>4149.8300000000017</v>
      </c>
      <c r="I24" s="1385">
        <f>'Section Load'!F27</f>
        <v>5151</v>
      </c>
      <c r="J24" s="1385">
        <f>'Section Load'!G27</f>
        <v>2348</v>
      </c>
      <c r="K24" s="1385">
        <f>'Section Load'!H27</f>
        <v>1384.710000000021</v>
      </c>
      <c r="L24" s="1385">
        <f>'Section Load'!I27</f>
        <v>911</v>
      </c>
      <c r="M24" s="1385">
        <f>'Section Load'!J27</f>
        <v>110</v>
      </c>
      <c r="N24" s="1385">
        <f>'Section Load'!K27</f>
        <v>110</v>
      </c>
      <c r="O24" s="1385">
        <f>'Section Load'!L27</f>
        <v>15</v>
      </c>
      <c r="P24" s="1385">
        <f>'Section Load'!M27</f>
        <v>174</v>
      </c>
      <c r="Q24" s="1385">
        <f>'Section Load'!N27</f>
        <v>74</v>
      </c>
      <c r="R24" s="1385">
        <f>'Section Load'!O27</f>
        <v>47</v>
      </c>
      <c r="S24" s="1385">
        <f>'Section Load'!P27</f>
        <v>309</v>
      </c>
      <c r="T24" s="1385">
        <f>'Section Load'!Q27</f>
        <v>198</v>
      </c>
      <c r="U24" s="1385">
        <f>'Section Load'!R27</f>
        <v>368</v>
      </c>
      <c r="V24" s="1385">
        <f>'Section Load'!S27</f>
        <v>144</v>
      </c>
      <c r="W24" s="1385">
        <f>'Section Load'!T27</f>
        <v>22</v>
      </c>
      <c r="X24" s="1385">
        <f>'Section Load'!U27</f>
        <v>208</v>
      </c>
      <c r="Y24" s="1385">
        <f>'Section Load'!V27</f>
        <v>502</v>
      </c>
      <c r="Z24" s="1385">
        <f>'Section Load'!W27</f>
        <v>147</v>
      </c>
      <c r="AA24" s="1385">
        <f>'Section Load'!X27</f>
        <v>38.30000000000291</v>
      </c>
      <c r="AB24" s="1385">
        <f>'Section Load'!Y27</f>
        <v>36</v>
      </c>
      <c r="AC24" s="1385">
        <f>'Section Load'!Z27</f>
        <v>42.30000000000291</v>
      </c>
      <c r="AD24" s="1385">
        <f>'Section Load'!AA27</f>
        <v>-0.2000000000007276</v>
      </c>
      <c r="AE24" s="1385">
        <f>'Section Load'!AB27</f>
        <v>11</v>
      </c>
      <c r="AF24" s="1385">
        <f>'Section Load'!AC27</f>
        <v>539</v>
      </c>
      <c r="AG24" s="1385">
        <f>'Section Load'!AD27</f>
        <v>381</v>
      </c>
      <c r="AH24" s="1385">
        <f>'Section Load'!AE27</f>
        <v>375</v>
      </c>
      <c r="AI24" s="1385">
        <f>'Section Load'!AF27</f>
        <v>639</v>
      </c>
      <c r="AJ24" s="1385">
        <f>'Section Load'!AG27</f>
        <v>292</v>
      </c>
      <c r="AK24" s="1385">
        <f>'Section Load'!AH27</f>
        <v>327</v>
      </c>
      <c r="AL24" s="1385">
        <f>'Section Load'!AI27</f>
        <v>533</v>
      </c>
      <c r="AM24" s="1386">
        <f>'[1]23'!$H$92</f>
        <v>-688</v>
      </c>
      <c r="AN24" s="1386">
        <f>'[1]23'!$H$93</f>
        <v>-1123</v>
      </c>
      <c r="AO24" s="1386">
        <f>'[1]23'!$H$95</f>
        <v>-516</v>
      </c>
      <c r="AP24" s="1386">
        <f>'[1]23'!$H$96</f>
        <v>-203</v>
      </c>
      <c r="AQ24" s="1386">
        <f>'[1]23'!$H$97</f>
        <v>-178</v>
      </c>
      <c r="AR24" s="1386">
        <f>'[1]23'!$H$98</f>
        <v>-477</v>
      </c>
      <c r="AS24" s="1386">
        <f>'[1]23'!$H$99</f>
        <v>-160</v>
      </c>
      <c r="AT24" s="1386">
        <f>'[1]23'!$H$100</f>
        <v>-59</v>
      </c>
      <c r="AU24" s="1386">
        <f>'[1]23'!$H$104</f>
        <v>74</v>
      </c>
      <c r="AV24" s="1386">
        <f>'[1]23'!$H$105</f>
        <v>54</v>
      </c>
      <c r="AW24" s="1386">
        <f>'[1]23'!$H$106</f>
        <v>342</v>
      </c>
      <c r="AX24" s="1386">
        <f>'[1]23'!$H$109</f>
        <v>121</v>
      </c>
      <c r="AY24" s="1386">
        <f>'[1]23'!$H$110</f>
        <v>86</v>
      </c>
      <c r="AZ24" s="1386">
        <f>'[1]23'!$H$111</f>
        <v>446</v>
      </c>
      <c r="BA24" s="1386">
        <f>'[1]23'!$H$114</f>
        <v>12</v>
      </c>
      <c r="BB24" s="1386">
        <f>'[1]23'!$H$115</f>
        <v>99</v>
      </c>
      <c r="BC24" s="1386">
        <f>'[1]23'!$H$116</f>
        <v>200</v>
      </c>
      <c r="BD24" s="1386">
        <f>'[1]23'!$H$118</f>
        <v>169</v>
      </c>
      <c r="BE24" s="1386">
        <f>'[1]23'!$H$119</f>
        <v>225</v>
      </c>
      <c r="BF24" s="1386">
        <f>'[1]23'!$H$120</f>
        <v>105</v>
      </c>
      <c r="BG24" s="1387">
        <f>'Section Load'!AJ27</f>
        <v>972.81000000005588</v>
      </c>
      <c r="BH24" s="1387">
        <f>'Section Load'!AK27</f>
        <v>252</v>
      </c>
      <c r="BI24" s="1387">
        <f>'Section Load'!AL27</f>
        <v>0</v>
      </c>
      <c r="BJ24" s="1387">
        <f>'Section Load'!AM27</f>
        <v>77</v>
      </c>
      <c r="BK24" s="1387">
        <f>'Section Load'!AN27</f>
        <v>22</v>
      </c>
      <c r="BL24" s="1387">
        <f>'Section Load'!AO27</f>
        <v>2</v>
      </c>
      <c r="BM24" s="1387">
        <f>'Section Load'!AP27</f>
        <v>619.81000000005588</v>
      </c>
    </row>
    <row r="25" spans="1:65">
      <c r="A25" s="1369" t="s">
        <v>305</v>
      </c>
      <c r="B25" s="1370">
        <f t="shared" si="0"/>
        <v>24</v>
      </c>
      <c r="C25" s="1370">
        <v>3</v>
      </c>
      <c r="D25" s="1370">
        <v>2021</v>
      </c>
      <c r="E25" s="1385">
        <f>'Section Load'!B28</f>
        <v>3198</v>
      </c>
      <c r="F25" s="1385">
        <f>'Section Load'!C28</f>
        <v>1506</v>
      </c>
      <c r="G25" s="1385">
        <f>'Section Load'!D28</f>
        <v>2074</v>
      </c>
      <c r="H25" s="1385">
        <f>'Section Load'!E28</f>
        <v>4084.1699999999983</v>
      </c>
      <c r="I25" s="1385">
        <f>'Section Load'!F28</f>
        <v>5857</v>
      </c>
      <c r="J25" s="1385">
        <f>'Section Load'!G28</f>
        <v>2469</v>
      </c>
      <c r="K25" s="1385">
        <f>'Section Load'!H28</f>
        <v>1749.289999999979</v>
      </c>
      <c r="L25" s="1385">
        <f>'Section Load'!I28</f>
        <v>1101</v>
      </c>
      <c r="M25" s="1385">
        <f>'Section Load'!J28</f>
        <v>5</v>
      </c>
      <c r="N25" s="1385">
        <f>'Section Load'!K28</f>
        <v>5</v>
      </c>
      <c r="O25" s="1385">
        <f>'Section Load'!L28</f>
        <v>16</v>
      </c>
      <c r="P25" s="1385">
        <f>'Section Load'!M28</f>
        <v>175</v>
      </c>
      <c r="Q25" s="1385">
        <f>'Section Load'!N28</f>
        <v>82</v>
      </c>
      <c r="R25" s="1385">
        <f>'Section Load'!O28</f>
        <v>52</v>
      </c>
      <c r="S25" s="1385">
        <f>'Section Load'!P28</f>
        <v>319</v>
      </c>
      <c r="T25" s="1385">
        <f>'Section Load'!Q28</f>
        <v>182</v>
      </c>
      <c r="U25" s="1385">
        <f>'Section Load'!R28</f>
        <v>394</v>
      </c>
      <c r="V25" s="1385">
        <f>'Section Load'!S28</f>
        <v>151</v>
      </c>
      <c r="W25" s="1385">
        <f>'Section Load'!T28</f>
        <v>28</v>
      </c>
      <c r="X25" s="1385">
        <f>'Section Load'!U28</f>
        <v>190</v>
      </c>
      <c r="Y25" s="1385">
        <f>'Section Load'!V28</f>
        <v>502</v>
      </c>
      <c r="Z25" s="1385">
        <f>'Section Load'!W28</f>
        <v>166</v>
      </c>
      <c r="AA25" s="1385">
        <f>'Section Load'!X28</f>
        <v>36.099999999991269</v>
      </c>
      <c r="AB25" s="1385">
        <f>'Section Load'!Y28</f>
        <v>51</v>
      </c>
      <c r="AC25" s="1385">
        <f>'Section Load'!Z28</f>
        <v>42.099999999991269</v>
      </c>
      <c r="AD25" s="1385">
        <f>'Section Load'!AA28</f>
        <v>0.18000000000029104</v>
      </c>
      <c r="AE25" s="1385">
        <f>'Section Load'!AB28</f>
        <v>14</v>
      </c>
      <c r="AF25" s="1385">
        <f>'Section Load'!AC28</f>
        <v>514</v>
      </c>
      <c r="AG25" s="1385">
        <f>'Section Load'!AD28</f>
        <v>391</v>
      </c>
      <c r="AH25" s="1385">
        <f>'Section Load'!AE28</f>
        <v>391</v>
      </c>
      <c r="AI25" s="1385">
        <f>'Section Load'!AF28</f>
        <v>610</v>
      </c>
      <c r="AJ25" s="1385">
        <f>'Section Load'!AG28</f>
        <v>289</v>
      </c>
      <c r="AK25" s="1385">
        <f>'Section Load'!AH28</f>
        <v>321</v>
      </c>
      <c r="AL25" s="1385">
        <f>'Section Load'!AI28</f>
        <v>602</v>
      </c>
      <c r="AM25" s="1386">
        <f>'[1]24'!$H$92</f>
        <v>-585</v>
      </c>
      <c r="AN25" s="1386">
        <f>'[1]24'!$H$93</f>
        <v>-974</v>
      </c>
      <c r="AO25" s="1386">
        <f>'[1]24'!$H$95</f>
        <v>-445</v>
      </c>
      <c r="AP25" s="1386">
        <f>'[1]24'!$H$96</f>
        <v>-178</v>
      </c>
      <c r="AQ25" s="1386">
        <f>'[1]24'!$H$97</f>
        <v>-145</v>
      </c>
      <c r="AR25" s="1386">
        <f>'[1]24'!$H$98</f>
        <v>-432</v>
      </c>
      <c r="AS25" s="1386">
        <f>'[1]24'!$H$99</f>
        <v>-148</v>
      </c>
      <c r="AT25" s="1386">
        <f>'[1]24'!$H$100</f>
        <v>-50</v>
      </c>
      <c r="AU25" s="1386">
        <f>'[1]24'!$H$104</f>
        <v>74</v>
      </c>
      <c r="AV25" s="1386">
        <f>'[1]24'!$H$105</f>
        <v>54</v>
      </c>
      <c r="AW25" s="1386">
        <f>'[1]24'!$H$106</f>
        <v>339</v>
      </c>
      <c r="AX25" s="1386">
        <f>'[1]24'!$H$109</f>
        <v>137</v>
      </c>
      <c r="AY25" s="1386">
        <f>'[1]24'!$H$110</f>
        <v>80</v>
      </c>
      <c r="AZ25" s="1386">
        <f>'[1]24'!$H$111</f>
        <v>433</v>
      </c>
      <c r="BA25" s="1386">
        <f>'[1]24'!$H$114</f>
        <v>15</v>
      </c>
      <c r="BB25" s="1386">
        <f>'[1]24'!$H$115</f>
        <v>95</v>
      </c>
      <c r="BC25" s="1386">
        <f>'[1]24'!$H$116</f>
        <v>200</v>
      </c>
      <c r="BD25" s="1386">
        <f>'[1]24'!$H$118</f>
        <v>176</v>
      </c>
      <c r="BE25" s="1386">
        <f>'[1]24'!$H$119</f>
        <v>233</v>
      </c>
      <c r="BF25" s="1386">
        <f>'[1]24'!$H$120</f>
        <v>102</v>
      </c>
      <c r="BG25" s="1387">
        <f>'Section Load'!AJ28</f>
        <v>787.75</v>
      </c>
      <c r="BH25" s="1387">
        <f>'Section Load'!AK28</f>
        <v>260</v>
      </c>
      <c r="BI25" s="1387">
        <f>'Section Load'!AL28</f>
        <v>0</v>
      </c>
      <c r="BJ25" s="1387">
        <f>'Section Load'!AM28</f>
        <v>74</v>
      </c>
      <c r="BK25" s="1387">
        <f>'Section Load'!AN28</f>
        <v>16</v>
      </c>
      <c r="BL25" s="1387">
        <f>'Section Load'!AO28</f>
        <v>2</v>
      </c>
      <c r="BM25" s="1387">
        <f>'Section Load'!AP28</f>
        <v>435.75</v>
      </c>
    </row>
    <row r="26" spans="1:65">
      <c r="A26" s="1369" t="s">
        <v>305</v>
      </c>
      <c r="B26" s="1370">
        <f>B25+1</f>
        <v>25</v>
      </c>
      <c r="C26" s="1370">
        <v>3</v>
      </c>
      <c r="D26" s="1370">
        <v>2021</v>
      </c>
      <c r="E26" s="1385">
        <f>'Section Load'!B29</f>
        <v>3189</v>
      </c>
      <c r="F26" s="1385">
        <f>'Section Load'!C29</f>
        <v>1492</v>
      </c>
      <c r="G26" s="1385">
        <f>'Section Load'!D29</f>
        <v>1987</v>
      </c>
      <c r="H26" s="1385">
        <f>'Section Load'!E29</f>
        <v>4098</v>
      </c>
      <c r="I26" s="1385">
        <f>'Section Load'!F29</f>
        <v>5048</v>
      </c>
      <c r="J26" s="1385">
        <f>'Section Load'!G29</f>
        <v>2279</v>
      </c>
      <c r="K26" s="1385">
        <f>'Section Load'!H29</f>
        <v>1200</v>
      </c>
      <c r="L26" s="1385">
        <f>'Section Load'!I29</f>
        <v>743</v>
      </c>
      <c r="M26" s="1385">
        <f>'Section Load'!J29</f>
        <v>75</v>
      </c>
      <c r="N26" s="1385">
        <f>'Section Load'!K29</f>
        <v>1</v>
      </c>
      <c r="O26" s="1385">
        <f>'Section Load'!L29</f>
        <v>15</v>
      </c>
      <c r="P26" s="1385">
        <f>'Section Load'!M29</f>
        <v>153</v>
      </c>
      <c r="Q26" s="1385">
        <f>'Section Load'!N29</f>
        <v>77</v>
      </c>
      <c r="R26" s="1385">
        <f>'Section Load'!O29</f>
        <v>44</v>
      </c>
      <c r="S26" s="1385">
        <f>'Section Load'!P29</f>
        <v>284</v>
      </c>
      <c r="T26" s="1385">
        <f>'Section Load'!Q29</f>
        <v>204</v>
      </c>
      <c r="U26" s="1385">
        <f>'Section Load'!R29</f>
        <v>369</v>
      </c>
      <c r="V26" s="1385">
        <f>'Section Load'!S29</f>
        <v>126</v>
      </c>
      <c r="W26" s="1385">
        <f>'Section Load'!T29</f>
        <v>24</v>
      </c>
      <c r="X26" s="1385">
        <f>'Section Load'!U29</f>
        <v>158</v>
      </c>
      <c r="Y26" s="1385">
        <f>'Section Load'!V29</f>
        <v>480</v>
      </c>
      <c r="Z26" s="1385">
        <f>'Section Load'!W29</f>
        <v>135</v>
      </c>
      <c r="AA26" s="1385">
        <f>'Section Load'!X29</f>
        <v>35.600000000005821</v>
      </c>
      <c r="AB26" s="1385">
        <f>'Section Load'!Y29</f>
        <v>46</v>
      </c>
      <c r="AC26" s="1385">
        <f>'Section Load'!Z29</f>
        <v>38.600000000005821</v>
      </c>
      <c r="AD26" s="1385">
        <f>'Section Load'!AA29</f>
        <v>0</v>
      </c>
      <c r="AE26" s="1385">
        <f>'Section Load'!AB29</f>
        <v>14</v>
      </c>
      <c r="AF26" s="1385">
        <f>'Section Load'!AC29</f>
        <v>532</v>
      </c>
      <c r="AG26" s="1385">
        <f>'Section Load'!AD29</f>
        <v>392</v>
      </c>
      <c r="AH26" s="1385">
        <f>'Section Load'!AE29</f>
        <v>394</v>
      </c>
      <c r="AI26" s="1385">
        <f>'Section Load'!AF29</f>
        <v>599</v>
      </c>
      <c r="AJ26" s="1385">
        <f>'Section Load'!AG29</f>
        <v>295</v>
      </c>
      <c r="AK26" s="1385">
        <f>'Section Load'!AH29</f>
        <v>324</v>
      </c>
      <c r="AL26" s="1385">
        <f>'Section Load'!AI29</f>
        <v>554</v>
      </c>
      <c r="AM26" s="1386">
        <f>'[1]25'!$H$92</f>
        <v>-489</v>
      </c>
      <c r="AN26" s="1386">
        <f>'[1]25'!$H$93</f>
        <v>-813</v>
      </c>
      <c r="AO26" s="1386">
        <f>'[1]25'!$H$95</f>
        <v>-362</v>
      </c>
      <c r="AP26" s="1386">
        <f>'[1]25'!$H$96</f>
        <v>-154</v>
      </c>
      <c r="AQ26" s="1386">
        <f>'[1]25'!$H$97</f>
        <v>-120</v>
      </c>
      <c r="AR26" s="1386">
        <f>'[1]25'!$H$98</f>
        <v>-382</v>
      </c>
      <c r="AS26" s="1386">
        <f>'[1]25'!$H$99</f>
        <v>-131</v>
      </c>
      <c r="AT26" s="1386">
        <f>'[1]25'!$H$100</f>
        <v>-42</v>
      </c>
      <c r="AU26" s="1386">
        <f>'[1]25'!$H$104</f>
        <v>74</v>
      </c>
      <c r="AV26" s="1386">
        <f>'[1]25'!$H$105</f>
        <v>62</v>
      </c>
      <c r="AW26" s="1386">
        <f>'[1]25'!$H$106</f>
        <v>341</v>
      </c>
      <c r="AX26" s="1386">
        <f>'[1]25'!$H$109</f>
        <v>117</v>
      </c>
      <c r="AY26" s="1386">
        <f>'[1]25'!$H$110</f>
        <v>105</v>
      </c>
      <c r="AZ26" s="1386">
        <f>'[1]25'!$H$111</f>
        <v>447</v>
      </c>
      <c r="BA26" s="1386">
        <f>'[1]25'!$H$114</f>
        <v>20</v>
      </c>
      <c r="BB26" s="1386">
        <f>'[1]25'!$H$115</f>
        <v>93</v>
      </c>
      <c r="BC26" s="1386">
        <f>'[1]25'!$H$116</f>
        <v>200</v>
      </c>
      <c r="BD26" s="1386">
        <f>'[1]25'!$H$118</f>
        <v>172</v>
      </c>
      <c r="BE26" s="1386">
        <f>'[1]25'!$H$119</f>
        <v>240</v>
      </c>
      <c r="BF26" s="1386">
        <f>'[1]25'!$H$120</f>
        <v>121</v>
      </c>
      <c r="BG26" s="1387">
        <f>'Section Load'!AJ29</f>
        <v>861.98999999999069</v>
      </c>
      <c r="BH26" s="1387">
        <f>'Section Load'!AK29</f>
        <v>265</v>
      </c>
      <c r="BI26" s="1387">
        <f>'Section Load'!AL29</f>
        <v>0</v>
      </c>
      <c r="BJ26" s="1387">
        <f>'Section Load'!AM29</f>
        <v>67</v>
      </c>
      <c r="BK26" s="1387">
        <f>'Section Load'!AN29</f>
        <v>22</v>
      </c>
      <c r="BL26" s="1387">
        <f>'Section Load'!AO29</f>
        <v>0</v>
      </c>
      <c r="BM26" s="1387">
        <f>'Section Load'!AP29</f>
        <v>507.98999999999069</v>
      </c>
    </row>
    <row r="27" spans="1:65">
      <c r="A27" s="1369" t="s">
        <v>305</v>
      </c>
      <c r="B27" s="1370">
        <f t="shared" si="0"/>
        <v>26</v>
      </c>
      <c r="C27" s="1370">
        <v>3</v>
      </c>
      <c r="D27" s="1370">
        <v>2021</v>
      </c>
      <c r="E27" s="1385">
        <f>'Section Load'!B30</f>
        <v>3115</v>
      </c>
      <c r="F27" s="1385">
        <f>'Section Load'!C30</f>
        <v>1421</v>
      </c>
      <c r="G27" s="1385">
        <f>'Section Load'!D30</f>
        <v>1988</v>
      </c>
      <c r="H27" s="1385">
        <f>'Section Load'!E30</f>
        <v>4202</v>
      </c>
      <c r="I27" s="1385">
        <f>'Section Load'!F30</f>
        <v>5077</v>
      </c>
      <c r="J27" s="1385">
        <f>'Section Load'!G30</f>
        <v>2292</v>
      </c>
      <c r="K27" s="1385">
        <f>'Section Load'!H30</f>
        <v>1005</v>
      </c>
      <c r="L27" s="1385">
        <f>'Section Load'!I30</f>
        <v>610</v>
      </c>
      <c r="M27" s="1385">
        <f>'Section Load'!J30</f>
        <v>68</v>
      </c>
      <c r="N27" s="1385">
        <f>'Section Load'!K30</f>
        <v>0</v>
      </c>
      <c r="O27" s="1385">
        <f>'Section Load'!L30</f>
        <v>15</v>
      </c>
      <c r="P27" s="1385">
        <f>'Section Load'!M30</f>
        <v>172</v>
      </c>
      <c r="Q27" s="1385">
        <f>'Section Load'!N30</f>
        <v>82</v>
      </c>
      <c r="R27" s="1385">
        <f>'Section Load'!O30</f>
        <v>47</v>
      </c>
      <c r="S27" s="1385">
        <f>'Section Load'!P30</f>
        <v>345</v>
      </c>
      <c r="T27" s="1385">
        <f>'Section Load'!Q30</f>
        <v>198</v>
      </c>
      <c r="U27" s="1385">
        <f>'Section Load'!R30</f>
        <v>353</v>
      </c>
      <c r="V27" s="1385">
        <f>'Section Load'!S30</f>
        <v>123</v>
      </c>
      <c r="W27" s="1385">
        <f>'Section Load'!T30</f>
        <v>19</v>
      </c>
      <c r="X27" s="1385">
        <f>'Section Load'!U30</f>
        <v>177</v>
      </c>
      <c r="Y27" s="1385">
        <f>'Section Load'!V30</f>
        <v>495</v>
      </c>
      <c r="Z27" s="1385">
        <f>'Section Load'!W30</f>
        <v>90</v>
      </c>
      <c r="AA27" s="1385">
        <f>'Section Load'!X30</f>
        <v>37.19999999999709</v>
      </c>
      <c r="AB27" s="1385">
        <f>'Section Load'!Y30</f>
        <v>99</v>
      </c>
      <c r="AC27" s="1385">
        <f>'Section Load'!Z30</f>
        <v>42.19999999999709</v>
      </c>
      <c r="AD27" s="1385">
        <f>'Section Load'!AA30</f>
        <v>0</v>
      </c>
      <c r="AE27" s="1385">
        <f>'Section Load'!AB30</f>
        <v>15</v>
      </c>
      <c r="AF27" s="1385">
        <f>'Section Load'!AC30</f>
        <v>556</v>
      </c>
      <c r="AG27" s="1385">
        <f>'Section Load'!AD30</f>
        <v>396</v>
      </c>
      <c r="AH27" s="1385">
        <f>'Section Load'!AE30</f>
        <v>390</v>
      </c>
      <c r="AI27" s="1385">
        <f>'Section Load'!AF30</f>
        <v>657</v>
      </c>
      <c r="AJ27" s="1385">
        <f>'Section Load'!AG30</f>
        <v>306</v>
      </c>
      <c r="AK27" s="1385">
        <f>'Section Load'!AH30</f>
        <v>333</v>
      </c>
      <c r="AL27" s="1385">
        <f>'Section Load'!AI30</f>
        <v>617</v>
      </c>
      <c r="AM27" s="1386">
        <f>'[1]26'!$H$92</f>
        <v>-381</v>
      </c>
      <c r="AN27" s="1386">
        <f>'[1]26'!$H$93</f>
        <v>-708</v>
      </c>
      <c r="AO27" s="1386">
        <f>'[1]26'!$H$95</f>
        <v>-302</v>
      </c>
      <c r="AP27" s="1386">
        <f>'[1]26'!$H$96</f>
        <v>-135</v>
      </c>
      <c r="AQ27" s="1386">
        <f>'[1]26'!$H$97</f>
        <v>-95</v>
      </c>
      <c r="AR27" s="1386">
        <f>'[1]26'!$H$98</f>
        <v>-320</v>
      </c>
      <c r="AS27" s="1386">
        <f>'[1]26'!$H$99</f>
        <v>-92</v>
      </c>
      <c r="AT27" s="1386">
        <f>'[1]26'!$H$100</f>
        <v>-32</v>
      </c>
      <c r="AU27" s="1386">
        <f>'[1]26'!$H$104</f>
        <v>74</v>
      </c>
      <c r="AV27" s="1386">
        <f>'[1]26'!$H$105</f>
        <v>55</v>
      </c>
      <c r="AW27" s="1386">
        <f>'[1]26'!$H$106</f>
        <v>337</v>
      </c>
      <c r="AX27" s="1386">
        <f>'[1]26'!$H$109</f>
        <v>118</v>
      </c>
      <c r="AY27" s="1386">
        <f>'[1]26'!$H$110</f>
        <v>105</v>
      </c>
      <c r="AZ27" s="1386">
        <f>'[1]26'!$H$111</f>
        <v>433</v>
      </c>
      <c r="BA27" s="1386">
        <f>'[1]26'!$H$114</f>
        <v>44</v>
      </c>
      <c r="BB27" s="1386">
        <f>'[1]26'!$H$115</f>
        <v>97</v>
      </c>
      <c r="BC27" s="1386">
        <f>'[1]26'!$H$116</f>
        <v>200</v>
      </c>
      <c r="BD27" s="1386">
        <f>'[1]26'!$H$118</f>
        <v>180</v>
      </c>
      <c r="BE27" s="1386">
        <f>'[1]26'!$H$119</f>
        <v>236</v>
      </c>
      <c r="BF27" s="1386">
        <f>'[1]26'!$H$120</f>
        <v>108</v>
      </c>
      <c r="BG27" s="1387">
        <f>'Section Load'!AJ30</f>
        <v>838.44999999995343</v>
      </c>
      <c r="BH27" s="1387">
        <f>'Section Load'!AK30</f>
        <v>251</v>
      </c>
      <c r="BI27" s="1387">
        <f>'Section Load'!AL30</f>
        <v>0</v>
      </c>
      <c r="BJ27" s="1387">
        <f>'Section Load'!AM30</f>
        <v>57</v>
      </c>
      <c r="BK27" s="1387">
        <f>'Section Load'!AN30</f>
        <v>23</v>
      </c>
      <c r="BL27" s="1387">
        <f>'Section Load'!AO30</f>
        <v>1</v>
      </c>
      <c r="BM27" s="1387">
        <f>'Section Load'!AP30</f>
        <v>506.44999999995343</v>
      </c>
    </row>
    <row r="28" spans="1:65">
      <c r="A28" s="1369" t="s">
        <v>305</v>
      </c>
      <c r="B28" s="1370">
        <f t="shared" si="0"/>
        <v>27</v>
      </c>
      <c r="C28" s="1370">
        <v>3</v>
      </c>
      <c r="D28" s="1370">
        <v>2021</v>
      </c>
      <c r="E28" s="1385">
        <f>'Section Load'!B31</f>
        <v>3121.4799999999814</v>
      </c>
      <c r="F28" s="1385">
        <f>'Section Load'!C31</f>
        <v>1489.989999999998</v>
      </c>
      <c r="G28" s="1385">
        <f>'Section Load'!D31</f>
        <v>2224.4650000000183</v>
      </c>
      <c r="H28" s="1385">
        <f>'Section Load'!E31</f>
        <v>4174.9600000000064</v>
      </c>
      <c r="I28" s="1385">
        <f>'Section Load'!F31</f>
        <v>5238.6600000000471</v>
      </c>
      <c r="J28" s="1385">
        <f>'Section Load'!G31</f>
        <v>2278.5599999999813</v>
      </c>
      <c r="K28" s="1385">
        <f>'Section Load'!H31</f>
        <v>972.27000000001863</v>
      </c>
      <c r="L28" s="1385">
        <f>'Section Load'!I31</f>
        <v>562.3300000000163</v>
      </c>
      <c r="M28" s="1385">
        <f>'Section Load'!J31</f>
        <v>79</v>
      </c>
      <c r="N28" s="1385">
        <f>'Section Load'!K31</f>
        <v>0</v>
      </c>
      <c r="O28" s="1385">
        <f>'Section Load'!L31</f>
        <v>21.299999999999955</v>
      </c>
      <c r="P28" s="1385">
        <f>'Section Load'!M31</f>
        <v>172.88000000000011</v>
      </c>
      <c r="Q28" s="1385">
        <f>'Section Load'!N31</f>
        <v>78.170000000000073</v>
      </c>
      <c r="R28" s="1385">
        <f>'Section Load'!O31</f>
        <v>45</v>
      </c>
      <c r="S28" s="1385">
        <f>'Section Load'!P31</f>
        <v>325</v>
      </c>
      <c r="T28" s="1385">
        <f>'Section Load'!Q31</f>
        <v>181</v>
      </c>
      <c r="U28" s="1385">
        <f>'Section Load'!R31</f>
        <v>369.84000000002561</v>
      </c>
      <c r="V28" s="1385">
        <f>'Section Load'!S31</f>
        <v>124.52000000001863</v>
      </c>
      <c r="W28" s="1385">
        <f>'Section Load'!T31</f>
        <v>26.820000000006985</v>
      </c>
      <c r="X28" s="1385">
        <f>'Section Load'!U31</f>
        <v>219.66000000000349</v>
      </c>
      <c r="Y28" s="1385">
        <f>'Section Load'!V31</f>
        <v>476</v>
      </c>
      <c r="Z28" s="1385">
        <f>'Section Load'!W31</f>
        <v>64.440000000002328</v>
      </c>
      <c r="AA28" s="1385">
        <f>'Section Load'!X31</f>
        <v>27.400000000008731</v>
      </c>
      <c r="AB28" s="1385">
        <f>'Section Load'!Y31</f>
        <v>32.899999999994179</v>
      </c>
      <c r="AC28" s="1385">
        <f>'Section Load'!Z31</f>
        <v>29.300000000008822</v>
      </c>
      <c r="AD28" s="1385">
        <f>'Section Load'!AA31</f>
        <v>0</v>
      </c>
      <c r="AE28" s="1385">
        <f>'Section Load'!AB31</f>
        <v>14.009999999999991</v>
      </c>
      <c r="AF28" s="1385">
        <f>'Section Load'!AC31</f>
        <v>487.85000000000582</v>
      </c>
      <c r="AG28" s="1385">
        <f>'Section Load'!AD31</f>
        <v>392.92000000001281</v>
      </c>
      <c r="AH28" s="1385">
        <f>'Section Load'!AE31</f>
        <v>386.43999999999869</v>
      </c>
      <c r="AI28" s="1385">
        <f>'Section Load'!AF31</f>
        <v>661.42999999999302</v>
      </c>
      <c r="AJ28" s="1385">
        <f>'Section Load'!AG31</f>
        <v>332.60000000000582</v>
      </c>
      <c r="AK28" s="1385">
        <f>'Section Load'!AH31</f>
        <v>318.66000000000349</v>
      </c>
      <c r="AL28" s="1385">
        <f>'Section Load'!AI31</f>
        <v>672</v>
      </c>
      <c r="AM28" s="1386">
        <f>'[1]27'!$H$92</f>
        <v>-291</v>
      </c>
      <c r="AN28" s="1386">
        <f>'[1]27'!$H$93</f>
        <v>-595</v>
      </c>
      <c r="AO28" s="1386">
        <f>'[1]27'!$H$95</f>
        <v>-231</v>
      </c>
      <c r="AP28" s="1386">
        <f>'[1]27'!$H$96</f>
        <v>-120</v>
      </c>
      <c r="AQ28" s="1386">
        <f>'[1]27'!$H$97</f>
        <v>-82</v>
      </c>
      <c r="AR28" s="1386">
        <f>'[1]27'!$H$98</f>
        <v>-256</v>
      </c>
      <c r="AS28" s="1386">
        <f>'[1]27'!$H$99</f>
        <v>-60</v>
      </c>
      <c r="AT28" s="1386">
        <f>'[1]27'!$H$100</f>
        <v>-27</v>
      </c>
      <c r="AU28" s="1386">
        <f>'[1]27'!$H$104</f>
        <v>74</v>
      </c>
      <c r="AV28" s="1386">
        <f>'[1]27'!$H$105</f>
        <v>60</v>
      </c>
      <c r="AW28" s="1386">
        <f>'[1]27'!$H$106</f>
        <v>341</v>
      </c>
      <c r="AX28" s="1386">
        <f>'[1]27'!$H$109</f>
        <v>118</v>
      </c>
      <c r="AY28" s="1386">
        <f>'[1]27'!$H$110</f>
        <v>104</v>
      </c>
      <c r="AZ28" s="1386">
        <f>'[1]27'!$H$111</f>
        <v>438</v>
      </c>
      <c r="BA28" s="1386">
        <f>'[1]27'!$H$114</f>
        <v>37</v>
      </c>
      <c r="BB28" s="1386">
        <f>'[1]27'!$H$115</f>
        <v>92</v>
      </c>
      <c r="BC28" s="1386">
        <f>'[1]27'!$H$116</f>
        <v>200</v>
      </c>
      <c r="BD28" s="1386">
        <f>'[1]27'!$H$118</f>
        <v>167</v>
      </c>
      <c r="BE28" s="1386">
        <f>'[1]27'!$H$119</f>
        <v>219</v>
      </c>
      <c r="BF28" s="1386">
        <f>'[1]27'!$H$120</f>
        <v>112</v>
      </c>
      <c r="BG28" s="1387">
        <f>'Section Load'!AJ31</f>
        <v>961.60299999988638</v>
      </c>
      <c r="BH28" s="1387">
        <f>'Section Load'!AK31</f>
        <v>252.09799999999814</v>
      </c>
      <c r="BI28" s="1387">
        <f>'Section Load'!AL31</f>
        <v>0.39999999999417923</v>
      </c>
      <c r="BJ28" s="1387">
        <f>'Section Load'!AM31</f>
        <v>78.529999999998836</v>
      </c>
      <c r="BK28" s="1387">
        <f>'Section Load'!AN31</f>
        <v>25.5</v>
      </c>
      <c r="BL28" s="1387">
        <f>'Section Load'!AO31</f>
        <v>2.3999999999996362</v>
      </c>
      <c r="BM28" s="1387">
        <f>'Section Load'!AP31</f>
        <v>602.67499999989559</v>
      </c>
    </row>
    <row r="29" spans="1:65">
      <c r="A29" s="1369" t="s">
        <v>305</v>
      </c>
      <c r="B29" s="1370">
        <f t="shared" si="0"/>
        <v>28</v>
      </c>
      <c r="C29" s="1370">
        <v>3</v>
      </c>
      <c r="D29" s="1370">
        <v>2021</v>
      </c>
      <c r="E29" s="1385">
        <f>'Section Load'!B32</f>
        <v>3316.2399999999907</v>
      </c>
      <c r="F29" s="1385">
        <f>'Section Load'!C32</f>
        <v>1486.0299999999988</v>
      </c>
      <c r="G29" s="1385">
        <f>'Section Load'!D32</f>
        <v>2272.7350000000006</v>
      </c>
      <c r="H29" s="1385">
        <f>'Section Load'!E32</f>
        <v>4370.9400000000023</v>
      </c>
      <c r="I29" s="1385">
        <f>'Section Load'!F32</f>
        <v>5659.2799999999843</v>
      </c>
      <c r="J29" s="1385">
        <f>'Section Load'!G32</f>
        <v>2391.5999999999767</v>
      </c>
      <c r="K29" s="1385">
        <f>'Section Load'!H32</f>
        <v>1090.7600000000093</v>
      </c>
      <c r="L29" s="1385">
        <f>'Section Load'!I32</f>
        <v>614.23999999999069</v>
      </c>
      <c r="M29" s="1385">
        <f>'Section Load'!J32</f>
        <v>81</v>
      </c>
      <c r="N29" s="1385">
        <f>'Section Load'!K32</f>
        <v>1</v>
      </c>
      <c r="O29" s="1385">
        <f>'Section Load'!L32</f>
        <v>48.870000000000005</v>
      </c>
      <c r="P29" s="1385">
        <f>'Section Load'!M32</f>
        <v>162.33999999999969</v>
      </c>
      <c r="Q29" s="1385">
        <f>'Section Load'!N32</f>
        <v>81.169999999999845</v>
      </c>
      <c r="R29" s="1385">
        <f>'Section Load'!O32</f>
        <v>48</v>
      </c>
      <c r="S29" s="1385">
        <f>'Section Load'!P32</f>
        <v>413</v>
      </c>
      <c r="T29" s="1385">
        <f>'Section Load'!Q32</f>
        <v>238</v>
      </c>
      <c r="U29" s="1385">
        <f>'Section Load'!R32</f>
        <v>407.79999999998836</v>
      </c>
      <c r="V29" s="1385">
        <f>'Section Load'!S32</f>
        <v>145.31999999994878</v>
      </c>
      <c r="W29" s="1385">
        <f>'Section Load'!T32</f>
        <v>16.659999999988941</v>
      </c>
      <c r="X29" s="1385">
        <f>'Section Load'!U32</f>
        <v>195.0399999999936</v>
      </c>
      <c r="Y29" s="1385">
        <f>'Section Load'!V32</f>
        <v>611</v>
      </c>
      <c r="Z29" s="1385">
        <f>'Section Load'!W32</f>
        <v>85.090000000025611</v>
      </c>
      <c r="AA29" s="1385">
        <f>'Section Load'!X32</f>
        <v>13.099999999991269</v>
      </c>
      <c r="AB29" s="1385">
        <f>'Section Load'!Y32</f>
        <v>30.709999999991851</v>
      </c>
      <c r="AC29" s="1385">
        <f>'Section Load'!Z32</f>
        <v>14.099999999991269</v>
      </c>
      <c r="AD29" s="1385">
        <f>'Section Load'!AA32</f>
        <v>7.0000000014260877E-3</v>
      </c>
      <c r="AE29" s="1385">
        <f>'Section Load'!AB32</f>
        <v>15.349999999999909</v>
      </c>
      <c r="AF29" s="1385">
        <f>'Section Load'!AC32</f>
        <v>490.44999999999709</v>
      </c>
      <c r="AG29" s="1385">
        <f>'Section Load'!AD32</f>
        <v>416.37999999997555</v>
      </c>
      <c r="AH29" s="1385">
        <f>'Section Load'!AE32</f>
        <v>404.31000000000131</v>
      </c>
      <c r="AI29" s="1385">
        <f>'Section Load'!AF32</f>
        <v>693.39999999999418</v>
      </c>
      <c r="AJ29" s="1385">
        <f>'Section Load'!AG32</f>
        <v>370.91999999999825</v>
      </c>
      <c r="AK29" s="1385">
        <f>'Section Load'!AH32</f>
        <v>341.42999999999302</v>
      </c>
      <c r="AL29" s="1385">
        <f>'Section Load'!AI32</f>
        <v>739</v>
      </c>
      <c r="AM29" s="1386">
        <f>'[1]28'!$H$92</f>
        <v>-234</v>
      </c>
      <c r="AN29" s="1386">
        <f>'[1]28'!$H$93</f>
        <v>-495</v>
      </c>
      <c r="AO29" s="1386">
        <f>'[1]28'!$H$95</f>
        <v>-188</v>
      </c>
      <c r="AP29" s="1386">
        <f>'[1]28'!$H$96</f>
        <v>-97</v>
      </c>
      <c r="AQ29" s="1386">
        <f>'[1]28'!$H$97</f>
        <v>-71</v>
      </c>
      <c r="AR29" s="1386">
        <f>'[1]28'!$H$98</f>
        <v>-197</v>
      </c>
      <c r="AS29" s="1386">
        <f>'[1]28'!$H$99</f>
        <v>-38</v>
      </c>
      <c r="AT29" s="1386">
        <f>'[1]28'!$H$100</f>
        <v>-19</v>
      </c>
      <c r="AU29" s="1386">
        <f>'[1]28'!$H$104</f>
        <v>74</v>
      </c>
      <c r="AV29" s="1386">
        <f>'[1]28'!$H$105</f>
        <v>48</v>
      </c>
      <c r="AW29" s="1386">
        <f>'[1]28'!$H$106</f>
        <v>334</v>
      </c>
      <c r="AX29" s="1386">
        <f>'[1]28'!$H$109</f>
        <v>139</v>
      </c>
      <c r="AY29" s="1386">
        <f>'[1]28'!$H$110</f>
        <v>93</v>
      </c>
      <c r="AZ29" s="1386">
        <f>'[1]28'!$H$111</f>
        <v>433</v>
      </c>
      <c r="BA29" s="1386">
        <f>'[1]28'!$H$114</f>
        <v>25</v>
      </c>
      <c r="BB29" s="1386">
        <f>'[1]28'!$H$115</f>
        <v>94</v>
      </c>
      <c r="BC29" s="1386">
        <f>'[1]28'!$H$116</f>
        <v>200</v>
      </c>
      <c r="BD29" s="1386">
        <f>'[1]28'!$H$118</f>
        <v>133</v>
      </c>
      <c r="BE29" s="1386">
        <f>'[1]28'!$H$119</f>
        <v>190</v>
      </c>
      <c r="BF29" s="1386">
        <f>'[1]28'!$H$120</f>
        <v>117</v>
      </c>
      <c r="BG29" s="1387">
        <f>'Section Load'!AJ32</f>
        <v>1060.0070000002161</v>
      </c>
      <c r="BH29" s="1387">
        <f>'Section Load'!AK32</f>
        <v>273.74199999996927</v>
      </c>
      <c r="BI29" s="1387">
        <f>'Section Load'!AL32</f>
        <v>0</v>
      </c>
      <c r="BJ29" s="1387">
        <f>'Section Load'!AM32</f>
        <v>67.809999999997672</v>
      </c>
      <c r="BK29" s="1387">
        <f>'Section Load'!AN32</f>
        <v>41.400000000001455</v>
      </c>
      <c r="BL29" s="1387">
        <f>'Section Load'!AO32</f>
        <v>2.3999999999996362</v>
      </c>
      <c r="BM29" s="1387">
        <f>'Section Load'!AP32</f>
        <v>674.65500000024804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AQ3" sqref="AQ1:AZ104857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06"/>
      <c r="B1" s="1406"/>
      <c r="C1" s="1406"/>
      <c r="D1" s="1406"/>
      <c r="E1" s="1406"/>
      <c r="F1" s="1406"/>
      <c r="G1" s="1406"/>
      <c r="H1" s="1406"/>
      <c r="I1" s="1406"/>
      <c r="J1" s="1406"/>
      <c r="K1" s="1406"/>
      <c r="L1" s="1406"/>
      <c r="M1" s="1406"/>
      <c r="N1" s="1406"/>
      <c r="O1" s="1406"/>
      <c r="P1" s="1406"/>
      <c r="Q1" s="1406"/>
      <c r="R1" s="1406"/>
      <c r="S1" s="1406"/>
      <c r="T1" s="1406"/>
      <c r="U1" s="1406"/>
      <c r="V1" s="1406"/>
      <c r="W1" s="1406"/>
      <c r="X1" s="1406"/>
      <c r="Y1" s="1406"/>
      <c r="Z1" s="1406"/>
      <c r="AA1" s="1406"/>
      <c r="AB1" s="1406"/>
      <c r="AC1" s="1406"/>
      <c r="AD1" s="1406"/>
      <c r="AE1" s="1406"/>
      <c r="AF1" s="1406"/>
      <c r="AG1" s="1406"/>
      <c r="AH1" s="1406"/>
      <c r="AI1" s="1406"/>
      <c r="AJ1" s="1406"/>
      <c r="AK1" s="1406"/>
      <c r="AL1" s="1406"/>
      <c r="AM1" s="1406"/>
      <c r="AN1" s="1406"/>
      <c r="AO1" s="1406"/>
      <c r="AP1" s="1406"/>
      <c r="AQ1" s="1406"/>
      <c r="AR1" s="1406"/>
      <c r="AS1" s="1406"/>
      <c r="AT1" s="1406"/>
      <c r="AU1" s="1406"/>
      <c r="AV1" s="1406"/>
      <c r="AW1" s="1406"/>
      <c r="AX1" s="1406"/>
      <c r="AY1" s="1406"/>
      <c r="AZ1" s="1406"/>
      <c r="BA1" s="1406"/>
      <c r="BB1" s="1406"/>
      <c r="BC1" s="1406"/>
      <c r="BD1" s="1406"/>
      <c r="BE1" s="1406"/>
      <c r="BF1" s="1406"/>
      <c r="BG1" s="1406"/>
      <c r="BH1" s="1406"/>
      <c r="BI1" s="1406"/>
      <c r="BJ1" s="1406"/>
      <c r="BK1" s="1406"/>
      <c r="BL1" s="1406"/>
      <c r="BM1" s="1406"/>
      <c r="BN1" s="1406"/>
      <c r="BO1" s="1406"/>
    </row>
    <row r="2" spans="1:70" ht="28.5" customHeight="1">
      <c r="A2" s="1" t="s">
        <v>0</v>
      </c>
      <c r="B2" s="1" t="s">
        <v>0</v>
      </c>
      <c r="C2" s="1201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407" t="s">
        <v>6</v>
      </c>
      <c r="J2" s="1407"/>
      <c r="K2" s="1407"/>
      <c r="L2" s="237"/>
      <c r="M2" s="1408" t="s">
        <v>7</v>
      </c>
      <c r="N2" s="1408"/>
      <c r="O2" s="1408"/>
      <c r="P2" s="1409" t="s">
        <v>8</v>
      </c>
      <c r="Q2" s="1409"/>
      <c r="R2" s="1409"/>
      <c r="S2" s="237" t="s">
        <v>9</v>
      </c>
      <c r="T2" s="1410" t="s">
        <v>10</v>
      </c>
      <c r="U2" s="1410"/>
      <c r="V2" s="1410"/>
      <c r="W2" s="1411" t="s">
        <v>11</v>
      </c>
      <c r="X2" s="1412"/>
      <c r="Y2" s="1413"/>
      <c r="Z2" s="1200"/>
      <c r="AA2" s="1414" t="s">
        <v>12</v>
      </c>
      <c r="AB2" s="1414"/>
      <c r="AC2" s="1414"/>
      <c r="AD2" s="1414"/>
      <c r="AE2" s="1201"/>
      <c r="AF2" s="1201" t="s">
        <v>13</v>
      </c>
      <c r="AG2" s="1201" t="s">
        <v>14</v>
      </c>
      <c r="AH2" s="1414" t="s">
        <v>15</v>
      </c>
      <c r="AI2" s="1414"/>
      <c r="AJ2" s="1414"/>
      <c r="AK2" s="1201" t="s">
        <v>16</v>
      </c>
      <c r="AL2" s="1414" t="s">
        <v>17</v>
      </c>
      <c r="AM2" s="1414"/>
      <c r="AN2" s="1414"/>
      <c r="AO2" s="1201" t="s">
        <v>18</v>
      </c>
      <c r="AP2" s="5" t="s">
        <v>19</v>
      </c>
      <c r="AQ2" s="1415" t="s">
        <v>20</v>
      </c>
      <c r="AR2" s="1416"/>
      <c r="AS2" s="1416"/>
      <c r="AT2" s="1416"/>
      <c r="AU2" s="1416"/>
      <c r="AV2" s="1416"/>
      <c r="AW2" s="1416"/>
      <c r="AX2" s="1416"/>
      <c r="AY2" s="1416"/>
      <c r="AZ2" s="1417"/>
      <c r="BA2" s="1415" t="s">
        <v>21</v>
      </c>
      <c r="BB2" s="1416"/>
      <c r="BC2" s="1416"/>
      <c r="BD2" s="1416"/>
      <c r="BE2" s="1416"/>
      <c r="BF2" s="1416"/>
      <c r="BG2" s="1416"/>
      <c r="BH2" s="1416"/>
      <c r="BI2" s="1416"/>
      <c r="BJ2" s="477"/>
      <c r="BK2" s="457"/>
      <c r="BL2" s="232"/>
      <c r="BM2" s="232"/>
      <c r="BN2" s="232"/>
      <c r="BO2" s="1201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22554</v>
      </c>
      <c r="H4" s="19">
        <f>'1'!G8</f>
        <v>22554</v>
      </c>
      <c r="I4" s="19">
        <f>'1'!G7</f>
        <v>22397</v>
      </c>
      <c r="J4" s="19">
        <f>'1'!F27</f>
        <v>9</v>
      </c>
      <c r="K4" s="242">
        <f>H4*J4</f>
        <v>202986</v>
      </c>
      <c r="L4" s="238">
        <f>I4/202</f>
        <v>110.87623762376238</v>
      </c>
      <c r="M4" s="19">
        <f>'1'!G15</f>
        <v>880.63199999998324</v>
      </c>
      <c r="N4" s="19">
        <v>35</v>
      </c>
      <c r="O4" s="238">
        <f>M4*N4</f>
        <v>30822.119999999413</v>
      </c>
      <c r="P4" s="19">
        <f>'1'!G20</f>
        <v>228</v>
      </c>
      <c r="Q4" s="19">
        <v>134</v>
      </c>
      <c r="R4" s="239">
        <f t="shared" ref="R4:R34" si="0">P4*Q4</f>
        <v>30552</v>
      </c>
      <c r="S4" s="240">
        <f t="shared" ref="S4:S34" si="1">P4/(F4*202/100)</f>
        <v>240.15167474194229</v>
      </c>
      <c r="T4" s="19">
        <f>'1'!G24</f>
        <v>0</v>
      </c>
      <c r="U4" s="19">
        <v>69</v>
      </c>
      <c r="V4" s="241">
        <f>T4*U4</f>
        <v>0</v>
      </c>
      <c r="W4" s="22">
        <f>'1'!G95</f>
        <v>76</v>
      </c>
      <c r="X4" s="22">
        <f>'1'!G96</f>
        <v>13</v>
      </c>
      <c r="Y4" s="22">
        <f>'1'!G97</f>
        <v>24</v>
      </c>
      <c r="Z4" s="22">
        <f>W4+X4+Y4</f>
        <v>113</v>
      </c>
      <c r="AA4" s="19">
        <f>'1'!G132</f>
        <v>0</v>
      </c>
      <c r="AB4" s="19">
        <f>'1'!G133</f>
        <v>0</v>
      </c>
      <c r="AC4" s="19">
        <f>'1'!G134</f>
        <v>24</v>
      </c>
      <c r="AD4" s="19">
        <f>'1'!G135</f>
        <v>3.4399999999986903</v>
      </c>
      <c r="AE4" s="19">
        <f>AA4+AB4+AC4+AD4</f>
        <v>27.43999999999869</v>
      </c>
      <c r="AF4" s="23">
        <f t="shared" ref="AF4:AF34" si="2">AV4+AW4+BF4+BG4</f>
        <v>5749.6500000000087</v>
      </c>
      <c r="AG4" s="23">
        <f>AF4/AE4</f>
        <v>209.53534985423772</v>
      </c>
      <c r="AH4" s="19">
        <f>'1'!G136</f>
        <v>8.7700000000004366</v>
      </c>
      <c r="AI4" s="19">
        <f>'1'!G137</f>
        <v>0</v>
      </c>
      <c r="AJ4" s="19">
        <f>'1'!G138</f>
        <v>5.3700000000098953</v>
      </c>
      <c r="AK4" s="19">
        <f>AH4+AI4+AJ4</f>
        <v>14.140000000010332</v>
      </c>
      <c r="AL4" s="19">
        <f>'1'!G139</f>
        <v>7.709999999999809</v>
      </c>
      <c r="AM4" s="19">
        <f>'1'!G140</f>
        <v>-0.47000000000025466</v>
      </c>
      <c r="AN4" s="19"/>
      <c r="AO4" s="19">
        <f>AL4+AM4</f>
        <v>7.2399999999995543</v>
      </c>
      <c r="AP4" s="258">
        <f>'1'!G123</f>
        <v>266.26000000000931</v>
      </c>
      <c r="AQ4" s="261">
        <f>'1'!G35</f>
        <v>3193.1199999999953</v>
      </c>
      <c r="AR4" s="19">
        <f>'1'!G37</f>
        <v>1450.4500000000044</v>
      </c>
      <c r="AS4" s="19">
        <f>'1'!G38</f>
        <v>2140.4200000000055</v>
      </c>
      <c r="AT4" s="19">
        <f>'1'!G39</f>
        <v>4328.8000000000029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2455.359999999986</v>
      </c>
      <c r="AY4" s="19">
        <f>'1'!G44</f>
        <v>0</v>
      </c>
      <c r="AZ4" s="262">
        <f>'1'!G36</f>
        <v>759.23999999999069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68.1899999999996</v>
      </c>
      <c r="BF4" s="19">
        <f>'1'!G55</f>
        <v>5092.7700000000041</v>
      </c>
      <c r="BG4" s="19">
        <f>'1'!G56</f>
        <v>656.88000000000466</v>
      </c>
      <c r="BH4" s="19">
        <f>'1'!G57</f>
        <v>0</v>
      </c>
      <c r="BI4" s="262">
        <f>'1'!G50</f>
        <v>1635.9199999999837</v>
      </c>
      <c r="BJ4" s="401">
        <f>SUM(AV4,AW4,BF4,BG4)</f>
        <v>5749.6500000000087</v>
      </c>
      <c r="BK4" s="401">
        <f>'1'!G84</f>
        <v>690</v>
      </c>
      <c r="BL4" s="23">
        <f>SUM(AQ4,AV4,AW4,AX4,BA4,BF4,BG4,BH4)/I4%</f>
        <v>50.891324730990711</v>
      </c>
      <c r="BM4" s="23">
        <f>SUM(AT4,BD4)/I4%</f>
        <v>19.327588516319164</v>
      </c>
      <c r="BN4" s="24">
        <f>(AS4+BC4)/I4</f>
        <v>9.5567263472786781E-2</v>
      </c>
      <c r="BO4" s="25">
        <f>K4+O4+R4+V4</f>
        <v>264360.11999999941</v>
      </c>
      <c r="BP4" s="213">
        <f>SUM(AV4,AW4,AX4,BF4,BG4,BH4,BK4)</f>
        <v>8895.0099999999948</v>
      </c>
      <c r="BQ4">
        <f>BP4/(AE4*280)</f>
        <v>1.1577220428988468</v>
      </c>
      <c r="BR4" s="213">
        <f>SUM(AV4,AW4,BF4,BG4)/(AE4*400)</f>
        <v>0.52383837463559435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22596</v>
      </c>
      <c r="H5" s="19">
        <f>'2'!G8</f>
        <v>22596</v>
      </c>
      <c r="I5" s="19">
        <f>'2'!G7</f>
        <v>22379</v>
      </c>
      <c r="J5" s="19">
        <v>10</v>
      </c>
      <c r="K5" s="242">
        <f t="shared" ref="K5:K34" si="3">H5*J5</f>
        <v>225960</v>
      </c>
      <c r="L5" s="238">
        <f t="shared" ref="L5:L34" si="4">I5/202</f>
        <v>110.78712871287129</v>
      </c>
      <c r="M5" s="19">
        <f>'2'!G15</f>
        <v>993.17799999983981</v>
      </c>
      <c r="N5" s="19">
        <v>35</v>
      </c>
      <c r="O5" s="238">
        <f t="shared" ref="O5:O34" si="5">M5*N5</f>
        <v>34761.229999994393</v>
      </c>
      <c r="P5" s="19">
        <f>'2'!G20</f>
        <v>192</v>
      </c>
      <c r="Q5" s="19">
        <v>134</v>
      </c>
      <c r="R5" s="239">
        <f t="shared" si="0"/>
        <v>25728</v>
      </c>
      <c r="S5" s="240">
        <f t="shared" si="1"/>
        <v>198.01980198019803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85</v>
      </c>
      <c r="X5" s="22">
        <f>'2'!G96</f>
        <v>18</v>
      </c>
      <c r="Y5" s="22">
        <f>'2'!G97</f>
        <v>19</v>
      </c>
      <c r="Z5" s="22">
        <f t="shared" ref="Z5:Z34" si="7">W5+X5+Y5</f>
        <v>122</v>
      </c>
      <c r="AA5" s="19">
        <f>'2'!G132</f>
        <v>0</v>
      </c>
      <c r="AB5" s="19">
        <f>'2'!G133</f>
        <v>0</v>
      </c>
      <c r="AC5" s="19">
        <f>'2'!G134</f>
        <v>19</v>
      </c>
      <c r="AD5" s="19">
        <f>'2'!G135</f>
        <v>7.6500000000014552</v>
      </c>
      <c r="AE5" s="19">
        <f t="shared" ref="AE5:AE34" si="8">AA5+AB5+AC5+AD5</f>
        <v>26.650000000001455</v>
      </c>
      <c r="AF5" s="23">
        <f t="shared" si="2"/>
        <v>5632.6609999999928</v>
      </c>
      <c r="AG5" s="23">
        <f t="shared" ref="AG5:AG34" si="9">AF5/AE5</f>
        <v>211.35688555345911</v>
      </c>
      <c r="AH5" s="19">
        <f>'2'!G136</f>
        <v>8.8400000000001455</v>
      </c>
      <c r="AI5" s="19">
        <f>'2'!G137</f>
        <v>0</v>
      </c>
      <c r="AJ5" s="19">
        <f>'2'!G138</f>
        <v>6.6399999999994179</v>
      </c>
      <c r="AK5" s="19">
        <f t="shared" ref="AK5:AK34" si="10">AH5+AI5+AJ5</f>
        <v>15.479999999999563</v>
      </c>
      <c r="AL5" s="19">
        <f>'2'!G139</f>
        <v>8.0600000000001728</v>
      </c>
      <c r="AM5" s="19">
        <f>'2'!G140</f>
        <v>0.47000000000025466</v>
      </c>
      <c r="AN5" s="19"/>
      <c r="AO5" s="19">
        <f t="shared" ref="AO5:AO34" si="11">AL5+AM5</f>
        <v>8.5300000000004275</v>
      </c>
      <c r="AP5" s="258">
        <f>'2'!G123</f>
        <v>278.29000000003725</v>
      </c>
      <c r="AQ5" s="261">
        <f>'2'!G35</f>
        <v>3503.7600000000093</v>
      </c>
      <c r="AR5" s="19">
        <f>'2'!G37</f>
        <v>1456.8399999999965</v>
      </c>
      <c r="AS5" s="19">
        <f>'2'!G38</f>
        <v>2089.5099999999948</v>
      </c>
      <c r="AT5" s="19">
        <f>'2'!G39</f>
        <v>4368.929999999993</v>
      </c>
      <c r="AU5" s="19">
        <f>'2'!G40</f>
        <v>0</v>
      </c>
      <c r="AV5" s="19">
        <f>'2'!G41</f>
        <v>0</v>
      </c>
      <c r="AW5" s="19">
        <f>'2'!G42</f>
        <v>1.0000000038417056E-3</v>
      </c>
      <c r="AX5" s="19">
        <f>'2'!G43</f>
        <v>2485.5200000000186</v>
      </c>
      <c r="AY5" s="19">
        <f>'2'!G44</f>
        <v>0</v>
      </c>
      <c r="AZ5" s="262">
        <f>'2'!G36</f>
        <v>669.28000000002794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36.210000000000946</v>
      </c>
      <c r="BF5" s="19">
        <f>'2'!G55</f>
        <v>3791.5399999999936</v>
      </c>
      <c r="BG5" s="19">
        <f>'2'!G56</f>
        <v>1841.1199999999953</v>
      </c>
      <c r="BH5" s="19">
        <f>'2'!G57</f>
        <v>0</v>
      </c>
      <c r="BI5" s="262">
        <f>'2'!G50</f>
        <v>1600.359999999986</v>
      </c>
      <c r="BJ5" s="401">
        <f t="shared" ref="BJ5:BJ34" si="12">SUM(AV5,AW5,BF5,BG5)</f>
        <v>5632.6609999999928</v>
      </c>
      <c r="BK5" s="401">
        <f>'2'!G84</f>
        <v>727</v>
      </c>
      <c r="BL5" s="23">
        <f t="shared" ref="BL5:BL34" si="13">SUM(AQ5,AV5,AW5,AX5,BA5,BF5,BG5,BH5)/I5%</f>
        <v>51.932351758344971</v>
      </c>
      <c r="BM5" s="23">
        <f t="shared" ref="BM5:BM34" si="14">SUM(AT5,BD5)/I5%</f>
        <v>19.522454086420275</v>
      </c>
      <c r="BN5" s="24">
        <f t="shared" ref="BN5:BN34" si="15">(AS5+BC5)/I5</f>
        <v>9.336923008177285E-2</v>
      </c>
      <c r="BO5" s="25">
        <f t="shared" ref="BO5:BO34" si="16">K5+O5+R5+V5</f>
        <v>286449.22999999439</v>
      </c>
      <c r="BP5" s="213">
        <f t="shared" ref="BP5:BP35" si="17">SUM(AV5,AW5,AX5,BF5,BG5,BH5,BK5)</f>
        <v>8845.1810000000114</v>
      </c>
      <c r="BQ5">
        <f t="shared" ref="BQ5:BQ35" si="18">BP5/(AE5*280)</f>
        <v>1.1853633074242198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0.43519999999999998</v>
      </c>
      <c r="G6" s="19">
        <f>'3'!G8</f>
        <v>21194</v>
      </c>
      <c r="H6" s="19">
        <f>'3'!G8</f>
        <v>21194</v>
      </c>
      <c r="I6" s="19">
        <f>'3'!G7</f>
        <v>21109</v>
      </c>
      <c r="J6" s="19">
        <v>10</v>
      </c>
      <c r="K6" s="242">
        <f t="shared" si="3"/>
        <v>211940</v>
      </c>
      <c r="L6" s="238">
        <f t="shared" si="4"/>
        <v>104.5</v>
      </c>
      <c r="M6" s="19">
        <f>'3'!G15</f>
        <v>830.41000000014901</v>
      </c>
      <c r="N6" s="19">
        <v>35</v>
      </c>
      <c r="O6" s="238">
        <f t="shared" si="5"/>
        <v>29064.350000005215</v>
      </c>
      <c r="P6" s="19">
        <f>'3'!G20</f>
        <v>192</v>
      </c>
      <c r="Q6" s="19">
        <v>134</v>
      </c>
      <c r="R6" s="239">
        <f t="shared" si="0"/>
        <v>25728</v>
      </c>
      <c r="S6" s="240">
        <f t="shared" si="1"/>
        <v>218.40419336051252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76</v>
      </c>
      <c r="X6" s="22">
        <f>'3'!G96</f>
        <v>17</v>
      </c>
      <c r="Y6" s="22">
        <f>'3'!G97</f>
        <v>16</v>
      </c>
      <c r="Z6" s="22">
        <f>W6+X6+Y6</f>
        <v>109</v>
      </c>
      <c r="AA6" s="19">
        <f>'3'!G132</f>
        <v>0</v>
      </c>
      <c r="AB6" s="19">
        <f>'3'!G133</f>
        <v>-0.48000000000001819</v>
      </c>
      <c r="AC6" s="19">
        <f>'3'!G134</f>
        <v>24.059999999997672</v>
      </c>
      <c r="AD6" s="19">
        <f>'3'!G135</f>
        <v>0</v>
      </c>
      <c r="AE6" s="19">
        <f t="shared" si="8"/>
        <v>23.579999999997654</v>
      </c>
      <c r="AF6" s="23">
        <f t="shared" si="2"/>
        <v>4924.5289999999077</v>
      </c>
      <c r="AG6" s="23">
        <f t="shared" si="9"/>
        <v>208.84346904157752</v>
      </c>
      <c r="AH6" s="19">
        <f>'3'!G136</f>
        <v>8.5299999999988358</v>
      </c>
      <c r="AI6" s="19">
        <f>'3'!G137</f>
        <v>0</v>
      </c>
      <c r="AJ6" s="19">
        <f>'3'!G138</f>
        <v>5.4599999999918509</v>
      </c>
      <c r="AK6" s="19">
        <f t="shared" si="10"/>
        <v>13.989999999990687</v>
      </c>
      <c r="AL6" s="19">
        <f>'3'!G139</f>
        <v>7.0599999999999454</v>
      </c>
      <c r="AM6" s="19">
        <f>'3'!G140</f>
        <v>0</v>
      </c>
      <c r="AN6" s="19"/>
      <c r="AO6" s="19">
        <f t="shared" si="11"/>
        <v>7.0599999999999454</v>
      </c>
      <c r="AP6" s="258">
        <f>'3'!G123</f>
        <v>245.65000000002328</v>
      </c>
      <c r="AQ6" s="261">
        <f>'3'!G35</f>
        <v>3426.8800000000047</v>
      </c>
      <c r="AR6" s="19">
        <f>'3'!G37</f>
        <v>197.79000000000087</v>
      </c>
      <c r="AS6" s="19">
        <f>'3'!G38</f>
        <v>290.09000000000378</v>
      </c>
      <c r="AT6" s="19">
        <f>'3'!G39</f>
        <v>695.16000000000349</v>
      </c>
      <c r="AU6" s="19">
        <f>'3'!G40</f>
        <v>0</v>
      </c>
      <c r="AV6" s="19">
        <f>'3'!G41</f>
        <v>0</v>
      </c>
      <c r="AW6" s="19">
        <f>'3'!G42</f>
        <v>-1.0000000038417056E-3</v>
      </c>
      <c r="AX6" s="19">
        <f>'3'!G43</f>
        <v>2463.8200000000652</v>
      </c>
      <c r="AY6" s="19">
        <f>'3'!G44</f>
        <v>0</v>
      </c>
      <c r="AZ6" s="262">
        <f>'3'!G36</f>
        <v>626.4199999999837</v>
      </c>
      <c r="BA6" s="261">
        <f>'3'!G49</f>
        <v>0</v>
      </c>
      <c r="BB6" s="19">
        <f>'3'!G51</f>
        <v>1271.6999999999971</v>
      </c>
      <c r="BC6" s="19">
        <f>'3'!G52</f>
        <v>1881.9599999999627</v>
      </c>
      <c r="BD6" s="19">
        <f>'3'!G53</f>
        <v>3661.2600000000093</v>
      </c>
      <c r="BE6" s="19">
        <f>'3'!G54</f>
        <v>0</v>
      </c>
      <c r="BF6" s="19">
        <f>'3'!G55</f>
        <v>4916.609999999986</v>
      </c>
      <c r="BG6" s="19">
        <f>'3'!G56</f>
        <v>7.9199999999254942</v>
      </c>
      <c r="BH6" s="19">
        <f>'3'!G57</f>
        <v>0</v>
      </c>
      <c r="BI6" s="262">
        <f>'3'!G50</f>
        <v>1065.359999999986</v>
      </c>
      <c r="BJ6" s="401">
        <f t="shared" si="12"/>
        <v>4924.5289999999077</v>
      </c>
      <c r="BK6" s="401">
        <f>'3'!G84</f>
        <v>553</v>
      </c>
      <c r="BL6" s="23">
        <f t="shared" si="13"/>
        <v>51.235155620825132</v>
      </c>
      <c r="BM6" s="23">
        <f t="shared" si="14"/>
        <v>20.637737457956383</v>
      </c>
      <c r="BN6" s="24">
        <f t="shared" si="15"/>
        <v>0.10289686863423025</v>
      </c>
      <c r="BO6" s="25">
        <f t="shared" si="16"/>
        <v>266732.35000000522</v>
      </c>
      <c r="BP6" s="213">
        <f t="shared" si="17"/>
        <v>7941.3489999999729</v>
      </c>
      <c r="BQ6">
        <f t="shared" si="18"/>
        <v>1.2027973161275844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0.45</v>
      </c>
      <c r="G7" s="19">
        <f>'4'!G8</f>
        <v>19927</v>
      </c>
      <c r="H7" s="19">
        <f>'4'!G8</f>
        <v>19927</v>
      </c>
      <c r="I7" s="19">
        <f>'4'!G7</f>
        <v>19792</v>
      </c>
      <c r="J7" s="19">
        <v>10</v>
      </c>
      <c r="K7" s="242">
        <f t="shared" si="3"/>
        <v>199270</v>
      </c>
      <c r="L7" s="238">
        <f t="shared" si="4"/>
        <v>97.980198019801975</v>
      </c>
      <c r="M7" s="19">
        <f>'4'!G15</f>
        <v>884.16999999992549</v>
      </c>
      <c r="N7" s="19">
        <v>35</v>
      </c>
      <c r="O7" s="238">
        <f t="shared" si="5"/>
        <v>30945.949999997392</v>
      </c>
      <c r="P7" s="19">
        <f>'4'!G20</f>
        <v>192</v>
      </c>
      <c r="Q7" s="19">
        <v>134</v>
      </c>
      <c r="R7" s="239">
        <f t="shared" si="0"/>
        <v>25728</v>
      </c>
      <c r="S7" s="240">
        <f t="shared" si="1"/>
        <v>211.22112211221122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98</v>
      </c>
      <c r="X7" s="22">
        <f>'4'!G96</f>
        <v>10</v>
      </c>
      <c r="Y7" s="22">
        <f>'4'!G97</f>
        <v>16</v>
      </c>
      <c r="Z7" s="22">
        <f t="shared" si="7"/>
        <v>124</v>
      </c>
      <c r="AA7" s="19">
        <f>'4'!G132</f>
        <v>0</v>
      </c>
      <c r="AB7" s="19">
        <f>'4'!G133</f>
        <v>0.48000000000001819</v>
      </c>
      <c r="AC7" s="19">
        <f>'4'!G134</f>
        <v>23.80000000000291</v>
      </c>
      <c r="AD7" s="19">
        <f>'4'!G135</f>
        <v>-9.0000000000145519E-2</v>
      </c>
      <c r="AE7" s="19">
        <f t="shared" si="8"/>
        <v>24.190000000002783</v>
      </c>
      <c r="AF7" s="23">
        <f t="shared" si="2"/>
        <v>4227.2200000000594</v>
      </c>
      <c r="AG7" s="23">
        <f t="shared" si="9"/>
        <v>174.75072343942014</v>
      </c>
      <c r="AH7" s="19">
        <f>'4'!G136</f>
        <v>8.0800000000017462</v>
      </c>
      <c r="AI7" s="19">
        <f>'4'!G137</f>
        <v>0</v>
      </c>
      <c r="AJ7" s="19">
        <f>'4'!G138</f>
        <v>3.1900000000023283</v>
      </c>
      <c r="AK7" s="19">
        <f t="shared" si="10"/>
        <v>11.270000000004075</v>
      </c>
      <c r="AL7" s="19">
        <f>'4'!G139</f>
        <v>7.0299999999999727</v>
      </c>
      <c r="AM7" s="19">
        <f>'4'!G140</f>
        <v>0</v>
      </c>
      <c r="AN7" s="19"/>
      <c r="AO7" s="19">
        <f t="shared" si="11"/>
        <v>7.0299999999999727</v>
      </c>
      <c r="AP7" s="258">
        <f>'4'!G123</f>
        <v>244.95999999996275</v>
      </c>
      <c r="AQ7" s="261">
        <f>'4'!G35</f>
        <v>3260.6500000000233</v>
      </c>
      <c r="AR7" s="19">
        <f>'4'!G37</f>
        <v>0</v>
      </c>
      <c r="AS7" s="19">
        <f>'4'!G38</f>
        <v>0.48999999999796273</v>
      </c>
      <c r="AT7" s="19">
        <f>'4'!G39</f>
        <v>0</v>
      </c>
      <c r="AU7" s="19">
        <f>'4'!G40</f>
        <v>0</v>
      </c>
      <c r="AV7" s="19">
        <f>'4'!G41</f>
        <v>-0.37000000000261934</v>
      </c>
      <c r="AW7" s="19">
        <f>'4'!G42</f>
        <v>0.15000000000145519</v>
      </c>
      <c r="AX7" s="19">
        <f>'4'!G43</f>
        <v>2461.4699999999721</v>
      </c>
      <c r="AY7" s="19">
        <f>'4'!G44</f>
        <v>0</v>
      </c>
      <c r="AZ7" s="262">
        <f>'4'!G36</f>
        <v>622.48999999999069</v>
      </c>
      <c r="BA7" s="261">
        <f>'4'!G49</f>
        <v>-0.13000000000465661</v>
      </c>
      <c r="BB7" s="19">
        <f>'4'!G51</f>
        <v>1488.3800000000047</v>
      </c>
      <c r="BC7" s="19">
        <f>'4'!G52</f>
        <v>2010.3300000000163</v>
      </c>
      <c r="BD7" s="19">
        <f>'4'!G53</f>
        <v>4163.2299999999814</v>
      </c>
      <c r="BE7" s="19">
        <f>'4'!G54</f>
        <v>-3.0000000000654836E-2</v>
      </c>
      <c r="BF7" s="19">
        <f>'4'!G55</f>
        <v>4227.390000000014</v>
      </c>
      <c r="BG7" s="19">
        <f>'4'!G56</f>
        <v>5.0000000046566129E-2</v>
      </c>
      <c r="BH7" s="19">
        <f>'4'!G57</f>
        <v>-0.32999999999992724</v>
      </c>
      <c r="BI7" s="262">
        <f>'4'!G50</f>
        <v>1029.3300000000163</v>
      </c>
      <c r="BJ7" s="401">
        <f t="shared" si="12"/>
        <v>4227.2200000000594</v>
      </c>
      <c r="BK7" s="401">
        <f>'3'!G84</f>
        <v>553</v>
      </c>
      <c r="BL7" s="23">
        <f t="shared" si="13"/>
        <v>50.26717865804391</v>
      </c>
      <c r="BM7" s="23">
        <f t="shared" si="14"/>
        <v>21.034913096200391</v>
      </c>
      <c r="BN7" s="24">
        <f t="shared" si="15"/>
        <v>0.10159761519806054</v>
      </c>
      <c r="BO7" s="25">
        <f t="shared" si="16"/>
        <v>255943.94999999739</v>
      </c>
      <c r="BP7" s="213">
        <f t="shared" si="17"/>
        <v>7241.3600000000315</v>
      </c>
      <c r="BQ7">
        <f t="shared" si="18"/>
        <v>1.0691194708556071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56">
        <f>'5'!D4</f>
        <v>0.78</v>
      </c>
      <c r="F8" s="256">
        <f>'5'!D2</f>
        <v>0.48</v>
      </c>
      <c r="G8" s="19">
        <f>'5'!G8</f>
        <v>20535</v>
      </c>
      <c r="H8" s="19">
        <f>'5'!G8</f>
        <v>20535</v>
      </c>
      <c r="I8" s="19">
        <f>'5'!G7</f>
        <v>20391</v>
      </c>
      <c r="J8" s="19">
        <v>10</v>
      </c>
      <c r="K8" s="242">
        <f t="shared" si="3"/>
        <v>205350</v>
      </c>
      <c r="L8" s="238">
        <f t="shared" si="4"/>
        <v>100.94554455445545</v>
      </c>
      <c r="M8" s="19">
        <f>'5'!G15</f>
        <v>893.63999999989755</v>
      </c>
      <c r="N8" s="19">
        <v>35</v>
      </c>
      <c r="O8" s="238">
        <f t="shared" si="5"/>
        <v>31277.399999996414</v>
      </c>
      <c r="P8" s="19">
        <f>'5'!G20</f>
        <v>191</v>
      </c>
      <c r="Q8" s="19">
        <v>134</v>
      </c>
      <c r="R8" s="239">
        <f t="shared" si="0"/>
        <v>25594</v>
      </c>
      <c r="S8" s="240">
        <f t="shared" si="1"/>
        <v>196.98844884488452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83</v>
      </c>
      <c r="X8" s="22">
        <f>'5'!G96</f>
        <v>11</v>
      </c>
      <c r="Y8" s="22">
        <f>'5'!G97</f>
        <v>11</v>
      </c>
      <c r="Z8" s="22">
        <f t="shared" si="7"/>
        <v>105</v>
      </c>
      <c r="AA8" s="19">
        <f>'5'!G132</f>
        <v>386</v>
      </c>
      <c r="AB8" s="19">
        <f>'5'!G133</f>
        <v>-1</v>
      </c>
      <c r="AC8" s="19">
        <f>'5'!G134</f>
        <v>24</v>
      </c>
      <c r="AD8" s="19">
        <f>'5'!G135</f>
        <v>-0.4500000000007276</v>
      </c>
      <c r="AE8" s="19">
        <f t="shared" si="8"/>
        <v>408.54999999999927</v>
      </c>
      <c r="AF8" s="23">
        <f t="shared" si="2"/>
        <v>4900.739999999998</v>
      </c>
      <c r="AG8" s="23">
        <f t="shared" si="9"/>
        <v>11.995447313670313</v>
      </c>
      <c r="AH8" s="19">
        <f>'5'!G136</f>
        <v>9.25</v>
      </c>
      <c r="AI8" s="19">
        <f>'5'!G137</f>
        <v>-0.31000000000130967</v>
      </c>
      <c r="AJ8" s="19">
        <f>'5'!G138</f>
        <v>5</v>
      </c>
      <c r="AK8" s="19">
        <f t="shared" si="10"/>
        <v>13.93999999999869</v>
      </c>
      <c r="AL8" s="19">
        <f>'5'!G139</f>
        <v>7</v>
      </c>
      <c r="AM8" s="19">
        <f>'5'!G140</f>
        <v>0</v>
      </c>
      <c r="AN8" s="19"/>
      <c r="AO8" s="19">
        <f t="shared" si="11"/>
        <v>7</v>
      </c>
      <c r="AP8" s="258">
        <f>'5'!G123</f>
        <v>245</v>
      </c>
      <c r="AQ8" s="261">
        <f>'5'!G35</f>
        <v>3368</v>
      </c>
      <c r="AR8" s="19">
        <f>'5'!G37</f>
        <v>35167</v>
      </c>
      <c r="AS8" s="19">
        <f>'5'!G38</f>
        <v>-1</v>
      </c>
      <c r="AT8" s="19">
        <f>'5'!G39</f>
        <v>100066</v>
      </c>
      <c r="AU8" s="19">
        <f>'5'!G40</f>
        <v>0</v>
      </c>
      <c r="AV8" s="19">
        <f>'5'!G41</f>
        <v>-0.26000000000203727</v>
      </c>
      <c r="AW8" s="19">
        <f>'5'!G42</f>
        <v>-1</v>
      </c>
      <c r="AX8" s="19">
        <f>'5'!G43</f>
        <v>2387</v>
      </c>
      <c r="AY8" s="19">
        <f>'5'!G44</f>
        <v>0</v>
      </c>
      <c r="AZ8" s="262">
        <f>'5'!G36</f>
        <v>577</v>
      </c>
      <c r="BA8" s="261">
        <f>'5'!G49</f>
        <v>0</v>
      </c>
      <c r="BB8" s="19">
        <f>'5'!G51</f>
        <v>1492</v>
      </c>
      <c r="BC8" s="19">
        <f>'5'!G52</f>
        <v>1823</v>
      </c>
      <c r="BD8" s="19">
        <f>'5'!G53</f>
        <v>4265</v>
      </c>
      <c r="BE8" s="19">
        <f>'5'!G54</f>
        <v>0</v>
      </c>
      <c r="BF8" s="19">
        <f>'5'!G55</f>
        <v>4924</v>
      </c>
      <c r="BG8" s="19">
        <f>'5'!G56</f>
        <v>-22</v>
      </c>
      <c r="BH8" s="19">
        <f>'5'!G57</f>
        <v>0</v>
      </c>
      <c r="BI8" s="262">
        <f>'5'!G50</f>
        <v>1011</v>
      </c>
      <c r="BJ8" s="401">
        <f t="shared" si="12"/>
        <v>4900.739999999998</v>
      </c>
      <c r="BK8" s="401">
        <f>'5'!G84</f>
        <v>954</v>
      </c>
      <c r="BL8" s="23">
        <f t="shared" si="13"/>
        <v>52.257074199401686</v>
      </c>
      <c r="BM8" s="23">
        <f t="shared" si="14"/>
        <v>511.65219949977933</v>
      </c>
      <c r="BN8" s="24">
        <f t="shared" si="15"/>
        <v>8.9353145995782451E-2</v>
      </c>
      <c r="BO8" s="25">
        <f t="shared" si="16"/>
        <v>262221.39999999641</v>
      </c>
      <c r="BP8" s="213">
        <f t="shared" si="17"/>
        <v>8241.739999999998</v>
      </c>
      <c r="BQ8">
        <f t="shared" si="18"/>
        <v>7.2046960504921695E-2</v>
      </c>
    </row>
    <row r="9" spans="1:70">
      <c r="A9" s="16">
        <v>6</v>
      </c>
      <c r="B9" s="17">
        <v>6</v>
      </c>
      <c r="C9" s="26"/>
      <c r="D9" s="19">
        <f>'6'!D3</f>
        <v>29</v>
      </c>
      <c r="E9" s="256">
        <f>'6'!D4</f>
        <v>0.8</v>
      </c>
      <c r="F9" s="256">
        <f>'6'!D2</f>
        <v>0.8</v>
      </c>
      <c r="G9" s="19">
        <f>'6'!G8</f>
        <v>21971</v>
      </c>
      <c r="H9" s="19">
        <f>'6'!G8</f>
        <v>21971</v>
      </c>
      <c r="I9" s="19">
        <f>'6'!G7</f>
        <v>21871</v>
      </c>
      <c r="J9" s="19">
        <v>10</v>
      </c>
      <c r="K9" s="242">
        <f t="shared" si="3"/>
        <v>219710</v>
      </c>
      <c r="L9" s="238">
        <f t="shared" si="4"/>
        <v>108.27227722772277</v>
      </c>
      <c r="M9" s="19">
        <f>'6'!G15</f>
        <v>944.36000000010245</v>
      </c>
      <c r="N9" s="19">
        <v>35</v>
      </c>
      <c r="O9" s="238">
        <f t="shared" si="5"/>
        <v>33052.600000003586</v>
      </c>
      <c r="P9" s="19">
        <f>'6'!G20</f>
        <v>191</v>
      </c>
      <c r="Q9" s="19">
        <v>134</v>
      </c>
      <c r="R9" s="239">
        <f t="shared" si="0"/>
        <v>25594</v>
      </c>
      <c r="S9" s="240">
        <f t="shared" si="1"/>
        <v>118.19306930693067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120</v>
      </c>
      <c r="X9" s="22">
        <f>'6'!G96</f>
        <v>21</v>
      </c>
      <c r="Y9" s="22">
        <f>'6'!G97</f>
        <v>25</v>
      </c>
      <c r="Z9" s="22">
        <f t="shared" si="7"/>
        <v>166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1.0100000000020373</v>
      </c>
      <c r="AE9" s="19">
        <f t="shared" si="8"/>
        <v>25.010000000002037</v>
      </c>
      <c r="AF9" s="23">
        <f t="shared" si="2"/>
        <v>5904</v>
      </c>
      <c r="AG9" s="23">
        <f t="shared" si="9"/>
        <v>236.06557377047258</v>
      </c>
      <c r="AH9" s="19">
        <f>'6'!G136</f>
        <v>8.319999999999709</v>
      </c>
      <c r="AI9" s="19">
        <f>'6'!G137</f>
        <v>0</v>
      </c>
      <c r="AJ9" s="19">
        <f>'6'!G138</f>
        <v>6</v>
      </c>
      <c r="AK9" s="19">
        <f t="shared" si="10"/>
        <v>14.319999999999709</v>
      </c>
      <c r="AL9" s="19">
        <f>'6'!G139</f>
        <v>8</v>
      </c>
      <c r="AM9" s="19">
        <f>'6'!G140</f>
        <v>0</v>
      </c>
      <c r="AN9" s="19"/>
      <c r="AO9" s="19">
        <f t="shared" si="11"/>
        <v>8</v>
      </c>
      <c r="AP9" s="258">
        <f>'6'!G123</f>
        <v>264</v>
      </c>
      <c r="AQ9" s="261">
        <f>'6'!G35</f>
        <v>3484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2437</v>
      </c>
      <c r="AY9" s="19">
        <f>'6'!G44</f>
        <v>0</v>
      </c>
      <c r="AZ9" s="262">
        <f>'6'!G36</f>
        <v>624</v>
      </c>
      <c r="BA9" s="261">
        <f>'6'!G49</f>
        <v>0</v>
      </c>
      <c r="BB9" s="19">
        <f>'6'!G51</f>
        <v>1518</v>
      </c>
      <c r="BC9" s="19">
        <f>'6'!G52</f>
        <v>2123</v>
      </c>
      <c r="BD9" s="19">
        <f>'6'!G53</f>
        <v>4237</v>
      </c>
      <c r="BE9" s="19">
        <f>'6'!G54</f>
        <v>0</v>
      </c>
      <c r="BF9" s="19">
        <f>'6'!G55</f>
        <v>5678</v>
      </c>
      <c r="BG9" s="19">
        <f>'6'!G56</f>
        <v>226</v>
      </c>
      <c r="BH9" s="19">
        <f>'6'!G57</f>
        <v>0</v>
      </c>
      <c r="BI9" s="262">
        <f>'6'!G50</f>
        <v>1043</v>
      </c>
      <c r="BJ9" s="401">
        <f t="shared" si="12"/>
        <v>5904</v>
      </c>
      <c r="BK9" s="401">
        <f>'6'!G84</f>
        <v>644</v>
      </c>
      <c r="BL9" s="23">
        <f t="shared" si="13"/>
        <v>54.067029399661649</v>
      </c>
      <c r="BM9" s="23">
        <f t="shared" si="14"/>
        <v>19.372685291024645</v>
      </c>
      <c r="BN9" s="24">
        <f t="shared" si="15"/>
        <v>9.7069178364043704E-2</v>
      </c>
      <c r="BO9" s="25">
        <f t="shared" si="16"/>
        <v>278356.60000000359</v>
      </c>
      <c r="BP9" s="213">
        <f t="shared" si="17"/>
        <v>8985</v>
      </c>
      <c r="BQ9">
        <f t="shared" si="18"/>
        <v>1.2830582052892083</v>
      </c>
    </row>
    <row r="10" spans="1:70">
      <c r="A10" s="16">
        <v>7</v>
      </c>
      <c r="B10" s="26">
        <v>7</v>
      </c>
      <c r="C10" s="27"/>
      <c r="D10" s="19">
        <f>'7'!D3</f>
        <v>29</v>
      </c>
      <c r="E10" s="256">
        <f>'7'!D4</f>
        <v>0.82</v>
      </c>
      <c r="F10" s="256">
        <f>'7'!D2</f>
        <v>0.51</v>
      </c>
      <c r="G10" s="19">
        <f>'7'!G8</f>
        <v>21681</v>
      </c>
      <c r="H10" s="19">
        <f>'7'!G8</f>
        <v>21681</v>
      </c>
      <c r="I10" s="19">
        <f>'7'!G7</f>
        <v>21611</v>
      </c>
      <c r="J10" s="19">
        <v>10</v>
      </c>
      <c r="K10" s="242">
        <f t="shared" si="3"/>
        <v>216810</v>
      </c>
      <c r="L10" s="238">
        <f t="shared" si="4"/>
        <v>106.98514851485149</v>
      </c>
      <c r="M10" s="19">
        <f>'7'!G15</f>
        <v>931</v>
      </c>
      <c r="N10" s="19">
        <v>35</v>
      </c>
      <c r="O10" s="238">
        <f t="shared" si="5"/>
        <v>32585</v>
      </c>
      <c r="P10" s="19">
        <f>'7'!G20</f>
        <v>251</v>
      </c>
      <c r="Q10" s="19">
        <v>134</v>
      </c>
      <c r="R10" s="239">
        <f t="shared" si="0"/>
        <v>33634</v>
      </c>
      <c r="S10" s="240">
        <f t="shared" si="1"/>
        <v>243.64201125994953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119</v>
      </c>
      <c r="X10" s="22">
        <f>'7'!G96</f>
        <v>32</v>
      </c>
      <c r="Y10" s="22">
        <f>'7'!G97</f>
        <v>28</v>
      </c>
      <c r="Z10" s="22">
        <f t="shared" si="7"/>
        <v>179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5494</v>
      </c>
      <c r="AG10" s="23">
        <f t="shared" si="9"/>
        <v>228.91666666666666</v>
      </c>
      <c r="AH10" s="19">
        <f>'7'!G136</f>
        <v>9.9199999999982538</v>
      </c>
      <c r="AI10" s="19">
        <f>'7'!G137</f>
        <v>0</v>
      </c>
      <c r="AJ10" s="19">
        <f>'7'!G138</f>
        <v>3</v>
      </c>
      <c r="AK10" s="19">
        <f t="shared" si="10"/>
        <v>12.919999999998254</v>
      </c>
      <c r="AL10" s="19">
        <f>'7'!G139</f>
        <v>8</v>
      </c>
      <c r="AM10" s="19">
        <f>'7'!G140</f>
        <v>0</v>
      </c>
      <c r="AN10" s="19"/>
      <c r="AO10" s="19">
        <f t="shared" si="11"/>
        <v>8</v>
      </c>
      <c r="AP10" s="258">
        <f>'7'!G123</f>
        <v>275</v>
      </c>
      <c r="AQ10" s="261">
        <f>'7'!G35</f>
        <v>3319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2417</v>
      </c>
      <c r="AY10" s="19">
        <f>'7'!G44</f>
        <v>0</v>
      </c>
      <c r="AZ10" s="262">
        <f>'7'!G36</f>
        <v>611</v>
      </c>
      <c r="BA10" s="261">
        <f>'7'!G49</f>
        <v>0</v>
      </c>
      <c r="BB10" s="19">
        <f>'7'!G51</f>
        <v>1500</v>
      </c>
      <c r="BC10" s="19">
        <f>'7'!G52</f>
        <v>2331</v>
      </c>
      <c r="BD10" s="19">
        <f>'7'!G53</f>
        <v>4230</v>
      </c>
      <c r="BE10" s="19">
        <f>'7'!G54</f>
        <v>0</v>
      </c>
      <c r="BF10" s="19">
        <f>'7'!G55</f>
        <v>5494</v>
      </c>
      <c r="BG10" s="19">
        <f>'7'!G56</f>
        <v>0</v>
      </c>
      <c r="BH10" s="19">
        <f>'7'!G57</f>
        <v>0</v>
      </c>
      <c r="BI10" s="262">
        <f>'7'!G50</f>
        <v>1230</v>
      </c>
      <c r="BJ10" s="401">
        <f t="shared" si="12"/>
        <v>5494</v>
      </c>
      <c r="BK10" s="401">
        <f>'7'!G84</f>
        <v>834</v>
      </c>
      <c r="BL10" s="23">
        <f t="shared" si="13"/>
        <v>51.964277451297946</v>
      </c>
      <c r="BM10" s="23">
        <f t="shared" si="14"/>
        <v>19.573365415760492</v>
      </c>
      <c r="BN10" s="24">
        <f t="shared" si="15"/>
        <v>0.10786173707833974</v>
      </c>
      <c r="BO10" s="25">
        <f t="shared" si="16"/>
        <v>283029</v>
      </c>
      <c r="BP10" s="213">
        <f t="shared" si="17"/>
        <v>8745</v>
      </c>
      <c r="BQ10">
        <f t="shared" si="18"/>
        <v>1.3013392857142858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22672</v>
      </c>
      <c r="H11" s="19">
        <f>'8'!G8</f>
        <v>22672</v>
      </c>
      <c r="I11" s="19">
        <f>'8'!G7</f>
        <v>22521</v>
      </c>
      <c r="J11" s="19">
        <v>10</v>
      </c>
      <c r="K11" s="242">
        <f t="shared" si="3"/>
        <v>226720</v>
      </c>
      <c r="L11" s="238">
        <f t="shared" si="4"/>
        <v>111.49009900990099</v>
      </c>
      <c r="M11" s="19">
        <f>'8'!G15</f>
        <v>859.85000000009313</v>
      </c>
      <c r="N11" s="19">
        <v>35</v>
      </c>
      <c r="O11" s="238">
        <f t="shared" si="5"/>
        <v>30094.75000000326</v>
      </c>
      <c r="P11" s="19">
        <f>'8'!G20</f>
        <v>193</v>
      </c>
      <c r="Q11" s="19">
        <v>134</v>
      </c>
      <c r="R11" s="239">
        <f t="shared" si="0"/>
        <v>25862</v>
      </c>
      <c r="S11" s="240">
        <f t="shared" si="1"/>
        <v>233.03549867181843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72</v>
      </c>
      <c r="X11" s="22">
        <f>'8'!G96</f>
        <v>13</v>
      </c>
      <c r="Y11" s="22">
        <f>'8'!G97</f>
        <v>13</v>
      </c>
      <c r="Z11" s="22">
        <f t="shared" si="7"/>
        <v>98</v>
      </c>
      <c r="AA11" s="19">
        <f>'8'!G132</f>
        <v>4.3499999999985448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28.349999999998545</v>
      </c>
      <c r="AF11" s="23">
        <f t="shared" si="2"/>
        <v>5838.260000000002</v>
      </c>
      <c r="AG11" s="23">
        <f t="shared" si="9"/>
        <v>205.93509700177432</v>
      </c>
      <c r="AH11" s="19">
        <f>'8'!G136</f>
        <v>9.6900000000023283</v>
      </c>
      <c r="AI11" s="19">
        <f>'8'!G137</f>
        <v>0</v>
      </c>
      <c r="AJ11" s="19">
        <f>'8'!G138</f>
        <v>1.8200000000069849</v>
      </c>
      <c r="AK11" s="19">
        <f t="shared" si="10"/>
        <v>11.510000000009313</v>
      </c>
      <c r="AL11" s="19">
        <f>'8'!G139</f>
        <v>6.6800000000000637</v>
      </c>
      <c r="AM11" s="19">
        <f>'8'!G140</f>
        <v>0</v>
      </c>
      <c r="AN11" s="19"/>
      <c r="AO11" s="19">
        <f t="shared" si="11"/>
        <v>6.6800000000000637</v>
      </c>
      <c r="AP11" s="258">
        <f>'8'!G123</f>
        <v>241</v>
      </c>
      <c r="AQ11" s="261">
        <f>'8'!G35</f>
        <v>3394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885.26000000000204</v>
      </c>
      <c r="AW11" s="19">
        <f>'8'!G42</f>
        <v>0</v>
      </c>
      <c r="AX11" s="19">
        <f>'8'!G43</f>
        <v>2516</v>
      </c>
      <c r="AY11" s="23">
        <f>'8'!G44</f>
        <v>0</v>
      </c>
      <c r="AZ11" s="262">
        <f>'8'!G36</f>
        <v>676</v>
      </c>
      <c r="BA11" s="261">
        <f>'8'!G49</f>
        <v>0</v>
      </c>
      <c r="BB11" s="19">
        <f>'8'!G51</f>
        <v>1483</v>
      </c>
      <c r="BC11" s="19">
        <f>'8'!G52</f>
        <v>2160</v>
      </c>
      <c r="BD11" s="19">
        <f>'8'!G53</f>
        <v>4272</v>
      </c>
      <c r="BE11" s="19">
        <f>'8'!G54</f>
        <v>0</v>
      </c>
      <c r="BF11" s="19">
        <f>'8'!G55</f>
        <v>4953</v>
      </c>
      <c r="BG11" s="19">
        <f>'8'!G56</f>
        <v>0</v>
      </c>
      <c r="BH11" s="19">
        <f>'8'!G57</f>
        <v>0</v>
      </c>
      <c r="BI11" s="262">
        <f>'8'!G50</f>
        <v>1538</v>
      </c>
      <c r="BJ11" s="401">
        <f t="shared" si="12"/>
        <v>5838.260000000002</v>
      </c>
      <c r="BK11" s="401">
        <f>'8'!G84</f>
        <v>793</v>
      </c>
      <c r="BL11" s="23">
        <f t="shared" si="13"/>
        <v>52.165800808134634</v>
      </c>
      <c r="BM11" s="23">
        <f t="shared" si="14"/>
        <v>18.968962301851604</v>
      </c>
      <c r="BN11" s="24">
        <f t="shared" si="15"/>
        <v>9.5910483548687891E-2</v>
      </c>
      <c r="BO11" s="25">
        <f t="shared" si="16"/>
        <v>282676.75000000326</v>
      </c>
      <c r="BP11" s="213">
        <f t="shared" si="17"/>
        <v>9147.260000000002</v>
      </c>
      <c r="BQ11">
        <f t="shared" si="18"/>
        <v>1.152338120433418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21123</v>
      </c>
      <c r="H12" s="19">
        <f>'9'!G8</f>
        <v>21123</v>
      </c>
      <c r="I12" s="19">
        <f>'9'!G7</f>
        <v>20912</v>
      </c>
      <c r="J12" s="19">
        <v>10</v>
      </c>
      <c r="K12" s="242">
        <f t="shared" si="3"/>
        <v>211230</v>
      </c>
      <c r="L12" s="238">
        <f t="shared" si="4"/>
        <v>103.52475247524752</v>
      </c>
      <c r="M12" s="19">
        <f>'9'!G15</f>
        <v>779.02000000001863</v>
      </c>
      <c r="N12" s="19">
        <v>35</v>
      </c>
      <c r="O12" s="238">
        <f t="shared" si="5"/>
        <v>27265.700000000652</v>
      </c>
      <c r="P12" s="19">
        <f>'9'!G20</f>
        <v>172</v>
      </c>
      <c r="Q12" s="19">
        <v>134</v>
      </c>
      <c r="R12" s="239">
        <f t="shared" si="0"/>
        <v>23048</v>
      </c>
      <c r="S12" s="240">
        <f t="shared" si="1"/>
        <v>189.2189218921892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91</v>
      </c>
      <c r="X12" s="22">
        <f>'9'!G96</f>
        <v>12</v>
      </c>
      <c r="Y12" s="22">
        <f>'9'!G97</f>
        <v>17</v>
      </c>
      <c r="Z12" s="22">
        <f t="shared" si="7"/>
        <v>120</v>
      </c>
      <c r="AA12" s="19">
        <f>'9'!G132</f>
        <v>0</v>
      </c>
      <c r="AB12" s="19">
        <f>'9'!G133</f>
        <v>0</v>
      </c>
      <c r="AC12" s="19">
        <f>'9'!G134</f>
        <v>24.419999999998254</v>
      </c>
      <c r="AD12" s="19">
        <f>'9'!G135</f>
        <v>0</v>
      </c>
      <c r="AE12" s="19">
        <f t="shared" si="8"/>
        <v>24.419999999998254</v>
      </c>
      <c r="AF12" s="23">
        <f t="shared" si="2"/>
        <v>5115</v>
      </c>
      <c r="AG12" s="23">
        <f t="shared" si="9"/>
        <v>209.45945945947443</v>
      </c>
      <c r="AH12" s="19">
        <f>'9'!G136</f>
        <v>8.2200000000011642</v>
      </c>
      <c r="AI12" s="19">
        <f>'9'!G137</f>
        <v>0</v>
      </c>
      <c r="AJ12" s="19">
        <f>'9'!G138</f>
        <v>3</v>
      </c>
      <c r="AK12" s="19">
        <f t="shared" si="10"/>
        <v>11.220000000001164</v>
      </c>
      <c r="AL12" s="19">
        <f>'9'!G139</f>
        <v>7.3199999999999363</v>
      </c>
      <c r="AM12" s="19">
        <f>'9'!G140</f>
        <v>0</v>
      </c>
      <c r="AN12" s="19"/>
      <c r="AO12" s="19">
        <f t="shared" si="11"/>
        <v>7.3199999999999363</v>
      </c>
      <c r="AP12" s="258">
        <f>'9'!G123</f>
        <v>253</v>
      </c>
      <c r="AQ12" s="261">
        <f>'9'!G35</f>
        <v>3381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2377</v>
      </c>
      <c r="AY12" s="23">
        <f>'9'!G44</f>
        <v>0</v>
      </c>
      <c r="AZ12" s="262">
        <f>'9'!G36</f>
        <v>667</v>
      </c>
      <c r="BA12" s="261">
        <f>'9'!G49</f>
        <v>0</v>
      </c>
      <c r="BB12" s="19">
        <f>'9'!G51</f>
        <v>1491</v>
      </c>
      <c r="BC12" s="19">
        <f>'9'!G52</f>
        <v>2121</v>
      </c>
      <c r="BD12" s="19">
        <f>'9'!G53</f>
        <v>4195</v>
      </c>
      <c r="BE12" s="19">
        <f>'9'!G54</f>
        <v>0</v>
      </c>
      <c r="BF12" s="19">
        <f>'9'!G55</f>
        <v>5115</v>
      </c>
      <c r="BG12" s="19">
        <f>'9'!G56</f>
        <v>0</v>
      </c>
      <c r="BH12" s="19">
        <f>'9'!G57</f>
        <v>0</v>
      </c>
      <c r="BI12" s="262">
        <f>'9'!G50</f>
        <v>1028</v>
      </c>
      <c r="BJ12" s="401">
        <f t="shared" si="12"/>
        <v>5115</v>
      </c>
      <c r="BK12" s="401">
        <f>'8'!G84</f>
        <v>793</v>
      </c>
      <c r="BL12" s="23">
        <f t="shared" si="13"/>
        <v>51.994070390206581</v>
      </c>
      <c r="BM12" s="23">
        <f t="shared" si="14"/>
        <v>20.060252486610558</v>
      </c>
      <c r="BN12" s="24">
        <f t="shared" si="15"/>
        <v>0.10142501912777353</v>
      </c>
      <c r="BO12" s="25">
        <f t="shared" si="16"/>
        <v>261543.70000000065</v>
      </c>
      <c r="BP12" s="213">
        <f t="shared" si="17"/>
        <v>8285</v>
      </c>
      <c r="BQ12">
        <f t="shared" si="18"/>
        <v>1.2116824616825483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21940</v>
      </c>
      <c r="H13" s="19">
        <f>'10'!G8</f>
        <v>21940</v>
      </c>
      <c r="I13" s="19">
        <f>'10'!G7</f>
        <v>21790</v>
      </c>
      <c r="J13" s="19">
        <v>10</v>
      </c>
      <c r="K13" s="242">
        <f t="shared" si="3"/>
        <v>219400</v>
      </c>
      <c r="L13" s="238">
        <f t="shared" si="4"/>
        <v>107.87128712871286</v>
      </c>
      <c r="M13" s="19">
        <f>'10'!G15</f>
        <v>847.12999999988824</v>
      </c>
      <c r="N13" s="19">
        <v>35</v>
      </c>
      <c r="O13" s="238">
        <f t="shared" si="5"/>
        <v>29649.549999996088</v>
      </c>
      <c r="P13" s="19">
        <f>'10'!G20</f>
        <v>152</v>
      </c>
      <c r="Q13" s="19">
        <v>134</v>
      </c>
      <c r="R13" s="239">
        <f t="shared" si="0"/>
        <v>20368</v>
      </c>
      <c r="S13" s="240">
        <f t="shared" si="1"/>
        <v>179.16077322017915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68</v>
      </c>
      <c r="X13" s="22">
        <f>'10'!G96</f>
        <v>11</v>
      </c>
      <c r="Y13" s="22">
        <f>'10'!G97</f>
        <v>18</v>
      </c>
      <c r="Z13" s="22">
        <f t="shared" si="7"/>
        <v>97</v>
      </c>
      <c r="AA13" s="19">
        <f>'10'!G132</f>
        <v>0</v>
      </c>
      <c r="AB13" s="19">
        <f>'10'!G133</f>
        <v>0</v>
      </c>
      <c r="AC13" s="19">
        <f>'10'!G134</f>
        <v>24.010000000002037</v>
      </c>
      <c r="AD13" s="19">
        <f>'10'!G135</f>
        <v>0</v>
      </c>
      <c r="AE13" s="19">
        <f t="shared" si="8"/>
        <v>24.010000000002037</v>
      </c>
      <c r="AF13" s="23">
        <f t="shared" si="2"/>
        <v>4999</v>
      </c>
      <c r="AG13" s="23">
        <f t="shared" si="9"/>
        <v>208.20491461889111</v>
      </c>
      <c r="AH13" s="19">
        <f>'10'!G136</f>
        <v>8.1699999999982538</v>
      </c>
      <c r="AI13" s="19">
        <f>'10'!G137</f>
        <v>0</v>
      </c>
      <c r="AJ13" s="19">
        <f>'10'!G138</f>
        <v>3.1799999999930151</v>
      </c>
      <c r="AK13" s="19">
        <f t="shared" si="10"/>
        <v>11.349999999991269</v>
      </c>
      <c r="AL13" s="19">
        <f>'10'!G139</f>
        <v>7</v>
      </c>
      <c r="AM13" s="19">
        <f>'10'!G140</f>
        <v>0</v>
      </c>
      <c r="AN13" s="19"/>
      <c r="AO13" s="19">
        <f t="shared" si="11"/>
        <v>7</v>
      </c>
      <c r="AP13" s="258">
        <f>'10'!G123</f>
        <v>247</v>
      </c>
      <c r="AQ13" s="261">
        <f>'10'!G35</f>
        <v>3447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2507</v>
      </c>
      <c r="AY13" s="23">
        <f>'10'!G44</f>
        <v>0</v>
      </c>
      <c r="AZ13" s="262">
        <f>'10'!G36</f>
        <v>702</v>
      </c>
      <c r="BA13" s="261">
        <f>'10'!G49</f>
        <v>0</v>
      </c>
      <c r="BB13" s="19">
        <f>'10'!G51</f>
        <v>1549</v>
      </c>
      <c r="BC13" s="19">
        <f>'10'!G52</f>
        <v>2046</v>
      </c>
      <c r="BD13" s="19">
        <f>'10'!G53</f>
        <v>4185</v>
      </c>
      <c r="BE13" s="19">
        <f>'10'!G54</f>
        <v>0</v>
      </c>
      <c r="BF13" s="19">
        <f>'10'!G55</f>
        <v>4999</v>
      </c>
      <c r="BG13" s="19">
        <f>'10'!G56</f>
        <v>0</v>
      </c>
      <c r="BH13" s="19">
        <f>'10'!G57</f>
        <v>0</v>
      </c>
      <c r="BI13" s="262">
        <f>'10'!G50</f>
        <v>1194</v>
      </c>
      <c r="BJ13" s="401">
        <f t="shared" si="12"/>
        <v>4999</v>
      </c>
      <c r="BK13" s="401">
        <f>'8'!G84</f>
        <v>793</v>
      </c>
      <c r="BL13" s="23">
        <f t="shared" si="13"/>
        <v>50.266177145479574</v>
      </c>
      <c r="BM13" s="23">
        <f t="shared" si="14"/>
        <v>19.206057824690223</v>
      </c>
      <c r="BN13" s="24">
        <f t="shared" si="15"/>
        <v>9.3896282698485545E-2</v>
      </c>
      <c r="BO13" s="25">
        <f t="shared" si="16"/>
        <v>269417.54999999609</v>
      </c>
      <c r="BP13" s="213">
        <f t="shared" si="17"/>
        <v>8299</v>
      </c>
      <c r="BQ13">
        <f t="shared" si="18"/>
        <v>1.2344558814778508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21398</v>
      </c>
      <c r="H14" s="19">
        <f>'11'!G8</f>
        <v>21398</v>
      </c>
      <c r="I14" s="19">
        <f>'11'!G7</f>
        <v>21316</v>
      </c>
      <c r="J14" s="19">
        <v>10</v>
      </c>
      <c r="K14" s="242">
        <f t="shared" si="3"/>
        <v>213980</v>
      </c>
      <c r="L14" s="238">
        <f t="shared" si="4"/>
        <v>105.52475247524752</v>
      </c>
      <c r="M14" s="19">
        <f>'11'!G15</f>
        <v>852</v>
      </c>
      <c r="N14" s="19">
        <v>35</v>
      </c>
      <c r="O14" s="238">
        <f t="shared" si="5"/>
        <v>29820</v>
      </c>
      <c r="P14" s="19">
        <f>'11'!G20</f>
        <v>171</v>
      </c>
      <c r="Q14" s="19">
        <v>134</v>
      </c>
      <c r="R14" s="239">
        <f t="shared" si="0"/>
        <v>22914</v>
      </c>
      <c r="S14" s="240">
        <f t="shared" si="1"/>
        <v>228.7931495852288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79</v>
      </c>
      <c r="X14" s="22">
        <f>'11'!G96</f>
        <v>10</v>
      </c>
      <c r="Y14" s="22">
        <f>'11'!G97</f>
        <v>22</v>
      </c>
      <c r="Z14" s="22">
        <f t="shared" si="7"/>
        <v>111</v>
      </c>
      <c r="AA14" s="19">
        <f>'11'!G132</f>
        <v>0</v>
      </c>
      <c r="AB14" s="19">
        <f>'11'!G133</f>
        <v>0</v>
      </c>
      <c r="AC14" s="19">
        <f>'11'!G134</f>
        <v>24.080000000001746</v>
      </c>
      <c r="AD14" s="19">
        <f>'11'!G135</f>
        <v>0</v>
      </c>
      <c r="AE14" s="19">
        <f t="shared" si="8"/>
        <v>24.080000000001746</v>
      </c>
      <c r="AF14" s="23">
        <f t="shared" si="2"/>
        <v>5075</v>
      </c>
      <c r="AG14" s="23">
        <f t="shared" si="9"/>
        <v>210.75581395347308</v>
      </c>
      <c r="AH14" s="19">
        <f>'11'!G136</f>
        <v>8</v>
      </c>
      <c r="AI14" s="19">
        <f>'11'!G137</f>
        <v>0.31000000000130967</v>
      </c>
      <c r="AJ14" s="19">
        <f>'11'!G138</f>
        <v>6</v>
      </c>
      <c r="AK14" s="19">
        <f t="shared" si="10"/>
        <v>14.31000000000131</v>
      </c>
      <c r="AL14" s="19">
        <f>'11'!G139</f>
        <v>7</v>
      </c>
      <c r="AM14" s="19">
        <f>'11'!G140</f>
        <v>0</v>
      </c>
      <c r="AN14" s="19"/>
      <c r="AO14" s="19">
        <f t="shared" si="11"/>
        <v>7</v>
      </c>
      <c r="AP14" s="258">
        <f>'11'!G123</f>
        <v>233</v>
      </c>
      <c r="AQ14" s="261">
        <f>'11'!G35</f>
        <v>3850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2394</v>
      </c>
      <c r="AY14" s="23">
        <f>'11'!G44</f>
        <v>0</v>
      </c>
      <c r="AZ14" s="262">
        <f>'11'!G36</f>
        <v>598</v>
      </c>
      <c r="BA14" s="261">
        <f>'11'!G49</f>
        <v>0</v>
      </c>
      <c r="BB14" s="19">
        <f>'11'!G51</f>
        <v>1551</v>
      </c>
      <c r="BC14" s="19">
        <f>'11'!G52</f>
        <v>2085</v>
      </c>
      <c r="BD14" s="19">
        <f>'11'!G53</f>
        <v>4105</v>
      </c>
      <c r="BE14" s="19">
        <f>'11'!G54</f>
        <v>0</v>
      </c>
      <c r="BF14" s="19">
        <f>'11'!G55</f>
        <v>5075</v>
      </c>
      <c r="BG14" s="19">
        <f>'11'!G56</f>
        <v>0</v>
      </c>
      <c r="BH14" s="19">
        <f>'11'!G57</f>
        <v>0</v>
      </c>
      <c r="BI14" s="262">
        <f>'11'!G50</f>
        <v>1135</v>
      </c>
      <c r="BJ14" s="401">
        <f t="shared" si="12"/>
        <v>5075</v>
      </c>
      <c r="BK14" s="401">
        <f>'11'!G84</f>
        <v>998</v>
      </c>
      <c r="BL14" s="23">
        <f t="shared" si="13"/>
        <v>53.100957027584911</v>
      </c>
      <c r="BM14" s="23">
        <f t="shared" si="14"/>
        <v>19.25783449052355</v>
      </c>
      <c r="BN14" s="24">
        <f t="shared" si="15"/>
        <v>9.7813848752111091E-2</v>
      </c>
      <c r="BO14" s="25">
        <f t="shared" si="16"/>
        <v>266714</v>
      </c>
      <c r="BP14" s="213">
        <f t="shared" si="17"/>
        <v>8467</v>
      </c>
      <c r="BQ14">
        <f t="shared" si="18"/>
        <v>1.2557842904602792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0.42</v>
      </c>
      <c r="G15" s="19">
        <f>'12'!G8</f>
        <v>21271</v>
      </c>
      <c r="H15" s="19">
        <f>'12'!G8</f>
        <v>21271</v>
      </c>
      <c r="I15" s="19">
        <f>'12'!G7</f>
        <v>21182</v>
      </c>
      <c r="J15" s="19">
        <v>10</v>
      </c>
      <c r="K15" s="242">
        <f t="shared" si="3"/>
        <v>212710</v>
      </c>
      <c r="L15" s="238">
        <f t="shared" si="4"/>
        <v>104.86138613861387</v>
      </c>
      <c r="M15" s="19">
        <f>'12'!G15</f>
        <v>804.77000000001863</v>
      </c>
      <c r="N15" s="19">
        <v>35</v>
      </c>
      <c r="O15" s="234">
        <f t="shared" si="5"/>
        <v>28166.950000000652</v>
      </c>
      <c r="P15" s="19">
        <f>'12'!G20</f>
        <v>154</v>
      </c>
      <c r="Q15" s="19">
        <v>134</v>
      </c>
      <c r="R15" s="239">
        <f t="shared" si="0"/>
        <v>20636</v>
      </c>
      <c r="S15" s="240">
        <f t="shared" si="1"/>
        <v>181.51815181518151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8</v>
      </c>
      <c r="Y15" s="22">
        <f>'12'!G97</f>
        <v>18</v>
      </c>
      <c r="Z15" s="22">
        <f t="shared" si="7"/>
        <v>97</v>
      </c>
      <c r="AA15" s="19">
        <f>'12'!G132</f>
        <v>0</v>
      </c>
      <c r="AB15" s="19">
        <f>'12'!G133</f>
        <v>0</v>
      </c>
      <c r="AC15" s="19">
        <f>'12'!G134</f>
        <v>24.059999999997672</v>
      </c>
      <c r="AD15" s="19">
        <f>'12'!G135</f>
        <v>0</v>
      </c>
      <c r="AE15" s="19">
        <f t="shared" si="8"/>
        <v>24.059999999997672</v>
      </c>
      <c r="AF15" s="23">
        <f t="shared" si="2"/>
        <v>5122</v>
      </c>
      <c r="AG15" s="23">
        <f t="shared" si="9"/>
        <v>212.88445552786766</v>
      </c>
      <c r="AH15" s="19">
        <f>'12'!G136</f>
        <v>8</v>
      </c>
      <c r="AI15" s="19">
        <f>'12'!G137</f>
        <v>0</v>
      </c>
      <c r="AJ15" s="19">
        <f>'12'!G138</f>
        <v>3.8600000000005821</v>
      </c>
      <c r="AK15" s="19">
        <f t="shared" si="10"/>
        <v>11.860000000000582</v>
      </c>
      <c r="AL15" s="19">
        <f>'12'!G139</f>
        <v>7</v>
      </c>
      <c r="AM15" s="19">
        <f>'12'!G140</f>
        <v>0</v>
      </c>
      <c r="AN15" s="19"/>
      <c r="AO15" s="19">
        <f t="shared" si="11"/>
        <v>7</v>
      </c>
      <c r="AP15" s="258">
        <f>'12'!G123</f>
        <v>245</v>
      </c>
      <c r="AQ15" s="261">
        <f>'12'!G35</f>
        <v>3783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2392</v>
      </c>
      <c r="AY15" s="23">
        <f>'12'!G44</f>
        <v>0</v>
      </c>
      <c r="AZ15" s="262">
        <f>'12'!G36</f>
        <v>629</v>
      </c>
      <c r="BA15" s="261">
        <f>'12'!G49</f>
        <v>0</v>
      </c>
      <c r="BB15" s="19">
        <f>'12'!G51</f>
        <v>1569</v>
      </c>
      <c r="BC15" s="19">
        <f>'12'!G52</f>
        <v>1820</v>
      </c>
      <c r="BD15" s="19">
        <f>'12'!G53</f>
        <v>4165</v>
      </c>
      <c r="BE15" s="19">
        <f>'12'!G54</f>
        <v>0</v>
      </c>
      <c r="BF15" s="19">
        <f>'12'!G55</f>
        <v>5122</v>
      </c>
      <c r="BG15" s="19">
        <f>'12'!G56</f>
        <v>0</v>
      </c>
      <c r="BH15" s="19">
        <f>'12'!G57</f>
        <v>0</v>
      </c>
      <c r="BI15" s="262">
        <f>'12'!G50</f>
        <v>1179</v>
      </c>
      <c r="BJ15" s="401">
        <f t="shared" si="12"/>
        <v>5122</v>
      </c>
      <c r="BK15" s="401">
        <f>'12'!G84</f>
        <v>991</v>
      </c>
      <c r="BL15" s="23">
        <f t="shared" si="13"/>
        <v>53.333018600698708</v>
      </c>
      <c r="BM15" s="23">
        <f t="shared" si="14"/>
        <v>19.662921348314608</v>
      </c>
      <c r="BN15" s="24">
        <f t="shared" si="15"/>
        <v>8.5922009253139461E-2</v>
      </c>
      <c r="BO15" s="25">
        <f t="shared" si="16"/>
        <v>261512.95000000065</v>
      </c>
      <c r="BP15" s="213">
        <f t="shared" si="17"/>
        <v>8505</v>
      </c>
      <c r="BQ15">
        <f t="shared" si="18"/>
        <v>1.2624688279302967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-574199</v>
      </c>
      <c r="H16" s="19">
        <f>'13'!G8</f>
        <v>-574199</v>
      </c>
      <c r="I16" s="19">
        <f>'13'!G7</f>
        <v>-570933</v>
      </c>
      <c r="J16" s="19">
        <v>10</v>
      </c>
      <c r="K16" s="242">
        <f t="shared" si="3"/>
        <v>-5741990</v>
      </c>
      <c r="L16" s="238">
        <f t="shared" si="4"/>
        <v>-2826.40099009901</v>
      </c>
      <c r="M16" s="19">
        <f>'13'!G15</f>
        <v>-24979.18200000003</v>
      </c>
      <c r="N16" s="19">
        <v>35</v>
      </c>
      <c r="O16" s="234">
        <f t="shared" si="5"/>
        <v>-874271.37000000104</v>
      </c>
      <c r="P16" s="19">
        <f>'13'!G20</f>
        <v>-1165</v>
      </c>
      <c r="Q16" s="19">
        <v>134</v>
      </c>
      <c r="R16" s="239">
        <f t="shared" si="0"/>
        <v>-156110</v>
      </c>
      <c r="S16" s="240">
        <f t="shared" si="1"/>
        <v>-812.29953981313633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-2406</v>
      </c>
      <c r="X16" s="22">
        <f>'13'!G96</f>
        <v>-489</v>
      </c>
      <c r="Y16" s="22">
        <f>'13'!G97</f>
        <v>-604</v>
      </c>
      <c r="Z16" s="22">
        <f t="shared" si="7"/>
        <v>-3499</v>
      </c>
      <c r="AA16" s="19">
        <f>'13'!G132</f>
        <v>-28.059999999997672</v>
      </c>
      <c r="AB16" s="19">
        <f>'13'!G133</f>
        <v>0</v>
      </c>
      <c r="AC16" s="19">
        <f>'13'!G134</f>
        <v>-474.48999999999796</v>
      </c>
      <c r="AD16" s="19">
        <f>'13'!G135</f>
        <v>-159.56000000000131</v>
      </c>
      <c r="AE16" s="19">
        <f t="shared" si="8"/>
        <v>-662.10999999999694</v>
      </c>
      <c r="AF16" s="23">
        <f t="shared" si="2"/>
        <v>-137282.09599999999</v>
      </c>
      <c r="AG16" s="23">
        <f t="shared" si="9"/>
        <v>207.34031505339087</v>
      </c>
      <c r="AH16" s="19">
        <f>'13'!G136</f>
        <v>-236.56000000000131</v>
      </c>
      <c r="AI16" s="19">
        <f>'13'!G137</f>
        <v>-14.280000000002474</v>
      </c>
      <c r="AJ16" s="19">
        <f>'13'!G138</f>
        <v>-113.36999999999534</v>
      </c>
      <c r="AK16" s="19">
        <f t="shared" si="10"/>
        <v>-364.20999999999913</v>
      </c>
      <c r="AL16" s="19">
        <f>'13'!G139</f>
        <v>-203.42000000000007</v>
      </c>
      <c r="AM16" s="19">
        <f>'13'!G140</f>
        <v>-0.47000000000025466</v>
      </c>
      <c r="AN16" s="19"/>
      <c r="AO16" s="19">
        <f t="shared" si="11"/>
        <v>-203.89000000000033</v>
      </c>
      <c r="AP16" s="258">
        <f>'13'!G123</f>
        <v>-7046.5999999999767</v>
      </c>
      <c r="AQ16" s="261">
        <f>'13'!G35</f>
        <v>-86100.329999999958</v>
      </c>
      <c r="AR16" s="19">
        <f>'13'!G37</f>
        <v>-25563.07</v>
      </c>
      <c r="AS16" s="19">
        <f>'13'!G38</f>
        <v>-36269.14</v>
      </c>
      <c r="AT16" s="19">
        <f>'13'!G39</f>
        <v>-73358.3</v>
      </c>
      <c r="AU16" s="19">
        <f>'13'!G40</f>
        <v>-0.06</v>
      </c>
      <c r="AV16" s="19">
        <f>'13'!G41</f>
        <v>-5507.1299999999974</v>
      </c>
      <c r="AW16" s="19">
        <f>'13'!G42</f>
        <v>-201.90099999999802</v>
      </c>
      <c r="AX16" s="19">
        <f>'13'!G43</f>
        <v>-64401.810000000056</v>
      </c>
      <c r="AY16" s="23">
        <f>'13'!G44</f>
        <v>0</v>
      </c>
      <c r="AZ16" s="262">
        <f>'13'!G36</f>
        <v>-19407.669999999984</v>
      </c>
      <c r="BA16" s="261">
        <f>'13'!G49</f>
        <v>0.13000000000465661</v>
      </c>
      <c r="BB16" s="19">
        <f>'13'!G51</f>
        <v>-14913.080000000002</v>
      </c>
      <c r="BC16" s="19">
        <f>'13'!G52</f>
        <v>-20401.289999999979</v>
      </c>
      <c r="BD16" s="19">
        <f>'13'!G53</f>
        <v>-41478.489999999991</v>
      </c>
      <c r="BE16" s="19">
        <f>'13'!G54</f>
        <v>-1150.5200000000004</v>
      </c>
      <c r="BF16" s="19">
        <f>'13'!G55</f>
        <v>-100551.065</v>
      </c>
      <c r="BG16" s="19">
        <f>'13'!G56</f>
        <v>-31022</v>
      </c>
      <c r="BH16" s="19">
        <f>'13'!G57</f>
        <v>0.32999999999992724</v>
      </c>
      <c r="BI16" s="262">
        <f>'13'!G50</f>
        <v>-33798.090000000026</v>
      </c>
      <c r="BJ16" s="401">
        <f t="shared" si="12"/>
        <v>-137282.09599999999</v>
      </c>
      <c r="BK16" s="401">
        <f>'13'!G84</f>
        <v>-18219</v>
      </c>
      <c r="BL16" s="23">
        <f t="shared" si="13"/>
        <v>50.405875295349894</v>
      </c>
      <c r="BM16" s="23">
        <f t="shared" si="14"/>
        <v>20.113882014176795</v>
      </c>
      <c r="BN16" s="24">
        <f t="shared" si="15"/>
        <v>9.9259335158416104E-2</v>
      </c>
      <c r="BO16" s="25">
        <f t="shared" si="16"/>
        <v>-6772371.370000001</v>
      </c>
      <c r="BP16" s="213">
        <f t="shared" si="17"/>
        <v>-219902.57600000006</v>
      </c>
      <c r="BQ16">
        <f t="shared" si="18"/>
        <v>1.1861568966744902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22679</v>
      </c>
      <c r="H17" s="19">
        <f>'14'!G8</f>
        <v>22679</v>
      </c>
      <c r="I17" s="19">
        <f>'14'!G7</f>
        <v>22577</v>
      </c>
      <c r="J17" s="19">
        <v>10</v>
      </c>
      <c r="K17" s="242">
        <f t="shared" si="3"/>
        <v>226790</v>
      </c>
      <c r="L17" s="238">
        <f t="shared" si="4"/>
        <v>111.76732673267327</v>
      </c>
      <c r="M17" s="19">
        <f>'14'!G15</f>
        <v>1135.4930000000168</v>
      </c>
      <c r="N17" s="19">
        <v>35</v>
      </c>
      <c r="O17" s="234">
        <f t="shared" si="5"/>
        <v>39742.255000000587</v>
      </c>
      <c r="P17" s="19">
        <f>'14'!G20</f>
        <v>241</v>
      </c>
      <c r="Q17" s="19">
        <v>134</v>
      </c>
      <c r="R17" s="239">
        <f t="shared" si="0"/>
        <v>32294</v>
      </c>
      <c r="S17" s="240">
        <f t="shared" si="1"/>
        <v>178.52301465370238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121</v>
      </c>
      <c r="X17" s="22">
        <f>'14'!G96</f>
        <v>47</v>
      </c>
      <c r="Y17" s="22">
        <f>'14'!G97</f>
        <v>46</v>
      </c>
      <c r="Z17" s="22">
        <f>W17+X17+Y17</f>
        <v>214</v>
      </c>
      <c r="AA17" s="19">
        <f>'14'!G132</f>
        <v>0</v>
      </c>
      <c r="AB17" s="19">
        <f>'14'!G133</f>
        <v>0</v>
      </c>
      <c r="AC17" s="19">
        <f>'14'!G134</f>
        <v>24.169999999998254</v>
      </c>
      <c r="AD17" s="19">
        <f>'14'!G135</f>
        <v>0</v>
      </c>
      <c r="AE17" s="19">
        <f t="shared" si="8"/>
        <v>24.169999999998254</v>
      </c>
      <c r="AF17" s="23">
        <f t="shared" si="2"/>
        <v>5638.7550000000047</v>
      </c>
      <c r="AG17" s="23">
        <f t="shared" si="9"/>
        <v>233.29561439803112</v>
      </c>
      <c r="AH17" s="19">
        <f>'14'!G136</f>
        <v>9.9700000000011642</v>
      </c>
      <c r="AI17" s="19">
        <f>'14'!G137</f>
        <v>0</v>
      </c>
      <c r="AJ17" s="19">
        <f>'14'!G138</f>
        <v>7.4099999999889405</v>
      </c>
      <c r="AK17" s="19">
        <f t="shared" si="10"/>
        <v>17.379999999990105</v>
      </c>
      <c r="AL17" s="19">
        <f>'14'!G139</f>
        <v>8.9500000000000455</v>
      </c>
      <c r="AM17" s="19">
        <f>'14'!G140</f>
        <v>0</v>
      </c>
      <c r="AN17" s="19"/>
      <c r="AO17" s="19">
        <f t="shared" si="11"/>
        <v>8.9500000000000455</v>
      </c>
      <c r="AP17" s="258">
        <f>'14'!G123</f>
        <v>307.53000000002794</v>
      </c>
      <c r="AQ17" s="261">
        <f>'14'!G35</f>
        <v>2968.1999999999534</v>
      </c>
      <c r="AR17" s="19">
        <f>'14'!G37</f>
        <v>1580.2299999999996</v>
      </c>
      <c r="AS17" s="19">
        <f>'14'!G38</f>
        <v>2441.0599999999995</v>
      </c>
      <c r="AT17" s="19">
        <f>'14'!G39</f>
        <v>4655.1399999999994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2360.0800000000745</v>
      </c>
      <c r="AY17" s="23">
        <f>'14'!G44</f>
        <v>0</v>
      </c>
      <c r="AZ17" s="262">
        <f>'14'!G36</f>
        <v>864.61999999999534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71.360000000000582</v>
      </c>
      <c r="BF17" s="19">
        <f>'14'!G55</f>
        <v>5638.7550000000047</v>
      </c>
      <c r="BG17" s="19">
        <f>'14'!G56</f>
        <v>0</v>
      </c>
      <c r="BH17" s="19">
        <f>'14'!G57</f>
        <v>0</v>
      </c>
      <c r="BI17" s="262">
        <f>'14'!G50</f>
        <v>1369.2800000000279</v>
      </c>
      <c r="BJ17" s="401">
        <f t="shared" si="12"/>
        <v>5638.7550000000047</v>
      </c>
      <c r="BK17" s="401">
        <f>'14'!G84</f>
        <v>498</v>
      </c>
      <c r="BL17" s="23">
        <f t="shared" si="13"/>
        <v>48.576139433937335</v>
      </c>
      <c r="BM17" s="23">
        <f t="shared" si="14"/>
        <v>20.618948487398676</v>
      </c>
      <c r="BN17" s="24">
        <f t="shared" si="15"/>
        <v>0.10812153961996721</v>
      </c>
      <c r="BO17" s="25">
        <f t="shared" si="16"/>
        <v>298826.25500000059</v>
      </c>
      <c r="BP17" s="213">
        <f t="shared" si="17"/>
        <v>8496.8350000000792</v>
      </c>
      <c r="BQ17">
        <f t="shared" si="18"/>
        <v>1.2555167267570029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23355</v>
      </c>
      <c r="H18" s="19">
        <f>'15'!G8</f>
        <v>23355</v>
      </c>
      <c r="I18" s="19">
        <f>'15'!G7</f>
        <v>23207</v>
      </c>
      <c r="J18" s="19">
        <v>10</v>
      </c>
      <c r="K18" s="242">
        <f t="shared" si="3"/>
        <v>233550</v>
      </c>
      <c r="L18" s="238">
        <f t="shared" si="4"/>
        <v>114.88613861386139</v>
      </c>
      <c r="M18" s="19">
        <f>'15'!G15</f>
        <v>1235.2890000001062</v>
      </c>
      <c r="N18" s="19">
        <v>35</v>
      </c>
      <c r="O18" s="234">
        <f t="shared" si="5"/>
        <v>43235.115000003716</v>
      </c>
      <c r="P18" s="19">
        <f>'15'!G20</f>
        <v>372</v>
      </c>
      <c r="Q18" s="19">
        <v>134</v>
      </c>
      <c r="R18" s="239">
        <f t="shared" si="0"/>
        <v>49848</v>
      </c>
      <c r="S18" s="240">
        <f t="shared" si="1"/>
        <v>274.86330722624501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131</v>
      </c>
      <c r="X18" s="22">
        <f>'15'!G96</f>
        <v>25</v>
      </c>
      <c r="Y18" s="22">
        <f>'15'!G97</f>
        <v>35</v>
      </c>
      <c r="Z18" s="22">
        <f t="shared" si="7"/>
        <v>191</v>
      </c>
      <c r="AA18" s="19">
        <f>'15'!G132</f>
        <v>0</v>
      </c>
      <c r="AB18" s="19">
        <f>'15'!G133</f>
        <v>0</v>
      </c>
      <c r="AC18" s="19">
        <f>'15'!G134</f>
        <v>23.989999999997963</v>
      </c>
      <c r="AD18" s="19">
        <f>'15'!G135</f>
        <v>0</v>
      </c>
      <c r="AE18" s="19">
        <f t="shared" si="8"/>
        <v>23.989999999997963</v>
      </c>
      <c r="AF18" s="23">
        <f t="shared" si="2"/>
        <v>5582.9709999999905</v>
      </c>
      <c r="AG18" s="23">
        <f t="shared" si="9"/>
        <v>232.72075864945663</v>
      </c>
      <c r="AH18" s="19">
        <f>'15'!G136</f>
        <v>10.5</v>
      </c>
      <c r="AI18" s="19">
        <f>'15'!G137</f>
        <v>4.2600000000020373</v>
      </c>
      <c r="AJ18" s="19">
        <f>'15'!G138</f>
        <v>0.69000000000232831</v>
      </c>
      <c r="AK18" s="19">
        <f t="shared" si="10"/>
        <v>15.450000000004366</v>
      </c>
      <c r="AL18" s="19">
        <f>'15'!G139</f>
        <v>7.7899999999999636</v>
      </c>
      <c r="AM18" s="19">
        <f>'15'!G140</f>
        <v>0</v>
      </c>
      <c r="AN18" s="19"/>
      <c r="AO18" s="19">
        <f t="shared" si="11"/>
        <v>7.7899999999999636</v>
      </c>
      <c r="AP18" s="258">
        <f>'15'!G123</f>
        <v>276.40999999991618</v>
      </c>
      <c r="AQ18" s="261">
        <f>'15'!G35</f>
        <v>2919.7600000000093</v>
      </c>
      <c r="AR18" s="19">
        <f>'15'!G37</f>
        <v>1580.0900000000001</v>
      </c>
      <c r="AS18" s="19">
        <f>'15'!G38</f>
        <v>2468.8999999999996</v>
      </c>
      <c r="AT18" s="19">
        <f>'15'!G39</f>
        <v>4654.59</v>
      </c>
      <c r="AU18" s="19">
        <f>'15'!G40</f>
        <v>0</v>
      </c>
      <c r="AV18" s="19">
        <f>'15'!G41</f>
        <v>0</v>
      </c>
      <c r="AW18" s="19">
        <f>'15'!G42</f>
        <v>-9.900000000197906E-2</v>
      </c>
      <c r="AX18" s="19">
        <f>'15'!G43</f>
        <v>2346.1600000000326</v>
      </c>
      <c r="AY18" s="23">
        <f>'15'!G44</f>
        <v>0</v>
      </c>
      <c r="AZ18" s="262">
        <f>'15'!G36</f>
        <v>941.51999999996042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68.979999999999563</v>
      </c>
      <c r="BF18" s="19">
        <f>'15'!G55</f>
        <v>5532.3199999999924</v>
      </c>
      <c r="BG18" s="19">
        <f>'15'!G56</f>
        <v>50.75</v>
      </c>
      <c r="BH18" s="19">
        <f>'15'!G57</f>
        <v>0</v>
      </c>
      <c r="BI18" s="262">
        <f>'15'!G50</f>
        <v>1990</v>
      </c>
      <c r="BJ18" s="401">
        <f t="shared" si="12"/>
        <v>5582.9709999999905</v>
      </c>
      <c r="BK18" s="401">
        <f>'15'!G84</f>
        <v>536</v>
      </c>
      <c r="BL18" s="23">
        <f t="shared" si="13"/>
        <v>46.748356099452891</v>
      </c>
      <c r="BM18" s="23">
        <f t="shared" si="14"/>
        <v>20.056836299392426</v>
      </c>
      <c r="BN18" s="24">
        <f t="shared" si="15"/>
        <v>0.10638600422286378</v>
      </c>
      <c r="BO18" s="25">
        <f t="shared" si="16"/>
        <v>326633.11500000372</v>
      </c>
      <c r="BP18" s="213">
        <f t="shared" si="17"/>
        <v>8465.1310000000231</v>
      </c>
      <c r="BQ18">
        <f t="shared" si="18"/>
        <v>1.2602172035968471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21087</v>
      </c>
      <c r="H19" s="19">
        <f>'16'!G8</f>
        <v>21087</v>
      </c>
      <c r="I19" s="19">
        <f>'16'!G7</f>
        <v>20975</v>
      </c>
      <c r="J19" s="19">
        <v>10</v>
      </c>
      <c r="K19" s="242">
        <f t="shared" si="3"/>
        <v>210870</v>
      </c>
      <c r="L19" s="238">
        <f t="shared" si="4"/>
        <v>103.83663366336634</v>
      </c>
      <c r="M19" s="19">
        <f>'16'!G15</f>
        <v>1012.5699999998324</v>
      </c>
      <c r="N19" s="19">
        <v>35</v>
      </c>
      <c r="O19" s="234">
        <f t="shared" si="5"/>
        <v>35439.949999994133</v>
      </c>
      <c r="P19" s="19">
        <f>'16'!G20</f>
        <v>250</v>
      </c>
      <c r="Q19" s="19">
        <v>134</v>
      </c>
      <c r="R19" s="239">
        <f t="shared" si="0"/>
        <v>33500</v>
      </c>
      <c r="S19" s="240">
        <f t="shared" si="1"/>
        <v>195.05496648955679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97</v>
      </c>
      <c r="X19" s="22">
        <f>'16'!G96</f>
        <v>18</v>
      </c>
      <c r="Y19" s="22">
        <f>'16'!G97</f>
        <v>24</v>
      </c>
      <c r="Z19" s="22">
        <f t="shared" si="7"/>
        <v>139</v>
      </c>
      <c r="AA19" s="19">
        <f>'16'!G132</f>
        <v>0</v>
      </c>
      <c r="AB19" s="19">
        <f>'16'!G133</f>
        <v>0</v>
      </c>
      <c r="AC19" s="19">
        <f>'16'!G134</f>
        <v>24.069999999999709</v>
      </c>
      <c r="AD19" s="19">
        <f>'16'!G135</f>
        <v>0</v>
      </c>
      <c r="AE19" s="19">
        <f t="shared" si="8"/>
        <v>24.069999999999709</v>
      </c>
      <c r="AF19" s="23">
        <f t="shared" si="2"/>
        <v>4709.0199999999895</v>
      </c>
      <c r="AG19" s="23">
        <f t="shared" si="9"/>
        <v>195.63855421686941</v>
      </c>
      <c r="AH19" s="19">
        <f>'16'!G136</f>
        <v>10.340000000000146</v>
      </c>
      <c r="AI19" s="19">
        <f>'16'!G137</f>
        <v>0</v>
      </c>
      <c r="AJ19" s="19">
        <f>'16'!G138</f>
        <v>4.5899999999965075</v>
      </c>
      <c r="AK19" s="19">
        <f t="shared" si="10"/>
        <v>14.929999999996653</v>
      </c>
      <c r="AL19" s="19">
        <f>'16'!G139</f>
        <v>7.8900000000001</v>
      </c>
      <c r="AM19" s="19">
        <f>'16'!G140</f>
        <v>0</v>
      </c>
      <c r="AN19" s="19"/>
      <c r="AO19" s="19">
        <f t="shared" si="11"/>
        <v>7.8900000000001</v>
      </c>
      <c r="AP19" s="258">
        <f>'16'!G123</f>
        <v>274.44000000006054</v>
      </c>
      <c r="AQ19" s="261">
        <f>'16'!G35</f>
        <v>3038.5200000000186</v>
      </c>
      <c r="AR19" s="19">
        <f>'16'!G37</f>
        <v>1517.1100000000006</v>
      </c>
      <c r="AS19" s="19">
        <f>'16'!G38</f>
        <v>2233.6500000000015</v>
      </c>
      <c r="AT19" s="19">
        <f>'16'!G39</f>
        <v>4228.1200000000026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2361.359999999986</v>
      </c>
      <c r="AY19" s="23">
        <f>'16'!G44</f>
        <v>0</v>
      </c>
      <c r="AZ19" s="262">
        <f>'16'!G36</f>
        <v>957.28000000002794</v>
      </c>
      <c r="BA19" s="261">
        <f>'16'!G49</f>
        <v>0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69.780000000000655</v>
      </c>
      <c r="BF19" s="19">
        <f>'16'!G55</f>
        <v>4702.6600000000035</v>
      </c>
      <c r="BG19" s="19">
        <f>'16'!G56</f>
        <v>6.3599999999860302</v>
      </c>
      <c r="BH19" s="19">
        <f>'16'!G57</f>
        <v>0</v>
      </c>
      <c r="BI19" s="262">
        <f>'16'!G50</f>
        <v>1255</v>
      </c>
      <c r="BJ19" s="401">
        <f t="shared" si="12"/>
        <v>4709.0199999999895</v>
      </c>
      <c r="BK19" s="401">
        <f>'16'!G84</f>
        <v>659</v>
      </c>
      <c r="BL19" s="23">
        <f t="shared" si="13"/>
        <v>48.194994040524406</v>
      </c>
      <c r="BM19" s="23">
        <f t="shared" si="14"/>
        <v>20.157902264600729</v>
      </c>
      <c r="BN19" s="24">
        <f t="shared" si="15"/>
        <v>0.10649106078665084</v>
      </c>
      <c r="BO19" s="25">
        <f t="shared" si="16"/>
        <v>279809.94999999413</v>
      </c>
      <c r="BP19" s="213">
        <f t="shared" si="17"/>
        <v>7729.3799999999756</v>
      </c>
      <c r="BQ19">
        <f t="shared" si="18"/>
        <v>1.1468603477951316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19692</v>
      </c>
      <c r="H20" s="19">
        <f>'17'!G8</f>
        <v>19692</v>
      </c>
      <c r="I20" s="19">
        <f>'17'!G7</f>
        <v>19571</v>
      </c>
      <c r="J20" s="19">
        <v>10</v>
      </c>
      <c r="K20" s="242">
        <f t="shared" si="3"/>
        <v>196920</v>
      </c>
      <c r="L20" s="238">
        <f t="shared" si="4"/>
        <v>96.886138613861391</v>
      </c>
      <c r="M20" s="19">
        <f>'17'!G15</f>
        <v>930.51000000000931</v>
      </c>
      <c r="N20" s="19">
        <v>35</v>
      </c>
      <c r="O20" s="234">
        <f t="shared" si="5"/>
        <v>32567.850000000326</v>
      </c>
      <c r="P20" s="19">
        <f>'17'!G20</f>
        <v>191</v>
      </c>
      <c r="Q20" s="19">
        <v>134</v>
      </c>
      <c r="R20" s="239">
        <f t="shared" si="0"/>
        <v>25594</v>
      </c>
      <c r="S20" s="240">
        <f t="shared" si="1"/>
        <v>192.96827641947868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72</v>
      </c>
      <c r="X20" s="22">
        <f>'17'!G96</f>
        <v>15</v>
      </c>
      <c r="Y20" s="22">
        <f>'17'!G97</f>
        <v>20</v>
      </c>
      <c r="Z20" s="22">
        <f t="shared" si="7"/>
        <v>107</v>
      </c>
      <c r="AA20" s="19">
        <f>'17'!G132</f>
        <v>12.099999999998545</v>
      </c>
      <c r="AB20" s="19">
        <f>'17'!G133</f>
        <v>0</v>
      </c>
      <c r="AC20" s="19">
        <f>'17'!G134</f>
        <v>12.060000000004948</v>
      </c>
      <c r="AD20" s="19">
        <f>'17'!G135</f>
        <v>0</v>
      </c>
      <c r="AE20" s="19">
        <f t="shared" si="8"/>
        <v>24.160000000003492</v>
      </c>
      <c r="AF20" s="23">
        <f t="shared" si="2"/>
        <v>4529.1700000000201</v>
      </c>
      <c r="AG20" s="23">
        <f t="shared" si="9"/>
        <v>187.46564569533797</v>
      </c>
      <c r="AH20" s="19">
        <f>'17'!G136</f>
        <v>9.6500000000014552</v>
      </c>
      <c r="AI20" s="19">
        <f>'17'!G137</f>
        <v>0</v>
      </c>
      <c r="AJ20" s="19">
        <f>'17'!G138</f>
        <v>4.3100000000122236</v>
      </c>
      <c r="AK20" s="19">
        <f t="shared" si="10"/>
        <v>13.960000000013679</v>
      </c>
      <c r="AL20" s="19">
        <f>'17'!G139</f>
        <v>7.4700000000000273</v>
      </c>
      <c r="AM20" s="19">
        <f>'17'!G140</f>
        <v>0</v>
      </c>
      <c r="AN20" s="19"/>
      <c r="AO20" s="19">
        <f t="shared" si="11"/>
        <v>7.4700000000000273</v>
      </c>
      <c r="AP20" s="258">
        <f>'17'!G123</f>
        <v>259.15000000002328</v>
      </c>
      <c r="AQ20" s="261">
        <f>'17'!G35</f>
        <v>2711.640000000014</v>
      </c>
      <c r="AR20" s="19">
        <f>'17'!G37</f>
        <v>1476.619999999999</v>
      </c>
      <c r="AS20" s="19">
        <f>'17'!G38</f>
        <v>2001.3899999999994</v>
      </c>
      <c r="AT20" s="19">
        <f>'17'!G39</f>
        <v>4187.6299999999974</v>
      </c>
      <c r="AU20" s="19">
        <f>'17'!G40</f>
        <v>0</v>
      </c>
      <c r="AV20" s="19">
        <f>'17'!G41</f>
        <v>2601.0199999999968</v>
      </c>
      <c r="AW20" s="19">
        <f>'17'!G42</f>
        <v>0</v>
      </c>
      <c r="AX20" s="19">
        <f>'17'!G43</f>
        <v>2334.7999999999302</v>
      </c>
      <c r="AY20" s="23">
        <f>'17'!G44</f>
        <v>0</v>
      </c>
      <c r="AZ20" s="262">
        <f>'17'!G36</f>
        <v>663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69.769999999999527</v>
      </c>
      <c r="BF20" s="19">
        <f>'17'!G55</f>
        <v>1921.75</v>
      </c>
      <c r="BG20" s="19">
        <f>'17'!G56</f>
        <v>6.4000000000232831</v>
      </c>
      <c r="BH20" s="19">
        <f>'17'!G57</f>
        <v>0</v>
      </c>
      <c r="BI20" s="262">
        <f>'17'!G50</f>
        <v>1065.2799999999697</v>
      </c>
      <c r="BJ20" s="401">
        <f t="shared" si="12"/>
        <v>4529.1700000000201</v>
      </c>
      <c r="BK20" s="401">
        <f>'17'!G84</f>
        <v>482</v>
      </c>
      <c r="BL20" s="23">
        <f t="shared" si="13"/>
        <v>48.927545858668253</v>
      </c>
      <c r="BM20" s="23">
        <f t="shared" si="14"/>
        <v>21.397118185069733</v>
      </c>
      <c r="BN20" s="24">
        <f t="shared" si="15"/>
        <v>0.10226304225639975</v>
      </c>
      <c r="BO20" s="25">
        <f t="shared" si="16"/>
        <v>255081.85000000033</v>
      </c>
      <c r="BP20" s="213">
        <f t="shared" si="17"/>
        <v>7345.9699999999502</v>
      </c>
      <c r="BQ20">
        <f t="shared" si="18"/>
        <v>1.0859108916743863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20349</v>
      </c>
      <c r="H21" s="19">
        <f>'18'!G8</f>
        <v>20349</v>
      </c>
      <c r="I21" s="19">
        <f>'18'!G7</f>
        <v>20195</v>
      </c>
      <c r="J21" s="19">
        <v>10</v>
      </c>
      <c r="K21" s="242">
        <f t="shared" si="3"/>
        <v>203490</v>
      </c>
      <c r="L21" s="238">
        <f t="shared" si="4"/>
        <v>99.975247524752476</v>
      </c>
      <c r="M21" s="19">
        <f>'18'!G15</f>
        <v>840.14000000013039</v>
      </c>
      <c r="N21" s="19">
        <v>35</v>
      </c>
      <c r="O21" s="234">
        <f t="shared" si="5"/>
        <v>29404.900000004563</v>
      </c>
      <c r="P21" s="19">
        <f>'18'!G20</f>
        <v>167</v>
      </c>
      <c r="Q21" s="19">
        <v>134</v>
      </c>
      <c r="R21" s="239">
        <f t="shared" si="0"/>
        <v>22378</v>
      </c>
      <c r="S21" s="240">
        <f t="shared" si="1"/>
        <v>179.72449418854927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74</v>
      </c>
      <c r="X21" s="22">
        <f>'18'!G96</f>
        <v>16</v>
      </c>
      <c r="Y21" s="22">
        <f>'18'!G97</f>
        <v>17</v>
      </c>
      <c r="Z21" s="22">
        <f t="shared" si="7"/>
        <v>107</v>
      </c>
      <c r="AA21" s="19">
        <f>'18'!G132</f>
        <v>12.139999999999418</v>
      </c>
      <c r="AB21" s="19">
        <f>'18'!G133</f>
        <v>0.51999999999998181</v>
      </c>
      <c r="AC21" s="19">
        <f>'18'!G134</f>
        <v>0.14999999999417923</v>
      </c>
      <c r="AD21" s="19">
        <f>'18'!G135</f>
        <v>11.340000000000146</v>
      </c>
      <c r="AE21" s="19">
        <f t="shared" si="8"/>
        <v>24.149999999993724</v>
      </c>
      <c r="AF21" s="23">
        <f t="shared" si="2"/>
        <v>4586.8699999999371</v>
      </c>
      <c r="AG21" s="23">
        <f t="shared" si="9"/>
        <v>189.93250517603019</v>
      </c>
      <c r="AH21" s="19">
        <f>'18'!G136</f>
        <v>5.6599999999998545</v>
      </c>
      <c r="AI21" s="19">
        <f>'18'!G137</f>
        <v>2.2700000000004366</v>
      </c>
      <c r="AJ21" s="19">
        <f>'18'!G138</f>
        <v>4.3799999999901047</v>
      </c>
      <c r="AK21" s="19">
        <f t="shared" si="10"/>
        <v>12.309999999990396</v>
      </c>
      <c r="AL21" s="19">
        <f>'18'!G139</f>
        <v>7.5599999999999454</v>
      </c>
      <c r="AM21" s="19">
        <f>'18'!G140</f>
        <v>0</v>
      </c>
      <c r="AN21" s="19"/>
      <c r="AO21" s="19">
        <f t="shared" si="11"/>
        <v>7.5599999999999454</v>
      </c>
      <c r="AP21" s="258">
        <f>'18'!G123</f>
        <v>260.40999999991618</v>
      </c>
      <c r="AQ21" s="261">
        <f>'18'!G35</f>
        <v>2740.1599999999162</v>
      </c>
      <c r="AR21" s="19">
        <f>'18'!G37</f>
        <v>1468.9300000000003</v>
      </c>
      <c r="AS21" s="19">
        <f>'18'!G38</f>
        <v>2050.5400000000009</v>
      </c>
      <c r="AT21" s="19">
        <f>'18'!G39</f>
        <v>4281.18</v>
      </c>
      <c r="AU21" s="19">
        <f>'18'!G40</f>
        <v>0</v>
      </c>
      <c r="AV21" s="19">
        <f>'18'!G41</f>
        <v>2021.4800000000032</v>
      </c>
      <c r="AW21" s="19">
        <f>'18'!G42</f>
        <v>202.84999999999854</v>
      </c>
      <c r="AX21" s="19">
        <f>'18'!G43</f>
        <v>2334.1600000000326</v>
      </c>
      <c r="AY21" s="23">
        <f>'18'!G44</f>
        <v>0</v>
      </c>
      <c r="AZ21" s="262">
        <f>'18'!G36</f>
        <v>883.79999999998836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70.029999999999745</v>
      </c>
      <c r="BF21" s="19">
        <f>'18'!G55</f>
        <v>51.979999999995925</v>
      </c>
      <c r="BG21" s="19">
        <f>'18'!G56</f>
        <v>2310.5599999999395</v>
      </c>
      <c r="BH21" s="19">
        <f>'18'!G57</f>
        <v>0</v>
      </c>
      <c r="BI21" s="262">
        <f>'18'!G50</f>
        <v>1128.5600000000559</v>
      </c>
      <c r="BJ21" s="401">
        <f t="shared" si="12"/>
        <v>4586.8699999999371</v>
      </c>
      <c r="BK21" s="401">
        <f>'18'!G84</f>
        <v>482</v>
      </c>
      <c r="BL21" s="23">
        <f t="shared" si="13"/>
        <v>47.839514731368588</v>
      </c>
      <c r="BM21" s="23">
        <f t="shared" si="14"/>
        <v>21.199207724684332</v>
      </c>
      <c r="BN21" s="24">
        <f t="shared" si="15"/>
        <v>0.10153701411240411</v>
      </c>
      <c r="BO21" s="25">
        <f t="shared" si="16"/>
        <v>255272.90000000456</v>
      </c>
      <c r="BP21" s="213">
        <f t="shared" si="17"/>
        <v>7403.0299999999697</v>
      </c>
      <c r="BQ21">
        <f t="shared" si="18"/>
        <v>1.0947988760724481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19675</v>
      </c>
      <c r="H22" s="19">
        <f>'19'!G8</f>
        <v>19675</v>
      </c>
      <c r="I22" s="19">
        <f>'19'!G7</f>
        <v>19578</v>
      </c>
      <c r="J22" s="19">
        <v>10</v>
      </c>
      <c r="K22" s="242">
        <f t="shared" si="3"/>
        <v>196750</v>
      </c>
      <c r="L22" s="238">
        <f t="shared" si="4"/>
        <v>96.920792079207928</v>
      </c>
      <c r="M22" s="19">
        <f>'19'!G15</f>
        <v>881.40999999991618</v>
      </c>
      <c r="N22" s="19">
        <v>35</v>
      </c>
      <c r="O22" s="234">
        <f t="shared" si="5"/>
        <v>30849.349999997066</v>
      </c>
      <c r="P22" s="19">
        <f>'19'!G20</f>
        <v>190</v>
      </c>
      <c r="Q22" s="19">
        <v>134</v>
      </c>
      <c r="R22" s="239">
        <f t="shared" si="0"/>
        <v>25460</v>
      </c>
      <c r="S22" s="240">
        <f t="shared" si="1"/>
        <v>144.70677837014469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79</v>
      </c>
      <c r="X22" s="22">
        <f>'19'!G96</f>
        <v>9</v>
      </c>
      <c r="Y22" s="22">
        <f>'19'!G97</f>
        <v>24</v>
      </c>
      <c r="Z22" s="22">
        <f t="shared" si="7"/>
        <v>112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23.659999999999854</v>
      </c>
      <c r="AE22" s="19">
        <f t="shared" si="8"/>
        <v>23.659999999999854</v>
      </c>
      <c r="AF22" s="23">
        <f t="shared" si="2"/>
        <v>4133.3100000000559</v>
      </c>
      <c r="AG22" s="23">
        <f t="shared" si="9"/>
        <v>174.69611158073039</v>
      </c>
      <c r="AH22" s="19">
        <f>'19'!G136</f>
        <v>8.0999999999985448</v>
      </c>
      <c r="AI22" s="19">
        <f>'19'!G137</f>
        <v>0</v>
      </c>
      <c r="AJ22" s="19">
        <f>'19'!G138</f>
        <v>2.8400000000110595</v>
      </c>
      <c r="AK22" s="19">
        <f t="shared" si="10"/>
        <v>10.940000000009604</v>
      </c>
      <c r="AL22" s="19">
        <f>'19'!G139</f>
        <v>6.9700000000000273</v>
      </c>
      <c r="AM22" s="19">
        <f>'19'!G140</f>
        <v>0</v>
      </c>
      <c r="AN22" s="19"/>
      <c r="AO22" s="19">
        <f t="shared" si="11"/>
        <v>6.9700000000000273</v>
      </c>
      <c r="AP22" s="258">
        <f>'19'!G123</f>
        <v>241.6600000000326</v>
      </c>
      <c r="AQ22" s="261">
        <f>'19'!G35</f>
        <v>2681.0500000000466</v>
      </c>
      <c r="AR22" s="19">
        <f>'19'!G37</f>
        <v>1478.0900000000001</v>
      </c>
      <c r="AS22" s="19">
        <f>'19'!G38</f>
        <v>1916.5999999999985</v>
      </c>
      <c r="AT22" s="19">
        <f>'19'!G39</f>
        <v>4162.6399999999994</v>
      </c>
      <c r="AU22" s="19">
        <f>'19'!G40</f>
        <v>0</v>
      </c>
      <c r="AV22" s="19">
        <f>'19'!G41</f>
        <v>-0.37000000000261934</v>
      </c>
      <c r="AW22" s="19">
        <f>'19'!G42</f>
        <v>0.15000000000145519</v>
      </c>
      <c r="AX22" s="19">
        <f>'19'!G43</f>
        <v>2309.25</v>
      </c>
      <c r="AY22" s="23">
        <f>'19'!G44</f>
        <v>0</v>
      </c>
      <c r="AZ22" s="262">
        <f>'19'!G36</f>
        <v>664.45000000001164</v>
      </c>
      <c r="BA22" s="261">
        <f>'19'!G49</f>
        <v>-0.13000000000465661</v>
      </c>
      <c r="BB22" s="19">
        <f>'19'!G51</f>
        <v>8.000000000174623E-2</v>
      </c>
      <c r="BC22" s="19">
        <f>'19'!G52</f>
        <v>0.28999999997904524</v>
      </c>
      <c r="BD22" s="19">
        <f>'19'!G53</f>
        <v>0.48999999999068677</v>
      </c>
      <c r="BE22" s="19">
        <f>'19'!G54</f>
        <v>68.600000000000364</v>
      </c>
      <c r="BF22" s="19">
        <f>'19'!G55</f>
        <v>-0.39999999999417923</v>
      </c>
      <c r="BG22" s="19">
        <f>'19'!G56</f>
        <v>4133.9300000000512</v>
      </c>
      <c r="BH22" s="19">
        <f>'19'!G57</f>
        <v>-0.32999999999992724</v>
      </c>
      <c r="BI22" s="262">
        <f>'19'!G50</f>
        <v>1435.9699999999721</v>
      </c>
      <c r="BJ22" s="401">
        <f t="shared" si="12"/>
        <v>4133.3100000000559</v>
      </c>
      <c r="BK22" s="401">
        <f>'19'!G84</f>
        <v>499</v>
      </c>
      <c r="BL22" s="23">
        <f t="shared" si="13"/>
        <v>46.598988660742151</v>
      </c>
      <c r="BM22" s="23">
        <f t="shared" si="14"/>
        <v>21.264327306159924</v>
      </c>
      <c r="BN22" s="24">
        <f t="shared" si="15"/>
        <v>9.7910409643476234E-2</v>
      </c>
      <c r="BO22" s="25">
        <f t="shared" si="16"/>
        <v>253059.34999999707</v>
      </c>
      <c r="BP22" s="213">
        <f t="shared" si="17"/>
        <v>6941.230000000056</v>
      </c>
      <c r="BQ22">
        <f t="shared" si="18"/>
        <v>1.0477644608139263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0.72</v>
      </c>
      <c r="F23" s="256">
        <f>'20'!D2</f>
        <v>0.98</v>
      </c>
      <c r="G23" s="19">
        <f>'20'!G8</f>
        <v>19871</v>
      </c>
      <c r="H23" s="19">
        <f>'20'!G8</f>
        <v>19871</v>
      </c>
      <c r="I23" s="19">
        <f>'20'!G7</f>
        <v>19799</v>
      </c>
      <c r="J23" s="19">
        <v>10</v>
      </c>
      <c r="K23" s="242">
        <f t="shared" si="3"/>
        <v>198710</v>
      </c>
      <c r="L23" s="238">
        <f t="shared" si="4"/>
        <v>98.014851485148512</v>
      </c>
      <c r="M23" s="19">
        <f>'20'!G15</f>
        <v>1086</v>
      </c>
      <c r="N23" s="19">
        <v>35</v>
      </c>
      <c r="O23" s="234">
        <f t="shared" si="5"/>
        <v>38010</v>
      </c>
      <c r="P23" s="19">
        <f>'20'!G20</f>
        <v>191</v>
      </c>
      <c r="Q23" s="19">
        <v>134</v>
      </c>
      <c r="R23" s="239">
        <f t="shared" si="0"/>
        <v>25594</v>
      </c>
      <c r="S23" s="240">
        <f t="shared" si="1"/>
        <v>96.484138209739342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86</v>
      </c>
      <c r="X23" s="22">
        <f>'20'!G96</f>
        <v>22</v>
      </c>
      <c r="Y23" s="22">
        <f>'20'!G97</f>
        <v>32</v>
      </c>
      <c r="Z23" s="22">
        <f t="shared" si="7"/>
        <v>140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24</v>
      </c>
      <c r="AE23" s="19">
        <f t="shared" si="8"/>
        <v>24</v>
      </c>
      <c r="AF23" s="23">
        <f t="shared" si="2"/>
        <v>4051</v>
      </c>
      <c r="AG23" s="23">
        <f t="shared" si="9"/>
        <v>168.79166666666666</v>
      </c>
      <c r="AH23" s="19">
        <f>'20'!G136</f>
        <v>10.880000000001019</v>
      </c>
      <c r="AI23" s="19">
        <f>'20'!G137</f>
        <v>0</v>
      </c>
      <c r="AJ23" s="19">
        <f>'20'!G138</f>
        <v>5.8699999999953434</v>
      </c>
      <c r="AK23" s="19">
        <f t="shared" si="10"/>
        <v>16.749999999996362</v>
      </c>
      <c r="AL23" s="19">
        <f>'20'!G139</f>
        <v>8.6199999999998909</v>
      </c>
      <c r="AM23" s="19">
        <f>'20'!G140</f>
        <v>0</v>
      </c>
      <c r="AN23" s="19"/>
      <c r="AO23" s="19">
        <f t="shared" si="11"/>
        <v>8.6199999999998909</v>
      </c>
      <c r="AP23" s="258">
        <f>'20'!G123</f>
        <v>300</v>
      </c>
      <c r="AQ23" s="261">
        <f>'20'!G35</f>
        <v>2854</v>
      </c>
      <c r="AR23" s="19">
        <f>'20'!G37</f>
        <v>1511</v>
      </c>
      <c r="AS23" s="19">
        <f>'20'!G38</f>
        <v>1965</v>
      </c>
      <c r="AT23" s="19">
        <f>'20'!G39</f>
        <v>4389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2302</v>
      </c>
      <c r="AY23" s="23">
        <f>'20'!G44</f>
        <v>0</v>
      </c>
      <c r="AZ23" s="262">
        <f>'20'!G36</f>
        <v>625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70</v>
      </c>
      <c r="BF23" s="19">
        <f>'20'!G55</f>
        <v>0</v>
      </c>
      <c r="BG23" s="19">
        <f>'20'!G56</f>
        <v>4051</v>
      </c>
      <c r="BH23" s="19">
        <f>'20'!G57</f>
        <v>0</v>
      </c>
      <c r="BI23" s="262">
        <f>'20'!G50</f>
        <v>1156</v>
      </c>
      <c r="BJ23" s="401">
        <f t="shared" si="12"/>
        <v>4051</v>
      </c>
      <c r="BK23" s="401">
        <f>'20'!G84</f>
        <v>562</v>
      </c>
      <c r="BL23" s="23">
        <f t="shared" si="13"/>
        <v>46.502348603464817</v>
      </c>
      <c r="BM23" s="23">
        <f t="shared" si="14"/>
        <v>22.167786251830901</v>
      </c>
      <c r="BN23" s="24">
        <f t="shared" si="15"/>
        <v>9.9247436739229256E-2</v>
      </c>
      <c r="BO23" s="25">
        <f t="shared" si="16"/>
        <v>262314</v>
      </c>
      <c r="BP23" s="213">
        <f t="shared" si="17"/>
        <v>6915</v>
      </c>
      <c r="BQ23">
        <f t="shared" si="18"/>
        <v>1.0290178571428572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20194</v>
      </c>
      <c r="H24" s="19">
        <f>'21'!G8</f>
        <v>20194</v>
      </c>
      <c r="I24" s="19">
        <f>'21'!G7</f>
        <v>20106</v>
      </c>
      <c r="J24" s="19">
        <v>10</v>
      </c>
      <c r="K24" s="242">
        <f t="shared" si="3"/>
        <v>201940</v>
      </c>
      <c r="L24" s="238">
        <f t="shared" si="4"/>
        <v>99.534653465346537</v>
      </c>
      <c r="M24" s="19">
        <f>'21'!G15</f>
        <v>940</v>
      </c>
      <c r="N24" s="19">
        <v>35</v>
      </c>
      <c r="O24" s="234">
        <f t="shared" si="5"/>
        <v>32900</v>
      </c>
      <c r="P24" s="19">
        <f>'21'!G20</f>
        <v>231</v>
      </c>
      <c r="Q24" s="19">
        <v>134</v>
      </c>
      <c r="R24" s="239">
        <f t="shared" si="0"/>
        <v>30954</v>
      </c>
      <c r="S24" s="240">
        <f t="shared" si="1"/>
        <v>238.24257425742576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72</v>
      </c>
      <c r="X24" s="22">
        <f>'21'!G96</f>
        <v>27</v>
      </c>
      <c r="Y24" s="22">
        <f>'21'!G97</f>
        <v>35</v>
      </c>
      <c r="Z24" s="22">
        <f t="shared" si="7"/>
        <v>134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</v>
      </c>
      <c r="AE24" s="19">
        <f t="shared" si="8"/>
        <v>24</v>
      </c>
      <c r="AF24" s="23">
        <f t="shared" si="2"/>
        <v>4354</v>
      </c>
      <c r="AG24" s="23">
        <f t="shared" si="9"/>
        <v>181.41666666666666</v>
      </c>
      <c r="AH24" s="19">
        <f>'21'!G136</f>
        <v>8.4599999999991269</v>
      </c>
      <c r="AI24" s="19">
        <f>'21'!G137</f>
        <v>0</v>
      </c>
      <c r="AJ24" s="19">
        <f>'21'!G138</f>
        <v>3.5999999999912689</v>
      </c>
      <c r="AK24" s="19">
        <f t="shared" si="10"/>
        <v>12.059999999990396</v>
      </c>
      <c r="AL24" s="19">
        <f>'21'!G139</f>
        <v>8.1500000000000909</v>
      </c>
      <c r="AM24" s="19">
        <f>'21'!G140</f>
        <v>0</v>
      </c>
      <c r="AN24" s="19"/>
      <c r="AO24" s="19">
        <f t="shared" si="11"/>
        <v>8.1500000000000909</v>
      </c>
      <c r="AP24" s="258">
        <f>'21'!G123</f>
        <v>283</v>
      </c>
      <c r="AQ24" s="261">
        <f>'21'!G35</f>
        <v>3035</v>
      </c>
      <c r="AR24" s="19">
        <f>'21'!G37</f>
        <v>1522</v>
      </c>
      <c r="AS24" s="19">
        <f>'21'!G38</f>
        <v>2026</v>
      </c>
      <c r="AT24" s="19">
        <f>'21'!G39</f>
        <v>4214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2354</v>
      </c>
      <c r="AY24" s="23">
        <f>'21'!G44</f>
        <v>0</v>
      </c>
      <c r="AZ24" s="262">
        <f>'21'!G36</f>
        <v>776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69</v>
      </c>
      <c r="BF24" s="19">
        <f>'21'!G55</f>
        <v>0</v>
      </c>
      <c r="BG24" s="19">
        <f>'21'!G56</f>
        <v>4354</v>
      </c>
      <c r="BH24" s="19">
        <f>'21'!G57</f>
        <v>0</v>
      </c>
      <c r="BI24" s="262">
        <f>'21'!G50</f>
        <v>1111</v>
      </c>
      <c r="BJ24" s="401">
        <f t="shared" si="12"/>
        <v>4354</v>
      </c>
      <c r="BK24" s="401">
        <f>'21'!G84</f>
        <v>568</v>
      </c>
      <c r="BL24" s="23">
        <f t="shared" si="13"/>
        <v>48.458171690042775</v>
      </c>
      <c r="BM24" s="23">
        <f t="shared" si="14"/>
        <v>20.958917735999204</v>
      </c>
      <c r="BN24" s="24">
        <f t="shared" si="15"/>
        <v>0.10076594051526908</v>
      </c>
      <c r="BO24" s="25">
        <f t="shared" si="16"/>
        <v>265794</v>
      </c>
      <c r="BP24" s="213">
        <f t="shared" si="17"/>
        <v>7276</v>
      </c>
      <c r="BQ24">
        <f t="shared" si="18"/>
        <v>1.0827380952380952</v>
      </c>
    </row>
    <row r="25" spans="1:69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20360</v>
      </c>
      <c r="H25" s="19">
        <f>'22'!G8</f>
        <v>20360</v>
      </c>
      <c r="I25" s="19">
        <f>'22'!G7</f>
        <v>20271</v>
      </c>
      <c r="J25" s="19">
        <v>10</v>
      </c>
      <c r="K25" s="242">
        <f t="shared" si="3"/>
        <v>203600</v>
      </c>
      <c r="L25" s="238">
        <f t="shared" si="4"/>
        <v>100.35148514851485</v>
      </c>
      <c r="M25" s="19">
        <f>'22'!G15</f>
        <v>935</v>
      </c>
      <c r="N25" s="19">
        <v>35</v>
      </c>
      <c r="O25" s="234">
        <f t="shared" si="5"/>
        <v>32725</v>
      </c>
      <c r="P25" s="19">
        <f>'22'!G20</f>
        <v>201</v>
      </c>
      <c r="Q25" s="19">
        <v>134</v>
      </c>
      <c r="R25" s="239">
        <f t="shared" si="0"/>
        <v>26934</v>
      </c>
      <c r="S25" s="240">
        <f t="shared" si="1"/>
        <v>261.85513288170921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107</v>
      </c>
      <c r="X25" s="22">
        <f>'22'!G96</f>
        <v>21</v>
      </c>
      <c r="Y25" s="22">
        <f>'22'!G97</f>
        <v>17</v>
      </c>
      <c r="Z25" s="22">
        <f t="shared" si="7"/>
        <v>145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</v>
      </c>
      <c r="AE25" s="19">
        <f t="shared" si="8"/>
        <v>24</v>
      </c>
      <c r="AF25" s="23">
        <f t="shared" si="2"/>
        <v>4684</v>
      </c>
      <c r="AG25" s="23">
        <f t="shared" si="9"/>
        <v>195.16666666666666</v>
      </c>
      <c r="AH25" s="19">
        <f>'22'!G136</f>
        <v>10.490000000001601</v>
      </c>
      <c r="AI25" s="19">
        <f>'22'!G137</f>
        <v>0</v>
      </c>
      <c r="AJ25" s="19">
        <f>'22'!G138</f>
        <v>4.7300000000104774</v>
      </c>
      <c r="AK25" s="19">
        <f t="shared" si="10"/>
        <v>15.220000000012078</v>
      </c>
      <c r="AL25" s="19">
        <f>'22'!G139</f>
        <v>7.2999999999999545</v>
      </c>
      <c r="AM25" s="19">
        <f>'22'!G140</f>
        <v>0</v>
      </c>
      <c r="AN25" s="19"/>
      <c r="AO25" s="19">
        <f t="shared" si="11"/>
        <v>7.2999999999999545</v>
      </c>
      <c r="AP25" s="258">
        <f>'22'!G123</f>
        <v>252</v>
      </c>
      <c r="AQ25" s="261">
        <f>'22'!G35</f>
        <v>2796</v>
      </c>
      <c r="AR25" s="19">
        <f>'22'!G37</f>
        <v>1467</v>
      </c>
      <c r="AS25" s="19">
        <f>'22'!G38</f>
        <v>2080</v>
      </c>
      <c r="AT25" s="19">
        <f>'22'!G39</f>
        <v>4115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2349</v>
      </c>
      <c r="AY25" s="23">
        <f>'22'!G44</f>
        <v>0</v>
      </c>
      <c r="AZ25" s="262">
        <f>'22'!G36</f>
        <v>729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70</v>
      </c>
      <c r="BF25" s="19">
        <f>'22'!G55</f>
        <v>0</v>
      </c>
      <c r="BG25" s="19">
        <f>'22'!G56</f>
        <v>4684</v>
      </c>
      <c r="BH25" s="19">
        <f>'22'!G57</f>
        <v>0</v>
      </c>
      <c r="BI25" s="262">
        <f>'22'!G50</f>
        <v>1196</v>
      </c>
      <c r="BJ25" s="401">
        <f t="shared" si="12"/>
        <v>4684</v>
      </c>
      <c r="BK25" s="401">
        <f>'22'!G84</f>
        <v>565</v>
      </c>
      <c r="BL25" s="23">
        <f t="shared" si="13"/>
        <v>48.487987765773767</v>
      </c>
      <c r="BM25" s="23">
        <f t="shared" si="14"/>
        <v>20.299935868975382</v>
      </c>
      <c r="BN25" s="24">
        <f t="shared" si="15"/>
        <v>0.10260963938631543</v>
      </c>
      <c r="BO25" s="25">
        <f t="shared" si="16"/>
        <v>263259</v>
      </c>
      <c r="BP25" s="213">
        <f t="shared" si="17"/>
        <v>7598</v>
      </c>
      <c r="BQ25">
        <f t="shared" si="18"/>
        <v>1.130654761904762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0.57999999999999996</v>
      </c>
      <c r="G26" s="19">
        <f>'23'!G8</f>
        <v>21404</v>
      </c>
      <c r="H26" s="19">
        <f>'23'!G8</f>
        <v>21404</v>
      </c>
      <c r="I26" s="19">
        <f>'23'!G7</f>
        <v>21273</v>
      </c>
      <c r="J26" s="19">
        <v>10</v>
      </c>
      <c r="K26" s="242">
        <f t="shared" si="3"/>
        <v>214040</v>
      </c>
      <c r="L26" s="238">
        <f t="shared" si="4"/>
        <v>105.31188118811882</v>
      </c>
      <c r="M26" s="19">
        <f>'23'!G15</f>
        <v>972.81000000005588</v>
      </c>
      <c r="N26" s="19">
        <v>35</v>
      </c>
      <c r="O26" s="234">
        <f t="shared" si="5"/>
        <v>34048.350000001956</v>
      </c>
      <c r="P26" s="19">
        <f>'23'!G20</f>
        <v>211</v>
      </c>
      <c r="Q26" s="19">
        <v>134</v>
      </c>
      <c r="R26" s="239">
        <f t="shared" si="0"/>
        <v>28274</v>
      </c>
      <c r="S26" s="240">
        <f t="shared" si="1"/>
        <v>180.0955957664732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101</v>
      </c>
      <c r="X26" s="22">
        <f>'23'!G96</f>
        <v>18</v>
      </c>
      <c r="Y26" s="22">
        <f>'23'!G97</f>
        <v>14</v>
      </c>
      <c r="Z26" s="22">
        <f t="shared" si="7"/>
        <v>133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24.479999999999563</v>
      </c>
      <c r="AE26" s="19">
        <f t="shared" si="8"/>
        <v>24.479999999999563</v>
      </c>
      <c r="AF26" s="23">
        <f t="shared" si="2"/>
        <v>5151</v>
      </c>
      <c r="AG26" s="23">
        <f t="shared" si="9"/>
        <v>210.41666666667041</v>
      </c>
      <c r="AH26" s="19">
        <f>'23'!G136</f>
        <v>9.5099999999983993</v>
      </c>
      <c r="AI26" s="19">
        <f>'23'!G137</f>
        <v>0</v>
      </c>
      <c r="AJ26" s="19">
        <f>'23'!G138</f>
        <v>5.9400000000023283</v>
      </c>
      <c r="AK26" s="19">
        <f t="shared" si="10"/>
        <v>15.450000000000728</v>
      </c>
      <c r="AL26" s="19">
        <f>'23'!G139</f>
        <v>7.2300000000000182</v>
      </c>
      <c r="AM26" s="19">
        <f>'23'!G140</f>
        <v>0</v>
      </c>
      <c r="AN26" s="19"/>
      <c r="AO26" s="19">
        <f t="shared" si="11"/>
        <v>7.2300000000000182</v>
      </c>
      <c r="AP26" s="258">
        <f>'23'!G123</f>
        <v>252</v>
      </c>
      <c r="AQ26" s="261">
        <f>'23'!G35</f>
        <v>3006</v>
      </c>
      <c r="AR26" s="19">
        <f>'23'!G37</f>
        <v>1462</v>
      </c>
      <c r="AS26" s="19">
        <f>'23'!G38</f>
        <v>2020</v>
      </c>
      <c r="AT26" s="19">
        <f>'23'!G39</f>
        <v>4149.8300000000017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2348</v>
      </c>
      <c r="AY26" s="23">
        <f>'23'!G44</f>
        <v>0</v>
      </c>
      <c r="AZ26" s="262">
        <f>'23'!G36</f>
        <v>911</v>
      </c>
      <c r="BA26" s="261">
        <f>'23'!G49</f>
        <v>0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70</v>
      </c>
      <c r="BF26" s="19">
        <f>'23'!G55</f>
        <v>0</v>
      </c>
      <c r="BG26" s="19">
        <f>'23'!G56</f>
        <v>5151</v>
      </c>
      <c r="BH26" s="19">
        <f>'23'!G57</f>
        <v>0</v>
      </c>
      <c r="BI26" s="262">
        <f>'23'!G50</f>
        <v>1384.710000000021</v>
      </c>
      <c r="BJ26" s="401">
        <f t="shared" si="12"/>
        <v>5151</v>
      </c>
      <c r="BK26" s="401">
        <f>'23'!G84</f>
        <v>533</v>
      </c>
      <c r="BL26" s="23">
        <f t="shared" si="13"/>
        <v>49.381845531894889</v>
      </c>
      <c r="BM26" s="23">
        <f t="shared" si="14"/>
        <v>19.507497767122654</v>
      </c>
      <c r="BN26" s="24">
        <f t="shared" si="15"/>
        <v>9.4956047572039681E-2</v>
      </c>
      <c r="BO26" s="25">
        <f t="shared" si="16"/>
        <v>276362.35000000196</v>
      </c>
      <c r="BP26" s="213">
        <f t="shared" si="17"/>
        <v>8032</v>
      </c>
      <c r="BQ26">
        <f t="shared" si="18"/>
        <v>1.1718020541550163</v>
      </c>
    </row>
    <row r="27" spans="1:69">
      <c r="A27" s="16">
        <v>24</v>
      </c>
      <c r="B27" s="17">
        <v>24</v>
      </c>
      <c r="C27" s="28"/>
      <c r="D27" s="19">
        <f>'24'!D3</f>
        <v>29</v>
      </c>
      <c r="E27" s="256">
        <f>'24'!D4</f>
        <v>0.78</v>
      </c>
      <c r="F27" s="256">
        <f>'24'!D2</f>
        <v>0.55000000000000004</v>
      </c>
      <c r="G27" s="19">
        <f>'24'!G8</f>
        <v>22956</v>
      </c>
      <c r="H27" s="19">
        <f>'24'!G8</f>
        <v>22956</v>
      </c>
      <c r="I27" s="19">
        <f>'24'!G7</f>
        <v>22810</v>
      </c>
      <c r="J27" s="19">
        <v>10</v>
      </c>
      <c r="K27" s="242">
        <f t="shared" si="3"/>
        <v>229560</v>
      </c>
      <c r="L27" s="238">
        <f t="shared" si="4"/>
        <v>112.92079207920793</v>
      </c>
      <c r="M27" s="19">
        <f>'24'!G15</f>
        <v>787.75</v>
      </c>
      <c r="N27" s="19">
        <v>35</v>
      </c>
      <c r="O27" s="234">
        <f t="shared" si="5"/>
        <v>27571.25</v>
      </c>
      <c r="P27" s="19">
        <f>'24'!G20</f>
        <v>192</v>
      </c>
      <c r="Q27" s="19">
        <v>134</v>
      </c>
      <c r="R27" s="239">
        <f t="shared" si="0"/>
        <v>25728</v>
      </c>
      <c r="S27" s="240">
        <f t="shared" si="1"/>
        <v>172.81728172817282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13</v>
      </c>
      <c r="Y27" s="22">
        <f>'24'!G97</f>
        <v>18</v>
      </c>
      <c r="Z27" s="22">
        <f t="shared" si="7"/>
        <v>102</v>
      </c>
      <c r="AA27" s="19">
        <f>'24'!G132</f>
        <v>0</v>
      </c>
      <c r="AB27" s="19">
        <f>'24'!G133</f>
        <v>0</v>
      </c>
      <c r="AC27" s="19">
        <f>'24'!G134</f>
        <v>10.040000000000873</v>
      </c>
      <c r="AD27" s="19">
        <f>'24'!G135</f>
        <v>16.880000000001019</v>
      </c>
      <c r="AE27" s="19">
        <f t="shared" si="8"/>
        <v>26.920000000001892</v>
      </c>
      <c r="AF27" s="23">
        <f t="shared" si="2"/>
        <v>5857</v>
      </c>
      <c r="AG27" s="23">
        <f t="shared" si="9"/>
        <v>217.57057949478411</v>
      </c>
      <c r="AH27" s="19">
        <f>'24'!G136</f>
        <v>0</v>
      </c>
      <c r="AI27" s="19">
        <f>'24'!G137</f>
        <v>7.75</v>
      </c>
      <c r="AJ27" s="19">
        <f>'24'!G138</f>
        <v>1.1499999999941792</v>
      </c>
      <c r="AK27" s="19">
        <f t="shared" si="10"/>
        <v>8.8999999999941792</v>
      </c>
      <c r="AL27" s="19">
        <f>'24'!G139</f>
        <v>7.5999999999999091</v>
      </c>
      <c r="AM27" s="19">
        <f>'24'!G140</f>
        <v>0</v>
      </c>
      <c r="AN27" s="19"/>
      <c r="AO27" s="19">
        <f t="shared" si="11"/>
        <v>7.5999999999999091</v>
      </c>
      <c r="AP27" s="258">
        <f>'24'!G123</f>
        <v>260</v>
      </c>
      <c r="AQ27" s="261">
        <f>'24'!G35</f>
        <v>3198</v>
      </c>
      <c r="AR27" s="19">
        <f>'24'!G37</f>
        <v>1506</v>
      </c>
      <c r="AS27" s="19">
        <f>'24'!G38</f>
        <v>2074</v>
      </c>
      <c r="AT27" s="19">
        <f>'24'!G39</f>
        <v>4084.1699999999983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2469</v>
      </c>
      <c r="AY27" s="23">
        <f>'24'!G44</f>
        <v>0</v>
      </c>
      <c r="AZ27" s="262">
        <f>'24'!G36</f>
        <v>1101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0</v>
      </c>
      <c r="BE27" s="19">
        <f>'24'!G54</f>
        <v>68</v>
      </c>
      <c r="BF27" s="19">
        <f>'24'!G55</f>
        <v>2321</v>
      </c>
      <c r="BG27" s="19">
        <f>'24'!G56</f>
        <v>3536</v>
      </c>
      <c r="BH27" s="19">
        <f>'24'!G57</f>
        <v>0</v>
      </c>
      <c r="BI27" s="262">
        <f>'24'!G50</f>
        <v>1749.289999999979</v>
      </c>
      <c r="BJ27" s="401">
        <f t="shared" si="12"/>
        <v>5857</v>
      </c>
      <c r="BK27" s="401">
        <f>'24'!G84</f>
        <v>602</v>
      </c>
      <c r="BL27" s="23">
        <f t="shared" si="13"/>
        <v>50.521701008329678</v>
      </c>
      <c r="BM27" s="23">
        <f t="shared" si="14"/>
        <v>17.905173169662422</v>
      </c>
      <c r="BN27" s="24">
        <f t="shared" si="15"/>
        <v>9.0925032880315657E-2</v>
      </c>
      <c r="BO27" s="25">
        <f t="shared" si="16"/>
        <v>282859.25</v>
      </c>
      <c r="BP27" s="213">
        <f t="shared" si="17"/>
        <v>8928</v>
      </c>
      <c r="BQ27">
        <f t="shared" si="18"/>
        <v>1.1844618976861829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20694</v>
      </c>
      <c r="H28" s="19">
        <f>'25'!G8</f>
        <v>20694</v>
      </c>
      <c r="I28" s="19">
        <f>'25'!G7</f>
        <v>20603</v>
      </c>
      <c r="J28" s="19">
        <v>10</v>
      </c>
      <c r="K28" s="242">
        <f t="shared" si="3"/>
        <v>206940</v>
      </c>
      <c r="L28" s="238">
        <f t="shared" si="4"/>
        <v>101.9950495049505</v>
      </c>
      <c r="M28" s="19">
        <f>'25'!G15</f>
        <v>861.98999999999069</v>
      </c>
      <c r="N28" s="19">
        <v>35</v>
      </c>
      <c r="O28" s="234">
        <f t="shared" si="5"/>
        <v>30169.649999999674</v>
      </c>
      <c r="P28" s="19">
        <f>'25'!G20</f>
        <v>192</v>
      </c>
      <c r="Q28" s="19">
        <v>134</v>
      </c>
      <c r="R28" s="239">
        <f t="shared" si="0"/>
        <v>25728</v>
      </c>
      <c r="S28" s="240">
        <f t="shared" si="1"/>
        <v>176.01760176017598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103</v>
      </c>
      <c r="X28" s="22">
        <f>'25'!G96</f>
        <v>14</v>
      </c>
      <c r="Y28" s="22">
        <f>'25'!G97</f>
        <v>15</v>
      </c>
      <c r="Z28" s="22">
        <f t="shared" si="7"/>
        <v>132</v>
      </c>
      <c r="AA28" s="19">
        <f>'25'!G132</f>
        <v>0</v>
      </c>
      <c r="AB28" s="19">
        <f>'25'!G133</f>
        <v>0</v>
      </c>
      <c r="AC28" s="19">
        <f>'25'!G134</f>
        <v>24.440000000002328</v>
      </c>
      <c r="AD28" s="19">
        <f>'25'!G135</f>
        <v>-0.36000000000058208</v>
      </c>
      <c r="AE28" s="19">
        <f t="shared" si="8"/>
        <v>24.080000000001746</v>
      </c>
      <c r="AF28" s="23">
        <f t="shared" si="2"/>
        <v>5048</v>
      </c>
      <c r="AG28" s="23">
        <f t="shared" si="9"/>
        <v>209.6345514950014</v>
      </c>
      <c r="AH28" s="19">
        <f>'24'!G136</f>
        <v>0</v>
      </c>
      <c r="AI28" s="19">
        <f>'24'!G137</f>
        <v>7.75</v>
      </c>
      <c r="AJ28" s="19">
        <f>'24'!G138</f>
        <v>1.1499999999941792</v>
      </c>
      <c r="AK28" s="19">
        <f t="shared" si="10"/>
        <v>8.8999999999941792</v>
      </c>
      <c r="AL28" s="19">
        <f>'23'!G139</f>
        <v>7.2300000000000182</v>
      </c>
      <c r="AM28" s="19">
        <f>'24'!G140</f>
        <v>0</v>
      </c>
      <c r="AN28" s="19"/>
      <c r="AO28" s="19">
        <f t="shared" si="11"/>
        <v>7.2300000000000182</v>
      </c>
      <c r="AP28" s="258">
        <f>'25'!G123</f>
        <v>265</v>
      </c>
      <c r="AQ28" s="261">
        <f>'25'!G35</f>
        <v>3189</v>
      </c>
      <c r="AR28" s="19">
        <f>'25'!G37</f>
        <v>1492</v>
      </c>
      <c r="AS28" s="19">
        <f>'25'!G38</f>
        <v>1987</v>
      </c>
      <c r="AT28" s="19">
        <f>'25'!G39</f>
        <v>4098</v>
      </c>
      <c r="AU28" s="19">
        <f>'25'!G40</f>
        <v>0</v>
      </c>
      <c r="AV28" s="19">
        <f>'25'!G41</f>
        <v>0</v>
      </c>
      <c r="AW28" s="19"/>
      <c r="AX28" s="19">
        <f>'25'!G43</f>
        <v>2279</v>
      </c>
      <c r="AY28" s="23">
        <f>'25'!G44</f>
        <v>0</v>
      </c>
      <c r="AZ28" s="262">
        <f>'25'!G36</f>
        <v>743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0</v>
      </c>
      <c r="BE28" s="19">
        <f>'24'!G54</f>
        <v>68</v>
      </c>
      <c r="BF28" s="19">
        <f>'25'!G55</f>
        <v>5048</v>
      </c>
      <c r="BG28" s="19">
        <f>'25'!G56</f>
        <v>0</v>
      </c>
      <c r="BH28" s="19">
        <f>'25'!G57</f>
        <v>0</v>
      </c>
      <c r="BI28" s="262">
        <f>'25'!G50</f>
        <v>1200</v>
      </c>
      <c r="BJ28" s="401">
        <f t="shared" si="12"/>
        <v>5048</v>
      </c>
      <c r="BK28" s="401">
        <f>'25'!G84</f>
        <v>554</v>
      </c>
      <c r="BL28" s="23">
        <f t="shared" si="13"/>
        <v>51.041110517885741</v>
      </c>
      <c r="BM28" s="23">
        <f t="shared" si="14"/>
        <v>19.890307236810173</v>
      </c>
      <c r="BN28" s="24">
        <f t="shared" si="15"/>
        <v>9.6442265689462695E-2</v>
      </c>
      <c r="BO28" s="25">
        <f t="shared" si="16"/>
        <v>262837.64999999967</v>
      </c>
      <c r="BP28" s="213">
        <f t="shared" si="17"/>
        <v>7881</v>
      </c>
      <c r="BQ28">
        <f t="shared" si="18"/>
        <v>1.168871618414723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20381</v>
      </c>
      <c r="H29" s="19">
        <f>'26'!G8</f>
        <v>20381</v>
      </c>
      <c r="I29" s="19">
        <f>'26'!G7</f>
        <v>20278</v>
      </c>
      <c r="J29" s="19">
        <v>10</v>
      </c>
      <c r="K29" s="242">
        <f t="shared" si="3"/>
        <v>203810</v>
      </c>
      <c r="L29" s="238">
        <f t="shared" si="4"/>
        <v>100.38613861386139</v>
      </c>
      <c r="M29" s="19">
        <f>'26'!G15</f>
        <v>838.44999999995343</v>
      </c>
      <c r="N29" s="19">
        <v>35</v>
      </c>
      <c r="O29" s="234">
        <f t="shared" si="5"/>
        <v>29345.74999999837</v>
      </c>
      <c r="P29" s="19">
        <f>'26'!G20</f>
        <v>171</v>
      </c>
      <c r="Q29" s="19">
        <v>134</v>
      </c>
      <c r="R29" s="239">
        <f t="shared" si="0"/>
        <v>22914</v>
      </c>
      <c r="S29" s="240">
        <f t="shared" si="1"/>
        <v>156.76567656765673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79</v>
      </c>
      <c r="X29" s="22">
        <f>'26'!G96</f>
        <v>12</v>
      </c>
      <c r="Y29" s="22">
        <f>'26'!G97</f>
        <v>19</v>
      </c>
      <c r="Z29" s="22">
        <f t="shared" si="7"/>
        <v>110</v>
      </c>
      <c r="AA29" s="19">
        <f>'26'!G132</f>
        <v>0</v>
      </c>
      <c r="AB29" s="19">
        <f>'26'!G133</f>
        <v>0</v>
      </c>
      <c r="AC29" s="19">
        <f>'26'!G134</f>
        <v>24.120000000002619</v>
      </c>
      <c r="AD29" s="19">
        <f>'26'!G135</f>
        <v>0</v>
      </c>
      <c r="AE29" s="19">
        <f t="shared" si="8"/>
        <v>24.120000000002619</v>
      </c>
      <c r="AF29" s="23">
        <f t="shared" si="2"/>
        <v>5077</v>
      </c>
      <c r="AG29" s="23">
        <f t="shared" si="9"/>
        <v>210.48922056382457</v>
      </c>
      <c r="AH29" s="19">
        <f>'26'!G136</f>
        <v>8.5999999999985448</v>
      </c>
      <c r="AI29" s="19">
        <f>'26'!G137</f>
        <v>0.31000000000130967</v>
      </c>
      <c r="AJ29" s="19">
        <f>'26'!G138</f>
        <v>4.8099999999976717</v>
      </c>
      <c r="AK29" s="19">
        <f t="shared" si="10"/>
        <v>13.719999999997526</v>
      </c>
      <c r="AL29" s="19">
        <f>'26'!G139</f>
        <v>7.2400000000000091</v>
      </c>
      <c r="AM29" s="19">
        <f>'26'!G140</f>
        <v>0</v>
      </c>
      <c r="AN29" s="19"/>
      <c r="AO29" s="19">
        <f t="shared" si="11"/>
        <v>7.2400000000000091</v>
      </c>
      <c r="AP29" s="258">
        <f>'26'!G123</f>
        <v>251</v>
      </c>
      <c r="AQ29" s="261">
        <f>'26'!G35</f>
        <v>3115</v>
      </c>
      <c r="AR29" s="19">
        <f>'26'!G37</f>
        <v>1421</v>
      </c>
      <c r="AS29" s="19">
        <f>'26'!G38</f>
        <v>1988</v>
      </c>
      <c r="AT29" s="19">
        <f>'26'!G39</f>
        <v>4202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2292</v>
      </c>
      <c r="AY29" s="23">
        <f>'26'!G44</f>
        <v>0</v>
      </c>
      <c r="AZ29" s="262">
        <f>'26'!G36</f>
        <v>610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72</v>
      </c>
      <c r="BF29" s="19">
        <f>'26'!G55</f>
        <v>5077</v>
      </c>
      <c r="BG29" s="19">
        <f>'26'!G56</f>
        <v>0</v>
      </c>
      <c r="BH29" s="19">
        <f>'26'!G57</f>
        <v>0</v>
      </c>
      <c r="BI29" s="262">
        <f>'26'!G50</f>
        <v>1005</v>
      </c>
      <c r="BJ29" s="401">
        <f t="shared" si="12"/>
        <v>5077</v>
      </c>
      <c r="BK29" s="401">
        <f>'26'!G84</f>
        <v>617</v>
      </c>
      <c r="BL29" s="23">
        <f t="shared" si="13"/>
        <v>51.701351218068844</v>
      </c>
      <c r="BM29" s="23">
        <f t="shared" si="14"/>
        <v>20.721964690797908</v>
      </c>
      <c r="BN29" s="24">
        <f t="shared" si="15"/>
        <v>9.8037281783213331E-2</v>
      </c>
      <c r="BO29" s="25">
        <f t="shared" si="16"/>
        <v>256069.74999999837</v>
      </c>
      <c r="BP29" s="213">
        <f t="shared" si="17"/>
        <v>7986</v>
      </c>
      <c r="BQ29">
        <f t="shared" si="18"/>
        <v>1.1824804548683863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20698</v>
      </c>
      <c r="H30" s="19">
        <f>'27'!G8</f>
        <v>20698</v>
      </c>
      <c r="I30" s="19">
        <f>'27'!G7</f>
        <v>20601</v>
      </c>
      <c r="J30" s="19">
        <v>10</v>
      </c>
      <c r="K30" s="242">
        <f t="shared" si="3"/>
        <v>206980</v>
      </c>
      <c r="L30" s="238">
        <f t="shared" si="4"/>
        <v>101.98514851485149</v>
      </c>
      <c r="M30" s="19">
        <f>'27'!G15</f>
        <v>961.60299999988638</v>
      </c>
      <c r="N30" s="19">
        <v>35</v>
      </c>
      <c r="O30" s="234">
        <f t="shared" si="5"/>
        <v>33656.104999996023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85</v>
      </c>
      <c r="X30" s="22">
        <f>'27'!G96</f>
        <v>16</v>
      </c>
      <c r="Y30" s="22">
        <f>'27'!G97</f>
        <v>31</v>
      </c>
      <c r="Z30" s="22">
        <f t="shared" si="7"/>
        <v>132</v>
      </c>
      <c r="AA30" s="19">
        <f>'27'!G132</f>
        <v>0</v>
      </c>
      <c r="AB30" s="19">
        <f>'27'!G133</f>
        <v>0</v>
      </c>
      <c r="AC30" s="19">
        <f>'27'!G134</f>
        <v>23.879999999997381</v>
      </c>
      <c r="AD30" s="19">
        <f>'27'!G135</f>
        <v>0</v>
      </c>
      <c r="AE30" s="19">
        <f t="shared" si="8"/>
        <v>23.879999999997381</v>
      </c>
      <c r="AF30" s="23">
        <f t="shared" si="2"/>
        <v>5238.6600000000471</v>
      </c>
      <c r="AG30" s="23">
        <f t="shared" si="9"/>
        <v>219.37437185932251</v>
      </c>
      <c r="AH30" s="19">
        <f>'27'!G136</f>
        <v>11.940000000002328</v>
      </c>
      <c r="AI30" s="19">
        <f>'27'!G137</f>
        <v>0</v>
      </c>
      <c r="AJ30" s="19">
        <f>'27'!G138</f>
        <v>4.0899999999965075</v>
      </c>
      <c r="AK30" s="19">
        <f t="shared" si="10"/>
        <v>16.029999999998836</v>
      </c>
      <c r="AL30" s="19">
        <f>'27'!G139</f>
        <v>7.2999999999999545</v>
      </c>
      <c r="AM30" s="19">
        <f>'27'!G140</f>
        <v>0</v>
      </c>
      <c r="AN30" s="19"/>
      <c r="AO30" s="19">
        <f t="shared" si="11"/>
        <v>7.2999999999999545</v>
      </c>
      <c r="AP30" s="258">
        <f>'27'!G123</f>
        <v>252.09799999999814</v>
      </c>
      <c r="AQ30" s="261">
        <f>'27'!G35</f>
        <v>3121.3499999999767</v>
      </c>
      <c r="AR30" s="19">
        <f>'27'!G37</f>
        <v>1490.0699999999997</v>
      </c>
      <c r="AS30" s="19">
        <f>'27'!G38</f>
        <v>2224.7549999999974</v>
      </c>
      <c r="AT30" s="19">
        <f>'27'!G39</f>
        <v>4175.4499999999971</v>
      </c>
      <c r="AU30" s="19">
        <f>'27'!G40</f>
        <v>0</v>
      </c>
      <c r="AV30" s="19">
        <f>'27'!G41</f>
        <v>0.37000000000261934</v>
      </c>
      <c r="AW30" s="19">
        <f>'27'!G42</f>
        <v>-0.15000000000145519</v>
      </c>
      <c r="AX30" s="19">
        <f>'27'!G43</f>
        <v>2278.2299999999814</v>
      </c>
      <c r="AY30" s="23">
        <f>'27'!G44</f>
        <v>0</v>
      </c>
      <c r="AZ30" s="262">
        <f>'27'!G36</f>
        <v>562.3300000000163</v>
      </c>
      <c r="BA30" s="261">
        <f>'27'!G49</f>
        <v>0.13000000000465661</v>
      </c>
      <c r="BB30" s="19">
        <f>'27'!G51</f>
        <v>-8.000000000174623E-2</v>
      </c>
      <c r="BC30" s="19">
        <f>'27'!G52</f>
        <v>-0.28999999997904524</v>
      </c>
      <c r="BD30" s="19">
        <f>'27'!G53</f>
        <v>-0.48999999999068677</v>
      </c>
      <c r="BE30" s="19">
        <f>'27'!G54</f>
        <v>69.470000000000255</v>
      </c>
      <c r="BF30" s="19">
        <f>'27'!G55</f>
        <v>5217.8899999999994</v>
      </c>
      <c r="BG30" s="19">
        <f>'27'!G56</f>
        <v>20.550000000046566</v>
      </c>
      <c r="BH30" s="19">
        <f>'27'!G57</f>
        <v>0.32999999999992724</v>
      </c>
      <c r="BI30" s="262">
        <f>'27'!G50</f>
        <v>972.27000000001863</v>
      </c>
      <c r="BJ30" s="401">
        <f t="shared" si="12"/>
        <v>5238.6600000000471</v>
      </c>
      <c r="BK30" s="401">
        <f>'27'!G84</f>
        <v>672</v>
      </c>
      <c r="BL30" s="23">
        <f t="shared" si="13"/>
        <v>51.641667880200039</v>
      </c>
      <c r="BM30" s="23">
        <f t="shared" si="14"/>
        <v>20.265812339206867</v>
      </c>
      <c r="BN30" s="24">
        <f t="shared" si="15"/>
        <v>0.10797849618950625</v>
      </c>
      <c r="BO30" s="25">
        <f t="shared" si="16"/>
        <v>271992.10499999602</v>
      </c>
      <c r="BP30" s="213">
        <f t="shared" si="17"/>
        <v>8189.2200000000284</v>
      </c>
      <c r="BQ30">
        <f t="shared" si="18"/>
        <v>1.2247577171573532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21942</v>
      </c>
      <c r="H31" s="19">
        <f>'28'!G8</f>
        <v>21942</v>
      </c>
      <c r="I31" s="19">
        <f>'28'!G7</f>
        <v>21818</v>
      </c>
      <c r="J31" s="19">
        <v>10</v>
      </c>
      <c r="K31" s="242">
        <f t="shared" si="3"/>
        <v>219420</v>
      </c>
      <c r="L31" s="238">
        <f t="shared" si="4"/>
        <v>108.00990099009901</v>
      </c>
      <c r="M31" s="19">
        <f>'28'!G15</f>
        <v>1060.0070000002161</v>
      </c>
      <c r="N31" s="19">
        <v>35</v>
      </c>
      <c r="O31" s="234">
        <f t="shared" si="5"/>
        <v>37100.245000007562</v>
      </c>
      <c r="P31" s="19">
        <f>'28'!G20</f>
        <v>222</v>
      </c>
      <c r="Q31" s="19">
        <v>134</v>
      </c>
      <c r="R31" s="239">
        <f t="shared" si="0"/>
        <v>29748</v>
      </c>
      <c r="S31" s="240">
        <f t="shared" si="1"/>
        <v>211.34805788271134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90</v>
      </c>
      <c r="X31" s="22">
        <f>'28'!G96</f>
        <v>40</v>
      </c>
      <c r="Y31" s="22">
        <f>'28'!G97</f>
        <v>30</v>
      </c>
      <c r="Z31" s="22">
        <f t="shared" si="7"/>
        <v>160</v>
      </c>
      <c r="AA31" s="19">
        <f>'28'!G132</f>
        <v>-0.48000000000320142</v>
      </c>
      <c r="AB31" s="19">
        <f>'28'!G133</f>
        <v>0.48000000000001819</v>
      </c>
      <c r="AC31" s="19">
        <f>'28'!G134</f>
        <v>24.139999999999418</v>
      </c>
      <c r="AD31" s="19">
        <f>'28'!G135</f>
        <v>0</v>
      </c>
      <c r="AE31" s="19">
        <f t="shared" si="8"/>
        <v>24.139999999996235</v>
      </c>
      <c r="AF31" s="23">
        <f t="shared" si="2"/>
        <v>5659.2799999999843</v>
      </c>
      <c r="AG31" s="23">
        <f t="shared" si="9"/>
        <v>234.43579121793152</v>
      </c>
      <c r="AH31" s="19">
        <f>'28'!G136</f>
        <v>9.6699999999982538</v>
      </c>
      <c r="AI31" s="19">
        <f>'28'!G137</f>
        <v>0</v>
      </c>
      <c r="AJ31" s="19">
        <f>'28'!G138</f>
        <v>5.4400000000023283</v>
      </c>
      <c r="AK31" s="19">
        <f t="shared" si="10"/>
        <v>15.110000000000582</v>
      </c>
      <c r="AL31" s="19">
        <f>'28'!G139</f>
        <v>7.8400000000001455</v>
      </c>
      <c r="AM31" s="19">
        <f>'28'!G140</f>
        <v>0.47000000000025466</v>
      </c>
      <c r="AN31" s="19"/>
      <c r="AO31" s="19">
        <f t="shared" si="11"/>
        <v>8.3100000000004002</v>
      </c>
      <c r="AP31" s="258">
        <f>'28'!G123</f>
        <v>273.74199999996927</v>
      </c>
      <c r="AQ31" s="261">
        <f>'28'!G35</f>
        <v>3316.2399999999907</v>
      </c>
      <c r="AR31" s="19">
        <f>'28'!G37</f>
        <v>1486.0299999999988</v>
      </c>
      <c r="AS31" s="19">
        <f>'28'!G38</f>
        <v>2272.7350000000006</v>
      </c>
      <c r="AT31" s="19">
        <f>'28'!G39</f>
        <v>4370.9400000000023</v>
      </c>
      <c r="AU31" s="19">
        <f>'28'!G40</f>
        <v>0</v>
      </c>
      <c r="AV31" s="19">
        <f>'28'!G41</f>
        <v>0</v>
      </c>
      <c r="AW31" s="19">
        <f>'28'!G42</f>
        <v>0</v>
      </c>
      <c r="AX31" s="478">
        <f>'28'!G43</f>
        <v>2391.5999999999767</v>
      </c>
      <c r="AY31" s="23">
        <f>'28'!G44</f>
        <v>0</v>
      </c>
      <c r="AZ31" s="262">
        <f>'28'!G36</f>
        <v>614.23999999999069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70.159999999999854</v>
      </c>
      <c r="BF31" s="19">
        <f>'28'!G55</f>
        <v>5651.8000000000029</v>
      </c>
      <c r="BG31" s="19">
        <f>'28'!G56</f>
        <v>7.4799999999813735</v>
      </c>
      <c r="BH31" s="19">
        <f>'28'!G57</f>
        <v>0</v>
      </c>
      <c r="BI31" s="262">
        <f>'28'!G50</f>
        <v>1090.7600000000093</v>
      </c>
      <c r="BJ31" s="401">
        <f t="shared" si="12"/>
        <v>5659.2799999999843</v>
      </c>
      <c r="BK31" s="401">
        <f>'28'!G84</f>
        <v>739</v>
      </c>
      <c r="BL31" s="23">
        <f>SUM(AQ31,AV31,AW31,AX31,BA31,BF31,BG31,BH31)/I31%</f>
        <v>52.099734164451149</v>
      </c>
      <c r="BM31" s="23">
        <f t="shared" si="14"/>
        <v>20.033641947016235</v>
      </c>
      <c r="BN31" s="24">
        <f t="shared" si="15"/>
        <v>0.10416788889907419</v>
      </c>
      <c r="BO31" s="25">
        <f t="shared" si="16"/>
        <v>286268.24500000756</v>
      </c>
      <c r="BP31" s="213">
        <f t="shared" si="17"/>
        <v>8789.879999999961</v>
      </c>
      <c r="BQ31">
        <f t="shared" si="18"/>
        <v>1.3004320037876276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-598081</v>
      </c>
      <c r="H32" s="19"/>
      <c r="I32" s="19">
        <f>'29'!G7</f>
        <v>-594257</v>
      </c>
      <c r="J32" s="19">
        <v>10</v>
      </c>
      <c r="K32" s="242">
        <f t="shared" si="3"/>
        <v>0</v>
      </c>
      <c r="L32" s="238">
        <f t="shared" si="4"/>
        <v>-2941.8663366336632</v>
      </c>
      <c r="M32" s="19">
        <f>'29'!G15</f>
        <v>-26977.64000000013</v>
      </c>
      <c r="N32" s="19">
        <v>35</v>
      </c>
      <c r="O32" s="234">
        <f t="shared" si="5"/>
        <v>-944217.40000000456</v>
      </c>
      <c r="P32" s="19">
        <f>'29'!G20</f>
        <v>-1425</v>
      </c>
      <c r="Q32" s="19">
        <v>134</v>
      </c>
      <c r="R32" s="239">
        <f t="shared" si="0"/>
        <v>-190950</v>
      </c>
      <c r="S32" s="240">
        <f t="shared" si="1"/>
        <v>-1068.8568856885688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-2403</v>
      </c>
      <c r="X32" s="22">
        <f>'29'!G96</f>
        <v>-862</v>
      </c>
      <c r="Y32" s="22">
        <f>'29'!G97</f>
        <v>-824</v>
      </c>
      <c r="Z32" s="22">
        <f t="shared" si="7"/>
        <v>-4089</v>
      </c>
      <c r="AA32" s="19">
        <f>'29'!G132</f>
        <v>227.54000000000087</v>
      </c>
      <c r="AB32" s="19">
        <f>'29'!G133</f>
        <v>-1</v>
      </c>
      <c r="AC32" s="19">
        <f>'29'!G134</f>
        <v>-416.13999999999942</v>
      </c>
      <c r="AD32" s="19">
        <f>'29'!G135</f>
        <v>-148</v>
      </c>
      <c r="AE32" s="19">
        <f t="shared" si="8"/>
        <v>-337.59999999999854</v>
      </c>
      <c r="AF32" s="23">
        <f t="shared" si="2"/>
        <v>-133650.94000000003</v>
      </c>
      <c r="AG32" s="23">
        <f t="shared" si="9"/>
        <v>395.88548578199232</v>
      </c>
      <c r="AH32" s="19">
        <f>'29'!G136</f>
        <v>-233.47999999999956</v>
      </c>
      <c r="AI32" s="19">
        <f>'29'!G137</f>
        <v>-24.370000000002619</v>
      </c>
      <c r="AJ32" s="19">
        <f>'29'!G138</f>
        <v>-87.559999999997672</v>
      </c>
      <c r="AK32" s="19">
        <f t="shared" si="10"/>
        <v>-345.40999999999985</v>
      </c>
      <c r="AL32" s="19">
        <f>'29'!G139</f>
        <v>-238.72000000000003</v>
      </c>
      <c r="AM32" s="19">
        <f>'29'!G140</f>
        <v>0</v>
      </c>
      <c r="AN32" s="19"/>
      <c r="AO32" s="19">
        <f t="shared" si="11"/>
        <v>-238.72000000000003</v>
      </c>
      <c r="AP32" s="258">
        <f>'29'!G123</f>
        <v>-8223.8499999999767</v>
      </c>
      <c r="AQ32" s="261">
        <f>'29'!G35</f>
        <v>-64059.589999999967</v>
      </c>
      <c r="AR32" s="19">
        <f>'29'!G37</f>
        <v>383003.9</v>
      </c>
      <c r="AS32" s="19">
        <f>'29'!G38</f>
        <v>106900.51000000001</v>
      </c>
      <c r="AT32" s="19">
        <f>'29'!G39</f>
        <v>821804.61</v>
      </c>
      <c r="AU32" s="19">
        <f>'29'!G40</f>
        <v>0</v>
      </c>
      <c r="AV32" s="19">
        <f>'29'!G41</f>
        <v>-26662.370000000003</v>
      </c>
      <c r="AW32" s="19">
        <f>'29'!G42</f>
        <v>-202.84999999999854</v>
      </c>
      <c r="AX32" s="19">
        <f>'29'!G43</f>
        <v>-62735.199999999953</v>
      </c>
      <c r="AY32" s="23">
        <f>'29'!G44</f>
        <v>0</v>
      </c>
      <c r="AZ32" s="262">
        <f>'29'!G36</f>
        <v>-21072.840000000026</v>
      </c>
      <c r="BA32" s="261">
        <f>'29'!G49</f>
        <v>-20746.580000000016</v>
      </c>
      <c r="BB32" s="19">
        <f>'29'!G51</f>
        <v>-13015.919999999998</v>
      </c>
      <c r="BC32" s="19">
        <f>'29'!G52</f>
        <v>-18110.710000000021</v>
      </c>
      <c r="BD32" s="19">
        <f>'29'!G53</f>
        <v>-35921.540000000037</v>
      </c>
      <c r="BE32" s="19">
        <f>'29'!G54</f>
        <v>-1866.83</v>
      </c>
      <c r="BF32" s="19">
        <f>'29'!G55</f>
        <v>-78464.69</v>
      </c>
      <c r="BG32" s="19">
        <f>'29'!G56</f>
        <v>-28321.030000000028</v>
      </c>
      <c r="BH32" s="19">
        <f>'29'!G57</f>
        <v>-7711.33</v>
      </c>
      <c r="BI32" s="262">
        <f>'29'!G50</f>
        <v>-35982.060000000056</v>
      </c>
      <c r="BJ32" s="401">
        <f t="shared" si="12"/>
        <v>-133650.94000000003</v>
      </c>
      <c r="BK32" s="401">
        <f>'29'!G84</f>
        <v>-15718</v>
      </c>
      <c r="BL32" s="23">
        <f t="shared" si="13"/>
        <v>48.615942260671723</v>
      </c>
      <c r="BM32" s="23">
        <f t="shared" si="14"/>
        <v>-132.24632945005274</v>
      </c>
      <c r="BN32" s="24">
        <f t="shared" si="15"/>
        <v>-0.14941313270184448</v>
      </c>
      <c r="BO32" s="25">
        <f t="shared" si="16"/>
        <v>-1135167.4000000046</v>
      </c>
      <c r="BP32" s="213">
        <f t="shared" si="17"/>
        <v>-219815.46999999997</v>
      </c>
      <c r="BQ32">
        <f t="shared" si="18"/>
        <v>2.3254006220379244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/>
      <c r="I33" s="19">
        <f>'30'!G7</f>
        <v>18917</v>
      </c>
      <c r="J33" s="19">
        <v>10</v>
      </c>
      <c r="K33" s="242">
        <f t="shared" si="3"/>
        <v>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-7711.33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-8.4870751176190637</v>
      </c>
      <c r="BM33" s="23">
        <f t="shared" si="14"/>
        <v>0</v>
      </c>
      <c r="BN33" s="24">
        <f t="shared" si="15"/>
        <v>0</v>
      </c>
      <c r="BO33" s="25">
        <f t="shared" si="16"/>
        <v>46285.600000000326</v>
      </c>
      <c r="BP33" s="213">
        <f t="shared" si="17"/>
        <v>-1101.4999999999982</v>
      </c>
      <c r="BQ33">
        <f t="shared" si="18"/>
        <v>-0.16480639176489875</v>
      </c>
    </row>
    <row r="34" spans="1:69">
      <c r="A34" s="16">
        <v>31</v>
      </c>
      <c r="B34" s="27">
        <v>31</v>
      </c>
      <c r="C34" s="28"/>
      <c r="D34" s="19">
        <f>'[2]30'!D34</f>
        <v>0</v>
      </c>
      <c r="E34" s="256" t="str">
        <f>'[2]31'!D5</f>
        <v>Unit</v>
      </c>
      <c r="F34" s="256">
        <f>'[2]31'!D3</f>
        <v>30</v>
      </c>
      <c r="G34" s="19">
        <f>'[2]31'!G8</f>
        <v>19595</v>
      </c>
      <c r="H34" s="19"/>
      <c r="I34" s="19">
        <f>'[2]31'!G7</f>
        <v>19398</v>
      </c>
      <c r="J34" s="19">
        <v>10</v>
      </c>
      <c r="K34" s="242">
        <f t="shared" si="3"/>
        <v>0</v>
      </c>
      <c r="L34" s="238">
        <f t="shared" si="4"/>
        <v>96.029702970297024</v>
      </c>
      <c r="M34" s="19">
        <f>'[2]10'!G15</f>
        <v>827.6500000001397</v>
      </c>
      <c r="N34" s="19">
        <v>35</v>
      </c>
      <c r="O34" s="234">
        <f t="shared" si="5"/>
        <v>28967.750000004889</v>
      </c>
      <c r="P34" s="19">
        <f>'[2]31'!G20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'[2]31'!G24</f>
        <v>0</v>
      </c>
      <c r="U34" s="19">
        <v>69</v>
      </c>
      <c r="V34" s="241">
        <f t="shared" si="6"/>
        <v>0</v>
      </c>
      <c r="W34" s="22">
        <f>'[2]31'!G95</f>
        <v>63</v>
      </c>
      <c r="X34" s="22">
        <f>'[2]31'!G96</f>
        <v>15</v>
      </c>
      <c r="Y34" s="22">
        <f>'[2]31'!G97</f>
        <v>22</v>
      </c>
      <c r="Z34" s="22">
        <f t="shared" si="7"/>
        <v>100</v>
      </c>
      <c r="AA34" s="19">
        <f>'[2]31'!G132</f>
        <v>0</v>
      </c>
      <c r="AB34" s="19">
        <f>'[2]31'!G133</f>
        <v>0</v>
      </c>
      <c r="AC34" s="19">
        <f>'[2]31'!G134</f>
        <v>0</v>
      </c>
      <c r="AD34" s="19">
        <f>'[2]31'!G135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'[2]31'!G136</f>
        <v>6.3300000000017462</v>
      </c>
      <c r="AI34" s="19">
        <f>'[2]31'!G137</f>
        <v>0</v>
      </c>
      <c r="AJ34" s="19">
        <f>'[2]31'!G138</f>
        <v>0</v>
      </c>
      <c r="AK34" s="19">
        <f t="shared" si="10"/>
        <v>6.3300000000017462</v>
      </c>
      <c r="AL34" s="19">
        <f>'[2]31'!G139</f>
        <v>0</v>
      </c>
      <c r="AM34" s="19">
        <f>'[2]31'!G140</f>
        <v>7.9200000000000728</v>
      </c>
      <c r="AN34" s="19"/>
      <c r="AO34" s="19">
        <f t="shared" si="11"/>
        <v>7.9200000000000728</v>
      </c>
      <c r="AP34" s="258">
        <f>'[2]31'!G123</f>
        <v>241.35000000009313</v>
      </c>
      <c r="AQ34" s="261">
        <f>'[2]31'!G35</f>
        <v>0</v>
      </c>
      <c r="AR34" s="19">
        <f>'[2]31'!G37</f>
        <v>0</v>
      </c>
      <c r="AS34" s="19">
        <f>'[2]31'!G38</f>
        <v>0</v>
      </c>
      <c r="AT34" s="19">
        <f>'[2]31'!G39</f>
        <v>0</v>
      </c>
      <c r="AU34" s="19">
        <f>'[2]31'!G40</f>
        <v>0</v>
      </c>
      <c r="AV34" s="19">
        <f>'[2]31'!G41</f>
        <v>0</v>
      </c>
      <c r="AW34" s="19">
        <f>'[2]31'!G42</f>
        <v>8.999999999650754E-2</v>
      </c>
      <c r="AX34" s="19">
        <f>'[2]31'!G43</f>
        <v>1972.7200000000885</v>
      </c>
      <c r="AY34" s="23">
        <f>'[2]31'!G44</f>
        <v>0</v>
      </c>
      <c r="AZ34" s="262">
        <f>'[2]31'!G36</f>
        <v>668.5800000000163</v>
      </c>
      <c r="BA34" s="261">
        <f>'[2]31'!G49</f>
        <v>2791.390000000014</v>
      </c>
      <c r="BB34" s="19">
        <f>'[2]31'!G51</f>
        <v>1472.3400000000038</v>
      </c>
      <c r="BC34" s="19">
        <f>'[2]31'!G52</f>
        <v>2047.2800000000279</v>
      </c>
      <c r="BD34" s="19">
        <f>'[2]31'!G53</f>
        <v>4400.9700000000012</v>
      </c>
      <c r="BE34" s="19">
        <f>'[2]31'!G54</f>
        <v>79.989999999999782</v>
      </c>
      <c r="BF34" s="19">
        <f>'[2]31'!BD7</f>
        <v>0</v>
      </c>
      <c r="BG34" s="19">
        <f>'[2]31'!G56</f>
        <v>4263.1199999999953</v>
      </c>
      <c r="BH34" s="19">
        <f>'[2]31'!H57</f>
        <v>0</v>
      </c>
      <c r="BI34" s="262">
        <f>'[2]31'!G50</f>
        <v>1070.4400000000023</v>
      </c>
      <c r="BJ34" s="401">
        <f t="shared" si="12"/>
        <v>4263.2099999999919</v>
      </c>
      <c r="BK34" s="401">
        <f>'[2]31'!G84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53623.750000004889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202</v>
      </c>
      <c r="B35" s="30"/>
      <c r="C35" s="31"/>
      <c r="D35" s="32">
        <f>AVERAGE(D4:D34)</f>
        <v>25.161290322580644</v>
      </c>
      <c r="E35" s="33"/>
      <c r="F35" s="415">
        <f>AVERAGE(F4:F34)</f>
        <v>1.5009032258064519</v>
      </c>
      <c r="G35" s="34">
        <f>SUM(G4:G34)</f>
        <v>-559363</v>
      </c>
      <c r="H35" s="34">
        <f>SUM(H4:H34)</f>
        <v>0</v>
      </c>
      <c r="I35" s="34">
        <f t="shared" ref="I35:BO35" si="20">SUM(I4:I34)</f>
        <v>-555942</v>
      </c>
      <c r="J35" s="34">
        <f t="shared" si="20"/>
        <v>309</v>
      </c>
      <c r="K35" s="34">
        <f t="shared" si="20"/>
        <v>-22554</v>
      </c>
      <c r="L35" s="34">
        <f t="shared" si="20"/>
        <v>-2752.1881188118809</v>
      </c>
      <c r="M35" s="34">
        <f t="shared" si="20"/>
        <v>-25482.229999999981</v>
      </c>
      <c r="N35" s="34">
        <f t="shared" si="20"/>
        <v>1085</v>
      </c>
      <c r="O35" s="34">
        <f t="shared" si="20"/>
        <v>-891878.04999999935</v>
      </c>
      <c r="P35" s="34">
        <f t="shared" si="20"/>
        <v>3300</v>
      </c>
      <c r="Q35" s="34">
        <f t="shared" si="20"/>
        <v>4154</v>
      </c>
      <c r="R35" s="34">
        <f t="shared" si="20"/>
        <v>442200</v>
      </c>
      <c r="S35" s="34">
        <f t="shared" si="20"/>
        <v>3558.0971144868249</v>
      </c>
      <c r="T35" s="34">
        <f t="shared" si="20"/>
        <v>0</v>
      </c>
      <c r="U35" s="34">
        <f t="shared" si="20"/>
        <v>2139</v>
      </c>
      <c r="V35" s="34">
        <f t="shared" si="20"/>
        <v>0</v>
      </c>
      <c r="W35" s="34">
        <f t="shared" si="20"/>
        <v>-2286</v>
      </c>
      <c r="X35" s="34">
        <f t="shared" si="20"/>
        <v>-809</v>
      </c>
      <c r="Y35" s="34">
        <f t="shared" si="20"/>
        <v>-779</v>
      </c>
      <c r="Z35" s="34">
        <f t="shared" si="20"/>
        <v>-3874</v>
      </c>
      <c r="AA35" s="34">
        <f t="shared" si="20"/>
        <v>637.45999999999913</v>
      </c>
      <c r="AB35" s="34">
        <f t="shared" si="20"/>
        <v>-1</v>
      </c>
      <c r="AC35" s="34">
        <f t="shared" si="20"/>
        <v>-416.13999999999942</v>
      </c>
      <c r="AD35" s="34">
        <f t="shared" si="20"/>
        <v>-124.08000000000175</v>
      </c>
      <c r="AE35" s="34">
        <f t="shared" si="20"/>
        <v>96.239999999997963</v>
      </c>
      <c r="AF35" s="34">
        <f t="shared" si="20"/>
        <v>-125618.78000000004</v>
      </c>
      <c r="AG35" s="34">
        <f t="shared" si="20"/>
        <v>6329.0977179481133</v>
      </c>
      <c r="AH35" s="34">
        <f t="shared" si="20"/>
        <v>-232.39999999999782</v>
      </c>
      <c r="AI35" s="34">
        <f t="shared" si="20"/>
        <v>-16.31000000000131</v>
      </c>
      <c r="AJ35" s="34">
        <f t="shared" si="20"/>
        <v>-83.30000000000291</v>
      </c>
      <c r="AK35" s="34">
        <f t="shared" si="20"/>
        <v>-332.01000000000204</v>
      </c>
      <c r="AL35" s="34">
        <f t="shared" si="20"/>
        <v>-231.22000000000025</v>
      </c>
      <c r="AM35" s="34">
        <f t="shared" si="20"/>
        <v>7.9200000000000728</v>
      </c>
      <c r="AN35" s="34">
        <f t="shared" si="20"/>
        <v>0</v>
      </c>
      <c r="AO35" s="34">
        <f t="shared" si="20"/>
        <v>-223.30000000000018</v>
      </c>
      <c r="AP35" s="34">
        <f t="shared" si="20"/>
        <v>-7712.4899999998743</v>
      </c>
      <c r="AQ35" s="34">
        <f t="shared" si="20"/>
        <v>-64059.589999999967</v>
      </c>
      <c r="AR35" s="34">
        <f t="shared" si="20"/>
        <v>418171.08</v>
      </c>
      <c r="AS35" s="34">
        <f t="shared" si="20"/>
        <v>106900.51000000001</v>
      </c>
      <c r="AT35" s="34">
        <f t="shared" si="20"/>
        <v>921872.89</v>
      </c>
      <c r="AU35" s="34">
        <f t="shared" si="20"/>
        <v>-0.06</v>
      </c>
      <c r="AV35" s="34">
        <f t="shared" si="20"/>
        <v>-22893.420000000006</v>
      </c>
      <c r="AW35" s="34">
        <f t="shared" si="20"/>
        <v>-202.76000000000204</v>
      </c>
      <c r="AX35" s="34">
        <f t="shared" si="20"/>
        <v>-58425.59999999986</v>
      </c>
      <c r="AY35" s="34">
        <f t="shared" si="20"/>
        <v>0</v>
      </c>
      <c r="AZ35" s="34">
        <f t="shared" si="20"/>
        <v>-19817.059999999998</v>
      </c>
      <c r="BA35" s="34">
        <f t="shared" si="20"/>
        <v>-17955.190000000002</v>
      </c>
      <c r="BB35" s="34">
        <f t="shared" si="20"/>
        <v>-11543.579999999994</v>
      </c>
      <c r="BC35" s="34">
        <f t="shared" si="20"/>
        <v>-16063.429999999993</v>
      </c>
      <c r="BD35" s="34">
        <f t="shared" si="20"/>
        <v>-31520.570000000036</v>
      </c>
      <c r="BE35" s="34">
        <f t="shared" si="20"/>
        <v>-1787.8400000000001</v>
      </c>
      <c r="BF35" s="34">
        <f t="shared" si="20"/>
        <v>-78464.69</v>
      </c>
      <c r="BG35" s="34">
        <f t="shared" si="20"/>
        <v>-24057.910000000033</v>
      </c>
      <c r="BH35" s="34">
        <f t="shared" si="20"/>
        <v>-15422.66</v>
      </c>
      <c r="BI35" s="34">
        <f t="shared" si="20"/>
        <v>-34911.620000000054</v>
      </c>
      <c r="BJ35" s="34">
        <f t="shared" si="20"/>
        <v>-125618.78000000004</v>
      </c>
      <c r="BK35" s="34">
        <f t="shared" si="20"/>
        <v>-15165</v>
      </c>
      <c r="BL35" s="34">
        <f t="shared" si="20"/>
        <v>1497.2679904209908</v>
      </c>
      <c r="BM35" s="34">
        <f t="shared" si="20"/>
        <v>945.27765296887151</v>
      </c>
      <c r="BN35" s="34">
        <f t="shared" si="20"/>
        <v>2.735908762357707</v>
      </c>
      <c r="BO35" s="34">
        <f t="shared" si="20"/>
        <v>-472232.04999999935</v>
      </c>
      <c r="BP35" s="213">
        <f t="shared" si="17"/>
        <v>-214632.03999999989</v>
      </c>
      <c r="BQ35">
        <f t="shared" si="18"/>
        <v>-7.9649106400666652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0</v>
      </c>
      <c r="E36" s="35">
        <f t="shared" si="21"/>
        <v>0</v>
      </c>
      <c r="F36" s="35">
        <f t="shared" si="21"/>
        <v>1.7000000000000348E-3</v>
      </c>
      <c r="G36" s="35"/>
      <c r="H36" s="35"/>
      <c r="I36" s="35">
        <f t="shared" ref="I36:AO36" si="22">I18-I17</f>
        <v>630</v>
      </c>
      <c r="J36" s="35">
        <f t="shared" si="22"/>
        <v>0</v>
      </c>
      <c r="K36" s="235">
        <f t="shared" si="22"/>
        <v>6760</v>
      </c>
      <c r="L36" s="235">
        <f t="shared" si="22"/>
        <v>3.1188118811881225</v>
      </c>
      <c r="M36" s="35">
        <f t="shared" si="22"/>
        <v>99.796000000089407</v>
      </c>
      <c r="N36" s="35">
        <f t="shared" si="22"/>
        <v>0</v>
      </c>
      <c r="O36" s="235">
        <f t="shared" si="22"/>
        <v>3492.8600000031292</v>
      </c>
      <c r="P36" s="35">
        <f t="shared" si="22"/>
        <v>131</v>
      </c>
      <c r="Q36" s="35">
        <f t="shared" si="22"/>
        <v>0</v>
      </c>
      <c r="R36" s="235">
        <f t="shared" si="22"/>
        <v>17554</v>
      </c>
      <c r="S36" s="235">
        <f t="shared" si="22"/>
        <v>96.340292572542637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10</v>
      </c>
      <c r="X36" s="35">
        <f t="shared" si="22"/>
        <v>-22</v>
      </c>
      <c r="Y36" s="35">
        <f t="shared" si="22"/>
        <v>-11</v>
      </c>
      <c r="Z36" s="35">
        <f t="shared" si="22"/>
        <v>-23</v>
      </c>
      <c r="AA36" s="35">
        <f t="shared" si="22"/>
        <v>0</v>
      </c>
      <c r="AB36" s="35">
        <f t="shared" si="22"/>
        <v>0</v>
      </c>
      <c r="AC36" s="35">
        <f t="shared" si="22"/>
        <v>-0.18000000000029104</v>
      </c>
      <c r="AD36" s="35">
        <f t="shared" si="22"/>
        <v>0</v>
      </c>
      <c r="AE36" s="35">
        <f t="shared" si="22"/>
        <v>-0.18000000000029104</v>
      </c>
      <c r="AF36" s="35">
        <f t="shared" si="22"/>
        <v>-55.784000000014203</v>
      </c>
      <c r="AG36" s="35">
        <f t="shared" si="22"/>
        <v>-0.57485574857449251</v>
      </c>
      <c r="AH36" s="35">
        <f t="shared" si="22"/>
        <v>0.52999999999883585</v>
      </c>
      <c r="AI36" s="35">
        <f t="shared" si="22"/>
        <v>4.2600000000020373</v>
      </c>
      <c r="AJ36" s="35">
        <f t="shared" si="22"/>
        <v>-6.7199999999866122</v>
      </c>
      <c r="AK36" s="35">
        <f t="shared" si="22"/>
        <v>-1.9299999999857391</v>
      </c>
      <c r="AL36" s="35">
        <f t="shared" si="22"/>
        <v>-1.1600000000000819</v>
      </c>
      <c r="AM36" s="35">
        <f t="shared" si="22"/>
        <v>0</v>
      </c>
      <c r="AN36" s="35">
        <f t="shared" si="22"/>
        <v>0</v>
      </c>
      <c r="AO36" s="35">
        <f t="shared" si="22"/>
        <v>-1.1600000000000819</v>
      </c>
      <c r="AP36" s="35"/>
      <c r="AQ36" s="35">
        <f t="shared" ref="AQ36:AX36" si="23">AQ18-AQ17</f>
        <v>-48.439999999944121</v>
      </c>
      <c r="AR36" s="35">
        <f t="shared" si="23"/>
        <v>-0.13999999999941792</v>
      </c>
      <c r="AS36" s="35">
        <f t="shared" si="23"/>
        <v>27.840000000000146</v>
      </c>
      <c r="AT36" s="35">
        <f t="shared" si="23"/>
        <v>-0.5499999999992724</v>
      </c>
      <c r="AU36" s="35">
        <f t="shared" si="23"/>
        <v>0</v>
      </c>
      <c r="AV36" s="35">
        <f t="shared" si="23"/>
        <v>0</v>
      </c>
      <c r="AW36" s="35">
        <f t="shared" si="23"/>
        <v>-9.900000000197906E-2</v>
      </c>
      <c r="AX36" s="35">
        <f t="shared" si="23"/>
        <v>-13.92000000004191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0</v>
      </c>
      <c r="BE36" s="35">
        <f t="shared" si="24"/>
        <v>-2.3800000000010186</v>
      </c>
      <c r="BF36" s="35">
        <f t="shared" si="24"/>
        <v>-106.43500000001222</v>
      </c>
      <c r="BG36" s="35">
        <f t="shared" si="24"/>
        <v>50.75</v>
      </c>
      <c r="BH36" s="35">
        <f t="shared" si="24"/>
        <v>0</v>
      </c>
      <c r="BI36" s="35"/>
      <c r="BJ36" s="35"/>
      <c r="BK36" s="35"/>
      <c r="BL36" s="35">
        <f>BL18-BL17</f>
        <v>-1.8277833344844439</v>
      </c>
      <c r="BM36" s="35">
        <f>BM18-BM17</f>
        <v>-0.56211218800624962</v>
      </c>
      <c r="BN36" s="35"/>
      <c r="BO36" s="35">
        <f>BO18-BO17</f>
        <v>27806.860000003129</v>
      </c>
      <c r="BP36" s="35">
        <f>BP18-BP17</f>
        <v>-31.704000000056112</v>
      </c>
    </row>
    <row r="37" spans="1:69">
      <c r="F37" s="213">
        <f>AVERAGE(F4:F35)</f>
        <v>1.5009032258064519</v>
      </c>
      <c r="G37" s="213"/>
      <c r="H37" s="213"/>
      <c r="I37" s="213">
        <f>AVERAGE(I4:I35)</f>
        <v>-34746.375</v>
      </c>
    </row>
    <row r="38" spans="1:69">
      <c r="B38" s="36" t="s">
        <v>68</v>
      </c>
      <c r="F38" s="414">
        <f>AVERAGE(F4:F35)</f>
        <v>1.5009032258064519</v>
      </c>
      <c r="G38" s="414"/>
      <c r="H38" s="414"/>
    </row>
    <row r="41" spans="1:69">
      <c r="BJ41">
        <f>(BJ31+BK31)/400</f>
        <v>15.99569999999996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F12" sqref="F12"/>
    </sheetView>
  </sheetViews>
  <sheetFormatPr defaultRowHeight="15.75"/>
  <cols>
    <col min="2" max="2" width="9.109375" style="1249" customWidth="1"/>
    <col min="3" max="3" width="7.44140625" style="1249" customWidth="1"/>
    <col min="4" max="4" width="7.5546875" style="1249" customWidth="1"/>
    <col min="5" max="5" width="7.88671875" style="1249" customWidth="1"/>
    <col min="6" max="6" width="10.6640625" style="1249" customWidth="1"/>
  </cols>
  <sheetData>
    <row r="1" spans="1:7" ht="47.25">
      <c r="A1" s="1111"/>
      <c r="B1" s="1323" t="s">
        <v>311</v>
      </c>
      <c r="C1" s="1323" t="s">
        <v>309</v>
      </c>
      <c r="D1" s="1323" t="s">
        <v>310</v>
      </c>
      <c r="E1" s="1323" t="s">
        <v>313</v>
      </c>
      <c r="F1" s="1323" t="s">
        <v>312</v>
      </c>
      <c r="G1" s="1362" t="s">
        <v>325</v>
      </c>
    </row>
    <row r="2" spans="1:7">
      <c r="A2" s="1111">
        <v>1</v>
      </c>
      <c r="B2" s="1324"/>
      <c r="C2" s="1325"/>
      <c r="D2" s="1325">
        <v>1</v>
      </c>
      <c r="E2" s="1325">
        <f>SUM(C2:D2)/202%</f>
        <v>0.49504950495049505</v>
      </c>
      <c r="F2" s="1361"/>
      <c r="G2" s="1112">
        <f>C2+D2</f>
        <v>1</v>
      </c>
    </row>
    <row r="3" spans="1:7">
      <c r="A3" s="1111">
        <v>2</v>
      </c>
      <c r="B3" s="1324"/>
      <c r="C3" s="1325">
        <v>120</v>
      </c>
      <c r="D3" s="1325">
        <v>1</v>
      </c>
      <c r="E3" s="1325">
        <f t="shared" ref="E3:E5" si="0">SUM(C3:D3)/202%</f>
        <v>59.900990099009903</v>
      </c>
      <c r="F3" s="1361">
        <v>349</v>
      </c>
      <c r="G3" s="1112">
        <f t="shared" ref="G3:G30" si="1">C3+D3</f>
        <v>121</v>
      </c>
    </row>
    <row r="4" spans="1:7">
      <c r="A4" s="1111">
        <v>3</v>
      </c>
      <c r="B4" s="1324"/>
      <c r="C4" s="1325">
        <v>83</v>
      </c>
      <c r="D4" s="1325">
        <v>1</v>
      </c>
      <c r="E4" s="1325">
        <f t="shared" si="0"/>
        <v>41.584158415841586</v>
      </c>
      <c r="F4" s="1361">
        <v>399</v>
      </c>
      <c r="G4" s="1112">
        <f t="shared" si="1"/>
        <v>84</v>
      </c>
    </row>
    <row r="5" spans="1:7">
      <c r="A5" s="1111">
        <v>4</v>
      </c>
      <c r="B5" s="1324"/>
      <c r="C5" s="1325">
        <v>86</v>
      </c>
      <c r="D5" s="1325">
        <v>0</v>
      </c>
      <c r="E5" s="1325">
        <f t="shared" si="0"/>
        <v>42.574257425742573</v>
      </c>
      <c r="F5" s="1361">
        <v>369</v>
      </c>
      <c r="G5" s="1112">
        <f t="shared" si="1"/>
        <v>86</v>
      </c>
    </row>
    <row r="6" spans="1:7">
      <c r="A6" s="1111">
        <v>5</v>
      </c>
      <c r="B6" s="1324"/>
      <c r="C6" s="1325">
        <v>96</v>
      </c>
      <c r="D6" s="1325">
        <v>1</v>
      </c>
      <c r="E6" s="1325">
        <f t="shared" ref="E6:E30" si="2">SUM(C6:D6)/202%</f>
        <v>48.019801980198018</v>
      </c>
      <c r="F6" s="1361">
        <v>328</v>
      </c>
      <c r="G6" s="1112">
        <f t="shared" si="1"/>
        <v>97</v>
      </c>
    </row>
    <row r="7" spans="1:7">
      <c r="A7" s="1111">
        <v>6</v>
      </c>
      <c r="B7" s="1324"/>
      <c r="C7" s="1325">
        <v>161</v>
      </c>
      <c r="D7" s="1325">
        <v>1</v>
      </c>
      <c r="E7" s="1325">
        <f t="shared" si="2"/>
        <v>80.198019801980195</v>
      </c>
      <c r="F7" s="1361">
        <v>506</v>
      </c>
      <c r="G7" s="1112">
        <f t="shared" si="1"/>
        <v>162</v>
      </c>
    </row>
    <row r="8" spans="1:7">
      <c r="A8" s="1111">
        <v>7</v>
      </c>
      <c r="B8" s="1324"/>
      <c r="C8" s="1325">
        <v>98</v>
      </c>
      <c r="D8" s="1325">
        <v>1</v>
      </c>
      <c r="E8" s="1325">
        <f t="shared" si="2"/>
        <v>49.009900990099013</v>
      </c>
      <c r="F8" s="1361">
        <v>607</v>
      </c>
      <c r="G8" s="1112">
        <f t="shared" si="1"/>
        <v>99</v>
      </c>
    </row>
    <row r="9" spans="1:7">
      <c r="A9" s="1111">
        <v>8</v>
      </c>
      <c r="B9" s="1324"/>
      <c r="C9" s="1325">
        <v>81</v>
      </c>
      <c r="D9" s="1325">
        <v>1</v>
      </c>
      <c r="E9" s="1325">
        <f t="shared" si="2"/>
        <v>40.594059405940591</v>
      </c>
      <c r="F9" s="1361">
        <v>406</v>
      </c>
      <c r="G9" s="1112">
        <f t="shared" si="1"/>
        <v>82</v>
      </c>
    </row>
    <row r="10" spans="1:7">
      <c r="A10" s="1111">
        <v>9</v>
      </c>
      <c r="B10" s="1324"/>
      <c r="C10" s="1325">
        <v>82</v>
      </c>
      <c r="D10" s="1325">
        <v>2</v>
      </c>
      <c r="E10" s="1325">
        <f t="shared" si="2"/>
        <v>41.584158415841586</v>
      </c>
      <c r="F10" s="1361">
        <v>328</v>
      </c>
      <c r="G10" s="1112">
        <f t="shared" si="1"/>
        <v>84</v>
      </c>
    </row>
    <row r="11" spans="1:7">
      <c r="A11" s="1111">
        <v>10</v>
      </c>
      <c r="B11" s="1324"/>
      <c r="C11" s="1325">
        <v>80</v>
      </c>
      <c r="D11" s="1325">
        <v>1</v>
      </c>
      <c r="E11" s="1325">
        <f t="shared" si="2"/>
        <v>40.099009900990097</v>
      </c>
      <c r="F11" s="1361">
        <v>362</v>
      </c>
      <c r="G11" s="1112">
        <f t="shared" si="1"/>
        <v>81</v>
      </c>
    </row>
    <row r="12" spans="1:7">
      <c r="A12" s="1111">
        <v>11</v>
      </c>
      <c r="B12" s="1324"/>
      <c r="C12" s="1325">
        <v>68</v>
      </c>
      <c r="D12" s="1325">
        <v>1</v>
      </c>
      <c r="E12" s="1325">
        <f t="shared" si="2"/>
        <v>34.158415841584159</v>
      </c>
      <c r="F12" s="1361">
        <v>305</v>
      </c>
      <c r="G12" s="1112">
        <f t="shared" si="1"/>
        <v>69</v>
      </c>
    </row>
    <row r="13" spans="1:7">
      <c r="A13" s="1111">
        <v>12</v>
      </c>
      <c r="B13" s="1324"/>
      <c r="C13" s="1325"/>
      <c r="D13" s="1325"/>
      <c r="E13" s="1325">
        <f t="shared" si="2"/>
        <v>0</v>
      </c>
      <c r="F13" s="1325"/>
      <c r="G13" s="1112">
        <f t="shared" si="1"/>
        <v>0</v>
      </c>
    </row>
    <row r="14" spans="1:7">
      <c r="A14" s="1111">
        <v>13</v>
      </c>
      <c r="B14" s="1324"/>
      <c r="C14" s="1325"/>
      <c r="D14" s="1325"/>
      <c r="E14" s="1325">
        <f t="shared" si="2"/>
        <v>0</v>
      </c>
      <c r="F14" s="1325"/>
      <c r="G14" s="1112">
        <f t="shared" si="1"/>
        <v>0</v>
      </c>
    </row>
    <row r="15" spans="1:7">
      <c r="A15" s="1111">
        <v>14</v>
      </c>
      <c r="B15" s="1324"/>
      <c r="C15" s="1325"/>
      <c r="D15" s="1325"/>
      <c r="E15" s="1325">
        <f t="shared" si="2"/>
        <v>0</v>
      </c>
      <c r="F15" s="1325"/>
      <c r="G15" s="1112">
        <f t="shared" si="1"/>
        <v>0</v>
      </c>
    </row>
    <row r="16" spans="1:7">
      <c r="A16" s="1111">
        <v>15</v>
      </c>
      <c r="B16" s="1324"/>
      <c r="C16" s="1325"/>
      <c r="D16" s="1325"/>
      <c r="E16" s="1325">
        <f t="shared" si="2"/>
        <v>0</v>
      </c>
      <c r="F16" s="1325"/>
      <c r="G16" s="1112">
        <f t="shared" si="1"/>
        <v>0</v>
      </c>
    </row>
    <row r="17" spans="1:7">
      <c r="A17" s="1111">
        <v>16</v>
      </c>
      <c r="B17" s="1324"/>
      <c r="C17" s="1325"/>
      <c r="D17" s="1325"/>
      <c r="E17" s="1325">
        <f t="shared" si="2"/>
        <v>0</v>
      </c>
      <c r="F17" s="1325"/>
      <c r="G17" s="1112">
        <f t="shared" si="1"/>
        <v>0</v>
      </c>
    </row>
    <row r="18" spans="1:7">
      <c r="A18" s="1111">
        <v>17</v>
      </c>
      <c r="B18" s="1324"/>
      <c r="C18" s="1325"/>
      <c r="D18" s="1325"/>
      <c r="E18" s="1325">
        <f t="shared" si="2"/>
        <v>0</v>
      </c>
      <c r="F18" s="1325"/>
      <c r="G18" s="1112">
        <f t="shared" si="1"/>
        <v>0</v>
      </c>
    </row>
    <row r="19" spans="1:7">
      <c r="A19" s="1111">
        <v>18</v>
      </c>
      <c r="B19" s="1324"/>
      <c r="E19" s="1325">
        <f t="shared" si="2"/>
        <v>0</v>
      </c>
      <c r="G19" s="1112">
        <f t="shared" si="1"/>
        <v>0</v>
      </c>
    </row>
    <row r="20" spans="1:7">
      <c r="A20" s="1111">
        <v>19</v>
      </c>
      <c r="B20" s="1324"/>
      <c r="C20" s="1325"/>
      <c r="D20" s="1325"/>
      <c r="E20" s="1325">
        <f t="shared" si="2"/>
        <v>0</v>
      </c>
      <c r="F20" s="1325"/>
      <c r="G20" s="1112">
        <f t="shared" si="1"/>
        <v>0</v>
      </c>
    </row>
    <row r="21" spans="1:7">
      <c r="A21" s="1111">
        <v>20</v>
      </c>
      <c r="B21" s="1324"/>
      <c r="C21" s="1325"/>
      <c r="D21" s="1325"/>
      <c r="E21" s="1325">
        <f t="shared" si="2"/>
        <v>0</v>
      </c>
      <c r="F21" s="1325"/>
      <c r="G21" s="1112">
        <f t="shared" si="1"/>
        <v>0</v>
      </c>
    </row>
    <row r="22" spans="1:7">
      <c r="A22" s="1111">
        <v>21</v>
      </c>
      <c r="B22" s="1324"/>
      <c r="C22" s="1325"/>
      <c r="D22" s="1325"/>
      <c r="E22" s="1325">
        <f t="shared" si="2"/>
        <v>0</v>
      </c>
      <c r="F22" s="1325"/>
      <c r="G22" s="1112">
        <f t="shared" si="1"/>
        <v>0</v>
      </c>
    </row>
    <row r="23" spans="1:7">
      <c r="A23" s="1111">
        <v>22</v>
      </c>
      <c r="B23" s="1324"/>
      <c r="C23" s="1325"/>
      <c r="D23" s="1325"/>
      <c r="E23" s="1325">
        <f t="shared" si="2"/>
        <v>0</v>
      </c>
      <c r="F23" s="1325"/>
      <c r="G23" s="1112">
        <f t="shared" si="1"/>
        <v>0</v>
      </c>
    </row>
    <row r="24" spans="1:7">
      <c r="A24" s="1111">
        <v>23</v>
      </c>
      <c r="B24" s="1324"/>
      <c r="C24" s="1325"/>
      <c r="D24" s="1325"/>
      <c r="E24" s="1325">
        <f t="shared" si="2"/>
        <v>0</v>
      </c>
      <c r="F24" s="1325"/>
      <c r="G24" s="1112">
        <f t="shared" si="1"/>
        <v>0</v>
      </c>
    </row>
    <row r="25" spans="1:7">
      <c r="A25" s="1111">
        <v>24</v>
      </c>
      <c r="B25" s="1324"/>
      <c r="C25" s="1325"/>
      <c r="D25" s="1325"/>
      <c r="E25" s="1325">
        <f t="shared" si="2"/>
        <v>0</v>
      </c>
      <c r="F25" s="1325"/>
      <c r="G25" s="1112">
        <f t="shared" si="1"/>
        <v>0</v>
      </c>
    </row>
    <row r="26" spans="1:7">
      <c r="A26" s="1111">
        <v>25</v>
      </c>
      <c r="B26" s="1324"/>
      <c r="C26" s="1325"/>
      <c r="D26" s="1325"/>
      <c r="E26" s="1325">
        <f t="shared" si="2"/>
        <v>0</v>
      </c>
      <c r="F26" s="1325"/>
      <c r="G26" s="1112">
        <f t="shared" si="1"/>
        <v>0</v>
      </c>
    </row>
    <row r="27" spans="1:7">
      <c r="A27" s="1111">
        <v>26</v>
      </c>
      <c r="B27" s="1324"/>
      <c r="C27" s="1325"/>
      <c r="D27" s="1325"/>
      <c r="E27" s="1325">
        <f t="shared" si="2"/>
        <v>0</v>
      </c>
      <c r="F27" s="1325"/>
      <c r="G27" s="1112">
        <f t="shared" si="1"/>
        <v>0</v>
      </c>
    </row>
    <row r="28" spans="1:7">
      <c r="A28" s="1111">
        <v>27</v>
      </c>
      <c r="B28" s="1324"/>
      <c r="C28" s="1325"/>
      <c r="D28" s="1325"/>
      <c r="E28" s="1325">
        <f t="shared" si="2"/>
        <v>0</v>
      </c>
      <c r="F28" s="1325"/>
      <c r="G28" s="1112">
        <f t="shared" si="1"/>
        <v>0</v>
      </c>
    </row>
    <row r="29" spans="1:7">
      <c r="A29" s="1111">
        <v>28</v>
      </c>
      <c r="B29" s="1324"/>
      <c r="C29" s="1325"/>
      <c r="D29" s="1325"/>
      <c r="E29" s="1325">
        <f t="shared" si="2"/>
        <v>0</v>
      </c>
      <c r="F29" s="1325"/>
      <c r="G29" s="1112">
        <f t="shared" si="1"/>
        <v>0</v>
      </c>
    </row>
    <row r="30" spans="1:7">
      <c r="A30" s="1111">
        <v>29</v>
      </c>
      <c r="B30" s="1324"/>
      <c r="C30" s="1325"/>
      <c r="D30" s="1325"/>
      <c r="E30" s="1325">
        <f t="shared" si="2"/>
        <v>0</v>
      </c>
      <c r="F30" s="1325"/>
      <c r="G30" s="1112">
        <f t="shared" si="1"/>
        <v>0</v>
      </c>
    </row>
    <row r="31" spans="1:7">
      <c r="A31" s="1111">
        <v>30</v>
      </c>
      <c r="B31" s="1325"/>
      <c r="C31" s="1325"/>
      <c r="D31" s="1325"/>
      <c r="E31" s="1325"/>
      <c r="F31" s="1325"/>
      <c r="G31" s="1111"/>
    </row>
    <row r="32" spans="1:7">
      <c r="A32" s="1111">
        <v>31</v>
      </c>
      <c r="B32" s="1325"/>
      <c r="C32" s="1325"/>
      <c r="D32" s="1325"/>
      <c r="E32" s="1325"/>
      <c r="F32" s="1325"/>
      <c r="G32" s="1111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0"/>
  <sheetViews>
    <sheetView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>
      <c r="B3" s="1154"/>
      <c r="C3" s="1155" t="s">
        <v>0</v>
      </c>
      <c r="D3" s="1113">
        <v>1</v>
      </c>
      <c r="E3" s="1113">
        <v>2</v>
      </c>
      <c r="F3" s="1113">
        <v>3</v>
      </c>
      <c r="G3" s="1113">
        <v>4</v>
      </c>
      <c r="H3" s="1113">
        <v>5</v>
      </c>
      <c r="I3" s="1113">
        <v>6</v>
      </c>
      <c r="J3" s="1113">
        <v>7</v>
      </c>
      <c r="K3" s="1113">
        <v>8</v>
      </c>
      <c r="L3" s="1113">
        <v>9</v>
      </c>
      <c r="M3" s="1113">
        <v>10</v>
      </c>
      <c r="N3" s="1113">
        <v>11</v>
      </c>
      <c r="O3" s="1113">
        <v>12</v>
      </c>
      <c r="P3" s="1113">
        <v>13</v>
      </c>
      <c r="Q3" s="1113">
        <v>14</v>
      </c>
      <c r="R3" s="1155">
        <v>15</v>
      </c>
      <c r="S3" s="1155">
        <v>16</v>
      </c>
      <c r="T3" s="1155">
        <v>17</v>
      </c>
      <c r="U3" s="1155">
        <v>18</v>
      </c>
      <c r="V3" s="1155">
        <v>19</v>
      </c>
      <c r="W3" s="1155">
        <v>20</v>
      </c>
      <c r="X3" s="1155">
        <v>21</v>
      </c>
      <c r="Y3" s="1155">
        <v>22</v>
      </c>
      <c r="Z3" s="1155">
        <v>23</v>
      </c>
      <c r="AA3" s="1155">
        <v>24</v>
      </c>
      <c r="AB3" s="1155">
        <v>25</v>
      </c>
      <c r="AC3" s="1155">
        <v>26</v>
      </c>
      <c r="AD3" s="1155">
        <v>27</v>
      </c>
      <c r="AE3" s="1155">
        <v>28</v>
      </c>
      <c r="AF3" s="1155">
        <v>29</v>
      </c>
      <c r="AG3" s="1155">
        <v>30</v>
      </c>
      <c r="AH3" s="1155">
        <v>31</v>
      </c>
      <c r="AI3" s="1155"/>
    </row>
    <row r="4" spans="2:35">
      <c r="B4" s="528"/>
      <c r="C4" s="524" t="s">
        <v>69</v>
      </c>
      <c r="D4" s="525">
        <f>'[3]1'!F3</f>
        <v>0.5</v>
      </c>
      <c r="E4" s="525">
        <f>'[3]2'!F3</f>
        <v>0.1</v>
      </c>
      <c r="F4" s="525">
        <f>'[3]3'!F3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180</v>
      </c>
      <c r="E5" s="526">
        <f>'2'!G18</f>
        <v>140</v>
      </c>
      <c r="F5" s="526">
        <f>'3'!G18</f>
        <v>140</v>
      </c>
      <c r="G5" s="526">
        <f>'4'!G18</f>
        <v>140</v>
      </c>
      <c r="H5" s="526">
        <f>'5'!G18</f>
        <v>140</v>
      </c>
      <c r="I5" s="526">
        <f>'6'!G18</f>
        <v>140</v>
      </c>
      <c r="J5" s="526">
        <f>'7'!G18</f>
        <v>200</v>
      </c>
      <c r="K5" s="526">
        <f>'8'!G18</f>
        <v>140</v>
      </c>
      <c r="L5" s="526">
        <f>'9'!G18</f>
        <v>120</v>
      </c>
      <c r="M5" s="526">
        <f>'10'!G18</f>
        <v>100</v>
      </c>
      <c r="N5" s="526">
        <f>'11'!G18</f>
        <v>120</v>
      </c>
      <c r="O5" s="526">
        <f>'12'!G18</f>
        <v>100</v>
      </c>
      <c r="P5" s="526">
        <f>'13'!G18</f>
        <v>220</v>
      </c>
      <c r="Q5" s="526">
        <f>'14'!G18</f>
        <v>190</v>
      </c>
      <c r="R5" s="526">
        <f>'15'!G18</f>
        <v>320</v>
      </c>
      <c r="S5" s="526">
        <f>'16'!G18</f>
        <v>200</v>
      </c>
      <c r="T5" s="526">
        <f>'17'!G18</f>
        <v>140</v>
      </c>
      <c r="U5" s="526">
        <f>'18'!G18</f>
        <v>120</v>
      </c>
      <c r="V5" s="526">
        <f>'19'!G18</f>
        <v>140</v>
      </c>
      <c r="W5" s="526">
        <f>'20'!G18</f>
        <v>140</v>
      </c>
      <c r="X5" s="526">
        <f>'21'!G18</f>
        <v>180</v>
      </c>
      <c r="Y5" s="526">
        <f>'22'!G18</f>
        <v>150</v>
      </c>
      <c r="Z5" s="526">
        <f>'23'!G18</f>
        <v>160</v>
      </c>
      <c r="AA5" s="526">
        <f>'24'!G18</f>
        <v>140</v>
      </c>
      <c r="AB5" s="526">
        <f>'25'!G18</f>
        <v>140</v>
      </c>
      <c r="AC5" s="526">
        <f>'26'!G18</f>
        <v>120</v>
      </c>
      <c r="AD5" s="526">
        <f>'27'!G18</f>
        <v>180</v>
      </c>
      <c r="AE5" s="526">
        <f>'28'!G18</f>
        <v>170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>
      <c r="B6" s="528"/>
      <c r="C6" s="524" t="s">
        <v>71</v>
      </c>
      <c r="D6" s="526">
        <f>'1'!G19</f>
        <v>48</v>
      </c>
      <c r="E6" s="526">
        <f>'2'!G19</f>
        <v>52</v>
      </c>
      <c r="F6" s="526">
        <f>'3'!G19</f>
        <v>52</v>
      </c>
      <c r="G6" s="526">
        <f>'4'!G19</f>
        <v>52</v>
      </c>
      <c r="H6" s="526">
        <f>'5'!G19</f>
        <v>51</v>
      </c>
      <c r="I6" s="526">
        <f>'6'!G19</f>
        <v>51</v>
      </c>
      <c r="J6" s="526">
        <f>'7'!G19</f>
        <v>51</v>
      </c>
      <c r="K6" s="526">
        <f>'8'!G19</f>
        <v>53</v>
      </c>
      <c r="L6" s="526">
        <f>'9'!G19</f>
        <v>52</v>
      </c>
      <c r="M6" s="526">
        <f>'10'!G19</f>
        <v>52</v>
      </c>
      <c r="N6" s="526">
        <f>'11'!G19</f>
        <v>51</v>
      </c>
      <c r="O6" s="526">
        <f>'12'!G19</f>
        <v>54</v>
      </c>
      <c r="P6" s="526">
        <f>'13'!G19</f>
        <v>-1385</v>
      </c>
      <c r="Q6" s="526">
        <f>'14'!G19</f>
        <v>51</v>
      </c>
      <c r="R6" s="526">
        <f>'15'!G19</f>
        <v>52</v>
      </c>
      <c r="S6" s="526">
        <f>'16'!G19</f>
        <v>50</v>
      </c>
      <c r="T6" s="526">
        <f>'17'!G19</f>
        <v>51</v>
      </c>
      <c r="U6" s="526">
        <f>'18'!G19</f>
        <v>47</v>
      </c>
      <c r="V6" s="526">
        <f>'19'!G19</f>
        <v>50</v>
      </c>
      <c r="W6" s="526">
        <f>'20'!G19</f>
        <v>51</v>
      </c>
      <c r="X6" s="526">
        <f>'21'!G19</f>
        <v>51</v>
      </c>
      <c r="Y6" s="526">
        <f>'22'!G19</f>
        <v>51</v>
      </c>
      <c r="Z6" s="526">
        <f>'23'!G19</f>
        <v>51</v>
      </c>
      <c r="AA6" s="526">
        <f>'24'!G19</f>
        <v>52</v>
      </c>
      <c r="AB6" s="526">
        <f>'25'!G19</f>
        <v>52</v>
      </c>
      <c r="AC6" s="526">
        <f>'26'!G19</f>
        <v>51</v>
      </c>
      <c r="AD6" s="526">
        <f>'27'!G19</f>
        <v>54</v>
      </c>
      <c r="AE6" s="526">
        <f>'28'!G19</f>
        <v>52</v>
      </c>
      <c r="AF6" s="526">
        <f>'29'!G19</f>
        <v>-1525</v>
      </c>
      <c r="AG6" s="526">
        <f>'30'!G19</f>
        <v>51</v>
      </c>
      <c r="AH6" s="526">
        <f>'31'!G19</f>
        <v>54</v>
      </c>
      <c r="AI6" s="524"/>
    </row>
    <row r="7" spans="2:35">
      <c r="B7" s="528"/>
      <c r="C7" s="524" t="s">
        <v>72</v>
      </c>
      <c r="D7" s="526">
        <f>'1'!G92</f>
        <v>122</v>
      </c>
      <c r="E7" s="526">
        <f>'2'!G92</f>
        <v>95</v>
      </c>
      <c r="F7" s="526">
        <f>'3'!G92</f>
        <v>82</v>
      </c>
      <c r="G7" s="526">
        <f>'4'!G92</f>
        <v>99</v>
      </c>
      <c r="H7" s="526">
        <f>'5'!G92</f>
        <v>73</v>
      </c>
      <c r="I7" s="526">
        <f>'6'!G92</f>
        <v>116</v>
      </c>
      <c r="J7" s="526">
        <f>'7'!G92</f>
        <v>162</v>
      </c>
      <c r="K7" s="526">
        <f>'8'!G92</f>
        <v>93</v>
      </c>
      <c r="L7" s="526">
        <f>'9'!G92</f>
        <v>96</v>
      </c>
      <c r="M7" s="526">
        <f>'10'!G92</f>
        <v>47</v>
      </c>
      <c r="N7" s="526">
        <f>'11'!G92</f>
        <v>79</v>
      </c>
      <c r="O7" s="526">
        <f>'12'!G92</f>
        <v>68</v>
      </c>
      <c r="P7" s="526">
        <f>'13'!G92</f>
        <v>-2887</v>
      </c>
      <c r="Q7" s="526">
        <f>'14'!G92</f>
        <v>166</v>
      </c>
      <c r="R7" s="526">
        <f>'15'!G92</f>
        <v>192</v>
      </c>
      <c r="S7" s="526">
        <f>'16'!G92</f>
        <v>132</v>
      </c>
      <c r="T7" s="526">
        <f>'17'!G92</f>
        <v>84</v>
      </c>
      <c r="U7" s="526">
        <f>'18'!G92</f>
        <v>81</v>
      </c>
      <c r="V7" s="526">
        <f>'19'!G92</f>
        <v>95</v>
      </c>
      <c r="W7" s="526">
        <f>'20'!G92</f>
        <v>107</v>
      </c>
      <c r="X7" s="526">
        <f>'21'!G92</f>
        <v>122</v>
      </c>
      <c r="Y7" s="526">
        <f>'22'!G92</f>
        <v>122</v>
      </c>
      <c r="Z7" s="526">
        <f>'23'!G92</f>
        <v>104</v>
      </c>
      <c r="AA7" s="526">
        <f>'24'!G92</f>
        <v>88</v>
      </c>
      <c r="AB7" s="526">
        <f>'25'!G92</f>
        <v>103</v>
      </c>
      <c r="AC7" s="526">
        <f>'26'!G92</f>
        <v>69</v>
      </c>
      <c r="AD7" s="526">
        <f>'27'!G92</f>
        <v>146</v>
      </c>
      <c r="AE7" s="526">
        <f>'28'!G92</f>
        <v>144</v>
      </c>
      <c r="AF7" s="526">
        <f>'29'!G92</f>
        <v>-3290</v>
      </c>
      <c r="AG7" s="526">
        <f>'30'!G92</f>
        <v>74</v>
      </c>
      <c r="AH7" s="526">
        <f>'31'!G92</f>
        <v>91</v>
      </c>
      <c r="AI7" s="524"/>
    </row>
    <row r="8" spans="2:35">
      <c r="B8" s="1418" t="s">
        <v>73</v>
      </c>
      <c r="C8" s="524" t="s">
        <v>33</v>
      </c>
      <c r="D8" s="526">
        <f>'1'!G95</f>
        <v>76</v>
      </c>
      <c r="E8" s="526">
        <f>'2'!G95</f>
        <v>85</v>
      </c>
      <c r="F8" s="526">
        <f>'3'!G95</f>
        <v>76</v>
      </c>
      <c r="G8" s="526">
        <f>'4'!G95</f>
        <v>98</v>
      </c>
      <c r="H8" s="526">
        <f>'5'!G95</f>
        <v>83</v>
      </c>
      <c r="I8" s="526">
        <f>'6'!G95</f>
        <v>120</v>
      </c>
      <c r="J8" s="526">
        <f>'7'!G95</f>
        <v>119</v>
      </c>
      <c r="K8" s="526">
        <f>'8'!G95</f>
        <v>72</v>
      </c>
      <c r="L8" s="526">
        <f>'9'!G95</f>
        <v>91</v>
      </c>
      <c r="M8" s="526">
        <f>'10'!G95</f>
        <v>68</v>
      </c>
      <c r="N8" s="526">
        <f>'11'!G95</f>
        <v>79</v>
      </c>
      <c r="O8" s="526">
        <f>'12'!G95</f>
        <v>71</v>
      </c>
      <c r="P8" s="526">
        <f>'13'!G95</f>
        <v>-2406</v>
      </c>
      <c r="Q8" s="526">
        <f>'14'!G95</f>
        <v>121</v>
      </c>
      <c r="R8" s="526">
        <f>'15'!G95</f>
        <v>131</v>
      </c>
      <c r="S8" s="526">
        <f>'16'!G95</f>
        <v>97</v>
      </c>
      <c r="T8" s="526">
        <f>'17'!G95</f>
        <v>72</v>
      </c>
      <c r="U8" s="526">
        <f>'18'!G95</f>
        <v>74</v>
      </c>
      <c r="V8" s="526">
        <f>'19'!G95</f>
        <v>79</v>
      </c>
      <c r="W8" s="526">
        <f>'20'!G95</f>
        <v>86</v>
      </c>
      <c r="X8" s="526">
        <f>'21'!G95</f>
        <v>72</v>
      </c>
      <c r="Y8" s="526">
        <f>'22'!G95</f>
        <v>107</v>
      </c>
      <c r="Z8" s="526">
        <f>'23'!G95</f>
        <v>101</v>
      </c>
      <c r="AA8" s="526">
        <f>'24'!G95</f>
        <v>71</v>
      </c>
      <c r="AB8" s="526">
        <f>'25'!G95</f>
        <v>103</v>
      </c>
      <c r="AC8" s="526">
        <f>'26'!G95</f>
        <v>79</v>
      </c>
      <c r="AD8" s="526">
        <f>'27'!G95</f>
        <v>85</v>
      </c>
      <c r="AE8" s="526">
        <f>'28'!G95</f>
        <v>90</v>
      </c>
      <c r="AF8" s="526">
        <f>'29'!G95</f>
        <v>-2403</v>
      </c>
      <c r="AG8" s="526">
        <f>'30'!G95</f>
        <v>54</v>
      </c>
      <c r="AH8" s="526">
        <f>'31'!G95</f>
        <v>69</v>
      </c>
      <c r="AI8" s="524"/>
    </row>
    <row r="9" spans="2:35">
      <c r="B9" s="1418"/>
      <c r="C9" s="524" t="s">
        <v>34</v>
      </c>
      <c r="D9" s="526">
        <f>'1'!G96</f>
        <v>13</v>
      </c>
      <c r="E9" s="526">
        <f>'2'!G96</f>
        <v>18</v>
      </c>
      <c r="F9" s="526">
        <f>'3'!G96</f>
        <v>17</v>
      </c>
      <c r="G9" s="526">
        <f>'4'!G96</f>
        <v>10</v>
      </c>
      <c r="H9" s="526">
        <f>'5'!G96</f>
        <v>11</v>
      </c>
      <c r="I9" s="526">
        <f>'6'!G96</f>
        <v>21</v>
      </c>
      <c r="J9" s="526">
        <f>'7'!G96</f>
        <v>32</v>
      </c>
      <c r="K9" s="526">
        <f>'8'!G96</f>
        <v>13</v>
      </c>
      <c r="L9" s="526">
        <f>'9'!G96</f>
        <v>12</v>
      </c>
      <c r="M9" s="526">
        <f>'10'!G96</f>
        <v>11</v>
      </c>
      <c r="N9" s="526">
        <f>'11'!G96</f>
        <v>10</v>
      </c>
      <c r="O9" s="526">
        <f>'12'!G96</f>
        <v>8</v>
      </c>
      <c r="P9" s="526">
        <f>'13'!G96</f>
        <v>-489</v>
      </c>
      <c r="Q9" s="526">
        <f>'14'!G96</f>
        <v>47</v>
      </c>
      <c r="R9" s="526">
        <f>'15'!G96</f>
        <v>25</v>
      </c>
      <c r="S9" s="526">
        <f>'16'!G96</f>
        <v>18</v>
      </c>
      <c r="T9" s="526">
        <f>'17'!G96</f>
        <v>15</v>
      </c>
      <c r="U9" s="526">
        <f>'18'!G96</f>
        <v>16</v>
      </c>
      <c r="V9" s="526">
        <f>'19'!G96</f>
        <v>9</v>
      </c>
      <c r="W9" s="526">
        <f>'20'!G96</f>
        <v>22</v>
      </c>
      <c r="X9" s="526">
        <f>'21'!G96</f>
        <v>27</v>
      </c>
      <c r="Y9" s="526">
        <f>'22'!G96</f>
        <v>21</v>
      </c>
      <c r="Z9" s="526">
        <f>'23'!G96</f>
        <v>18</v>
      </c>
      <c r="AA9" s="526">
        <f>'24'!G96</f>
        <v>13</v>
      </c>
      <c r="AB9" s="526">
        <f>'25'!G96</f>
        <v>14</v>
      </c>
      <c r="AC9" s="526">
        <f>'26'!G96</f>
        <v>12</v>
      </c>
      <c r="AD9" s="526">
        <f>'27'!G96</f>
        <v>16</v>
      </c>
      <c r="AE9" s="526">
        <f>'28'!G96</f>
        <v>40</v>
      </c>
      <c r="AF9" s="526">
        <f>'29'!G96</f>
        <v>-862</v>
      </c>
      <c r="AG9" s="526">
        <f>'30'!G96</f>
        <v>38</v>
      </c>
      <c r="AH9" s="526">
        <f>'31'!G96</f>
        <v>26</v>
      </c>
      <c r="AI9" s="524"/>
    </row>
    <row r="10" spans="2:35">
      <c r="B10" s="1418"/>
      <c r="C10" s="524" t="s">
        <v>35</v>
      </c>
      <c r="D10" s="526">
        <f>'1'!G97</f>
        <v>24</v>
      </c>
      <c r="E10" s="526">
        <f>'2'!G97</f>
        <v>19</v>
      </c>
      <c r="F10" s="526">
        <f>'3'!G97</f>
        <v>16</v>
      </c>
      <c r="G10" s="526">
        <f>'4'!G97</f>
        <v>16</v>
      </c>
      <c r="H10" s="526">
        <f>'5'!G97</f>
        <v>11</v>
      </c>
      <c r="I10" s="526">
        <f>'6'!G97</f>
        <v>25</v>
      </c>
      <c r="J10" s="526">
        <f>'7'!G97</f>
        <v>28</v>
      </c>
      <c r="K10" s="526">
        <f>'8'!G97</f>
        <v>13</v>
      </c>
      <c r="L10" s="526">
        <f>'9'!G97</f>
        <v>17</v>
      </c>
      <c r="M10" s="526">
        <f>'10'!G97</f>
        <v>18</v>
      </c>
      <c r="N10" s="526">
        <f>'11'!G97</f>
        <v>22</v>
      </c>
      <c r="O10" s="526">
        <f>'12'!G97</f>
        <v>18</v>
      </c>
      <c r="P10" s="526">
        <f>'13'!G97</f>
        <v>-604</v>
      </c>
      <c r="Q10" s="526">
        <f>'14'!G97</f>
        <v>46</v>
      </c>
      <c r="R10" s="526">
        <f>'15'!G97</f>
        <v>35</v>
      </c>
      <c r="S10" s="526">
        <f>'16'!G97</f>
        <v>24</v>
      </c>
      <c r="T10" s="526">
        <f>'17'!G97</f>
        <v>20</v>
      </c>
      <c r="U10" s="526">
        <f>'18'!G97</f>
        <v>17</v>
      </c>
      <c r="V10" s="526">
        <f>'19'!G97</f>
        <v>24</v>
      </c>
      <c r="W10" s="526">
        <f>'20'!G97</f>
        <v>32</v>
      </c>
      <c r="X10" s="526">
        <f>'21'!G97</f>
        <v>35</v>
      </c>
      <c r="Y10" s="526">
        <f>'22'!G97</f>
        <v>17</v>
      </c>
      <c r="Z10" s="526">
        <f>'23'!G97</f>
        <v>14</v>
      </c>
      <c r="AA10" s="526">
        <f>'24'!G97</f>
        <v>18</v>
      </c>
      <c r="AB10" s="526">
        <f>'25'!G97</f>
        <v>15</v>
      </c>
      <c r="AC10" s="526">
        <f>'26'!G97</f>
        <v>19</v>
      </c>
      <c r="AD10" s="526">
        <f>'27'!G97</f>
        <v>31</v>
      </c>
      <c r="AE10" s="526">
        <f>'28'!G97</f>
        <v>30</v>
      </c>
      <c r="AF10" s="526">
        <f>'29'!G97</f>
        <v>-824</v>
      </c>
      <c r="AG10" s="526">
        <f>'30'!G97</f>
        <v>23</v>
      </c>
      <c r="AH10" s="526">
        <f>'31'!G97</f>
        <v>29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418" t="s">
        <v>74</v>
      </c>
      <c r="C12" s="524" t="s">
        <v>33</v>
      </c>
      <c r="D12" s="526">
        <f>'1'!G98</f>
        <v>70</v>
      </c>
      <c r="E12" s="526">
        <f>'2'!G98</f>
        <v>101</v>
      </c>
      <c r="F12" s="526">
        <f>'3'!G98</f>
        <v>87</v>
      </c>
      <c r="G12" s="526">
        <f>'4'!G98</f>
        <v>49</v>
      </c>
      <c r="H12" s="526">
        <f>'5'!G98</f>
        <v>19</v>
      </c>
      <c r="I12" s="526">
        <f>'6'!G98</f>
        <v>37</v>
      </c>
      <c r="J12" s="526">
        <f>'7'!G98</f>
        <v>28</v>
      </c>
      <c r="K12" s="526">
        <f>'8'!G98</f>
        <v>39</v>
      </c>
      <c r="L12" s="526">
        <f>'9'!G98</f>
        <v>78</v>
      </c>
      <c r="M12" s="526">
        <f>'10'!G98</f>
        <v>44</v>
      </c>
      <c r="N12" s="526">
        <f>'11'!G98</f>
        <v>72</v>
      </c>
      <c r="O12" s="526">
        <f>'12'!G98</f>
        <v>67</v>
      </c>
      <c r="P12" s="526">
        <f>'13'!G98</f>
        <v>-1840</v>
      </c>
      <c r="Q12" s="526">
        <f>'14'!G98</f>
        <v>71</v>
      </c>
      <c r="R12" s="526">
        <f>'15'!G98</f>
        <v>76</v>
      </c>
      <c r="S12" s="526">
        <f>'16'!G98</f>
        <v>56</v>
      </c>
      <c r="T12" s="526">
        <f>'17'!G98</f>
        <v>35</v>
      </c>
      <c r="U12" s="526">
        <f>'18'!G98</f>
        <v>78</v>
      </c>
      <c r="V12" s="526">
        <f>'19'!G98</f>
        <v>63</v>
      </c>
      <c r="W12" s="526">
        <f>'20'!G98</f>
        <v>68</v>
      </c>
      <c r="X12" s="526">
        <f>'21'!G98</f>
        <v>87</v>
      </c>
      <c r="Y12" s="526">
        <f>'22'!G98</f>
        <v>71</v>
      </c>
      <c r="Z12" s="526">
        <f>'23'!G98</f>
        <v>82</v>
      </c>
      <c r="AA12" s="526">
        <f>'24'!G98</f>
        <v>94</v>
      </c>
      <c r="AB12" s="526">
        <f>'25'!G98</f>
        <v>108</v>
      </c>
      <c r="AC12" s="526">
        <f>'26'!G98</f>
        <v>129</v>
      </c>
      <c r="AD12" s="526">
        <f>'27'!G98</f>
        <v>62</v>
      </c>
      <c r="AE12" s="526">
        <f>'28'!G98</f>
        <v>69</v>
      </c>
      <c r="AF12" s="526">
        <f>'29'!G98</f>
        <v>-2186</v>
      </c>
      <c r="AG12" s="526">
        <f>'30'!G98</f>
        <v>57</v>
      </c>
      <c r="AH12" s="526">
        <f>'31'!G98</f>
        <v>75</v>
      </c>
      <c r="AI12" s="524"/>
    </row>
    <row r="13" spans="2:35">
      <c r="B13" s="1418"/>
      <c r="C13" s="524" t="s">
        <v>34</v>
      </c>
      <c r="D13" s="526">
        <f>'1'!G114</f>
        <v>19</v>
      </c>
      <c r="E13" s="526">
        <f>'2'!G114</f>
        <v>22</v>
      </c>
      <c r="F13" s="526">
        <f>'3'!G114</f>
        <v>16</v>
      </c>
      <c r="G13" s="526">
        <f>'4'!G114</f>
        <v>8</v>
      </c>
      <c r="H13" s="526">
        <f>'5'!G114</f>
        <v>20</v>
      </c>
      <c r="I13" s="526">
        <f>'6'!G114</f>
        <v>11</v>
      </c>
      <c r="J13" s="526">
        <f>'7'!G114</f>
        <v>26</v>
      </c>
      <c r="K13" s="526">
        <f>'8'!G114</f>
        <v>26</v>
      </c>
      <c r="L13" s="526">
        <f>'9'!G114</f>
        <v>18</v>
      </c>
      <c r="M13" s="526">
        <f>'10'!G114</f>
        <v>8</v>
      </c>
      <c r="N13" s="526">
        <f>'11'!G114</f>
        <v>14</v>
      </c>
      <c r="O13" s="526">
        <f>'12'!G114</f>
        <v>17</v>
      </c>
      <c r="P13" s="526">
        <f>'13'!G114</f>
        <v>-540</v>
      </c>
      <c r="Q13" s="526">
        <f>'14'!G114</f>
        <v>22</v>
      </c>
      <c r="R13" s="526">
        <f>'15'!G114</f>
        <v>35</v>
      </c>
      <c r="S13" s="526">
        <f>'16'!G114</f>
        <v>21</v>
      </c>
      <c r="T13" s="526">
        <f>'17'!G114</f>
        <v>17</v>
      </c>
      <c r="U13" s="526">
        <f>'18'!G114</f>
        <v>25</v>
      </c>
      <c r="V13" s="526">
        <f>'19'!G114</f>
        <v>26</v>
      </c>
      <c r="W13" s="526">
        <f>'20'!G114</f>
        <v>26</v>
      </c>
      <c r="X13" s="526">
        <f>'21'!G114</f>
        <v>17</v>
      </c>
      <c r="Y13" s="526">
        <f>'22'!G114</f>
        <v>21</v>
      </c>
      <c r="Z13" s="526">
        <f>'23'!G114</f>
        <v>14</v>
      </c>
      <c r="AA13" s="526">
        <f>'24'!G114</f>
        <v>30</v>
      </c>
      <c r="AB13" s="526">
        <f>'25'!G114</f>
        <v>19</v>
      </c>
      <c r="AC13" s="526">
        <f>'26'!G114</f>
        <v>16</v>
      </c>
      <c r="AD13" s="526">
        <f>'27'!G114</f>
        <v>22</v>
      </c>
      <c r="AE13" s="526">
        <f>'28'!G114</f>
        <v>32</v>
      </c>
      <c r="AF13" s="526">
        <f>'29'!G114</f>
        <v>-554</v>
      </c>
      <c r="AG13" s="526">
        <f>'30'!G114</f>
        <v>13</v>
      </c>
      <c r="AH13" s="526">
        <f>'31'!G114</f>
        <v>20</v>
      </c>
      <c r="AI13" s="524"/>
    </row>
    <row r="14" spans="2:35">
      <c r="B14" s="1418"/>
      <c r="C14" s="524" t="s">
        <v>35</v>
      </c>
      <c r="D14" s="526">
        <f>'1'!G115</f>
        <v>13</v>
      </c>
      <c r="E14" s="526">
        <f>'2'!G115</f>
        <v>10</v>
      </c>
      <c r="F14" s="526">
        <f>'3'!G115</f>
        <v>13</v>
      </c>
      <c r="G14" s="526">
        <f>'4'!G115</f>
        <v>11</v>
      </c>
      <c r="H14" s="526">
        <f>'5'!G115</f>
        <v>19</v>
      </c>
      <c r="I14" s="526">
        <f>'6'!G115</f>
        <v>7</v>
      </c>
      <c r="J14" s="526">
        <f>'7'!G115</f>
        <v>6</v>
      </c>
      <c r="K14" s="526">
        <f>'8'!G115</f>
        <v>6</v>
      </c>
      <c r="L14" s="526">
        <f>'9'!G115</f>
        <v>5</v>
      </c>
      <c r="M14" s="526">
        <f>'10'!G115</f>
        <v>3</v>
      </c>
      <c r="N14" s="526">
        <f>'11'!G115</f>
        <v>13</v>
      </c>
      <c r="O14" s="526">
        <f>'12'!G115</f>
        <v>8</v>
      </c>
      <c r="P14" s="526">
        <f>'13'!G115</f>
        <v>-261</v>
      </c>
      <c r="Q14" s="526">
        <f>'14'!G115</f>
        <v>20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5</v>
      </c>
      <c r="V14" s="526">
        <f>'19'!G115</f>
        <v>2</v>
      </c>
      <c r="W14" s="526">
        <f>'20'!G115</f>
        <v>8</v>
      </c>
      <c r="X14" s="526">
        <f>'21'!G115</f>
        <v>9</v>
      </c>
      <c r="Y14" s="526">
        <f>'22'!G115</f>
        <v>10</v>
      </c>
      <c r="Z14" s="526">
        <f>'23'!G115</f>
        <v>2</v>
      </c>
      <c r="AA14" s="526">
        <f>'24'!G115</f>
        <v>11</v>
      </c>
      <c r="AB14" s="526">
        <f>'25'!G115</f>
        <v>5</v>
      </c>
      <c r="AC14" s="526">
        <f>'26'!G115</f>
        <v>6</v>
      </c>
      <c r="AD14" s="526">
        <f>'27'!G115</f>
        <v>25</v>
      </c>
      <c r="AE14" s="526">
        <f>'28'!G115</f>
        <v>23</v>
      </c>
      <c r="AF14" s="526">
        <f>'29'!G115</f>
        <v>-252</v>
      </c>
      <c r="AG14" s="526">
        <f>'30'!G115</f>
        <v>6</v>
      </c>
      <c r="AH14" s="526">
        <f>'31'!G115</f>
        <v>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418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3</v>
      </c>
      <c r="H16" s="526">
        <f>'5'!G104</f>
        <v>3</v>
      </c>
      <c r="I16" s="526">
        <f>'6'!G104</f>
        <v>3</v>
      </c>
      <c r="J16" s="526">
        <f>'7'!G104</f>
        <v>5</v>
      </c>
      <c r="K16" s="526">
        <f>'8'!G104</f>
        <v>6</v>
      </c>
      <c r="L16" s="526">
        <f>'9'!G104</f>
        <v>10</v>
      </c>
      <c r="M16" s="526">
        <f>'10'!G104</f>
        <v>8</v>
      </c>
      <c r="N16" s="526">
        <f>'11'!G104</f>
        <v>0</v>
      </c>
      <c r="O16" s="526">
        <f>'12'!G104</f>
        <v>0</v>
      </c>
      <c r="P16" s="526">
        <f>'13'!G104</f>
        <v>-223</v>
      </c>
      <c r="Q16" s="526">
        <f>'14'!G104</f>
        <v>87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8</v>
      </c>
      <c r="Z16" s="526">
        <f>'23'!G104</f>
        <v>10</v>
      </c>
      <c r="AA16" s="526">
        <f>'24'!G104</f>
        <v>10</v>
      </c>
      <c r="AB16" s="526">
        <f>'25'!G104</f>
        <v>0</v>
      </c>
      <c r="AC16" s="526">
        <f>'26'!G104</f>
        <v>3</v>
      </c>
      <c r="AD16" s="526">
        <f>'27'!G104</f>
        <v>0</v>
      </c>
      <c r="AE16" s="526">
        <f>'28'!G104</f>
        <v>0</v>
      </c>
      <c r="AF16" s="526">
        <f>'29'!G104</f>
        <v>-118</v>
      </c>
      <c r="AG16" s="526">
        <f>'30'!G104</f>
        <v>0</v>
      </c>
      <c r="AH16" s="526">
        <f>'31'!G104</f>
        <v>0</v>
      </c>
      <c r="AI16" s="524"/>
    </row>
    <row r="17" spans="2:35">
      <c r="B17" s="1418"/>
      <c r="C17" s="524" t="s">
        <v>77</v>
      </c>
      <c r="D17" s="524">
        <f>'1'!G105</f>
        <v>9</v>
      </c>
      <c r="E17" s="526">
        <f>'2'!G105</f>
        <v>9</v>
      </c>
      <c r="F17" s="526">
        <f>'3'!G105</f>
        <v>9</v>
      </c>
      <c r="G17" s="526">
        <f>'4'!G105</f>
        <v>9</v>
      </c>
      <c r="H17" s="526">
        <f>'5'!G105</f>
        <v>9</v>
      </c>
      <c r="I17" s="526">
        <f>'6'!G105</f>
        <v>12</v>
      </c>
      <c r="J17" s="526">
        <f>'7'!G105</f>
        <v>9</v>
      </c>
      <c r="K17" s="526">
        <f>'8'!G105</f>
        <v>10</v>
      </c>
      <c r="L17" s="526">
        <f>'9'!G105</f>
        <v>7</v>
      </c>
      <c r="M17" s="526">
        <f>'10'!G105</f>
        <v>7</v>
      </c>
      <c r="N17" s="526">
        <f>'11'!G105</f>
        <v>6</v>
      </c>
      <c r="O17" s="526">
        <f>'12'!G105</f>
        <v>6</v>
      </c>
      <c r="P17" s="526">
        <f>'13'!G105</f>
        <v>-243</v>
      </c>
      <c r="Q17" s="526">
        <f>'14'!G105</f>
        <v>11</v>
      </c>
      <c r="R17" s="526">
        <f>'15'!G105</f>
        <v>17</v>
      </c>
      <c r="S17" s="526">
        <f>'16'!G105</f>
        <v>12</v>
      </c>
      <c r="T17" s="526">
        <f>'17'!G105</f>
        <v>9</v>
      </c>
      <c r="U17" s="526">
        <f>'18'!G105</f>
        <v>8</v>
      </c>
      <c r="V17" s="526">
        <f>'19'!G105</f>
        <v>7</v>
      </c>
      <c r="W17" s="526">
        <f>'20'!G105</f>
        <v>13</v>
      </c>
      <c r="X17" s="526">
        <f>'21'!G105</f>
        <v>7</v>
      </c>
      <c r="Y17" s="526">
        <f>'22'!G105</f>
        <v>12</v>
      </c>
      <c r="Z17" s="526">
        <f>'23'!G105</f>
        <v>13</v>
      </c>
      <c r="AA17" s="526">
        <f>'24'!G105</f>
        <v>9</v>
      </c>
      <c r="AB17" s="526">
        <f>'25'!G105</f>
        <v>6</v>
      </c>
      <c r="AC17" s="526">
        <f>'26'!G105</f>
        <v>9</v>
      </c>
      <c r="AD17" s="526">
        <f>'27'!G105</f>
        <v>8</v>
      </c>
      <c r="AE17" s="526">
        <f>'28'!G105</f>
        <v>9</v>
      </c>
      <c r="AF17" s="526">
        <f>'29'!G105</f>
        <v>-261</v>
      </c>
      <c r="AG17" s="526">
        <f>'30'!G105</f>
        <v>3</v>
      </c>
      <c r="AH17" s="526">
        <f>'31'!G105</f>
        <v>12</v>
      </c>
      <c r="AI17" s="524"/>
    </row>
    <row r="18" spans="2:35">
      <c r="B18" s="1418"/>
      <c r="C18" s="524" t="s">
        <v>78</v>
      </c>
      <c r="D18" s="524">
        <f>'1'!G106</f>
        <v>5</v>
      </c>
      <c r="E18" s="526">
        <f>'2'!G106</f>
        <v>5</v>
      </c>
      <c r="F18" s="526">
        <f>'3'!G106</f>
        <v>6</v>
      </c>
      <c r="G18" s="526">
        <f>'4'!G106</f>
        <v>6</v>
      </c>
      <c r="H18" s="526">
        <f>'5'!G106</f>
        <v>11</v>
      </c>
      <c r="I18" s="526">
        <f>'6'!G106</f>
        <v>4</v>
      </c>
      <c r="J18" s="526">
        <f>'7'!G106</f>
        <v>6</v>
      </c>
      <c r="K18" s="526">
        <f>'8'!G106</f>
        <v>3</v>
      </c>
      <c r="L18" s="526">
        <f>'9'!G106</f>
        <v>5</v>
      </c>
      <c r="M18" s="526">
        <f>'10'!G106</f>
        <v>5</v>
      </c>
      <c r="N18" s="526">
        <f>'11'!G106</f>
        <v>11</v>
      </c>
      <c r="O18" s="526">
        <f>'12'!G106</f>
        <v>4</v>
      </c>
      <c r="P18" s="526">
        <f>'13'!G106</f>
        <v>-160</v>
      </c>
      <c r="Q18" s="526">
        <f>'14'!G106</f>
        <v>5</v>
      </c>
      <c r="R18" s="526">
        <f>'15'!G106</f>
        <v>11</v>
      </c>
      <c r="S18" s="526">
        <f>'16'!G106</f>
        <v>6</v>
      </c>
      <c r="T18" s="526">
        <f>'17'!G106</f>
        <v>5</v>
      </c>
      <c r="U18" s="526">
        <f>'18'!G106</f>
        <v>10</v>
      </c>
      <c r="V18" s="526">
        <f>'19'!G106</f>
        <v>6</v>
      </c>
      <c r="W18" s="526">
        <f>'20'!G106</f>
        <v>8</v>
      </c>
      <c r="X18" s="526">
        <f>'21'!G106</f>
        <v>6</v>
      </c>
      <c r="Y18" s="526">
        <f>'22'!G106</f>
        <v>5</v>
      </c>
      <c r="Z18" s="526">
        <f>'23'!G106</f>
        <v>6</v>
      </c>
      <c r="AA18" s="526">
        <f>'24'!G106</f>
        <v>5</v>
      </c>
      <c r="AB18" s="526">
        <f>'25'!G106</f>
        <v>4</v>
      </c>
      <c r="AC18" s="526">
        <f>'26'!G106</f>
        <v>6</v>
      </c>
      <c r="AD18" s="526">
        <f>'27'!G106</f>
        <v>6</v>
      </c>
      <c r="AE18" s="526">
        <f>'28'!G106</f>
        <v>6</v>
      </c>
      <c r="AF18" s="526">
        <f>'29'!G106</f>
        <v>-177</v>
      </c>
      <c r="AG18" s="526">
        <f>'30'!G106</f>
        <v>5</v>
      </c>
      <c r="AH18" s="526">
        <f>'31'!G106</f>
        <v>5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418" t="s">
        <v>79</v>
      </c>
      <c r="C20" s="524" t="s">
        <v>80</v>
      </c>
      <c r="D20" s="524">
        <f>'1'!G109</f>
        <v>82</v>
      </c>
      <c r="E20" s="526">
        <f>'2'!G109</f>
        <v>81</v>
      </c>
      <c r="F20" s="526">
        <f>'3'!G109</f>
        <v>90</v>
      </c>
      <c r="G20" s="526">
        <f>'4'!G109</f>
        <v>82</v>
      </c>
      <c r="H20" s="526">
        <f>'5'!G109</f>
        <v>172</v>
      </c>
      <c r="I20" s="526">
        <f>'6'!G109</f>
        <v>76</v>
      </c>
      <c r="J20" s="526">
        <f>'7'!G109</f>
        <v>83</v>
      </c>
      <c r="K20" s="526">
        <f>'8'!G109</f>
        <v>84</v>
      </c>
      <c r="L20" s="526">
        <f>'9'!G109</f>
        <v>40</v>
      </c>
      <c r="M20" s="526">
        <f>'10'!G109</f>
        <v>83</v>
      </c>
      <c r="N20" s="526">
        <f>'11'!G109</f>
        <v>82</v>
      </c>
      <c r="O20" s="526">
        <f>'12'!G109</f>
        <v>41</v>
      </c>
      <c r="P20" s="526">
        <f>'13'!G109</f>
        <v>-1822</v>
      </c>
      <c r="Q20" s="526">
        <f>'14'!G109</f>
        <v>60</v>
      </c>
      <c r="R20" s="526">
        <f>'15'!G109</f>
        <v>83</v>
      </c>
      <c r="S20" s="526">
        <f>'16'!G109</f>
        <v>60</v>
      </c>
      <c r="T20" s="526">
        <f>'17'!G109</f>
        <v>40</v>
      </c>
      <c r="U20" s="526">
        <f>'18'!G109</f>
        <v>60</v>
      </c>
      <c r="V20" s="526">
        <f>'19'!G109</f>
        <v>40</v>
      </c>
      <c r="W20" s="526">
        <f>'20'!G109</f>
        <v>59</v>
      </c>
      <c r="X20" s="526">
        <f>'21'!G109</f>
        <v>60</v>
      </c>
      <c r="Y20" s="526">
        <f>'22'!G109</f>
        <v>62</v>
      </c>
      <c r="Z20" s="526">
        <f>'23'!G109</f>
        <v>59</v>
      </c>
      <c r="AA20" s="526">
        <f>'24'!G109</f>
        <v>82</v>
      </c>
      <c r="AB20" s="526">
        <f>'25'!G109</f>
        <v>40</v>
      </c>
      <c r="AC20" s="526">
        <f>'26'!G109</f>
        <v>60</v>
      </c>
      <c r="AD20" s="526">
        <f>'27'!G109</f>
        <v>82</v>
      </c>
      <c r="AE20" s="526">
        <f>'28'!G109</f>
        <v>61</v>
      </c>
      <c r="AF20" s="526">
        <f>'29'!G109</f>
        <v>-1808</v>
      </c>
      <c r="AG20" s="526">
        <f>'30'!G109</f>
        <v>63</v>
      </c>
      <c r="AH20" s="526">
        <f>'31'!G109</f>
        <v>66</v>
      </c>
      <c r="AI20" s="524"/>
    </row>
    <row r="21" spans="2:35">
      <c r="B21" s="1418"/>
      <c r="C21" s="524" t="s">
        <v>81</v>
      </c>
      <c r="D21" s="524">
        <f>'1'!G110</f>
        <v>66</v>
      </c>
      <c r="E21" s="526">
        <f>'2'!G110</f>
        <v>97</v>
      </c>
      <c r="F21" s="526">
        <f>'3'!G110</f>
        <v>105</v>
      </c>
      <c r="G21" s="526">
        <f>'4'!G110</f>
        <v>39</v>
      </c>
      <c r="H21" s="526">
        <f>'5'!G110</f>
        <v>39</v>
      </c>
      <c r="I21" s="526">
        <f>'6'!G110</f>
        <v>65</v>
      </c>
      <c r="J21" s="526">
        <f>'7'!G110</f>
        <v>24</v>
      </c>
      <c r="K21" s="526">
        <f>'8'!G110</f>
        <v>56</v>
      </c>
      <c r="L21" s="526">
        <f>'9'!G110</f>
        <v>81</v>
      </c>
      <c r="M21" s="526">
        <f>'10'!G110</f>
        <v>38</v>
      </c>
      <c r="N21" s="526">
        <f>'11'!G110</f>
        <v>58</v>
      </c>
      <c r="O21" s="526">
        <f>'12'!G110</f>
        <v>0</v>
      </c>
      <c r="P21" s="526">
        <f>'13'!G110</f>
        <v>-1765</v>
      </c>
      <c r="Q21" s="526">
        <f>'14'!G110</f>
        <v>42</v>
      </c>
      <c r="R21" s="526">
        <f>'15'!G110</f>
        <v>86</v>
      </c>
      <c r="S21" s="526">
        <f>'16'!G110</f>
        <v>58</v>
      </c>
      <c r="T21" s="526">
        <f>'17'!G110</f>
        <v>37</v>
      </c>
      <c r="U21" s="526">
        <f>'18'!G110</f>
        <v>92</v>
      </c>
      <c r="V21" s="526">
        <f>'19'!G110</f>
        <v>31</v>
      </c>
      <c r="W21" s="526">
        <f>'20'!G110</f>
        <v>75</v>
      </c>
      <c r="X21" s="526">
        <f>'21'!G110</f>
        <v>100</v>
      </c>
      <c r="Y21" s="526">
        <f>'22'!G110</f>
        <v>70</v>
      </c>
      <c r="Z21" s="526">
        <f>'23'!G110</f>
        <v>89</v>
      </c>
      <c r="AA21" s="526">
        <f>'24'!G110</f>
        <v>41</v>
      </c>
      <c r="AB21" s="526">
        <f>'25'!G110</f>
        <v>148</v>
      </c>
      <c r="AC21" s="526">
        <f>'26'!G110</f>
        <v>123</v>
      </c>
      <c r="AD21" s="526">
        <f>'27'!G110</f>
        <v>95</v>
      </c>
      <c r="AE21" s="526">
        <f>'28'!G110</f>
        <v>49</v>
      </c>
      <c r="AF21" s="526">
        <f>'29'!G110</f>
        <v>-2144</v>
      </c>
      <c r="AG21" s="526">
        <f>'30'!G110</f>
        <v>91</v>
      </c>
      <c r="AH21" s="526">
        <f>'31'!G110</f>
        <v>67</v>
      </c>
      <c r="AI21" s="524"/>
    </row>
    <row r="22" spans="2:35">
      <c r="B22" s="1418"/>
      <c r="C22" s="524" t="s">
        <v>82</v>
      </c>
      <c r="D22" s="524">
        <f>'1'!G111</f>
        <v>7</v>
      </c>
      <c r="E22" s="526">
        <f>'2'!G111</f>
        <v>0</v>
      </c>
      <c r="F22" s="526">
        <f>'3'!G111</f>
        <v>25</v>
      </c>
      <c r="G22" s="526">
        <f>'4'!G111</f>
        <v>0</v>
      </c>
      <c r="H22" s="526">
        <f>'5'!G111</f>
        <v>0</v>
      </c>
      <c r="I22" s="526">
        <f>'6'!G111</f>
        <v>17</v>
      </c>
      <c r="J22" s="526">
        <f>'7'!G111</f>
        <v>0</v>
      </c>
      <c r="K22" s="526">
        <f>'8'!G111</f>
        <v>6</v>
      </c>
      <c r="L22" s="526">
        <f>'9'!G111</f>
        <v>8</v>
      </c>
      <c r="M22" s="526">
        <f>'10'!G111</f>
        <v>4</v>
      </c>
      <c r="N22" s="526">
        <f>'11'!G111</f>
        <v>0</v>
      </c>
      <c r="O22" s="526">
        <f>'12'!G111</f>
        <v>7</v>
      </c>
      <c r="P22" s="526">
        <f>'13'!G111</f>
        <v>-184</v>
      </c>
      <c r="Q22" s="526">
        <f>'14'!G111</f>
        <v>0</v>
      </c>
      <c r="R22" s="526">
        <f>'15'!G111</f>
        <v>13</v>
      </c>
      <c r="S22" s="526">
        <f>'16'!G111</f>
        <v>0</v>
      </c>
      <c r="T22" s="526">
        <f>'17'!G111</f>
        <v>22</v>
      </c>
      <c r="U22" s="526">
        <f>'18'!G111</f>
        <v>7</v>
      </c>
      <c r="V22" s="526">
        <f>'19'!G111</f>
        <v>0</v>
      </c>
      <c r="W22" s="526">
        <f>'20'!G111</f>
        <v>20</v>
      </c>
      <c r="X22" s="526">
        <f>'21'!G111</f>
        <v>6</v>
      </c>
      <c r="Y22" s="526">
        <f>'22'!G111</f>
        <v>8</v>
      </c>
      <c r="Z22" s="526">
        <f>'23'!G111</f>
        <v>5</v>
      </c>
      <c r="AA22" s="526">
        <f>'24'!G111</f>
        <v>10</v>
      </c>
      <c r="AB22" s="526">
        <f>'25'!G111</f>
        <v>0</v>
      </c>
      <c r="AC22" s="526">
        <f>'26'!G111</f>
        <v>12</v>
      </c>
      <c r="AD22" s="526">
        <f>'27'!G111</f>
        <v>7</v>
      </c>
      <c r="AE22" s="526">
        <f>'28'!G111</f>
        <v>0</v>
      </c>
      <c r="AF22" s="526">
        <f>'29'!G111</f>
        <v>-254</v>
      </c>
      <c r="AG22" s="526">
        <f>'30'!G111</f>
        <v>28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145</v>
      </c>
      <c r="E24" s="526">
        <f t="shared" ref="E24:AI24" si="0">SUM(E8:E10,E13:E14,)</f>
        <v>154</v>
      </c>
      <c r="F24" s="526">
        <f t="shared" si="0"/>
        <v>138</v>
      </c>
      <c r="G24" s="526">
        <f t="shared" si="0"/>
        <v>143</v>
      </c>
      <c r="H24" s="526">
        <f t="shared" si="0"/>
        <v>144</v>
      </c>
      <c r="I24" s="526">
        <f t="shared" si="0"/>
        <v>184</v>
      </c>
      <c r="J24" s="526">
        <f t="shared" si="0"/>
        <v>211</v>
      </c>
      <c r="K24" s="526">
        <f t="shared" si="0"/>
        <v>130</v>
      </c>
      <c r="L24" s="526">
        <f t="shared" si="0"/>
        <v>143</v>
      </c>
      <c r="M24" s="526">
        <f t="shared" si="0"/>
        <v>108</v>
      </c>
      <c r="N24" s="526">
        <f t="shared" si="0"/>
        <v>138</v>
      </c>
      <c r="O24" s="526">
        <f t="shared" si="0"/>
        <v>122</v>
      </c>
      <c r="P24" s="526">
        <f t="shared" si="0"/>
        <v>-4300</v>
      </c>
      <c r="Q24" s="526">
        <f t="shared" si="0"/>
        <v>256</v>
      </c>
      <c r="R24" s="526">
        <f t="shared" si="0"/>
        <v>239</v>
      </c>
      <c r="S24" s="526">
        <f t="shared" si="0"/>
        <v>173</v>
      </c>
      <c r="T24" s="526">
        <f>SUM(T8:T10,T13:T14,)</f>
        <v>130</v>
      </c>
      <c r="U24" s="526">
        <f t="shared" si="0"/>
        <v>137</v>
      </c>
      <c r="V24" s="526">
        <f t="shared" si="0"/>
        <v>140</v>
      </c>
      <c r="W24" s="526">
        <f t="shared" si="0"/>
        <v>174</v>
      </c>
      <c r="X24" s="526">
        <f t="shared" si="0"/>
        <v>160</v>
      </c>
      <c r="Y24" s="526">
        <f t="shared" si="0"/>
        <v>176</v>
      </c>
      <c r="Z24" s="526">
        <f t="shared" si="0"/>
        <v>149</v>
      </c>
      <c r="AA24" s="526">
        <f t="shared" si="0"/>
        <v>143</v>
      </c>
      <c r="AB24" s="526">
        <f t="shared" si="0"/>
        <v>156</v>
      </c>
      <c r="AC24" s="526">
        <f t="shared" si="0"/>
        <v>132</v>
      </c>
      <c r="AD24" s="526">
        <f t="shared" si="0"/>
        <v>179</v>
      </c>
      <c r="AE24" s="526">
        <f t="shared" si="0"/>
        <v>215</v>
      </c>
      <c r="AF24" s="526">
        <f t="shared" si="0"/>
        <v>-4895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159</v>
      </c>
      <c r="E26" s="526">
        <f t="shared" ref="E26:AH26" si="1">SUM(E12,E20,E22)</f>
        <v>182</v>
      </c>
      <c r="F26" s="526">
        <f>SUM(F12,F20,F22)</f>
        <v>202</v>
      </c>
      <c r="G26" s="526">
        <f t="shared" si="1"/>
        <v>131</v>
      </c>
      <c r="H26" s="526">
        <f t="shared" si="1"/>
        <v>191</v>
      </c>
      <c r="I26" s="526">
        <f t="shared" si="1"/>
        <v>130</v>
      </c>
      <c r="J26" s="526">
        <f t="shared" si="1"/>
        <v>111</v>
      </c>
      <c r="K26" s="526">
        <f t="shared" si="1"/>
        <v>129</v>
      </c>
      <c r="L26" s="526">
        <f t="shared" si="1"/>
        <v>126</v>
      </c>
      <c r="M26" s="526">
        <f t="shared" si="1"/>
        <v>131</v>
      </c>
      <c r="N26" s="526">
        <f t="shared" si="1"/>
        <v>154</v>
      </c>
      <c r="O26" s="526">
        <f t="shared" si="1"/>
        <v>115</v>
      </c>
      <c r="P26" s="526">
        <f t="shared" si="1"/>
        <v>-3846</v>
      </c>
      <c r="Q26" s="526">
        <f t="shared" si="1"/>
        <v>131</v>
      </c>
      <c r="R26" s="526">
        <f t="shared" si="1"/>
        <v>172</v>
      </c>
      <c r="S26" s="526">
        <f t="shared" si="1"/>
        <v>116</v>
      </c>
      <c r="T26" s="526">
        <f t="shared" si="1"/>
        <v>97</v>
      </c>
      <c r="U26" s="526">
        <f t="shared" si="1"/>
        <v>145</v>
      </c>
      <c r="V26" s="526">
        <f t="shared" si="1"/>
        <v>103</v>
      </c>
      <c r="W26" s="526">
        <f t="shared" si="1"/>
        <v>147</v>
      </c>
      <c r="X26" s="526">
        <f t="shared" si="1"/>
        <v>153</v>
      </c>
      <c r="Y26" s="526">
        <f t="shared" si="1"/>
        <v>141</v>
      </c>
      <c r="Z26" s="526">
        <f t="shared" si="1"/>
        <v>146</v>
      </c>
      <c r="AA26" s="526">
        <f t="shared" si="1"/>
        <v>186</v>
      </c>
      <c r="AB26" s="526">
        <f t="shared" si="1"/>
        <v>148</v>
      </c>
      <c r="AC26" s="526">
        <f t="shared" si="1"/>
        <v>201</v>
      </c>
      <c r="AD26" s="526">
        <f t="shared" si="1"/>
        <v>151</v>
      </c>
      <c r="AE26" s="526">
        <f t="shared" si="1"/>
        <v>130</v>
      </c>
      <c r="AF26" s="526">
        <f t="shared" si="1"/>
        <v>-4248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>
      <c r="B27" s="1110"/>
      <c r="C27" s="1111"/>
      <c r="D27" s="1111"/>
      <c r="E27" s="1111"/>
      <c r="F27" s="1111"/>
      <c r="G27" s="1111"/>
      <c r="H27" s="1111"/>
      <c r="I27" s="1111"/>
      <c r="J27" s="1111"/>
      <c r="K27" s="1111"/>
      <c r="L27" s="1111"/>
      <c r="M27" s="1111"/>
      <c r="N27" s="1111"/>
      <c r="O27" s="1111"/>
      <c r="P27" s="1111"/>
      <c r="Q27" s="1111"/>
      <c r="R27" s="1111"/>
      <c r="S27" s="1111"/>
      <c r="T27" s="1111"/>
      <c r="U27" s="1111"/>
      <c r="V27" s="1111"/>
      <c r="W27" s="1111"/>
      <c r="X27" s="1111"/>
      <c r="Y27" s="1111"/>
      <c r="Z27" s="1111"/>
      <c r="AA27" s="1111"/>
      <c r="AB27" s="1111"/>
      <c r="AC27" s="1111"/>
      <c r="AD27" s="1111"/>
      <c r="AE27" s="1111"/>
      <c r="AF27" s="1111"/>
      <c r="AG27" s="1111"/>
      <c r="AH27" s="1111"/>
      <c r="AI27" s="1111"/>
    </row>
    <row r="28" spans="2:35">
      <c r="B28" s="1110" t="s">
        <v>85</v>
      </c>
      <c r="C28" s="1111"/>
      <c r="D28" s="1112">
        <f>D8</f>
        <v>76</v>
      </c>
      <c r="E28" s="1112">
        <f t="shared" ref="E28:AH28" si="3">E8</f>
        <v>85</v>
      </c>
      <c r="F28" s="1112">
        <f t="shared" si="3"/>
        <v>76</v>
      </c>
      <c r="G28" s="1112">
        <f t="shared" si="3"/>
        <v>98</v>
      </c>
      <c r="H28" s="1112">
        <f t="shared" si="3"/>
        <v>83</v>
      </c>
      <c r="I28" s="1112">
        <f t="shared" si="3"/>
        <v>120</v>
      </c>
      <c r="J28" s="1112">
        <f t="shared" si="3"/>
        <v>119</v>
      </c>
      <c r="K28" s="1112">
        <f t="shared" si="3"/>
        <v>72</v>
      </c>
      <c r="L28" s="1112">
        <f t="shared" si="3"/>
        <v>91</v>
      </c>
      <c r="M28" s="1112">
        <f t="shared" si="3"/>
        <v>68</v>
      </c>
      <c r="N28" s="1112">
        <f t="shared" si="3"/>
        <v>79</v>
      </c>
      <c r="O28" s="1112">
        <f t="shared" si="3"/>
        <v>71</v>
      </c>
      <c r="P28" s="1112">
        <f t="shared" si="3"/>
        <v>-2406</v>
      </c>
      <c r="Q28" s="1112">
        <f t="shared" si="3"/>
        <v>121</v>
      </c>
      <c r="R28" s="1112">
        <f t="shared" si="3"/>
        <v>131</v>
      </c>
      <c r="S28" s="1112">
        <f t="shared" si="3"/>
        <v>97</v>
      </c>
      <c r="T28" s="1112">
        <f t="shared" si="3"/>
        <v>72</v>
      </c>
      <c r="U28" s="1112">
        <f t="shared" si="3"/>
        <v>74</v>
      </c>
      <c r="V28" s="1112">
        <f t="shared" si="3"/>
        <v>79</v>
      </c>
      <c r="W28" s="1112">
        <f t="shared" si="3"/>
        <v>86</v>
      </c>
      <c r="X28" s="1112">
        <f t="shared" si="3"/>
        <v>72</v>
      </c>
      <c r="Y28" s="1112">
        <f t="shared" si="3"/>
        <v>107</v>
      </c>
      <c r="Z28" s="1112">
        <f t="shared" si="3"/>
        <v>101</v>
      </c>
      <c r="AA28" s="1112">
        <f t="shared" si="3"/>
        <v>71</v>
      </c>
      <c r="AB28" s="1112">
        <f t="shared" si="3"/>
        <v>103</v>
      </c>
      <c r="AC28" s="1112">
        <f t="shared" si="3"/>
        <v>79</v>
      </c>
      <c r="AD28" s="1112">
        <f t="shared" si="3"/>
        <v>85</v>
      </c>
      <c r="AE28" s="1112">
        <f t="shared" si="3"/>
        <v>90</v>
      </c>
      <c r="AF28" s="1112">
        <f t="shared" si="3"/>
        <v>-2403</v>
      </c>
      <c r="AG28" s="1112">
        <f t="shared" si="3"/>
        <v>54</v>
      </c>
      <c r="AH28" s="1112">
        <f t="shared" si="3"/>
        <v>69</v>
      </c>
      <c r="AI28" s="1111"/>
    </row>
    <row r="29" spans="2:35">
      <c r="B29" s="1110" t="s">
        <v>86</v>
      </c>
      <c r="C29" s="1111"/>
      <c r="D29" s="1112">
        <f>SUM(D9:D10,D13:D14)</f>
        <v>69</v>
      </c>
      <c r="E29" s="1112">
        <f t="shared" ref="E29:AH29" si="4">SUM(E9:E10,E13:E14)</f>
        <v>69</v>
      </c>
      <c r="F29" s="1112">
        <f t="shared" si="4"/>
        <v>62</v>
      </c>
      <c r="G29" s="1112">
        <f t="shared" si="4"/>
        <v>45</v>
      </c>
      <c r="H29" s="1112">
        <f t="shared" si="4"/>
        <v>61</v>
      </c>
      <c r="I29" s="1112">
        <f t="shared" si="4"/>
        <v>64</v>
      </c>
      <c r="J29" s="1112">
        <f t="shared" si="4"/>
        <v>92</v>
      </c>
      <c r="K29" s="1112">
        <f t="shared" si="4"/>
        <v>58</v>
      </c>
      <c r="L29" s="1112">
        <f t="shared" si="4"/>
        <v>52</v>
      </c>
      <c r="M29" s="1112">
        <f t="shared" si="4"/>
        <v>40</v>
      </c>
      <c r="N29" s="1112">
        <f t="shared" si="4"/>
        <v>59</v>
      </c>
      <c r="O29" s="1112">
        <f t="shared" si="4"/>
        <v>51</v>
      </c>
      <c r="P29" s="1112">
        <f t="shared" si="4"/>
        <v>-1894</v>
      </c>
      <c r="Q29" s="1112">
        <f t="shared" si="4"/>
        <v>135</v>
      </c>
      <c r="R29" s="1112">
        <f t="shared" si="4"/>
        <v>108</v>
      </c>
      <c r="S29" s="1112">
        <f t="shared" si="4"/>
        <v>76</v>
      </c>
      <c r="T29" s="1112">
        <f t="shared" si="4"/>
        <v>58</v>
      </c>
      <c r="U29" s="1112">
        <f t="shared" si="4"/>
        <v>63</v>
      </c>
      <c r="V29" s="1112">
        <f t="shared" si="4"/>
        <v>61</v>
      </c>
      <c r="W29" s="1112">
        <f t="shared" si="4"/>
        <v>88</v>
      </c>
      <c r="X29" s="1112">
        <f t="shared" si="4"/>
        <v>88</v>
      </c>
      <c r="Y29" s="1112">
        <f t="shared" si="4"/>
        <v>69</v>
      </c>
      <c r="Z29" s="1112">
        <f t="shared" si="4"/>
        <v>48</v>
      </c>
      <c r="AA29" s="1112">
        <f t="shared" si="4"/>
        <v>72</v>
      </c>
      <c r="AB29" s="1112">
        <f t="shared" si="4"/>
        <v>53</v>
      </c>
      <c r="AC29" s="1112">
        <f t="shared" si="4"/>
        <v>53</v>
      </c>
      <c r="AD29" s="1112">
        <f t="shared" si="4"/>
        <v>94</v>
      </c>
      <c r="AE29" s="1112">
        <f t="shared" si="4"/>
        <v>125</v>
      </c>
      <c r="AF29" s="1112">
        <f t="shared" si="4"/>
        <v>-2492</v>
      </c>
      <c r="AG29" s="1112">
        <f t="shared" si="4"/>
        <v>80</v>
      </c>
      <c r="AH29" s="1112">
        <f t="shared" si="4"/>
        <v>81</v>
      </c>
      <c r="AI29" s="1111"/>
    </row>
    <row r="30" spans="2:35">
      <c r="B30" s="1110" t="s">
        <v>87</v>
      </c>
      <c r="C30" s="1111"/>
      <c r="D30" s="1111">
        <f>D29/SUM(D28:D29)%</f>
        <v>47.586206896551722</v>
      </c>
      <c r="E30" s="1111">
        <f t="shared" ref="E30:AH30" si="5">E29/SUM(E28:E29)%</f>
        <v>44.805194805194802</v>
      </c>
      <c r="F30" s="1111">
        <f t="shared" si="5"/>
        <v>44.927536231884062</v>
      </c>
      <c r="G30" s="1111">
        <f t="shared" si="5"/>
        <v>31.46853146853147</v>
      </c>
      <c r="H30" s="1111">
        <f t="shared" si="5"/>
        <v>42.361111111111114</v>
      </c>
      <c r="I30" s="1111">
        <f t="shared" si="5"/>
        <v>34.782608695652172</v>
      </c>
      <c r="J30" s="1111">
        <f t="shared" si="5"/>
        <v>43.601895734597157</v>
      </c>
      <c r="K30" s="1111">
        <f t="shared" si="5"/>
        <v>44.615384615384613</v>
      </c>
      <c r="L30" s="1111">
        <f t="shared" si="5"/>
        <v>36.363636363636367</v>
      </c>
      <c r="M30" s="1111">
        <f t="shared" si="5"/>
        <v>37.037037037037038</v>
      </c>
      <c r="N30" s="1111">
        <f t="shared" si="5"/>
        <v>42.753623188405797</v>
      </c>
      <c r="O30" s="1111">
        <f t="shared" si="5"/>
        <v>41.803278688524593</v>
      </c>
      <c r="P30" s="1111">
        <f t="shared" si="5"/>
        <v>44.046511627906973</v>
      </c>
      <c r="Q30" s="1111">
        <f t="shared" si="5"/>
        <v>52.734375</v>
      </c>
      <c r="R30" s="1111">
        <f t="shared" si="5"/>
        <v>45.188284518828446</v>
      </c>
      <c r="S30" s="1111">
        <f t="shared" si="5"/>
        <v>43.930635838150287</v>
      </c>
      <c r="T30" s="1111">
        <f t="shared" si="5"/>
        <v>44.615384615384613</v>
      </c>
      <c r="U30" s="1111">
        <f t="shared" si="5"/>
        <v>45.98540145985401</v>
      </c>
      <c r="V30" s="1111">
        <f t="shared" si="5"/>
        <v>43.571428571428577</v>
      </c>
      <c r="W30" s="1111">
        <f t="shared" si="5"/>
        <v>50.574712643678161</v>
      </c>
      <c r="X30" s="1111">
        <f t="shared" si="5"/>
        <v>55</v>
      </c>
      <c r="Y30" s="1111">
        <f t="shared" si="5"/>
        <v>39.204545454545453</v>
      </c>
      <c r="Z30" s="1111">
        <f t="shared" si="5"/>
        <v>32.214765100671144</v>
      </c>
      <c r="AA30" s="1111">
        <f t="shared" si="5"/>
        <v>50.349650349650354</v>
      </c>
      <c r="AB30" s="1111">
        <f t="shared" si="5"/>
        <v>33.974358974358971</v>
      </c>
      <c r="AC30" s="1111">
        <f t="shared" si="5"/>
        <v>40.151515151515149</v>
      </c>
      <c r="AD30" s="1111">
        <f t="shared" si="5"/>
        <v>52.513966480446925</v>
      </c>
      <c r="AE30" s="1111">
        <f t="shared" si="5"/>
        <v>58.139534883720934</v>
      </c>
      <c r="AF30" s="1111">
        <f t="shared" si="5"/>
        <v>50.909090909090907</v>
      </c>
      <c r="AG30" s="1111">
        <f t="shared" si="5"/>
        <v>59.701492537313428</v>
      </c>
      <c r="AH30" s="1111">
        <f t="shared" si="5"/>
        <v>54</v>
      </c>
      <c r="AI30" s="1111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90"/>
  <sheetViews>
    <sheetView topLeftCell="A3" zoomScale="85" zoomScaleNormal="85" workbookViewId="0">
      <pane ySplit="2" topLeftCell="A5" activePane="bottomLeft" state="frozen"/>
      <selection activeCell="A3" sqref="A3"/>
      <selection pane="bottomLeft" activeCell="AF14" sqref="AF14"/>
    </sheetView>
  </sheetViews>
  <sheetFormatPr defaultRowHeight="15.75"/>
  <cols>
    <col min="1" max="1" width="8.88671875" style="1122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122" customWidth="1"/>
    <col min="29" max="47" width="7" style="1122" customWidth="1"/>
    <col min="48" max="16384" width="8.88671875" style="1122"/>
  </cols>
  <sheetData>
    <row r="1" spans="1:49" ht="16.5" thickBot="1">
      <c r="B1" s="1122"/>
      <c r="C1" s="1122"/>
      <c r="D1" s="1122"/>
      <c r="E1" s="1122"/>
      <c r="F1" s="1122"/>
      <c r="G1" s="1122"/>
      <c r="H1" s="1122"/>
      <c r="I1" s="1122"/>
    </row>
    <row r="2" spans="1:49">
      <c r="B2" s="1415" t="s">
        <v>20</v>
      </c>
      <c r="C2" s="1416"/>
      <c r="D2" s="1416"/>
      <c r="E2" s="1416"/>
      <c r="F2" s="1416"/>
      <c r="G2" s="1416"/>
      <c r="H2" s="1416"/>
      <c r="I2" s="1417"/>
      <c r="J2" s="1421" t="s">
        <v>88</v>
      </c>
      <c r="K2" s="1421"/>
      <c r="L2" s="1421"/>
      <c r="M2" s="1421"/>
      <c r="N2" s="1421"/>
      <c r="O2" s="1421"/>
      <c r="P2" s="1421"/>
      <c r="Q2" s="1421"/>
      <c r="R2" s="1421"/>
      <c r="S2" s="1421"/>
      <c r="T2" s="1421"/>
      <c r="U2" s="1421"/>
      <c r="V2" s="1421"/>
      <c r="W2" s="1421"/>
      <c r="X2" s="1421"/>
      <c r="Y2" s="1421"/>
      <c r="Z2" s="1421"/>
      <c r="AA2" s="1421"/>
      <c r="AB2" s="1421"/>
      <c r="AC2" s="1421"/>
      <c r="AD2" s="1421"/>
      <c r="AE2" s="1421"/>
      <c r="AF2" s="1421"/>
      <c r="AG2" s="1421"/>
      <c r="AH2" s="1421"/>
      <c r="AI2" s="1421"/>
      <c r="AJ2" s="1420"/>
      <c r="AK2" s="1420"/>
      <c r="AL2" s="1420"/>
      <c r="AM2" s="1420"/>
      <c r="AN2" s="1420"/>
      <c r="AO2" s="1420"/>
      <c r="AP2" s="1420"/>
      <c r="AQ2" s="1202"/>
      <c r="AR2" s="1419" t="s">
        <v>89</v>
      </c>
      <c r="AS2" s="1419"/>
      <c r="AT2" s="1419"/>
      <c r="AU2" s="1419"/>
    </row>
    <row r="3" spans="1:49">
      <c r="B3" s="1376"/>
      <c r="C3" s="477"/>
      <c r="D3" s="477"/>
      <c r="E3" s="477"/>
      <c r="F3" s="477"/>
      <c r="G3" s="477"/>
      <c r="H3" s="477"/>
      <c r="I3" s="1377"/>
      <c r="J3" s="1375"/>
      <c r="K3" s="1375"/>
      <c r="L3" s="1375"/>
      <c r="M3" s="1375"/>
      <c r="N3" s="1375"/>
      <c r="O3" s="1375"/>
      <c r="P3" s="1375"/>
      <c r="Q3" s="1375"/>
      <c r="R3" s="1375"/>
      <c r="S3" s="1375"/>
      <c r="T3" s="1375"/>
      <c r="U3" s="1375"/>
      <c r="V3" s="1375"/>
      <c r="W3" s="1378"/>
      <c r="X3" s="1378"/>
      <c r="Y3" s="1378"/>
      <c r="Z3" s="1378"/>
      <c r="AA3" s="1378"/>
      <c r="AB3" s="1378"/>
      <c r="AC3" s="1378"/>
      <c r="AD3" s="1378"/>
      <c r="AE3" s="1378"/>
      <c r="AF3" s="1378"/>
      <c r="AG3" s="1378"/>
      <c r="AH3" s="1378"/>
      <c r="AI3" s="1375"/>
      <c r="AJ3" s="1422" t="s">
        <v>140</v>
      </c>
      <c r="AK3" s="1422"/>
      <c r="AL3" s="1422"/>
      <c r="AM3" s="1422"/>
      <c r="AN3" s="1422"/>
      <c r="AO3" s="1422"/>
      <c r="AP3" s="1422"/>
      <c r="AQ3" s="1423" t="s">
        <v>340</v>
      </c>
      <c r="AR3" s="1423"/>
      <c r="AS3" s="1423"/>
      <c r="AT3" s="1423"/>
      <c r="AU3" s="1423"/>
    </row>
    <row r="4" spans="1:49" ht="34.5" customHeight="1">
      <c r="A4" s="1123"/>
      <c r="B4" s="1379" t="s">
        <v>341</v>
      </c>
      <c r="C4" s="1380" t="s">
        <v>342</v>
      </c>
      <c r="D4" s="1380" t="s">
        <v>343</v>
      </c>
      <c r="E4" s="1380" t="s">
        <v>344</v>
      </c>
      <c r="F4" s="1380" t="s">
        <v>339</v>
      </c>
      <c r="G4" s="1380" t="s">
        <v>53</v>
      </c>
      <c r="H4" s="1381" t="s">
        <v>62</v>
      </c>
      <c r="I4" s="1381" t="s">
        <v>55</v>
      </c>
      <c r="J4" s="1123" t="s">
        <v>90</v>
      </c>
      <c r="K4" s="1123" t="s">
        <v>91</v>
      </c>
      <c r="L4" s="1123" t="s">
        <v>106</v>
      </c>
      <c r="M4" s="1123" t="s">
        <v>345</v>
      </c>
      <c r="N4" s="1123" t="s">
        <v>346</v>
      </c>
      <c r="O4" s="1123" t="s">
        <v>347</v>
      </c>
      <c r="P4" s="1123" t="s">
        <v>348</v>
      </c>
      <c r="Q4" s="1123" t="s">
        <v>92</v>
      </c>
      <c r="R4" s="1123" t="s">
        <v>349</v>
      </c>
      <c r="S4" s="1123" t="s">
        <v>350</v>
      </c>
      <c r="T4" s="1123" t="s">
        <v>333</v>
      </c>
      <c r="U4" s="1123" t="s">
        <v>77</v>
      </c>
      <c r="V4" s="1123" t="s">
        <v>351</v>
      </c>
      <c r="W4" s="1124" t="s">
        <v>352</v>
      </c>
      <c r="X4" s="1124" t="s">
        <v>102</v>
      </c>
      <c r="Y4" s="1124" t="s">
        <v>96</v>
      </c>
      <c r="Z4" s="1124" t="s">
        <v>97</v>
      </c>
      <c r="AA4" s="472" t="s">
        <v>353</v>
      </c>
      <c r="AB4" s="473" t="s">
        <v>99</v>
      </c>
      <c r="AC4" s="473" t="s">
        <v>99</v>
      </c>
      <c r="AD4" s="473" t="s">
        <v>100</v>
      </c>
      <c r="AE4" s="473" t="s">
        <v>332</v>
      </c>
      <c r="AF4" s="473" t="s">
        <v>102</v>
      </c>
      <c r="AG4" s="473" t="s">
        <v>103</v>
      </c>
      <c r="AH4" s="473" t="s">
        <v>104</v>
      </c>
      <c r="AI4" s="1123" t="s">
        <v>201</v>
      </c>
      <c r="AJ4" s="1123" t="s">
        <v>354</v>
      </c>
      <c r="AK4" s="1123" t="s">
        <v>105</v>
      </c>
      <c r="AL4" s="1123" t="s">
        <v>106</v>
      </c>
      <c r="AM4" s="1123" t="s">
        <v>107</v>
      </c>
      <c r="AN4" s="1123" t="s">
        <v>108</v>
      </c>
      <c r="AO4" s="1123" t="s">
        <v>109</v>
      </c>
      <c r="AP4" s="1123" t="s">
        <v>355</v>
      </c>
      <c r="AQ4" s="1123" t="s">
        <v>105</v>
      </c>
      <c r="AR4" s="1123" t="s">
        <v>41</v>
      </c>
      <c r="AS4" s="1123" t="s">
        <v>42</v>
      </c>
      <c r="AT4" s="1123" t="s">
        <v>326</v>
      </c>
      <c r="AU4" s="1123" t="s">
        <v>110</v>
      </c>
    </row>
    <row r="5" spans="1:49">
      <c r="A5" s="1125">
        <v>43862</v>
      </c>
      <c r="B5" s="261">
        <f>SUM('1'!G35,'1'!G49)</f>
        <v>3193.1199999999953</v>
      </c>
      <c r="C5" s="261">
        <f>SUM('1'!H37,'1'!H51)</f>
        <v>1450.4500000000044</v>
      </c>
      <c r="D5" s="261">
        <f>SUM('1'!G38,'1'!G52)</f>
        <v>2140.4200000000055</v>
      </c>
      <c r="E5" s="261">
        <f>SUM('1'!G39,'1'!G53)</f>
        <v>4328.8000000000029</v>
      </c>
      <c r="F5" s="261">
        <f>SUM('1'!G41,'1'!G42,'1'!G55,'1'!G56)</f>
        <v>5749.6500000000087</v>
      </c>
      <c r="G5" s="261">
        <f>SUM('1'!G43,'1'!G57)</f>
        <v>2455.359999999986</v>
      </c>
      <c r="H5" s="1126">
        <f>'1'!G50</f>
        <v>1635.9199999999837</v>
      </c>
      <c r="I5" s="1126">
        <f>'1'!G36</f>
        <v>759.23999999999069</v>
      </c>
      <c r="J5" s="1126">
        <f>'1'!G72</f>
        <v>70</v>
      </c>
      <c r="K5" s="1126">
        <f>'1'!$G$73</f>
        <v>0</v>
      </c>
      <c r="L5" s="1126">
        <f>'1'!$G$74</f>
        <v>38.850000000000023</v>
      </c>
      <c r="M5" s="1126">
        <f>'1'!$G$75</f>
        <v>144.65000000000009</v>
      </c>
      <c r="N5" s="1126">
        <f>'1'!$G$76</f>
        <v>79.150000000000091</v>
      </c>
      <c r="O5" s="1126">
        <f>'1'!$G$77</f>
        <v>45</v>
      </c>
      <c r="P5" s="1126">
        <f>'1'!$G$78</f>
        <v>390</v>
      </c>
      <c r="Q5" s="1126">
        <f>'1'!$G$79</f>
        <v>192</v>
      </c>
      <c r="R5" s="1126">
        <f>'1'!$G$80</f>
        <v>415</v>
      </c>
      <c r="S5" s="1126">
        <f>'1'!$G$81</f>
        <v>112.56000000005588</v>
      </c>
      <c r="T5" s="1126">
        <f>'1'!$G$82</f>
        <v>18.169999999998254</v>
      </c>
      <c r="U5" s="1126">
        <f>'1'!$G$58</f>
        <v>230.74000000000524</v>
      </c>
      <c r="V5" s="1126">
        <f>'1'!$G$83</f>
        <v>520</v>
      </c>
      <c r="W5" s="1126">
        <f>'1'!G86</f>
        <v>138.30999999999767</v>
      </c>
      <c r="X5" s="1126">
        <f>'1'!G87</f>
        <v>39.19999999999709</v>
      </c>
      <c r="Y5" s="1126">
        <f>'1'!G88</f>
        <v>51.680000000022119</v>
      </c>
      <c r="Z5" s="1126">
        <f>'1'!G89+'1'!G90</f>
        <v>63.100000000004457</v>
      </c>
      <c r="AA5" s="1126">
        <f>'1'!$G$62</f>
        <v>1.9999999967694748E-3</v>
      </c>
      <c r="AB5" s="1126">
        <f>'1'!$G$63</f>
        <v>14.210000000000036</v>
      </c>
      <c r="AC5" s="1126">
        <f>'1'!$G$64</f>
        <v>500.55000000000291</v>
      </c>
      <c r="AD5" s="1126">
        <f>'1'!$G$65</f>
        <v>399.05999999999767</v>
      </c>
      <c r="AE5" s="1126">
        <f>'1'!$G$66</f>
        <v>406.61000000000058</v>
      </c>
      <c r="AF5" s="1126">
        <f>'1'!$G$67</f>
        <v>704.24000000001979</v>
      </c>
      <c r="AG5" s="1126">
        <f>'1'!$G$68</f>
        <v>348.89999999999418</v>
      </c>
      <c r="AH5" s="1126">
        <f>'1'!$G$69</f>
        <v>324.00100000000384</v>
      </c>
      <c r="AI5" s="1126">
        <f>'1'!$G$84</f>
        <v>690</v>
      </c>
      <c r="AJ5" s="1126">
        <f>'1'!$G$15</f>
        <v>880.63199999998324</v>
      </c>
      <c r="AK5" s="1126">
        <f>'1'!$G$123</f>
        <v>266.26000000000931</v>
      </c>
      <c r="AL5" s="1126">
        <f>'1'!$G$124</f>
        <v>0</v>
      </c>
      <c r="AM5" s="1126">
        <f>'1'!$G$125</f>
        <v>63.950000000011642</v>
      </c>
      <c r="AN5" s="1126">
        <f>'1'!$G$126</f>
        <v>25.099999999998545</v>
      </c>
      <c r="AO5" s="1126">
        <f>'1'!$G$127</f>
        <v>2.1000000000003638</v>
      </c>
      <c r="AP5" s="1126">
        <f>AJ5-SUM(AK5:AO5)</f>
        <v>523.22199999996337</v>
      </c>
      <c r="AQ5" s="1126">
        <f>SUM('1'!G139:G140)</f>
        <v>7.2399999999995543</v>
      </c>
      <c r="AR5" s="1126">
        <f>'1'!$G$136</f>
        <v>8.7700000000004366</v>
      </c>
      <c r="AS5" s="1126">
        <f>'1'!$G$137</f>
        <v>0</v>
      </c>
      <c r="AT5" s="1126">
        <f>'1'!$G$138</f>
        <v>5.3700000000098953</v>
      </c>
      <c r="AU5" s="1123">
        <f>SUM(AR5:AT5)</f>
        <v>14.140000000010332</v>
      </c>
    </row>
    <row r="6" spans="1:49">
      <c r="A6" s="1125">
        <v>43863</v>
      </c>
      <c r="B6" s="261">
        <f>SUM('2'!G35,'2'!G49)</f>
        <v>3503.7600000000093</v>
      </c>
      <c r="C6" s="261">
        <f>SUM('2'!G37,'2'!G51)</f>
        <v>1456.8399999999965</v>
      </c>
      <c r="D6" s="261">
        <f>SUM('2'!G38,'2'!G52)</f>
        <v>2089.5099999999948</v>
      </c>
      <c r="E6" s="261">
        <f>SUM('2'!G39,'2'!G53)</f>
        <v>4368.929999999993</v>
      </c>
      <c r="F6" s="261">
        <f>SUM('2'!G41,'2'!G42,'2'!G55,'2'!G56)</f>
        <v>5632.6609999999928</v>
      </c>
      <c r="G6" s="261">
        <f>SUM('2'!G43,'2'!G57)</f>
        <v>2485.5200000000186</v>
      </c>
      <c r="H6" s="1126">
        <f>'2'!G50</f>
        <v>1600.359999999986</v>
      </c>
      <c r="I6" s="1126">
        <f>'2'!G36</f>
        <v>669.28000000002794</v>
      </c>
      <c r="J6" s="1126">
        <f>'2'!G72</f>
        <v>73</v>
      </c>
      <c r="K6" s="1126">
        <f>'2'!$G$73</f>
        <v>0</v>
      </c>
      <c r="L6" s="1126">
        <f>'2'!$G$74</f>
        <v>31.139999999999986</v>
      </c>
      <c r="M6" s="1126">
        <f>'2'!$G$75</f>
        <v>150.39000000000033</v>
      </c>
      <c r="N6" s="1126">
        <f>'2'!$G$76</f>
        <v>80.629999999999882</v>
      </c>
      <c r="O6" s="1126">
        <f>'2'!$G$77</f>
        <v>45</v>
      </c>
      <c r="P6" s="1126">
        <f>'2'!$G$78</f>
        <v>377</v>
      </c>
      <c r="Q6" s="1126">
        <f>'2'!$G$79</f>
        <v>298</v>
      </c>
      <c r="R6" s="1126">
        <f>'2'!$G$80</f>
        <v>399.71999999997206</v>
      </c>
      <c r="S6" s="1116">
        <f>'2'!$G$81</f>
        <v>101.23999999999069</v>
      </c>
      <c r="T6" s="1116">
        <f>'2'!$G$82</f>
        <v>21.480000000010477</v>
      </c>
      <c r="U6" s="1116">
        <f>'2'!$G$58</f>
        <v>212.68000000000029</v>
      </c>
      <c r="V6" s="1116">
        <f>'2'!$G$83</f>
        <v>547</v>
      </c>
      <c r="W6" s="1116">
        <f>'2'!G86</f>
        <v>140.35999999998603</v>
      </c>
      <c r="X6" s="1126">
        <f>'2'!G87</f>
        <v>38.200000000011642</v>
      </c>
      <c r="Y6" s="1126">
        <f>'2'!G88</f>
        <v>72.119999999995343</v>
      </c>
      <c r="Z6" s="1126">
        <f>'2'!G89+'2'!G90</f>
        <v>89.899999999999636</v>
      </c>
      <c r="AA6" s="1126">
        <f>'2'!$G$62</f>
        <v>0</v>
      </c>
      <c r="AB6" s="1126">
        <f>'2'!$G$63</f>
        <v>11.880000000000109</v>
      </c>
      <c r="AC6" s="1126">
        <f>'2'!$G$64</f>
        <v>529.48999999999069</v>
      </c>
      <c r="AD6" s="1126">
        <f>'2'!$G$65</f>
        <v>396.30000000001746</v>
      </c>
      <c r="AE6" s="1126">
        <f>'2'!$G$66</f>
        <v>414.13999999999942</v>
      </c>
      <c r="AF6" s="1126">
        <f>'2'!$G$67</f>
        <v>702.92999999999302</v>
      </c>
      <c r="AG6" s="1126">
        <f>'2'!$G$68</f>
        <v>364.49000000000524</v>
      </c>
      <c r="AH6" s="1126">
        <f>'2'!$G$69</f>
        <v>327.02900000000227</v>
      </c>
      <c r="AI6" s="1126">
        <f>'2'!$G$84</f>
        <v>727</v>
      </c>
      <c r="AJ6" s="1126">
        <f>'2'!$G$15</f>
        <v>993.17799999983981</v>
      </c>
      <c r="AK6" s="1126">
        <f>'2'!$G$123</f>
        <v>278.29000000003725</v>
      </c>
      <c r="AL6" s="1126">
        <f>'2'!$G$124</f>
        <v>0</v>
      </c>
      <c r="AM6" s="1126">
        <f>'2'!$G$125</f>
        <v>81.699999999982538</v>
      </c>
      <c r="AN6" s="1126">
        <f>'2'!$G$126</f>
        <v>26.900000000001455</v>
      </c>
      <c r="AO6" s="1126">
        <f>'2'!$G$127</f>
        <v>0.5</v>
      </c>
      <c r="AP6" s="1126">
        <f t="shared" ref="AP6:AP35" si="0">AJ6-SUM(AK6:AO6)</f>
        <v>605.78799999981857</v>
      </c>
      <c r="AQ6" s="1126">
        <f>SUM('2'!G139:G140)</f>
        <v>8.5300000000004275</v>
      </c>
      <c r="AR6" s="1126">
        <f>'2'!$G$136</f>
        <v>8.8400000000001455</v>
      </c>
      <c r="AS6" s="1126">
        <f>'2'!$G$137</f>
        <v>0</v>
      </c>
      <c r="AT6" s="1126">
        <f>'2'!$G$138</f>
        <v>6.6399999999994179</v>
      </c>
      <c r="AU6" s="1123">
        <f t="shared" ref="AU6:AU35" si="1">SUM(AR6:AT6)</f>
        <v>15.479999999999563</v>
      </c>
    </row>
    <row r="7" spans="1:49" s="1128" customFormat="1">
      <c r="A7" s="1125">
        <v>43864</v>
      </c>
      <c r="B7" s="261">
        <f>SUM('3'!G35,'3'!G49)</f>
        <v>3426.8800000000047</v>
      </c>
      <c r="C7" s="261">
        <f>SUM('3'!G37,'3'!G51)</f>
        <v>1469.489999999998</v>
      </c>
      <c r="D7" s="261">
        <f>SUM('3'!G38,'3'!G52)</f>
        <v>2172.0499999999665</v>
      </c>
      <c r="E7" s="261">
        <f>SUM('3'!G39,'3'!G53)</f>
        <v>4356.4200000000128</v>
      </c>
      <c r="F7" s="261">
        <f>SUM('3'!G41,'3'!G42,'3'!G55,'3'!G56)</f>
        <v>4924.5289999999077</v>
      </c>
      <c r="G7" s="261">
        <f>SUM('3'!G43,'3'!G57)</f>
        <v>2463.8200000000652</v>
      </c>
      <c r="H7" s="1116">
        <f>'3'!G50</f>
        <v>1065.359999999986</v>
      </c>
      <c r="I7" s="1116">
        <f>'3'!G36</f>
        <v>626.4199999999837</v>
      </c>
      <c r="J7" s="1116">
        <f>'3'!G72</f>
        <v>98</v>
      </c>
      <c r="K7" s="1116">
        <f>'3'!$G$73</f>
        <v>0</v>
      </c>
      <c r="L7" s="1116">
        <f>'3'!$G$74</f>
        <v>27.399999999999977</v>
      </c>
      <c r="M7" s="1116">
        <f>'3'!$G$75</f>
        <v>154.07999999999993</v>
      </c>
      <c r="N7" s="1116">
        <f>'3'!$G$76</f>
        <v>83.180000000000064</v>
      </c>
      <c r="O7" s="1116">
        <f>'3'!$G$77</f>
        <v>47</v>
      </c>
      <c r="P7" s="1116">
        <f>'3'!$G$78</f>
        <v>329</v>
      </c>
      <c r="Q7" s="1116">
        <f>'3'!$G$79</f>
        <v>116</v>
      </c>
      <c r="R7" s="1116">
        <f>'3'!$G$80</f>
        <v>347.64000000001397</v>
      </c>
      <c r="S7" s="1116">
        <f>'3'!$G$81</f>
        <v>100.35999999998603</v>
      </c>
      <c r="T7" s="1116">
        <f>'3'!$G$82</f>
        <v>18.869999999995343</v>
      </c>
      <c r="U7" s="1116">
        <f>'3'!$G$58</f>
        <v>188.79000000000087</v>
      </c>
      <c r="V7" s="1116">
        <f>'3'!$G$83</f>
        <v>523</v>
      </c>
      <c r="W7" s="1126">
        <f>'3'!G86</f>
        <v>117.79999999998836</v>
      </c>
      <c r="X7" s="1126">
        <f>'1'!G87</f>
        <v>39.19999999999709</v>
      </c>
      <c r="Y7" s="1126">
        <f>'3'!G88</f>
        <v>25.850000000005821</v>
      </c>
      <c r="Z7" s="1126">
        <f>'3'!G89+'3'!G90</f>
        <v>87.999999999998636</v>
      </c>
      <c r="AA7" s="1116">
        <f>'3'!$G$62</f>
        <v>0</v>
      </c>
      <c r="AB7" s="1116">
        <f>'3'!$G$63</f>
        <v>11.919999999999845</v>
      </c>
      <c r="AC7" s="1116">
        <f>'3'!$G$64</f>
        <v>522.82000000000698</v>
      </c>
      <c r="AD7" s="1116">
        <f>'3'!$G$65</f>
        <v>378.17999999999302</v>
      </c>
      <c r="AE7" s="1116">
        <f>'3'!$G$66</f>
        <v>433.43000000000029</v>
      </c>
      <c r="AF7" s="864">
        <f>'3'!$G$67</f>
        <v>659.32999999998719</v>
      </c>
      <c r="AG7" s="864">
        <f>'3'!$G$68</f>
        <v>359.23999999999069</v>
      </c>
      <c r="AH7" s="1116">
        <f>'3'!$G$69</f>
        <v>321.96999999999389</v>
      </c>
      <c r="AI7" s="1116">
        <f>'3'!$G$84</f>
        <v>553</v>
      </c>
      <c r="AJ7" s="1116">
        <f>'3'!$G$15</f>
        <v>830.41000000014901</v>
      </c>
      <c r="AK7" s="1116">
        <f>'3'!$G$123</f>
        <v>245.65000000002328</v>
      </c>
      <c r="AL7" s="1116">
        <f>'3'!$G$124</f>
        <v>0</v>
      </c>
      <c r="AM7" s="1116">
        <f>'3'!$G$125</f>
        <v>63.660000000003492</v>
      </c>
      <c r="AN7" s="1116">
        <f>'3'!$G$126</f>
        <v>18.69999999999709</v>
      </c>
      <c r="AO7" s="1116">
        <f>'3'!$G$127</f>
        <v>3.7000000000007276</v>
      </c>
      <c r="AP7" s="1116">
        <f t="shared" si="0"/>
        <v>498.70000000012442</v>
      </c>
      <c r="AQ7" s="1126">
        <f>SUM('3'!G139:G140)</f>
        <v>7.0599999999999454</v>
      </c>
      <c r="AR7" s="1116">
        <f>'3'!$G$136</f>
        <v>8.5299999999988358</v>
      </c>
      <c r="AS7" s="1116">
        <f>'3'!$G$137</f>
        <v>0</v>
      </c>
      <c r="AT7" s="1116">
        <f>'3'!$G$138</f>
        <v>5.4599999999918509</v>
      </c>
      <c r="AU7" s="1127">
        <f t="shared" si="1"/>
        <v>13.989999999990687</v>
      </c>
    </row>
    <row r="8" spans="1:49">
      <c r="A8" s="1125">
        <v>43865</v>
      </c>
      <c r="B8" s="261">
        <f>SUM('4'!G35,'4'!G49)</f>
        <v>3260.5200000000186</v>
      </c>
      <c r="C8" s="261">
        <f>SUM('4'!G37,'4'!G51)</f>
        <v>1488.3800000000047</v>
      </c>
      <c r="D8" s="261">
        <f>SUM('4'!G38,'4'!G52)</f>
        <v>2010.8200000000143</v>
      </c>
      <c r="E8" s="261">
        <f>SUM('4'!G39,'4'!G53)</f>
        <v>4163.2299999999814</v>
      </c>
      <c r="F8" s="261">
        <f>SUM('4'!G41,'4'!G42,'4'!G55,'4'!G56)</f>
        <v>4227.2200000000594</v>
      </c>
      <c r="G8" s="261">
        <f>SUM('4'!G43,'4'!G57)</f>
        <v>2461.1399999999721</v>
      </c>
      <c r="H8" s="1126">
        <f>'4'!G50</f>
        <v>1029.3300000000163</v>
      </c>
      <c r="I8" s="1126">
        <f>'4'!G36</f>
        <v>622.48999999999069</v>
      </c>
      <c r="J8" s="1126">
        <f>'4'!G72</f>
        <v>90</v>
      </c>
      <c r="K8" s="1126">
        <f>'4'!$G$73</f>
        <v>1</v>
      </c>
      <c r="L8" s="1126">
        <f>'4'!$G$74</f>
        <v>17.440000000000055</v>
      </c>
      <c r="M8" s="1126">
        <f>'4'!$G$74</f>
        <v>17.440000000000055</v>
      </c>
      <c r="N8" s="1126">
        <f>'4'!$G$76</f>
        <v>84.700000000000045</v>
      </c>
      <c r="O8" s="1126">
        <f>'4'!$G$77</f>
        <v>50</v>
      </c>
      <c r="P8" s="1126">
        <f>'4'!$G$78</f>
        <v>388</v>
      </c>
      <c r="Q8" s="1126">
        <f>'4'!$G$79</f>
        <v>250</v>
      </c>
      <c r="R8" s="1116">
        <f>'4'!$G$80</f>
        <v>350</v>
      </c>
      <c r="S8" s="1116">
        <f>'4'!$G$81</f>
        <v>120</v>
      </c>
      <c r="T8" s="1126">
        <f>'4'!$G$82</f>
        <v>22</v>
      </c>
      <c r="U8" s="1126">
        <f>'4'!$G$58</f>
        <v>164.08999999999651</v>
      </c>
      <c r="V8" s="1126">
        <f>'4'!$G$83</f>
        <v>493</v>
      </c>
      <c r="W8" s="1126">
        <f>'4'!G86</f>
        <v>106</v>
      </c>
      <c r="X8" s="1126">
        <f>'4'!G87</f>
        <v>37.19999999999709</v>
      </c>
      <c r="Y8" s="1126">
        <f>'4'!G88</f>
        <v>107.73999999999069</v>
      </c>
      <c r="Z8" s="1126">
        <f>'4'!G89+'4'!G90</f>
        <v>66.999999999998636</v>
      </c>
      <c r="AA8" s="1126">
        <f>'4'!$G$62</f>
        <v>-1.0000000002037268E-3</v>
      </c>
      <c r="AB8" s="1126">
        <f>'4'!$G$63</f>
        <v>14.630000000000109</v>
      </c>
      <c r="AC8" s="1126">
        <f>'4'!$G$64</f>
        <v>487.83999999999651</v>
      </c>
      <c r="AD8" s="1126">
        <f>'4'!$G$65</f>
        <v>355.16000000000349</v>
      </c>
      <c r="AE8" s="1126">
        <f>'4'!$G$66</f>
        <v>401.06999999999971</v>
      </c>
      <c r="AF8" s="1126">
        <f>'4'!$G$67</f>
        <v>671.67000000001281</v>
      </c>
      <c r="AG8" s="1126">
        <f>'4'!$G$68</f>
        <v>331.85000000000582</v>
      </c>
      <c r="AH8" s="1126">
        <f>'4'!$G$69</f>
        <v>314.91000000000349</v>
      </c>
      <c r="AI8" s="1126">
        <f>'4'!$G$84</f>
        <v>700</v>
      </c>
      <c r="AJ8" s="1126">
        <f>'4'!$G$15</f>
        <v>884.16999999992549</v>
      </c>
      <c r="AK8" s="1126">
        <f>'4'!$G$123</f>
        <v>244.95999999996275</v>
      </c>
      <c r="AL8" s="1126">
        <f>'4'!$G$124</f>
        <v>-0.39999999999417923</v>
      </c>
      <c r="AM8" s="1126">
        <f>'4'!$G$125</f>
        <v>71.350000000005821</v>
      </c>
      <c r="AN8" s="1126">
        <f>'4'!$G$126</f>
        <v>29.400000000001455</v>
      </c>
      <c r="AO8" s="1126">
        <f>'4'!$G$127</f>
        <v>1.8999999999996362</v>
      </c>
      <c r="AP8" s="1126">
        <f t="shared" si="0"/>
        <v>536.95999999995001</v>
      </c>
      <c r="AQ8" s="1126">
        <f>SUM('4'!G139:G140)</f>
        <v>7.0299999999999727</v>
      </c>
      <c r="AR8" s="1126">
        <f>'4'!$G$136</f>
        <v>8.0800000000017462</v>
      </c>
      <c r="AS8" s="1126">
        <f>'4'!$G$137</f>
        <v>0</v>
      </c>
      <c r="AT8" s="1126">
        <f>'4'!$G$138</f>
        <v>3.1900000000023283</v>
      </c>
      <c r="AU8" s="1123">
        <f t="shared" si="1"/>
        <v>11.270000000004075</v>
      </c>
    </row>
    <row r="9" spans="1:49">
      <c r="A9" s="1125">
        <v>43866</v>
      </c>
      <c r="B9" s="261">
        <f>SUM('5'!G35,'5'!G49)</f>
        <v>3368</v>
      </c>
      <c r="C9" s="261">
        <f>SUM('5'!G37,'5'!G51)</f>
        <v>36659</v>
      </c>
      <c r="D9" s="261">
        <f>SUM('5'!G38,'5'!G52)</f>
        <v>1822</v>
      </c>
      <c r="E9" s="261">
        <f>SUM('5'!G39,'5'!G53)</f>
        <v>104331</v>
      </c>
      <c r="F9" s="261">
        <f>SUM('5'!G41,'5'!G42,'5'!G55,'5'!G56)</f>
        <v>4900.739999999998</v>
      </c>
      <c r="G9" s="261">
        <f>SUM('5'!G43,'5'!G57)</f>
        <v>2387</v>
      </c>
      <c r="H9" s="1126">
        <f>'5'!G50</f>
        <v>1011</v>
      </c>
      <c r="I9" s="1126">
        <f>'5'!G36</f>
        <v>577</v>
      </c>
      <c r="J9" s="1126">
        <f>'5'!G72</f>
        <v>75</v>
      </c>
      <c r="K9" s="1126">
        <f>'5'!$G$73</f>
        <v>0</v>
      </c>
      <c r="L9" s="1126">
        <f>'5'!$G$74</f>
        <v>18</v>
      </c>
      <c r="M9" s="1137">
        <f>'5'!$G$75</f>
        <v>160</v>
      </c>
      <c r="N9" s="1126">
        <f>'5'!$G$76</f>
        <v>84</v>
      </c>
      <c r="O9" s="1116">
        <f>'5'!$G$77</f>
        <v>57</v>
      </c>
      <c r="P9" s="1136">
        <f>'5'!$G$78</f>
        <v>332</v>
      </c>
      <c r="Q9" s="1136">
        <f>'5'!$G$79</f>
        <v>216</v>
      </c>
      <c r="R9" s="1129">
        <f>'5'!$G$80</f>
        <v>265</v>
      </c>
      <c r="S9" s="1136">
        <f>'5'!$G$81</f>
        <v>-189</v>
      </c>
      <c r="T9" s="1126">
        <f>'5'!$G$82</f>
        <v>21</v>
      </c>
      <c r="U9" s="1126">
        <f>'5'!$G$58</f>
        <v>209</v>
      </c>
      <c r="V9" s="1126">
        <f>'5'!$G$83</f>
        <v>356</v>
      </c>
      <c r="W9" s="1136">
        <f>'5'!G86</f>
        <v>134</v>
      </c>
      <c r="X9" s="1126">
        <f>'5'!G87</f>
        <v>24.600000000005821</v>
      </c>
      <c r="Y9" s="1126">
        <f>'5'!G88</f>
        <v>69</v>
      </c>
      <c r="Z9" s="1126">
        <f>'5'!G89+'5'!G90</f>
        <v>77</v>
      </c>
      <c r="AA9" s="1126">
        <f>'5'!$G$62</f>
        <v>-0.18799999999828287</v>
      </c>
      <c r="AB9" s="1126">
        <f>'5'!$G$63</f>
        <v>11</v>
      </c>
      <c r="AC9" s="1126">
        <f>'5'!$G$64</f>
        <v>542</v>
      </c>
      <c r="AD9" s="1126">
        <f>'5'!$G$65</f>
        <v>373</v>
      </c>
      <c r="AE9" s="1126">
        <f>'5'!$G$66</f>
        <v>395</v>
      </c>
      <c r="AF9" s="1126">
        <f>'5'!$G$67</f>
        <v>674</v>
      </c>
      <c r="AG9" s="1126">
        <f>'5'!$G$68</f>
        <v>329</v>
      </c>
      <c r="AH9" s="1126">
        <f>'5'!$G$69</f>
        <v>321</v>
      </c>
      <c r="AI9" s="1126">
        <f>'5'!$G$84</f>
        <v>954</v>
      </c>
      <c r="AJ9" s="1136">
        <f>'5'!$G$15</f>
        <v>893.63999999989755</v>
      </c>
      <c r="AK9" s="1126">
        <f>'5'!$G$123</f>
        <v>245</v>
      </c>
      <c r="AL9" s="1126">
        <f>'5'!$G$124</f>
        <v>0</v>
      </c>
      <c r="AM9" s="1126">
        <f>'5'!$G$125</f>
        <v>61</v>
      </c>
      <c r="AN9" s="1126">
        <f>'5'!$G$126</f>
        <v>21</v>
      </c>
      <c r="AO9" s="1126">
        <f>'5'!$G$127</f>
        <v>2</v>
      </c>
      <c r="AP9" s="1126">
        <f t="shared" si="0"/>
        <v>564.63999999989755</v>
      </c>
      <c r="AQ9" s="1126">
        <f>SUM('5'!G139:G140)</f>
        <v>7</v>
      </c>
      <c r="AR9" s="1126">
        <f>'5'!$G$136</f>
        <v>9.25</v>
      </c>
      <c r="AS9" s="1126">
        <f>'5'!$G$137</f>
        <v>-0.31000000000130967</v>
      </c>
      <c r="AT9" s="1126">
        <f>'5'!$G$138</f>
        <v>5</v>
      </c>
      <c r="AU9" s="1123">
        <f t="shared" si="1"/>
        <v>13.93999999999869</v>
      </c>
    </row>
    <row r="10" spans="1:49">
      <c r="A10" s="1125">
        <v>43867</v>
      </c>
      <c r="B10" s="261">
        <f>SUM('6'!G35,'6'!G49)</f>
        <v>3484</v>
      </c>
      <c r="C10" s="261">
        <f>SUM('6'!G37,'6'!G51)</f>
        <v>1518</v>
      </c>
      <c r="D10" s="261">
        <f>SUM('6'!G38,'6'!G52)</f>
        <v>2123</v>
      </c>
      <c r="E10" s="261">
        <f>SUM('6'!G39,'6'!G53)</f>
        <v>4237</v>
      </c>
      <c r="F10" s="261">
        <f>SUM('6'!G41,'6'!G42,'6'!G55,'6'!G56)</f>
        <v>5904</v>
      </c>
      <c r="G10" s="261">
        <f>SUM('6'!G43,'6'!G57)</f>
        <v>2437</v>
      </c>
      <c r="H10" s="1126">
        <f>'6'!G50</f>
        <v>1043</v>
      </c>
      <c r="I10" s="1126">
        <f>'6'!G36</f>
        <v>624</v>
      </c>
      <c r="J10" s="1126">
        <f>'6'!G72</f>
        <v>75</v>
      </c>
      <c r="K10" s="1126">
        <f>'6'!$G$73</f>
        <v>1</v>
      </c>
      <c r="L10" s="1126">
        <f>'6'!$G$74</f>
        <v>33</v>
      </c>
      <c r="M10" s="1126">
        <f>'6'!$G$75</f>
        <v>183</v>
      </c>
      <c r="N10" s="1126">
        <f>'6'!$G$76</f>
        <v>88</v>
      </c>
      <c r="O10" s="1126">
        <f>'6'!$G$77</f>
        <v>51</v>
      </c>
      <c r="P10" s="1116">
        <f>'6'!$G$78</f>
        <v>415</v>
      </c>
      <c r="Q10" s="1116">
        <f>'6'!$G$79</f>
        <v>235</v>
      </c>
      <c r="R10" s="1116">
        <f>'6'!$G$80</f>
        <v>412</v>
      </c>
      <c r="S10" s="1116">
        <f>'6'!$G$81</f>
        <v>412</v>
      </c>
      <c r="T10" s="1116">
        <f>'6'!$G$82</f>
        <v>23</v>
      </c>
      <c r="U10" s="1116">
        <f>'6'!$G$58</f>
        <v>194</v>
      </c>
      <c r="V10" s="1116">
        <f>'6'!$G$83</f>
        <v>468</v>
      </c>
      <c r="W10" s="1116">
        <f>'6'!G86</f>
        <v>88</v>
      </c>
      <c r="X10" s="1116">
        <f>'6'!G87</f>
        <v>29</v>
      </c>
      <c r="Y10" s="1116">
        <f>'6'!G88</f>
        <v>91</v>
      </c>
      <c r="Z10" s="1116">
        <f>'6'!G89+'6'!G90</f>
        <v>102</v>
      </c>
      <c r="AA10" s="1126">
        <f>'6'!$G$62</f>
        <v>0</v>
      </c>
      <c r="AB10" s="1126">
        <f>'6'!$G$63</f>
        <v>14</v>
      </c>
      <c r="AC10" s="1126">
        <f>'6'!$G$64</f>
        <v>502</v>
      </c>
      <c r="AD10" s="1126">
        <f>'6'!$G$65</f>
        <v>364</v>
      </c>
      <c r="AE10" s="1126">
        <f>'6'!$G$66</f>
        <v>387</v>
      </c>
      <c r="AF10" s="1126">
        <f>'6'!$G$67</f>
        <v>705</v>
      </c>
      <c r="AG10" s="1126">
        <f>'6'!$G$68</f>
        <v>335</v>
      </c>
      <c r="AH10" s="1126">
        <f>'6'!$G$69</f>
        <v>332</v>
      </c>
      <c r="AI10" s="1126">
        <f>'6'!$G$84</f>
        <v>644</v>
      </c>
      <c r="AJ10" s="1126">
        <f>'6'!$G$15</f>
        <v>944.36000000010245</v>
      </c>
      <c r="AK10" s="1164">
        <f>'6'!$G$123</f>
        <v>264</v>
      </c>
      <c r="AL10" s="1126">
        <f>'6'!$G$124</f>
        <v>0</v>
      </c>
      <c r="AM10" s="1126">
        <f>'6'!$G$125</f>
        <v>71</v>
      </c>
      <c r="AN10" s="1126">
        <f>'6'!$G$126</f>
        <v>32</v>
      </c>
      <c r="AO10" s="1126">
        <f>'6'!$G$127</f>
        <v>3</v>
      </c>
      <c r="AP10" s="1126">
        <f t="shared" si="0"/>
        <v>574.36000000010245</v>
      </c>
      <c r="AQ10" s="1126">
        <f>SUM('6'!G139:G140)</f>
        <v>8</v>
      </c>
      <c r="AR10" s="1126">
        <f>'6'!$G$136</f>
        <v>8.319999999999709</v>
      </c>
      <c r="AS10" s="1126">
        <f>'6'!$G$137</f>
        <v>0</v>
      </c>
      <c r="AT10" s="1126">
        <f>'6'!$G$138</f>
        <v>6</v>
      </c>
      <c r="AU10" s="1123">
        <f t="shared" si="1"/>
        <v>14.319999999999709</v>
      </c>
    </row>
    <row r="11" spans="1:49">
      <c r="A11" s="1125">
        <v>43868</v>
      </c>
      <c r="B11" s="261">
        <f>SUM('7'!G35,'7'!G49)</f>
        <v>3319</v>
      </c>
      <c r="C11" s="261">
        <f>SUM('7'!G37,'7'!G51)</f>
        <v>1500</v>
      </c>
      <c r="D11" s="261">
        <f>SUM('7'!G38,'7'!G52)</f>
        <v>2331</v>
      </c>
      <c r="E11" s="261">
        <f>SUM('7'!G39,'7'!G53)</f>
        <v>4230</v>
      </c>
      <c r="F11" s="261">
        <f>SUM('7'!G41,'7'!G42,'7'!G55,'7'!G56)</f>
        <v>5494</v>
      </c>
      <c r="G11" s="261">
        <f>SUM('7'!G43,'7'!G57)</f>
        <v>2417</v>
      </c>
      <c r="H11" s="1126">
        <f>'7'!G50</f>
        <v>1230</v>
      </c>
      <c r="I11" s="1126">
        <f>'7'!G36</f>
        <v>611</v>
      </c>
      <c r="J11" s="1126">
        <f>'7'!G72</f>
        <v>72</v>
      </c>
      <c r="K11" s="1126">
        <f>'7'!$G$73</f>
        <v>0</v>
      </c>
      <c r="L11" s="1126">
        <f>'7'!$G$74</f>
        <v>46</v>
      </c>
      <c r="M11" s="1126">
        <f>'7'!$G$75</f>
        <v>181</v>
      </c>
      <c r="N11" s="1126">
        <f>'7'!$G$76</f>
        <v>94</v>
      </c>
      <c r="O11" s="1126">
        <f>'7'!$G$77</f>
        <v>52</v>
      </c>
      <c r="P11" s="1116">
        <f>'7'!$G$78</f>
        <v>428</v>
      </c>
      <c r="Q11" s="1116">
        <f>'7'!$G$79</f>
        <v>216</v>
      </c>
      <c r="R11" s="1116">
        <f>'7'!$G$80</f>
        <v>359</v>
      </c>
      <c r="S11" s="1116">
        <f>'7'!$G$81</f>
        <v>123</v>
      </c>
      <c r="T11" s="1116">
        <f>'7'!$G$82</f>
        <v>21</v>
      </c>
      <c r="U11" s="1116">
        <f>'7'!$G$58</f>
        <v>191</v>
      </c>
      <c r="V11" s="1129">
        <f>'7'!$G$83</f>
        <v>496</v>
      </c>
      <c r="W11" s="1152">
        <f>'7'!G86</f>
        <v>100</v>
      </c>
      <c r="X11" s="1116">
        <f>'7'!G87</f>
        <v>8</v>
      </c>
      <c r="Y11" s="1116">
        <f>'7'!G88</f>
        <v>37</v>
      </c>
      <c r="Z11" s="1116">
        <f>'7'!G89+'7'!G90</f>
        <v>69</v>
      </c>
      <c r="AA11" s="1126">
        <f>'7'!$G$62</f>
        <v>0</v>
      </c>
      <c r="AB11" s="1126">
        <f>'7'!$G$63</f>
        <v>12</v>
      </c>
      <c r="AC11" s="1126">
        <f>'7'!$G$64</f>
        <v>553</v>
      </c>
      <c r="AD11" s="1126">
        <f>'7'!$G$65</f>
        <v>371</v>
      </c>
      <c r="AE11" s="1126">
        <f>'7'!$G$66</f>
        <v>369</v>
      </c>
      <c r="AF11" s="1126">
        <f>'7'!$G$67</f>
        <v>665</v>
      </c>
      <c r="AG11" s="1129">
        <f>'7'!$G$68</f>
        <v>324</v>
      </c>
      <c r="AH11" s="1126">
        <f>'7'!$G$69</f>
        <v>329</v>
      </c>
      <c r="AI11" s="1126">
        <f>'7'!$G$84</f>
        <v>834</v>
      </c>
      <c r="AJ11" s="1126">
        <f>'7'!$G$15</f>
        <v>931</v>
      </c>
      <c r="AK11" s="1164">
        <f>'7'!$G$123</f>
        <v>275</v>
      </c>
      <c r="AL11" s="1126">
        <f>'7'!$G$124</f>
        <v>0</v>
      </c>
      <c r="AM11" s="1126">
        <f>'7'!$G$125</f>
        <v>72</v>
      </c>
      <c r="AN11" s="1126">
        <f>'7'!$G$126</f>
        <v>38</v>
      </c>
      <c r="AO11" s="1126">
        <f>'7'!$G$127</f>
        <v>4</v>
      </c>
      <c r="AP11" s="1126">
        <f t="shared" si="0"/>
        <v>542</v>
      </c>
      <c r="AQ11" s="1126">
        <f>SUM('7'!G139:G140)</f>
        <v>8</v>
      </c>
      <c r="AR11" s="1126">
        <f>'7'!$G$136</f>
        <v>9.9199999999982538</v>
      </c>
      <c r="AS11" s="1126">
        <f>'7'!$G$137</f>
        <v>0</v>
      </c>
      <c r="AT11" s="1126">
        <f>'7'!$G$138</f>
        <v>3</v>
      </c>
      <c r="AU11" s="1123">
        <f t="shared" si="1"/>
        <v>12.919999999998254</v>
      </c>
    </row>
    <row r="12" spans="1:49">
      <c r="A12" s="1125">
        <v>43869</v>
      </c>
      <c r="B12" s="261">
        <f>SUM('8'!G35,'8'!G49)</f>
        <v>3394</v>
      </c>
      <c r="C12" s="261">
        <f>SUM('8'!G37,'8'!G51)</f>
        <v>1483</v>
      </c>
      <c r="D12" s="261">
        <f>SUM('8'!G38,'8'!G52)</f>
        <v>2160</v>
      </c>
      <c r="E12" s="261">
        <f>SUM('8'!G39,'8'!G53)</f>
        <v>4272</v>
      </c>
      <c r="F12" s="261">
        <f>SUM('8'!G41,'8'!G42,'8'!G55,'8'!G56)</f>
        <v>5838.260000000002</v>
      </c>
      <c r="G12" s="261">
        <f>SUM('8'!G43,'8'!G57)</f>
        <v>2516</v>
      </c>
      <c r="H12" s="1126">
        <f>'8'!G50</f>
        <v>1538</v>
      </c>
      <c r="I12" s="1126">
        <f>'8'!G36</f>
        <v>676</v>
      </c>
      <c r="J12" s="1126">
        <f>'8'!G72</f>
        <v>106</v>
      </c>
      <c r="K12" s="1126">
        <f>'8'!$G$73</f>
        <v>0</v>
      </c>
      <c r="L12" s="1126">
        <f>'8'!$G$74</f>
        <v>25</v>
      </c>
      <c r="M12" s="1126">
        <f>'8'!$G$75</f>
        <v>170</v>
      </c>
      <c r="N12" s="1126">
        <f>'8'!$G$76</f>
        <v>74</v>
      </c>
      <c r="O12" s="1126">
        <f>'8'!$G$77</f>
        <v>58</v>
      </c>
      <c r="P12" s="1116">
        <f>'8'!$G$78</f>
        <v>372</v>
      </c>
      <c r="Q12" s="1116">
        <f>'8'!$G$79</f>
        <v>210</v>
      </c>
      <c r="R12" s="1116">
        <f>'8'!$G$80</f>
        <v>397</v>
      </c>
      <c r="S12" s="1116">
        <f>'8'!$G$81</f>
        <v>122</v>
      </c>
      <c r="T12" s="1116">
        <f>'8'!$G$82</f>
        <v>24</v>
      </c>
      <c r="U12" s="1116">
        <f>'8'!$G$58</f>
        <v>201</v>
      </c>
      <c r="V12" s="1116">
        <f>'8'!$G$83</f>
        <v>361</v>
      </c>
      <c r="W12" s="1116">
        <f>'8'!G86</f>
        <v>100</v>
      </c>
      <c r="X12" s="1116">
        <f>'8'!G87</f>
        <v>36</v>
      </c>
      <c r="Y12" s="1116">
        <f>'8'!G88</f>
        <v>95</v>
      </c>
      <c r="Z12" s="1116">
        <f>'8'!G89+'8'!G90</f>
        <v>83</v>
      </c>
      <c r="AA12" s="1126">
        <f>'8'!$G$62</f>
        <v>0</v>
      </c>
      <c r="AB12" s="1126">
        <f>'8'!$G$63</f>
        <v>12</v>
      </c>
      <c r="AC12" s="1126">
        <f>'8'!$G$64</f>
        <v>527</v>
      </c>
      <c r="AD12" s="1126">
        <f>'8'!$G$65</f>
        <v>378</v>
      </c>
      <c r="AE12" s="1126">
        <f>'8'!$G$66</f>
        <v>379</v>
      </c>
      <c r="AF12" s="1126">
        <f>'8'!$G$67</f>
        <v>678</v>
      </c>
      <c r="AG12" s="1126">
        <f>'8'!$G$68</f>
        <v>343</v>
      </c>
      <c r="AH12" s="1126">
        <f>'8'!$G$69</f>
        <v>331</v>
      </c>
      <c r="AI12" s="1126">
        <f>'8'!$G$84</f>
        <v>793</v>
      </c>
      <c r="AJ12" s="1126">
        <f>'8'!$G$15</f>
        <v>859.85000000009313</v>
      </c>
      <c r="AK12" s="1126">
        <f>'8'!$G$123</f>
        <v>241</v>
      </c>
      <c r="AL12" s="1126">
        <f>'8'!$G$124</f>
        <v>0.39999999999417923</v>
      </c>
      <c r="AM12" s="1126">
        <f>'8'!$G$125</f>
        <v>63</v>
      </c>
      <c r="AN12" s="1126">
        <f>'8'!$G$126</f>
        <v>16</v>
      </c>
      <c r="AO12" s="1126">
        <f>'8'!$G$127</f>
        <v>1</v>
      </c>
      <c r="AP12" s="1126">
        <f t="shared" si="0"/>
        <v>538.45000000009895</v>
      </c>
      <c r="AQ12" s="1126">
        <f>SUM('8'!G139:G140)</f>
        <v>6.6800000000000637</v>
      </c>
      <c r="AR12" s="1126">
        <f>'8'!$G$136</f>
        <v>9.6900000000023283</v>
      </c>
      <c r="AS12" s="1126">
        <f>'8'!$G$137</f>
        <v>0</v>
      </c>
      <c r="AT12" s="1126">
        <f>'8'!$G$138</f>
        <v>1.8200000000069849</v>
      </c>
      <c r="AU12" s="1123">
        <f t="shared" si="1"/>
        <v>11.510000000009313</v>
      </c>
    </row>
    <row r="13" spans="1:49">
      <c r="A13" s="1125">
        <v>43870</v>
      </c>
      <c r="B13" s="261">
        <f>SUM('9'!G35,'9'!G49)</f>
        <v>3381</v>
      </c>
      <c r="C13" s="261">
        <f>SUM('9'!G37,'9'!G51)</f>
        <v>1491</v>
      </c>
      <c r="D13" s="261">
        <f>SUM('9'!G38,'9'!G52)</f>
        <v>2121</v>
      </c>
      <c r="E13" s="261">
        <f>SUM('9'!G39,'9'!G53)</f>
        <v>4195</v>
      </c>
      <c r="F13" s="261">
        <f>SUM('9'!G41,'9'!G42,'9'!G55,'9'!G56)</f>
        <v>5115</v>
      </c>
      <c r="G13" s="261">
        <f>SUM('9'!G43,'9'!G57)</f>
        <v>2377</v>
      </c>
      <c r="H13" s="1126">
        <f>'9'!G50</f>
        <v>1028</v>
      </c>
      <c r="I13" s="1126">
        <f>'9'!G36</f>
        <v>667</v>
      </c>
      <c r="J13" s="1126">
        <f>'9'!G72</f>
        <v>100</v>
      </c>
      <c r="K13" s="1126">
        <f>'9'!$G$73</f>
        <v>1</v>
      </c>
      <c r="L13" s="1126">
        <f>'9'!$G$74</f>
        <v>24</v>
      </c>
      <c r="M13" s="1126">
        <f>'9'!$G$75</f>
        <v>174</v>
      </c>
      <c r="N13" s="1126">
        <f>'9'!$G$76</f>
        <v>81</v>
      </c>
      <c r="O13" s="1126">
        <f>'9'!$G$77</f>
        <v>65</v>
      </c>
      <c r="P13" s="1116">
        <f>'9'!$G$78</f>
        <v>471</v>
      </c>
      <c r="Q13" s="1116">
        <f>'9'!$G$79</f>
        <v>192</v>
      </c>
      <c r="R13" s="1116">
        <f>'9'!$G$80</f>
        <v>134</v>
      </c>
      <c r="S13" s="1116">
        <f>'9'!$G$81</f>
        <v>82</v>
      </c>
      <c r="T13" s="1116">
        <f>'9'!$G$82</f>
        <v>22</v>
      </c>
      <c r="U13" s="1116">
        <f>'9'!$G$58</f>
        <v>186</v>
      </c>
      <c r="V13" s="1116">
        <f>'9'!$G$83</f>
        <v>422</v>
      </c>
      <c r="W13" s="1116">
        <f>'9'!G86</f>
        <v>101</v>
      </c>
      <c r="X13" s="1116">
        <f>'9'!G87</f>
        <v>33</v>
      </c>
      <c r="Y13" s="1116">
        <f>'9'!G88</f>
        <v>102</v>
      </c>
      <c r="Z13" s="1116">
        <f>'9'!G89+'9'!H90</f>
        <v>85</v>
      </c>
      <c r="AA13" s="1126">
        <f>'9'!$G$62</f>
        <v>0</v>
      </c>
      <c r="AB13" s="1126">
        <f>'9'!$G$63</f>
        <v>16</v>
      </c>
      <c r="AC13" s="1126">
        <f>'9'!$G$64</f>
        <v>504</v>
      </c>
      <c r="AD13" s="1136">
        <f>'9'!$G$65</f>
        <v>375</v>
      </c>
      <c r="AE13" s="1136">
        <f>'9'!$G$66</f>
        <v>378</v>
      </c>
      <c r="AF13" s="1126">
        <f>'9'!$G$67</f>
        <v>676</v>
      </c>
      <c r="AG13" s="1126">
        <f>'9'!$G$68</f>
        <v>337</v>
      </c>
      <c r="AH13" s="1126">
        <f>'9'!$G$69</f>
        <v>332</v>
      </c>
      <c r="AI13" s="1126">
        <f>'9'!$G$84</f>
        <v>882</v>
      </c>
      <c r="AJ13" s="1126">
        <f>'9'!$G$15</f>
        <v>779.02000000001863</v>
      </c>
      <c r="AK13" s="1126">
        <f>'9'!$G$123</f>
        <v>253</v>
      </c>
      <c r="AL13" s="1126">
        <f>'9'!$G$124</f>
        <v>0</v>
      </c>
      <c r="AM13" s="1126">
        <f>'9'!$G$125</f>
        <v>43</v>
      </c>
      <c r="AN13" s="1126">
        <f>'9'!$G$126</f>
        <v>85</v>
      </c>
      <c r="AO13" s="1126">
        <f>'9'!$G$127</f>
        <v>2</v>
      </c>
      <c r="AP13" s="1126">
        <f t="shared" si="0"/>
        <v>396.02000000001863</v>
      </c>
      <c r="AQ13" s="1126">
        <f>SUM('9'!G139:G140)</f>
        <v>7.3199999999999363</v>
      </c>
      <c r="AR13" s="1126">
        <f>'9'!$G$136</f>
        <v>8.2200000000011642</v>
      </c>
      <c r="AS13" s="1126">
        <f>'9'!$G$137</f>
        <v>0</v>
      </c>
      <c r="AT13" s="1126">
        <f>'9'!$G$138</f>
        <v>3</v>
      </c>
      <c r="AU13" s="1123">
        <f t="shared" si="1"/>
        <v>11.220000000001164</v>
      </c>
    </row>
    <row r="14" spans="1:49">
      <c r="A14" s="1125">
        <v>43871</v>
      </c>
      <c r="B14" s="261">
        <f>SUM('10'!G35,'10'!G49)</f>
        <v>3447</v>
      </c>
      <c r="C14" s="261">
        <f>SUM('10'!G37,'10'!G51)</f>
        <v>1549</v>
      </c>
      <c r="D14" s="261">
        <f>SUM('10'!G38,'10'!G52)</f>
        <v>2046</v>
      </c>
      <c r="E14" s="261">
        <f>SUM('10'!G39,'10'!G53)</f>
        <v>4185</v>
      </c>
      <c r="F14" s="261">
        <f>SUM('10'!G41,'10'!G42,'10'!G55,'10'!G56)</f>
        <v>4999</v>
      </c>
      <c r="G14" s="261">
        <f>SUM('10'!G43,'10'!G57)</f>
        <v>2507</v>
      </c>
      <c r="H14" s="1126">
        <f>'10'!G50</f>
        <v>1194</v>
      </c>
      <c r="I14" s="1126">
        <f>'10'!G36</f>
        <v>702</v>
      </c>
      <c r="J14" s="1126">
        <f>'10'!G72</f>
        <v>87</v>
      </c>
      <c r="K14" s="1126">
        <f>'10'!$G$73</f>
        <v>0</v>
      </c>
      <c r="L14" s="1126">
        <f>'10'!$G$74</f>
        <v>25</v>
      </c>
      <c r="M14" s="1126">
        <f>'10'!$G$75</f>
        <v>161</v>
      </c>
      <c r="N14" s="1126">
        <f>'10'!$G$76</f>
        <v>90</v>
      </c>
      <c r="O14" s="1126">
        <f>'10'!$G$77</f>
        <v>56</v>
      </c>
      <c r="P14" s="1116">
        <f>'10'!$G$78</f>
        <v>409</v>
      </c>
      <c r="Q14" s="1116">
        <f>'10'!$G$79</f>
        <v>205</v>
      </c>
      <c r="R14" s="1130">
        <f>'10'!$G$80</f>
        <v>517</v>
      </c>
      <c r="S14" s="1130">
        <f>'10'!$G$81</f>
        <v>89</v>
      </c>
      <c r="T14" s="1116">
        <f>'10'!$G$82</f>
        <v>25</v>
      </c>
      <c r="U14" s="1116">
        <f>'10'!$G$58</f>
        <v>196</v>
      </c>
      <c r="V14" s="1116">
        <f>'10'!$G$83</f>
        <v>491</v>
      </c>
      <c r="W14" s="1116">
        <f>'10'!G86</f>
        <v>159</v>
      </c>
      <c r="X14" s="1116">
        <f>'10'!G87</f>
        <v>27</v>
      </c>
      <c r="Y14" s="1116">
        <f>'10'!G88</f>
        <v>96</v>
      </c>
      <c r="Z14" s="1116">
        <f>'10'!G87+'10'!H90</f>
        <v>43</v>
      </c>
      <c r="AA14" s="1126">
        <f>'10'!$G$62</f>
        <v>0</v>
      </c>
      <c r="AB14" s="1126">
        <f>'10'!$G$63</f>
        <v>14</v>
      </c>
      <c r="AC14" s="1126">
        <f>'10'!$G$64</f>
        <v>545</v>
      </c>
      <c r="AD14" s="1126">
        <f>'10'!$G$65</f>
        <v>371</v>
      </c>
      <c r="AE14" s="1126">
        <f>'10'!$G$66</f>
        <v>355</v>
      </c>
      <c r="AF14" s="1126">
        <f>'10'!$G$67</f>
        <v>657</v>
      </c>
      <c r="AG14" s="1126">
        <f>'10'!$G$68</f>
        <v>328</v>
      </c>
      <c r="AH14" s="1126">
        <f>'10'!$G$69</f>
        <v>327</v>
      </c>
      <c r="AI14" s="1126">
        <f>'10'!$G$84</f>
        <v>885</v>
      </c>
      <c r="AJ14" s="1126">
        <f>'10'!$G$15</f>
        <v>847.12999999988824</v>
      </c>
      <c r="AK14" s="1126">
        <f>'10'!$G$123</f>
        <v>247</v>
      </c>
      <c r="AL14" s="1126">
        <f>'10'!$G$124</f>
        <v>-0.39999999999417923</v>
      </c>
      <c r="AM14" s="1126">
        <f>'10'!$G$125</f>
        <v>76</v>
      </c>
      <c r="AN14" s="1126">
        <f>'10'!$G$126</f>
        <v>51</v>
      </c>
      <c r="AO14" s="1126">
        <f>'10'!$G$127</f>
        <v>3</v>
      </c>
      <c r="AP14" s="1126">
        <f t="shared" si="0"/>
        <v>470.52999999988242</v>
      </c>
      <c r="AQ14" s="1126">
        <f>SUM('10'!G139:G140)</f>
        <v>7</v>
      </c>
      <c r="AR14" s="1126">
        <f>'10'!$G$136</f>
        <v>8.1699999999982538</v>
      </c>
      <c r="AS14" s="1126">
        <f>'10'!$G$137</f>
        <v>0</v>
      </c>
      <c r="AT14" s="1126">
        <f>'10'!$G$138</f>
        <v>3.1799999999930151</v>
      </c>
      <c r="AU14" s="1123">
        <f t="shared" si="1"/>
        <v>11.349999999991269</v>
      </c>
    </row>
    <row r="15" spans="1:49">
      <c r="A15" s="1125">
        <v>43872</v>
      </c>
      <c r="B15" s="261">
        <f>SUM('11'!G35,'11'!G49)</f>
        <v>3850</v>
      </c>
      <c r="C15" s="261">
        <f>SUM('11'!G37,'11'!G51)</f>
        <v>1551</v>
      </c>
      <c r="D15" s="261">
        <f>SUM('11'!G38,'11'!G52)</f>
        <v>2085</v>
      </c>
      <c r="E15" s="261">
        <f>SUM('11'!G39,'11'!G53)</f>
        <v>4105</v>
      </c>
      <c r="F15" s="261">
        <f>SUM('11'!G41,'11'!G42,'11'!G55,'11'!G56)</f>
        <v>5075</v>
      </c>
      <c r="G15" s="261">
        <f>SUM('11'!G43,'11'!G57)</f>
        <v>2394</v>
      </c>
      <c r="H15" s="1126">
        <f>'11'!G50</f>
        <v>1135</v>
      </c>
      <c r="I15" s="1126">
        <f>'11'!G36</f>
        <v>598</v>
      </c>
      <c r="J15" s="1126">
        <f>'11'!G72</f>
        <v>95</v>
      </c>
      <c r="K15" s="1126">
        <f>'11'!$G$73</f>
        <v>0</v>
      </c>
      <c r="L15" s="1126">
        <f>'11'!$G$74</f>
        <v>26</v>
      </c>
      <c r="M15" s="1126">
        <f>'11'!$G$75</f>
        <v>164</v>
      </c>
      <c r="N15" s="1126">
        <f>'11'!$G$76</f>
        <v>91</v>
      </c>
      <c r="O15" s="1126">
        <f>'11'!$G$77</f>
        <v>55</v>
      </c>
      <c r="P15" s="1116">
        <f>'11'!$G$78</f>
        <v>411</v>
      </c>
      <c r="Q15" s="1116">
        <f>'11'!$G$79</f>
        <v>173</v>
      </c>
      <c r="R15" s="1116">
        <f>'11'!$G$80</f>
        <v>97</v>
      </c>
      <c r="S15" s="1116">
        <f>'11'!$G$81</f>
        <v>84</v>
      </c>
      <c r="T15" s="1116">
        <f>'11'!$G$82</f>
        <v>26</v>
      </c>
      <c r="U15" s="1116">
        <f>'11'!$G$58</f>
        <v>161</v>
      </c>
      <c r="V15" s="1116">
        <f>'11'!$G$83</f>
        <v>407</v>
      </c>
      <c r="W15" s="1116">
        <f>'11'!G86</f>
        <v>169</v>
      </c>
      <c r="X15" s="1116">
        <f>'11'!G87</f>
        <v>25</v>
      </c>
      <c r="Y15" s="1116">
        <f>'11'!G88</f>
        <v>83</v>
      </c>
      <c r="Z15" s="1116">
        <f>'11'!G87+'11'!H90</f>
        <v>30</v>
      </c>
      <c r="AA15" s="1126">
        <f>'11'!$G$62</f>
        <v>0</v>
      </c>
      <c r="AB15" s="1126">
        <f>'11'!$G$63</f>
        <v>14</v>
      </c>
      <c r="AC15" s="1126">
        <f>'11'!$G$64</f>
        <v>507</v>
      </c>
      <c r="AD15" s="1126">
        <f>'11'!$G$65</f>
        <v>354</v>
      </c>
      <c r="AE15" s="1126">
        <f>'11'!$G$66</f>
        <v>346</v>
      </c>
      <c r="AF15" s="1126">
        <f>'11'!$G$67</f>
        <v>664</v>
      </c>
      <c r="AG15" s="1126">
        <f>'11'!$G$68</f>
        <v>302</v>
      </c>
      <c r="AH15" s="1126">
        <f>'11'!$G$69</f>
        <v>330</v>
      </c>
      <c r="AI15" s="1126">
        <f>'11'!$G$84</f>
        <v>998</v>
      </c>
      <c r="AJ15" s="1126">
        <f>'11'!$G$15</f>
        <v>852</v>
      </c>
      <c r="AK15" s="1126">
        <f>'11'!$G$123</f>
        <v>233</v>
      </c>
      <c r="AL15" s="1126">
        <f>'11'!$G$124</f>
        <v>0</v>
      </c>
      <c r="AM15" s="1126">
        <f>'11'!$G$125</f>
        <v>68</v>
      </c>
      <c r="AN15" s="1126">
        <f>'11'!$G$126</f>
        <v>17</v>
      </c>
      <c r="AO15" s="1126">
        <f>'11'!$G$127</f>
        <v>3</v>
      </c>
      <c r="AP15" s="1126">
        <f t="shared" si="0"/>
        <v>531</v>
      </c>
      <c r="AQ15" s="1126">
        <f>SUM('11'!G139:G140)</f>
        <v>7</v>
      </c>
      <c r="AR15" s="1126">
        <f>'11'!$G$136</f>
        <v>8</v>
      </c>
      <c r="AS15" s="1126">
        <f>'11'!$G$137</f>
        <v>0.31000000000130967</v>
      </c>
      <c r="AT15" s="1126">
        <f>'11'!$G$138</f>
        <v>6</v>
      </c>
      <c r="AU15" s="1123">
        <f t="shared" si="1"/>
        <v>14.31000000000131</v>
      </c>
    </row>
    <row r="16" spans="1:49">
      <c r="A16" s="1125">
        <v>43873</v>
      </c>
      <c r="B16" s="261">
        <f>SUM('12'!G35,'12'!G49)</f>
        <v>3783</v>
      </c>
      <c r="C16" s="261">
        <f>SUM('12'!G37,'12'!G51)</f>
        <v>1569</v>
      </c>
      <c r="D16" s="261">
        <f>SUM('12'!G38,'12'!G52)</f>
        <v>1820</v>
      </c>
      <c r="E16" s="261">
        <f>SUM('12'!G39,'12'!G53)</f>
        <v>4165</v>
      </c>
      <c r="F16" s="261">
        <f>SUM('12'!G41,'12'!G42,'12'!G55,'12'!G56)</f>
        <v>5122</v>
      </c>
      <c r="G16" s="261">
        <f>SUM('12'!G43,'12'!G57)</f>
        <v>2392</v>
      </c>
      <c r="H16" s="1126">
        <f>'12'!G50</f>
        <v>1179</v>
      </c>
      <c r="I16" s="1126">
        <f>'12'!G36</f>
        <v>629</v>
      </c>
      <c r="J16" s="1126">
        <f>'12'!G72</f>
        <v>87</v>
      </c>
      <c r="K16" s="1126">
        <f>'12'!$G$73</f>
        <v>1</v>
      </c>
      <c r="L16" s="1126">
        <f>'12'!$G$74</f>
        <v>24</v>
      </c>
      <c r="M16" s="1126">
        <f>'12'!$G$75</f>
        <v>168</v>
      </c>
      <c r="N16" s="1126">
        <f>'12'!$G$76</f>
        <v>87</v>
      </c>
      <c r="O16" s="1126">
        <f>'12'!$G$77</f>
        <v>53</v>
      </c>
      <c r="P16" s="1116">
        <f>'12'!$G$78</f>
        <v>407</v>
      </c>
      <c r="Q16" s="1116">
        <f>'12'!$G$79</f>
        <v>190</v>
      </c>
      <c r="R16" s="1116">
        <f>'12'!$G$80</f>
        <v>576</v>
      </c>
      <c r="S16" s="1116">
        <f>'12'!$G$81</f>
        <v>88</v>
      </c>
      <c r="T16" s="1116">
        <f>'12'!$G$82</f>
        <v>23</v>
      </c>
      <c r="U16" s="1116">
        <f>'12'!$G$58</f>
        <v>173</v>
      </c>
      <c r="V16" s="1116">
        <f>'12'!$G$83</f>
        <v>211</v>
      </c>
      <c r="W16" s="1116">
        <f>'12'!G86</f>
        <v>249</v>
      </c>
      <c r="X16" s="1116">
        <f>'12'!G87</f>
        <v>28</v>
      </c>
      <c r="Y16" s="1116">
        <f>'12'!G88</f>
        <v>74</v>
      </c>
      <c r="Z16" s="1116">
        <f>'12'!G87+'12'!H90</f>
        <v>32</v>
      </c>
      <c r="AA16" s="1126">
        <f>'12'!$G$62</f>
        <v>0</v>
      </c>
      <c r="AB16" s="1126">
        <f>'12'!$G$63</f>
        <v>12</v>
      </c>
      <c r="AC16" s="1126">
        <f>'12'!$G$64</f>
        <v>514</v>
      </c>
      <c r="AD16" s="1126">
        <f>'12'!$G$65</f>
        <v>352</v>
      </c>
      <c r="AE16" s="1126">
        <f>'12'!$G$66</f>
        <v>366</v>
      </c>
      <c r="AF16" s="1126">
        <f>'12'!$G$67</f>
        <v>675</v>
      </c>
      <c r="AG16" s="1126">
        <f>'12'!$G$68</f>
        <v>333</v>
      </c>
      <c r="AH16" s="1126">
        <f>'12'!$G$69</f>
        <v>328</v>
      </c>
      <c r="AI16" s="1126">
        <f>'12'!$G$84</f>
        <v>991</v>
      </c>
      <c r="AJ16" s="1126">
        <f>'12'!$G$15</f>
        <v>804.77000000001863</v>
      </c>
      <c r="AK16" s="1164">
        <f>'12'!$G$123</f>
        <v>245</v>
      </c>
      <c r="AL16" s="1126">
        <f>'12'!$G$124</f>
        <v>0</v>
      </c>
      <c r="AM16" s="1153">
        <f>'12'!$G$125</f>
        <v>60</v>
      </c>
      <c r="AN16" s="1126">
        <f>'12'!$G$126</f>
        <v>20</v>
      </c>
      <c r="AO16" s="1126">
        <f>'12'!$G$127</f>
        <v>3</v>
      </c>
      <c r="AP16" s="1126">
        <f t="shared" si="0"/>
        <v>476.77000000001863</v>
      </c>
      <c r="AQ16" s="1126">
        <f>SUM('12'!G139:G140)</f>
        <v>7</v>
      </c>
      <c r="AR16" s="1126">
        <f>'12'!$G$136</f>
        <v>8</v>
      </c>
      <c r="AS16" s="1126">
        <f>'12'!$G$137</f>
        <v>0</v>
      </c>
      <c r="AT16" s="1126">
        <f>'12'!$G$138</f>
        <v>3.8600000000005821</v>
      </c>
      <c r="AU16" s="1123">
        <f t="shared" si="1"/>
        <v>11.860000000000582</v>
      </c>
      <c r="AW16" s="1131">
        <f>AK16-AM16</f>
        <v>185</v>
      </c>
    </row>
    <row r="17" spans="1:49">
      <c r="A17" s="1125">
        <v>43874</v>
      </c>
      <c r="B17" s="261">
        <f>SUM('13'!G35,'13'!G49)</f>
        <v>-86100.199999999953</v>
      </c>
      <c r="C17" s="261">
        <f>SUM('13'!G37,'13'!G51)</f>
        <v>-40476.15</v>
      </c>
      <c r="D17" s="261">
        <f>SUM('13'!G38,'13'!G52)</f>
        <v>-56670.429999999978</v>
      </c>
      <c r="E17" s="261">
        <f>SUM('13'!G39,'13'!G53)</f>
        <v>-114836.79</v>
      </c>
      <c r="F17" s="261">
        <f>SUM('13'!G41,'13'!G42,'13'!G55,'13'!G56)</f>
        <v>-137282.09599999999</v>
      </c>
      <c r="G17" s="261">
        <f>SUM('13'!G43,'13'!G57)</f>
        <v>-64401.480000000054</v>
      </c>
      <c r="H17" s="1126">
        <f>'13'!G50</f>
        <v>-33798.090000000026</v>
      </c>
      <c r="I17" s="1126">
        <f>'13'!G36</f>
        <v>-19407.669999999984</v>
      </c>
      <c r="J17" s="1126">
        <f>'13'!G72</f>
        <v>-2199</v>
      </c>
      <c r="K17" s="1126">
        <f>'13'!$G$73</f>
        <v>-39</v>
      </c>
      <c r="L17" s="1126">
        <f>'13'!$G$74</f>
        <v>-847.05500000000006</v>
      </c>
      <c r="M17" s="1126">
        <f>'13'!$G$75</f>
        <v>-4682.32</v>
      </c>
      <c r="N17" s="1126">
        <f>'13'!$G$76</f>
        <v>-2192.12</v>
      </c>
      <c r="O17" s="1126">
        <f>'13'!$G$77</f>
        <v>-1385</v>
      </c>
      <c r="P17" s="1116">
        <f>'13'!$G$78</f>
        <v>-10267</v>
      </c>
      <c r="Q17" s="1116">
        <f>'13'!$G$79</f>
        <v>-5404</v>
      </c>
      <c r="R17" s="1116">
        <f>'13'!$G$80</f>
        <v>-9854.320000000007</v>
      </c>
      <c r="S17" s="1116">
        <f>'13'!$G$81</f>
        <v>-3080.8800000000047</v>
      </c>
      <c r="T17" s="1116">
        <f>'13'!$G$82</f>
        <v>-633.97999999999593</v>
      </c>
      <c r="U17" s="1116">
        <f>'13'!$G$58</f>
        <v>-5456.0299999999988</v>
      </c>
      <c r="V17" s="1116">
        <f>'13'!$G$83</f>
        <v>987320</v>
      </c>
      <c r="W17" s="1116">
        <f>'13'!G86</f>
        <v>-3180.5599999999977</v>
      </c>
      <c r="X17" s="1116">
        <f>'13'!G87</f>
        <v>-758</v>
      </c>
      <c r="Y17" s="1116">
        <f>'13'!G88</f>
        <v>-1813.0100000000093</v>
      </c>
      <c r="Z17" s="1116">
        <f>'13'!G87+'13'!H90</f>
        <v>-863.90000000000009</v>
      </c>
      <c r="AA17" s="1126">
        <f>'13'!$G$62</f>
        <v>0.18000000000029104</v>
      </c>
      <c r="AB17" s="1126">
        <f>'13'!$G$63</f>
        <v>-357.75</v>
      </c>
      <c r="AC17" s="1126">
        <f>'13'!$G$64</f>
        <v>-13143.559999999998</v>
      </c>
      <c r="AD17" s="1126">
        <f>'13'!$G$65</f>
        <v>-10430.160000000003</v>
      </c>
      <c r="AE17" s="1126">
        <f>'13'!$G$66</f>
        <v>-10545.897000000001</v>
      </c>
      <c r="AF17" s="1126">
        <f>'13'!$G$67</f>
        <v>-18187.670000000013</v>
      </c>
      <c r="AG17" s="1126">
        <f>'13'!$G$68</f>
        <v>-8971.2299999999959</v>
      </c>
      <c r="AH17" s="1126">
        <f>'13'!$G$69</f>
        <v>-8725.9599999999991</v>
      </c>
      <c r="AI17" s="1126">
        <f>'13'!$G$84</f>
        <v>-18219</v>
      </c>
      <c r="AJ17" s="1126">
        <f>'13'!$G$15</f>
        <v>-24979.18200000003</v>
      </c>
      <c r="AK17" s="1164">
        <f>'13'!$G$123</f>
        <v>-7046.5999999999767</v>
      </c>
      <c r="AL17" s="1126">
        <f>'13'!$G$124</f>
        <v>0.39999999999417923</v>
      </c>
      <c r="AM17" s="1126">
        <f>'13'!$G$125</f>
        <v>-2027.75</v>
      </c>
      <c r="AN17" s="1126">
        <f>'13'!$G$126</f>
        <v>-791.69999999999709</v>
      </c>
      <c r="AO17" s="1126">
        <f>'13'!$G$127</f>
        <v>-69.700000000000728</v>
      </c>
      <c r="AP17" s="1126">
        <f t="shared" si="0"/>
        <v>-15043.832000000049</v>
      </c>
      <c r="AQ17" s="1126">
        <f>SUM('13'!G139:G140)</f>
        <v>-203.89000000000033</v>
      </c>
      <c r="AR17" s="1126">
        <f>'13'!$G$136</f>
        <v>-236.56000000000131</v>
      </c>
      <c r="AS17" s="1126">
        <f>'13'!$G$137</f>
        <v>-14.280000000002474</v>
      </c>
      <c r="AT17" s="1126">
        <f>'13'!$G$138</f>
        <v>-113.36999999999534</v>
      </c>
      <c r="AU17" s="1123">
        <f t="shared" si="1"/>
        <v>-364.20999999999913</v>
      </c>
      <c r="AW17" s="1131">
        <f t="shared" ref="AW17:AW35" si="2">AK17-AP17</f>
        <v>7997.2320000000727</v>
      </c>
    </row>
    <row r="18" spans="1:49">
      <c r="A18" s="1125">
        <v>43875</v>
      </c>
      <c r="B18" s="261">
        <f>SUM('14'!G35,'14'!G49)</f>
        <v>2968.1999999999534</v>
      </c>
      <c r="C18" s="261">
        <f>SUM('14'!G37,'14'!G51)</f>
        <v>1580.2299999999996</v>
      </c>
      <c r="D18" s="261">
        <f>SUM('14'!G38,'14'!G52)</f>
        <v>2441.0599999999995</v>
      </c>
      <c r="E18" s="261">
        <f>SUM('14'!G39,'14'!G53)</f>
        <v>4655.1399999999994</v>
      </c>
      <c r="F18" s="261">
        <f>SUM('14'!G41,'14'!G42,'14'!G55,'14'!G56)</f>
        <v>5638.7550000000047</v>
      </c>
      <c r="G18" s="261">
        <f>SUM('14'!G43,'14'!G57)</f>
        <v>2360.0800000000745</v>
      </c>
      <c r="H18" s="1126">
        <f>'14'!G50</f>
        <v>1369.2800000000279</v>
      </c>
      <c r="I18" s="1126">
        <f>'14'!G36</f>
        <v>864.61999999999534</v>
      </c>
      <c r="J18" s="1126">
        <f>'14'!G72</f>
        <v>103</v>
      </c>
      <c r="K18" s="1126">
        <f>'14'!$G$73</f>
        <v>1</v>
      </c>
      <c r="L18" s="1126">
        <f>'14'!$G$74</f>
        <v>61.495000000000005</v>
      </c>
      <c r="M18" s="1126">
        <f>'14'!$G$75</f>
        <v>207.68000000000006</v>
      </c>
      <c r="N18" s="1126">
        <f>'14'!$G$76</f>
        <v>90.509999999999991</v>
      </c>
      <c r="O18" s="1126">
        <f>'14'!$G$77</f>
        <v>54</v>
      </c>
      <c r="P18" s="1116">
        <f>'14'!$G$78</f>
        <v>454</v>
      </c>
      <c r="Q18" s="1116">
        <f>'14'!$G$79</f>
        <v>192</v>
      </c>
      <c r="R18" s="1116">
        <f>'14'!$G$80</f>
        <v>386.88000000000466</v>
      </c>
      <c r="S18" s="1116">
        <f>'14'!$G$81</f>
        <v>135.19999999995343</v>
      </c>
      <c r="T18" s="1116">
        <f>'14'!$G$82</f>
        <v>26.929999999993015</v>
      </c>
      <c r="U18" s="1116">
        <f>'14'!$G$58</f>
        <v>225.36999999999534</v>
      </c>
      <c r="V18" s="1116">
        <f>'14'!$G$83</f>
        <v>490</v>
      </c>
      <c r="W18" s="1116">
        <f>'14'!G86</f>
        <v>22</v>
      </c>
      <c r="X18" s="1116">
        <f>'14'!G87</f>
        <v>10.5</v>
      </c>
      <c r="Y18" s="1116">
        <f>'14'!G88</f>
        <v>41.820000000006985</v>
      </c>
      <c r="Z18" s="1116">
        <f>'14'!G87+'14'!H90</f>
        <v>11.5</v>
      </c>
      <c r="AA18" s="1126">
        <f>'14'!$G$62</f>
        <v>0</v>
      </c>
      <c r="AB18" s="1126">
        <f>'14'!$G$63</f>
        <v>13.230000000000018</v>
      </c>
      <c r="AC18" s="1126">
        <f>'14'!$G$64</f>
        <v>391.25999999999476</v>
      </c>
      <c r="AD18" s="1126">
        <f>'14'!$G$65</f>
        <v>404.08999999999651</v>
      </c>
      <c r="AE18" s="1126">
        <f>'14'!$G$66</f>
        <v>402.83699999999953</v>
      </c>
      <c r="AF18" s="1126">
        <f>'14'!$G$67</f>
        <v>738.36000000001513</v>
      </c>
      <c r="AG18" s="1126">
        <f>'14'!$G$68</f>
        <v>357.76699999999255</v>
      </c>
      <c r="AH18" s="1126">
        <f>'14'!$G$69</f>
        <v>312.34999999999854</v>
      </c>
      <c r="AI18" s="1126">
        <f>'14'!$G$84</f>
        <v>498</v>
      </c>
      <c r="AJ18" s="1126">
        <f>'14'!$G$15</f>
        <v>1135.4930000000168</v>
      </c>
      <c r="AK18" s="1126">
        <f>'14'!$G$123</f>
        <v>307.53000000002794</v>
      </c>
      <c r="AL18" s="1126">
        <f>'14'!$G$124</f>
        <v>0</v>
      </c>
      <c r="AM18" s="1126">
        <f>'14'!$G$125</f>
        <v>112.33999999999651</v>
      </c>
      <c r="AN18" s="1126">
        <f>'14'!$G$126</f>
        <v>52.099999999998545</v>
      </c>
      <c r="AO18" s="1126">
        <f>'14'!$G$127</f>
        <v>8.5</v>
      </c>
      <c r="AP18" s="1126">
        <f t="shared" si="0"/>
        <v>655.02299999999377</v>
      </c>
      <c r="AQ18" s="1126">
        <f>SUM('14'!G139:G140)</f>
        <v>8.9500000000000455</v>
      </c>
      <c r="AR18" s="1126">
        <f>'14'!$G$136</f>
        <v>9.9700000000011642</v>
      </c>
      <c r="AS18" s="1126">
        <f>'14'!$G$137</f>
        <v>0</v>
      </c>
      <c r="AT18" s="1126">
        <f>'14'!$G$138</f>
        <v>7.4099999999889405</v>
      </c>
      <c r="AU18" s="1123">
        <f t="shared" si="1"/>
        <v>17.379999999990105</v>
      </c>
      <c r="AW18" s="1131">
        <f>AK18-AP18</f>
        <v>-347.49299999996583</v>
      </c>
    </row>
    <row r="19" spans="1:49">
      <c r="A19" s="1125">
        <v>43876</v>
      </c>
      <c r="B19" s="261">
        <f>SUM('15'!G35,'15'!G49)</f>
        <v>2919.7600000000093</v>
      </c>
      <c r="C19" s="261">
        <f>SUM('15'!G37,'15'!G51)</f>
        <v>1580.0900000000001</v>
      </c>
      <c r="D19" s="261">
        <f>SUM('15'!G38,'15'!G52)</f>
        <v>2468.8999999999996</v>
      </c>
      <c r="E19" s="261">
        <f>SUM('15'!G39,'15'!G53)</f>
        <v>4654.59</v>
      </c>
      <c r="F19" s="261">
        <f>SUM('15'!G41,'15'!G42,'15'!G55,'15'!G56)</f>
        <v>5582.9709999999905</v>
      </c>
      <c r="G19" s="261">
        <f>SUM('15'!G43,'15'!G57)</f>
        <v>2346.1600000000326</v>
      </c>
      <c r="H19" s="1126">
        <f>'15'!G50</f>
        <v>1990</v>
      </c>
      <c r="I19" s="1126">
        <f>'15'!G36</f>
        <v>941.51999999996042</v>
      </c>
      <c r="J19" s="1126">
        <f>'15'!G72</f>
        <v>93</v>
      </c>
      <c r="K19" s="1126">
        <f>'15'!$G$73</f>
        <v>1</v>
      </c>
      <c r="L19" s="1126">
        <f>'15'!$G$74</f>
        <v>63.379999999999995</v>
      </c>
      <c r="M19" s="1126">
        <f>'15'!$G$75</f>
        <v>209.36</v>
      </c>
      <c r="N19" s="1126">
        <f>'15'!$G$76</f>
        <v>79.009999999999991</v>
      </c>
      <c r="O19" s="1126">
        <f>'15'!$G$77</f>
        <v>54</v>
      </c>
      <c r="P19" s="1116">
        <f>'15'!$G$78</f>
        <v>401</v>
      </c>
      <c r="Q19" s="1116">
        <f>'15'!$G$79</f>
        <v>211</v>
      </c>
      <c r="R19" s="1116">
        <f>'15'!$G$80</f>
        <v>412.96000000002095</v>
      </c>
      <c r="S19" s="1116">
        <f>'15'!$G$81</f>
        <v>139.72000000008848</v>
      </c>
      <c r="T19" s="1116">
        <f>'15'!$G$82</f>
        <v>28.059999999997672</v>
      </c>
      <c r="U19" s="1116">
        <f>'15'!$G$58</f>
        <v>286.33000000000175</v>
      </c>
      <c r="V19" s="1116">
        <f>'15'!$G$83</f>
        <v>538</v>
      </c>
      <c r="W19" s="1116">
        <f>'15'!G86</f>
        <v>104.40000000002328</v>
      </c>
      <c r="X19" s="1116">
        <f>'15'!G87</f>
        <v>34.30000000000291</v>
      </c>
      <c r="Y19" s="1116">
        <f>'15'!G88</f>
        <v>77.080000000016298</v>
      </c>
      <c r="Z19" s="1116">
        <f>'15'!G87+'15'!H90</f>
        <v>38.30000000000291</v>
      </c>
      <c r="AA19" s="1126">
        <f>'15'!$G$62</f>
        <v>0</v>
      </c>
      <c r="AB19" s="1126">
        <f>'15'!$G$63</f>
        <v>12.220000000000027</v>
      </c>
      <c r="AC19" s="1126">
        <f>'15'!$G$64</f>
        <v>426.88000000000466</v>
      </c>
      <c r="AD19" s="1126">
        <f>'15'!$G$65</f>
        <v>404.42000000001281</v>
      </c>
      <c r="AE19" s="1126">
        <f>'15'!$G$66</f>
        <v>400.69000000000233</v>
      </c>
      <c r="AF19" s="1126">
        <f>'15'!$G$67</f>
        <v>714.48000000001048</v>
      </c>
      <c r="AG19" s="1126">
        <f>'15'!$G$68</f>
        <v>337.84300000000803</v>
      </c>
      <c r="AH19" s="1126">
        <f>'15'!$G$69</f>
        <v>305.81999999999971</v>
      </c>
      <c r="AI19" s="1126">
        <f>'15'!$G$84</f>
        <v>536</v>
      </c>
      <c r="AJ19" s="1126">
        <f>'15'!$G$15</f>
        <v>1235.2890000001062</v>
      </c>
      <c r="AK19" s="1126">
        <f>'15'!$G$123</f>
        <v>276.40999999991618</v>
      </c>
      <c r="AL19" s="1126">
        <f>'15'!$G$124</f>
        <v>0</v>
      </c>
      <c r="AM19" s="1126">
        <f>'15'!$G$125</f>
        <v>135.35000000000582</v>
      </c>
      <c r="AN19" s="1126">
        <f>'15'!$G$126</f>
        <v>41.5</v>
      </c>
      <c r="AO19" s="1126">
        <f>'15'!$G$127</f>
        <v>5.5</v>
      </c>
      <c r="AP19" s="1126">
        <f t="shared" si="0"/>
        <v>776.52900000018417</v>
      </c>
      <c r="AQ19" s="1126">
        <f>SUM('15'!G139:G140)</f>
        <v>7.7899999999999636</v>
      </c>
      <c r="AR19" s="1126">
        <f>'15'!$G$136</f>
        <v>10.5</v>
      </c>
      <c r="AS19" s="1126">
        <f>'15'!$G$137</f>
        <v>4.2600000000020373</v>
      </c>
      <c r="AT19" s="1126">
        <f>'15'!$G$138</f>
        <v>0.69000000000232831</v>
      </c>
      <c r="AU19" s="1123">
        <f t="shared" si="1"/>
        <v>15.450000000004366</v>
      </c>
      <c r="AW19" s="1131">
        <f t="shared" si="2"/>
        <v>-500.11900000026799</v>
      </c>
    </row>
    <row r="20" spans="1:49">
      <c r="A20" s="1125">
        <v>43877</v>
      </c>
      <c r="B20" s="261">
        <f>SUM('16'!G35,'16'!G49)</f>
        <v>3038.5200000000186</v>
      </c>
      <c r="C20" s="261">
        <f>SUM('16'!G37,'16'!G51)</f>
        <v>1517.1100000000006</v>
      </c>
      <c r="D20" s="261">
        <f>SUM('16'!G38,'16'!G52)</f>
        <v>2233.6500000000015</v>
      </c>
      <c r="E20" s="261">
        <f>SUM('16'!G39,'16'!G53)</f>
        <v>4228.1200000000026</v>
      </c>
      <c r="F20" s="261">
        <f>SUM('16'!G41,'16'!G42,'16'!G55,'16'!G56)</f>
        <v>4709.0199999999895</v>
      </c>
      <c r="G20" s="261">
        <f>SUM('16'!G43,'16'!G57)</f>
        <v>2361.359999999986</v>
      </c>
      <c r="H20" s="1126">
        <f>'16'!G50</f>
        <v>1255</v>
      </c>
      <c r="I20" s="1126">
        <f>'16'!G36</f>
        <v>957.28000000002794</v>
      </c>
      <c r="J20" s="1126">
        <f>'16'!G72</f>
        <v>96</v>
      </c>
      <c r="K20" s="1126">
        <f>'16'!$G$73</f>
        <v>1</v>
      </c>
      <c r="L20" s="1126">
        <f>'16'!$G$74</f>
        <v>49.52000000000001</v>
      </c>
      <c r="M20" s="1126">
        <f>'16'!$G$75</f>
        <v>202.6099999999999</v>
      </c>
      <c r="N20" s="1126">
        <f>'16'!$G$76</f>
        <v>72.600000000000023</v>
      </c>
      <c r="O20" s="1126">
        <f>'16'!$G$77</f>
        <v>54</v>
      </c>
      <c r="P20" s="1116">
        <f>'16'!$G$78</f>
        <v>383</v>
      </c>
      <c r="Q20" s="1116">
        <f>'16'!$G$79</f>
        <v>212</v>
      </c>
      <c r="R20" s="1116">
        <f>'16'!$G$80</f>
        <v>391.47999999998137</v>
      </c>
      <c r="S20" s="1116">
        <f>'16'!$G$81</f>
        <v>120.95999999996275</v>
      </c>
      <c r="T20" s="1116">
        <f>'16'!$G$82</f>
        <v>26.430000000007567</v>
      </c>
      <c r="U20" s="1116">
        <f>'16'!$G$58</f>
        <v>210.52999999999884</v>
      </c>
      <c r="V20" s="1116">
        <f>'16'!$G$83</f>
        <v>497</v>
      </c>
      <c r="W20" s="1116">
        <f>'16'!G86</f>
        <v>108.19999999995343</v>
      </c>
      <c r="X20" s="1116">
        <f>'16'!G87</f>
        <v>20.19999999999709</v>
      </c>
      <c r="Y20" s="1116">
        <f>'16'!G88</f>
        <v>80.019999999989523</v>
      </c>
      <c r="Z20" s="1116">
        <f>'16'!G87+'16'!H90</f>
        <v>24.999999999997272</v>
      </c>
      <c r="AA20" s="1126">
        <f>'16'!$G$62</f>
        <v>0</v>
      </c>
      <c r="AB20" s="1126">
        <f>'16'!$G$63</f>
        <v>11.930000000000064</v>
      </c>
      <c r="AC20" s="1126">
        <f>'16'!$G$64</f>
        <v>432.27000000000407</v>
      </c>
      <c r="AD20" s="1126">
        <f>'16'!$G$65</f>
        <v>401.56999999999243</v>
      </c>
      <c r="AE20" s="1126">
        <f>'16'!$G$66</f>
        <v>409.7599999999984</v>
      </c>
      <c r="AF20" s="1126">
        <f>'16'!$G$67</f>
        <v>678.07999999998719</v>
      </c>
      <c r="AG20" s="1126">
        <f>'16'!$G$68</f>
        <v>314.79999999998836</v>
      </c>
      <c r="AH20" s="1126">
        <f>'16'!$G$69</f>
        <v>302.34999999999854</v>
      </c>
      <c r="AI20" s="1126">
        <f>'16'!$G$84</f>
        <v>659</v>
      </c>
      <c r="AJ20" s="1126">
        <f>'16'!$G$15</f>
        <v>1012.5699999998324</v>
      </c>
      <c r="AK20" s="1164">
        <f>'16'!$G$123</f>
        <v>274.44000000006054</v>
      </c>
      <c r="AL20" s="1126">
        <f>'16'!$G$124</f>
        <v>0</v>
      </c>
      <c r="AM20" s="1126">
        <f>'16'!$G$125</f>
        <v>87.940000000002328</v>
      </c>
      <c r="AN20" s="1126">
        <f>'16'!$G$126</f>
        <v>24.799999999995634</v>
      </c>
      <c r="AO20" s="1126">
        <f>'16'!$G$127</f>
        <v>2.1000000000003638</v>
      </c>
      <c r="AP20" s="1126">
        <f t="shared" si="0"/>
        <v>623.2899999997735</v>
      </c>
      <c r="AQ20" s="1126">
        <f>SUM('16'!G139:G140)</f>
        <v>7.8900000000001</v>
      </c>
      <c r="AR20" s="1126">
        <f>'16'!$G$136</f>
        <v>10.340000000000146</v>
      </c>
      <c r="AS20" s="1126">
        <f>'16'!$G$137</f>
        <v>0</v>
      </c>
      <c r="AT20" s="1126">
        <f>'16'!$G$138</f>
        <v>4.5899999999965075</v>
      </c>
      <c r="AU20" s="1123">
        <f t="shared" si="1"/>
        <v>14.929999999996653</v>
      </c>
      <c r="AW20" s="1131">
        <f t="shared" si="2"/>
        <v>-348.84999999971296</v>
      </c>
    </row>
    <row r="21" spans="1:49">
      <c r="A21" s="1125">
        <v>43878</v>
      </c>
      <c r="B21" s="261">
        <f>SUM('17'!G35,'17'!G49)</f>
        <v>2711.640000000014</v>
      </c>
      <c r="C21" s="261">
        <f>SUM('17'!G37,'17'!G51)</f>
        <v>1476.619999999999</v>
      </c>
      <c r="D21" s="261">
        <f>SUM('17'!G38,'17'!G52)</f>
        <v>2001.3899999999994</v>
      </c>
      <c r="E21" s="261">
        <f>SUM('17'!G39,'17'!G53)</f>
        <v>4187.6299999999974</v>
      </c>
      <c r="F21" s="261">
        <f>SUM('17'!G41,'17'!G42,'17'!G55,'17'!G56)</f>
        <v>4529.1700000000201</v>
      </c>
      <c r="G21" s="261">
        <f>SUM('17'!G43,'17'!G57)</f>
        <v>2334.7999999999302</v>
      </c>
      <c r="H21" s="1126">
        <f>'18'!G50</f>
        <v>1128.5600000000559</v>
      </c>
      <c r="I21" s="1126">
        <f>'18'!G36</f>
        <v>883.79999999998836</v>
      </c>
      <c r="J21" s="1126">
        <f>'18'!G72</f>
        <v>65</v>
      </c>
      <c r="K21" s="1126">
        <f>'17'!$G$73</f>
        <v>0</v>
      </c>
      <c r="L21" s="1126">
        <f>'17'!$G$74</f>
        <v>52.419999999999987</v>
      </c>
      <c r="M21" s="1126">
        <f>'17'!$G$75</f>
        <v>190.22000000000003</v>
      </c>
      <c r="N21" s="1126">
        <f>'17'!$G$76</f>
        <v>77.5</v>
      </c>
      <c r="O21" s="1126">
        <f>'17'!$G$77</f>
        <v>54</v>
      </c>
      <c r="P21" s="1116">
        <f>'17'!$G$78</f>
        <v>362</v>
      </c>
      <c r="Q21" s="1116">
        <f>'17'!$G$79</f>
        <v>192</v>
      </c>
      <c r="R21" s="1116">
        <f>'17'!$G$80</f>
        <v>341.96000000002095</v>
      </c>
      <c r="S21" s="1116">
        <f>'17'!$G$81</f>
        <v>91.160000000032596</v>
      </c>
      <c r="T21" s="1116">
        <f>'17'!$G$82</f>
        <v>28.880000000004657</v>
      </c>
      <c r="U21" s="1116">
        <f>'17'!$G$58</f>
        <v>201.11000000000058</v>
      </c>
      <c r="V21" s="1116">
        <f>'17'!$G$83</f>
        <v>450</v>
      </c>
      <c r="W21" s="1116">
        <f>'17'!G86</f>
        <v>58.960000000020955</v>
      </c>
      <c r="X21" s="1116">
        <f>'17'!G87</f>
        <v>30.69999999999709</v>
      </c>
      <c r="Y21" s="1116">
        <f>'17'!G88</f>
        <v>82.989999999990687</v>
      </c>
      <c r="Z21" s="1116">
        <f>'17'!G87+'17'!H90</f>
        <v>34.19999999999709</v>
      </c>
      <c r="AA21" s="1126">
        <f>'17'!$G$62</f>
        <v>0</v>
      </c>
      <c r="AB21" s="1126">
        <f>'17'!$G$63</f>
        <v>13.7199999999998</v>
      </c>
      <c r="AC21" s="1126">
        <f>'17'!$G$64</f>
        <v>429.92999999999302</v>
      </c>
      <c r="AD21" s="1126">
        <f>'17'!$G$65</f>
        <v>403.88999999999942</v>
      </c>
      <c r="AE21" s="1126">
        <f>'17'!$G$66</f>
        <v>394.95000000000073</v>
      </c>
      <c r="AF21" s="1126">
        <f>'17'!$G$67</f>
        <v>678.64000000001397</v>
      </c>
      <c r="AG21" s="1126">
        <f>'17'!$G$68</f>
        <v>338.99000000000524</v>
      </c>
      <c r="AH21" s="1126">
        <f>'17'!$G$69</f>
        <v>307.69000000000233</v>
      </c>
      <c r="AI21" s="1126">
        <f>'17'!$G$84</f>
        <v>482</v>
      </c>
      <c r="AJ21" s="1126">
        <f>'17'!$G$15</f>
        <v>930.51000000000931</v>
      </c>
      <c r="AK21" s="1126">
        <f>'17'!$G$123</f>
        <v>259.15000000002328</v>
      </c>
      <c r="AL21" s="1126">
        <f>'17'!$G$124</f>
        <v>0</v>
      </c>
      <c r="AM21" s="1126">
        <f>'17'!$G$125</f>
        <v>67.600000000005821</v>
      </c>
      <c r="AN21" s="1126">
        <f>'17'!$G$126</f>
        <v>16.100000000005821</v>
      </c>
      <c r="AO21" s="1126">
        <f>'17'!$G$127</f>
        <v>4.7000000000007276</v>
      </c>
      <c r="AP21" s="1126">
        <f t="shared" si="0"/>
        <v>582.95999999997366</v>
      </c>
      <c r="AQ21" s="1126">
        <f>SUM('17'!G139:G140)</f>
        <v>7.4700000000000273</v>
      </c>
      <c r="AR21" s="1126">
        <f>'17'!$G$136</f>
        <v>9.6500000000014552</v>
      </c>
      <c r="AS21" s="1126">
        <f>'17'!$G$137</f>
        <v>0</v>
      </c>
      <c r="AT21" s="1126">
        <f>'17'!$G$138</f>
        <v>4.3100000000122236</v>
      </c>
      <c r="AU21" s="1123">
        <f t="shared" si="1"/>
        <v>13.960000000013679</v>
      </c>
      <c r="AW21" s="1131">
        <f t="shared" si="2"/>
        <v>-323.80999999995038</v>
      </c>
    </row>
    <row r="22" spans="1:49">
      <c r="A22" s="1125">
        <v>43879</v>
      </c>
      <c r="B22" s="261">
        <f>SUM('18'!G35,'18'!G49)</f>
        <v>2740.1599999999162</v>
      </c>
      <c r="C22" s="261">
        <f>SUM('18'!G37,'18'!G51)</f>
        <v>1468.9300000000003</v>
      </c>
      <c r="D22" s="261">
        <f>SUM('18'!G38,'18'!G52)</f>
        <v>2050.5400000000009</v>
      </c>
      <c r="E22" s="261">
        <f>SUM('18'!G39,'18'!G53)</f>
        <v>4281.18</v>
      </c>
      <c r="F22" s="261">
        <f>SUM('18'!G41,'18'!G42,'18'!G55,'18'!G56)</f>
        <v>4586.8699999999371</v>
      </c>
      <c r="G22" s="261">
        <f>SUM('18'!G43,'18'!G57)</f>
        <v>2334.1600000000326</v>
      </c>
      <c r="H22" s="1126">
        <f>'18'!G50</f>
        <v>1128.5600000000559</v>
      </c>
      <c r="I22" s="1126">
        <f>'18'!G36</f>
        <v>883.79999999998836</v>
      </c>
      <c r="J22" s="1126">
        <f>'18'!G72</f>
        <v>65</v>
      </c>
      <c r="K22" s="1126">
        <f>'18'!$G$73</f>
        <v>0</v>
      </c>
      <c r="L22" s="1126">
        <f>'18'!$G$74</f>
        <v>52.019999999999982</v>
      </c>
      <c r="M22" s="1126">
        <f>'18'!$G$75</f>
        <v>200.05999999999995</v>
      </c>
      <c r="N22" s="1126">
        <f>'18'!$G$76</f>
        <v>87.440000000000055</v>
      </c>
      <c r="O22" s="1126">
        <f>'18'!$G$77</f>
        <v>51</v>
      </c>
      <c r="P22" s="1116">
        <f>'18'!$G$78</f>
        <v>370</v>
      </c>
      <c r="Q22" s="1116">
        <f>'18'!$G$79</f>
        <v>176</v>
      </c>
      <c r="R22" s="1129">
        <f>'18'!$G$80</f>
        <v>337.03999999997905</v>
      </c>
      <c r="S22" s="1129">
        <f>'18'!$G$81</f>
        <v>94.839999999967404</v>
      </c>
      <c r="T22" s="1129">
        <f>'18'!$G$82</f>
        <v>20.679999999993015</v>
      </c>
      <c r="U22" s="1129">
        <f>'18'!$G$58</f>
        <v>214.38000000000466</v>
      </c>
      <c r="V22" s="1129">
        <f>'18'!$G$83</f>
        <v>499</v>
      </c>
      <c r="W22" s="1129">
        <f>'18'!G86</f>
        <v>129</v>
      </c>
      <c r="X22" s="1116">
        <f>'18'!G87</f>
        <v>30.30000000000291</v>
      </c>
      <c r="Y22" s="1116">
        <f>'18'!G88</f>
        <v>76.100000000005821</v>
      </c>
      <c r="Z22" s="1116">
        <f>'18'!G87+'18'!H90</f>
        <v>34.100000000002638</v>
      </c>
      <c r="AA22" s="1126">
        <f>'18'!$G$62</f>
        <v>0</v>
      </c>
      <c r="AB22" s="1126">
        <f>'18'!$G$63</f>
        <v>13.370000000000118</v>
      </c>
      <c r="AC22" s="1126">
        <f>'18'!$G$64</f>
        <v>429.19999999999709</v>
      </c>
      <c r="AD22" s="1126">
        <f>'18'!$G$65</f>
        <v>397.29000000000815</v>
      </c>
      <c r="AE22" s="1126">
        <f>'18'!$G$66</f>
        <v>398.93999999999869</v>
      </c>
      <c r="AF22" s="1126">
        <f>'18'!$G$67</f>
        <v>665.10999999998603</v>
      </c>
      <c r="AG22" s="1126">
        <f>'18'!$G$68</f>
        <v>390.13000000000466</v>
      </c>
      <c r="AH22" s="1126">
        <f>'18'!$G$69</f>
        <v>316.0199999999968</v>
      </c>
      <c r="AI22" s="1126">
        <f>'18'!$G$84</f>
        <v>482</v>
      </c>
      <c r="AJ22" s="1126">
        <f>'18'!$G$15</f>
        <v>840.14000000013039</v>
      </c>
      <c r="AK22" s="1126">
        <f>'18'!$G$123</f>
        <v>260.40999999991618</v>
      </c>
      <c r="AL22" s="1126">
        <f>'18'!$G$124</f>
        <v>0</v>
      </c>
      <c r="AM22" s="1126">
        <f>'18'!$G$125</f>
        <v>77.269999999989523</v>
      </c>
      <c r="AN22" s="1126">
        <f>'18'!$G$126</f>
        <v>25.69999999999709</v>
      </c>
      <c r="AO22" s="1126">
        <f>'18'!$G$127</f>
        <v>1.1000000000003638</v>
      </c>
      <c r="AP22" s="1126">
        <f t="shared" si="0"/>
        <v>475.66000000022723</v>
      </c>
      <c r="AQ22" s="1126">
        <f>SUM('18'!G139:G140)</f>
        <v>7.5599999999999454</v>
      </c>
      <c r="AR22" s="1126">
        <f>'18'!$G$136</f>
        <v>5.6599999999998545</v>
      </c>
      <c r="AS22" s="1126">
        <f>'18'!$G$137</f>
        <v>2.2700000000004366</v>
      </c>
      <c r="AT22" s="1126">
        <f>'18'!$G$138</f>
        <v>4.3799999999901047</v>
      </c>
      <c r="AU22" s="1123">
        <f t="shared" si="1"/>
        <v>12.309999999990396</v>
      </c>
      <c r="AW22" s="1131">
        <f t="shared" si="2"/>
        <v>-215.25000000031105</v>
      </c>
    </row>
    <row r="23" spans="1:49" s="1128" customFormat="1">
      <c r="A23" s="1125">
        <v>43880</v>
      </c>
      <c r="B23" s="261">
        <f>SUM('19'!G35,'19'!G49)</f>
        <v>2680.9200000000419</v>
      </c>
      <c r="C23" s="261">
        <f>SUM('19'!G37,'19'!G51)</f>
        <v>1478.1700000000019</v>
      </c>
      <c r="D23" s="261">
        <f>SUM('19'!G38,'19'!G52)</f>
        <v>1916.8899999999776</v>
      </c>
      <c r="E23" s="261">
        <f>SUM('19'!G39,'19'!G53)</f>
        <v>4163.1299999999901</v>
      </c>
      <c r="F23" s="261">
        <f>SUM('19'!G41,'19'!G42,'19'!G55,'19'!G56)</f>
        <v>4133.3100000000559</v>
      </c>
      <c r="G23" s="261">
        <f>SUM('19'!G43,'19'!G57)</f>
        <v>2308.92</v>
      </c>
      <c r="H23" s="1116">
        <f>'19'!G50</f>
        <v>1435.9699999999721</v>
      </c>
      <c r="I23" s="1116">
        <f>'19'!G36</f>
        <v>664.45000000001164</v>
      </c>
      <c r="J23" s="1116">
        <f>'19'!G72</f>
        <v>71</v>
      </c>
      <c r="K23" s="1116">
        <f>'19'!$G$73</f>
        <v>0</v>
      </c>
      <c r="L23" s="1116">
        <f>'19'!$G$74</f>
        <v>29.220000000000027</v>
      </c>
      <c r="M23" s="1116">
        <f>'19'!$G$75</f>
        <v>160.3900000000001</v>
      </c>
      <c r="N23" s="1116">
        <f>'19'!$G$76</f>
        <v>69.059999999999945</v>
      </c>
      <c r="O23" s="1116">
        <f>'19'!$G$77</f>
        <v>52</v>
      </c>
      <c r="P23" s="1116">
        <f>'19'!$G$78</f>
        <v>333</v>
      </c>
      <c r="Q23" s="1116">
        <f>'19'!$G$79</f>
        <v>178</v>
      </c>
      <c r="R23" s="1116">
        <f>'19'!$G$80</f>
        <v>344</v>
      </c>
      <c r="S23" s="1116">
        <f>'19'!$G$81</f>
        <v>108</v>
      </c>
      <c r="T23" s="1116">
        <f>'19'!$G$82</f>
        <v>25</v>
      </c>
      <c r="U23" s="1116">
        <f>'19'!$G$58</f>
        <v>219.30999999999767</v>
      </c>
      <c r="V23" s="1116">
        <f>'19'!$G$83</f>
        <v>355</v>
      </c>
      <c r="W23" s="1116">
        <f>'19'!G86</f>
        <v>142</v>
      </c>
      <c r="X23" s="1116">
        <f>'19'!G87</f>
        <v>25</v>
      </c>
      <c r="Y23" s="1116">
        <f>'19'!G88</f>
        <v>93</v>
      </c>
      <c r="Z23" s="1116">
        <f>'19'!G87+'19'!H90</f>
        <v>29.800000000000182</v>
      </c>
      <c r="AA23" s="1116">
        <f>'19'!$G$62</f>
        <v>2.0000000000436557E-2</v>
      </c>
      <c r="AB23" s="1116">
        <f>'19'!$G$63</f>
        <v>13.279999999999973</v>
      </c>
      <c r="AC23" s="1116">
        <f>'19'!$G$64</f>
        <v>412.02000000000407</v>
      </c>
      <c r="AD23" s="1116">
        <f>'19'!$G$65</f>
        <v>402.89999999999418</v>
      </c>
      <c r="AE23" s="1116">
        <f>'19'!$G$66</f>
        <v>405.72000000000116</v>
      </c>
      <c r="AF23" s="1116">
        <f>'19'!$G$67</f>
        <v>639</v>
      </c>
      <c r="AG23" s="1116">
        <f>'19'!$G$68</f>
        <v>342.69999999999709</v>
      </c>
      <c r="AH23" s="1116">
        <f>'19'!$G$69</f>
        <v>311.7300000000032</v>
      </c>
      <c r="AI23" s="1116">
        <f>'19'!$G$84</f>
        <v>499</v>
      </c>
      <c r="AJ23" s="1116">
        <f>'19'!$G$15</f>
        <v>881.40999999991618</v>
      </c>
      <c r="AK23" s="1116">
        <f>'19'!$G$123</f>
        <v>241.6600000000326</v>
      </c>
      <c r="AL23" s="1116">
        <f>'19'!$G$124</f>
        <v>-0.39999999999417923</v>
      </c>
      <c r="AM23" s="1116">
        <f>'19'!$G$125</f>
        <v>89.25</v>
      </c>
      <c r="AN23" s="1116">
        <f>'19'!$G$126</f>
        <v>23.5</v>
      </c>
      <c r="AO23" s="1116">
        <f>'19'!$G$127</f>
        <v>1.7999999999992724</v>
      </c>
      <c r="AP23" s="1116">
        <f t="shared" si="0"/>
        <v>525.59999999987849</v>
      </c>
      <c r="AQ23" s="1116">
        <f>SUM('19'!G139:G140)</f>
        <v>6.9700000000000273</v>
      </c>
      <c r="AR23" s="1116">
        <f>'19'!$G$136</f>
        <v>8.0999999999985448</v>
      </c>
      <c r="AS23" s="1116">
        <f>'19'!$G$137</f>
        <v>0</v>
      </c>
      <c r="AT23" s="1116">
        <f>'19'!$G$138</f>
        <v>2.8400000000110595</v>
      </c>
      <c r="AU23" s="1127">
        <f t="shared" si="1"/>
        <v>10.940000000009604</v>
      </c>
      <c r="AW23" s="1132">
        <f t="shared" si="2"/>
        <v>-283.9399999998459</v>
      </c>
    </row>
    <row r="24" spans="1:49">
      <c r="A24" s="1125">
        <v>43881</v>
      </c>
      <c r="B24" s="261">
        <f>SUM('20'!G35,'20'!G49)</f>
        <v>2854</v>
      </c>
      <c r="C24" s="261">
        <f>SUM('20'!G37,'20'!G51)</f>
        <v>1511</v>
      </c>
      <c r="D24" s="261">
        <f>SUM('20'!G38,'20'!G52)</f>
        <v>1965</v>
      </c>
      <c r="E24" s="261">
        <f>SUM('20'!G39,'20'!G53)</f>
        <v>4389</v>
      </c>
      <c r="F24" s="261">
        <f>SUM('20'!G41,'20'!G42,'20'!G55,'20'!G56)</f>
        <v>4051</v>
      </c>
      <c r="G24" s="261">
        <f>SUM('20'!G43,'20'!G57)</f>
        <v>2302</v>
      </c>
      <c r="H24" s="1126">
        <f>'20'!G50</f>
        <v>1156</v>
      </c>
      <c r="I24" s="1126">
        <f>'20'!G36</f>
        <v>625</v>
      </c>
      <c r="J24" s="1126">
        <f>'20'!G72</f>
        <v>66</v>
      </c>
      <c r="K24" s="1126">
        <f>'20'!$G$73</f>
        <v>1</v>
      </c>
      <c r="L24" s="1126">
        <f>'20'!$G$74</f>
        <v>20</v>
      </c>
      <c r="M24" s="1126">
        <f>'20'!$G$75</f>
        <v>178</v>
      </c>
      <c r="N24" s="1126">
        <f>'20'!$G$76</f>
        <v>78</v>
      </c>
      <c r="O24" s="1126">
        <f>'20'!$G$77</f>
        <v>48</v>
      </c>
      <c r="P24" s="1116">
        <f>'20'!$G$78</f>
        <v>402</v>
      </c>
      <c r="Q24" s="1116">
        <f>'20'!$G$79</f>
        <v>191</v>
      </c>
      <c r="R24" s="1116">
        <f>'20'!$G$80</f>
        <v>356</v>
      </c>
      <c r="S24" s="1116">
        <f>'20'!$G$81</f>
        <v>90</v>
      </c>
      <c r="T24" s="1116">
        <f>'20'!$G$82</f>
        <v>26</v>
      </c>
      <c r="U24" s="1116">
        <f>'20'!$G$58</f>
        <v>251</v>
      </c>
      <c r="V24" s="1116">
        <f>'20'!$G$83</f>
        <v>399</v>
      </c>
      <c r="W24" s="1116">
        <f>'20'!G86</f>
        <v>115</v>
      </c>
      <c r="X24" s="1116">
        <f>'20'!G87</f>
        <v>14</v>
      </c>
      <c r="Y24" s="1116">
        <f>'20'!G88</f>
        <v>67</v>
      </c>
      <c r="Z24" s="1116">
        <f>'20'!G87+'20'!H90</f>
        <v>19.800000000000182</v>
      </c>
      <c r="AA24" s="1126">
        <f>'20'!$G$62</f>
        <v>0</v>
      </c>
      <c r="AB24" s="1126">
        <f>'20'!$G$63</f>
        <v>12</v>
      </c>
      <c r="AC24" s="1126">
        <f>'20'!$G$64</f>
        <v>400</v>
      </c>
      <c r="AD24" s="1126">
        <f>'20'!$G$65</f>
        <v>404</v>
      </c>
      <c r="AE24" s="1126">
        <f>'20'!$G$66</f>
        <v>411</v>
      </c>
      <c r="AF24" s="1126">
        <f>'20'!$G$67</f>
        <v>695</v>
      </c>
      <c r="AG24" s="1126">
        <f>'20'!$G$68</f>
        <v>1350</v>
      </c>
      <c r="AH24" s="1126">
        <f>'20'!$G$69</f>
        <v>318</v>
      </c>
      <c r="AI24" s="1126">
        <f>'20'!$G$84</f>
        <v>562</v>
      </c>
      <c r="AJ24" s="1126">
        <f>'20'!$G$15</f>
        <v>1086</v>
      </c>
      <c r="AK24" s="1126">
        <f>'20'!$G$123</f>
        <v>300</v>
      </c>
      <c r="AL24" s="1126">
        <f>'20'!$G$124</f>
        <v>0</v>
      </c>
      <c r="AM24" s="1126">
        <f>'20'!$G$125</f>
        <v>86</v>
      </c>
      <c r="AN24" s="1126">
        <f>'20'!$G$126</f>
        <v>30</v>
      </c>
      <c r="AO24" s="1126">
        <f>'20'!$G$127</f>
        <v>3</v>
      </c>
      <c r="AP24" s="1126">
        <f t="shared" si="0"/>
        <v>667</v>
      </c>
      <c r="AQ24" s="1126">
        <f>SUM('20'!G139:G140)</f>
        <v>8.6199999999998909</v>
      </c>
      <c r="AR24" s="1126">
        <f>'20'!$G$136</f>
        <v>10.880000000001019</v>
      </c>
      <c r="AS24" s="1126">
        <f>'20'!$G$137</f>
        <v>0</v>
      </c>
      <c r="AT24" s="1126">
        <f>'20'!$G$138</f>
        <v>5.8699999999953434</v>
      </c>
      <c r="AU24" s="1123">
        <f t="shared" si="1"/>
        <v>16.749999999996362</v>
      </c>
      <c r="AW24" s="1131">
        <f t="shared" si="2"/>
        <v>-367</v>
      </c>
    </row>
    <row r="25" spans="1:49">
      <c r="A25" s="1125">
        <v>43882</v>
      </c>
      <c r="B25" s="261">
        <f>SUM('21'!G35,'21'!G49)</f>
        <v>3035</v>
      </c>
      <c r="C25" s="261">
        <f>SUM('21'!G37,'21'!G51)</f>
        <v>1522</v>
      </c>
      <c r="D25" s="261">
        <f>SUM('21'!G38,'21'!G52)</f>
        <v>2026</v>
      </c>
      <c r="E25" s="261">
        <f>SUM('21'!G39,'21'!G53)</f>
        <v>4214</v>
      </c>
      <c r="F25" s="261">
        <f>SUM('21'!G41,'21'!G42,'21'!G55,'21'!G56)</f>
        <v>4354</v>
      </c>
      <c r="G25" s="261">
        <f>SUM('21'!G43,'21'!G57)</f>
        <v>2354</v>
      </c>
      <c r="H25" s="1126">
        <f>'21'!G50</f>
        <v>1111</v>
      </c>
      <c r="I25" s="1126">
        <f>'21'!G36</f>
        <v>776</v>
      </c>
      <c r="J25" s="1126">
        <f>'21'!G72</f>
        <v>22</v>
      </c>
      <c r="K25" s="1126">
        <f>'21'!$G$73</f>
        <v>22</v>
      </c>
      <c r="L25" s="1126">
        <f>'21'!$G$74</f>
        <v>35</v>
      </c>
      <c r="M25" s="1126">
        <f>'21'!$G$75</f>
        <v>175</v>
      </c>
      <c r="N25" s="1126">
        <f>'21'!$G$76</f>
        <v>76</v>
      </c>
      <c r="O25" s="1126">
        <f>'21'!$G$77</f>
        <v>50</v>
      </c>
      <c r="P25" s="1116">
        <f>'21'!$G$78</f>
        <v>454</v>
      </c>
      <c r="Q25" s="1116">
        <f>'21'!$G$79</f>
        <v>172</v>
      </c>
      <c r="R25" s="1116">
        <f>'21'!$G$80</f>
        <v>386</v>
      </c>
      <c r="S25" s="1116">
        <f>'21'!$G$81</f>
        <v>110</v>
      </c>
      <c r="T25" s="1116">
        <f>'21'!$G$82</f>
        <v>22</v>
      </c>
      <c r="U25" s="1116">
        <f>'21'!$G$58</f>
        <v>188</v>
      </c>
      <c r="V25" s="1116">
        <f>'21'!$G$83</f>
        <v>429</v>
      </c>
      <c r="W25" s="1116">
        <f>'21'!G86</f>
        <v>73</v>
      </c>
      <c r="X25" s="1116">
        <f>'21'!G87</f>
        <v>9</v>
      </c>
      <c r="Y25" s="1116">
        <f>'21'!G88</f>
        <v>35</v>
      </c>
      <c r="Z25" s="1116">
        <f>'21'!G87+'21'!H90</f>
        <v>15.800000000000182</v>
      </c>
      <c r="AA25" s="1126">
        <f>'21'!$G$62</f>
        <v>0</v>
      </c>
      <c r="AB25" s="1126">
        <f>'21'!$G$63</f>
        <v>14</v>
      </c>
      <c r="AC25" s="1126">
        <f>'21'!$G$64</f>
        <v>398</v>
      </c>
      <c r="AD25" s="1126">
        <f>'21'!$G$65</f>
        <v>400</v>
      </c>
      <c r="AE25" s="1126">
        <f>'21'!$G$66</f>
        <v>372</v>
      </c>
      <c r="AF25" s="1126">
        <f>'21'!$G$67</f>
        <v>716</v>
      </c>
      <c r="AG25" s="1126">
        <f>'21'!$G$68</f>
        <v>310</v>
      </c>
      <c r="AH25" s="1126">
        <f>'21'!$G$69</f>
        <v>339</v>
      </c>
      <c r="AI25" s="1126">
        <f>'21'!$G$84</f>
        <v>568</v>
      </c>
      <c r="AJ25" s="1126">
        <f>'21'!$G$15</f>
        <v>940</v>
      </c>
      <c r="AK25" s="1126">
        <f>'21'!$G$123</f>
        <v>283</v>
      </c>
      <c r="AL25" s="1126">
        <f>'21'!$G$124</f>
        <v>0</v>
      </c>
      <c r="AM25" s="1126">
        <f>'21'!$G$125</f>
        <v>80</v>
      </c>
      <c r="AN25" s="1126">
        <f>'21'!$G$126</f>
        <v>30</v>
      </c>
      <c r="AO25" s="1126">
        <f>'21'!$G$127</f>
        <v>2</v>
      </c>
      <c r="AP25" s="1126">
        <f t="shared" si="0"/>
        <v>545</v>
      </c>
      <c r="AQ25" s="1126">
        <f>SUM('21'!G139:G140)</f>
        <v>8.1500000000000909</v>
      </c>
      <c r="AR25" s="1126">
        <f>'21'!$G$136</f>
        <v>8.4599999999991269</v>
      </c>
      <c r="AS25" s="1126">
        <f>'21'!$G$137</f>
        <v>0</v>
      </c>
      <c r="AT25" s="1126">
        <f>'21'!$G$138</f>
        <v>3.5999999999912689</v>
      </c>
      <c r="AU25" s="1123">
        <f t="shared" si="1"/>
        <v>12.059999999990396</v>
      </c>
      <c r="AW25" s="1131">
        <f t="shared" si="2"/>
        <v>-262</v>
      </c>
    </row>
    <row r="26" spans="1:49">
      <c r="A26" s="1125">
        <v>43883</v>
      </c>
      <c r="B26" s="261">
        <f>SUM('22'!G35,'22'!G49)</f>
        <v>2796</v>
      </c>
      <c r="C26" s="261">
        <f>SUM('22'!G37,'22'!G51)</f>
        <v>1467</v>
      </c>
      <c r="D26" s="261">
        <f>SUM('22'!G38,'22'!G52)</f>
        <v>2080</v>
      </c>
      <c r="E26" s="261">
        <f>SUM('22'!G39,'22'!G53)</f>
        <v>4115</v>
      </c>
      <c r="F26" s="261">
        <f>SUM('22'!G41,'22'!G42,'22'!G55,'22'!G56)</f>
        <v>4684</v>
      </c>
      <c r="G26" s="261">
        <f>SUM('22'!G43,'22'!G57)</f>
        <v>2349</v>
      </c>
      <c r="H26" s="1126">
        <f>'22'!G50</f>
        <v>1196</v>
      </c>
      <c r="I26" s="1126">
        <f>'22'!G36</f>
        <v>729</v>
      </c>
      <c r="J26" s="1126">
        <f>'22'!G72</f>
        <v>83</v>
      </c>
      <c r="K26" s="1126">
        <f>'22'!$G$73</f>
        <v>0</v>
      </c>
      <c r="L26" s="1126">
        <f>'22'!$G$74</f>
        <v>17</v>
      </c>
      <c r="M26" s="1126">
        <f>'22'!$G$75</f>
        <v>187</v>
      </c>
      <c r="N26" s="1126">
        <f>'22'!$G$76</f>
        <v>71</v>
      </c>
      <c r="O26" s="1126">
        <f>'22'!$G$77</f>
        <v>51</v>
      </c>
      <c r="P26" s="1116">
        <f>'22'!$G$78</f>
        <v>384</v>
      </c>
      <c r="Q26" s="1116">
        <f>'22'!$G$79</f>
        <v>186</v>
      </c>
      <c r="R26" s="1116">
        <f>'22'!$G$80</f>
        <v>367</v>
      </c>
      <c r="S26" s="1116">
        <f>'22'!$G$81</f>
        <v>132</v>
      </c>
      <c r="T26" s="1116">
        <f>'22'!$G$82</f>
        <v>28</v>
      </c>
      <c r="U26" s="1116">
        <f>'22'!$G$58</f>
        <v>205</v>
      </c>
      <c r="V26" s="1116">
        <f>'22'!$G$83</f>
        <v>514</v>
      </c>
      <c r="W26" s="1116">
        <f>'22'!G86</f>
        <v>138</v>
      </c>
      <c r="X26" s="1116">
        <f>'22'!G87</f>
        <v>33</v>
      </c>
      <c r="Y26" s="1116">
        <f>'22'!G88</f>
        <v>60</v>
      </c>
      <c r="Z26" s="1116">
        <f>'22'!G87+'22'!H90</f>
        <v>45.800000000000182</v>
      </c>
      <c r="AA26" s="1126">
        <f>'22'!$G$62</f>
        <v>0</v>
      </c>
      <c r="AB26" s="1126">
        <f>'22'!$G$63</f>
        <v>13</v>
      </c>
      <c r="AC26" s="1126">
        <f>'22'!$G$64</f>
        <v>470</v>
      </c>
      <c r="AD26" s="1126">
        <f>'22'!$G$65</f>
        <v>376</v>
      </c>
      <c r="AE26" s="1126">
        <f>'22'!$G$66</f>
        <v>379</v>
      </c>
      <c r="AF26" s="1126">
        <f>'22'!$G$67</f>
        <v>671</v>
      </c>
      <c r="AG26" s="1126">
        <f>'22'!$G$68</f>
        <v>308</v>
      </c>
      <c r="AH26" s="1126">
        <f>'22'!$G$69</f>
        <v>330</v>
      </c>
      <c r="AI26" s="1126">
        <f>'22'!$G$84</f>
        <v>565</v>
      </c>
      <c r="AJ26" s="1126">
        <f>'22'!$G$15</f>
        <v>935</v>
      </c>
      <c r="AK26" s="1164">
        <f>'22'!$G$123</f>
        <v>252</v>
      </c>
      <c r="AL26" s="1126">
        <f>'22'!$G$124</f>
        <v>0</v>
      </c>
      <c r="AM26" s="1126">
        <f>'22'!$G$125</f>
        <v>76</v>
      </c>
      <c r="AN26" s="1126">
        <f>'22'!$G$126</f>
        <v>18</v>
      </c>
      <c r="AO26" s="1126">
        <f>'22'!$G$127</f>
        <v>2</v>
      </c>
      <c r="AP26" s="1126">
        <f t="shared" si="0"/>
        <v>587</v>
      </c>
      <c r="AQ26" s="1126">
        <f>SUM('22'!G139:G140)</f>
        <v>7.2999999999999545</v>
      </c>
      <c r="AR26" s="1126">
        <f>'22'!$G$136</f>
        <v>10.490000000001601</v>
      </c>
      <c r="AS26" s="1126">
        <f>'22'!$G$137</f>
        <v>0</v>
      </c>
      <c r="AT26" s="1126">
        <f>'22'!$G$138</f>
        <v>4.7300000000104774</v>
      </c>
      <c r="AU26" s="1123">
        <f t="shared" si="1"/>
        <v>15.220000000012078</v>
      </c>
      <c r="AW26" s="1131">
        <f t="shared" si="2"/>
        <v>-335</v>
      </c>
    </row>
    <row r="27" spans="1:49">
      <c r="A27" s="1125">
        <v>43884</v>
      </c>
      <c r="B27" s="261">
        <f>SUM('23'!G35,'23'!G49)</f>
        <v>3006</v>
      </c>
      <c r="C27" s="261">
        <f>SUM('23'!G37,'23'!G51)</f>
        <v>1462</v>
      </c>
      <c r="D27" s="261">
        <f>SUM('23'!G38,'23'!G52)</f>
        <v>2020</v>
      </c>
      <c r="E27" s="261">
        <f>SUM('23'!G39,'23'!G53)</f>
        <v>4149.8300000000017</v>
      </c>
      <c r="F27" s="261">
        <f>SUM('23'!G41,'23'!G42,'23'!G55,'23'!G56)</f>
        <v>5151</v>
      </c>
      <c r="G27" s="261">
        <f>SUM('23'!G43,'23'!G57)</f>
        <v>2348</v>
      </c>
      <c r="H27" s="1126">
        <f>'23'!G50</f>
        <v>1384.710000000021</v>
      </c>
      <c r="I27" s="1126">
        <f>'23'!G36</f>
        <v>911</v>
      </c>
      <c r="J27" s="1126">
        <f>'23'!G72</f>
        <v>110</v>
      </c>
      <c r="K27" s="1126">
        <f>'23'!G72</f>
        <v>110</v>
      </c>
      <c r="L27" s="1126">
        <f>'23'!$G$74</f>
        <v>15</v>
      </c>
      <c r="M27" s="1126">
        <f>'23'!$G$75</f>
        <v>174</v>
      </c>
      <c r="N27" s="1126">
        <f>'23'!$G$76</f>
        <v>74</v>
      </c>
      <c r="O27" s="1126">
        <f>'23'!$G$77</f>
        <v>47</v>
      </c>
      <c r="P27" s="1116">
        <f>'23'!$G$78</f>
        <v>309</v>
      </c>
      <c r="Q27" s="1116">
        <f>'23'!$G$79</f>
        <v>198</v>
      </c>
      <c r="R27" s="1116">
        <f>'23'!$G$80</f>
        <v>368</v>
      </c>
      <c r="S27" s="1116">
        <f>'23'!$G$81</f>
        <v>144</v>
      </c>
      <c r="T27" s="1116">
        <f>'23'!$G$82</f>
        <v>22</v>
      </c>
      <c r="U27" s="1116">
        <f>'23'!$G$58</f>
        <v>208</v>
      </c>
      <c r="V27" s="1162">
        <f>'23'!$G$83</f>
        <v>502</v>
      </c>
      <c r="W27" s="1116">
        <f>'23'!$G$86</f>
        <v>147</v>
      </c>
      <c r="X27" s="1116">
        <f>'23'!G87</f>
        <v>38.30000000000291</v>
      </c>
      <c r="Y27" s="1116">
        <f>'23'!G88</f>
        <v>36</v>
      </c>
      <c r="Z27" s="1116">
        <f>'23'!G87+'23'!H90</f>
        <v>42.30000000000291</v>
      </c>
      <c r="AA27" s="1126">
        <f>'23'!$G$62</f>
        <v>-0.2000000000007276</v>
      </c>
      <c r="AB27" s="1126">
        <f>'23'!$G$63</f>
        <v>11</v>
      </c>
      <c r="AC27" s="1126">
        <f>'23'!$G$64</f>
        <v>539</v>
      </c>
      <c r="AD27" s="1126">
        <f>'23'!$G$65</f>
        <v>381</v>
      </c>
      <c r="AE27" s="1126">
        <f>'23'!$G$66</f>
        <v>375</v>
      </c>
      <c r="AF27" s="1126">
        <f>'23'!$G$67</f>
        <v>639</v>
      </c>
      <c r="AG27" s="1126">
        <f>'23'!$G$68</f>
        <v>292</v>
      </c>
      <c r="AH27" s="1126">
        <f>'23'!$G$69</f>
        <v>327</v>
      </c>
      <c r="AI27" s="1126">
        <f>'23'!$G$84</f>
        <v>533</v>
      </c>
      <c r="AJ27" s="1126">
        <f>'23'!$G$15</f>
        <v>972.81000000005588</v>
      </c>
      <c r="AK27" s="1126">
        <f>'23'!$G$123</f>
        <v>252</v>
      </c>
      <c r="AL27" s="1126">
        <f>'23'!$G$124</f>
        <v>0</v>
      </c>
      <c r="AM27" s="1126">
        <f>'23'!$G$125</f>
        <v>77</v>
      </c>
      <c r="AN27" s="1126">
        <f>'23'!$G$126</f>
        <v>22</v>
      </c>
      <c r="AO27" s="1126">
        <f>'23'!$G$127</f>
        <v>2</v>
      </c>
      <c r="AP27" s="1126">
        <f t="shared" si="0"/>
        <v>619.81000000005588</v>
      </c>
      <c r="AQ27" s="1126">
        <f>SUM('23'!G139:G140)</f>
        <v>7.2300000000000182</v>
      </c>
      <c r="AR27" s="1126">
        <f>'23'!$G$136</f>
        <v>9.5099999999983993</v>
      </c>
      <c r="AS27" s="1126">
        <f>'23'!$G$137</f>
        <v>0</v>
      </c>
      <c r="AT27" s="1126">
        <f>'23'!$G$138</f>
        <v>5.9400000000023283</v>
      </c>
      <c r="AU27" s="1123">
        <f t="shared" si="1"/>
        <v>15.450000000000728</v>
      </c>
      <c r="AW27" s="1131">
        <f t="shared" si="2"/>
        <v>-367.81000000005588</v>
      </c>
    </row>
    <row r="28" spans="1:49" s="1165" customFormat="1">
      <c r="A28" s="1125">
        <v>43885</v>
      </c>
      <c r="B28" s="261">
        <f>SUM('24'!G35,'24'!G49)</f>
        <v>3198</v>
      </c>
      <c r="C28" s="261">
        <f>SUM('24'!G37,'24'!G51)</f>
        <v>1506</v>
      </c>
      <c r="D28" s="261">
        <f>SUM('24'!G38,'24'!G52)</f>
        <v>2074</v>
      </c>
      <c r="E28" s="261">
        <f>SUM('24'!G39,'24'!G53)</f>
        <v>4084.1699999999983</v>
      </c>
      <c r="F28" s="261">
        <f>SUM('24'!G41,'24'!G42,'24'!G55,'24'!G56)</f>
        <v>5857</v>
      </c>
      <c r="G28" s="261">
        <f>SUM('24'!G43,'24'!G57)</f>
        <v>2469</v>
      </c>
      <c r="H28" s="1126">
        <f>'24'!G50</f>
        <v>1749.289999999979</v>
      </c>
      <c r="I28" s="1116">
        <f>'24'!G36</f>
        <v>1101</v>
      </c>
      <c r="J28" s="1116">
        <f>'23'!G73</f>
        <v>5</v>
      </c>
      <c r="K28" s="1116">
        <f>'23'!G73</f>
        <v>5</v>
      </c>
      <c r="L28" s="1116">
        <f>'24'!$G$74</f>
        <v>16</v>
      </c>
      <c r="M28" s="1116">
        <f>'24'!$G$75</f>
        <v>175</v>
      </c>
      <c r="N28" s="1116">
        <f>'24'!$G$76</f>
        <v>82</v>
      </c>
      <c r="O28" s="1116">
        <f>'24'!$G$77</f>
        <v>52</v>
      </c>
      <c r="P28" s="1116">
        <f>'24'!$G$78</f>
        <v>319</v>
      </c>
      <c r="Q28" s="1116">
        <f>'24'!$G$79</f>
        <v>182</v>
      </c>
      <c r="R28" s="1116">
        <f>'24'!$G$80</f>
        <v>394</v>
      </c>
      <c r="S28" s="1116">
        <f>'24'!$G$81</f>
        <v>151</v>
      </c>
      <c r="T28" s="1116">
        <f>'24'!$G$82</f>
        <v>28</v>
      </c>
      <c r="U28" s="1116">
        <f>'24'!$G$58</f>
        <v>190</v>
      </c>
      <c r="V28" s="1116">
        <f>'24'!$G$83</f>
        <v>502</v>
      </c>
      <c r="W28" s="1116">
        <f>'24'!G86</f>
        <v>166</v>
      </c>
      <c r="X28" s="1116">
        <f>'24'!G87</f>
        <v>36.099999999991269</v>
      </c>
      <c r="Y28" s="1116">
        <f>'24'!G88</f>
        <v>51</v>
      </c>
      <c r="Z28" s="1116">
        <f>'24'!G87+'24'!H90</f>
        <v>42.099999999991269</v>
      </c>
      <c r="AA28" s="1116">
        <f>'24'!$G$62</f>
        <v>0.18000000000029104</v>
      </c>
      <c r="AB28" s="1116">
        <f>'24'!$G$63</f>
        <v>14</v>
      </c>
      <c r="AC28" s="1116">
        <f>'24'!$G$64</f>
        <v>514</v>
      </c>
      <c r="AD28" s="1116">
        <f>'24'!$G$65</f>
        <v>391</v>
      </c>
      <c r="AE28" s="1116">
        <f>'24'!$G$66</f>
        <v>391</v>
      </c>
      <c r="AF28" s="1116">
        <f>'24'!$G$67</f>
        <v>610</v>
      </c>
      <c r="AG28" s="1116">
        <f>'24'!$G$68</f>
        <v>289</v>
      </c>
      <c r="AH28" s="1116">
        <f>'24'!$G$69</f>
        <v>321</v>
      </c>
      <c r="AI28" s="1116">
        <f>'24'!$G$84</f>
        <v>602</v>
      </c>
      <c r="AJ28" s="1116">
        <f>'24'!$G$15</f>
        <v>787.75</v>
      </c>
      <c r="AK28" s="1164">
        <f>'24'!$G$123</f>
        <v>260</v>
      </c>
      <c r="AL28" s="1164">
        <f>'24'!$G$124</f>
        <v>0</v>
      </c>
      <c r="AM28" s="1164">
        <f>'24'!$G$125</f>
        <v>74</v>
      </c>
      <c r="AN28" s="1116">
        <f>'24'!$G$126</f>
        <v>16</v>
      </c>
      <c r="AO28" s="1116">
        <f>'24'!$G$127</f>
        <v>2</v>
      </c>
      <c r="AP28" s="1164">
        <f>AJ28-SUM(AK28:AO28)</f>
        <v>435.75</v>
      </c>
      <c r="AQ28" s="1116">
        <f>SUM('24'!G139:G140)</f>
        <v>7.5999999999999091</v>
      </c>
      <c r="AR28" s="1116">
        <f>'24'!$G$136</f>
        <v>0</v>
      </c>
      <c r="AS28" s="1116">
        <f>'24'!$G$137</f>
        <v>7.75</v>
      </c>
      <c r="AT28" s="1116">
        <f>'24'!$G$138</f>
        <v>1.1499999999941792</v>
      </c>
      <c r="AU28" s="1127">
        <f t="shared" si="1"/>
        <v>8.8999999999941792</v>
      </c>
      <c r="AW28" s="1166">
        <f t="shared" si="2"/>
        <v>-175.75</v>
      </c>
    </row>
    <row r="29" spans="1:49">
      <c r="A29" s="1125">
        <v>43886</v>
      </c>
      <c r="B29" s="261">
        <f>SUM('25'!G35,'25'!G49)</f>
        <v>3189</v>
      </c>
      <c r="C29" s="261">
        <f>SUM('25'!G37,'25'!G51)</f>
        <v>1492</v>
      </c>
      <c r="D29" s="261">
        <f>SUM('25'!G38,'25'!G52)</f>
        <v>1987</v>
      </c>
      <c r="E29" s="261">
        <f>SUM('25'!G39,'25'!G53)</f>
        <v>4098</v>
      </c>
      <c r="F29" s="261">
        <f>SUM('25'!G41,'25'!G42,'25'!G55,'25'!G56)</f>
        <v>5048</v>
      </c>
      <c r="G29" s="261">
        <f>SUM('25'!G43,'25'!G57)</f>
        <v>2279</v>
      </c>
      <c r="H29" s="1126">
        <f>'25'!G50</f>
        <v>1200</v>
      </c>
      <c r="I29" s="1126">
        <f>'25'!G36</f>
        <v>743</v>
      </c>
      <c r="J29" s="1126">
        <f>'25'!G72</f>
        <v>75</v>
      </c>
      <c r="K29" s="1126">
        <f>'25'!$G$73</f>
        <v>1</v>
      </c>
      <c r="L29" s="1126">
        <f>'25'!$G$74</f>
        <v>15</v>
      </c>
      <c r="M29" s="1126">
        <f>'25'!$G$75</f>
        <v>153</v>
      </c>
      <c r="N29" s="1126">
        <f>'25'!$G$76</f>
        <v>77</v>
      </c>
      <c r="O29" s="1126">
        <f>'25'!$G$77</f>
        <v>44</v>
      </c>
      <c r="P29" s="1116">
        <f>'25'!$G$78</f>
        <v>284</v>
      </c>
      <c r="Q29" s="1116">
        <f>'25'!$G$79</f>
        <v>204</v>
      </c>
      <c r="R29" s="1116">
        <f>'25'!$G$80</f>
        <v>369</v>
      </c>
      <c r="S29" s="1116">
        <f>'25'!$G$81</f>
        <v>126</v>
      </c>
      <c r="T29" s="1116">
        <f>'25'!$G$82</f>
        <v>24</v>
      </c>
      <c r="U29" s="1116">
        <f>'25'!$G$58</f>
        <v>158</v>
      </c>
      <c r="V29" s="1116">
        <f>'25'!$G$83</f>
        <v>480</v>
      </c>
      <c r="W29" s="1116">
        <f>'25'!G86</f>
        <v>135</v>
      </c>
      <c r="X29" s="1116">
        <f>'25'!G87</f>
        <v>35.600000000005821</v>
      </c>
      <c r="Y29" s="1116">
        <f>'25'!G88</f>
        <v>46</v>
      </c>
      <c r="Z29" s="1116">
        <f>'25'!G87+'25'!H90</f>
        <v>38.600000000005821</v>
      </c>
      <c r="AA29" s="1126">
        <f>'25'!$G$62</f>
        <v>0</v>
      </c>
      <c r="AB29" s="1126">
        <f>'25'!$G$63</f>
        <v>14</v>
      </c>
      <c r="AC29" s="1126">
        <f>'25'!$G$64</f>
        <v>532</v>
      </c>
      <c r="AD29" s="1126">
        <f>'25'!$G$65</f>
        <v>392</v>
      </c>
      <c r="AE29" s="1126">
        <f>'25'!$G$66</f>
        <v>394</v>
      </c>
      <c r="AF29" s="1126">
        <f>'25'!$G$67</f>
        <v>599</v>
      </c>
      <c r="AG29" s="1126">
        <f>'25'!$G$68</f>
        <v>295</v>
      </c>
      <c r="AH29" s="1126">
        <f>'25'!$G$69</f>
        <v>324</v>
      </c>
      <c r="AI29" s="1126">
        <f>'25'!$G$84</f>
        <v>554</v>
      </c>
      <c r="AJ29" s="1126">
        <f>'25'!$G$15</f>
        <v>861.98999999999069</v>
      </c>
      <c r="AK29" s="1126">
        <f>'25'!$G$123</f>
        <v>265</v>
      </c>
      <c r="AL29" s="1126">
        <f>'25'!$G$124</f>
        <v>0</v>
      </c>
      <c r="AM29" s="1126">
        <f>'25'!$G$125</f>
        <v>67</v>
      </c>
      <c r="AN29" s="1126">
        <f>'25'!$G$126</f>
        <v>22</v>
      </c>
      <c r="AO29" s="1126">
        <f>'25'!$G$127</f>
        <v>0</v>
      </c>
      <c r="AP29" s="1126">
        <f t="shared" si="0"/>
        <v>507.98999999999069</v>
      </c>
      <c r="AQ29" s="1126">
        <f>SUM('25'!G139:G140)</f>
        <v>7.6500000000000909</v>
      </c>
      <c r="AR29" s="1126">
        <f>'25'!$G$136</f>
        <v>9</v>
      </c>
      <c r="AS29" s="1126">
        <f>'25'!$G$137</f>
        <v>-0.31000000000130967</v>
      </c>
      <c r="AT29" s="1126">
        <f>'25'!$G$138</f>
        <v>1</v>
      </c>
      <c r="AU29" s="1123">
        <f t="shared" si="1"/>
        <v>9.6899999999986903</v>
      </c>
      <c r="AW29" s="1131">
        <f t="shared" si="2"/>
        <v>-242.98999999999069</v>
      </c>
    </row>
    <row r="30" spans="1:49">
      <c r="A30" s="1125">
        <v>43887</v>
      </c>
      <c r="B30" s="261">
        <f>SUM('26'!G35,'26'!G49)</f>
        <v>3115</v>
      </c>
      <c r="C30" s="261">
        <f>SUM('26'!G37,'26'!G51)</f>
        <v>1421</v>
      </c>
      <c r="D30" s="261">
        <f>SUM('26'!G38,'26'!G52)</f>
        <v>1988</v>
      </c>
      <c r="E30" s="261">
        <f>SUM('26'!G39,'26'!G53)</f>
        <v>4202</v>
      </c>
      <c r="F30" s="261">
        <f>SUM('26'!G41,'26'!G42,'26'!G55,'26'!G56)</f>
        <v>5077</v>
      </c>
      <c r="G30" s="261">
        <f>SUM('26'!G43,'26'!G57)</f>
        <v>2292</v>
      </c>
      <c r="H30" s="1126">
        <f>'26'!G50</f>
        <v>1005</v>
      </c>
      <c r="I30" s="1126">
        <f>'26'!G36</f>
        <v>610</v>
      </c>
      <c r="J30" s="1126">
        <f>'26'!G72</f>
        <v>68</v>
      </c>
      <c r="K30" s="1126">
        <f>'26'!$G$73</f>
        <v>0</v>
      </c>
      <c r="L30" s="1126">
        <f>'26'!$G$74</f>
        <v>15</v>
      </c>
      <c r="M30" s="1126">
        <f>'26'!$G$75</f>
        <v>172</v>
      </c>
      <c r="N30" s="1126">
        <f>'26'!$G$76</f>
        <v>82</v>
      </c>
      <c r="O30" s="1126">
        <f>'26'!$G$77</f>
        <v>47</v>
      </c>
      <c r="P30" s="1116">
        <f>'26'!$G$78</f>
        <v>345</v>
      </c>
      <c r="Q30" s="1116">
        <f>'26'!$G$79</f>
        <v>198</v>
      </c>
      <c r="R30" s="1116">
        <f>'26'!$G$80</f>
        <v>353</v>
      </c>
      <c r="S30" s="1116">
        <f>'26'!$G$81</f>
        <v>123</v>
      </c>
      <c r="T30" s="1116">
        <f>'26'!$G$82</f>
        <v>19</v>
      </c>
      <c r="U30" s="1116">
        <f>'26'!$G$58</f>
        <v>177</v>
      </c>
      <c r="V30" s="1116">
        <f>'26'!$G$83</f>
        <v>495</v>
      </c>
      <c r="W30" s="1116">
        <f>'26'!G86</f>
        <v>90</v>
      </c>
      <c r="X30" s="1116">
        <f>'26'!G87</f>
        <v>37.19999999999709</v>
      </c>
      <c r="Y30" s="1116">
        <f>'26'!G88</f>
        <v>99</v>
      </c>
      <c r="Z30" s="1116">
        <f>'26'!G87+'26'!H90</f>
        <v>42.19999999999709</v>
      </c>
      <c r="AA30" s="1126">
        <f>'26'!$G$62</f>
        <v>0</v>
      </c>
      <c r="AB30" s="1126">
        <f>'26'!$G$63</f>
        <v>15</v>
      </c>
      <c r="AC30" s="1126">
        <f>'26'!$G$64</f>
        <v>556</v>
      </c>
      <c r="AD30" s="1126">
        <f>'26'!$G$65</f>
        <v>396</v>
      </c>
      <c r="AE30" s="1126">
        <f>'26'!$G$66</f>
        <v>390</v>
      </c>
      <c r="AF30" s="1126">
        <f>'26'!$G$67</f>
        <v>657</v>
      </c>
      <c r="AG30" s="1126">
        <f>'26'!$G$68</f>
        <v>306</v>
      </c>
      <c r="AH30" s="1126">
        <f>'26'!$G$69</f>
        <v>333</v>
      </c>
      <c r="AI30" s="1126">
        <f>'26'!$G$84</f>
        <v>617</v>
      </c>
      <c r="AJ30" s="1126">
        <f>'26'!$G$15</f>
        <v>838.44999999995343</v>
      </c>
      <c r="AK30" s="1126">
        <f>'26'!$G$123</f>
        <v>251</v>
      </c>
      <c r="AL30" s="1126">
        <f>'26'!$G$124</f>
        <v>0</v>
      </c>
      <c r="AM30" s="1126">
        <f>'26'!$G$125</f>
        <v>57</v>
      </c>
      <c r="AN30" s="1126">
        <f>'26'!$G$126</f>
        <v>23</v>
      </c>
      <c r="AO30" s="1126">
        <f>'26'!$G$127</f>
        <v>1</v>
      </c>
      <c r="AP30" s="1126">
        <f t="shared" si="0"/>
        <v>506.44999999995343</v>
      </c>
      <c r="AQ30" s="1126">
        <f>SUM('26'!G139:G140)</f>
        <v>7.2400000000000091</v>
      </c>
      <c r="AR30" s="1126">
        <f>'26'!$G$136</f>
        <v>8.5999999999985448</v>
      </c>
      <c r="AS30" s="1126">
        <f>'26'!$G$137</f>
        <v>0.31000000000130967</v>
      </c>
      <c r="AT30" s="1126">
        <f>'26'!$G$138</f>
        <v>4.8099999999976717</v>
      </c>
      <c r="AU30" s="1123">
        <f t="shared" si="1"/>
        <v>13.719999999997526</v>
      </c>
      <c r="AW30" s="1131">
        <f t="shared" si="2"/>
        <v>-255.44999999995343</v>
      </c>
    </row>
    <row r="31" spans="1:49">
      <c r="A31" s="1125">
        <v>43888</v>
      </c>
      <c r="B31" s="261">
        <f>SUM('27'!G35,'27'!G49)</f>
        <v>3121.4799999999814</v>
      </c>
      <c r="C31" s="261">
        <f>SUM('27'!G37,'27'!G51)</f>
        <v>1489.989999999998</v>
      </c>
      <c r="D31" s="261">
        <f>SUM('27'!G38,'27'!G52)</f>
        <v>2224.4650000000183</v>
      </c>
      <c r="E31" s="261">
        <f>SUM('27'!G39,'27'!G53)</f>
        <v>4174.9600000000064</v>
      </c>
      <c r="F31" s="261">
        <f>SUM('27'!G41,'27'!G42,'27'!G55,'27'!G56)</f>
        <v>5238.6600000000471</v>
      </c>
      <c r="G31" s="261">
        <f>SUM('27'!G43,'27'!G57)</f>
        <v>2278.5599999999813</v>
      </c>
      <c r="H31" s="1126">
        <f>'27'!G50</f>
        <v>972.27000000001863</v>
      </c>
      <c r="I31" s="1126">
        <f>'27'!G36</f>
        <v>562.3300000000163</v>
      </c>
      <c r="J31" s="1126">
        <f>'27'!G72</f>
        <v>79</v>
      </c>
      <c r="K31" s="1126">
        <f>'27'!$G$73</f>
        <v>0</v>
      </c>
      <c r="L31" s="1126">
        <f>'27'!$G$74</f>
        <v>21.299999999999955</v>
      </c>
      <c r="M31" s="1126">
        <f>'27'!$G$75</f>
        <v>172.88000000000011</v>
      </c>
      <c r="N31" s="1126">
        <f>'27'!$G$76</f>
        <v>78.170000000000073</v>
      </c>
      <c r="O31" s="1126">
        <f>'27'!$G$77</f>
        <v>45</v>
      </c>
      <c r="P31" s="1116">
        <f>'27'!$G$78</f>
        <v>325</v>
      </c>
      <c r="Q31" s="1116">
        <f>'27'!$G$79</f>
        <v>181</v>
      </c>
      <c r="R31" s="1116">
        <f>'27'!$G$80</f>
        <v>369.84000000002561</v>
      </c>
      <c r="S31" s="1116">
        <f>'27'!$G$81</f>
        <v>124.52000000001863</v>
      </c>
      <c r="T31" s="1116">
        <f>'27'!$G$82</f>
        <v>26.820000000006985</v>
      </c>
      <c r="U31" s="1116">
        <f>'27'!$G$58</f>
        <v>219.66000000000349</v>
      </c>
      <c r="V31" s="1116">
        <f>'27'!$G$83</f>
        <v>476</v>
      </c>
      <c r="W31" s="1116">
        <f>'27'!G86</f>
        <v>64.440000000002328</v>
      </c>
      <c r="X31" s="1116">
        <f>'27'!G87</f>
        <v>27.400000000008731</v>
      </c>
      <c r="Y31" s="1116">
        <f>'27'!G88</f>
        <v>32.899999999994179</v>
      </c>
      <c r="Z31" s="1116">
        <f>'27'!G87+'27'!H90</f>
        <v>29.300000000008822</v>
      </c>
      <c r="AA31" s="1126">
        <f>'27'!$G$62</f>
        <v>0</v>
      </c>
      <c r="AB31" s="1126">
        <f>'27'!$G$63</f>
        <v>14.009999999999991</v>
      </c>
      <c r="AC31" s="1126">
        <f>'27'!$G$64</f>
        <v>487.85000000000582</v>
      </c>
      <c r="AD31" s="1126">
        <f>'27'!$G$65</f>
        <v>392.92000000001281</v>
      </c>
      <c r="AE31" s="1126">
        <f>'27'!$G$66</f>
        <v>386.43999999999869</v>
      </c>
      <c r="AF31" s="1126">
        <f>'27'!$G$67</f>
        <v>661.42999999999302</v>
      </c>
      <c r="AG31" s="1126">
        <f>'27'!$G$68</f>
        <v>332.60000000000582</v>
      </c>
      <c r="AH31" s="1126">
        <f>'27'!$G$69</f>
        <v>318.66000000000349</v>
      </c>
      <c r="AI31" s="1126">
        <f>'27'!$G$84</f>
        <v>672</v>
      </c>
      <c r="AJ31" s="1126">
        <f>'27'!$G$15</f>
        <v>961.60299999988638</v>
      </c>
      <c r="AK31" s="1126">
        <f>'27'!$G$123</f>
        <v>252.09799999999814</v>
      </c>
      <c r="AL31" s="1126">
        <f>'27'!$G$124</f>
        <v>0.39999999999417923</v>
      </c>
      <c r="AM31" s="1126">
        <f>'27'!$G$125</f>
        <v>78.529999999998836</v>
      </c>
      <c r="AN31" s="1126">
        <f>'27'!$G$126</f>
        <v>25.5</v>
      </c>
      <c r="AO31" s="1126">
        <f>'27'!$G$127</f>
        <v>2.3999999999996362</v>
      </c>
      <c r="AP31" s="1126">
        <f t="shared" si="0"/>
        <v>602.67499999989559</v>
      </c>
      <c r="AQ31" s="1126">
        <f>SUM('27'!G139:G140)</f>
        <v>7.2999999999999545</v>
      </c>
      <c r="AR31" s="1126">
        <f>'27'!$G$136</f>
        <v>11.940000000002328</v>
      </c>
      <c r="AS31" s="1126">
        <f>'27'!$G$137</f>
        <v>0</v>
      </c>
      <c r="AT31" s="1126">
        <f>'27'!$G$138</f>
        <v>4.0899999999965075</v>
      </c>
      <c r="AU31" s="1123">
        <f t="shared" si="1"/>
        <v>16.029999999998836</v>
      </c>
      <c r="AW31" s="1131">
        <f t="shared" si="2"/>
        <v>-350.57699999989745</v>
      </c>
    </row>
    <row r="32" spans="1:49">
      <c r="A32" s="1125">
        <v>43889</v>
      </c>
      <c r="B32" s="261">
        <f>SUM('28'!G35,'28'!G49)</f>
        <v>3316.2399999999907</v>
      </c>
      <c r="C32" s="261">
        <f>SUM('28'!G37,'28'!G51)</f>
        <v>1486.0299999999988</v>
      </c>
      <c r="D32" s="261">
        <f>SUM('28'!G38,'28'!G52)</f>
        <v>2272.7350000000006</v>
      </c>
      <c r="E32" s="261">
        <f>SUM('28'!G39,'28'!G53)</f>
        <v>4370.9400000000023</v>
      </c>
      <c r="F32" s="261">
        <f>SUM('28'!G41,'28'!G42,'28'!G55,'28'!G56)</f>
        <v>5659.2799999999843</v>
      </c>
      <c r="G32" s="261">
        <f>SUM('28'!G43,'28'!G57)</f>
        <v>2391.5999999999767</v>
      </c>
      <c r="H32" s="1126">
        <f>'28'!G50</f>
        <v>1090.7600000000093</v>
      </c>
      <c r="I32" s="1126">
        <f>'28'!G36</f>
        <v>614.23999999999069</v>
      </c>
      <c r="J32" s="1126">
        <f>'28'!G72</f>
        <v>81</v>
      </c>
      <c r="K32" s="1126">
        <f>'28'!$G$73</f>
        <v>1</v>
      </c>
      <c r="L32" s="1126">
        <f>'28'!$G$74</f>
        <v>48.870000000000005</v>
      </c>
      <c r="M32" s="1126">
        <f>'28'!$G$75</f>
        <v>162.33999999999969</v>
      </c>
      <c r="N32" s="1126">
        <f>'28'!$G$76</f>
        <v>81.169999999999845</v>
      </c>
      <c r="O32" s="1126">
        <f>'28'!$G$77</f>
        <v>48</v>
      </c>
      <c r="P32" s="1116">
        <f>'28'!$G$78</f>
        <v>413</v>
      </c>
      <c r="Q32" s="1116">
        <f>'28'!$G$79</f>
        <v>238</v>
      </c>
      <c r="R32" s="1116">
        <f>'28'!$G$80</f>
        <v>407.79999999998836</v>
      </c>
      <c r="S32" s="1116">
        <f>'28'!$G$81</f>
        <v>145.31999999994878</v>
      </c>
      <c r="T32" s="1116">
        <f>'28'!$G$82</f>
        <v>16.659999999988941</v>
      </c>
      <c r="U32" s="1116">
        <f>'28'!$G$58</f>
        <v>195.0399999999936</v>
      </c>
      <c r="V32" s="1116">
        <f>'28'!$G$83</f>
        <v>611</v>
      </c>
      <c r="W32" s="1116">
        <f>'28'!G86</f>
        <v>85.090000000025611</v>
      </c>
      <c r="X32" s="1116">
        <f>'28'!G87</f>
        <v>13.099999999991269</v>
      </c>
      <c r="Y32" s="1116">
        <f>'28'!G88</f>
        <v>30.709999999991851</v>
      </c>
      <c r="Z32" s="1116">
        <f>'28'!G87+'28'!H90</f>
        <v>14.099999999991269</v>
      </c>
      <c r="AA32" s="1126">
        <f>'28'!$G$62</f>
        <v>7.0000000014260877E-3</v>
      </c>
      <c r="AB32" s="1126">
        <f>'28'!$G$63</f>
        <v>15.349999999999909</v>
      </c>
      <c r="AC32" s="1126">
        <f>'28'!$G$64</f>
        <v>490.44999999999709</v>
      </c>
      <c r="AD32" s="1126">
        <f>'28'!$G$65</f>
        <v>416.37999999997555</v>
      </c>
      <c r="AE32" s="1126">
        <f>'28'!$G$66</f>
        <v>404.31000000000131</v>
      </c>
      <c r="AF32" s="1126">
        <f>'28'!$G$67</f>
        <v>693.39999999999418</v>
      </c>
      <c r="AG32" s="1126">
        <f>'28'!$G$68</f>
        <v>370.91999999999825</v>
      </c>
      <c r="AH32" s="1126">
        <f>'28'!$G$69</f>
        <v>341.42999999999302</v>
      </c>
      <c r="AI32" s="1126">
        <f>'28'!$G$84</f>
        <v>739</v>
      </c>
      <c r="AJ32" s="1126">
        <f>'28'!$G$15</f>
        <v>1060.0070000002161</v>
      </c>
      <c r="AK32" s="1126">
        <f>'28'!$G$123</f>
        <v>273.74199999996927</v>
      </c>
      <c r="AL32" s="1126">
        <f>'28'!$G$124</f>
        <v>0</v>
      </c>
      <c r="AM32" s="1126">
        <f>'28'!$G$125</f>
        <v>67.809999999997672</v>
      </c>
      <c r="AN32" s="1126">
        <f>'28'!$G$126</f>
        <v>41.400000000001455</v>
      </c>
      <c r="AO32" s="1126">
        <f>'28'!$G$127</f>
        <v>2.3999999999996362</v>
      </c>
      <c r="AP32" s="1126">
        <f t="shared" si="0"/>
        <v>674.65500000024804</v>
      </c>
      <c r="AQ32" s="1126">
        <f>SUM('28'!G139:G140)</f>
        <v>8.3100000000004002</v>
      </c>
      <c r="AR32" s="1126">
        <f>'28'!$G$136</f>
        <v>9.6699999999982538</v>
      </c>
      <c r="AS32" s="1126">
        <f>'28'!$G$137</f>
        <v>0</v>
      </c>
      <c r="AT32" s="1126">
        <f>'28'!$G$138</f>
        <v>5.4400000000023283</v>
      </c>
      <c r="AU32" s="1123">
        <f t="shared" si="1"/>
        <v>15.110000000000582</v>
      </c>
      <c r="AW32" s="1131">
        <f t="shared" si="2"/>
        <v>-400.91300000027877</v>
      </c>
    </row>
    <row r="33" spans="1:49">
      <c r="A33" s="1125">
        <v>43890</v>
      </c>
      <c r="B33" s="261">
        <f>SUM('29'!G35,'29'!G49)</f>
        <v>-84806.169999999984</v>
      </c>
      <c r="C33" s="261">
        <f>SUM('29'!G37,'29'!G51)</f>
        <v>369987.98000000004</v>
      </c>
      <c r="D33" s="261">
        <f>SUM('29'!G38,'29'!G52)</f>
        <v>88789.799999999988</v>
      </c>
      <c r="E33" s="261">
        <f>SUM('29'!G39,'29'!G53)</f>
        <v>785883.07</v>
      </c>
      <c r="F33" s="261">
        <f>SUM('29'!G41,'29'!G42,'29'!G55,'3'!G56)</f>
        <v>-105321.99000000008</v>
      </c>
      <c r="G33" s="261">
        <f>SUM('29'!G43,'29'!G57)</f>
        <v>-70446.529999999955</v>
      </c>
      <c r="H33" s="1126">
        <f>'29'!G50</f>
        <v>-35982.060000000056</v>
      </c>
      <c r="I33" s="1126">
        <f>'29'!G36</f>
        <v>-21072.840000000026</v>
      </c>
      <c r="J33" s="1126">
        <f>'29'!G72</f>
        <v>-2312</v>
      </c>
      <c r="K33" s="1126">
        <f>'29'!$G$73</f>
        <v>-44</v>
      </c>
      <c r="L33" s="1126">
        <f>'29'!$G$74</f>
        <v>881716.83</v>
      </c>
      <c r="M33" s="1126">
        <f>'29'!$G$75</f>
        <v>733600.78</v>
      </c>
      <c r="N33" s="1126">
        <f>'29'!$G$76</f>
        <v>685355.66</v>
      </c>
      <c r="O33" s="1126">
        <f>'29'!$G$77</f>
        <v>-1586</v>
      </c>
      <c r="P33" s="1126">
        <f>'29'!$G$78</f>
        <v>-11758</v>
      </c>
      <c r="Q33" s="1126">
        <f>'29'!$G$79</f>
        <v>-5786</v>
      </c>
      <c r="R33" s="1126">
        <f>'29'!$G$80</f>
        <v>-10170.640000000014</v>
      </c>
      <c r="S33" s="1126">
        <f>'29'!$G$81</f>
        <v>-3375.8399999999674</v>
      </c>
      <c r="T33" s="1126">
        <f>'29'!$G$82</f>
        <v>-862.94000000000233</v>
      </c>
      <c r="U33" s="1126">
        <f>'29'!$G$58</f>
        <v>-5654.3099999999977</v>
      </c>
      <c r="V33" s="1126">
        <f>'29'!$G$83</f>
        <v>-13497</v>
      </c>
      <c r="W33" s="1126">
        <f>'29'!G86</f>
        <v>-3480.5300000000279</v>
      </c>
      <c r="X33" s="1126">
        <f>'29'!G87</f>
        <v>-796.69999999999709</v>
      </c>
      <c r="Y33" s="1126">
        <f>'29'!G88</f>
        <v>-1881.6599999999744</v>
      </c>
      <c r="Z33" s="1126">
        <f>'29'!G87+'29'!H90</f>
        <v>-897.69999999999709</v>
      </c>
      <c r="AA33" s="1126">
        <f>'29'!$G$62</f>
        <v>-7.0000000014260877E-3</v>
      </c>
      <c r="AB33" s="1126">
        <f>'29'!$G$63</f>
        <v>-401.4699999999998</v>
      </c>
      <c r="AC33" s="1126">
        <f>'29'!$G$64</f>
        <v>-13165.900000000009</v>
      </c>
      <c r="AD33" s="1126">
        <f>'29'!$G$65</f>
        <v>-11648.649999999994</v>
      </c>
      <c r="AE33" s="1126">
        <f>'29'!$G$66</f>
        <v>-11838.91</v>
      </c>
      <c r="AF33" s="1126">
        <f>'29'!$G$67</f>
        <v>-20572.459999999992</v>
      </c>
      <c r="AG33" s="1126">
        <f>'29'!$G$68</f>
        <v>-9990.7300000000032</v>
      </c>
      <c r="AH33" s="1126">
        <f>'29'!$G$69</f>
        <v>-9359.0899999999965</v>
      </c>
      <c r="AI33" s="1126">
        <f>'29'!$G$84</f>
        <v>-15718</v>
      </c>
      <c r="AJ33" s="1126">
        <f>'29'!$G$15</f>
        <v>-26977.64000000013</v>
      </c>
      <c r="AK33" s="1126">
        <f>'29'!$G$123</f>
        <v>-8223.8499999999767</v>
      </c>
      <c r="AL33" s="1126">
        <f>'29'!$G$124</f>
        <v>-1.3999999999941792</v>
      </c>
      <c r="AM33" s="1126">
        <f>'29'!$G$125</f>
        <v>-2239.570000000007</v>
      </c>
      <c r="AN33" s="1126">
        <f>'29'!$G$126</f>
        <v>-986.90000000000146</v>
      </c>
      <c r="AO33" s="1126">
        <f>'29'!$G$127</f>
        <v>-80.799999999999272</v>
      </c>
      <c r="AP33" s="1126">
        <f t="shared" si="0"/>
        <v>-15445.120000000152</v>
      </c>
      <c r="AQ33" s="1126">
        <f>SUM('29'!G139:G140)</f>
        <v>-238.72000000000003</v>
      </c>
      <c r="AR33" s="1126">
        <f>'29'!$G$136</f>
        <v>-233.47999999999956</v>
      </c>
      <c r="AS33" s="1126">
        <f>'29'!$G$137</f>
        <v>-24.370000000002619</v>
      </c>
      <c r="AT33" s="1126">
        <f>'29'!$G$138</f>
        <v>-87.559999999997672</v>
      </c>
      <c r="AU33" s="1123">
        <f t="shared" si="1"/>
        <v>-345.40999999999985</v>
      </c>
      <c r="AW33" s="1131">
        <f t="shared" si="2"/>
        <v>7221.2700000001751</v>
      </c>
    </row>
    <row r="34" spans="1:49" s="1128" customFormat="1">
      <c r="A34" s="1125">
        <v>43891</v>
      </c>
      <c r="B34" s="261">
        <f>SUM('30'!G49,'30'!G49)</f>
        <v>5940</v>
      </c>
      <c r="C34" s="261">
        <f>SUM('30'!G51,'30'!G51)</f>
        <v>3031.7200000000012</v>
      </c>
      <c r="D34" s="261">
        <f>SUM('30'!G52,'30'!G52)</f>
        <v>3993.8199999999488</v>
      </c>
      <c r="E34" s="261">
        <f>SUM('30'!G53,'30'!G53)</f>
        <v>8318.0600000000559</v>
      </c>
      <c r="F34" s="261">
        <f>SUM('30'!G41,'30'!G42,'30'!G55,'30'!G56)</f>
        <v>3768.9499999999971</v>
      </c>
      <c r="G34" s="261">
        <f>SUM('30'!G57,'30'!G57)</f>
        <v>0</v>
      </c>
      <c r="H34" s="1116">
        <f>'30'!G50</f>
        <v>1114.0300000000279</v>
      </c>
      <c r="I34" s="1116">
        <f>'30'!G36</f>
        <v>587.20000000001164</v>
      </c>
      <c r="J34" s="1116">
        <f>'30'!G72</f>
        <v>84</v>
      </c>
      <c r="K34" s="1116">
        <f>'30'!$G$73</f>
        <v>0</v>
      </c>
      <c r="L34" s="1116">
        <f>'30'!$G$74</f>
        <v>33</v>
      </c>
      <c r="M34" s="1116">
        <f>'30'!$G$75</f>
        <v>182</v>
      </c>
      <c r="N34" s="1116">
        <f>'30'!$G$76</f>
        <v>70</v>
      </c>
      <c r="O34" s="1116">
        <f>'30'!$G$77</f>
        <v>44</v>
      </c>
      <c r="P34" s="1116">
        <f>'30'!$G$78</f>
        <v>376</v>
      </c>
      <c r="Q34" s="1116">
        <f>'30'!$G$79</f>
        <v>179</v>
      </c>
      <c r="R34" s="1116">
        <f>'30'!$G$80</f>
        <v>291</v>
      </c>
      <c r="S34" s="1116">
        <f>'30'!$G$81</f>
        <v>94.520000000018626</v>
      </c>
      <c r="T34" s="1116">
        <f>'30'!$G$82</f>
        <v>48.370000000009895</v>
      </c>
      <c r="U34" s="1116">
        <f>'30'!$G$58</f>
        <v>107.85000000000218</v>
      </c>
      <c r="V34" s="1116">
        <f>'30'!$G$83</f>
        <v>374</v>
      </c>
      <c r="W34" s="1116">
        <f>'30'!G86</f>
        <v>145</v>
      </c>
      <c r="X34" s="1116">
        <f>'30'!G87</f>
        <v>21.5</v>
      </c>
      <c r="Y34" s="1116">
        <f>'30'!G88</f>
        <v>81.049999999988358</v>
      </c>
      <c r="Z34" s="1116">
        <f>'30'!G87+'30'!H90</f>
        <v>23.599999999999909</v>
      </c>
      <c r="AA34" s="1116">
        <f>'30'!$G$62</f>
        <v>0</v>
      </c>
      <c r="AB34" s="1116">
        <f>'30'!$G$63</f>
        <v>12.759999999999991</v>
      </c>
      <c r="AC34" s="1116">
        <f>'30'!$G$64</f>
        <v>401.60000000000582</v>
      </c>
      <c r="AD34" s="1116">
        <f>'30'!$G$65</f>
        <v>389.35000000000582</v>
      </c>
      <c r="AE34" s="1116">
        <f>'30'!$G$66</f>
        <v>423.15999999999985</v>
      </c>
      <c r="AF34" s="1116">
        <f>'30'!$G$67</f>
        <v>677.63000000000466</v>
      </c>
      <c r="AG34" s="1116">
        <f>'30'!$G$68</f>
        <v>315.20999999999913</v>
      </c>
      <c r="AH34" s="1116">
        <f>'30'!$G$69</f>
        <v>314.55999999999767</v>
      </c>
      <c r="AI34" s="1116">
        <f>'30'!$G$84</f>
        <v>489</v>
      </c>
      <c r="AJ34" s="1116">
        <f>'30'!$G$15</f>
        <v>667.76000000000931</v>
      </c>
      <c r="AK34" s="1116">
        <f>'30'!$G$123</f>
        <v>270.01000000000931</v>
      </c>
      <c r="AL34" s="1116">
        <f>'30'!$G$124</f>
        <v>0</v>
      </c>
      <c r="AM34" s="1116">
        <f>'30'!$G$125</f>
        <v>52.230000000010477</v>
      </c>
      <c r="AN34" s="1116">
        <f>'30'!$G$126</f>
        <v>31</v>
      </c>
      <c r="AO34" s="1116">
        <f>'30'!$G$127</f>
        <v>5</v>
      </c>
      <c r="AP34" s="1116">
        <f t="shared" si="0"/>
        <v>309.51999999998952</v>
      </c>
      <c r="AQ34" s="1116">
        <f>SUM('30'!G139:G140)</f>
        <v>7.9199999999998454</v>
      </c>
      <c r="AR34" s="1116">
        <f>'30'!$G$136</f>
        <v>3.75</v>
      </c>
      <c r="AS34" s="1116">
        <f>'30'!$G$137</f>
        <v>0</v>
      </c>
      <c r="AT34" s="1116">
        <f>'30'!$G$138</f>
        <v>4.1100000000005821</v>
      </c>
      <c r="AU34" s="1127">
        <f t="shared" si="1"/>
        <v>7.8600000000005821</v>
      </c>
      <c r="AW34" s="1132">
        <f t="shared" si="2"/>
        <v>-39.509999999980209</v>
      </c>
    </row>
    <row r="35" spans="1:49">
      <c r="A35" s="1125">
        <v>43892</v>
      </c>
      <c r="B35" s="261">
        <f>SUM('31'!G35,'31'!G49)</f>
        <v>2943.1700000000419</v>
      </c>
      <c r="C35" s="261">
        <f>SUM('31'!G37,'31'!G51)</f>
        <v>1548.8800000000047</v>
      </c>
      <c r="D35" s="261">
        <f>SUM('31'!G38,'31'!G52)</f>
        <v>2107.6400000000094</v>
      </c>
      <c r="E35" s="261">
        <f>SUM('31'!G39,'31'!G53)</f>
        <v>4206.2700000000186</v>
      </c>
      <c r="F35" s="261">
        <f>SUM('31'!G41,'31'!G42,'31'!G55,'31'!G56)</f>
        <v>3635.0600000000341</v>
      </c>
      <c r="G35" s="261">
        <f>SUM('31'!G43,'31'!G57)</f>
        <v>2312.4000000000233</v>
      </c>
      <c r="H35" s="1126">
        <f>'31'!G50</f>
        <v>1022.3099999999977</v>
      </c>
      <c r="I35" s="1126">
        <f>'31'!G36</f>
        <v>531.52000000001863</v>
      </c>
      <c r="J35" s="1126">
        <f>'31'!G72</f>
        <v>101</v>
      </c>
      <c r="K35" s="1126">
        <f>'31'!$G$73</f>
        <v>0</v>
      </c>
      <c r="L35" s="1126">
        <f>'31'!$G$74</f>
        <v>33</v>
      </c>
      <c r="M35" s="1126">
        <f>'31'!$G$74</f>
        <v>33</v>
      </c>
      <c r="N35" s="1126">
        <f>'31'!$G$76</f>
        <v>74</v>
      </c>
      <c r="O35" s="1116">
        <f>'31'!$G$77</f>
        <v>61</v>
      </c>
      <c r="P35" s="1116">
        <f>'31'!$G$78</f>
        <v>472</v>
      </c>
      <c r="Q35" s="1116">
        <f>'31'!$G$79</f>
        <v>189</v>
      </c>
      <c r="R35" s="1116">
        <f>'31'!$G$80</f>
        <v>333</v>
      </c>
      <c r="S35" s="1116">
        <f>'31'!$G$81</f>
        <v>112.47999999998137</v>
      </c>
      <c r="T35" s="1116">
        <f>'31'!$G$82</f>
        <v>52.089999999996508</v>
      </c>
      <c r="U35" s="1116">
        <f>'31'!$G$58</f>
        <v>209.66999999999825</v>
      </c>
      <c r="V35" s="1116">
        <f>'31'!$G$83</f>
        <v>415</v>
      </c>
      <c r="W35" s="1116">
        <f>'31'!G86</f>
        <v>73</v>
      </c>
      <c r="X35" s="1116">
        <f>'31'!G88</f>
        <v>38</v>
      </c>
      <c r="Y35" s="1116">
        <f>'31'!G89</f>
        <v>64</v>
      </c>
      <c r="Z35" s="1116">
        <f>'31'!G87+'31'!H90</f>
        <v>17.80000000000291</v>
      </c>
      <c r="AA35" s="1126">
        <f>'31'!$G$62</f>
        <v>8.9999999981955625E-3</v>
      </c>
      <c r="AB35" s="1126">
        <f>'31'!$G$63</f>
        <v>13.879999999999882</v>
      </c>
      <c r="AC35" s="1126">
        <f>'31'!$G$64</f>
        <v>420.4600000000064</v>
      </c>
      <c r="AD35" s="1126">
        <f>'31'!$G$65</f>
        <v>395.11000000000058</v>
      </c>
      <c r="AE35" s="1126">
        <f>'31'!$G$66</f>
        <v>415.73999999999978</v>
      </c>
      <c r="AF35" s="1126">
        <f>'31'!$G$67</f>
        <v>727.52999999999884</v>
      </c>
      <c r="AG35" s="1126">
        <f>'31'!$G$68</f>
        <v>296.86000000000058</v>
      </c>
      <c r="AH35" s="1126">
        <f>'31'!$G$69</f>
        <v>316.15000000000146</v>
      </c>
      <c r="AI35" s="1126">
        <f>'31'!$G$84</f>
        <v>504</v>
      </c>
      <c r="AJ35" s="1126">
        <f>'31'!$G$15</f>
        <v>868.41999999992549</v>
      </c>
      <c r="AK35" s="1126">
        <f>'31'!$G$123</f>
        <v>282.40000000002328</v>
      </c>
      <c r="AL35" s="1126">
        <f>'31'!$G$124</f>
        <v>0</v>
      </c>
      <c r="AM35" s="1126">
        <f>'31'!$G$125</f>
        <v>56</v>
      </c>
      <c r="AN35" s="1126">
        <f>'31'!$G$126</f>
        <v>40.69999999999709</v>
      </c>
      <c r="AO35" s="1126">
        <f>'31'!$G$127</f>
        <v>4</v>
      </c>
      <c r="AP35" s="1126">
        <f t="shared" si="0"/>
        <v>485.31999999990512</v>
      </c>
      <c r="AQ35" s="1126">
        <f>SUM('31'!G139:G140)</f>
        <v>8.25</v>
      </c>
      <c r="AR35" s="1126">
        <f>'31'!$G$136</f>
        <v>9.4799999999995634</v>
      </c>
      <c r="AS35" s="1126">
        <f>'31'!$G$137</f>
        <v>0</v>
      </c>
      <c r="AT35" s="1126">
        <f>'31'!$G$138</f>
        <v>0</v>
      </c>
      <c r="AU35" s="1123">
        <f t="shared" si="1"/>
        <v>9.4799999999995634</v>
      </c>
      <c r="AW35" s="1131">
        <f t="shared" si="2"/>
        <v>-202.91999999988184</v>
      </c>
    </row>
    <row r="36" spans="1:49">
      <c r="A36" s="1167"/>
      <c r="B36" s="34">
        <f t="shared" ref="B36:G36" si="3">SUM(B5:B35)</f>
        <v>-75922.999999999942</v>
      </c>
      <c r="C36" s="34">
        <f t="shared" si="3"/>
        <v>409735.76</v>
      </c>
      <c r="D36" s="34">
        <f t="shared" si="3"/>
        <v>94891.259999999951</v>
      </c>
      <c r="E36" s="34">
        <f t="shared" si="3"/>
        <v>898475.68</v>
      </c>
      <c r="F36" s="34">
        <f t="shared" si="3"/>
        <v>-97917.98000000004</v>
      </c>
      <c r="G36" s="34">
        <f t="shared" si="3"/>
        <v>-68134.129999999932</v>
      </c>
      <c r="H36" s="1122"/>
      <c r="I36" s="1122"/>
      <c r="O36" s="1128"/>
      <c r="P36" s="1128"/>
      <c r="Q36" s="1128"/>
      <c r="R36" s="1128"/>
      <c r="S36" s="1128"/>
      <c r="T36" s="1128"/>
      <c r="U36" s="1128"/>
      <c r="V36" s="1128"/>
      <c r="W36" s="1128"/>
      <c r="X36" s="1128"/>
      <c r="Y36" s="1128"/>
      <c r="Z36" s="1128"/>
    </row>
    <row r="37" spans="1:49">
      <c r="A37" s="1168"/>
      <c r="B37" s="35">
        <f t="shared" ref="B37:G37" si="4">B19-B18</f>
        <v>-48.439999999944121</v>
      </c>
      <c r="C37" s="35">
        <f t="shared" si="4"/>
        <v>-0.13999999999941792</v>
      </c>
      <c r="D37" s="35">
        <f t="shared" si="4"/>
        <v>27.840000000000146</v>
      </c>
      <c r="E37" s="35">
        <f t="shared" si="4"/>
        <v>-0.5499999999992724</v>
      </c>
      <c r="F37" s="35">
        <f t="shared" si="4"/>
        <v>-55.784000000014203</v>
      </c>
      <c r="G37" s="35">
        <f t="shared" si="4"/>
        <v>-13.92000000004191</v>
      </c>
      <c r="H37" s="35"/>
      <c r="I37" s="35"/>
      <c r="AK37" s="1170" t="s">
        <v>111</v>
      </c>
      <c r="AL37" s="1171">
        <v>191</v>
      </c>
      <c r="AM37" s="1171"/>
      <c r="AN37" s="1171"/>
    </row>
    <row r="38" spans="1:49">
      <c r="A38" s="1168"/>
      <c r="AK38" s="1171"/>
      <c r="AL38" s="1171">
        <v>88</v>
      </c>
      <c r="AM38" s="1171"/>
      <c r="AN38" s="1171"/>
    </row>
    <row r="39" spans="1:49">
      <c r="A39" s="1168"/>
      <c r="AK39" s="1171"/>
      <c r="AL39" s="1172">
        <f>SUM(AL37:AL38)</f>
        <v>279</v>
      </c>
      <c r="AM39" s="1173" t="s">
        <v>112</v>
      </c>
      <c r="AN39" s="1173">
        <v>335</v>
      </c>
    </row>
    <row r="40" spans="1:49">
      <c r="A40" s="1168"/>
      <c r="AK40" s="1171"/>
      <c r="AL40" s="1171"/>
      <c r="AM40" s="1171"/>
      <c r="AN40" s="1171"/>
    </row>
    <row r="41" spans="1:49">
      <c r="A41" s="1168"/>
      <c r="J41" s="1131"/>
      <c r="K41" s="1131"/>
      <c r="L41" s="1131"/>
      <c r="M41" s="1131"/>
      <c r="N41" s="1131"/>
      <c r="O41" s="1131"/>
      <c r="P41" s="1131"/>
      <c r="Q41" s="1131"/>
      <c r="R41" s="1131"/>
      <c r="S41" s="1131"/>
      <c r="T41" s="1131"/>
      <c r="U41" s="1131"/>
      <c r="V41" s="1131"/>
      <c r="W41" s="1131"/>
      <c r="X41" s="1131"/>
      <c r="Y41" s="1131"/>
      <c r="Z41" s="1131"/>
      <c r="AA41" s="1131"/>
      <c r="AB41" s="1131"/>
      <c r="AC41" s="1131"/>
      <c r="AD41" s="1131"/>
      <c r="AE41" s="1131"/>
      <c r="AF41" s="1131"/>
      <c r="AG41" s="1131"/>
      <c r="AH41" s="1131"/>
      <c r="AJ41" s="1131"/>
      <c r="AK41" s="1170" t="s">
        <v>113</v>
      </c>
      <c r="AL41" s="1172">
        <v>168</v>
      </c>
      <c r="AM41" s="1171"/>
      <c r="AN41" s="1171"/>
    </row>
    <row r="42" spans="1:49">
      <c r="A42" s="1168"/>
      <c r="AK42" s="1171"/>
      <c r="AL42" s="1171"/>
      <c r="AM42" s="1173" t="s">
        <v>114</v>
      </c>
      <c r="AN42" s="1171"/>
    </row>
    <row r="43" spans="1:49">
      <c r="A43" s="1168"/>
      <c r="AK43" s="1171" t="s">
        <v>115</v>
      </c>
      <c r="AL43" s="1171">
        <f>20*38.68</f>
        <v>773.6</v>
      </c>
      <c r="AM43" s="1171" t="s">
        <v>116</v>
      </c>
      <c r="AN43" s="1171"/>
    </row>
    <row r="44" spans="1:49">
      <c r="A44" s="1168"/>
    </row>
    <row r="45" spans="1:49">
      <c r="A45" s="1168"/>
    </row>
    <row r="46" spans="1:49">
      <c r="A46" s="1168"/>
    </row>
    <row r="47" spans="1:49">
      <c r="A47" s="1168"/>
    </row>
    <row r="48" spans="1:49">
      <c r="A48" s="1168"/>
    </row>
    <row r="49" spans="1:1">
      <c r="A49" s="1168"/>
    </row>
    <row r="50" spans="1:1">
      <c r="A50" s="1168"/>
    </row>
    <row r="51" spans="1:1">
      <c r="A51" s="1168"/>
    </row>
    <row r="52" spans="1:1">
      <c r="A52" s="1168"/>
    </row>
    <row r="53" spans="1:1">
      <c r="A53" s="1168"/>
    </row>
    <row r="54" spans="1:1">
      <c r="A54" s="1168"/>
    </row>
    <row r="55" spans="1:1">
      <c r="A55" s="1168"/>
    </row>
    <row r="56" spans="1:1">
      <c r="A56" s="1168"/>
    </row>
    <row r="57" spans="1:1">
      <c r="A57" s="1168"/>
    </row>
    <row r="58" spans="1:1">
      <c r="A58" s="1168"/>
    </row>
    <row r="59" spans="1:1">
      <c r="A59" s="1168"/>
    </row>
    <row r="60" spans="1:1">
      <c r="A60" s="1168"/>
    </row>
    <row r="61" spans="1:1">
      <c r="A61" s="1168"/>
    </row>
    <row r="62" spans="1:1">
      <c r="A62" s="1168"/>
    </row>
    <row r="63" spans="1:1">
      <c r="A63" s="1168"/>
    </row>
    <row r="64" spans="1:1">
      <c r="A64" s="1168"/>
    </row>
    <row r="65" spans="1:1">
      <c r="A65" s="1168"/>
    </row>
    <row r="66" spans="1:1">
      <c r="A66" s="1168"/>
    </row>
    <row r="67" spans="1:1">
      <c r="A67" s="1168"/>
    </row>
    <row r="68" spans="1:1">
      <c r="A68" s="1168"/>
    </row>
    <row r="69" spans="1:1">
      <c r="A69" s="1168"/>
    </row>
    <row r="70" spans="1:1">
      <c r="A70" s="1168"/>
    </row>
    <row r="71" spans="1:1">
      <c r="A71" s="1168"/>
    </row>
    <row r="72" spans="1:1">
      <c r="A72" s="1168"/>
    </row>
    <row r="73" spans="1:1">
      <c r="A73" s="1168"/>
    </row>
    <row r="74" spans="1:1">
      <c r="A74" s="1168"/>
    </row>
    <row r="75" spans="1:1">
      <c r="A75" s="1168"/>
    </row>
    <row r="76" spans="1:1">
      <c r="A76" s="1168"/>
    </row>
    <row r="77" spans="1:1">
      <c r="A77" s="1168"/>
    </row>
    <row r="78" spans="1:1">
      <c r="A78" s="1168"/>
    </row>
    <row r="79" spans="1:1">
      <c r="A79" s="1168"/>
    </row>
    <row r="80" spans="1:1">
      <c r="A80" s="1168"/>
    </row>
    <row r="81" spans="1:1">
      <c r="A81" s="1168"/>
    </row>
    <row r="82" spans="1:1">
      <c r="A82" s="1168"/>
    </row>
    <row r="83" spans="1:1">
      <c r="A83" s="1168"/>
    </row>
    <row r="84" spans="1:1">
      <c r="A84" s="1168"/>
    </row>
    <row r="85" spans="1:1">
      <c r="A85" s="1168"/>
    </row>
    <row r="86" spans="1:1">
      <c r="A86" s="1168"/>
    </row>
    <row r="87" spans="1:1">
      <c r="A87" s="1169"/>
    </row>
    <row r="88" spans="1:1">
      <c r="A88" s="1169"/>
    </row>
    <row r="89" spans="1:1">
      <c r="A89" s="1169"/>
    </row>
    <row r="90" spans="1:1">
      <c r="A90" s="1169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46" zoomScale="61" zoomScaleNormal="61" zoomScaleSheetLayoutView="61" zoomScalePageLayoutView="70" workbookViewId="0">
      <selection activeCell="A21" sqref="A21:C21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5" width="30" style="838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279</v>
      </c>
      <c r="B2" s="1117">
        <v>44256</v>
      </c>
      <c r="C2" s="1397" t="s">
        <v>69</v>
      </c>
      <c r="D2" s="688">
        <v>0.47</v>
      </c>
      <c r="E2" s="818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397" t="s">
        <v>120</v>
      </c>
      <c r="D3" s="689">
        <v>25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397" t="s">
        <v>122</v>
      </c>
      <c r="D4" s="688">
        <v>0.8</v>
      </c>
      <c r="E4" s="539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90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48" t="s">
        <v>130</v>
      </c>
      <c r="B6" s="1449"/>
      <c r="C6" s="1450"/>
      <c r="D6" s="547"/>
      <c r="E6" s="571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6">
        <v>4445077</v>
      </c>
      <c r="F7" s="531">
        <v>4467474</v>
      </c>
      <c r="G7" s="549">
        <f>F7-E7</f>
        <v>22397</v>
      </c>
      <c r="H7" s="536">
        <f>G7</f>
        <v>22397</v>
      </c>
      <c r="I7" s="550">
        <v>12000</v>
      </c>
      <c r="J7" s="629">
        <f>H7/DAY(B2)</f>
        <v>22397</v>
      </c>
      <c r="K7" s="626"/>
      <c r="L7" s="408"/>
      <c r="N7" s="413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819">
        <v>4473156</v>
      </c>
      <c r="F8" s="551">
        <v>4495710</v>
      </c>
      <c r="G8" s="552">
        <f>F8-E8</f>
        <v>22554</v>
      </c>
      <c r="H8" s="536">
        <f>G8</f>
        <v>22554</v>
      </c>
      <c r="I8" s="553">
        <v>12000</v>
      </c>
      <c r="J8" s="629">
        <f>H8/DAY(B2)</f>
        <v>22554</v>
      </c>
      <c r="K8" s="626"/>
      <c r="L8" s="464"/>
      <c r="M8" s="479"/>
      <c r="N8" s="413"/>
      <c r="O8" s="413"/>
    </row>
    <row r="9" spans="1:15">
      <c r="A9" s="660" t="s">
        <v>134</v>
      </c>
      <c r="B9" s="661"/>
      <c r="C9" s="661"/>
      <c r="D9" s="599" t="s">
        <v>132</v>
      </c>
      <c r="E9" s="820">
        <v>86909.01</v>
      </c>
      <c r="F9" s="554">
        <v>101235.16</v>
      </c>
      <c r="G9" s="549">
        <f>F9-E9</f>
        <v>14326.150000000009</v>
      </c>
      <c r="H9" s="536">
        <f t="shared" ref="H9:H13" si="0">G9</f>
        <v>14326.150000000009</v>
      </c>
      <c r="I9" s="555">
        <f>I8-J8</f>
        <v>-10554</v>
      </c>
      <c r="J9" s="629">
        <f>H9/DAY(B2)</f>
        <v>14326.150000000009</v>
      </c>
      <c r="K9" s="467"/>
      <c r="L9" s="408"/>
      <c r="N9" s="413"/>
      <c r="O9" s="413"/>
    </row>
    <row r="10" spans="1:15">
      <c r="A10" s="655" t="s">
        <v>135</v>
      </c>
      <c r="B10" s="656"/>
      <c r="C10" s="656"/>
      <c r="D10" s="599" t="s">
        <v>132</v>
      </c>
      <c r="E10" s="820">
        <v>25695.56</v>
      </c>
      <c r="F10" s="554">
        <v>33103.08</v>
      </c>
      <c r="G10" s="549">
        <f t="shared" ref="G10:G11" si="1">F10-E10</f>
        <v>7407.52</v>
      </c>
      <c r="H10" s="536">
        <f t="shared" si="0"/>
        <v>7407.52</v>
      </c>
      <c r="I10" s="556"/>
      <c r="J10" s="629">
        <f>H10/DAY(B2)</f>
        <v>7407.52</v>
      </c>
      <c r="K10" s="467"/>
      <c r="L10" s="408"/>
      <c r="N10" s="413"/>
      <c r="O10" s="413"/>
    </row>
    <row r="11" spans="1:15">
      <c r="A11" s="655" t="s">
        <v>136</v>
      </c>
      <c r="B11" s="656"/>
      <c r="C11" s="656"/>
      <c r="D11" s="599" t="s">
        <v>132</v>
      </c>
      <c r="E11" s="536">
        <v>37000</v>
      </c>
      <c r="F11" s="531">
        <v>37000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137</v>
      </c>
      <c r="B12" s="656"/>
      <c r="C12" s="656"/>
      <c r="D12" s="599" t="s">
        <v>132</v>
      </c>
      <c r="E12" s="820">
        <v>40010</v>
      </c>
      <c r="F12" s="554">
        <v>40010</v>
      </c>
      <c r="G12" s="549">
        <f>F12-E12</f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138</v>
      </c>
      <c r="B13" s="663"/>
      <c r="C13" s="663"/>
      <c r="D13" s="599"/>
      <c r="E13" s="536"/>
      <c r="F13" s="531"/>
      <c r="G13" s="557">
        <f>G9+G10+G11+G12</f>
        <v>21733.670000000009</v>
      </c>
      <c r="H13" s="536">
        <f t="shared" si="0"/>
        <v>21733.670000000009</v>
      </c>
      <c r="I13" s="558">
        <f>G7-G13</f>
        <v>663.32999999999083</v>
      </c>
      <c r="J13" s="629">
        <f>H13/DAY(B2)</f>
        <v>21733.670000000009</v>
      </c>
      <c r="K13" s="467"/>
      <c r="L13" s="408"/>
      <c r="N13" s="413"/>
      <c r="O13" s="413"/>
    </row>
    <row r="14" spans="1:15">
      <c r="A14" s="1451" t="s">
        <v>139</v>
      </c>
      <c r="B14" s="1452"/>
      <c r="C14" s="1453"/>
      <c r="D14" s="548"/>
      <c r="E14" s="821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395" t="s">
        <v>140</v>
      </c>
      <c r="B15" s="666"/>
      <c r="C15" s="666"/>
      <c r="D15" s="599" t="s">
        <v>141</v>
      </c>
      <c r="E15" s="822">
        <v>1619878.61</v>
      </c>
      <c r="F15" s="560">
        <v>1620759.2420000001</v>
      </c>
      <c r="G15" s="862">
        <f>(F15-E15)</f>
        <v>880.63199999998324</v>
      </c>
      <c r="H15" s="536">
        <f>G15</f>
        <v>880.63199999998324</v>
      </c>
      <c r="I15" s="550">
        <v>800</v>
      </c>
      <c r="J15" s="629">
        <f>H15/DAY(B2)</f>
        <v>880.63199999998324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822"/>
      <c r="F16" s="561"/>
      <c r="G16" s="549"/>
      <c r="H16" s="562"/>
      <c r="I16" s="563">
        <f>I15-J15</f>
        <v>-80.631999999983236</v>
      </c>
      <c r="J16" s="630"/>
      <c r="K16" s="467"/>
      <c r="L16" s="408"/>
      <c r="N16" s="413"/>
      <c r="O16" s="413"/>
    </row>
    <row r="17" spans="1:15">
      <c r="A17" s="1451" t="s">
        <v>142</v>
      </c>
      <c r="B17" s="1452"/>
      <c r="C17" s="1453"/>
      <c r="D17" s="548"/>
      <c r="E17" s="821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33" t="s">
        <v>143</v>
      </c>
      <c r="B18" s="1434"/>
      <c r="C18" s="1435"/>
      <c r="D18" s="599" t="s">
        <v>144</v>
      </c>
      <c r="E18" s="820">
        <v>17</v>
      </c>
      <c r="F18" s="560">
        <v>18</v>
      </c>
      <c r="G18" s="557">
        <f>F18*10</f>
        <v>180</v>
      </c>
      <c r="H18" s="536">
        <f>G18</f>
        <v>180</v>
      </c>
      <c r="I18" s="550">
        <v>65</v>
      </c>
      <c r="J18" s="629">
        <f>H18/DAY(B2)</f>
        <v>180</v>
      </c>
      <c r="K18" s="467"/>
      <c r="L18" s="408"/>
      <c r="N18" s="413"/>
      <c r="O18" s="413"/>
    </row>
    <row r="19" spans="1:15" ht="27.75">
      <c r="A19" s="1433" t="s">
        <v>71</v>
      </c>
      <c r="B19" s="1434"/>
      <c r="C19" s="1435"/>
      <c r="D19" s="599" t="s">
        <v>144</v>
      </c>
      <c r="E19" s="820">
        <v>134468</v>
      </c>
      <c r="F19" s="560">
        <v>134516</v>
      </c>
      <c r="G19" s="549">
        <f t="shared" ref="G19" si="2">F19-E19</f>
        <v>48</v>
      </c>
      <c r="H19" s="536">
        <f t="shared" ref="H19" si="3">G19</f>
        <v>48</v>
      </c>
      <c r="I19" s="565"/>
      <c r="J19" s="629">
        <f>H19/DAY(B2)</f>
        <v>48</v>
      </c>
      <c r="K19" s="467"/>
      <c r="L19" s="408"/>
      <c r="N19" s="413"/>
      <c r="O19" s="413"/>
    </row>
    <row r="20" spans="1:15">
      <c r="A20" s="662" t="s">
        <v>145</v>
      </c>
      <c r="B20" s="663"/>
      <c r="C20" s="663"/>
      <c r="D20" s="566"/>
      <c r="E20" s="536"/>
      <c r="F20" s="566"/>
      <c r="G20" s="567">
        <f>G18+G19</f>
        <v>228</v>
      </c>
      <c r="H20" s="536">
        <f>G20</f>
        <v>228</v>
      </c>
      <c r="I20" s="568">
        <f>I18-J20</f>
        <v>-163</v>
      </c>
      <c r="J20" s="629">
        <f>H20/DAY(B2)</f>
        <v>228</v>
      </c>
      <c r="K20" s="467"/>
      <c r="L20" s="408"/>
      <c r="N20" s="413"/>
      <c r="O20" s="413"/>
    </row>
    <row r="21" spans="1:15">
      <c r="A21" s="1451" t="s">
        <v>146</v>
      </c>
      <c r="B21" s="1452"/>
      <c r="C21" s="1453"/>
      <c r="D21" s="548"/>
      <c r="E21" s="821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395" t="s">
        <v>147</v>
      </c>
      <c r="B22" s="666"/>
      <c r="C22" s="666"/>
      <c r="D22" s="599" t="s">
        <v>148</v>
      </c>
      <c r="E22" s="820">
        <v>2970</v>
      </c>
      <c r="F22" s="560">
        <v>2970</v>
      </c>
      <c r="G22" s="557">
        <f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395" t="s">
        <v>149</v>
      </c>
      <c r="B23" s="666"/>
      <c r="C23" s="666"/>
      <c r="D23" s="599" t="s">
        <v>148</v>
      </c>
      <c r="E23" s="820">
        <v>1900</v>
      </c>
      <c r="F23" s="560">
        <v>1900</v>
      </c>
      <c r="G23" s="557">
        <f>(F23-E23)</f>
        <v>0</v>
      </c>
      <c r="H23" s="536">
        <f t="shared" ref="H23:H24" si="4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823">
        <v>4970</v>
      </c>
      <c r="F24" s="569">
        <v>4250</v>
      </c>
      <c r="G24" s="557">
        <f>SUM(G22:G23)</f>
        <v>0</v>
      </c>
      <c r="H24" s="536">
        <f t="shared" si="4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56" t="s">
        <v>151</v>
      </c>
      <c r="B25" s="1457"/>
      <c r="C25" s="1458"/>
      <c r="D25" s="547"/>
      <c r="E25" s="571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36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22554</v>
      </c>
      <c r="F27" s="577">
        <v>9</v>
      </c>
      <c r="G27" s="578">
        <f>E27*F27</f>
        <v>202986</v>
      </c>
      <c r="H27" s="536">
        <f>G27</f>
        <v>202986</v>
      </c>
      <c r="I27" s="579"/>
      <c r="J27" s="629">
        <f>H27/DAY(B2)</f>
        <v>202986</v>
      </c>
      <c r="K27" s="404"/>
      <c r="L27" s="484"/>
      <c r="N27" s="49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880.63199999998324</v>
      </c>
      <c r="F28" s="577">
        <v>48.88</v>
      </c>
      <c r="G28" s="578">
        <f>E28*F28</f>
        <v>43045.292159999182</v>
      </c>
      <c r="H28" s="536">
        <f>G28</f>
        <v>43045.292159999182</v>
      </c>
      <c r="I28" s="581"/>
      <c r="J28" s="629">
        <f>H28/DAY(B2)</f>
        <v>43045.292159999182</v>
      </c>
      <c r="K28" s="404"/>
      <c r="L28" s="484"/>
      <c r="N28" s="49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780">
        <f>G18</f>
        <v>180</v>
      </c>
      <c r="F30" s="577">
        <v>134</v>
      </c>
      <c r="G30" s="578">
        <f>E30*F30</f>
        <v>24120</v>
      </c>
      <c r="H30" s="536">
        <f>G30</f>
        <v>24120</v>
      </c>
      <c r="I30" s="581"/>
      <c r="J30" s="629">
        <f>H30/DAY(B2)</f>
        <v>24120</v>
      </c>
      <c r="K30" s="404"/>
      <c r="L30" s="484"/>
      <c r="N30" s="49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780">
        <f>G19</f>
        <v>48</v>
      </c>
      <c r="F31" s="577">
        <v>80</v>
      </c>
      <c r="G31" s="578">
        <f>E31*F31</f>
        <v>3840</v>
      </c>
      <c r="H31" s="536">
        <f>G31</f>
        <v>3840</v>
      </c>
      <c r="I31" s="581"/>
      <c r="J31" s="629">
        <f>H31/DAY(B2)</f>
        <v>3840</v>
      </c>
      <c r="K31" s="404"/>
      <c r="L31" s="484"/>
      <c r="N31" s="493"/>
      <c r="O31" s="413"/>
    </row>
    <row r="32" spans="1:15" s="481" customFormat="1" ht="27.75">
      <c r="A32" s="672" t="s">
        <v>161</v>
      </c>
      <c r="B32" s="673"/>
      <c r="C32" s="674"/>
      <c r="D32" s="583"/>
      <c r="E32" s="562"/>
      <c r="F32" s="583"/>
      <c r="G32" s="584">
        <f>G27+G28+G29+G30+G31</f>
        <v>273991.2921599992</v>
      </c>
      <c r="H32" s="536">
        <f t="shared" ref="H32" si="5">G32</f>
        <v>273991.2921599992</v>
      </c>
      <c r="I32" s="585"/>
      <c r="J32" s="629">
        <f>H32/DAY(B2)</f>
        <v>273991.2921599992</v>
      </c>
      <c r="K32" s="404"/>
      <c r="L32" s="484"/>
      <c r="N32" s="493"/>
      <c r="O32" s="413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  <c r="O33" s="413"/>
    </row>
    <row r="34" spans="1:15">
      <c r="A34" s="675" t="s">
        <v>163</v>
      </c>
      <c r="B34" s="1400"/>
      <c r="C34" s="1400"/>
      <c r="D34" s="548"/>
      <c r="E34" s="571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824">
        <v>693087.59</v>
      </c>
      <c r="F35" s="586">
        <v>696280.71</v>
      </c>
      <c r="G35" s="549">
        <f>F35-E35</f>
        <v>3193.1199999999953</v>
      </c>
      <c r="H35" s="536">
        <f>G35</f>
        <v>3193.1199999999953</v>
      </c>
      <c r="I35" s="531"/>
      <c r="J35" s="629">
        <f>H35/DAY(B2)</f>
        <v>3193.1199999999953</v>
      </c>
      <c r="K35" s="467"/>
      <c r="L35" s="408"/>
      <c r="N35" s="413"/>
      <c r="O35" s="705"/>
    </row>
    <row r="36" spans="1:15">
      <c r="A36" s="655" t="s">
        <v>165</v>
      </c>
      <c r="B36" s="656"/>
      <c r="C36" s="656"/>
      <c r="D36" s="599" t="s">
        <v>132</v>
      </c>
      <c r="E36" s="824">
        <v>296445.57</v>
      </c>
      <c r="F36" s="586">
        <v>297204.81</v>
      </c>
      <c r="G36" s="549">
        <f t="shared" ref="G36:G46" si="6">F36-E36</f>
        <v>759.23999999999069</v>
      </c>
      <c r="H36" s="536">
        <f t="shared" ref="H36:H47" si="7">G36</f>
        <v>759.23999999999069</v>
      </c>
      <c r="I36" s="531"/>
      <c r="J36" s="629">
        <f>H36/DAY(B2)</f>
        <v>759.23999999999069</v>
      </c>
      <c r="K36" s="467"/>
      <c r="L36" s="408"/>
      <c r="N36" s="413"/>
      <c r="O36" s="705"/>
    </row>
    <row r="37" spans="1:15">
      <c r="A37" s="655" t="s">
        <v>166</v>
      </c>
      <c r="B37" s="656"/>
      <c r="C37" s="656"/>
      <c r="D37" s="599" t="s">
        <v>132</v>
      </c>
      <c r="E37" s="824">
        <v>32062.1</v>
      </c>
      <c r="F37" s="586">
        <v>33512.550000000003</v>
      </c>
      <c r="G37" s="549">
        <f t="shared" si="6"/>
        <v>1450.4500000000044</v>
      </c>
      <c r="H37" s="536">
        <f t="shared" si="7"/>
        <v>1450.4500000000044</v>
      </c>
      <c r="I37" s="531"/>
      <c r="J37" s="629">
        <f>H37/DAY(B2)</f>
        <v>1450.4500000000044</v>
      </c>
      <c r="K37" s="467"/>
      <c r="L37" s="408"/>
      <c r="N37" s="413"/>
      <c r="O37" s="413"/>
    </row>
    <row r="38" spans="1:15">
      <c r="A38" s="655" t="s">
        <v>167</v>
      </c>
      <c r="B38" s="656"/>
      <c r="C38" s="656"/>
      <c r="D38" s="599" t="s">
        <v>132</v>
      </c>
      <c r="E38" s="546">
        <v>43813.49</v>
      </c>
      <c r="F38" s="545">
        <v>45953.91</v>
      </c>
      <c r="G38" s="549">
        <f t="shared" si="6"/>
        <v>2140.4200000000055</v>
      </c>
      <c r="H38" s="536">
        <f t="shared" si="7"/>
        <v>2140.4200000000055</v>
      </c>
      <c r="I38" s="531"/>
      <c r="J38" s="629">
        <f>H38/DAY(B2)</f>
        <v>2140.4200000000055</v>
      </c>
      <c r="K38" s="467"/>
      <c r="L38" s="408"/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824">
        <v>90675.39</v>
      </c>
      <c r="F39" s="586">
        <v>95004.19</v>
      </c>
      <c r="G39" s="549">
        <f t="shared" si="6"/>
        <v>4328.8000000000029</v>
      </c>
      <c r="H39" s="536">
        <f t="shared" si="7"/>
        <v>4328.8000000000029</v>
      </c>
      <c r="I39" s="531"/>
      <c r="J39" s="629">
        <f>H39/DAY(B2)</f>
        <v>4328.8000000000029</v>
      </c>
      <c r="K39" s="467"/>
      <c r="L39" s="408"/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824">
        <v>0</v>
      </c>
      <c r="F40" s="586">
        <v>0</v>
      </c>
      <c r="G40" s="549">
        <f t="shared" si="6"/>
        <v>0</v>
      </c>
      <c r="H40" s="536">
        <f t="shared" si="7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824">
        <v>63882.37</v>
      </c>
      <c r="F41" s="586">
        <v>63882.37</v>
      </c>
      <c r="G41" s="549">
        <f t="shared" si="6"/>
        <v>0</v>
      </c>
      <c r="H41" s="536">
        <f t="shared" si="7"/>
        <v>0</v>
      </c>
      <c r="I41" s="531"/>
      <c r="J41" s="629">
        <f>H41/DAY(B2)</f>
        <v>0</v>
      </c>
      <c r="K41" s="467"/>
      <c r="L41" s="408"/>
      <c r="N41" s="413"/>
      <c r="O41" s="803"/>
    </row>
    <row r="42" spans="1:15">
      <c r="A42" s="655" t="s">
        <v>171</v>
      </c>
      <c r="B42" s="656"/>
      <c r="C42" s="656"/>
      <c r="D42" s="599" t="s">
        <v>132</v>
      </c>
      <c r="E42" s="824">
        <v>59128.85</v>
      </c>
      <c r="F42" s="586">
        <v>59128.85</v>
      </c>
      <c r="G42" s="549">
        <f t="shared" si="6"/>
        <v>0</v>
      </c>
      <c r="H42" s="536">
        <f t="shared" si="7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824">
        <v>825897.83</v>
      </c>
      <c r="F43" s="586">
        <v>828353.19</v>
      </c>
      <c r="G43" s="549">
        <f t="shared" si="6"/>
        <v>2455.359999999986</v>
      </c>
      <c r="H43" s="536">
        <f t="shared" si="7"/>
        <v>2455.359999999986</v>
      </c>
      <c r="I43" s="531"/>
      <c r="J43" s="629">
        <f>H43/DAY(B2)</f>
        <v>2455.359999999986</v>
      </c>
      <c r="K43" s="467"/>
      <c r="L43" s="408"/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824">
        <v>0</v>
      </c>
      <c r="F44" s="586">
        <v>0</v>
      </c>
      <c r="G44" s="549">
        <f t="shared" si="6"/>
        <v>0</v>
      </c>
      <c r="H44" s="536">
        <f t="shared" si="7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824">
        <v>614</v>
      </c>
      <c r="F45" s="586">
        <v>614.48</v>
      </c>
      <c r="G45" s="549">
        <f t="shared" si="6"/>
        <v>0.48000000000001819</v>
      </c>
      <c r="H45" s="536">
        <f t="shared" si="7"/>
        <v>0.48000000000001819</v>
      </c>
      <c r="I45" s="531"/>
      <c r="J45" s="629">
        <f>H45/DAY(B2)</f>
        <v>0.48000000000001819</v>
      </c>
      <c r="K45" s="467"/>
      <c r="L45" s="408"/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824">
        <v>187</v>
      </c>
      <c r="F46" s="586">
        <v>187.49</v>
      </c>
      <c r="G46" s="549">
        <f t="shared" si="6"/>
        <v>0.49000000000000909</v>
      </c>
      <c r="H46" s="536">
        <f t="shared" si="7"/>
        <v>0.49000000000000909</v>
      </c>
      <c r="I46" s="531"/>
      <c r="J46" s="629">
        <f>H46/DAY(B2)</f>
        <v>0.49000000000000909</v>
      </c>
      <c r="K46" s="467"/>
      <c r="L46" s="408"/>
      <c r="N46" s="413"/>
      <c r="O46" s="413"/>
    </row>
    <row r="47" spans="1:15">
      <c r="A47" s="662" t="s">
        <v>176</v>
      </c>
      <c r="B47" s="663"/>
      <c r="C47" s="663"/>
      <c r="D47" s="546"/>
      <c r="E47" s="546"/>
      <c r="F47" s="587"/>
      <c r="G47" s="557">
        <f>G35+G36+G37+G38+G39+G40+G41+G42+G43+G44+G45+G46</f>
        <v>14328.359999999984</v>
      </c>
      <c r="H47" s="536">
        <f t="shared" si="7"/>
        <v>14328.359999999984</v>
      </c>
      <c r="I47" s="531"/>
      <c r="J47" s="629">
        <f>H47/DAY(B2)</f>
        <v>14328.359999999984</v>
      </c>
      <c r="K47" s="467"/>
      <c r="L47" s="408"/>
      <c r="N47" s="413"/>
      <c r="O47" s="413"/>
    </row>
    <row r="48" spans="1:15">
      <c r="A48" s="675" t="s">
        <v>177</v>
      </c>
      <c r="B48" s="1400"/>
      <c r="C48" s="1400"/>
      <c r="D48" s="548"/>
      <c r="E48" s="571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824">
        <v>260732.13</v>
      </c>
      <c r="F49" s="586">
        <v>260732.13</v>
      </c>
      <c r="G49" s="549">
        <f t="shared" ref="G49:G58" si="8">F49-E49</f>
        <v>0</v>
      </c>
      <c r="H49" s="536">
        <f>G49</f>
        <v>0</v>
      </c>
      <c r="I49" s="531"/>
      <c r="J49" s="629">
        <f>H49/DAY(B2)</f>
        <v>0</v>
      </c>
      <c r="K49" s="467"/>
      <c r="L49" s="408"/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824">
        <v>402463.03</v>
      </c>
      <c r="F50" s="586">
        <v>404098.95</v>
      </c>
      <c r="G50" s="549">
        <f t="shared" si="8"/>
        <v>1635.9199999999837</v>
      </c>
      <c r="H50" s="536">
        <f t="shared" ref="H50:H60" si="9">G50</f>
        <v>1635.9199999999837</v>
      </c>
      <c r="I50" s="531"/>
      <c r="J50" s="629">
        <f>H50/DAY(B2)</f>
        <v>1635.9199999999837</v>
      </c>
      <c r="K50" s="467"/>
      <c r="L50" s="408"/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824">
        <v>120050.92</v>
      </c>
      <c r="F51" s="586">
        <v>120050.92</v>
      </c>
      <c r="G51" s="549">
        <f t="shared" si="8"/>
        <v>0</v>
      </c>
      <c r="H51" s="536">
        <f t="shared" si="9"/>
        <v>0</v>
      </c>
      <c r="I51" s="531"/>
      <c r="J51" s="629">
        <f>H51/DAY(B2)</f>
        <v>0</v>
      </c>
      <c r="K51" s="467"/>
      <c r="L51" s="408"/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824">
        <v>507912.71</v>
      </c>
      <c r="F52" s="586">
        <v>507912.71</v>
      </c>
      <c r="G52" s="549">
        <f t="shared" si="8"/>
        <v>0</v>
      </c>
      <c r="H52" s="536">
        <f t="shared" si="9"/>
        <v>0</v>
      </c>
      <c r="I52" s="531"/>
      <c r="J52" s="629">
        <f>H52/DAY(B2)</f>
        <v>0</v>
      </c>
      <c r="K52" s="467"/>
      <c r="L52" s="408"/>
      <c r="N52" s="413"/>
      <c r="O52" s="803"/>
    </row>
    <row r="53" spans="1:15">
      <c r="A53" s="655" t="s">
        <v>168</v>
      </c>
      <c r="B53" s="678"/>
      <c r="C53" s="678"/>
      <c r="D53" s="599" t="s">
        <v>132</v>
      </c>
      <c r="E53" s="824">
        <v>331854.51</v>
      </c>
      <c r="F53" s="586">
        <v>331854.51</v>
      </c>
      <c r="G53" s="549">
        <f t="shared" si="8"/>
        <v>0</v>
      </c>
      <c r="H53" s="536">
        <f t="shared" si="9"/>
        <v>0</v>
      </c>
      <c r="I53" s="531"/>
      <c r="J53" s="629">
        <f>H53/DAY(B2)</f>
        <v>0</v>
      </c>
      <c r="K53" s="467"/>
      <c r="L53" s="408"/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824">
        <v>8095.63</v>
      </c>
      <c r="F54" s="586">
        <v>8163.82</v>
      </c>
      <c r="G54" s="549">
        <f t="shared" si="8"/>
        <v>68.1899999999996</v>
      </c>
      <c r="H54" s="536">
        <f t="shared" si="9"/>
        <v>68.1899999999996</v>
      </c>
      <c r="I54" s="531"/>
      <c r="J54" s="629">
        <f>H54/DAY(B2)</f>
        <v>68.1899999999996</v>
      </c>
      <c r="K54" s="467"/>
      <c r="L54" s="408"/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825">
        <v>117585.69</v>
      </c>
      <c r="F55" s="586">
        <v>122678.46</v>
      </c>
      <c r="G55" s="549">
        <f t="shared" si="8"/>
        <v>5092.7700000000041</v>
      </c>
      <c r="H55" s="536">
        <f t="shared" si="9"/>
        <v>5092.7700000000041</v>
      </c>
      <c r="I55" s="531"/>
      <c r="J55" s="629">
        <f>H55/DAY(B2)</f>
        <v>5092.7700000000041</v>
      </c>
      <c r="K55" s="467"/>
      <c r="L55" s="408"/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825">
        <v>586051.03</v>
      </c>
      <c r="F56" s="586">
        <v>586707.91</v>
      </c>
      <c r="G56" s="549">
        <f t="shared" si="8"/>
        <v>656.88000000000466</v>
      </c>
      <c r="H56" s="536">
        <f t="shared" si="9"/>
        <v>656.88000000000466</v>
      </c>
      <c r="I56" s="531"/>
      <c r="J56" s="629">
        <f>H56/DAY(B2)</f>
        <v>656.88000000000466</v>
      </c>
      <c r="K56" s="466"/>
      <c r="L56" s="408"/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824">
        <v>7711.33</v>
      </c>
      <c r="F57" s="586">
        <v>7711.33</v>
      </c>
      <c r="G57" s="549">
        <f t="shared" si="8"/>
        <v>0</v>
      </c>
      <c r="H57" s="536">
        <f t="shared" si="9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1322">
        <v>35868.699999999997</v>
      </c>
      <c r="F58" s="586">
        <v>36099.440000000002</v>
      </c>
      <c r="G58" s="549">
        <f t="shared" si="8"/>
        <v>230.74000000000524</v>
      </c>
      <c r="H58" s="536">
        <f t="shared" si="9"/>
        <v>230.74000000000524</v>
      </c>
      <c r="I58" s="531"/>
      <c r="J58" s="629">
        <f>H58/DAY(B2)</f>
        <v>230.74000000000524</v>
      </c>
      <c r="K58" s="467"/>
      <c r="L58" s="408"/>
      <c r="N58" s="413"/>
      <c r="O58" s="413"/>
    </row>
    <row r="59" spans="1:15">
      <c r="A59" s="662" t="s">
        <v>176</v>
      </c>
      <c r="B59" s="663"/>
      <c r="C59" s="663"/>
      <c r="D59" s="587"/>
      <c r="E59" s="546"/>
      <c r="F59" s="587"/>
      <c r="G59" s="557">
        <f>G49+G50+G51+G52+G53+G54+G55+G56+G57+G58</f>
        <v>7684.4999999999973</v>
      </c>
      <c r="H59" s="536">
        <f t="shared" si="9"/>
        <v>7684.4999999999973</v>
      </c>
      <c r="I59" s="531">
        <f>G7-G60</f>
        <v>384.14000000001761</v>
      </c>
      <c r="J59" s="629">
        <f>H59/DAY(B2)</f>
        <v>7684.4999999999973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185</v>
      </c>
      <c r="E60" s="546"/>
      <c r="F60" s="587"/>
      <c r="G60" s="557">
        <f>G47+G59</f>
        <v>22012.859999999982</v>
      </c>
      <c r="H60" s="536">
        <f t="shared" si="9"/>
        <v>22012.859999999982</v>
      </c>
      <c r="I60" s="531">
        <f>G13-G60</f>
        <v>-279.18999999997322</v>
      </c>
      <c r="J60" s="629">
        <f>H60/DAY(B2)</f>
        <v>22012.859999999982</v>
      </c>
      <c r="K60" s="467"/>
      <c r="L60" s="408"/>
      <c r="N60" s="413"/>
      <c r="O60" s="413"/>
    </row>
    <row r="61" spans="1:15">
      <c r="A61" s="679" t="s">
        <v>186</v>
      </c>
      <c r="B61" s="529"/>
      <c r="C61" s="529"/>
      <c r="D61" s="589"/>
      <c r="E61" s="826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v>20419.187000000002</v>
      </c>
      <c r="F62" s="590">
        <v>20419.188999999998</v>
      </c>
      <c r="G62" s="549">
        <f t="shared" ref="G62:G69" si="10">F62-E62</f>
        <v>1.9999999967694748E-3</v>
      </c>
      <c r="H62" s="536">
        <f>G62</f>
        <v>1.9999999967694748E-3</v>
      </c>
      <c r="I62" s="591"/>
      <c r="J62" s="629">
        <f>H62/DAY(B2)</f>
        <v>1.9999999967694748E-3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v>1707.36</v>
      </c>
      <c r="F63" s="590">
        <v>1721.57</v>
      </c>
      <c r="G63" s="549">
        <f t="shared" si="10"/>
        <v>14.210000000000036</v>
      </c>
      <c r="H63" s="536">
        <f t="shared" ref="H63:H70" si="11">G63</f>
        <v>14.210000000000036</v>
      </c>
      <c r="I63" s="591"/>
      <c r="J63" s="629">
        <f>H63/DAY(B2)</f>
        <v>14.210000000000036</v>
      </c>
      <c r="K63" s="467"/>
      <c r="L63" s="408"/>
      <c r="N63" s="413"/>
      <c r="O63" s="413"/>
    </row>
    <row r="64" spans="1:15" ht="27.75">
      <c r="A64" s="1430" t="s">
        <v>99</v>
      </c>
      <c r="B64" s="1431"/>
      <c r="C64" s="1432"/>
      <c r="D64" s="599" t="s">
        <v>187</v>
      </c>
      <c r="E64" s="820">
        <v>123627.3</v>
      </c>
      <c r="F64" s="560">
        <v>124127.85</v>
      </c>
      <c r="G64" s="549">
        <f t="shared" si="10"/>
        <v>500.55000000000291</v>
      </c>
      <c r="H64" s="536">
        <f t="shared" si="11"/>
        <v>500.55000000000291</v>
      </c>
      <c r="I64" s="556"/>
      <c r="J64" s="629">
        <f>H64/DAY(B2)</f>
        <v>500.55000000000291</v>
      </c>
      <c r="K64" s="467"/>
      <c r="L64" s="408"/>
      <c r="N64" s="413"/>
      <c r="O64" s="413"/>
    </row>
    <row r="65" spans="1:15" ht="27.75">
      <c r="A65" s="1430" t="s">
        <v>100</v>
      </c>
      <c r="B65" s="1431"/>
      <c r="C65" s="1432"/>
      <c r="D65" s="599" t="s">
        <v>187</v>
      </c>
      <c r="E65" s="827">
        <v>132597.29999999999</v>
      </c>
      <c r="F65" s="560">
        <v>132996.35999999999</v>
      </c>
      <c r="G65" s="549">
        <f t="shared" si="10"/>
        <v>399.05999999999767</v>
      </c>
      <c r="H65" s="536">
        <f t="shared" si="11"/>
        <v>399.05999999999767</v>
      </c>
      <c r="I65" s="565"/>
      <c r="J65" s="629">
        <f>H65/DAY(B2)</f>
        <v>399.05999999999767</v>
      </c>
      <c r="K65" s="467"/>
      <c r="L65" s="408"/>
      <c r="N65" s="413"/>
      <c r="O65" s="413"/>
    </row>
    <row r="66" spans="1:15" ht="27.75">
      <c r="A66" s="1430" t="s">
        <v>101</v>
      </c>
      <c r="B66" s="1431"/>
      <c r="C66" s="1432"/>
      <c r="D66" s="599" t="s">
        <v>187</v>
      </c>
      <c r="E66" s="820">
        <v>25159.75</v>
      </c>
      <c r="F66" s="560">
        <v>25566.36</v>
      </c>
      <c r="G66" s="549">
        <f t="shared" si="10"/>
        <v>406.61000000000058</v>
      </c>
      <c r="H66" s="536">
        <f t="shared" si="11"/>
        <v>406.61000000000058</v>
      </c>
      <c r="I66" s="556"/>
      <c r="J66" s="629">
        <f>H66/DAY(B2)</f>
        <v>406.61000000000058</v>
      </c>
      <c r="K66" s="467"/>
      <c r="L66" s="408"/>
      <c r="N66" s="413"/>
      <c r="O66" s="413"/>
    </row>
    <row r="67" spans="1:15" ht="27.75">
      <c r="A67" s="1430" t="s">
        <v>102</v>
      </c>
      <c r="B67" s="1431"/>
      <c r="C67" s="1432"/>
      <c r="D67" s="599" t="s">
        <v>187</v>
      </c>
      <c r="E67" s="820">
        <v>207841.83</v>
      </c>
      <c r="F67" s="560">
        <v>208546.07</v>
      </c>
      <c r="G67" s="549">
        <f t="shared" si="10"/>
        <v>704.24000000001979</v>
      </c>
      <c r="H67" s="536">
        <f t="shared" si="11"/>
        <v>704.24000000001979</v>
      </c>
      <c r="I67" s="565"/>
      <c r="J67" s="629">
        <f>H67/DAY(B2)</f>
        <v>704.24000000001979</v>
      </c>
      <c r="K67" s="468"/>
      <c r="L67" s="408"/>
      <c r="N67" s="413"/>
      <c r="O67" s="413"/>
    </row>
    <row r="68" spans="1:15" ht="27.75">
      <c r="A68" s="1430" t="s">
        <v>103</v>
      </c>
      <c r="B68" s="1431"/>
      <c r="C68" s="1432"/>
      <c r="D68" s="599" t="s">
        <v>187</v>
      </c>
      <c r="E68" s="820">
        <v>72678.52</v>
      </c>
      <c r="F68" s="560">
        <v>73027.42</v>
      </c>
      <c r="G68" s="549">
        <f t="shared" si="10"/>
        <v>348.89999999999418</v>
      </c>
      <c r="H68" s="536">
        <f t="shared" si="11"/>
        <v>348.89999999999418</v>
      </c>
      <c r="I68" s="592"/>
      <c r="J68" s="629">
        <f>H68/DAY(B2)</f>
        <v>348.89999999999418</v>
      </c>
      <c r="K68" s="469"/>
      <c r="L68" s="408"/>
      <c r="N68" s="413"/>
      <c r="O68" s="413"/>
    </row>
    <row r="69" spans="1:15" ht="27.75">
      <c r="A69" s="1430" t="s">
        <v>104</v>
      </c>
      <c r="B69" s="1431"/>
      <c r="C69" s="1432"/>
      <c r="D69" s="599" t="s">
        <v>187</v>
      </c>
      <c r="E69" s="820">
        <v>64452.09</v>
      </c>
      <c r="F69" s="560">
        <v>64776.091</v>
      </c>
      <c r="G69" s="549">
        <f t="shared" si="10"/>
        <v>324.00100000000384</v>
      </c>
      <c r="H69" s="536">
        <f t="shared" si="11"/>
        <v>324.00100000000384</v>
      </c>
      <c r="I69" s="592"/>
      <c r="J69" s="629">
        <f>H69/DAY(B2)</f>
        <v>324.00100000000384</v>
      </c>
      <c r="K69" s="470"/>
      <c r="L69" s="408"/>
      <c r="N69" s="413"/>
      <c r="O69" s="413"/>
    </row>
    <row r="70" spans="1:15" ht="27.75">
      <c r="A70" s="1462" t="s">
        <v>189</v>
      </c>
      <c r="B70" s="1463"/>
      <c r="C70" s="1464"/>
      <c r="D70" s="599" t="s">
        <v>187</v>
      </c>
      <c r="E70" s="828"/>
      <c r="F70" s="594"/>
      <c r="G70" s="594"/>
      <c r="H70" s="536">
        <f t="shared" si="11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  <c r="O71" s="413"/>
    </row>
    <row r="72" spans="1:15" ht="27.75">
      <c r="A72" s="1430" t="s">
        <v>191</v>
      </c>
      <c r="B72" s="1431"/>
      <c r="C72" s="1432"/>
      <c r="D72" s="599" t="s">
        <v>187</v>
      </c>
      <c r="E72" s="829">
        <v>850592</v>
      </c>
      <c r="F72" s="595">
        <v>850662</v>
      </c>
      <c r="G72" s="549">
        <f t="shared" ref="G72:G84" si="12">F72-E72</f>
        <v>70</v>
      </c>
      <c r="H72" s="536">
        <f>G72</f>
        <v>70</v>
      </c>
      <c r="I72" s="556"/>
      <c r="J72" s="629">
        <f>H72/DAY(B2)</f>
        <v>70</v>
      </c>
      <c r="K72" s="470"/>
      <c r="L72" s="408"/>
      <c r="N72" s="413"/>
      <c r="O72" s="413"/>
    </row>
    <row r="73" spans="1:15" ht="27.75">
      <c r="A73" s="1430" t="s">
        <v>192</v>
      </c>
      <c r="B73" s="1431"/>
      <c r="C73" s="1432"/>
      <c r="D73" s="599" t="s">
        <v>187</v>
      </c>
      <c r="E73" s="830">
        <v>885772</v>
      </c>
      <c r="F73" s="596">
        <v>885772</v>
      </c>
      <c r="G73" s="549">
        <f t="shared" si="12"/>
        <v>0</v>
      </c>
      <c r="H73" s="536">
        <f t="shared" ref="H73:H88" si="13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462" t="s">
        <v>193</v>
      </c>
      <c r="B74" s="1463"/>
      <c r="C74" s="1464"/>
      <c r="D74" s="599" t="s">
        <v>187</v>
      </c>
      <c r="E74" s="830">
        <v>586.16999999999996</v>
      </c>
      <c r="F74" s="597">
        <v>625.02</v>
      </c>
      <c r="G74" s="549">
        <f t="shared" si="12"/>
        <v>38.850000000000023</v>
      </c>
      <c r="H74" s="536">
        <f t="shared" si="13"/>
        <v>38.850000000000023</v>
      </c>
      <c r="I74" s="556"/>
      <c r="J74" s="629">
        <f>H74/DAY(B2)</f>
        <v>38.850000000000023</v>
      </c>
      <c r="K74" s="470"/>
      <c r="L74" s="408"/>
      <c r="N74" s="413"/>
      <c r="O74" s="413"/>
    </row>
    <row r="75" spans="1:15" ht="27.75">
      <c r="A75" s="1479" t="s">
        <v>194</v>
      </c>
      <c r="B75" s="1480"/>
      <c r="C75" s="1481"/>
      <c r="D75" s="599" t="s">
        <v>187</v>
      </c>
      <c r="E75" s="830">
        <v>3519.22</v>
      </c>
      <c r="F75" s="597">
        <v>3663.87</v>
      </c>
      <c r="G75" s="549">
        <f t="shared" si="12"/>
        <v>144.65000000000009</v>
      </c>
      <c r="H75" s="536">
        <f t="shared" si="13"/>
        <v>144.65000000000009</v>
      </c>
      <c r="I75" s="556"/>
      <c r="J75" s="629">
        <f>H75/DAY(B2)</f>
        <v>144.65000000000009</v>
      </c>
      <c r="K75" s="469"/>
      <c r="L75" s="408"/>
      <c r="N75" s="413"/>
      <c r="O75" s="413"/>
    </row>
    <row r="76" spans="1:15" ht="27.75">
      <c r="A76" s="1479" t="s">
        <v>195</v>
      </c>
      <c r="B76" s="1480"/>
      <c r="C76" s="1481"/>
      <c r="D76" s="599" t="s">
        <v>187</v>
      </c>
      <c r="E76" s="830">
        <v>1514.34</v>
      </c>
      <c r="F76" s="596">
        <v>1593.49</v>
      </c>
      <c r="G76" s="549">
        <f t="shared" si="12"/>
        <v>79.150000000000091</v>
      </c>
      <c r="H76" s="536">
        <f t="shared" si="13"/>
        <v>79.150000000000091</v>
      </c>
      <c r="I76" s="581"/>
      <c r="J76" s="629">
        <f>H76/DAY(B2)</f>
        <v>79.150000000000091</v>
      </c>
      <c r="K76" s="469"/>
      <c r="L76" s="408"/>
      <c r="N76" s="413"/>
      <c r="O76" s="413"/>
    </row>
    <row r="77" spans="1:15" ht="27.75">
      <c r="A77" s="1430" t="s">
        <v>196</v>
      </c>
      <c r="B77" s="1431"/>
      <c r="C77" s="1432"/>
      <c r="D77" s="599" t="s">
        <v>187</v>
      </c>
      <c r="E77" s="830">
        <v>698588</v>
      </c>
      <c r="F77" s="597">
        <v>698633</v>
      </c>
      <c r="G77" s="549">
        <f t="shared" si="12"/>
        <v>45</v>
      </c>
      <c r="H77" s="536">
        <f t="shared" si="13"/>
        <v>45</v>
      </c>
      <c r="I77" s="581"/>
      <c r="J77" s="629">
        <f>H77/DAY(B2)</f>
        <v>45</v>
      </c>
      <c r="K77" s="469"/>
      <c r="L77" s="408"/>
      <c r="N77" s="413"/>
      <c r="O77" s="413"/>
    </row>
    <row r="78" spans="1:15" ht="27.75">
      <c r="A78" s="1398" t="s">
        <v>197</v>
      </c>
      <c r="B78" s="1391"/>
      <c r="C78" s="1391"/>
      <c r="D78" s="599" t="s">
        <v>187</v>
      </c>
      <c r="E78" s="830">
        <v>652863</v>
      </c>
      <c r="F78" s="597">
        <v>653253</v>
      </c>
      <c r="G78" s="549">
        <f t="shared" si="12"/>
        <v>390</v>
      </c>
      <c r="H78" s="536">
        <f t="shared" si="13"/>
        <v>390</v>
      </c>
      <c r="I78" s="581"/>
      <c r="J78" s="629">
        <f>H78/DAY(B2)</f>
        <v>390</v>
      </c>
      <c r="K78" s="469"/>
      <c r="L78" s="408"/>
      <c r="N78" s="413"/>
      <c r="O78" s="413"/>
    </row>
    <row r="79" spans="1:15" ht="27.75">
      <c r="A79" s="1479" t="s">
        <v>92</v>
      </c>
      <c r="B79" s="1480"/>
      <c r="C79" s="1481"/>
      <c r="D79" s="600" t="s">
        <v>187</v>
      </c>
      <c r="E79" s="831">
        <v>815109</v>
      </c>
      <c r="F79" s="597">
        <v>815301</v>
      </c>
      <c r="G79" s="549">
        <f t="shared" si="12"/>
        <v>192</v>
      </c>
      <c r="H79" s="536">
        <f t="shared" si="13"/>
        <v>192</v>
      </c>
      <c r="I79" s="581"/>
      <c r="J79" s="629">
        <f>H79/DAY(B2)</f>
        <v>192</v>
      </c>
      <c r="K79" s="469"/>
      <c r="L79" s="408"/>
      <c r="N79" s="413"/>
      <c r="O79" s="413"/>
    </row>
    <row r="80" spans="1:15" ht="27.75">
      <c r="A80" s="1479" t="s">
        <v>198</v>
      </c>
      <c r="B80" s="1480"/>
      <c r="C80" s="1481"/>
      <c r="D80" s="600" t="s">
        <v>187</v>
      </c>
      <c r="E80" s="830">
        <v>494673.64</v>
      </c>
      <c r="F80" s="596">
        <v>495088.64000000001</v>
      </c>
      <c r="G80" s="549">
        <f t="shared" si="12"/>
        <v>415</v>
      </c>
      <c r="H80" s="536">
        <f t="shared" si="13"/>
        <v>415</v>
      </c>
      <c r="I80" s="581"/>
      <c r="J80" s="629">
        <f>H80/DAY(B2)</f>
        <v>415</v>
      </c>
      <c r="K80" s="469"/>
      <c r="L80" s="408"/>
      <c r="N80" s="413"/>
      <c r="O80" s="413"/>
    </row>
    <row r="81" spans="1:15" ht="27.75">
      <c r="A81" s="1479" t="s">
        <v>199</v>
      </c>
      <c r="B81" s="1480"/>
      <c r="C81" s="1481"/>
      <c r="D81" s="600" t="s">
        <v>187</v>
      </c>
      <c r="E81" s="830">
        <v>625943.84</v>
      </c>
      <c r="F81" s="596">
        <v>626056.4</v>
      </c>
      <c r="G81" s="549">
        <f t="shared" si="12"/>
        <v>112.56000000005588</v>
      </c>
      <c r="H81" s="536">
        <f t="shared" si="13"/>
        <v>112.56000000005588</v>
      </c>
      <c r="I81" s="581"/>
      <c r="J81" s="629">
        <f>H81/DAY(B2)</f>
        <v>112.56000000005588</v>
      </c>
      <c r="K81" s="469"/>
      <c r="L81" s="408"/>
      <c r="N81" s="413"/>
      <c r="O81" s="413"/>
    </row>
    <row r="82" spans="1:15" ht="27.75">
      <c r="A82" s="1479" t="s">
        <v>93</v>
      </c>
      <c r="B82" s="1480"/>
      <c r="C82" s="1481"/>
      <c r="D82" s="561" t="s">
        <v>132</v>
      </c>
      <c r="E82" s="827">
        <v>106202.48</v>
      </c>
      <c r="F82" s="598">
        <v>106220.65</v>
      </c>
      <c r="G82" s="549">
        <f t="shared" si="12"/>
        <v>18.169999999998254</v>
      </c>
      <c r="H82" s="536">
        <f t="shared" si="13"/>
        <v>18.169999999998254</v>
      </c>
      <c r="I82" s="562"/>
      <c r="J82" s="629">
        <f>H82/DAY(B2)</f>
        <v>18.169999999998254</v>
      </c>
      <c r="K82" s="469"/>
      <c r="L82" s="408"/>
      <c r="N82" s="413"/>
      <c r="O82" s="413"/>
    </row>
    <row r="83" spans="1:15" ht="27.75">
      <c r="A83" s="1479" t="s">
        <v>200</v>
      </c>
      <c r="B83" s="1480"/>
      <c r="C83" s="1481"/>
      <c r="D83" s="697" t="s">
        <v>132</v>
      </c>
      <c r="E83" s="546">
        <v>996449</v>
      </c>
      <c r="F83" s="587">
        <v>996969</v>
      </c>
      <c r="G83" s="549">
        <f t="shared" si="12"/>
        <v>520</v>
      </c>
      <c r="H83" s="536">
        <f t="shared" si="13"/>
        <v>520</v>
      </c>
      <c r="I83" s="557"/>
      <c r="J83" s="629">
        <f>H83/DAY(B2)</f>
        <v>520</v>
      </c>
      <c r="K83" s="468"/>
      <c r="L83" s="408"/>
      <c r="N83" s="413"/>
      <c r="O83" s="803"/>
    </row>
    <row r="84" spans="1:15">
      <c r="A84" s="1399" t="s">
        <v>201</v>
      </c>
      <c r="B84" s="648"/>
      <c r="C84" s="648"/>
      <c r="D84" s="554" t="s">
        <v>132</v>
      </c>
      <c r="E84" s="787">
        <v>430798</v>
      </c>
      <c r="F84" s="704">
        <v>431488</v>
      </c>
      <c r="G84" s="549">
        <f t="shared" si="12"/>
        <v>690</v>
      </c>
      <c r="H84" s="536">
        <f t="shared" si="13"/>
        <v>690</v>
      </c>
      <c r="I84" s="557"/>
      <c r="J84" s="629">
        <f>H84/DAY(B2)</f>
        <v>690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536"/>
      <c r="F85" s="599"/>
      <c r="G85" s="536">
        <f xml:space="preserve"> SUM(G71:G84)</f>
        <v>2715.3800000000542</v>
      </c>
      <c r="H85" s="536">
        <f t="shared" si="13"/>
        <v>2715.3800000000542</v>
      </c>
      <c r="I85" s="557"/>
      <c r="J85" s="629">
        <f>H85/DAY(B2)</f>
        <v>2715.3800000000542</v>
      </c>
      <c r="K85" s="411"/>
      <c r="L85" s="409"/>
      <c r="N85" s="859"/>
      <c r="O85" s="803"/>
    </row>
    <row r="86" spans="1:15" s="817" customFormat="1">
      <c r="A86" s="812" t="s">
        <v>94</v>
      </c>
      <c r="B86" s="813"/>
      <c r="C86" s="813"/>
      <c r="D86" s="814" t="s">
        <v>183</v>
      </c>
      <c r="E86" s="832">
        <v>450368.53</v>
      </c>
      <c r="F86" s="728">
        <v>450506.84</v>
      </c>
      <c r="G86" s="787">
        <f t="shared" ref="G86:G90" si="14">F86-E86</f>
        <v>138.30999999999767</v>
      </c>
      <c r="H86" s="787">
        <f t="shared" si="13"/>
        <v>138.30999999999767</v>
      </c>
      <c r="I86" s="733"/>
      <c r="J86" s="789">
        <f>H86/DAY(B2)</f>
        <v>138.30999999999767</v>
      </c>
      <c r="K86" s="815"/>
      <c r="L86" s="816"/>
      <c r="N86" s="860"/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832">
        <v>79207.7</v>
      </c>
      <c r="F87" s="728">
        <v>79246.899999999994</v>
      </c>
      <c r="G87" s="787">
        <f t="shared" si="14"/>
        <v>39.19999999999709</v>
      </c>
      <c r="H87" s="787">
        <f t="shared" si="13"/>
        <v>39.19999999999709</v>
      </c>
      <c r="I87" s="733"/>
      <c r="J87" s="789">
        <f>H87/DAY(B2)</f>
        <v>39.19999999999709</v>
      </c>
      <c r="K87" s="815"/>
      <c r="L87" s="816"/>
      <c r="N87" s="860"/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832">
        <v>148264.60999999999</v>
      </c>
      <c r="F88" s="728">
        <v>148316.29</v>
      </c>
      <c r="G88" s="787">
        <f t="shared" si="14"/>
        <v>51.680000000022119</v>
      </c>
      <c r="H88" s="787">
        <f t="shared" si="13"/>
        <v>51.680000000022119</v>
      </c>
      <c r="I88" s="733"/>
      <c r="J88" s="789">
        <f>H88/DAY(B2)</f>
        <v>51.680000000022119</v>
      </c>
      <c r="K88" s="815"/>
      <c r="L88" s="816"/>
      <c r="N88" s="860"/>
      <c r="O88" s="413"/>
    </row>
    <row r="89" spans="1:15" s="817" customFormat="1">
      <c r="A89" s="812" t="s">
        <v>203</v>
      </c>
      <c r="B89" s="813"/>
      <c r="C89" s="813"/>
      <c r="D89" s="814" t="s">
        <v>183</v>
      </c>
      <c r="E89" s="832">
        <v>61675.1</v>
      </c>
      <c r="F89" s="728">
        <v>61732.800000000003</v>
      </c>
      <c r="G89" s="787">
        <f t="shared" si="14"/>
        <v>57.700000000004366</v>
      </c>
      <c r="H89" s="787">
        <f>G89</f>
        <v>57.700000000004366</v>
      </c>
      <c r="I89" s="733"/>
      <c r="J89" s="789">
        <f>H89/DAY(B2)</f>
        <v>57.700000000004366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832">
        <v>3162.9</v>
      </c>
      <c r="F90" s="728">
        <v>3168.3</v>
      </c>
      <c r="G90" s="787">
        <f t="shared" si="14"/>
        <v>5.4000000000000909</v>
      </c>
      <c r="H90" s="787">
        <f>G90</f>
        <v>5.4000000000000909</v>
      </c>
      <c r="I90" s="733"/>
      <c r="J90" s="789">
        <f>H90/DAY(B2)</f>
        <v>5.4000000000000909</v>
      </c>
      <c r="K90" s="815"/>
      <c r="L90" s="816"/>
      <c r="N90" s="860"/>
      <c r="O90" s="413"/>
    </row>
    <row r="91" spans="1:15" s="410" customFormat="1">
      <c r="A91" s="683" t="s">
        <v>205</v>
      </c>
      <c r="B91" s="1401"/>
      <c r="C91" s="1401"/>
      <c r="D91" s="548"/>
      <c r="E91" s="821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33" t="s">
        <v>206</v>
      </c>
      <c r="B92" s="1434"/>
      <c r="C92" s="1435"/>
      <c r="D92" s="599" t="s">
        <v>144</v>
      </c>
      <c r="E92" s="820">
        <v>239695</v>
      </c>
      <c r="F92" s="560">
        <v>239817</v>
      </c>
      <c r="G92" s="549">
        <f t="shared" ref="G92:G93" si="15">F92-E92</f>
        <v>122</v>
      </c>
      <c r="H92" s="536">
        <f t="shared" ref="H92" si="16">G92</f>
        <v>122</v>
      </c>
      <c r="I92" s="556"/>
      <c r="J92" s="629">
        <f>H92/DAY(B2)</f>
        <v>122</v>
      </c>
      <c r="K92" s="468"/>
      <c r="L92" s="408"/>
      <c r="N92" s="413"/>
      <c r="O92" s="413"/>
    </row>
    <row r="93" spans="1:15" ht="27.75">
      <c r="A93" s="1433" t="s">
        <v>207</v>
      </c>
      <c r="B93" s="1434"/>
      <c r="C93" s="1435"/>
      <c r="D93" s="599" t="s">
        <v>144</v>
      </c>
      <c r="E93" s="820">
        <v>175661</v>
      </c>
      <c r="F93" s="560">
        <v>175805</v>
      </c>
      <c r="G93" s="549">
        <f t="shared" si="15"/>
        <v>144</v>
      </c>
      <c r="H93" s="536">
        <f>G93</f>
        <v>144</v>
      </c>
      <c r="I93" s="556"/>
      <c r="J93" s="629">
        <f>H93/DAY(B2)</f>
        <v>144</v>
      </c>
      <c r="K93" s="411"/>
      <c r="L93" s="408"/>
      <c r="N93" s="413"/>
      <c r="O93" s="413"/>
    </row>
    <row r="94" spans="1:15">
      <c r="A94" s="1427" t="s">
        <v>208</v>
      </c>
      <c r="B94" s="1428"/>
      <c r="C94" s="1429"/>
      <c r="D94" s="599"/>
      <c r="E94" s="820"/>
      <c r="F94" s="560"/>
      <c r="G94" s="549">
        <f>G92+G93</f>
        <v>266</v>
      </c>
      <c r="H94" s="536"/>
      <c r="I94" s="556"/>
      <c r="J94" s="629"/>
      <c r="K94" s="411"/>
      <c r="L94" s="408"/>
      <c r="N94" s="413"/>
      <c r="O94" s="413"/>
    </row>
    <row r="95" spans="1:15" ht="27.75">
      <c r="A95" s="1433" t="s">
        <v>209</v>
      </c>
      <c r="B95" s="1434"/>
      <c r="C95" s="1435"/>
      <c r="D95" s="599" t="s">
        <v>144</v>
      </c>
      <c r="E95" s="820">
        <v>408156</v>
      </c>
      <c r="F95" s="560">
        <v>408232</v>
      </c>
      <c r="G95" s="549">
        <f t="shared" ref="G95:G100" si="17">F95-E95</f>
        <v>76</v>
      </c>
      <c r="H95" s="536">
        <f t="shared" ref="H95:H101" si="18">G95</f>
        <v>76</v>
      </c>
      <c r="I95" s="556"/>
      <c r="J95" s="629">
        <f>H95/DAY(B2)</f>
        <v>76</v>
      </c>
      <c r="K95" s="411"/>
      <c r="L95" s="408"/>
      <c r="N95" s="413"/>
      <c r="O95" s="413"/>
    </row>
    <row r="96" spans="1:15" ht="27.75">
      <c r="A96" s="1395" t="s">
        <v>210</v>
      </c>
      <c r="B96" s="1396"/>
      <c r="C96" s="1396"/>
      <c r="D96" s="599" t="s">
        <v>144</v>
      </c>
      <c r="E96" s="820">
        <v>101332</v>
      </c>
      <c r="F96" s="560">
        <v>101345</v>
      </c>
      <c r="G96" s="549">
        <f t="shared" si="17"/>
        <v>13</v>
      </c>
      <c r="H96" s="536">
        <f t="shared" si="18"/>
        <v>13</v>
      </c>
      <c r="I96" s="556"/>
      <c r="J96" s="629">
        <f>H96/DAY(B2)</f>
        <v>13</v>
      </c>
      <c r="K96" s="466"/>
      <c r="L96" s="408"/>
      <c r="N96" s="413"/>
      <c r="O96" s="413"/>
    </row>
    <row r="97" spans="1:15" ht="27.75">
      <c r="A97" s="1395" t="s">
        <v>211</v>
      </c>
      <c r="B97" s="1396"/>
      <c r="C97" s="1396"/>
      <c r="D97" s="599" t="s">
        <v>144</v>
      </c>
      <c r="E97" s="820">
        <v>96449</v>
      </c>
      <c r="F97" s="560">
        <v>96473</v>
      </c>
      <c r="G97" s="549">
        <f t="shared" si="17"/>
        <v>24</v>
      </c>
      <c r="H97" s="536">
        <f t="shared" si="18"/>
        <v>24</v>
      </c>
      <c r="I97" s="556"/>
      <c r="J97" s="629">
        <f>H97/DAY(B2)</f>
        <v>24</v>
      </c>
      <c r="K97" s="471"/>
      <c r="L97" s="408"/>
      <c r="N97" s="413"/>
      <c r="O97" s="413"/>
    </row>
    <row r="98" spans="1:15" ht="27.75">
      <c r="A98" s="1395" t="s">
        <v>212</v>
      </c>
      <c r="B98" s="1396"/>
      <c r="C98" s="1396"/>
      <c r="D98" s="599" t="s">
        <v>144</v>
      </c>
      <c r="E98" s="820">
        <v>147608</v>
      </c>
      <c r="F98" s="560">
        <v>147678</v>
      </c>
      <c r="G98" s="549">
        <f t="shared" si="17"/>
        <v>70</v>
      </c>
      <c r="H98" s="536">
        <f t="shared" si="18"/>
        <v>70</v>
      </c>
      <c r="I98" s="556"/>
      <c r="J98" s="629">
        <f>H98/DAY(B2)</f>
        <v>70</v>
      </c>
      <c r="K98" s="411"/>
      <c r="L98" s="408"/>
      <c r="N98" s="413"/>
      <c r="O98" s="413"/>
    </row>
    <row r="99" spans="1:15" ht="27.75">
      <c r="A99" s="1395" t="s">
        <v>213</v>
      </c>
      <c r="B99" s="1396"/>
      <c r="C99" s="1396"/>
      <c r="D99" s="599" t="s">
        <v>144</v>
      </c>
      <c r="E99" s="820">
        <v>6408</v>
      </c>
      <c r="F99" s="560">
        <v>6425</v>
      </c>
      <c r="G99" s="549">
        <f t="shared" si="17"/>
        <v>17</v>
      </c>
      <c r="H99" s="536">
        <f t="shared" si="18"/>
        <v>17</v>
      </c>
      <c r="I99" s="556"/>
      <c r="J99" s="629">
        <f>H99/DAY(B2)</f>
        <v>17</v>
      </c>
      <c r="K99" s="411"/>
      <c r="L99" s="408"/>
      <c r="N99" s="413"/>
      <c r="O99" s="413"/>
    </row>
    <row r="100" spans="1:15" ht="27.75">
      <c r="A100" s="1395" t="s">
        <v>214</v>
      </c>
      <c r="B100" s="1396"/>
      <c r="C100" s="1396"/>
      <c r="D100" s="599" t="s">
        <v>144</v>
      </c>
      <c r="E100" s="820">
        <v>4543</v>
      </c>
      <c r="F100" s="560">
        <v>4557</v>
      </c>
      <c r="G100" s="549">
        <f t="shared" si="17"/>
        <v>14</v>
      </c>
      <c r="H100" s="536">
        <f t="shared" si="18"/>
        <v>14</v>
      </c>
      <c r="I100" s="556" t="s">
        <v>215</v>
      </c>
      <c r="J100" s="629">
        <f>H100/DAY(B2)</f>
        <v>14</v>
      </c>
      <c r="K100" s="411"/>
      <c r="L100" s="408"/>
      <c r="N100" s="413"/>
      <c r="O100" s="413"/>
    </row>
    <row r="101" spans="1:15">
      <c r="A101" s="1427" t="s">
        <v>216</v>
      </c>
      <c r="B101" s="1428"/>
      <c r="C101" s="1429"/>
      <c r="D101" s="600"/>
      <c r="E101" s="562"/>
      <c r="F101" s="600"/>
      <c r="G101" s="601">
        <f>SUM(G95:G100)</f>
        <v>214</v>
      </c>
      <c r="H101" s="536">
        <f t="shared" si="18"/>
        <v>214</v>
      </c>
      <c r="I101" s="602"/>
      <c r="J101" s="629">
        <f>H101/DAY(B2)</f>
        <v>214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833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6" t="s">
        <v>218</v>
      </c>
      <c r="B103" s="1437"/>
      <c r="C103" s="650"/>
      <c r="D103" s="699"/>
      <c r="E103" s="834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38" t="s">
        <v>219</v>
      </c>
      <c r="B104" s="1439"/>
      <c r="C104" s="1393"/>
      <c r="D104" s="699" t="s">
        <v>144</v>
      </c>
      <c r="E104" s="834">
        <v>7128</v>
      </c>
      <c r="F104" s="608">
        <v>7128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438" t="s">
        <v>77</v>
      </c>
      <c r="B105" s="1439"/>
      <c r="C105" s="1393"/>
      <c r="D105" s="699" t="s">
        <v>144</v>
      </c>
      <c r="E105" s="741">
        <v>35407</v>
      </c>
      <c r="F105" s="610">
        <v>35416</v>
      </c>
      <c r="G105" s="608">
        <f t="shared" ref="G105:G106" si="19">F105-E105</f>
        <v>9</v>
      </c>
      <c r="H105" s="609">
        <f t="shared" ref="H105:H120" si="20">G105</f>
        <v>9</v>
      </c>
      <c r="I105" s="608"/>
      <c r="J105" s="635">
        <f>H105/DAY(B2)</f>
        <v>9</v>
      </c>
      <c r="N105" s="493"/>
      <c r="O105" s="413"/>
    </row>
    <row r="106" spans="1:15" s="481" customFormat="1" ht="27.75">
      <c r="A106" s="1438" t="s">
        <v>78</v>
      </c>
      <c r="B106" s="1440"/>
      <c r="C106" s="1439"/>
      <c r="D106" s="699" t="s">
        <v>144</v>
      </c>
      <c r="E106" s="741">
        <v>19247</v>
      </c>
      <c r="F106" s="608">
        <v>19252</v>
      </c>
      <c r="G106" s="608">
        <f t="shared" si="19"/>
        <v>5</v>
      </c>
      <c r="H106" s="609">
        <f t="shared" si="20"/>
        <v>5</v>
      </c>
      <c r="I106" s="608"/>
      <c r="J106" s="635">
        <f>G109/DAY(B2)</f>
        <v>82</v>
      </c>
      <c r="N106" s="493"/>
      <c r="O106" s="413"/>
    </row>
    <row r="107" spans="1:15" s="481" customFormat="1" ht="27.75">
      <c r="A107" s="1441" t="s">
        <v>202</v>
      </c>
      <c r="B107" s="1442"/>
      <c r="C107" s="1393"/>
      <c r="D107" s="699"/>
      <c r="E107" s="741"/>
      <c r="F107" s="608"/>
      <c r="G107" s="608">
        <f>SUM(G104:G106)</f>
        <v>14</v>
      </c>
      <c r="H107" s="609">
        <f t="shared" si="20"/>
        <v>14</v>
      </c>
      <c r="I107" s="608"/>
      <c r="J107" s="635">
        <f>H107/DAY(B2)</f>
        <v>14</v>
      </c>
      <c r="N107" s="493"/>
      <c r="O107" s="413"/>
    </row>
    <row r="108" spans="1:15" s="481" customFormat="1" ht="27.75">
      <c r="A108" s="1443" t="s">
        <v>79</v>
      </c>
      <c r="B108" s="1444"/>
      <c r="C108" s="1393"/>
      <c r="D108" s="699" t="s">
        <v>144</v>
      </c>
      <c r="E108" s="741"/>
      <c r="F108" s="608"/>
      <c r="G108" s="608"/>
      <c r="H108" s="609">
        <f t="shared" si="20"/>
        <v>0</v>
      </c>
      <c r="I108" s="608"/>
      <c r="J108" s="635"/>
      <c r="N108" s="493"/>
      <c r="O108" s="413"/>
    </row>
    <row r="109" spans="1:15" s="481" customFormat="1" ht="27.75">
      <c r="A109" s="1438" t="s">
        <v>220</v>
      </c>
      <c r="B109" s="1439"/>
      <c r="C109" s="1393"/>
      <c r="D109" s="699" t="s">
        <v>144</v>
      </c>
      <c r="E109" s="741">
        <v>56353</v>
      </c>
      <c r="F109" s="608">
        <v>56435</v>
      </c>
      <c r="G109" s="608">
        <f>F109-E109</f>
        <v>82</v>
      </c>
      <c r="H109" s="609">
        <f t="shared" si="20"/>
        <v>82</v>
      </c>
      <c r="I109" s="608"/>
      <c r="J109" s="635">
        <f>H109/DAY(B2)</f>
        <v>82</v>
      </c>
      <c r="N109" s="493"/>
      <c r="O109" s="413"/>
    </row>
    <row r="110" spans="1:15" s="481" customFormat="1" ht="27.75">
      <c r="A110" s="1438" t="s">
        <v>221</v>
      </c>
      <c r="B110" s="1439"/>
      <c r="C110" s="1393"/>
      <c r="D110" s="699" t="s">
        <v>144</v>
      </c>
      <c r="E110" s="741">
        <v>30527</v>
      </c>
      <c r="F110" s="608">
        <v>30593</v>
      </c>
      <c r="G110" s="608">
        <f>F110-E110</f>
        <v>66</v>
      </c>
      <c r="H110" s="609">
        <f t="shared" si="20"/>
        <v>66</v>
      </c>
      <c r="I110" s="608"/>
      <c r="J110" s="635">
        <f>H110/DAY(B2)</f>
        <v>66</v>
      </c>
      <c r="N110" s="493"/>
      <c r="O110" s="413"/>
    </row>
    <row r="111" spans="1:15" s="481" customFormat="1" ht="27.75">
      <c r="A111" s="1438" t="s">
        <v>222</v>
      </c>
      <c r="B111" s="1439"/>
      <c r="C111" s="1393"/>
      <c r="D111" s="699" t="s">
        <v>144</v>
      </c>
      <c r="E111" s="741">
        <v>3980</v>
      </c>
      <c r="F111" s="608">
        <v>3987</v>
      </c>
      <c r="G111" s="608">
        <f>F111-E111</f>
        <v>7</v>
      </c>
      <c r="H111" s="609">
        <f t="shared" si="20"/>
        <v>7</v>
      </c>
      <c r="I111" s="608"/>
      <c r="J111" s="635">
        <f>H111/DAY(B2)</f>
        <v>7</v>
      </c>
      <c r="N111" s="493"/>
      <c r="O111" s="413"/>
    </row>
    <row r="112" spans="1:15" s="481" customFormat="1" ht="27.75">
      <c r="A112" s="1470" t="s">
        <v>110</v>
      </c>
      <c r="B112" s="1471"/>
      <c r="C112" s="1393"/>
      <c r="D112" s="699"/>
      <c r="E112" s="741"/>
      <c r="F112" s="608"/>
      <c r="G112" s="608">
        <f>SUM(G109:G111)</f>
        <v>155</v>
      </c>
      <c r="H112" s="609">
        <f t="shared" si="20"/>
        <v>155</v>
      </c>
      <c r="I112" s="608"/>
      <c r="J112" s="635">
        <f>H112/DAY(B2)</f>
        <v>155</v>
      </c>
      <c r="N112" s="493"/>
      <c r="O112" s="413"/>
    </row>
    <row r="113" spans="1:15" s="481" customFormat="1" ht="27.75">
      <c r="A113" s="1443" t="s">
        <v>223</v>
      </c>
      <c r="B113" s="1444"/>
      <c r="C113" s="1393"/>
      <c r="D113" s="699"/>
      <c r="E113" s="741"/>
      <c r="F113" s="608"/>
      <c r="G113" s="608"/>
      <c r="H113" s="609">
        <f t="shared" si="20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438" t="s">
        <v>224</v>
      </c>
      <c r="B114" s="1439"/>
      <c r="C114" s="651"/>
      <c r="D114" s="699" t="s">
        <v>144</v>
      </c>
      <c r="E114" s="741">
        <v>10322</v>
      </c>
      <c r="F114" s="610">
        <v>10341</v>
      </c>
      <c r="G114" s="610">
        <f>F114-E114</f>
        <v>19</v>
      </c>
      <c r="H114" s="609">
        <f t="shared" si="20"/>
        <v>19</v>
      </c>
      <c r="I114" s="608"/>
      <c r="J114" s="635">
        <f>H114/DAY(B2)</f>
        <v>19</v>
      </c>
      <c r="N114" s="493"/>
      <c r="O114" s="413"/>
    </row>
    <row r="115" spans="1:15" s="481" customFormat="1" ht="27.75">
      <c r="A115" s="1438" t="s">
        <v>225</v>
      </c>
      <c r="B115" s="1439"/>
      <c r="C115" s="651"/>
      <c r="D115" s="699" t="s">
        <v>144</v>
      </c>
      <c r="E115" s="741">
        <v>7667</v>
      </c>
      <c r="F115" s="610">
        <v>7680</v>
      </c>
      <c r="G115" s="610">
        <f t="shared" ref="G115:G116" si="21">F115-E115</f>
        <v>13</v>
      </c>
      <c r="H115" s="609">
        <f t="shared" si="20"/>
        <v>13</v>
      </c>
      <c r="I115" s="608"/>
      <c r="J115" s="635">
        <f>H115/DAY(B2)</f>
        <v>13</v>
      </c>
      <c r="N115" s="493"/>
      <c r="O115" s="413"/>
    </row>
    <row r="116" spans="1:15" s="481" customFormat="1" ht="27.75">
      <c r="A116" s="1438" t="s">
        <v>226</v>
      </c>
      <c r="B116" s="1439"/>
      <c r="C116" s="651"/>
      <c r="D116" s="699" t="s">
        <v>144</v>
      </c>
      <c r="E116" s="741"/>
      <c r="F116" s="610"/>
      <c r="G116" s="610">
        <f t="shared" si="21"/>
        <v>0</v>
      </c>
      <c r="H116" s="609">
        <f t="shared" si="20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441" t="s">
        <v>202</v>
      </c>
      <c r="B117" s="1442"/>
      <c r="C117" s="651"/>
      <c r="D117" s="700"/>
      <c r="E117" s="741"/>
      <c r="F117" s="610"/>
      <c r="G117" s="610">
        <f>SUM(G114:G116)</f>
        <v>32</v>
      </c>
      <c r="H117" s="609">
        <f t="shared" si="20"/>
        <v>32</v>
      </c>
      <c r="I117" s="610"/>
      <c r="J117" s="635">
        <f>H117/DAY(B2)</f>
        <v>32</v>
      </c>
      <c r="N117" s="522"/>
      <c r="O117" s="413"/>
    </row>
    <row r="118" spans="1:15" s="495" customFormat="1" ht="27.75">
      <c r="A118" s="1472" t="s">
        <v>227</v>
      </c>
      <c r="B118" s="1473"/>
      <c r="C118" s="1392"/>
      <c r="D118" s="701" t="s">
        <v>144</v>
      </c>
      <c r="E118" s="741">
        <f>SUM(F19+F92)</f>
        <v>374333</v>
      </c>
      <c r="F118" s="612">
        <f>SUM(G19+G92)</f>
        <v>170</v>
      </c>
      <c r="G118" s="612">
        <f>SUM(G19+G92)</f>
        <v>170</v>
      </c>
      <c r="H118" s="609">
        <f t="shared" si="20"/>
        <v>170</v>
      </c>
      <c r="I118" s="611"/>
      <c r="J118" s="636">
        <f>H118/DAY(B2)</f>
        <v>170</v>
      </c>
      <c r="N118" s="861"/>
      <c r="O118" s="413"/>
    </row>
    <row r="119" spans="1:15" s="495" customFormat="1" ht="27.75">
      <c r="A119" s="1472" t="s">
        <v>228</v>
      </c>
      <c r="B119" s="1473"/>
      <c r="C119" s="1392"/>
      <c r="D119" s="701" t="s">
        <v>144</v>
      </c>
      <c r="E119" s="741">
        <f>SUM(F95,F96,F97,F99,F100)</f>
        <v>617032</v>
      </c>
      <c r="F119" s="612">
        <f>SUM(G95,G96,G97,G99,G100)</f>
        <v>144</v>
      </c>
      <c r="G119" s="612">
        <f>SUM(G95,G96,G97,G99,G100)</f>
        <v>144</v>
      </c>
      <c r="H119" s="609">
        <f t="shared" si="20"/>
        <v>144</v>
      </c>
      <c r="I119" s="611"/>
      <c r="J119" s="636">
        <f>H119/DAY(B2)</f>
        <v>144</v>
      </c>
      <c r="N119" s="861"/>
      <c r="O119" s="413"/>
    </row>
    <row r="120" spans="1:15" s="495" customFormat="1" ht="27.75">
      <c r="A120" s="1472" t="s">
        <v>229</v>
      </c>
      <c r="B120" s="1473"/>
      <c r="C120" s="1392"/>
      <c r="D120" s="701" t="s">
        <v>144</v>
      </c>
      <c r="E120" s="741">
        <f>SUM(F112)</f>
        <v>0</v>
      </c>
      <c r="F120" s="610">
        <f>SUM(G112)</f>
        <v>155</v>
      </c>
      <c r="G120" s="610">
        <f>SUM(G112)</f>
        <v>155</v>
      </c>
      <c r="H120" s="609">
        <f t="shared" si="20"/>
        <v>155</v>
      </c>
      <c r="I120" s="611"/>
      <c r="J120" s="636">
        <f>H120/DAY(B2)</f>
        <v>155</v>
      </c>
      <c r="N120" s="861"/>
      <c r="O120" s="413"/>
    </row>
    <row r="121" spans="1:15" s="481" customFormat="1" ht="27.75">
      <c r="A121" s="1474"/>
      <c r="B121" s="1475"/>
      <c r="C121" s="1393"/>
      <c r="D121" s="637"/>
      <c r="E121" s="835" t="s">
        <v>215</v>
      </c>
      <c r="F121" s="637" t="s">
        <v>215</v>
      </c>
      <c r="G121" s="637"/>
      <c r="H121" s="638"/>
      <c r="I121" s="637"/>
      <c r="J121" s="639"/>
      <c r="N121" s="493"/>
      <c r="O121" s="413"/>
    </row>
    <row r="122" spans="1:15">
      <c r="A122" s="1424" t="s">
        <v>230</v>
      </c>
      <c r="B122" s="1425"/>
      <c r="C122" s="1426"/>
      <c r="D122" s="548"/>
      <c r="E122" s="821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395" t="s">
        <v>231</v>
      </c>
      <c r="B123" s="1396"/>
      <c r="C123" s="1396"/>
      <c r="D123" s="599" t="s">
        <v>141</v>
      </c>
      <c r="E123" s="820">
        <v>811006.84</v>
      </c>
      <c r="F123" s="554">
        <v>811273.1</v>
      </c>
      <c r="G123" s="549">
        <f>F123-E123</f>
        <v>266.26000000000931</v>
      </c>
      <c r="H123" s="536">
        <f>G123</f>
        <v>266.26000000000931</v>
      </c>
      <c r="I123" s="602"/>
      <c r="J123" s="629">
        <f>H123/DAY(B2)</f>
        <v>266.26000000000931</v>
      </c>
      <c r="K123" s="411"/>
      <c r="L123" s="408"/>
      <c r="N123" s="413"/>
      <c r="O123" s="413"/>
    </row>
    <row r="124" spans="1:15" ht="27.75">
      <c r="A124" s="1395" t="s">
        <v>232</v>
      </c>
      <c r="B124" s="1396"/>
      <c r="C124" s="1396"/>
      <c r="D124" s="599" t="s">
        <v>141</v>
      </c>
      <c r="E124" s="836">
        <v>73583.399999999994</v>
      </c>
      <c r="F124" s="561">
        <v>73583.399999999994</v>
      </c>
      <c r="G124" s="549">
        <f t="shared" ref="G124:G127" si="22">F124-E124</f>
        <v>0</v>
      </c>
      <c r="H124" s="536">
        <f t="shared" ref="H124:H128" si="23">G124</f>
        <v>0</v>
      </c>
      <c r="I124" s="602"/>
      <c r="J124" s="629">
        <f>H124/DAY(B2)</f>
        <v>0</v>
      </c>
      <c r="K124" s="411"/>
      <c r="L124" s="408"/>
      <c r="N124" s="413"/>
      <c r="O124" s="413"/>
    </row>
    <row r="125" spans="1:15" ht="27.75">
      <c r="A125" s="1430" t="s">
        <v>233</v>
      </c>
      <c r="B125" s="1431"/>
      <c r="C125" s="1432"/>
      <c r="D125" s="599" t="s">
        <v>141</v>
      </c>
      <c r="E125" s="820">
        <v>139979.34</v>
      </c>
      <c r="F125" s="561">
        <v>140043.29</v>
      </c>
      <c r="G125" s="549">
        <f t="shared" si="22"/>
        <v>63.950000000011642</v>
      </c>
      <c r="H125" s="536">
        <f t="shared" si="23"/>
        <v>63.950000000011642</v>
      </c>
      <c r="I125" s="602"/>
      <c r="J125" s="629">
        <f>H125/DAY(B2)</f>
        <v>63.950000000011642</v>
      </c>
      <c r="K125" s="411"/>
      <c r="L125" s="408"/>
      <c r="N125" s="413"/>
      <c r="O125" s="413"/>
    </row>
    <row r="126" spans="1:15" ht="27.75">
      <c r="A126" s="686" t="s">
        <v>234</v>
      </c>
      <c r="B126" s="1396"/>
      <c r="C126" s="1396"/>
      <c r="D126" s="599" t="s">
        <v>141</v>
      </c>
      <c r="E126" s="836">
        <v>59306.9</v>
      </c>
      <c r="F126" s="561">
        <v>59332</v>
      </c>
      <c r="G126" s="549">
        <f t="shared" si="22"/>
        <v>25.099999999998545</v>
      </c>
      <c r="H126" s="536">
        <f t="shared" si="23"/>
        <v>25.099999999998545</v>
      </c>
      <c r="I126" s="602"/>
      <c r="J126" s="629">
        <f>H126/DAY(B2)</f>
        <v>25.099999999998545</v>
      </c>
      <c r="K126" s="411"/>
      <c r="L126" s="408"/>
      <c r="N126" s="413"/>
      <c r="O126" s="413"/>
    </row>
    <row r="127" spans="1:15" ht="27.75">
      <c r="A127" s="686" t="s">
        <v>235</v>
      </c>
      <c r="B127" s="1396"/>
      <c r="C127" s="1396"/>
      <c r="D127" s="599" t="s">
        <v>141</v>
      </c>
      <c r="E127" s="836">
        <v>8887.7999999999993</v>
      </c>
      <c r="F127" s="561">
        <v>8889.9</v>
      </c>
      <c r="G127" s="549">
        <f t="shared" si="22"/>
        <v>2.1000000000003638</v>
      </c>
      <c r="H127" s="536">
        <f t="shared" si="23"/>
        <v>2.1000000000003638</v>
      </c>
      <c r="I127" s="556"/>
      <c r="J127" s="629">
        <f>H127/DAY(B2)</f>
        <v>2.1000000000003638</v>
      </c>
      <c r="K127" s="411"/>
      <c r="L127" s="408"/>
      <c r="N127" s="413"/>
      <c r="O127" s="413"/>
    </row>
    <row r="128" spans="1:15" s="281" customFormat="1" ht="27.75">
      <c r="A128" s="686" t="s">
        <v>236</v>
      </c>
      <c r="B128" s="1396"/>
      <c r="C128" s="1396"/>
      <c r="D128" s="599"/>
      <c r="E128" s="820"/>
      <c r="F128" s="554"/>
      <c r="G128" s="549">
        <f>G15-SUM(G123:G127)</f>
        <v>523.22199999996337</v>
      </c>
      <c r="H128" s="536">
        <f t="shared" si="23"/>
        <v>523.22199999996337</v>
      </c>
      <c r="I128" s="556"/>
      <c r="J128" s="629">
        <f>H128/DAY(B2)</f>
        <v>523.22199999996337</v>
      </c>
      <c r="K128" s="391"/>
      <c r="L128" s="293"/>
      <c r="N128" s="395"/>
      <c r="O128" s="413"/>
    </row>
    <row r="129" spans="1:15">
      <c r="A129" s="687" t="s">
        <v>237</v>
      </c>
      <c r="B129" s="534"/>
      <c r="C129" s="534"/>
      <c r="D129" s="547"/>
      <c r="E129" s="571"/>
      <c r="F129" s="547"/>
      <c r="G129" s="617"/>
      <c r="H129" s="617"/>
      <c r="I129" s="617"/>
      <c r="J129" s="641"/>
      <c r="N129" s="413"/>
      <c r="O129" s="413"/>
    </row>
    <row r="130" spans="1:15" ht="27.75">
      <c r="A130" s="1395" t="s">
        <v>238</v>
      </c>
      <c r="B130" s="1396"/>
      <c r="C130" s="1396"/>
      <c r="D130" s="599" t="s">
        <v>239</v>
      </c>
      <c r="E130" s="820">
        <v>0</v>
      </c>
      <c r="F130" s="560">
        <v>0</v>
      </c>
      <c r="G130" s="549">
        <f t="shared" ref="G130:G140" si="24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395" t="s">
        <v>240</v>
      </c>
      <c r="B131" s="1396"/>
      <c r="C131" s="1396"/>
      <c r="D131" s="599" t="s">
        <v>239</v>
      </c>
      <c r="E131" s="820">
        <v>0</v>
      </c>
      <c r="F131" s="560">
        <v>0</v>
      </c>
      <c r="G131" s="549">
        <f t="shared" si="24"/>
        <v>0</v>
      </c>
      <c r="H131" s="536">
        <f t="shared" ref="H131:H140" si="25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395" t="s">
        <v>241</v>
      </c>
      <c r="B132" s="1396"/>
      <c r="C132" s="1396"/>
      <c r="D132" s="599" t="s">
        <v>239</v>
      </c>
      <c r="E132" s="836">
        <v>38829</v>
      </c>
      <c r="F132" s="618">
        <v>38829</v>
      </c>
      <c r="G132" s="549">
        <f t="shared" si="24"/>
        <v>0</v>
      </c>
      <c r="H132" s="536">
        <f t="shared" si="25"/>
        <v>0</v>
      </c>
      <c r="I132" s="556"/>
      <c r="J132" s="629">
        <f>H132/DAY(B2)</f>
        <v>0</v>
      </c>
      <c r="N132" s="413"/>
      <c r="O132" s="413"/>
    </row>
    <row r="133" spans="1:15" s="858" customFormat="1" ht="27.75">
      <c r="A133" s="875" t="s">
        <v>242</v>
      </c>
      <c r="B133" s="1327"/>
      <c r="C133" s="1327"/>
      <c r="D133" s="600" t="s">
        <v>239</v>
      </c>
      <c r="E133" s="836">
        <v>300</v>
      </c>
      <c r="F133" s="598">
        <v>300</v>
      </c>
      <c r="G133" s="549">
        <f t="shared" si="24"/>
        <v>0</v>
      </c>
      <c r="H133" s="562">
        <f t="shared" si="25"/>
        <v>0</v>
      </c>
      <c r="I133" s="1328"/>
      <c r="J133" s="630">
        <f>H133/DAY(B2)</f>
        <v>0</v>
      </c>
      <c r="N133" s="803"/>
      <c r="O133" s="413"/>
    </row>
    <row r="134" spans="1:15" ht="27.75">
      <c r="A134" s="1395" t="s">
        <v>243</v>
      </c>
      <c r="B134" s="1396"/>
      <c r="C134" s="1396"/>
      <c r="D134" s="599" t="s">
        <v>239</v>
      </c>
      <c r="E134" s="836">
        <v>40367.14</v>
      </c>
      <c r="F134" s="618">
        <v>40391.14</v>
      </c>
      <c r="G134" s="549">
        <f t="shared" si="24"/>
        <v>24</v>
      </c>
      <c r="H134" s="536">
        <f t="shared" si="25"/>
        <v>24</v>
      </c>
      <c r="I134" s="556"/>
      <c r="J134" s="629">
        <f>H134/DAY(B2)</f>
        <v>24</v>
      </c>
      <c r="N134" s="413"/>
      <c r="O134" s="413"/>
    </row>
    <row r="135" spans="1:15" ht="27.75">
      <c r="A135" s="1395" t="s">
        <v>244</v>
      </c>
      <c r="B135" s="1396"/>
      <c r="C135" s="1396"/>
      <c r="D135" s="599" t="s">
        <v>239</v>
      </c>
      <c r="E135" s="827">
        <v>32571</v>
      </c>
      <c r="F135" s="618">
        <v>32574.44</v>
      </c>
      <c r="G135" s="549">
        <f t="shared" si="24"/>
        <v>3.4399999999986903</v>
      </c>
      <c r="H135" s="536">
        <f t="shared" si="25"/>
        <v>3.4399999999986903</v>
      </c>
      <c r="I135" s="556">
        <f>G132+G133+G134+G135</f>
        <v>27.43999999999869</v>
      </c>
      <c r="J135" s="629">
        <f>H135/DAY(B2)</f>
        <v>3.4399999999986903</v>
      </c>
      <c r="N135" s="413"/>
      <c r="O135" s="413"/>
    </row>
    <row r="136" spans="1:15" ht="27.75">
      <c r="A136" s="1395" t="s">
        <v>245</v>
      </c>
      <c r="B136" s="1396"/>
      <c r="C136" s="1396"/>
      <c r="D136" s="599" t="s">
        <v>239</v>
      </c>
      <c r="E136" s="827">
        <v>22222.21</v>
      </c>
      <c r="F136" s="618">
        <v>22230.98</v>
      </c>
      <c r="G136" s="549">
        <f t="shared" si="24"/>
        <v>8.7700000000004366</v>
      </c>
      <c r="H136" s="536">
        <f t="shared" si="25"/>
        <v>8.7700000000004366</v>
      </c>
      <c r="I136" s="556"/>
      <c r="J136" s="629">
        <f>H136/DAY(B2)</f>
        <v>8.7700000000004366</v>
      </c>
      <c r="N136" s="413"/>
      <c r="O136" s="413"/>
    </row>
    <row r="137" spans="1:15" ht="27.75">
      <c r="A137" s="1395" t="s">
        <v>246</v>
      </c>
      <c r="B137" s="1396"/>
      <c r="C137" s="1396"/>
      <c r="D137" s="599" t="s">
        <v>239</v>
      </c>
      <c r="E137" s="827">
        <v>25044.31</v>
      </c>
      <c r="F137" s="618">
        <v>25044.31</v>
      </c>
      <c r="G137" s="549">
        <f t="shared" si="24"/>
        <v>0</v>
      </c>
      <c r="H137" s="536">
        <f t="shared" si="25"/>
        <v>0</v>
      </c>
      <c r="I137" s="556"/>
      <c r="J137" s="629">
        <f>H137/DAY(B2)</f>
        <v>0</v>
      </c>
      <c r="N137" s="413"/>
      <c r="O137" s="413"/>
    </row>
    <row r="138" spans="1:15" ht="27.75">
      <c r="A138" s="1395" t="s">
        <v>247</v>
      </c>
      <c r="B138" s="1396"/>
      <c r="C138" s="1396"/>
      <c r="D138" s="599" t="s">
        <v>239</v>
      </c>
      <c r="E138" s="827">
        <v>70147.34</v>
      </c>
      <c r="F138" s="618">
        <v>70152.710000000006</v>
      </c>
      <c r="G138" s="549">
        <f t="shared" si="24"/>
        <v>5.3700000000098953</v>
      </c>
      <c r="H138" s="536">
        <f t="shared" si="25"/>
        <v>5.3700000000098953</v>
      </c>
      <c r="I138" s="556">
        <f>G136+G137+G138</f>
        <v>14.140000000010332</v>
      </c>
      <c r="J138" s="629">
        <f>H138/DAY(B2)</f>
        <v>5.3700000000098953</v>
      </c>
      <c r="N138" s="413"/>
      <c r="O138" s="413"/>
    </row>
    <row r="139" spans="1:15" ht="27.75">
      <c r="A139" s="1395" t="s">
        <v>248</v>
      </c>
      <c r="B139" s="1396"/>
      <c r="C139" s="1396"/>
      <c r="D139" s="599" t="s">
        <v>239</v>
      </c>
      <c r="E139" s="836">
        <v>1423.14</v>
      </c>
      <c r="F139" s="560">
        <v>1430.85</v>
      </c>
      <c r="G139" s="549">
        <f t="shared" si="24"/>
        <v>7.709999999999809</v>
      </c>
      <c r="H139" s="536">
        <f t="shared" si="25"/>
        <v>7.709999999999809</v>
      </c>
      <c r="I139" s="619"/>
      <c r="J139" s="629">
        <f>H139/DAY(B2)</f>
        <v>7.709999999999809</v>
      </c>
      <c r="N139" s="413"/>
      <c r="O139" s="413"/>
    </row>
    <row r="140" spans="1:15" ht="27.75">
      <c r="A140" s="1395" t="s">
        <v>249</v>
      </c>
      <c r="B140" s="1396"/>
      <c r="C140" s="1396"/>
      <c r="D140" s="599" t="s">
        <v>239</v>
      </c>
      <c r="E140" s="820">
        <v>4334</v>
      </c>
      <c r="F140" s="560">
        <v>4333.53</v>
      </c>
      <c r="G140" s="549">
        <f t="shared" si="24"/>
        <v>-0.47000000000025466</v>
      </c>
      <c r="H140" s="536">
        <f t="shared" si="25"/>
        <v>-0.47000000000025466</v>
      </c>
      <c r="I140" s="619">
        <f>G139+G140</f>
        <v>7.2399999999995543</v>
      </c>
      <c r="J140" s="629">
        <f>H140/DAY(B2)</f>
        <v>-0.47000000000025466</v>
      </c>
      <c r="N140" s="413"/>
      <c r="O140" s="413"/>
    </row>
    <row r="141" spans="1:15">
      <c r="A141" s="1468" t="s">
        <v>250</v>
      </c>
      <c r="B141" s="1469"/>
      <c r="C141" s="1401"/>
      <c r="D141" s="548"/>
      <c r="E141" s="821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33" t="s">
        <v>251</v>
      </c>
      <c r="B142" s="1434"/>
      <c r="C142" s="1435"/>
      <c r="D142" s="599" t="s">
        <v>132</v>
      </c>
      <c r="E142" s="536"/>
      <c r="F142" s="599"/>
      <c r="G142" s="536">
        <f>G35+G43+G49+G57</f>
        <v>5648.4799999999814</v>
      </c>
      <c r="H142" s="536">
        <f>G142</f>
        <v>5648.4799999999814</v>
      </c>
      <c r="I142" s="556"/>
      <c r="J142" s="629">
        <f>H142/DAY(B2)</f>
        <v>5648.4799999999814</v>
      </c>
      <c r="K142" s="411"/>
      <c r="L142" s="408"/>
      <c r="N142" s="413"/>
      <c r="O142" s="413"/>
    </row>
    <row r="143" spans="1:15" ht="27.75">
      <c r="A143" s="1433" t="s">
        <v>252</v>
      </c>
      <c r="B143" s="1434"/>
      <c r="C143" s="1435"/>
      <c r="D143" s="599" t="s">
        <v>24</v>
      </c>
      <c r="E143" s="546"/>
      <c r="F143" s="587"/>
      <c r="G143" s="620">
        <f>G142/G7</f>
        <v>0.2521980622404778</v>
      </c>
      <c r="H143" s="536">
        <f t="shared" ref="H143:H153" si="26">G143</f>
        <v>0.2521980622404778</v>
      </c>
      <c r="I143" s="621"/>
      <c r="J143" s="629">
        <f>H143/DAY(B2)</f>
        <v>0.2521980622404778</v>
      </c>
      <c r="K143" s="411"/>
      <c r="L143" s="408"/>
      <c r="N143" s="413"/>
      <c r="O143" s="413"/>
    </row>
    <row r="144" spans="1:15" ht="27.75">
      <c r="A144" s="1433" t="s">
        <v>253</v>
      </c>
      <c r="B144" s="1434"/>
      <c r="C144" s="1435"/>
      <c r="D144" s="599" t="s">
        <v>132</v>
      </c>
      <c r="E144" s="536"/>
      <c r="F144" s="531"/>
      <c r="G144" s="536">
        <f>G41+G42+G55+G56</f>
        <v>5749.6500000000087</v>
      </c>
      <c r="H144" s="536">
        <f t="shared" si="26"/>
        <v>5749.6500000000087</v>
      </c>
      <c r="I144" s="556"/>
      <c r="J144" s="629">
        <f>H144/DAY(B2)</f>
        <v>5749.6500000000087</v>
      </c>
      <c r="K144" s="411"/>
      <c r="L144" s="408"/>
      <c r="N144" s="413"/>
      <c r="O144" s="413"/>
    </row>
    <row r="145" spans="1:15" ht="27.75">
      <c r="A145" s="1433" t="s">
        <v>254</v>
      </c>
      <c r="B145" s="1434"/>
      <c r="C145" s="1435"/>
      <c r="D145" s="599" t="s">
        <v>24</v>
      </c>
      <c r="E145" s="536"/>
      <c r="F145" s="531"/>
      <c r="G145" s="620">
        <f>G144/G7</f>
        <v>0.25671518506942931</v>
      </c>
      <c r="H145" s="536">
        <f t="shared" si="26"/>
        <v>0.25671518506942931</v>
      </c>
      <c r="I145" s="621"/>
      <c r="J145" s="629">
        <f>H145/DAY(B2)</f>
        <v>0.25671518506942931</v>
      </c>
      <c r="K145" s="411"/>
      <c r="L145" s="408"/>
      <c r="N145" s="413"/>
      <c r="O145" s="413"/>
    </row>
    <row r="146" spans="1:15" ht="27.75">
      <c r="A146" s="1433" t="s">
        <v>255</v>
      </c>
      <c r="B146" s="1434"/>
      <c r="C146" s="1435"/>
      <c r="D146" s="599" t="s">
        <v>132</v>
      </c>
      <c r="E146" s="536"/>
      <c r="F146" s="531"/>
      <c r="G146" s="536">
        <f>G39+G53</f>
        <v>4328.8000000000029</v>
      </c>
      <c r="H146" s="536">
        <f t="shared" si="26"/>
        <v>4328.8000000000029</v>
      </c>
      <c r="I146" s="622"/>
      <c r="J146" s="629">
        <f>H146/DAY(B2)</f>
        <v>4328.8000000000029</v>
      </c>
      <c r="K146" s="411"/>
      <c r="L146" s="408"/>
      <c r="N146" s="413"/>
      <c r="O146" s="413"/>
    </row>
    <row r="147" spans="1:15" ht="27.75">
      <c r="A147" s="1433" t="s">
        <v>256</v>
      </c>
      <c r="B147" s="1434"/>
      <c r="C147" s="1435"/>
      <c r="D147" s="599" t="s">
        <v>24</v>
      </c>
      <c r="E147" s="536"/>
      <c r="F147" s="531"/>
      <c r="G147" s="620">
        <f>G146/G7</f>
        <v>0.19327588516319164</v>
      </c>
      <c r="H147" s="536">
        <f t="shared" si="26"/>
        <v>0.19327588516319164</v>
      </c>
      <c r="I147" s="622"/>
      <c r="J147" s="629">
        <f>H147/DAY(B2)</f>
        <v>0.19327588516319164</v>
      </c>
      <c r="N147" s="413"/>
      <c r="O147" s="413"/>
    </row>
    <row r="148" spans="1:15" ht="27.75">
      <c r="A148" s="1433" t="s">
        <v>257</v>
      </c>
      <c r="B148" s="1434"/>
      <c r="C148" s="1435"/>
      <c r="D148" s="599" t="s">
        <v>183</v>
      </c>
      <c r="E148" s="536"/>
      <c r="F148" s="531"/>
      <c r="G148" s="536">
        <f>G38+G52</f>
        <v>2140.4200000000055</v>
      </c>
      <c r="H148" s="536">
        <f t="shared" si="26"/>
        <v>2140.4200000000055</v>
      </c>
      <c r="I148" s="556"/>
      <c r="J148" s="629">
        <f>H148/DAY(B2)</f>
        <v>2140.4200000000055</v>
      </c>
      <c r="K148" s="412"/>
      <c r="N148" s="413"/>
      <c r="O148" s="413"/>
    </row>
    <row r="149" spans="1:15" ht="27.75">
      <c r="A149" s="1433" t="s">
        <v>258</v>
      </c>
      <c r="B149" s="1434"/>
      <c r="C149" s="1435"/>
      <c r="D149" s="599" t="s">
        <v>24</v>
      </c>
      <c r="E149" s="536"/>
      <c r="F149" s="531"/>
      <c r="G149" s="620">
        <f>G148/G7</f>
        <v>9.5567263472786781E-2</v>
      </c>
      <c r="H149" s="536">
        <f t="shared" si="26"/>
        <v>9.5567263472786781E-2</v>
      </c>
      <c r="I149" s="622"/>
      <c r="J149" s="629">
        <f>H149/DAY(B2)</f>
        <v>9.5567263472786781E-2</v>
      </c>
      <c r="N149" s="413"/>
      <c r="O149" s="413"/>
    </row>
    <row r="150" spans="1:15" ht="27.75">
      <c r="A150" s="1433" t="s">
        <v>259</v>
      </c>
      <c r="B150" s="1434"/>
      <c r="C150" s="1435"/>
      <c r="D150" s="599" t="s">
        <v>183</v>
      </c>
      <c r="E150" s="536"/>
      <c r="F150" s="531"/>
      <c r="G150" s="536">
        <f>G36+G50</f>
        <v>2395.1599999999744</v>
      </c>
      <c r="H150" s="536">
        <f t="shared" si="26"/>
        <v>2395.1599999999744</v>
      </c>
      <c r="I150" s="622"/>
      <c r="J150" s="629">
        <f>H150/DAY(B2)</f>
        <v>2395.1599999999744</v>
      </c>
      <c r="N150" s="413"/>
      <c r="O150" s="413"/>
    </row>
    <row r="151" spans="1:15" ht="27.75">
      <c r="A151" s="1433" t="s">
        <v>260</v>
      </c>
      <c r="B151" s="1434"/>
      <c r="C151" s="1435"/>
      <c r="D151" s="599" t="s">
        <v>24</v>
      </c>
      <c r="E151" s="536"/>
      <c r="F151" s="531"/>
      <c r="G151" s="620">
        <f>G150/G7</f>
        <v>0.10694110818413066</v>
      </c>
      <c r="H151" s="536">
        <f t="shared" si="26"/>
        <v>0.10694110818413066</v>
      </c>
      <c r="I151" s="556"/>
      <c r="J151" s="629">
        <f>H151/DAY(B2)</f>
        <v>0.10694110818413066</v>
      </c>
      <c r="N151" s="413"/>
      <c r="O151" s="413"/>
    </row>
    <row r="152" spans="1:15" ht="27.75">
      <c r="A152" s="1433" t="s">
        <v>261</v>
      </c>
      <c r="B152" s="1434"/>
      <c r="C152" s="1435"/>
      <c r="D152" s="599" t="s">
        <v>183</v>
      </c>
      <c r="E152" s="536"/>
      <c r="F152" s="531"/>
      <c r="G152" s="536">
        <f>G37+G51</f>
        <v>1450.4500000000044</v>
      </c>
      <c r="H152" s="536">
        <f t="shared" si="26"/>
        <v>1450.4500000000044</v>
      </c>
      <c r="I152" s="556"/>
      <c r="J152" s="629">
        <f>H152/DAY(B2)</f>
        <v>1450.4500000000044</v>
      </c>
      <c r="N152" s="413"/>
      <c r="O152" s="413"/>
    </row>
    <row r="153" spans="1:15" ht="28.5" thickBot="1">
      <c r="A153" s="1465" t="s">
        <v>262</v>
      </c>
      <c r="B153" s="1466"/>
      <c r="C153" s="1467"/>
      <c r="D153" s="702" t="s">
        <v>24</v>
      </c>
      <c r="E153" s="644"/>
      <c r="F153" s="642"/>
      <c r="G153" s="643">
        <f>G152/G7</f>
        <v>6.4760905478412484E-2</v>
      </c>
      <c r="H153" s="536">
        <f t="shared" si="26"/>
        <v>6.4760905478412484E-2</v>
      </c>
      <c r="I153" s="645"/>
      <c r="J153" s="646">
        <f>H153/DAY(B2)</f>
        <v>6.4760905478412484E-2</v>
      </c>
      <c r="N153" s="413"/>
      <c r="O153" s="413"/>
    </row>
    <row r="154" spans="1:15">
      <c r="A154" s="542"/>
      <c r="B154" s="532"/>
      <c r="C154" s="532"/>
      <c r="D154" s="623"/>
      <c r="E154" s="837"/>
      <c r="F154" s="623"/>
      <c r="G154" s="623"/>
      <c r="H154" s="624"/>
      <c r="I154" s="623"/>
      <c r="J154" s="625"/>
      <c r="O154" s="413"/>
    </row>
    <row r="160" spans="1:15">
      <c r="A160" s="867" t="s">
        <v>263</v>
      </c>
      <c r="B160" s="868"/>
      <c r="C160" s="868"/>
      <c r="D160" s="587" t="s">
        <v>187</v>
      </c>
      <c r="E160" s="739">
        <v>30795.64</v>
      </c>
      <c r="F160" s="739">
        <v>30881.599999999999</v>
      </c>
      <c r="G160" s="549">
        <f t="shared" ref="G160:G171" si="27">F160-E160</f>
        <v>85.959999999999127</v>
      </c>
    </row>
    <row r="161" spans="1:7">
      <c r="A161" s="867" t="s">
        <v>264</v>
      </c>
      <c r="B161" s="868"/>
      <c r="C161" s="868"/>
      <c r="D161" s="587" t="s">
        <v>187</v>
      </c>
      <c r="E161" s="739">
        <v>55098.17</v>
      </c>
      <c r="F161" s="739">
        <v>55548.51</v>
      </c>
      <c r="G161" s="549">
        <f t="shared" si="27"/>
        <v>450.34000000000378</v>
      </c>
    </row>
    <row r="162" spans="1:7">
      <c r="A162" s="867" t="s">
        <v>265</v>
      </c>
      <c r="B162" s="868"/>
      <c r="C162" s="868"/>
      <c r="D162" s="587" t="s">
        <v>187</v>
      </c>
      <c r="E162" s="739">
        <v>20562.32</v>
      </c>
      <c r="F162" s="739">
        <v>20843.25</v>
      </c>
      <c r="G162" s="549">
        <f t="shared" si="27"/>
        <v>280.93000000000029</v>
      </c>
    </row>
    <row r="163" spans="1:7">
      <c r="A163" s="867" t="s">
        <v>266</v>
      </c>
      <c r="B163" s="868"/>
      <c r="C163" s="868"/>
      <c r="D163" s="587" t="s">
        <v>187</v>
      </c>
      <c r="E163" s="739">
        <v>5427.51</v>
      </c>
      <c r="F163" s="739">
        <v>5449.61</v>
      </c>
      <c r="G163" s="549">
        <f t="shared" si="27"/>
        <v>22.099999999999454</v>
      </c>
    </row>
    <row r="164" spans="1:7">
      <c r="A164" s="869" t="s">
        <v>98</v>
      </c>
      <c r="B164" s="681"/>
      <c r="C164" s="681"/>
      <c r="D164" s="587" t="s">
        <v>187</v>
      </c>
      <c r="E164" s="590">
        <f>E62</f>
        <v>20419.187000000002</v>
      </c>
      <c r="F164" s="590">
        <v>20419</v>
      </c>
      <c r="G164" s="549">
        <f>F164-E164</f>
        <v>-0.18700000000171713</v>
      </c>
    </row>
    <row r="165" spans="1:7">
      <c r="A165" s="869" t="s">
        <v>188</v>
      </c>
      <c r="B165" s="681"/>
      <c r="C165" s="681"/>
      <c r="D165" s="587" t="s">
        <v>187</v>
      </c>
      <c r="E165" s="590">
        <f t="shared" ref="E165:F171" si="28">E63</f>
        <v>1707.36</v>
      </c>
      <c r="F165" s="590">
        <f t="shared" si="28"/>
        <v>1721.57</v>
      </c>
      <c r="G165" s="549">
        <f t="shared" si="27"/>
        <v>14.210000000000036</v>
      </c>
    </row>
    <row r="166" spans="1:7" ht="27.75">
      <c r="A166" s="1482" t="s">
        <v>99</v>
      </c>
      <c r="B166" s="1482"/>
      <c r="C166" s="1482"/>
      <c r="D166" s="599" t="s">
        <v>187</v>
      </c>
      <c r="E166" s="590">
        <f t="shared" si="28"/>
        <v>123627.3</v>
      </c>
      <c r="F166" s="590">
        <f t="shared" si="28"/>
        <v>124127.85</v>
      </c>
      <c r="G166" s="549">
        <f t="shared" si="27"/>
        <v>500.55000000000291</v>
      </c>
    </row>
    <row r="167" spans="1:7" ht="27.75">
      <c r="A167" s="1482" t="s">
        <v>100</v>
      </c>
      <c r="B167" s="1482"/>
      <c r="C167" s="1482"/>
      <c r="D167" s="599" t="s">
        <v>187</v>
      </c>
      <c r="E167" s="590">
        <f t="shared" si="28"/>
        <v>132597.29999999999</v>
      </c>
      <c r="F167" s="590">
        <f t="shared" si="28"/>
        <v>132996.35999999999</v>
      </c>
      <c r="G167" s="549">
        <f t="shared" si="27"/>
        <v>399.05999999999767</v>
      </c>
    </row>
    <row r="168" spans="1:7" ht="27.75">
      <c r="A168" s="1482" t="s">
        <v>101</v>
      </c>
      <c r="B168" s="1482"/>
      <c r="C168" s="1482"/>
      <c r="D168" s="599" t="s">
        <v>187</v>
      </c>
      <c r="E168" s="590">
        <f t="shared" si="28"/>
        <v>25159.75</v>
      </c>
      <c r="F168" s="590">
        <f t="shared" si="28"/>
        <v>25566.36</v>
      </c>
      <c r="G168" s="549">
        <f t="shared" si="27"/>
        <v>406.61000000000058</v>
      </c>
    </row>
    <row r="169" spans="1:7" ht="27.75">
      <c r="A169" s="1482" t="s">
        <v>102</v>
      </c>
      <c r="B169" s="1482"/>
      <c r="C169" s="1482"/>
      <c r="D169" s="599" t="s">
        <v>187</v>
      </c>
      <c r="E169" s="590">
        <f t="shared" si="28"/>
        <v>207841.83</v>
      </c>
      <c r="F169" s="590">
        <f t="shared" si="28"/>
        <v>208546.07</v>
      </c>
      <c r="G169" s="549">
        <f t="shared" si="27"/>
        <v>704.24000000001979</v>
      </c>
    </row>
    <row r="170" spans="1:7" ht="27.75">
      <c r="A170" s="1482" t="s">
        <v>103</v>
      </c>
      <c r="B170" s="1482"/>
      <c r="C170" s="1482"/>
      <c r="D170" s="599" t="s">
        <v>187</v>
      </c>
      <c r="E170" s="590">
        <f t="shared" si="28"/>
        <v>72678.52</v>
      </c>
      <c r="F170" s="590">
        <f t="shared" si="28"/>
        <v>73027.42</v>
      </c>
      <c r="G170" s="549">
        <f t="shared" si="27"/>
        <v>348.89999999999418</v>
      </c>
    </row>
    <row r="171" spans="1:7" ht="27.75">
      <c r="A171" s="1482" t="s">
        <v>104</v>
      </c>
      <c r="B171" s="1482"/>
      <c r="C171" s="1482"/>
      <c r="D171" s="599" t="s">
        <v>187</v>
      </c>
      <c r="E171" s="590">
        <f t="shared" si="28"/>
        <v>64452.09</v>
      </c>
      <c r="F171" s="590">
        <f t="shared" si="28"/>
        <v>64776.091</v>
      </c>
      <c r="G171" s="549">
        <f t="shared" si="27"/>
        <v>324.00100000000384</v>
      </c>
    </row>
    <row r="172" spans="1:7">
      <c r="G172" s="616">
        <f>SUM(G160:G171)</f>
        <v>3536.71400000002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49" zoomScale="50" zoomScaleSheetLayoutView="50" workbookViewId="0">
      <selection activeCell="A70" sqref="A70:C70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279</v>
      </c>
      <c r="B2" s="1117">
        <v>44230</v>
      </c>
      <c r="C2" s="1397" t="s">
        <v>69</v>
      </c>
      <c r="D2" s="688">
        <v>0.48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397" t="s">
        <v>120</v>
      </c>
      <c r="D3" s="689">
        <v>27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397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1">
        <f>'[4]1'!F7</f>
        <v>4467474</v>
      </c>
      <c r="F7" s="531">
        <v>4489853</v>
      </c>
      <c r="G7" s="549">
        <f>F7-E7</f>
        <v>22379</v>
      </c>
      <c r="H7" s="536">
        <f>G7+'[4]1'!H7</f>
        <v>44776</v>
      </c>
      <c r="I7" s="550">
        <f>'[4]1'!I7</f>
        <v>12000</v>
      </c>
      <c r="J7" s="629">
        <f>H7/DAY(B2)</f>
        <v>14925.333333333334</v>
      </c>
      <c r="K7" s="626"/>
      <c r="L7" s="408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551">
        <f>'[4]1'!F8</f>
        <v>4495710</v>
      </c>
      <c r="F8" s="551">
        <v>4518306</v>
      </c>
      <c r="G8" s="552">
        <f>F8-E8</f>
        <v>22596</v>
      </c>
      <c r="H8" s="536">
        <f>G8+'[4]1'!H8</f>
        <v>45150</v>
      </c>
      <c r="I8" s="553">
        <v>12000</v>
      </c>
      <c r="J8" s="629">
        <f>H8/DAY(B2)</f>
        <v>15050</v>
      </c>
      <c r="K8" s="626"/>
      <c r="L8" s="464"/>
      <c r="M8" s="479"/>
      <c r="O8" s="413"/>
    </row>
    <row r="9" spans="1:15">
      <c r="A9" s="660" t="s">
        <v>134</v>
      </c>
      <c r="B9" s="661"/>
      <c r="C9" s="661"/>
      <c r="D9" s="599" t="s">
        <v>132</v>
      </c>
      <c r="E9" s="554">
        <f>'[4]1'!F9</f>
        <v>101235.16</v>
      </c>
      <c r="F9" s="554">
        <v>115804.21</v>
      </c>
      <c r="G9" s="549">
        <f t="shared" ref="G9:G11" si="0">F9-E9</f>
        <v>14569.050000000003</v>
      </c>
      <c r="H9" s="536">
        <f>G9+'[4]1'!H9</f>
        <v>28895.200000000012</v>
      </c>
      <c r="I9" s="555">
        <f>I8-J8</f>
        <v>-3050</v>
      </c>
      <c r="J9" s="629">
        <f>H9/DAY(B2)</f>
        <v>9631.7333333333372</v>
      </c>
      <c r="K9" s="467"/>
      <c r="L9" s="408"/>
      <c r="O9" s="413"/>
    </row>
    <row r="10" spans="1:15">
      <c r="A10" s="655" t="s">
        <v>135</v>
      </c>
      <c r="B10" s="656"/>
      <c r="C10" s="656"/>
      <c r="D10" s="599" t="s">
        <v>132</v>
      </c>
      <c r="E10" s="554">
        <f>'[4]1'!F10</f>
        <v>33103.08</v>
      </c>
      <c r="F10" s="554">
        <v>40262.76</v>
      </c>
      <c r="G10" s="549">
        <f t="shared" si="0"/>
        <v>7159.68</v>
      </c>
      <c r="H10" s="536">
        <f>G10+'[4]1'!H10</f>
        <v>14567.2</v>
      </c>
      <c r="I10" s="556"/>
      <c r="J10" s="629">
        <f>H10/DAY(B2)</f>
        <v>4855.7333333333336</v>
      </c>
      <c r="K10" s="467"/>
      <c r="L10" s="408"/>
      <c r="O10" s="413"/>
    </row>
    <row r="11" spans="1:15">
      <c r="A11" s="655" t="s">
        <v>136</v>
      </c>
      <c r="B11" s="656"/>
      <c r="C11" s="656"/>
      <c r="D11" s="599" t="s">
        <v>132</v>
      </c>
      <c r="E11" s="531">
        <f>'[4]1'!F11</f>
        <v>37000</v>
      </c>
      <c r="F11" s="531">
        <v>37000</v>
      </c>
      <c r="G11" s="549">
        <f t="shared" si="0"/>
        <v>0</v>
      </c>
      <c r="H11" s="536">
        <f>G11+'[4]1'!H11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137</v>
      </c>
      <c r="B12" s="656"/>
      <c r="C12" s="656"/>
      <c r="D12" s="599" t="s">
        <v>132</v>
      </c>
      <c r="E12" s="554">
        <f>'[4]1'!F12</f>
        <v>40010</v>
      </c>
      <c r="F12" s="554">
        <v>40010</v>
      </c>
      <c r="G12" s="549">
        <v>0</v>
      </c>
      <c r="H12" s="536">
        <f>G12+'[4]1'!H12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138</v>
      </c>
      <c r="B13" s="663"/>
      <c r="C13" s="663"/>
      <c r="D13" s="599"/>
      <c r="E13" s="531"/>
      <c r="F13" s="531"/>
      <c r="G13" s="557">
        <f>G9+G10+G11+G12</f>
        <v>21728.730000000003</v>
      </c>
      <c r="H13" s="536">
        <f>G13+'[4]1'!H13</f>
        <v>43462.400000000009</v>
      </c>
      <c r="I13" s="558">
        <f>G7-G13</f>
        <v>650.2699999999968</v>
      </c>
      <c r="J13" s="629">
        <f>H13/DAY(B2)</f>
        <v>14487.466666666669</v>
      </c>
      <c r="K13" s="467"/>
      <c r="L13" s="408"/>
      <c r="O13" s="413"/>
    </row>
    <row r="14" spans="1:15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395" t="s">
        <v>140</v>
      </c>
      <c r="B15" s="666"/>
      <c r="C15" s="666"/>
      <c r="D15" s="599" t="s">
        <v>141</v>
      </c>
      <c r="E15" s="560">
        <f>'[4]1'!F15</f>
        <v>1620759.2420000001</v>
      </c>
      <c r="F15" s="732">
        <v>1621752.42</v>
      </c>
      <c r="G15" s="862">
        <f>(F15-E15)</f>
        <v>993.17799999983981</v>
      </c>
      <c r="H15" s="536">
        <f>G15+'[4]1'!H15</f>
        <v>1873.809999999823</v>
      </c>
      <c r="I15" s="550">
        <v>800</v>
      </c>
      <c r="J15" s="629">
        <f>H15/DAY(B2)</f>
        <v>624.60333333327435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175.39666666672565</v>
      </c>
      <c r="J16" s="630"/>
      <c r="K16" s="467"/>
      <c r="L16" s="408"/>
      <c r="O16" s="413">
        <f>G15-150</f>
        <v>843.17799999983981</v>
      </c>
    </row>
    <row r="17" spans="1:15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33" t="s">
        <v>143</v>
      </c>
      <c r="B18" s="1434"/>
      <c r="C18" s="1435"/>
      <c r="D18" s="599" t="s">
        <v>144</v>
      </c>
      <c r="E18" s="560">
        <f>'[4]1'!F18</f>
        <v>18</v>
      </c>
      <c r="F18" s="554">
        <v>14</v>
      </c>
      <c r="G18" s="557">
        <f>F18*10</f>
        <v>140</v>
      </c>
      <c r="H18" s="536">
        <f>G18+'[4]1'!H18</f>
        <v>320</v>
      </c>
      <c r="I18" s="550">
        <f>'[4]1'!I18</f>
        <v>65</v>
      </c>
      <c r="J18" s="629">
        <f>H18/DAY(B2)</f>
        <v>106.66666666666667</v>
      </c>
      <c r="K18" s="467"/>
      <c r="L18" s="408"/>
      <c r="O18" s="413"/>
    </row>
    <row r="19" spans="1:15" ht="27.75">
      <c r="A19" s="1433" t="s">
        <v>71</v>
      </c>
      <c r="B19" s="1434"/>
      <c r="C19" s="1435"/>
      <c r="D19" s="599" t="s">
        <v>144</v>
      </c>
      <c r="E19" s="560">
        <f>'[4]1'!F19</f>
        <v>134516</v>
      </c>
      <c r="F19" s="554">
        <v>134568</v>
      </c>
      <c r="G19" s="549">
        <f>F19-E19</f>
        <v>52</v>
      </c>
      <c r="H19" s="536">
        <f>G19+'[4]1'!H19</f>
        <v>100</v>
      </c>
      <c r="I19" s="565"/>
      <c r="J19" s="629">
        <f>H19/DAY(B2)</f>
        <v>33.333333333333336</v>
      </c>
      <c r="K19" s="467"/>
      <c r="L19" s="408"/>
      <c r="O19" s="413"/>
    </row>
    <row r="20" spans="1:15">
      <c r="A20" s="662" t="s">
        <v>145</v>
      </c>
      <c r="B20" s="663"/>
      <c r="C20" s="663"/>
      <c r="D20" s="566"/>
      <c r="E20" s="566"/>
      <c r="F20" s="599"/>
      <c r="G20" s="1120">
        <f>G18+G19</f>
        <v>192</v>
      </c>
      <c r="H20" s="536">
        <f>G20+'[4]1'!H20</f>
        <v>420</v>
      </c>
      <c r="I20" s="568">
        <f>I18-J20</f>
        <v>-75</v>
      </c>
      <c r="J20" s="629">
        <f>H20/DAY(B2)</f>
        <v>140</v>
      </c>
      <c r="K20" s="467"/>
      <c r="L20" s="408"/>
      <c r="O20" s="413"/>
    </row>
    <row r="21" spans="1:15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395" t="s">
        <v>147</v>
      </c>
      <c r="B22" s="666"/>
      <c r="C22" s="666"/>
      <c r="D22" s="599" t="s">
        <v>148</v>
      </c>
      <c r="E22" s="560">
        <f>'[4]1'!F22</f>
        <v>2970</v>
      </c>
      <c r="F22" s="554">
        <v>2970</v>
      </c>
      <c r="G22" s="557">
        <f t="shared" ref="G22" si="1">(F22-E22)</f>
        <v>0</v>
      </c>
      <c r="H22" s="536">
        <f>G22+'[4]1'!H22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395" t="s">
        <v>149</v>
      </c>
      <c r="B23" s="666"/>
      <c r="C23" s="666"/>
      <c r="D23" s="599" t="s">
        <v>148</v>
      </c>
      <c r="E23" s="560">
        <f>'[4]1'!F23</f>
        <v>1900</v>
      </c>
      <c r="F23" s="554">
        <v>1900</v>
      </c>
      <c r="G23" s="557">
        <v>0</v>
      </c>
      <c r="H23" s="536">
        <f>G23+'[4]1'!H23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150</v>
      </c>
      <c r="B24" s="668"/>
      <c r="C24" s="668"/>
      <c r="D24" s="587" t="s">
        <v>148</v>
      </c>
      <c r="E24" s="560">
        <f>'[4]1'!F24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22596</v>
      </c>
      <c r="F27" s="577">
        <v>9</v>
      </c>
      <c r="G27" s="578">
        <f>E27*F27</f>
        <v>203364</v>
      </c>
      <c r="H27" s="536">
        <f>G27+'[4]1'!H27</f>
        <v>406350</v>
      </c>
      <c r="I27" s="579"/>
      <c r="J27" s="629">
        <f>H27/DAY(B2)</f>
        <v>135450</v>
      </c>
      <c r="K27" s="404"/>
      <c r="L27" s="484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993.17799999983981</v>
      </c>
      <c r="F28" s="577">
        <v>48.88</v>
      </c>
      <c r="G28" s="578">
        <f>E28*F28</f>
        <v>48546.54063999217</v>
      </c>
      <c r="H28" s="536">
        <f>G28+'[4]1'!H28</f>
        <v>91591.83279999136</v>
      </c>
      <c r="I28" s="581"/>
      <c r="J28" s="629">
        <f>H28/DAY(B2)</f>
        <v>30530.610933330452</v>
      </c>
      <c r="K28" s="404"/>
      <c r="L28" s="484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>E29*F29</f>
        <v>0</v>
      </c>
      <c r="H29" s="536">
        <f>G29+'[4]1'!H29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77">
        <f>G19</f>
        <v>52</v>
      </c>
      <c r="F30" s="577">
        <v>134</v>
      </c>
      <c r="G30" s="578">
        <f>E30*F30</f>
        <v>6968</v>
      </c>
      <c r="H30" s="536">
        <f>G30+'[4]1'!H30</f>
        <v>31088</v>
      </c>
      <c r="I30" s="581"/>
      <c r="J30" s="629">
        <f>H30/DAY(B2)</f>
        <v>10362.666666666666</v>
      </c>
      <c r="K30" s="404"/>
      <c r="L30" s="484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77">
        <f>G18</f>
        <v>140</v>
      </c>
      <c r="F31" s="577">
        <v>80</v>
      </c>
      <c r="G31" s="578">
        <f>E31*F31</f>
        <v>11200</v>
      </c>
      <c r="H31" s="536">
        <f>G31+'[4]1'!H31</f>
        <v>15040</v>
      </c>
      <c r="I31" s="581"/>
      <c r="J31" s="629">
        <f>H31/DAY(B2)</f>
        <v>5013.333333333333</v>
      </c>
      <c r="K31" s="404"/>
      <c r="L31" s="484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270078.54063999216</v>
      </c>
      <c r="H32" s="536">
        <f>G32+'[4]1'!H32</f>
        <v>544069.83279999136</v>
      </c>
      <c r="I32" s="585"/>
      <c r="J32" s="629">
        <f>H32/DAY(B2)</f>
        <v>181356.61093333046</v>
      </c>
      <c r="K32" s="404"/>
      <c r="L32" s="484"/>
      <c r="O32" s="413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O33" s="413"/>
    </row>
    <row r="34" spans="1:15">
      <c r="A34" s="675" t="s">
        <v>163</v>
      </c>
      <c r="B34" s="1400"/>
      <c r="C34" s="1400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'[4]1'!F35</f>
        <v>696280.71</v>
      </c>
      <c r="F35" s="586">
        <v>699784.47</v>
      </c>
      <c r="G35" s="549">
        <f t="shared" ref="G35:G46" si="2">F35-E35</f>
        <v>3503.7600000000093</v>
      </c>
      <c r="H35" s="536">
        <f>G35+'[4]1'!H35</f>
        <v>6696.8800000000047</v>
      </c>
      <c r="I35" s="531"/>
      <c r="J35" s="629">
        <f>H35/DAY(B2)</f>
        <v>2232.2933333333349</v>
      </c>
      <c r="K35" s="467"/>
      <c r="L35" s="408"/>
      <c r="O35" s="413"/>
    </row>
    <row r="36" spans="1:15">
      <c r="A36" s="655" t="s">
        <v>165</v>
      </c>
      <c r="B36" s="656"/>
      <c r="C36" s="656"/>
      <c r="D36" s="599" t="s">
        <v>132</v>
      </c>
      <c r="E36" s="586">
        <f>'[4]1'!F36</f>
        <v>297204.81</v>
      </c>
      <c r="F36" s="586">
        <v>297874.09000000003</v>
      </c>
      <c r="G36" s="549">
        <f t="shared" si="2"/>
        <v>669.28000000002794</v>
      </c>
      <c r="H36" s="536">
        <f>G36+'[4]1'!H36</f>
        <v>1428.5200000000186</v>
      </c>
      <c r="I36" s="531"/>
      <c r="J36" s="629">
        <f>H36/DAY(B2)</f>
        <v>476.17333333333954</v>
      </c>
      <c r="K36" s="467"/>
      <c r="L36" s="408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'[4]1'!F37</f>
        <v>33512.550000000003</v>
      </c>
      <c r="F37" s="586">
        <v>34969.39</v>
      </c>
      <c r="G37" s="549">
        <f t="shared" si="2"/>
        <v>1456.8399999999965</v>
      </c>
      <c r="H37" s="536">
        <f>G37+'[4]1'!H37</f>
        <v>2907.2900000000009</v>
      </c>
      <c r="I37" s="531"/>
      <c r="J37" s="629">
        <f>H37/DAY(B2)</f>
        <v>969.09666666666692</v>
      </c>
      <c r="K37" s="467"/>
      <c r="L37" s="408"/>
      <c r="O37" s="706"/>
    </row>
    <row r="38" spans="1:15">
      <c r="A38" s="655" t="s">
        <v>167</v>
      </c>
      <c r="B38" s="656"/>
      <c r="C38" s="656"/>
      <c r="D38" s="599" t="s">
        <v>132</v>
      </c>
      <c r="E38" s="545">
        <f>'[4]1'!F38</f>
        <v>45953.91</v>
      </c>
      <c r="F38" s="545">
        <v>48043.42</v>
      </c>
      <c r="G38" s="549">
        <f t="shared" si="2"/>
        <v>2089.5099999999948</v>
      </c>
      <c r="H38" s="536">
        <f>G38+'[4]1'!H38</f>
        <v>4229.93</v>
      </c>
      <c r="I38" s="531"/>
      <c r="J38" s="629">
        <f>H38/DAY(B2)</f>
        <v>1409.9766666666667</v>
      </c>
      <c r="K38" s="467"/>
      <c r="L38" s="408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'[4]1'!F39</f>
        <v>95004.19</v>
      </c>
      <c r="F39" s="586">
        <v>99373.119999999995</v>
      </c>
      <c r="G39" s="549">
        <f t="shared" si="2"/>
        <v>4368.929999999993</v>
      </c>
      <c r="H39" s="536">
        <f>G39+'[4]1'!H39</f>
        <v>8697.7299999999959</v>
      </c>
      <c r="I39" s="531"/>
      <c r="J39" s="629">
        <f>H39/DAY(B2)</f>
        <v>2899.243333333332</v>
      </c>
      <c r="K39" s="467"/>
      <c r="L39" s="408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f>'[4]1'!F40</f>
        <v>0</v>
      </c>
      <c r="F40" s="586">
        <v>0</v>
      </c>
      <c r="G40" s="549">
        <f t="shared" si="2"/>
        <v>0</v>
      </c>
      <c r="H40" s="536">
        <f>G40+'[4]1'!H40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'[4]1'!F41</f>
        <v>63882.37</v>
      </c>
      <c r="F41" s="586">
        <v>63882.37</v>
      </c>
      <c r="G41" s="549">
        <f t="shared" si="2"/>
        <v>0</v>
      </c>
      <c r="H41" s="536">
        <f>G41+'[4]1'!H41</f>
        <v>0</v>
      </c>
      <c r="I41" s="531"/>
      <c r="J41" s="629">
        <f>H41/DAY(B2)</f>
        <v>0</v>
      </c>
      <c r="K41" s="467"/>
      <c r="L41" s="408"/>
      <c r="O41" s="413"/>
    </row>
    <row r="42" spans="1:15">
      <c r="A42" s="655" t="s">
        <v>171</v>
      </c>
      <c r="B42" s="656"/>
      <c r="C42" s="656"/>
      <c r="D42" s="599" t="s">
        <v>132</v>
      </c>
      <c r="E42" s="586">
        <f>'[4]1'!F42</f>
        <v>59128.85</v>
      </c>
      <c r="F42" s="586">
        <v>59128.851000000002</v>
      </c>
      <c r="G42" s="549">
        <f t="shared" si="2"/>
        <v>1.0000000038417056E-3</v>
      </c>
      <c r="H42" s="536">
        <f>G42+'[4]1'!H42</f>
        <v>1.0000000038417056E-3</v>
      </c>
      <c r="I42" s="531"/>
      <c r="J42" s="629">
        <f>H42/DAY(B2)</f>
        <v>3.3333333461390186E-4</v>
      </c>
      <c r="K42" s="467"/>
      <c r="L42" s="408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'[4]1'!F43</f>
        <v>828353.19</v>
      </c>
      <c r="F43" s="586">
        <v>830838.71</v>
      </c>
      <c r="G43" s="549">
        <f t="shared" si="2"/>
        <v>2485.5200000000186</v>
      </c>
      <c r="H43" s="536">
        <f>G43+'[4]1'!H43</f>
        <v>4940.8800000000047</v>
      </c>
      <c r="I43" s="531"/>
      <c r="J43" s="629">
        <f>H43/DAY(B2)</f>
        <v>1646.9600000000016</v>
      </c>
      <c r="K43" s="467"/>
      <c r="L43" s="408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'[4]1'!F44</f>
        <v>0</v>
      </c>
      <c r="F44" s="586">
        <v>0</v>
      </c>
      <c r="G44" s="549">
        <f t="shared" si="2"/>
        <v>0</v>
      </c>
      <c r="H44" s="536">
        <f>G44+'[4]1'!H44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'[4]1'!F45</f>
        <v>614.48</v>
      </c>
      <c r="F45" s="586">
        <v>614</v>
      </c>
      <c r="G45" s="549">
        <f t="shared" si="2"/>
        <v>-0.48000000000001819</v>
      </c>
      <c r="H45" s="536">
        <f>G45+'[4]1'!H45</f>
        <v>0</v>
      </c>
      <c r="I45" s="531"/>
      <c r="J45" s="629">
        <f>H45/DAY(B2)</f>
        <v>0</v>
      </c>
      <c r="K45" s="467"/>
      <c r="L45" s="408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'[4]1'!F46</f>
        <v>187.49</v>
      </c>
      <c r="F46" s="586">
        <v>187</v>
      </c>
      <c r="G46" s="549">
        <f t="shared" si="2"/>
        <v>-0.49000000000000909</v>
      </c>
      <c r="H46" s="536">
        <f>G46+'[4]1'!H46</f>
        <v>0</v>
      </c>
      <c r="I46" s="531"/>
      <c r="J46" s="629">
        <f>H46/DAY(B2)</f>
        <v>0</v>
      </c>
      <c r="K46" s="467"/>
      <c r="L46" s="408"/>
      <c r="O46" s="413"/>
    </row>
    <row r="47" spans="1:1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14572.871000000045</v>
      </c>
      <c r="H47" s="536">
        <f>G47+'[4]1'!H47</f>
        <v>28901.231000000029</v>
      </c>
      <c r="I47" s="531"/>
      <c r="J47" s="629">
        <f>H47/DAY(B2)</f>
        <v>9633.7436666666763</v>
      </c>
      <c r="K47" s="467"/>
      <c r="L47" s="408"/>
      <c r="N47" s="413"/>
      <c r="O47" s="413"/>
    </row>
    <row r="48" spans="1:15">
      <c r="A48" s="675" t="s">
        <v>177</v>
      </c>
      <c r="B48" s="1400"/>
      <c r="C48" s="1400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'[4]1'!F49</f>
        <v>260732.13</v>
      </c>
      <c r="F49" s="586">
        <v>260732.13</v>
      </c>
      <c r="G49" s="549">
        <f t="shared" ref="G49:G58" si="3">F49-E49</f>
        <v>0</v>
      </c>
      <c r="H49" s="536">
        <f>G49+'[4]1'!H49</f>
        <v>0</v>
      </c>
      <c r="I49" s="531"/>
      <c r="J49" s="629">
        <f>H49/DAY(B2)</f>
        <v>0</v>
      </c>
      <c r="K49" s="467"/>
      <c r="L49" s="408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'[4]1'!F50</f>
        <v>404098.95</v>
      </c>
      <c r="F50" s="586">
        <v>405699.31</v>
      </c>
      <c r="G50" s="549">
        <f t="shared" si="3"/>
        <v>1600.359999999986</v>
      </c>
      <c r="H50" s="536">
        <f>G50+'[4]1'!H50</f>
        <v>3236.2799999999697</v>
      </c>
      <c r="I50" s="531"/>
      <c r="J50" s="629">
        <f>H50/DAY(B2)</f>
        <v>1078.75999999999</v>
      </c>
      <c r="K50" s="467"/>
      <c r="L50" s="408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'[4]1'!F51</f>
        <v>120050.92</v>
      </c>
      <c r="F51" s="586">
        <v>120050.92</v>
      </c>
      <c r="G51" s="549">
        <f t="shared" si="3"/>
        <v>0</v>
      </c>
      <c r="H51" s="536">
        <f>G51+'[4]1'!H51</f>
        <v>0</v>
      </c>
      <c r="I51" s="531"/>
      <c r="J51" s="629">
        <f>H51/DAY(B2)</f>
        <v>0</v>
      </c>
      <c r="K51" s="467"/>
      <c r="L51" s="408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'[4]1'!F52</f>
        <v>507912.71</v>
      </c>
      <c r="F52" s="586">
        <v>507912.71</v>
      </c>
      <c r="G52" s="549">
        <f t="shared" si="3"/>
        <v>0</v>
      </c>
      <c r="H52" s="536">
        <f>G52+'[4]1'!H52</f>
        <v>0</v>
      </c>
      <c r="I52" s="531"/>
      <c r="J52" s="629">
        <f>H52/DAY(B2)</f>
        <v>0</v>
      </c>
      <c r="K52" s="467"/>
      <c r="L52" s="408"/>
      <c r="O52" s="413"/>
    </row>
    <row r="53" spans="1:15">
      <c r="A53" s="655" t="s">
        <v>168</v>
      </c>
      <c r="B53" s="678"/>
      <c r="C53" s="678"/>
      <c r="D53" s="599" t="s">
        <v>132</v>
      </c>
      <c r="E53" s="586">
        <f>'[4]1'!F53</f>
        <v>331854.51</v>
      </c>
      <c r="F53" s="586">
        <v>331854.51</v>
      </c>
      <c r="G53" s="549">
        <f t="shared" si="3"/>
        <v>0</v>
      </c>
      <c r="H53" s="536">
        <f>G53+'[4]1'!H53</f>
        <v>0</v>
      </c>
      <c r="I53" s="531"/>
      <c r="J53" s="629">
        <f>H53/DAY(B2)</f>
        <v>0</v>
      </c>
      <c r="K53" s="467"/>
      <c r="L53" s="408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'[4]1'!F54</f>
        <v>8163.82</v>
      </c>
      <c r="F54" s="586">
        <v>8200.0300000000007</v>
      </c>
      <c r="G54" s="549">
        <f t="shared" si="3"/>
        <v>36.210000000000946</v>
      </c>
      <c r="H54" s="536">
        <f>G54+'[4]1'!H54</f>
        <v>104.40000000000055</v>
      </c>
      <c r="I54" s="531"/>
      <c r="J54" s="629">
        <f>H54/DAY(B2)</f>
        <v>34.800000000000182</v>
      </c>
      <c r="K54" s="467"/>
      <c r="L54" s="408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'[4]1'!F55</f>
        <v>122678.46</v>
      </c>
      <c r="F55" s="1119">
        <v>126470</v>
      </c>
      <c r="G55" s="549">
        <f t="shared" si="3"/>
        <v>3791.5399999999936</v>
      </c>
      <c r="H55" s="536">
        <f>G55+'[4]1'!H55</f>
        <v>8884.3099999999977</v>
      </c>
      <c r="I55" s="531"/>
      <c r="J55" s="629">
        <f>H55/DAY(B2)</f>
        <v>2961.436666666666</v>
      </c>
      <c r="K55" s="467"/>
      <c r="L55" s="408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'[4]1'!F56</f>
        <v>586707.91</v>
      </c>
      <c r="F56" s="1119">
        <v>588549.03</v>
      </c>
      <c r="G56" s="549">
        <f t="shared" si="3"/>
        <v>1841.1199999999953</v>
      </c>
      <c r="H56" s="536">
        <f>G56+'[4]1'!H56</f>
        <v>2498</v>
      </c>
      <c r="I56" s="531"/>
      <c r="J56" s="629">
        <f>H56/DAY(B2)</f>
        <v>832.66666666666663</v>
      </c>
      <c r="K56" s="466"/>
      <c r="L56" s="408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'[4]1'!F57</f>
        <v>7711.33</v>
      </c>
      <c r="F57" s="586">
        <v>7711.33</v>
      </c>
      <c r="G57" s="549">
        <f t="shared" si="3"/>
        <v>0</v>
      </c>
      <c r="H57" s="536">
        <f>G57+'[4]1'!H57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'[4]1'!F58</f>
        <v>36099.440000000002</v>
      </c>
      <c r="F58" s="734">
        <v>36312.120000000003</v>
      </c>
      <c r="G58" s="549">
        <f t="shared" si="3"/>
        <v>212.68000000000029</v>
      </c>
      <c r="H58" s="536">
        <f>G58+'[4]1'!H58</f>
        <v>443.42000000000553</v>
      </c>
      <c r="I58" s="531"/>
      <c r="J58" s="629">
        <f>H58/DAY(B2)</f>
        <v>147.80666666666852</v>
      </c>
      <c r="K58" s="467"/>
      <c r="L58" s="408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7481.9099999999762</v>
      </c>
      <c r="H59" s="536">
        <f>G59+'[4]1'!H59</f>
        <v>15166.409999999974</v>
      </c>
      <c r="I59" s="531">
        <f>G7-G60</f>
        <v>324.21899999997913</v>
      </c>
      <c r="J59" s="629">
        <f>H59/DAY(B2)</f>
        <v>5055.4699999999912</v>
      </c>
      <c r="K59" s="467"/>
      <c r="L59" s="408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22054.781000000021</v>
      </c>
      <c r="H60" s="536">
        <f>G60+'[4]1'!H60</f>
        <v>44067.641000000003</v>
      </c>
      <c r="I60" s="531">
        <f>G13-G60</f>
        <v>-326.05100000001767</v>
      </c>
      <c r="J60" s="629">
        <f>H60/DAY(B2)</f>
        <v>14689.213666666668</v>
      </c>
      <c r="K60" s="467"/>
      <c r="L60" s="408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'[4]1'!F62</f>
        <v>20419.188999999998</v>
      </c>
      <c r="F62" s="590">
        <v>20419.188999999998</v>
      </c>
      <c r="G62" s="549">
        <f t="shared" ref="G62:G69" si="4">F62-E62</f>
        <v>0</v>
      </c>
      <c r="H62" s="536">
        <f>G62+'[4]1'!H62</f>
        <v>1.9999999967694748E-3</v>
      </c>
      <c r="I62" s="591"/>
      <c r="J62" s="629">
        <f>H62/DAY(B2)</f>
        <v>6.666666655898249E-4</v>
      </c>
      <c r="K62" s="467"/>
      <c r="L62" s="408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'[4]1'!F63</f>
        <v>1721.57</v>
      </c>
      <c r="F63" s="590">
        <v>1733.45</v>
      </c>
      <c r="G63" s="549">
        <f t="shared" si="4"/>
        <v>11.880000000000109</v>
      </c>
      <c r="H63" s="536">
        <f>G63+'[4]1'!H63</f>
        <v>26.090000000000146</v>
      </c>
      <c r="I63" s="591"/>
      <c r="J63" s="629">
        <f>H63/DAY(B2)</f>
        <v>8.6966666666667152</v>
      </c>
      <c r="K63" s="467"/>
      <c r="L63" s="408"/>
      <c r="O63" s="413"/>
    </row>
    <row r="64" spans="1:15" ht="27.75">
      <c r="A64" s="1430" t="s">
        <v>99</v>
      </c>
      <c r="B64" s="1431"/>
      <c r="C64" s="1432"/>
      <c r="D64" s="599" t="s">
        <v>187</v>
      </c>
      <c r="E64" s="560">
        <f>'[4]1'!F64</f>
        <v>124127.85</v>
      </c>
      <c r="F64" s="554">
        <v>124657.34</v>
      </c>
      <c r="G64" s="549">
        <f t="shared" si="4"/>
        <v>529.48999999999069</v>
      </c>
      <c r="H64" s="536">
        <f>G64+'[4]1'!H64</f>
        <v>1030.0399999999936</v>
      </c>
      <c r="I64" s="556"/>
      <c r="J64" s="629">
        <f>H64/DAY(B2)</f>
        <v>343.34666666666453</v>
      </c>
      <c r="K64" s="467"/>
      <c r="L64" s="408"/>
      <c r="O64" s="413"/>
    </row>
    <row r="65" spans="1:15" ht="27.75">
      <c r="A65" s="1430" t="s">
        <v>100</v>
      </c>
      <c r="B65" s="1431"/>
      <c r="C65" s="1432"/>
      <c r="D65" s="599" t="s">
        <v>187</v>
      </c>
      <c r="E65" s="560">
        <f>'[4]1'!F65</f>
        <v>132996.35999999999</v>
      </c>
      <c r="F65" s="732">
        <v>133392.66</v>
      </c>
      <c r="G65" s="549">
        <f t="shared" si="4"/>
        <v>396.30000000001746</v>
      </c>
      <c r="H65" s="536">
        <f>G65+'[4]1'!H65</f>
        <v>795.36000000001513</v>
      </c>
      <c r="I65" s="565"/>
      <c r="J65" s="629">
        <f>H65/DAY(B2)</f>
        <v>265.12000000000506</v>
      </c>
      <c r="K65" s="467"/>
      <c r="L65" s="408"/>
      <c r="O65" s="413"/>
    </row>
    <row r="66" spans="1:15" ht="27.75">
      <c r="A66" s="1430" t="s">
        <v>101</v>
      </c>
      <c r="B66" s="1431"/>
      <c r="C66" s="1432"/>
      <c r="D66" s="599" t="s">
        <v>187</v>
      </c>
      <c r="E66" s="560">
        <f>'[4]1'!F66</f>
        <v>25566.36</v>
      </c>
      <c r="F66" s="554">
        <v>25980.5</v>
      </c>
      <c r="G66" s="549">
        <f t="shared" si="4"/>
        <v>414.13999999999942</v>
      </c>
      <c r="H66" s="536">
        <f>G66+'[4]1'!H66</f>
        <v>820.75</v>
      </c>
      <c r="I66" s="556"/>
      <c r="J66" s="629">
        <f>H66/DAY(B2)</f>
        <v>273.58333333333331</v>
      </c>
      <c r="K66" s="467"/>
      <c r="L66" s="408"/>
      <c r="O66" s="413"/>
    </row>
    <row r="67" spans="1:15" ht="27.75">
      <c r="A67" s="1430" t="s">
        <v>102</v>
      </c>
      <c r="B67" s="1431"/>
      <c r="C67" s="1432"/>
      <c r="D67" s="599" t="s">
        <v>187</v>
      </c>
      <c r="E67" s="560">
        <f>'[4]1'!F67</f>
        <v>208546.07</v>
      </c>
      <c r="F67" s="554">
        <v>209249</v>
      </c>
      <c r="G67" s="549">
        <f t="shared" si="4"/>
        <v>702.92999999999302</v>
      </c>
      <c r="H67" s="536">
        <f>G67+'[4]1'!H67</f>
        <v>1407.1700000000128</v>
      </c>
      <c r="I67" s="565"/>
      <c r="J67" s="629">
        <f>H67/DAY(B2)</f>
        <v>469.05666666667094</v>
      </c>
      <c r="K67" s="468"/>
      <c r="L67" s="408"/>
      <c r="O67" s="413"/>
    </row>
    <row r="68" spans="1:15" ht="27.75">
      <c r="A68" s="1430" t="s">
        <v>103</v>
      </c>
      <c r="B68" s="1431"/>
      <c r="C68" s="1432"/>
      <c r="D68" s="599" t="s">
        <v>187</v>
      </c>
      <c r="E68" s="560">
        <f>'[4]1'!F68</f>
        <v>73027.42</v>
      </c>
      <c r="F68" s="554">
        <v>73391.91</v>
      </c>
      <c r="G68" s="549">
        <f t="shared" si="4"/>
        <v>364.49000000000524</v>
      </c>
      <c r="H68" s="536">
        <f>G68+'[4]1'!H68</f>
        <v>713.38999999999942</v>
      </c>
      <c r="I68" s="592"/>
      <c r="J68" s="629">
        <f>H68/DAY(B2)</f>
        <v>237.79666666666648</v>
      </c>
      <c r="K68" s="469"/>
      <c r="L68" s="408"/>
      <c r="O68" s="413"/>
    </row>
    <row r="69" spans="1:15" ht="27.75">
      <c r="A69" s="1430" t="s">
        <v>104</v>
      </c>
      <c r="B69" s="1431"/>
      <c r="C69" s="1432"/>
      <c r="D69" s="599" t="s">
        <v>187</v>
      </c>
      <c r="E69" s="560">
        <f>'[4]1'!F69</f>
        <v>64776.091</v>
      </c>
      <c r="F69" s="554">
        <v>65103.12</v>
      </c>
      <c r="G69" s="549">
        <f t="shared" si="4"/>
        <v>327.02900000000227</v>
      </c>
      <c r="H69" s="536">
        <f>G69+'[4]1'!H69</f>
        <v>651.03000000000611</v>
      </c>
      <c r="I69" s="592"/>
      <c r="J69" s="629">
        <f>H69/DAY(B2)</f>
        <v>217.01000000000204</v>
      </c>
      <c r="K69" s="470"/>
      <c r="L69" s="408"/>
      <c r="O69" s="413"/>
    </row>
    <row r="70" spans="1:15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O71" s="413"/>
    </row>
    <row r="72" spans="1:15" ht="27.75">
      <c r="A72" s="1430" t="s">
        <v>191</v>
      </c>
      <c r="B72" s="1431"/>
      <c r="C72" s="1432"/>
      <c r="D72" s="599" t="s">
        <v>187</v>
      </c>
      <c r="E72" s="595">
        <f>'[4]1'!F72</f>
        <v>850662</v>
      </c>
      <c r="F72" s="735">
        <v>850735</v>
      </c>
      <c r="G72" s="549">
        <f t="shared" ref="G72:G84" si="5">F72-E72</f>
        <v>73</v>
      </c>
      <c r="H72" s="536">
        <f>G72+'[4]1'!H72</f>
        <v>143</v>
      </c>
      <c r="I72" s="556"/>
      <c r="J72" s="629">
        <f>H72/DAY(B2)</f>
        <v>47.666666666666664</v>
      </c>
      <c r="K72" s="470"/>
      <c r="L72" s="408"/>
      <c r="O72" s="413"/>
    </row>
    <row r="73" spans="1:15" ht="27.75">
      <c r="A73" s="1430" t="s">
        <v>192</v>
      </c>
      <c r="B73" s="1431"/>
      <c r="C73" s="1432"/>
      <c r="D73" s="599" t="s">
        <v>187</v>
      </c>
      <c r="E73" s="596">
        <f>'[4]1'!F73</f>
        <v>885772</v>
      </c>
      <c r="F73" s="736">
        <v>885772</v>
      </c>
      <c r="G73" s="733">
        <f t="shared" si="5"/>
        <v>0</v>
      </c>
      <c r="H73" s="536">
        <f>G73+'[4]1'!H73</f>
        <v>0</v>
      </c>
      <c r="I73" s="556"/>
      <c r="J73" s="629">
        <f>H73/DAY(B2)</f>
        <v>0</v>
      </c>
      <c r="K73" s="469"/>
      <c r="L73" s="408"/>
      <c r="O73" s="413"/>
    </row>
    <row r="74" spans="1:15" ht="27.75">
      <c r="A74" s="1430" t="s">
        <v>193</v>
      </c>
      <c r="B74" s="1431"/>
      <c r="C74" s="1432"/>
      <c r="D74" s="599" t="s">
        <v>187</v>
      </c>
      <c r="E74" s="597">
        <f>'[4]1'!F74</f>
        <v>625.02</v>
      </c>
      <c r="F74" s="735">
        <v>656.16</v>
      </c>
      <c r="G74" s="549">
        <f t="shared" si="5"/>
        <v>31.139999999999986</v>
      </c>
      <c r="H74" s="536">
        <f>G74+'[4]1'!H74</f>
        <v>69.990000000000009</v>
      </c>
      <c r="I74" s="556"/>
      <c r="J74" s="629">
        <f>H74/DAY(B2)</f>
        <v>23.330000000000002</v>
      </c>
      <c r="K74" s="470"/>
      <c r="L74" s="408"/>
      <c r="O74" s="413"/>
    </row>
    <row r="75" spans="1:15" ht="27.75">
      <c r="A75" s="1479" t="s">
        <v>194</v>
      </c>
      <c r="B75" s="1480"/>
      <c r="C75" s="1481"/>
      <c r="D75" s="599" t="s">
        <v>187</v>
      </c>
      <c r="E75" s="597">
        <f>'[4]1'!F75</f>
        <v>3663.87</v>
      </c>
      <c r="F75" s="737">
        <v>3814.26</v>
      </c>
      <c r="G75" s="549">
        <f t="shared" si="5"/>
        <v>150.39000000000033</v>
      </c>
      <c r="H75" s="536">
        <f>G75+'[4]1'!H75</f>
        <v>295.04000000000042</v>
      </c>
      <c r="I75" s="556"/>
      <c r="J75" s="629">
        <f>H75/DAY(B2)</f>
        <v>98.346666666666806</v>
      </c>
      <c r="K75" s="469"/>
      <c r="L75" s="408"/>
      <c r="O75" s="413"/>
    </row>
    <row r="76" spans="1:15" ht="27.75">
      <c r="A76" s="1479" t="s">
        <v>195</v>
      </c>
      <c r="B76" s="1480"/>
      <c r="C76" s="1481"/>
      <c r="D76" s="599" t="s">
        <v>187</v>
      </c>
      <c r="E76" s="596">
        <f>'[4]1'!F76</f>
        <v>1593.49</v>
      </c>
      <c r="F76" s="736">
        <v>1674.12</v>
      </c>
      <c r="G76" s="549">
        <f t="shared" si="5"/>
        <v>80.629999999999882</v>
      </c>
      <c r="H76" s="536">
        <f>G76+'[4]1'!H76</f>
        <v>159.77999999999997</v>
      </c>
      <c r="I76" s="581"/>
      <c r="J76" s="629">
        <f>H76/DAY(B2)</f>
        <v>53.259999999999991</v>
      </c>
      <c r="K76" s="469"/>
      <c r="L76" s="408"/>
      <c r="O76" s="413"/>
    </row>
    <row r="77" spans="1:15" ht="27.75">
      <c r="A77" s="1430" t="s">
        <v>196</v>
      </c>
      <c r="B77" s="1431"/>
      <c r="C77" s="1432"/>
      <c r="D77" s="599" t="s">
        <v>187</v>
      </c>
      <c r="E77" s="596">
        <f>'[4]1'!F77</f>
        <v>698633</v>
      </c>
      <c r="F77" s="736">
        <v>698678</v>
      </c>
      <c r="G77" s="733">
        <f t="shared" si="5"/>
        <v>45</v>
      </c>
      <c r="H77" s="536">
        <f>G77+'[4]1'!H77</f>
        <v>90</v>
      </c>
      <c r="I77" s="581"/>
      <c r="J77" s="629">
        <f>H77/DAY(B2)</f>
        <v>30</v>
      </c>
      <c r="K77" s="469"/>
      <c r="L77" s="408"/>
      <c r="O77" s="413"/>
    </row>
    <row r="78" spans="1:15" ht="27.75">
      <c r="A78" s="1398" t="s">
        <v>197</v>
      </c>
      <c r="B78" s="1391"/>
      <c r="C78" s="1391"/>
      <c r="D78" s="599" t="s">
        <v>187</v>
      </c>
      <c r="E78" s="597">
        <f>'[4]1'!F78</f>
        <v>653253</v>
      </c>
      <c r="F78" s="737">
        <v>653630</v>
      </c>
      <c r="G78" s="549">
        <f t="shared" si="5"/>
        <v>377</v>
      </c>
      <c r="H78" s="536">
        <f>G78+'[4]1'!H78</f>
        <v>767</v>
      </c>
      <c r="I78" s="581"/>
      <c r="J78" s="629">
        <f>H78/DAY(B2)</f>
        <v>255.66666666666666</v>
      </c>
      <c r="K78" s="469"/>
      <c r="L78" s="408"/>
      <c r="O78" s="413"/>
    </row>
    <row r="79" spans="1:15" ht="27.75">
      <c r="A79" s="1479" t="s">
        <v>92</v>
      </c>
      <c r="B79" s="1480"/>
      <c r="C79" s="1481"/>
      <c r="D79" s="600" t="s">
        <v>187</v>
      </c>
      <c r="E79" s="597">
        <f>'[4]1'!F79</f>
        <v>815301</v>
      </c>
      <c r="F79" s="737">
        <v>815599</v>
      </c>
      <c r="G79" s="549">
        <f t="shared" si="5"/>
        <v>298</v>
      </c>
      <c r="H79" s="536">
        <f>G79+'[4]1'!H79</f>
        <v>490</v>
      </c>
      <c r="I79" s="581"/>
      <c r="J79" s="629">
        <f>H79/DAY(B2)</f>
        <v>163.33333333333334</v>
      </c>
      <c r="K79" s="469"/>
      <c r="L79" s="408"/>
      <c r="O79" s="413"/>
    </row>
    <row r="80" spans="1:15" ht="27.75">
      <c r="A80" s="1479" t="s">
        <v>198</v>
      </c>
      <c r="B80" s="1480"/>
      <c r="C80" s="1481"/>
      <c r="D80" s="600" t="s">
        <v>187</v>
      </c>
      <c r="E80" s="596">
        <f>'[4]1'!F80</f>
        <v>495088.64000000001</v>
      </c>
      <c r="F80" s="736">
        <v>495488.36</v>
      </c>
      <c r="G80" s="549">
        <f t="shared" si="5"/>
        <v>399.71999999997206</v>
      </c>
      <c r="H80" s="536">
        <f>G80+'[4]1'!H80</f>
        <v>814.71999999997206</v>
      </c>
      <c r="I80" s="581"/>
      <c r="J80" s="629">
        <f>H80/DAY(B2)</f>
        <v>271.573333333324</v>
      </c>
      <c r="K80" s="469"/>
      <c r="L80" s="408"/>
      <c r="O80" s="413"/>
    </row>
    <row r="81" spans="1:15" ht="27.75">
      <c r="A81" s="1479" t="s">
        <v>199</v>
      </c>
      <c r="B81" s="1480"/>
      <c r="C81" s="1481"/>
      <c r="D81" s="600" t="s">
        <v>187</v>
      </c>
      <c r="E81" s="596">
        <f>'[4]1'!F81</f>
        <v>626056.4</v>
      </c>
      <c r="F81" s="736">
        <v>626157.64</v>
      </c>
      <c r="G81" s="549">
        <f t="shared" si="5"/>
        <v>101.23999999999069</v>
      </c>
      <c r="H81" s="536">
        <f>G81+'[4]1'!H81</f>
        <v>213.80000000004657</v>
      </c>
      <c r="I81" s="581"/>
      <c r="J81" s="629">
        <f>H81/DAY(B2)</f>
        <v>71.266666666682184</v>
      </c>
      <c r="K81" s="469"/>
      <c r="L81" s="408"/>
      <c r="O81" s="413"/>
    </row>
    <row r="82" spans="1:15" ht="27.75">
      <c r="A82" s="1479" t="s">
        <v>93</v>
      </c>
      <c r="B82" s="1480"/>
      <c r="C82" s="1481"/>
      <c r="D82" s="561" t="s">
        <v>132</v>
      </c>
      <c r="E82" s="596">
        <f>'[4]1'!F82</f>
        <v>106220.65</v>
      </c>
      <c r="F82" s="732">
        <v>106242.13</v>
      </c>
      <c r="G82" s="549">
        <f t="shared" si="5"/>
        <v>21.480000000010477</v>
      </c>
      <c r="H82" s="536">
        <f>G82+'[4]1'!H82</f>
        <v>39.650000000008731</v>
      </c>
      <c r="I82" s="562"/>
      <c r="J82" s="629">
        <f>H82/DAY(B2)</f>
        <v>13.216666666669576</v>
      </c>
      <c r="K82" s="469"/>
      <c r="L82" s="408"/>
      <c r="O82" s="413"/>
    </row>
    <row r="83" spans="1:15" ht="27.75">
      <c r="A83" s="1479" t="s">
        <v>200</v>
      </c>
      <c r="B83" s="1480"/>
      <c r="C83" s="1481"/>
      <c r="D83" s="697" t="s">
        <v>132</v>
      </c>
      <c r="E83" s="587">
        <f>'[4]1'!F83</f>
        <v>996969</v>
      </c>
      <c r="F83" s="587">
        <v>997516</v>
      </c>
      <c r="G83" s="549">
        <f t="shared" si="5"/>
        <v>547</v>
      </c>
      <c r="H83" s="536">
        <f>G83+'[4]1'!H83</f>
        <v>1067</v>
      </c>
      <c r="I83" s="557"/>
      <c r="J83" s="629">
        <f>H83/DAY(B2)</f>
        <v>355.66666666666669</v>
      </c>
      <c r="K83" s="468"/>
      <c r="L83" s="408"/>
      <c r="O83" s="413"/>
    </row>
    <row r="84" spans="1:15">
      <c r="A84" s="1399" t="s">
        <v>201</v>
      </c>
      <c r="B84" s="648"/>
      <c r="C84" s="648"/>
      <c r="D84" s="554" t="s">
        <v>132</v>
      </c>
      <c r="E84" s="704">
        <f>'[4]1'!F84</f>
        <v>431488</v>
      </c>
      <c r="F84" s="704">
        <v>432215</v>
      </c>
      <c r="G84" s="549">
        <f t="shared" si="5"/>
        <v>727</v>
      </c>
      <c r="H84" s="536">
        <f>G84+'[4]1'!H84</f>
        <v>1417</v>
      </c>
      <c r="I84" s="557"/>
      <c r="J84" s="629">
        <f>H84/DAY(B2)</f>
        <v>472.33333333333331</v>
      </c>
      <c r="K84" s="411"/>
      <c r="L84" s="408"/>
      <c r="O84" s="413"/>
    </row>
    <row r="85" spans="1:15" s="410" customFormat="1">
      <c r="A85" s="682" t="s">
        <v>202</v>
      </c>
      <c r="B85" s="649"/>
      <c r="C85" s="649"/>
      <c r="D85" s="565"/>
      <c r="E85" s="704">
        <f>'[4]1'!F85</f>
        <v>0</v>
      </c>
      <c r="F85" s="599"/>
      <c r="G85" s="536">
        <f xml:space="preserve"> SUM(G71:G84)</f>
        <v>2851.5999999999735</v>
      </c>
      <c r="H85" s="536">
        <f>G85+'[4]1'!H84</f>
        <v>3541.5999999999735</v>
      </c>
      <c r="I85" s="557"/>
      <c r="J85" s="629">
        <f>H85/DAY(B2)</f>
        <v>1180.5333333333244</v>
      </c>
      <c r="K85" s="411"/>
      <c r="L85" s="409"/>
      <c r="O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'[4]1'!F86</f>
        <v>450506.84</v>
      </c>
      <c r="F86" s="728">
        <v>450647.2</v>
      </c>
      <c r="G86" s="787">
        <f t="shared" ref="G86:G90" si="6">F86-E86</f>
        <v>140.35999999998603</v>
      </c>
      <c r="H86" s="536">
        <f>G86+'[4]1'!H86</f>
        <v>278.6699999999837</v>
      </c>
      <c r="I86" s="733"/>
      <c r="J86" s="789">
        <f>H86/DAY(B2)</f>
        <v>92.889999999994572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'[4]1'!F87</f>
        <v>79246.899999999994</v>
      </c>
      <c r="F87" s="728">
        <v>79285.100000000006</v>
      </c>
      <c r="G87" s="787">
        <f t="shared" si="6"/>
        <v>38.200000000011642</v>
      </c>
      <c r="H87" s="536">
        <f>G87+'[4]1'!H87</f>
        <v>77.400000000008731</v>
      </c>
      <c r="I87" s="733"/>
      <c r="J87" s="789">
        <f>H87/DAY(B2)</f>
        <v>25.80000000000291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'[4]1'!F88</f>
        <v>148316.29</v>
      </c>
      <c r="F88" s="728">
        <v>148388.41</v>
      </c>
      <c r="G88" s="787">
        <f t="shared" si="6"/>
        <v>72.119999999995343</v>
      </c>
      <c r="H88" s="536">
        <f>G88+'[4]1'!H88</f>
        <v>123.80000000001746</v>
      </c>
      <c r="I88" s="733"/>
      <c r="J88" s="789">
        <f>H88/DAY(B2)</f>
        <v>41.266666666672485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'[4]1'!F89</f>
        <v>61732.800000000003</v>
      </c>
      <c r="F89" s="728">
        <v>61817.8</v>
      </c>
      <c r="G89" s="787">
        <f t="shared" si="6"/>
        <v>85</v>
      </c>
      <c r="H89" s="536">
        <f>G89+'[4]1'!H89</f>
        <v>142.70000000000437</v>
      </c>
      <c r="I89" s="733"/>
      <c r="J89" s="789">
        <f>H89/DAY(B2)</f>
        <v>47.566666666668119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'[4]1'!F90</f>
        <v>3168.3</v>
      </c>
      <c r="F90" s="728">
        <v>3173.2</v>
      </c>
      <c r="G90" s="787">
        <f t="shared" si="6"/>
        <v>4.8999999999996362</v>
      </c>
      <c r="H90" s="536">
        <f>G90+'[4]1'!H90</f>
        <v>10.299999999999727</v>
      </c>
      <c r="I90" s="733"/>
      <c r="J90" s="789">
        <f>H90/DAY(B2)</f>
        <v>3.4333333333332425</v>
      </c>
      <c r="K90" s="815"/>
      <c r="L90" s="816"/>
      <c r="N90" s="860"/>
      <c r="O90" s="413"/>
    </row>
    <row r="91" spans="1:15" s="410" customFormat="1">
      <c r="A91" s="683" t="s">
        <v>205</v>
      </c>
      <c r="B91" s="1401"/>
      <c r="C91" s="1401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'[4]1'!F92</f>
        <v>239817</v>
      </c>
      <c r="F92" s="554">
        <v>239912</v>
      </c>
      <c r="G92" s="549">
        <f t="shared" ref="G92:G93" si="7">F92-E92</f>
        <v>95</v>
      </c>
      <c r="H92" s="536">
        <f>G92+'[4]1'!H92</f>
        <v>217</v>
      </c>
      <c r="I92" s="556"/>
      <c r="J92" s="629">
        <f>H92/DAY(B2)</f>
        <v>72.333333333333329</v>
      </c>
      <c r="K92" s="468"/>
      <c r="L92" s="408"/>
      <c r="O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'[4]1'!F93</f>
        <v>175805</v>
      </c>
      <c r="F93" s="554">
        <v>175994</v>
      </c>
      <c r="G93" s="549">
        <f t="shared" si="7"/>
        <v>189</v>
      </c>
      <c r="H93" s="536">
        <f>G93+'[4]1'!H93</f>
        <v>333</v>
      </c>
      <c r="I93" s="556"/>
      <c r="J93" s="629">
        <f>H93/DAY(B2)</f>
        <v>111</v>
      </c>
      <c r="K93" s="411"/>
      <c r="L93" s="408"/>
      <c r="O93" s="413"/>
    </row>
    <row r="94" spans="1:15">
      <c r="A94" s="1427" t="s">
        <v>208</v>
      </c>
      <c r="B94" s="1428"/>
      <c r="C94" s="1429"/>
      <c r="D94" s="599"/>
      <c r="E94" s="560"/>
      <c r="F94" s="554"/>
      <c r="G94" s="549">
        <f>G92+G93</f>
        <v>284</v>
      </c>
      <c r="H94" s="536">
        <f>G94+'[4]1'!H94</f>
        <v>284</v>
      </c>
      <c r="I94" s="556"/>
      <c r="J94" s="629">
        <f>H94/DAY(B2)</f>
        <v>94.666666666666671</v>
      </c>
      <c r="K94" s="411"/>
      <c r="L94" s="408"/>
      <c r="O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'[4]1'!F95</f>
        <v>408232</v>
      </c>
      <c r="F95" s="554">
        <v>408317</v>
      </c>
      <c r="G95" s="549">
        <f t="shared" ref="G95:G100" si="8">F95-E95</f>
        <v>85</v>
      </c>
      <c r="H95" s="536">
        <f>G95+'[4]1'!H95</f>
        <v>161</v>
      </c>
      <c r="I95" s="556"/>
      <c r="J95" s="629">
        <f>H95/DAY(B2)</f>
        <v>53.666666666666664</v>
      </c>
      <c r="K95" s="411"/>
      <c r="L95" s="408"/>
      <c r="O95" s="413"/>
    </row>
    <row r="96" spans="1:15" ht="27.75">
      <c r="A96" s="1395" t="s">
        <v>210</v>
      </c>
      <c r="B96" s="1396"/>
      <c r="C96" s="1396"/>
      <c r="D96" s="599" t="s">
        <v>144</v>
      </c>
      <c r="E96" s="560">
        <f>'[4]1'!F96</f>
        <v>101345</v>
      </c>
      <c r="F96" s="554">
        <v>101363</v>
      </c>
      <c r="G96" s="549">
        <f t="shared" si="8"/>
        <v>18</v>
      </c>
      <c r="H96" s="536">
        <f>G96+'[4]1'!H96</f>
        <v>31</v>
      </c>
      <c r="I96" s="556"/>
      <c r="J96" s="629">
        <f>H96/DAY(B2)</f>
        <v>10.333333333333334</v>
      </c>
      <c r="K96" s="466"/>
      <c r="L96" s="408"/>
      <c r="O96" s="413"/>
    </row>
    <row r="97" spans="1:15" ht="27.75">
      <c r="A97" s="1395" t="s">
        <v>211</v>
      </c>
      <c r="B97" s="1396"/>
      <c r="C97" s="1396"/>
      <c r="D97" s="599" t="s">
        <v>144</v>
      </c>
      <c r="E97" s="560">
        <f>'[4]1'!F97</f>
        <v>96473</v>
      </c>
      <c r="F97" s="554">
        <v>96492</v>
      </c>
      <c r="G97" s="549">
        <f t="shared" si="8"/>
        <v>19</v>
      </c>
      <c r="H97" s="536">
        <f>G97+'[4]1'!H97</f>
        <v>43</v>
      </c>
      <c r="I97" s="556"/>
      <c r="J97" s="629">
        <f>H97/DAY(B2)</f>
        <v>14.333333333333334</v>
      </c>
      <c r="K97" s="471"/>
      <c r="L97" s="408"/>
      <c r="O97" s="413"/>
    </row>
    <row r="98" spans="1:15" ht="27.75">
      <c r="A98" s="1395" t="s">
        <v>212</v>
      </c>
      <c r="B98" s="1396"/>
      <c r="C98" s="1396"/>
      <c r="D98" s="599" t="s">
        <v>144</v>
      </c>
      <c r="E98" s="560">
        <f>'[4]1'!F98</f>
        <v>147678</v>
      </c>
      <c r="F98" s="554">
        <v>147779</v>
      </c>
      <c r="G98" s="549">
        <f t="shared" si="8"/>
        <v>101</v>
      </c>
      <c r="H98" s="536">
        <f>G98+'[4]1'!H98</f>
        <v>171</v>
      </c>
      <c r="I98" s="556"/>
      <c r="J98" s="629">
        <f>H98/DAY(B2)</f>
        <v>57</v>
      </c>
      <c r="K98" s="411"/>
      <c r="L98" s="408"/>
      <c r="O98" s="413"/>
    </row>
    <row r="99" spans="1:15" ht="27.75">
      <c r="A99" s="1395" t="s">
        <v>213</v>
      </c>
      <c r="B99" s="1396"/>
      <c r="C99" s="1396"/>
      <c r="D99" s="599" t="s">
        <v>144</v>
      </c>
      <c r="E99" s="560">
        <f>'[4]1'!F99</f>
        <v>6425</v>
      </c>
      <c r="F99" s="554">
        <v>6444</v>
      </c>
      <c r="G99" s="549">
        <f t="shared" si="8"/>
        <v>19</v>
      </c>
      <c r="H99" s="536">
        <f>G99+'[4]1'!H99</f>
        <v>36</v>
      </c>
      <c r="I99" s="556"/>
      <c r="J99" s="629">
        <f>H99/DAY(B2)</f>
        <v>12</v>
      </c>
      <c r="K99" s="411"/>
      <c r="L99" s="408"/>
      <c r="O99" s="413"/>
    </row>
    <row r="100" spans="1:15" ht="27.75">
      <c r="A100" s="1395" t="s">
        <v>214</v>
      </c>
      <c r="B100" s="1396"/>
      <c r="C100" s="1396"/>
      <c r="D100" s="599" t="s">
        <v>144</v>
      </c>
      <c r="E100" s="560">
        <f>'[4]1'!F100</f>
        <v>4557</v>
      </c>
      <c r="F100" s="554">
        <v>4574</v>
      </c>
      <c r="G100" s="549">
        <f t="shared" si="8"/>
        <v>17</v>
      </c>
      <c r="H100" s="536">
        <f>G100+'[4]1'!H100</f>
        <v>31</v>
      </c>
      <c r="I100" s="556"/>
      <c r="J100" s="629">
        <f>H100/DAY(B2)</f>
        <v>10.333333333333334</v>
      </c>
      <c r="K100" s="411"/>
      <c r="L100" s="408"/>
      <c r="O100" s="413"/>
    </row>
    <row r="101" spans="1:15">
      <c r="A101" s="1427" t="s">
        <v>216</v>
      </c>
      <c r="B101" s="1428"/>
      <c r="C101" s="1429"/>
      <c r="D101" s="600"/>
      <c r="E101" s="600"/>
      <c r="F101" s="600"/>
      <c r="G101" s="601">
        <f>SUM(G95:G100)</f>
        <v>259</v>
      </c>
      <c r="H101" s="536">
        <f>G101+'[4]1'!H101</f>
        <v>473</v>
      </c>
      <c r="I101" s="602"/>
      <c r="J101" s="629">
        <f>H101/DAY(B2)</f>
        <v>157.66666666666666</v>
      </c>
      <c r="K101" s="411"/>
      <c r="L101" s="408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36" t="s">
        <v>218</v>
      </c>
      <c r="B103" s="1437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438" t="s">
        <v>219</v>
      </c>
      <c r="B104" s="1439"/>
      <c r="C104" s="1393"/>
      <c r="D104" s="699" t="s">
        <v>144</v>
      </c>
      <c r="E104" s="608">
        <f>'[4]1'!F104</f>
        <v>7128</v>
      </c>
      <c r="F104" s="739">
        <v>7128</v>
      </c>
      <c r="G104" s="608">
        <f>F104-E104</f>
        <v>0</v>
      </c>
      <c r="H104" s="536">
        <f>G104+'[4]1'!H104</f>
        <v>0</v>
      </c>
      <c r="I104" s="608"/>
      <c r="J104" s="635">
        <f>H104/DAY(B2)</f>
        <v>0</v>
      </c>
      <c r="O104" s="413"/>
    </row>
    <row r="105" spans="1:15" s="481" customFormat="1" ht="27.75">
      <c r="A105" s="1438" t="s">
        <v>77</v>
      </c>
      <c r="B105" s="1439"/>
      <c r="C105" s="1393"/>
      <c r="D105" s="699" t="s">
        <v>144</v>
      </c>
      <c r="E105" s="610">
        <f>'[4]1'!F105</f>
        <v>35416</v>
      </c>
      <c r="F105" s="740">
        <v>35425</v>
      </c>
      <c r="G105" s="608">
        <f t="shared" ref="G105:G106" si="9">F105-E105</f>
        <v>9</v>
      </c>
      <c r="H105" s="536">
        <f>G105+'[4]1'!H105</f>
        <v>18</v>
      </c>
      <c r="I105" s="608"/>
      <c r="J105" s="635">
        <f>H105/DAY(B2)</f>
        <v>6</v>
      </c>
      <c r="O105" s="413"/>
    </row>
    <row r="106" spans="1:15" s="481" customFormat="1" ht="27.75">
      <c r="A106" s="1438" t="s">
        <v>78</v>
      </c>
      <c r="B106" s="1440"/>
      <c r="C106" s="1439"/>
      <c r="D106" s="699" t="s">
        <v>144</v>
      </c>
      <c r="E106" s="608">
        <f>'[4]1'!F106</f>
        <v>19252</v>
      </c>
      <c r="F106" s="739">
        <v>19257</v>
      </c>
      <c r="G106" s="608">
        <f t="shared" si="9"/>
        <v>5</v>
      </c>
      <c r="H106" s="536">
        <f>G106+'[4]1'!H106</f>
        <v>10</v>
      </c>
      <c r="I106" s="608"/>
      <c r="J106" s="635">
        <f>H106/DAY(B2)</f>
        <v>3.3333333333333335</v>
      </c>
      <c r="O106" s="413"/>
    </row>
    <row r="107" spans="1:15" s="481" customFormat="1" ht="27.75">
      <c r="A107" s="1441" t="s">
        <v>202</v>
      </c>
      <c r="B107" s="1442"/>
      <c r="C107" s="1393"/>
      <c r="D107" s="699"/>
      <c r="E107" s="608"/>
      <c r="F107" s="739"/>
      <c r="G107" s="608">
        <f>SUM(G104:G106)</f>
        <v>14</v>
      </c>
      <c r="H107" s="536">
        <f>G107+'[4]1'!H107</f>
        <v>28</v>
      </c>
      <c r="I107" s="608"/>
      <c r="J107" s="635">
        <f>H107/DAY(B2)</f>
        <v>9.3333333333333339</v>
      </c>
      <c r="O107" s="413"/>
    </row>
    <row r="108" spans="1:15" s="481" customFormat="1" ht="27.75">
      <c r="A108" s="1443" t="s">
        <v>79</v>
      </c>
      <c r="B108" s="1444"/>
      <c r="C108" s="1393"/>
      <c r="D108" s="699" t="s">
        <v>144</v>
      </c>
      <c r="E108" s="608"/>
      <c r="F108" s="739"/>
      <c r="G108" s="608"/>
      <c r="H108" s="536">
        <f>G108+'[4]1'!H108</f>
        <v>0</v>
      </c>
      <c r="I108" s="608"/>
      <c r="J108" s="635"/>
      <c r="O108" s="413"/>
    </row>
    <row r="109" spans="1:15" s="481" customFormat="1" ht="27.75">
      <c r="A109" s="1438" t="s">
        <v>220</v>
      </c>
      <c r="B109" s="1439"/>
      <c r="C109" s="1393"/>
      <c r="D109" s="699" t="s">
        <v>144</v>
      </c>
      <c r="E109" s="608">
        <f>'[4]1'!F109</f>
        <v>56435</v>
      </c>
      <c r="F109" s="739">
        <v>56516</v>
      </c>
      <c r="G109" s="608">
        <f>F109-E109</f>
        <v>81</v>
      </c>
      <c r="H109" s="536">
        <f>G109+'[4]1'!H109</f>
        <v>163</v>
      </c>
      <c r="I109" s="608"/>
      <c r="J109" s="635">
        <f>H109/DAY(B2)</f>
        <v>54.333333333333336</v>
      </c>
      <c r="O109" s="413"/>
    </row>
    <row r="110" spans="1:15" s="481" customFormat="1" ht="27.75">
      <c r="A110" s="1438" t="s">
        <v>221</v>
      </c>
      <c r="B110" s="1439"/>
      <c r="C110" s="1393"/>
      <c r="D110" s="699" t="s">
        <v>144</v>
      </c>
      <c r="E110" s="608">
        <f>'[4]1'!F110</f>
        <v>30593</v>
      </c>
      <c r="F110" s="739">
        <v>30690</v>
      </c>
      <c r="G110" s="608">
        <f t="shared" ref="G110:G111" si="10">F110-E110</f>
        <v>97</v>
      </c>
      <c r="H110" s="536">
        <f>G110+'[4]1'!H110</f>
        <v>163</v>
      </c>
      <c r="I110" s="608"/>
      <c r="J110" s="635">
        <f>H110/DAY(B2)</f>
        <v>54.333333333333336</v>
      </c>
      <c r="O110" s="413"/>
    </row>
    <row r="111" spans="1:15" s="481" customFormat="1" ht="27.75">
      <c r="A111" s="1438" t="s">
        <v>222</v>
      </c>
      <c r="B111" s="1439"/>
      <c r="C111" s="1393"/>
      <c r="D111" s="699" t="s">
        <v>144</v>
      </c>
      <c r="E111" s="608">
        <f>'[4]1'!F111</f>
        <v>3987</v>
      </c>
      <c r="F111" s="739">
        <v>3987</v>
      </c>
      <c r="G111" s="608">
        <f t="shared" si="10"/>
        <v>0</v>
      </c>
      <c r="H111" s="536">
        <f>G111+'[4]1'!H111</f>
        <v>7</v>
      </c>
      <c r="I111" s="608"/>
      <c r="J111" s="635">
        <f>H111/DAY(B2)</f>
        <v>2.3333333333333335</v>
      </c>
      <c r="O111" s="413"/>
    </row>
    <row r="112" spans="1:15" s="481" customFormat="1" ht="27.75">
      <c r="A112" s="1470" t="s">
        <v>110</v>
      </c>
      <c r="B112" s="1471"/>
      <c r="C112" s="1393"/>
      <c r="D112" s="699"/>
      <c r="E112" s="608"/>
      <c r="F112" s="739"/>
      <c r="G112" s="608">
        <f>SUM(G109:G111)</f>
        <v>178</v>
      </c>
      <c r="H112" s="536">
        <f>G112+'[4]1'!H112</f>
        <v>333</v>
      </c>
      <c r="I112" s="608"/>
      <c r="J112" s="635">
        <f>H112/DAY(B2)</f>
        <v>111</v>
      </c>
      <c r="O112" s="413"/>
    </row>
    <row r="113" spans="1:15" s="481" customFormat="1" ht="27.75">
      <c r="A113" s="1443" t="s">
        <v>223</v>
      </c>
      <c r="B113" s="1444"/>
      <c r="C113" s="1393"/>
      <c r="D113" s="699"/>
      <c r="E113" s="608"/>
      <c r="F113" s="739"/>
      <c r="G113" s="608"/>
      <c r="H113" s="536">
        <f>G113+'[4]1'!H113</f>
        <v>0</v>
      </c>
      <c r="I113" s="608"/>
      <c r="J113" s="635">
        <f>H113/DAY(B2)</f>
        <v>0</v>
      </c>
      <c r="O113" s="413"/>
    </row>
    <row r="114" spans="1:15" s="481" customFormat="1" ht="27.75">
      <c r="A114" s="1438" t="s">
        <v>224</v>
      </c>
      <c r="B114" s="1439"/>
      <c r="C114" s="651"/>
      <c r="D114" s="699" t="s">
        <v>144</v>
      </c>
      <c r="E114" s="610">
        <f>'[4]1'!F114</f>
        <v>10341</v>
      </c>
      <c r="F114" s="740">
        <v>10363</v>
      </c>
      <c r="G114" s="610">
        <f>F114-E114</f>
        <v>22</v>
      </c>
      <c r="H114" s="536">
        <f>G114+'[4]1'!H114</f>
        <v>41</v>
      </c>
      <c r="I114" s="608"/>
      <c r="J114" s="635">
        <f>H114/DAY(B2)</f>
        <v>13.666666666666666</v>
      </c>
      <c r="O114" s="413"/>
    </row>
    <row r="115" spans="1:15" s="481" customFormat="1" ht="27.75">
      <c r="A115" s="1438" t="s">
        <v>225</v>
      </c>
      <c r="B115" s="1439"/>
      <c r="C115" s="651"/>
      <c r="D115" s="699" t="s">
        <v>144</v>
      </c>
      <c r="E115" s="610">
        <f>'[4]1'!F115</f>
        <v>7680</v>
      </c>
      <c r="F115" s="740">
        <v>7690</v>
      </c>
      <c r="G115" s="610">
        <f t="shared" ref="G115:G116" si="11">F115-E115</f>
        <v>10</v>
      </c>
      <c r="H115" s="536">
        <f>G115+'[4]1'!H115</f>
        <v>23</v>
      </c>
      <c r="I115" s="608"/>
      <c r="J115" s="635">
        <f>H115/DAY(B2)</f>
        <v>7.666666666666667</v>
      </c>
      <c r="O115" s="413"/>
    </row>
    <row r="116" spans="1:15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1"/>
        <v>0</v>
      </c>
      <c r="H116" s="536">
        <f>G116+'[4]1'!H116</f>
        <v>0</v>
      </c>
      <c r="I116" s="608"/>
      <c r="J116" s="635">
        <f>H116/DAY(B2)</f>
        <v>0</v>
      </c>
      <c r="O116" s="413"/>
    </row>
    <row r="117" spans="1:15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32</v>
      </c>
      <c r="H117" s="536">
        <f>G117+'[4]1'!H117</f>
        <v>64</v>
      </c>
      <c r="I117" s="610"/>
      <c r="J117" s="635">
        <f>H117/DAY(B2)</f>
        <v>21.333333333333332</v>
      </c>
      <c r="O117" s="413"/>
    </row>
    <row r="118" spans="1:15" s="495" customFormat="1" ht="27.75">
      <c r="A118" s="1472" t="s">
        <v>227</v>
      </c>
      <c r="B118" s="1473"/>
      <c r="C118" s="1392"/>
      <c r="D118" s="701" t="s">
        <v>144</v>
      </c>
      <c r="E118" s="612"/>
      <c r="F118" s="741">
        <f>SUM(G19+G92)</f>
        <v>147</v>
      </c>
      <c r="G118" s="612">
        <f>SUM(G19+G92)</f>
        <v>147</v>
      </c>
      <c r="H118" s="536">
        <f>G118+'[4]1'!H118</f>
        <v>317</v>
      </c>
      <c r="I118" s="611"/>
      <c r="J118" s="636">
        <f>H118/DAY(B2)</f>
        <v>105.66666666666667</v>
      </c>
      <c r="O118" s="413"/>
    </row>
    <row r="119" spans="1:15" s="495" customFormat="1" ht="27.75">
      <c r="A119" s="1472" t="s">
        <v>228</v>
      </c>
      <c r="B119" s="1473"/>
      <c r="C119" s="1392"/>
      <c r="D119" s="701" t="s">
        <v>144</v>
      </c>
      <c r="E119" s="612"/>
      <c r="F119" s="741">
        <f>SUM(G95,G96,G97,G99,G100)</f>
        <v>158</v>
      </c>
      <c r="G119" s="612">
        <f>SUM(G95,G96,G97,G99,G100)</f>
        <v>158</v>
      </c>
      <c r="H119" s="536">
        <f>G119+'[4]1'!H119</f>
        <v>302</v>
      </c>
      <c r="I119" s="611"/>
      <c r="J119" s="636">
        <f>H119/DAY(B2)</f>
        <v>100.66666666666667</v>
      </c>
      <c r="O119" s="413"/>
    </row>
    <row r="120" spans="1:15" s="495" customFormat="1" ht="27.75">
      <c r="A120" s="1472" t="s">
        <v>229</v>
      </c>
      <c r="B120" s="1473"/>
      <c r="C120" s="1392"/>
      <c r="D120" s="701" t="s">
        <v>144</v>
      </c>
      <c r="E120" s="610"/>
      <c r="F120" s="740">
        <f>SUM(G112)</f>
        <v>178</v>
      </c>
      <c r="G120" s="610">
        <f>SUM(G112)</f>
        <v>178</v>
      </c>
      <c r="H120" s="536">
        <f>G120+'[4]1'!H120</f>
        <v>333</v>
      </c>
      <c r="I120" s="611"/>
      <c r="J120" s="636">
        <f>H120/DAY(B2)</f>
        <v>111</v>
      </c>
      <c r="O120" s="413"/>
    </row>
    <row r="121" spans="1:15" s="481" customFormat="1" ht="27.75">
      <c r="A121" s="1474"/>
      <c r="B121" s="1475"/>
      <c r="C121" s="1393"/>
      <c r="D121" s="637"/>
      <c r="E121" s="637"/>
      <c r="F121" s="742" t="s">
        <v>215</v>
      </c>
      <c r="G121" s="637"/>
      <c r="H121" s="638"/>
      <c r="I121" s="637"/>
      <c r="J121" s="639"/>
      <c r="O121" s="413"/>
    </row>
    <row r="122" spans="1:15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395" t="s">
        <v>231</v>
      </c>
      <c r="B123" s="1396"/>
      <c r="C123" s="1396"/>
      <c r="D123" s="599" t="s">
        <v>141</v>
      </c>
      <c r="E123" s="554">
        <f>'[4]1'!F123</f>
        <v>811273.1</v>
      </c>
      <c r="F123" s="554">
        <v>811551.39</v>
      </c>
      <c r="G123" s="549">
        <f t="shared" ref="G123:G127" si="12">F123-E123</f>
        <v>278.29000000003725</v>
      </c>
      <c r="H123" s="536">
        <f>G123+'[4]1'!H123</f>
        <v>544.55000000004657</v>
      </c>
      <c r="I123" s="602"/>
      <c r="J123" s="629">
        <f>H123/DAY(B2)</f>
        <v>181.5166666666822</v>
      </c>
      <c r="K123" s="411"/>
      <c r="L123" s="408"/>
      <c r="O123" s="413"/>
    </row>
    <row r="124" spans="1:15" ht="27.75">
      <c r="A124" s="1395" t="s">
        <v>232</v>
      </c>
      <c r="B124" s="1396"/>
      <c r="C124" s="1396"/>
      <c r="D124" s="599" t="s">
        <v>141</v>
      </c>
      <c r="E124" s="703">
        <f>'[4]1'!F124</f>
        <v>73583.399999999994</v>
      </c>
      <c r="F124" s="703">
        <v>73583.399999999994</v>
      </c>
      <c r="G124" s="549">
        <f t="shared" si="12"/>
        <v>0</v>
      </c>
      <c r="H124" s="536">
        <f>G124+'[4]1'!H124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430" t="s">
        <v>233</v>
      </c>
      <c r="B125" s="1431"/>
      <c r="C125" s="1432"/>
      <c r="D125" s="599" t="s">
        <v>141</v>
      </c>
      <c r="E125" s="554">
        <f>'[4]1'!F125</f>
        <v>140043.29</v>
      </c>
      <c r="F125" s="554">
        <v>140124.99</v>
      </c>
      <c r="G125" s="549">
        <f t="shared" si="12"/>
        <v>81.699999999982538</v>
      </c>
      <c r="H125" s="536">
        <f>G125+'[4]1'!H125</f>
        <v>145.64999999999418</v>
      </c>
      <c r="I125" s="602"/>
      <c r="J125" s="629">
        <f>H125/DAY(B2)</f>
        <v>48.549999999998057</v>
      </c>
      <c r="K125" s="411"/>
      <c r="L125" s="408"/>
      <c r="O125" s="413"/>
    </row>
    <row r="126" spans="1:15" ht="27.75">
      <c r="A126" s="686" t="s">
        <v>234</v>
      </c>
      <c r="B126" s="1396"/>
      <c r="C126" s="1396"/>
      <c r="D126" s="599" t="s">
        <v>141</v>
      </c>
      <c r="E126" s="703">
        <f>'[4]1'!F126</f>
        <v>59332</v>
      </c>
      <c r="F126" s="703">
        <v>59358.9</v>
      </c>
      <c r="G126" s="549">
        <f t="shared" si="12"/>
        <v>26.900000000001455</v>
      </c>
      <c r="H126" s="536">
        <f>G126+'[4]1'!H126</f>
        <v>52</v>
      </c>
      <c r="I126" s="602"/>
      <c r="J126" s="629">
        <f>H126/DAY(B2)</f>
        <v>17.333333333333332</v>
      </c>
      <c r="K126" s="411"/>
      <c r="L126" s="408"/>
      <c r="O126" s="413"/>
    </row>
    <row r="127" spans="1:15" ht="27.75">
      <c r="A127" s="686" t="s">
        <v>235</v>
      </c>
      <c r="B127" s="1396"/>
      <c r="C127" s="1396"/>
      <c r="D127" s="599" t="s">
        <v>141</v>
      </c>
      <c r="E127" s="703">
        <f>'[4]1'!F127</f>
        <v>8889.9</v>
      </c>
      <c r="F127" s="703">
        <v>8890.4</v>
      </c>
      <c r="G127" s="549">
        <f t="shared" si="12"/>
        <v>0.5</v>
      </c>
      <c r="H127" s="536">
        <f>G127+'[4]1'!H127</f>
        <v>2.6000000000003638</v>
      </c>
      <c r="I127" s="556"/>
      <c r="J127" s="629">
        <f>H127/DAY(B2)</f>
        <v>0.86666666666678793</v>
      </c>
      <c r="K127" s="411"/>
      <c r="L127" s="408"/>
      <c r="O127" s="413"/>
    </row>
    <row r="128" spans="1:15" s="281" customFormat="1" ht="27.75">
      <c r="A128" s="686" t="s">
        <v>236</v>
      </c>
      <c r="B128" s="1396"/>
      <c r="C128" s="1396"/>
      <c r="D128" s="599"/>
      <c r="E128" s="554"/>
      <c r="F128" s="554"/>
      <c r="G128" s="549">
        <f>G15-SUM(G123:G127)</f>
        <v>605.78799999981857</v>
      </c>
      <c r="H128" s="536">
        <f>G128+'[4]1'!H128</f>
        <v>1129.0099999997819</v>
      </c>
      <c r="I128" s="556"/>
      <c r="J128" s="629">
        <f>H128/DAY(B2)</f>
        <v>376.336666666594</v>
      </c>
      <c r="K128" s="391"/>
      <c r="L128" s="293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395" t="s">
        <v>238</v>
      </c>
      <c r="B130" s="1396"/>
      <c r="C130" s="1396"/>
      <c r="D130" s="599" t="s">
        <v>239</v>
      </c>
      <c r="E130" s="560">
        <f>'[4]1'!F130</f>
        <v>0</v>
      </c>
      <c r="F130" s="554">
        <v>0</v>
      </c>
      <c r="G130" s="549">
        <f t="shared" ref="G130:G140" si="13">F130-E130</f>
        <v>0</v>
      </c>
      <c r="H130" s="536">
        <f>G130+'[4]1'!H130</f>
        <v>0</v>
      </c>
      <c r="I130" s="556"/>
      <c r="J130" s="629">
        <f>H130/DAY(B2)</f>
        <v>0</v>
      </c>
      <c r="O130" s="413"/>
    </row>
    <row r="131" spans="1:15" ht="27.75">
      <c r="A131" s="1395" t="s">
        <v>240</v>
      </c>
      <c r="B131" s="1396"/>
      <c r="C131" s="1396"/>
      <c r="D131" s="599" t="s">
        <v>239</v>
      </c>
      <c r="E131" s="560">
        <f>'[4]1'!F131</f>
        <v>0</v>
      </c>
      <c r="F131" s="554">
        <v>0</v>
      </c>
      <c r="G131" s="549">
        <f t="shared" si="13"/>
        <v>0</v>
      </c>
      <c r="H131" s="536">
        <f>G131+'[4]1'!H131</f>
        <v>0</v>
      </c>
      <c r="I131" s="556"/>
      <c r="J131" s="629">
        <f>H131/DAY(B2)</f>
        <v>0</v>
      </c>
      <c r="O131" s="413"/>
    </row>
    <row r="132" spans="1:15" ht="27.75">
      <c r="A132" s="1395" t="s">
        <v>241</v>
      </c>
      <c r="B132" s="1396"/>
      <c r="C132" s="1396"/>
      <c r="D132" s="599" t="s">
        <v>239</v>
      </c>
      <c r="E132" s="618">
        <f>'[4]1'!F132</f>
        <v>38829</v>
      </c>
      <c r="F132" s="732">
        <v>38829</v>
      </c>
      <c r="G132" s="549">
        <f t="shared" si="13"/>
        <v>0</v>
      </c>
      <c r="H132" s="536">
        <f>G132+'[4]1'!H132</f>
        <v>0</v>
      </c>
      <c r="I132" s="556"/>
      <c r="J132" s="629">
        <f>H132/DAY(B2)</f>
        <v>0</v>
      </c>
      <c r="O132" s="413"/>
    </row>
    <row r="133" spans="1:15" ht="27.75">
      <c r="A133" s="1395" t="s">
        <v>242</v>
      </c>
      <c r="B133" s="1396"/>
      <c r="C133" s="1396"/>
      <c r="D133" s="599" t="s">
        <v>239</v>
      </c>
      <c r="E133" s="618">
        <f>'[4]1'!F133</f>
        <v>300</v>
      </c>
      <c r="F133" s="732">
        <v>300</v>
      </c>
      <c r="G133" s="549">
        <f t="shared" si="13"/>
        <v>0</v>
      </c>
      <c r="H133" s="536">
        <f>G133+'[4]1'!H133</f>
        <v>0</v>
      </c>
      <c r="I133" s="556">
        <f>G132+G133+G134+G135</f>
        <v>26.650000000001455</v>
      </c>
      <c r="J133" s="629">
        <f>H133/DAY(B2)</f>
        <v>0</v>
      </c>
      <c r="O133" s="413"/>
    </row>
    <row r="134" spans="1:15" ht="27.75">
      <c r="A134" s="1395" t="s">
        <v>243</v>
      </c>
      <c r="B134" s="1396"/>
      <c r="C134" s="1396"/>
      <c r="D134" s="599" t="s">
        <v>239</v>
      </c>
      <c r="E134" s="618">
        <f>'[4]1'!F134</f>
        <v>40391.14</v>
      </c>
      <c r="F134" s="732">
        <v>40410.14</v>
      </c>
      <c r="G134" s="549">
        <f t="shared" si="13"/>
        <v>19</v>
      </c>
      <c r="H134" s="536">
        <f>G134+'[4]1'!H134</f>
        <v>43</v>
      </c>
      <c r="I134" s="556"/>
      <c r="J134" s="629">
        <f>H134/DAY(B2)</f>
        <v>14.333333333333334</v>
      </c>
      <c r="O134" s="413"/>
    </row>
    <row r="135" spans="1:15" ht="27.75">
      <c r="A135" s="1395" t="s">
        <v>244</v>
      </c>
      <c r="B135" s="1396"/>
      <c r="C135" s="1396"/>
      <c r="D135" s="599" t="s">
        <v>239</v>
      </c>
      <c r="E135" s="618">
        <f>'[4]1'!F135</f>
        <v>32574.44</v>
      </c>
      <c r="F135" s="732">
        <v>32582.09</v>
      </c>
      <c r="G135" s="549">
        <f t="shared" si="13"/>
        <v>7.6500000000014552</v>
      </c>
      <c r="H135" s="536">
        <f>G135+'[4]1'!H135</f>
        <v>11.090000000000146</v>
      </c>
      <c r="I135" s="556"/>
      <c r="J135" s="629">
        <f>H135/DAY(B2)</f>
        <v>3.6966666666667152</v>
      </c>
      <c r="O135" s="413"/>
    </row>
    <row r="136" spans="1:15" ht="27.75">
      <c r="A136" s="1395" t="s">
        <v>245</v>
      </c>
      <c r="B136" s="1396"/>
      <c r="C136" s="1396"/>
      <c r="D136" s="599" t="s">
        <v>239</v>
      </c>
      <c r="E136" s="618">
        <f>'[4]1'!F136</f>
        <v>22230.98</v>
      </c>
      <c r="F136" s="732">
        <v>22239.82</v>
      </c>
      <c r="G136" s="549">
        <f t="shared" si="13"/>
        <v>8.8400000000001455</v>
      </c>
      <c r="H136" s="536">
        <f>G136+'[4]1'!H136</f>
        <v>17.610000000000582</v>
      </c>
      <c r="I136" s="556"/>
      <c r="J136" s="629">
        <f>H136/DAY(B2)</f>
        <v>5.8700000000001937</v>
      </c>
      <c r="O136" s="413"/>
    </row>
    <row r="137" spans="1:15" ht="27.75">
      <c r="A137" s="1395" t="s">
        <v>246</v>
      </c>
      <c r="B137" s="1396"/>
      <c r="C137" s="1396"/>
      <c r="D137" s="599" t="s">
        <v>239</v>
      </c>
      <c r="E137" s="618">
        <f>'[4]1'!F137</f>
        <v>25044.31</v>
      </c>
      <c r="F137" s="732">
        <v>25044.31</v>
      </c>
      <c r="G137" s="549">
        <f t="shared" si="13"/>
        <v>0</v>
      </c>
      <c r="H137" s="536">
        <f>G137+'[4]1'!H137</f>
        <v>0</v>
      </c>
      <c r="I137" s="556"/>
      <c r="J137" s="629">
        <f>H137/DAY(B2)</f>
        <v>0</v>
      </c>
      <c r="O137" s="413"/>
    </row>
    <row r="138" spans="1:15" ht="27.75">
      <c r="A138" s="1395" t="s">
        <v>247</v>
      </c>
      <c r="B138" s="1396"/>
      <c r="C138" s="1396"/>
      <c r="D138" s="599" t="s">
        <v>239</v>
      </c>
      <c r="E138" s="618">
        <f>'[4]1'!F138</f>
        <v>70152.710000000006</v>
      </c>
      <c r="F138" s="732">
        <v>70159.350000000006</v>
      </c>
      <c r="G138" s="549">
        <f t="shared" si="13"/>
        <v>6.6399999999994179</v>
      </c>
      <c r="H138" s="536">
        <f>G138+'[4]1'!H138</f>
        <v>12.010000000009313</v>
      </c>
      <c r="I138" s="556">
        <f>G136+G137+G138</f>
        <v>15.479999999999563</v>
      </c>
      <c r="J138" s="629">
        <f>H138/DAY(B2)</f>
        <v>4.003333333336438</v>
      </c>
      <c r="O138" s="413"/>
    </row>
    <row r="139" spans="1:15" ht="27.75">
      <c r="A139" s="1395" t="s">
        <v>248</v>
      </c>
      <c r="B139" s="1396"/>
      <c r="C139" s="1396"/>
      <c r="D139" s="599" t="s">
        <v>239</v>
      </c>
      <c r="E139" s="560">
        <f>'[4]1'!F139</f>
        <v>1430.85</v>
      </c>
      <c r="F139" s="554">
        <v>1438.91</v>
      </c>
      <c r="G139" s="549">
        <f t="shared" si="13"/>
        <v>8.0600000000001728</v>
      </c>
      <c r="H139" s="536">
        <f>G139+'[4]1'!H139</f>
        <v>15.769999999999982</v>
      </c>
      <c r="I139" s="619"/>
      <c r="J139" s="629">
        <f>H139/DAY(B2)</f>
        <v>5.2566666666666606</v>
      </c>
      <c r="O139" s="413"/>
    </row>
    <row r="140" spans="1:15" ht="27.75">
      <c r="A140" s="1395" t="s">
        <v>249</v>
      </c>
      <c r="B140" s="1396"/>
      <c r="C140" s="1396"/>
      <c r="D140" s="599" t="s">
        <v>239</v>
      </c>
      <c r="E140" s="560">
        <f>'[4]1'!F140</f>
        <v>4333.53</v>
      </c>
      <c r="F140" s="554">
        <v>4334</v>
      </c>
      <c r="G140" s="549">
        <f t="shared" si="13"/>
        <v>0.47000000000025466</v>
      </c>
      <c r="H140" s="536">
        <f>G140+'[4]1'!H140</f>
        <v>0</v>
      </c>
      <c r="I140" s="619">
        <f>G139+G140</f>
        <v>8.5300000000004275</v>
      </c>
      <c r="J140" s="629">
        <f>H140/DAY(B2)</f>
        <v>0</v>
      </c>
      <c r="O140" s="413"/>
    </row>
    <row r="141" spans="1:15">
      <c r="A141" s="1468" t="s">
        <v>250</v>
      </c>
      <c r="B141" s="1469"/>
      <c r="C141" s="1401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5989.2800000000279</v>
      </c>
      <c r="H142" s="536">
        <f>G142+'[4]1'!H142</f>
        <v>11637.760000000009</v>
      </c>
      <c r="I142" s="556"/>
      <c r="J142" s="629">
        <f>H142/DAY(B2)</f>
        <v>3879.2533333333363</v>
      </c>
      <c r="K142" s="411"/>
      <c r="L142" s="408"/>
      <c r="O142" s="413"/>
    </row>
    <row r="143" spans="1:15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0.26762947406050441</v>
      </c>
      <c r="H143" s="536">
        <f>G143+'[4]1'!H153</f>
        <v>0.33239037953891692</v>
      </c>
      <c r="I143" s="621"/>
      <c r="J143" s="629">
        <f>H143/DAY(B2)</f>
        <v>0.11079679317963897</v>
      </c>
      <c r="K143" s="411"/>
      <c r="L143" s="408"/>
      <c r="O143" s="413"/>
    </row>
    <row r="144" spans="1:15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5632.6609999999928</v>
      </c>
      <c r="H144" s="536">
        <f>G144+'[4]1'!H144</f>
        <v>11382.311000000002</v>
      </c>
      <c r="I144" s="556"/>
      <c r="J144" s="629">
        <f>H144/DAY(B2)</f>
        <v>3794.1036666666673</v>
      </c>
      <c r="K144" s="411"/>
      <c r="L144" s="408"/>
      <c r="O144" s="413"/>
    </row>
    <row r="145" spans="1:15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0.25169404352294528</v>
      </c>
      <c r="H145" s="536">
        <f>G145+'[4]1'!H145</f>
        <v>0.50840922859237458</v>
      </c>
      <c r="I145" s="621"/>
      <c r="J145" s="629">
        <f>H145/DAY(B2)</f>
        <v>0.16946974286412486</v>
      </c>
      <c r="K145" s="411"/>
      <c r="L145" s="408"/>
      <c r="O145" s="413"/>
    </row>
    <row r="146" spans="1:15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4368.929999999993</v>
      </c>
      <c r="H146" s="536">
        <f>G146+'[4]1'!H146</f>
        <v>8697.7299999999959</v>
      </c>
      <c r="I146" s="622"/>
      <c r="J146" s="629">
        <f>H146/DAY(B2)</f>
        <v>2899.243333333332</v>
      </c>
      <c r="K146" s="411"/>
      <c r="L146" s="408"/>
      <c r="O146" s="413"/>
    </row>
    <row r="147" spans="1:15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0.19522454086420274</v>
      </c>
      <c r="H147" s="536">
        <f>G147+'[4]1'!H147</f>
        <v>0.38850042602739437</v>
      </c>
      <c r="I147" s="622"/>
      <c r="J147" s="629">
        <f>H147/DAY(B2)</f>
        <v>0.12950014200913146</v>
      </c>
      <c r="O147" s="413"/>
    </row>
    <row r="148" spans="1:15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2089.5099999999948</v>
      </c>
      <c r="H148" s="536">
        <f>G148+'[4]1'!H148</f>
        <v>4229.93</v>
      </c>
      <c r="I148" s="556"/>
      <c r="J148" s="629">
        <f>H148/DAY(B2)</f>
        <v>1409.9766666666667</v>
      </c>
      <c r="K148" s="412"/>
      <c r="O148" s="413"/>
    </row>
    <row r="149" spans="1:15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9.336923008177285E-2</v>
      </c>
      <c r="H149" s="536">
        <f>G149+'[4]1'!H149</f>
        <v>0.18893649355455963</v>
      </c>
      <c r="I149" s="622"/>
      <c r="J149" s="629">
        <f>H149/DAY(B2)</f>
        <v>6.2978831184853215E-2</v>
      </c>
      <c r="O149" s="413"/>
    </row>
    <row r="150" spans="1:15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2269.640000000014</v>
      </c>
      <c r="H150" s="536">
        <f>G150+'[4]1'!H150</f>
        <v>4664.7999999999884</v>
      </c>
      <c r="I150" s="622"/>
      <c r="J150" s="629">
        <f>H150/DAY(B2)</f>
        <v>1554.9333333333295</v>
      </c>
      <c r="O150" s="413"/>
    </row>
    <row r="151" spans="1:15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0.10141829393628017</v>
      </c>
      <c r="H151" s="536">
        <f>G151+'[4]1'!H151</f>
        <v>0.20835940212041082</v>
      </c>
      <c r="I151" s="556"/>
      <c r="J151" s="629">
        <f>H151/DAY(B2)</f>
        <v>6.9453134040136935E-2</v>
      </c>
      <c r="O151" s="413"/>
    </row>
    <row r="152" spans="1:15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1456.8399999999965</v>
      </c>
      <c r="H152" s="536">
        <f>G152+'[4]1'!H152</f>
        <v>2907.2900000000009</v>
      </c>
      <c r="I152" s="556"/>
      <c r="J152" s="629">
        <f>H152/DAY(B2)</f>
        <v>969.09666666666692</v>
      </c>
      <c r="O152" s="413"/>
    </row>
    <row r="153" spans="1:15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6.5098529871754615E-2</v>
      </c>
      <c r="H153" s="536">
        <f>G153+'[4]1'!H153</f>
        <v>0.12985943535016709</v>
      </c>
      <c r="I153" s="645"/>
      <c r="J153" s="646">
        <f>H153/DAY(B2)</f>
        <v>4.3286478450055697E-2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83" t="s">
        <v>267</v>
      </c>
      <c r="B157" s="1484"/>
      <c r="C157" s="1484"/>
      <c r="D157" s="1484"/>
      <c r="E157" s="1484"/>
      <c r="F157" s="1484"/>
      <c r="G157" s="1485"/>
    </row>
    <row r="158" spans="1:15">
      <c r="A158" s="867"/>
      <c r="B158" s="868"/>
      <c r="C158" s="868"/>
      <c r="D158" s="587"/>
      <c r="E158" s="531"/>
      <c r="F158" s="739"/>
      <c r="G158" s="549"/>
    </row>
    <row r="159" spans="1:15">
      <c r="A159" s="867"/>
      <c r="B159" s="868"/>
      <c r="C159" s="868"/>
      <c r="D159" s="587"/>
      <c r="E159" s="531"/>
      <c r="F159" s="739"/>
      <c r="G159" s="549"/>
    </row>
    <row r="160" spans="1:15">
      <c r="A160" s="867" t="s">
        <v>263</v>
      </c>
      <c r="B160" s="868"/>
      <c r="C160" s="868"/>
      <c r="D160" s="587" t="s">
        <v>187</v>
      </c>
      <c r="E160" s="739">
        <f>'[4]1'!F160</f>
        <v>30881.599999999999</v>
      </c>
      <c r="F160" s="739">
        <v>30967.47</v>
      </c>
      <c r="G160" s="549">
        <f t="shared" ref="G160:G171" si="14">F160-E160</f>
        <v>85.870000000002619</v>
      </c>
    </row>
    <row r="161" spans="1:7">
      <c r="A161" s="867" t="s">
        <v>264</v>
      </c>
      <c r="B161" s="868"/>
      <c r="C161" s="868"/>
      <c r="D161" s="587" t="s">
        <v>187</v>
      </c>
      <c r="E161" s="739">
        <f>'[4]1'!F161</f>
        <v>55548.51</v>
      </c>
      <c r="F161" s="739">
        <v>56020.03</v>
      </c>
      <c r="G161" s="549">
        <f t="shared" si="14"/>
        <v>471.5199999999968</v>
      </c>
    </row>
    <row r="162" spans="1:7">
      <c r="A162" s="867" t="s">
        <v>265</v>
      </c>
      <c r="B162" s="868"/>
      <c r="C162" s="868"/>
      <c r="D162" s="587" t="s">
        <v>187</v>
      </c>
      <c r="E162" s="739">
        <f>'[4]1'!F162</f>
        <v>20843.25</v>
      </c>
      <c r="F162" s="739">
        <v>21130</v>
      </c>
      <c r="G162" s="549">
        <f t="shared" si="14"/>
        <v>286.75</v>
      </c>
    </row>
    <row r="163" spans="1:7">
      <c r="A163" s="867" t="s">
        <v>266</v>
      </c>
      <c r="B163" s="868"/>
      <c r="C163" s="868"/>
      <c r="D163" s="587" t="s">
        <v>187</v>
      </c>
      <c r="E163" s="739">
        <f>'[4]1'!F163</f>
        <v>5449.61</v>
      </c>
      <c r="F163" s="739">
        <v>5461.85</v>
      </c>
      <c r="G163" s="549">
        <f t="shared" si="14"/>
        <v>12.240000000000691</v>
      </c>
    </row>
    <row r="164" spans="1:7">
      <c r="A164" s="869" t="s">
        <v>98</v>
      </c>
      <c r="B164" s="681"/>
      <c r="C164" s="681"/>
      <c r="D164" s="587" t="s">
        <v>187</v>
      </c>
      <c r="E164" s="739">
        <f>'[4]1'!F164</f>
        <v>20419</v>
      </c>
      <c r="F164" s="590">
        <f>F62</f>
        <v>20419.188999999998</v>
      </c>
      <c r="G164" s="549">
        <f t="shared" si="14"/>
        <v>0.1889999999984866</v>
      </c>
    </row>
    <row r="165" spans="1:7">
      <c r="A165" s="869" t="s">
        <v>188</v>
      </c>
      <c r="B165" s="681"/>
      <c r="C165" s="681"/>
      <c r="D165" s="587" t="s">
        <v>187</v>
      </c>
      <c r="E165" s="739">
        <f>'[4]1'!F165</f>
        <v>1721.57</v>
      </c>
      <c r="F165" s="590">
        <f t="shared" ref="F165:F171" si="15">F63</f>
        <v>1733.45</v>
      </c>
      <c r="G165" s="549">
        <f t="shared" si="14"/>
        <v>11.880000000000109</v>
      </c>
    </row>
    <row r="166" spans="1:7" ht="27.75">
      <c r="A166" s="1482" t="s">
        <v>99</v>
      </c>
      <c r="B166" s="1482"/>
      <c r="C166" s="1482"/>
      <c r="D166" s="599" t="s">
        <v>187</v>
      </c>
      <c r="E166" s="739">
        <f>'[4]1'!F166</f>
        <v>124127.85</v>
      </c>
      <c r="F166" s="590">
        <f t="shared" si="15"/>
        <v>124657.34</v>
      </c>
      <c r="G166" s="549">
        <f t="shared" si="14"/>
        <v>529.48999999999069</v>
      </c>
    </row>
    <row r="167" spans="1:7" ht="27.75">
      <c r="A167" s="1482" t="s">
        <v>100</v>
      </c>
      <c r="B167" s="1482"/>
      <c r="C167" s="1482"/>
      <c r="D167" s="599" t="s">
        <v>187</v>
      </c>
      <c r="E167" s="739">
        <f>'[4]1'!F167</f>
        <v>132996.35999999999</v>
      </c>
      <c r="F167" s="590">
        <f t="shared" si="15"/>
        <v>133392.66</v>
      </c>
      <c r="G167" s="549">
        <f t="shared" si="14"/>
        <v>396.30000000001746</v>
      </c>
    </row>
    <row r="168" spans="1:7" ht="27.75">
      <c r="A168" s="1482" t="s">
        <v>101</v>
      </c>
      <c r="B168" s="1482"/>
      <c r="C168" s="1482"/>
      <c r="D168" s="599" t="s">
        <v>187</v>
      </c>
      <c r="E168" s="739">
        <f>'[4]1'!F168</f>
        <v>25566.36</v>
      </c>
      <c r="F168" s="590">
        <f t="shared" si="15"/>
        <v>25980.5</v>
      </c>
      <c r="G168" s="549">
        <f t="shared" si="14"/>
        <v>414.13999999999942</v>
      </c>
    </row>
    <row r="169" spans="1:7" ht="27.75">
      <c r="A169" s="1482" t="s">
        <v>102</v>
      </c>
      <c r="B169" s="1482"/>
      <c r="C169" s="1482"/>
      <c r="D169" s="599" t="s">
        <v>187</v>
      </c>
      <c r="E169" s="739">
        <f>'[4]1'!F169</f>
        <v>208546.07</v>
      </c>
      <c r="F169" s="590">
        <f t="shared" si="15"/>
        <v>209249</v>
      </c>
      <c r="G169" s="549">
        <f t="shared" si="14"/>
        <v>702.92999999999302</v>
      </c>
    </row>
    <row r="170" spans="1:7" ht="27.75">
      <c r="A170" s="1482" t="s">
        <v>103</v>
      </c>
      <c r="B170" s="1482"/>
      <c r="C170" s="1482"/>
      <c r="D170" s="599" t="s">
        <v>187</v>
      </c>
      <c r="E170" s="739">
        <f>'[4]1'!F170</f>
        <v>73027.42</v>
      </c>
      <c r="F170" s="590">
        <f t="shared" si="15"/>
        <v>73391.91</v>
      </c>
      <c r="G170" s="549">
        <f t="shared" si="14"/>
        <v>364.49000000000524</v>
      </c>
    </row>
    <row r="171" spans="1:7" ht="27.75">
      <c r="A171" s="1482" t="s">
        <v>104</v>
      </c>
      <c r="B171" s="1482"/>
      <c r="C171" s="1482"/>
      <c r="D171" s="599" t="s">
        <v>187</v>
      </c>
      <c r="E171" s="739">
        <f>'[4]1'!F171</f>
        <v>64776.091</v>
      </c>
      <c r="F171" s="590">
        <f t="shared" si="15"/>
        <v>65103.12</v>
      </c>
      <c r="G171" s="549">
        <f t="shared" si="14"/>
        <v>327.02900000000227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9" zoomScale="55" zoomScaleSheetLayoutView="55" workbookViewId="0">
      <selection activeCell="A26" sqref="A26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268</v>
      </c>
      <c r="B2" s="1117">
        <v>44258</v>
      </c>
      <c r="C2" s="1397" t="s">
        <v>69</v>
      </c>
      <c r="D2" s="688">
        <v>0.43519999999999998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397" t="s">
        <v>120</v>
      </c>
      <c r="D3" s="689">
        <v>27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397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131</v>
      </c>
      <c r="B7" s="758"/>
      <c r="C7" s="758"/>
      <c r="D7" s="715" t="s">
        <v>132</v>
      </c>
      <c r="E7" s="710">
        <f>'[4]2'!F7</f>
        <v>4489853</v>
      </c>
      <c r="F7" s="531">
        <v>4510962</v>
      </c>
      <c r="G7" s="770">
        <f>F7-E7</f>
        <v>21109</v>
      </c>
      <c r="H7" s="760">
        <f>G7+'[4]2'!H7</f>
        <v>65885</v>
      </c>
      <c r="I7" s="761">
        <f>'[4]1'!I7</f>
        <v>12000</v>
      </c>
      <c r="J7" s="762">
        <f>H7/DAY(B2)</f>
        <v>21961.666666666668</v>
      </c>
      <c r="K7" s="626"/>
      <c r="L7" s="408"/>
      <c r="O7" s="413"/>
    </row>
    <row r="8" spans="1:15" ht="27.75" thickBot="1">
      <c r="A8" s="763" t="s">
        <v>133</v>
      </c>
      <c r="B8" s="764"/>
      <c r="C8" s="765"/>
      <c r="D8" s="766" t="s">
        <v>25</v>
      </c>
      <c r="E8" s="711">
        <f>'[4]2'!F8</f>
        <v>4518306</v>
      </c>
      <c r="F8" s="551">
        <v>4539500</v>
      </c>
      <c r="G8" s="770">
        <f>F8-E8</f>
        <v>21194</v>
      </c>
      <c r="H8" s="760">
        <f>G8+'[4]2'!H8</f>
        <v>66344</v>
      </c>
      <c r="I8" s="767">
        <v>12000</v>
      </c>
      <c r="J8" s="762">
        <f>H8/DAY(B2)</f>
        <v>22114.666666666668</v>
      </c>
      <c r="K8" s="626"/>
      <c r="L8" s="464"/>
      <c r="M8" s="479"/>
      <c r="O8" s="413"/>
    </row>
    <row r="9" spans="1:15">
      <c r="A9" s="768" t="s">
        <v>134</v>
      </c>
      <c r="B9" s="769"/>
      <c r="C9" s="769"/>
      <c r="D9" s="715" t="s">
        <v>132</v>
      </c>
      <c r="E9" s="712">
        <f>'[4]2'!F9</f>
        <v>115804.21</v>
      </c>
      <c r="F9" s="554">
        <v>123403.31</v>
      </c>
      <c r="G9" s="783">
        <f t="shared" ref="G9:G12" si="0">F9-E9</f>
        <v>7599.0999999999913</v>
      </c>
      <c r="H9" s="760">
        <f>G9+'[4]2'!H9</f>
        <v>36494.300000000003</v>
      </c>
      <c r="I9" s="771">
        <f>I8-J8</f>
        <v>-10114.666666666668</v>
      </c>
      <c r="J9" s="762">
        <f>H9/DAY(B2)</f>
        <v>12164.766666666668</v>
      </c>
      <c r="K9" s="467"/>
      <c r="L9" s="408"/>
      <c r="O9" s="413"/>
    </row>
    <row r="10" spans="1:15">
      <c r="A10" s="757" t="s">
        <v>135</v>
      </c>
      <c r="B10" s="758"/>
      <c r="C10" s="758"/>
      <c r="D10" s="715" t="s">
        <v>132</v>
      </c>
      <c r="E10" s="712">
        <f>'[4]2'!F10</f>
        <v>40262.76</v>
      </c>
      <c r="F10" s="554">
        <v>53107.95</v>
      </c>
      <c r="G10" s="770">
        <f t="shared" si="0"/>
        <v>12845.189999999995</v>
      </c>
      <c r="H10" s="760">
        <f>G10+'[4]2'!H10</f>
        <v>27412.389999999996</v>
      </c>
      <c r="I10" s="772"/>
      <c r="J10" s="762">
        <f>H10/DAY(B2)</f>
        <v>9137.4633333333313</v>
      </c>
      <c r="K10" s="467"/>
      <c r="L10" s="408"/>
      <c r="O10" s="413"/>
    </row>
    <row r="11" spans="1:15">
      <c r="A11" s="757" t="s">
        <v>136</v>
      </c>
      <c r="B11" s="758"/>
      <c r="C11" s="758"/>
      <c r="D11" s="715" t="s">
        <v>132</v>
      </c>
      <c r="E11" s="710">
        <f>'[4]2'!F11</f>
        <v>37000</v>
      </c>
      <c r="F11" s="531">
        <v>37000</v>
      </c>
      <c r="G11" s="770">
        <f t="shared" si="0"/>
        <v>0</v>
      </c>
      <c r="H11" s="760">
        <f>G11+'[4]2'!H11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137</v>
      </c>
      <c r="B12" s="758"/>
      <c r="C12" s="758"/>
      <c r="D12" s="715" t="s">
        <v>132</v>
      </c>
      <c r="E12" s="712">
        <f>'[4]2'!F12</f>
        <v>40010</v>
      </c>
      <c r="F12" s="554">
        <v>40010</v>
      </c>
      <c r="G12" s="770">
        <f t="shared" si="0"/>
        <v>0</v>
      </c>
      <c r="H12" s="760">
        <f>G12+'[4]2'!H12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138</v>
      </c>
      <c r="B13" s="774"/>
      <c r="C13" s="774"/>
      <c r="D13" s="715"/>
      <c r="E13" s="710"/>
      <c r="F13" s="531"/>
      <c r="G13" s="775">
        <f>G9+G10+G11+G12</f>
        <v>20444.289999999986</v>
      </c>
      <c r="H13" s="760">
        <f>G13+'[4]2'!H13</f>
        <v>63906.689999999995</v>
      </c>
      <c r="I13" s="776">
        <f>G7-G13</f>
        <v>664.71000000001368</v>
      </c>
      <c r="J13" s="762">
        <f>H13/DAY(B2)</f>
        <v>21302.23</v>
      </c>
      <c r="K13" s="467"/>
      <c r="L13" s="408"/>
      <c r="O13" s="413"/>
    </row>
    <row r="14" spans="1:15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75" t="s">
        <v>140</v>
      </c>
      <c r="B15" s="870"/>
      <c r="C15" s="870"/>
      <c r="D15" s="600" t="s">
        <v>141</v>
      </c>
      <c r="E15" s="561">
        <f>'[4]2'!F15</f>
        <v>1621752.42</v>
      </c>
      <c r="F15" s="561">
        <v>1622582.83</v>
      </c>
      <c r="G15" s="862">
        <f>F15-E15</f>
        <v>830.41000000014901</v>
      </c>
      <c r="H15" s="562">
        <f>G15+'[4]2'!H15</f>
        <v>2704.2199999999721</v>
      </c>
      <c r="I15" s="550">
        <v>800</v>
      </c>
      <c r="J15" s="630">
        <f>H15/DAY(B2)</f>
        <v>901.40666666665732</v>
      </c>
      <c r="K15" s="467"/>
      <c r="L15" s="408"/>
      <c r="O15" s="413"/>
    </row>
    <row r="16" spans="1:15">
      <c r="A16" s="873"/>
      <c r="B16" s="874"/>
      <c r="C16" s="874"/>
      <c r="D16" s="871"/>
      <c r="E16" s="872"/>
      <c r="F16" s="561"/>
      <c r="G16" s="1121"/>
      <c r="H16" s="562"/>
      <c r="I16" s="563">
        <f>I15-J15</f>
        <v>-101.40666666665732</v>
      </c>
      <c r="J16" s="630"/>
      <c r="K16" s="467"/>
      <c r="L16" s="408"/>
      <c r="O16" s="413"/>
    </row>
    <row r="17" spans="1:15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86" t="s">
        <v>143</v>
      </c>
      <c r="B18" s="1487"/>
      <c r="C18" s="1488"/>
      <c r="D18" s="715" t="s">
        <v>144</v>
      </c>
      <c r="E18" s="712">
        <f>'[4]2'!F18</f>
        <v>14</v>
      </c>
      <c r="F18" s="554">
        <v>14</v>
      </c>
      <c r="G18" s="775">
        <f>F18*10</f>
        <v>140</v>
      </c>
      <c r="H18" s="760">
        <f>G18+'[4]2'!H18</f>
        <v>460</v>
      </c>
      <c r="I18" s="761">
        <f>'[4]1'!I18</f>
        <v>65</v>
      </c>
      <c r="J18" s="762">
        <f>H18/DAY(B2)</f>
        <v>153.33333333333334</v>
      </c>
      <c r="K18" s="467"/>
      <c r="L18" s="408"/>
      <c r="O18" s="413"/>
    </row>
    <row r="19" spans="1:15" ht="27.75">
      <c r="A19" s="1486" t="s">
        <v>71</v>
      </c>
      <c r="B19" s="1487"/>
      <c r="C19" s="1488"/>
      <c r="D19" s="715" t="s">
        <v>144</v>
      </c>
      <c r="E19" s="712">
        <f>'[4]2'!F19</f>
        <v>134568</v>
      </c>
      <c r="F19" s="554">
        <v>134620</v>
      </c>
      <c r="G19" s="770">
        <f t="shared" ref="G19" si="1">F19-E19</f>
        <v>52</v>
      </c>
      <c r="H19" s="760">
        <f>G19+'[4]2'!H19</f>
        <v>152</v>
      </c>
      <c r="I19" s="777"/>
      <c r="J19" s="762">
        <f>H19/DAY(B2)</f>
        <v>50.666666666666664</v>
      </c>
      <c r="K19" s="467"/>
      <c r="L19" s="408"/>
      <c r="O19" s="413"/>
    </row>
    <row r="20" spans="1:15">
      <c r="A20" s="773" t="s">
        <v>145</v>
      </c>
      <c r="B20" s="774"/>
      <c r="C20" s="774"/>
      <c r="D20" s="715"/>
      <c r="E20" s="715"/>
      <c r="F20" s="599"/>
      <c r="G20" s="1120">
        <f>G18+G19</f>
        <v>192</v>
      </c>
      <c r="H20" s="760">
        <f>G20+'[4]2'!H20</f>
        <v>612</v>
      </c>
      <c r="I20" s="779">
        <f>I18-J20</f>
        <v>-139</v>
      </c>
      <c r="J20" s="762">
        <f>H20/DAY(B2)</f>
        <v>204</v>
      </c>
      <c r="K20" s="467"/>
      <c r="L20" s="408"/>
      <c r="O20" s="413"/>
    </row>
    <row r="21" spans="1:15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395" t="s">
        <v>147</v>
      </c>
      <c r="B22" s="666"/>
      <c r="C22" s="666"/>
      <c r="D22" s="599" t="s">
        <v>148</v>
      </c>
      <c r="E22" s="712">
        <f>'[4]2'!F22</f>
        <v>2970</v>
      </c>
      <c r="F22" s="554">
        <v>2970</v>
      </c>
      <c r="G22" s="557">
        <f t="shared" ref="G22" si="2">(F22-E22)</f>
        <v>0</v>
      </c>
      <c r="H22" s="536">
        <f>G22+'[4]2'!H22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395" t="s">
        <v>149</v>
      </c>
      <c r="B23" s="666"/>
      <c r="C23" s="666"/>
      <c r="D23" s="599" t="s">
        <v>148</v>
      </c>
      <c r="E23" s="712">
        <f>'[4]2'!F23</f>
        <v>1900</v>
      </c>
      <c r="F23" s="554">
        <v>1900</v>
      </c>
      <c r="G23" s="557">
        <v>0</v>
      </c>
      <c r="H23" s="536">
        <f>G23+'[4]2'!H23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150</v>
      </c>
      <c r="B24" s="668"/>
      <c r="C24" s="668"/>
      <c r="D24" s="587" t="s">
        <v>148</v>
      </c>
      <c r="E24" s="712">
        <f>'[4]2'!F24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21194</v>
      </c>
      <c r="F27" s="577">
        <v>9</v>
      </c>
      <c r="G27" s="578">
        <f>E27*F27</f>
        <v>190746</v>
      </c>
      <c r="H27" s="536">
        <f>G27+'[4]2'!H27</f>
        <v>597096</v>
      </c>
      <c r="I27" s="579"/>
      <c r="J27" s="629">
        <f>H27/DAY(B2)</f>
        <v>199032</v>
      </c>
      <c r="K27" s="404"/>
      <c r="L27" s="484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780">
        <f>G15</f>
        <v>830.41000000014901</v>
      </c>
      <c r="F28" s="577">
        <v>48.88</v>
      </c>
      <c r="G28" s="578">
        <f>E28*F28</f>
        <v>40590.440800007287</v>
      </c>
      <c r="H28" s="536">
        <f>G28+'[4]2'!H28</f>
        <v>132182.27359999865</v>
      </c>
      <c r="I28" s="581"/>
      <c r="J28" s="629">
        <f>H28/DAY(B2)</f>
        <v>44060.757866666216</v>
      </c>
      <c r="K28" s="404"/>
      <c r="L28" s="484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G29+'[4]2'!H29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G30+'[4]2'!H30</f>
        <v>38056</v>
      </c>
      <c r="I30" s="581"/>
      <c r="J30" s="629">
        <f>H30/DAY(B2)</f>
        <v>12685.333333333334</v>
      </c>
      <c r="K30" s="404"/>
      <c r="L30" s="484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780">
        <f>G18</f>
        <v>140</v>
      </c>
      <c r="F31" s="577">
        <v>80</v>
      </c>
      <c r="G31" s="578">
        <f>E31*F31</f>
        <v>11200</v>
      </c>
      <c r="H31" s="536">
        <f>G31+'[4]2'!H31</f>
        <v>26240</v>
      </c>
      <c r="I31" s="581"/>
      <c r="J31" s="629">
        <f>H31/DAY(B2)</f>
        <v>8746.6666666666661</v>
      </c>
      <c r="K31" s="404"/>
      <c r="L31" s="484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249504.44080000729</v>
      </c>
      <c r="H32" s="536">
        <f>G32+'[4]2'!H32</f>
        <v>793574.27359999868</v>
      </c>
      <c r="I32" s="585"/>
      <c r="J32" s="629">
        <f>H32/DAY(B2)</f>
        <v>264524.75786666624</v>
      </c>
      <c r="K32" s="404"/>
      <c r="L32" s="484"/>
      <c r="O32" s="413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O33" s="413"/>
    </row>
    <row r="34" spans="1:15">
      <c r="A34" s="675" t="s">
        <v>163</v>
      </c>
      <c r="B34" s="1400"/>
      <c r="C34" s="1400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'[4]2'!F35</f>
        <v>699784.47</v>
      </c>
      <c r="F35" s="586">
        <v>703211.35</v>
      </c>
      <c r="G35" s="549">
        <f t="shared" ref="G35:G46" si="3">F35-E35</f>
        <v>3426.8800000000047</v>
      </c>
      <c r="H35" s="536">
        <f>G35+'[4]2'!H35</f>
        <v>10123.760000000009</v>
      </c>
      <c r="I35" s="531"/>
      <c r="J35" s="629">
        <f>H35/DAY(B2)</f>
        <v>3374.5866666666698</v>
      </c>
      <c r="K35" s="467"/>
      <c r="L35" s="408"/>
      <c r="O35" s="413"/>
    </row>
    <row r="36" spans="1:15">
      <c r="A36" s="655" t="s">
        <v>165</v>
      </c>
      <c r="B36" s="656"/>
      <c r="C36" s="656"/>
      <c r="D36" s="599" t="s">
        <v>132</v>
      </c>
      <c r="E36" s="586">
        <f>'[4]2'!F36</f>
        <v>297874.09000000003</v>
      </c>
      <c r="F36" s="586">
        <v>298500.51</v>
      </c>
      <c r="G36" s="549">
        <f t="shared" si="3"/>
        <v>626.4199999999837</v>
      </c>
      <c r="H36" s="536">
        <f>G36+'[4]2'!H36</f>
        <v>2054.9400000000023</v>
      </c>
      <c r="I36" s="531"/>
      <c r="J36" s="629">
        <f>H36/DAY(B2)</f>
        <v>684.98000000000081</v>
      </c>
      <c r="K36" s="467"/>
      <c r="L36" s="408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'[4]2'!F37</f>
        <v>34969.39</v>
      </c>
      <c r="F37" s="586">
        <v>35167.18</v>
      </c>
      <c r="G37" s="549">
        <f t="shared" si="3"/>
        <v>197.79000000000087</v>
      </c>
      <c r="H37" s="536">
        <f>G37+'[4]2'!H37</f>
        <v>3105.0800000000017</v>
      </c>
      <c r="I37" s="531"/>
      <c r="J37" s="629">
        <f>H37/DAY(B2)</f>
        <v>1035.0266666666673</v>
      </c>
      <c r="K37" s="467"/>
      <c r="L37" s="408"/>
      <c r="O37" s="706"/>
    </row>
    <row r="38" spans="1:15">
      <c r="A38" s="655" t="s">
        <v>167</v>
      </c>
      <c r="B38" s="656"/>
      <c r="C38" s="656"/>
      <c r="D38" s="599" t="s">
        <v>132</v>
      </c>
      <c r="E38" s="545">
        <f>'[4]2'!F38</f>
        <v>48043.42</v>
      </c>
      <c r="F38" s="545">
        <v>48333.51</v>
      </c>
      <c r="G38" s="549">
        <f t="shared" si="3"/>
        <v>290.09000000000378</v>
      </c>
      <c r="H38" s="536">
        <f>G38+'[4]2'!H38</f>
        <v>4520.0200000000041</v>
      </c>
      <c r="I38" s="531"/>
      <c r="J38" s="629">
        <f>H38/DAY(B2)</f>
        <v>1506.6733333333348</v>
      </c>
      <c r="K38" s="467"/>
      <c r="L38" s="408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'[4]2'!F39</f>
        <v>99373.119999999995</v>
      </c>
      <c r="F39" s="586">
        <v>100068.28</v>
      </c>
      <c r="G39" s="549">
        <f t="shared" si="3"/>
        <v>695.16000000000349</v>
      </c>
      <c r="H39" s="536">
        <f>G39+'[4]2'!H39</f>
        <v>9392.89</v>
      </c>
      <c r="I39" s="531"/>
      <c r="J39" s="629">
        <f>H39/DAY(B2)</f>
        <v>3130.9633333333331</v>
      </c>
      <c r="K39" s="467"/>
      <c r="L39" s="408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v>0.17</v>
      </c>
      <c r="F40" s="586">
        <v>0.17</v>
      </c>
      <c r="G40" s="549">
        <f t="shared" si="3"/>
        <v>0</v>
      </c>
      <c r="H40" s="536">
        <f>G40+'[4]2'!H40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'[4]2'!F41</f>
        <v>63882.37</v>
      </c>
      <c r="F41" s="586">
        <v>63882.37</v>
      </c>
      <c r="G41" s="549">
        <f t="shared" si="3"/>
        <v>0</v>
      </c>
      <c r="H41" s="536">
        <f>G41+'[4]2'!H41</f>
        <v>0</v>
      </c>
      <c r="I41" s="531"/>
      <c r="J41" s="629">
        <f>H41/DAY(B2)</f>
        <v>0</v>
      </c>
      <c r="K41" s="467"/>
      <c r="L41" s="408"/>
      <c r="O41" s="413"/>
    </row>
    <row r="42" spans="1:15">
      <c r="A42" s="655" t="s">
        <v>171</v>
      </c>
      <c r="B42" s="656"/>
      <c r="C42" s="656"/>
      <c r="D42" s="599" t="s">
        <v>132</v>
      </c>
      <c r="E42" s="586">
        <f>'[4]2'!F42</f>
        <v>59128.851000000002</v>
      </c>
      <c r="F42" s="586">
        <v>59128.85</v>
      </c>
      <c r="G42" s="549">
        <f>F42-E42</f>
        <v>-1.0000000038417056E-3</v>
      </c>
      <c r="H42" s="536">
        <f>G42+'[4]2'!H42</f>
        <v>0</v>
      </c>
      <c r="I42" s="531"/>
      <c r="J42" s="629">
        <f>H42/DAY(B2)</f>
        <v>0</v>
      </c>
      <c r="K42" s="467"/>
      <c r="L42" s="408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'[4]2'!F43</f>
        <v>830838.71</v>
      </c>
      <c r="F43" s="586">
        <v>833302.53</v>
      </c>
      <c r="G43" s="549">
        <f t="shared" si="3"/>
        <v>2463.8200000000652</v>
      </c>
      <c r="H43" s="536">
        <f>G43+'[4]2'!H43</f>
        <v>7404.7000000000698</v>
      </c>
      <c r="I43" s="531"/>
      <c r="J43" s="629">
        <f>H43/DAY(B2)</f>
        <v>2468.2333333333568</v>
      </c>
      <c r="K43" s="467"/>
      <c r="L43" s="408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'[4]2'!F44</f>
        <v>0</v>
      </c>
      <c r="F44" s="586">
        <v>0</v>
      </c>
      <c r="G44" s="549">
        <f t="shared" si="3"/>
        <v>0</v>
      </c>
      <c r="H44" s="536">
        <f>G44+'[4]2'!H44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'[4]2'!F45</f>
        <v>614</v>
      </c>
      <c r="F45" s="586">
        <v>614</v>
      </c>
      <c r="G45" s="549">
        <f t="shared" si="3"/>
        <v>0</v>
      </c>
      <c r="H45" s="536">
        <f>G45+'[4]2'!H45</f>
        <v>0</v>
      </c>
      <c r="I45" s="531"/>
      <c r="J45" s="629">
        <f>H45/DAY(B2)</f>
        <v>0</v>
      </c>
      <c r="K45" s="467"/>
      <c r="L45" s="408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'[4]2'!F46</f>
        <v>187</v>
      </c>
      <c r="F46" s="586">
        <v>187</v>
      </c>
      <c r="G46" s="549">
        <f t="shared" si="3"/>
        <v>0</v>
      </c>
      <c r="H46" s="536">
        <f>G46+'[4]2'!H46</f>
        <v>0</v>
      </c>
      <c r="I46" s="531"/>
      <c r="J46" s="629">
        <f>H46/DAY(B2)</f>
        <v>0</v>
      </c>
      <c r="K46" s="467"/>
      <c r="L46" s="408"/>
      <c r="O46" s="413"/>
    </row>
    <row r="47" spans="1:1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7700.1590000000579</v>
      </c>
      <c r="H47" s="536">
        <f>G47+'[4]2'!H47</f>
        <v>36601.390000000087</v>
      </c>
      <c r="I47" s="531"/>
      <c r="J47" s="629">
        <f>H47/DAY(B2)</f>
        <v>12200.463333333362</v>
      </c>
      <c r="K47" s="467"/>
      <c r="L47" s="408"/>
      <c r="N47" s="413"/>
      <c r="O47" s="413"/>
    </row>
    <row r="48" spans="1:15">
      <c r="A48" s="675" t="s">
        <v>177</v>
      </c>
      <c r="B48" s="1400"/>
      <c r="C48" s="1400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'[4]2'!F49</f>
        <v>260732.13</v>
      </c>
      <c r="F49" s="586">
        <v>260732.13</v>
      </c>
      <c r="G49" s="549">
        <f t="shared" ref="G49:G58" si="4">F49-E49</f>
        <v>0</v>
      </c>
      <c r="H49" s="536">
        <f>G49+'[4]2'!H49</f>
        <v>0</v>
      </c>
      <c r="I49" s="531"/>
      <c r="J49" s="629">
        <f>H49/DAY(B2)</f>
        <v>0</v>
      </c>
      <c r="K49" s="467"/>
      <c r="L49" s="408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'[4]2'!F50</f>
        <v>405699.31</v>
      </c>
      <c r="F50" s="586">
        <v>406764.67</v>
      </c>
      <c r="G50" s="549">
        <f t="shared" si="4"/>
        <v>1065.359999999986</v>
      </c>
      <c r="H50" s="536">
        <f>G50+'[4]2'!H50</f>
        <v>4301.6399999999558</v>
      </c>
      <c r="I50" s="531"/>
      <c r="J50" s="629">
        <f>H50/DAY(B2)</f>
        <v>1433.8799999999853</v>
      </c>
      <c r="K50" s="467"/>
      <c r="L50" s="408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'[4]2'!F51</f>
        <v>120050.92</v>
      </c>
      <c r="F51" s="586">
        <v>121322.62</v>
      </c>
      <c r="G51" s="549">
        <f t="shared" si="4"/>
        <v>1271.6999999999971</v>
      </c>
      <c r="H51" s="536">
        <f>G51+'[4]2'!H51</f>
        <v>1271.6999999999971</v>
      </c>
      <c r="I51" s="531"/>
      <c r="J51" s="629">
        <f>H51/DAY(B2)</f>
        <v>423.89999999999901</v>
      </c>
      <c r="K51" s="467"/>
      <c r="L51" s="408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'[4]2'!F52</f>
        <v>507912.71</v>
      </c>
      <c r="F52" s="586">
        <v>509794.67</v>
      </c>
      <c r="G52" s="549">
        <f>F52-E52</f>
        <v>1881.9599999999627</v>
      </c>
      <c r="H52" s="536">
        <f>G52+'[4]2'!H52</f>
        <v>1881.9599999999627</v>
      </c>
      <c r="I52" s="531"/>
      <c r="J52" s="629">
        <f>H52/DAY(B2)</f>
        <v>627.31999999998754</v>
      </c>
      <c r="K52" s="467"/>
      <c r="L52" s="408"/>
      <c r="O52" s="413"/>
    </row>
    <row r="53" spans="1:15">
      <c r="A53" s="655" t="s">
        <v>168</v>
      </c>
      <c r="B53" s="678"/>
      <c r="C53" s="678"/>
      <c r="D53" s="599" t="s">
        <v>132</v>
      </c>
      <c r="E53" s="586">
        <f>'[4]2'!F53</f>
        <v>331854.51</v>
      </c>
      <c r="F53" s="586">
        <v>335515.77</v>
      </c>
      <c r="G53" s="549">
        <f t="shared" si="4"/>
        <v>3661.2600000000093</v>
      </c>
      <c r="H53" s="536">
        <f>G53+'[4]2'!H53</f>
        <v>3661.2600000000093</v>
      </c>
      <c r="I53" s="531"/>
      <c r="J53" s="629">
        <f>H53/DAY(B2)</f>
        <v>1220.420000000003</v>
      </c>
      <c r="K53" s="467"/>
      <c r="L53" s="408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'[4]2'!F54</f>
        <v>8200.0300000000007</v>
      </c>
      <c r="F54" s="734">
        <v>8200.0300000000007</v>
      </c>
      <c r="G54" s="549">
        <f t="shared" si="4"/>
        <v>0</v>
      </c>
      <c r="H54" s="536">
        <f>G54+'[4]2'!H54</f>
        <v>104.40000000000055</v>
      </c>
      <c r="I54" s="531"/>
      <c r="J54" s="629">
        <f>H54/DAY(B2)</f>
        <v>34.800000000000182</v>
      </c>
      <c r="K54" s="467"/>
      <c r="L54" s="408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'[4]2'!F55</f>
        <v>126470</v>
      </c>
      <c r="F55" s="734">
        <v>131386.60999999999</v>
      </c>
      <c r="G55" s="549">
        <f t="shared" si="4"/>
        <v>4916.609999999986</v>
      </c>
      <c r="H55" s="536">
        <f>G55+'[4]2'!H55</f>
        <v>13800.919999999984</v>
      </c>
      <c r="I55" s="531"/>
      <c r="J55" s="629">
        <f>H55/DAY(B2)</f>
        <v>4600.3066666666609</v>
      </c>
      <c r="K55" s="467"/>
      <c r="L55" s="408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'[4]2'!F56</f>
        <v>588549.03</v>
      </c>
      <c r="F56" s="734">
        <v>588556.94999999995</v>
      </c>
      <c r="G56" s="549">
        <f t="shared" si="4"/>
        <v>7.9199999999254942</v>
      </c>
      <c r="H56" s="536">
        <f>G56+'[4]2'!H56</f>
        <v>2505.9199999999255</v>
      </c>
      <c r="I56" s="531"/>
      <c r="J56" s="629">
        <f>H56/DAY(B2)</f>
        <v>835.30666666664183</v>
      </c>
      <c r="K56" s="466"/>
      <c r="L56" s="408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'[4]2'!F57</f>
        <v>7711.33</v>
      </c>
      <c r="F57" s="734">
        <v>7711.33</v>
      </c>
      <c r="G57" s="549">
        <f t="shared" si="4"/>
        <v>0</v>
      </c>
      <c r="H57" s="536">
        <f>G57+'[4]2'!H57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'[4]2'!F58</f>
        <v>36312.120000000003</v>
      </c>
      <c r="F58" s="734">
        <v>36500.910000000003</v>
      </c>
      <c r="G58" s="549">
        <f t="shared" si="4"/>
        <v>188.79000000000087</v>
      </c>
      <c r="H58" s="536">
        <f>G58+'[4]2'!H58</f>
        <v>632.2100000000064</v>
      </c>
      <c r="I58" s="531"/>
      <c r="J58" s="629">
        <f>H58/DAY(B2)</f>
        <v>210.73666666666881</v>
      </c>
      <c r="K58" s="467"/>
      <c r="L58" s="408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12993.599999999868</v>
      </c>
      <c r="H59" s="536">
        <f>G59+'[4]2'!H59</f>
        <v>28160.009999999842</v>
      </c>
      <c r="I59" s="531">
        <f>G7-G60</f>
        <v>415.24100000007456</v>
      </c>
      <c r="J59" s="629">
        <f>H59/DAY(B2)</f>
        <v>9386.6699999999473</v>
      </c>
      <c r="K59" s="467"/>
      <c r="L59" s="408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20693.758999999925</v>
      </c>
      <c r="H60" s="536">
        <f>G60+'[4]2'!H60</f>
        <v>64761.399999999929</v>
      </c>
      <c r="I60" s="531">
        <f>G13-G60</f>
        <v>-249.46899999993911</v>
      </c>
      <c r="J60" s="629">
        <f>H60/DAY(B2)</f>
        <v>21587.13333333331</v>
      </c>
      <c r="K60" s="467"/>
      <c r="L60" s="408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'[4]2'!F62</f>
        <v>20419.188999999998</v>
      </c>
      <c r="F62" s="590">
        <v>20419.188999999998</v>
      </c>
      <c r="G62" s="549">
        <f t="shared" ref="G62:G69" si="5">F62-E62</f>
        <v>0</v>
      </c>
      <c r="H62" s="536">
        <f>G62+'[4]2'!H62</f>
        <v>1.9999999967694748E-3</v>
      </c>
      <c r="I62" s="591"/>
      <c r="J62" s="629">
        <f>H62/DAY(B2)</f>
        <v>6.666666655898249E-4</v>
      </c>
      <c r="K62" s="467"/>
      <c r="L62" s="408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'[4]2'!F63</f>
        <v>1733.45</v>
      </c>
      <c r="F63" s="590">
        <v>1745.37</v>
      </c>
      <c r="G63" s="549">
        <f t="shared" si="5"/>
        <v>11.919999999999845</v>
      </c>
      <c r="H63" s="536">
        <f>G63+'[4]2'!H63</f>
        <v>38.009999999999991</v>
      </c>
      <c r="I63" s="591"/>
      <c r="J63" s="629">
        <f>H63/DAY(B2)</f>
        <v>12.669999999999996</v>
      </c>
      <c r="K63" s="467"/>
      <c r="L63" s="408"/>
      <c r="O63" s="413"/>
    </row>
    <row r="64" spans="1:15" ht="27.75">
      <c r="A64" s="1430" t="s">
        <v>99</v>
      </c>
      <c r="B64" s="1431"/>
      <c r="C64" s="1432"/>
      <c r="D64" s="599" t="s">
        <v>187</v>
      </c>
      <c r="E64" s="560">
        <f>'[4]2'!F64</f>
        <v>124657.34</v>
      </c>
      <c r="F64" s="554">
        <v>125180.16</v>
      </c>
      <c r="G64" s="549">
        <f t="shared" si="5"/>
        <v>522.82000000000698</v>
      </c>
      <c r="H64" s="536">
        <f>G64+'[4]2'!H64</f>
        <v>1552.8600000000006</v>
      </c>
      <c r="I64" s="556"/>
      <c r="J64" s="629">
        <f>H64/DAY(B2)</f>
        <v>517.62000000000023</v>
      </c>
      <c r="K64" s="467"/>
      <c r="L64" s="408"/>
      <c r="O64" s="413"/>
    </row>
    <row r="65" spans="1:15" ht="27.75">
      <c r="A65" s="1430" t="s">
        <v>100</v>
      </c>
      <c r="B65" s="1431"/>
      <c r="C65" s="1432"/>
      <c r="D65" s="599" t="s">
        <v>187</v>
      </c>
      <c r="E65" s="560">
        <f>'[4]2'!F65</f>
        <v>133392.66</v>
      </c>
      <c r="F65" s="732">
        <v>133770.84</v>
      </c>
      <c r="G65" s="549">
        <f t="shared" si="5"/>
        <v>378.17999999999302</v>
      </c>
      <c r="H65" s="536">
        <f>G65+'[4]2'!H65</f>
        <v>1173.5400000000081</v>
      </c>
      <c r="I65" s="565"/>
      <c r="J65" s="629">
        <f>H65/DAY(B2)</f>
        <v>391.18000000000274</v>
      </c>
      <c r="K65" s="467"/>
      <c r="L65" s="408"/>
      <c r="O65" s="413"/>
    </row>
    <row r="66" spans="1:15" ht="27.75">
      <c r="A66" s="1430" t="s">
        <v>101</v>
      </c>
      <c r="B66" s="1431"/>
      <c r="C66" s="1432"/>
      <c r="D66" s="599" t="s">
        <v>187</v>
      </c>
      <c r="E66" s="560">
        <f>'[4]2'!F66</f>
        <v>25980.5</v>
      </c>
      <c r="F66" s="554">
        <v>26413.93</v>
      </c>
      <c r="G66" s="549">
        <f t="shared" si="5"/>
        <v>433.43000000000029</v>
      </c>
      <c r="H66" s="536">
        <f>G66+'[4]2'!H66</f>
        <v>1254.1800000000003</v>
      </c>
      <c r="I66" s="556"/>
      <c r="J66" s="629">
        <f>H66/DAY(B2)</f>
        <v>418.06000000000012</v>
      </c>
      <c r="K66" s="467"/>
      <c r="L66" s="408"/>
      <c r="O66" s="413"/>
    </row>
    <row r="67" spans="1:15" ht="27.75">
      <c r="A67" s="1430" t="s">
        <v>102</v>
      </c>
      <c r="B67" s="1431"/>
      <c r="C67" s="1432"/>
      <c r="D67" s="599" t="s">
        <v>187</v>
      </c>
      <c r="E67" s="560">
        <f>'[4]2'!F67</f>
        <v>209249</v>
      </c>
      <c r="F67" s="554">
        <v>209908.33</v>
      </c>
      <c r="G67" s="549">
        <f t="shared" si="5"/>
        <v>659.32999999998719</v>
      </c>
      <c r="H67" s="536">
        <f>G67+'[4]2'!H67</f>
        <v>2066.5</v>
      </c>
      <c r="I67" s="565"/>
      <c r="J67" s="629">
        <f>H67/DAY(B2)</f>
        <v>688.83333333333337</v>
      </c>
      <c r="K67" s="468"/>
      <c r="L67" s="408"/>
      <c r="O67" s="413"/>
    </row>
    <row r="68" spans="1:15" ht="27.75">
      <c r="A68" s="1430" t="s">
        <v>103</v>
      </c>
      <c r="B68" s="1431"/>
      <c r="C68" s="1432"/>
      <c r="D68" s="599" t="s">
        <v>187</v>
      </c>
      <c r="E68" s="560">
        <f>'[4]2'!F68</f>
        <v>73391.91</v>
      </c>
      <c r="F68" s="554">
        <v>73751.149999999994</v>
      </c>
      <c r="G68" s="549">
        <f t="shared" si="5"/>
        <v>359.23999999999069</v>
      </c>
      <c r="H68" s="536">
        <f>G68+'[4]2'!H68</f>
        <v>1072.6299999999901</v>
      </c>
      <c r="I68" s="592"/>
      <c r="J68" s="629">
        <f>H68/DAY(B2)</f>
        <v>357.54333333333005</v>
      </c>
      <c r="K68" s="469"/>
      <c r="L68" s="408"/>
      <c r="O68" s="413"/>
    </row>
    <row r="69" spans="1:15" ht="27.75">
      <c r="A69" s="1430" t="s">
        <v>104</v>
      </c>
      <c r="B69" s="1431"/>
      <c r="C69" s="1432"/>
      <c r="D69" s="599" t="s">
        <v>187</v>
      </c>
      <c r="E69" s="560">
        <f>'[4]2'!F69</f>
        <v>65103.12</v>
      </c>
      <c r="F69" s="554">
        <v>65425.09</v>
      </c>
      <c r="G69" s="549">
        <f t="shared" si="5"/>
        <v>321.96999999999389</v>
      </c>
      <c r="H69" s="536">
        <f>G69+'[4]2'!H69</f>
        <v>973</v>
      </c>
      <c r="I69" s="592"/>
      <c r="J69" s="629">
        <f>H69/DAY(B2)</f>
        <v>324.33333333333331</v>
      </c>
      <c r="K69" s="470"/>
      <c r="L69" s="408"/>
      <c r="O69" s="413"/>
    </row>
    <row r="70" spans="1:15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O71" s="413"/>
    </row>
    <row r="72" spans="1:15" ht="27.75">
      <c r="A72" s="1430" t="s">
        <v>191</v>
      </c>
      <c r="B72" s="1431"/>
      <c r="C72" s="1432"/>
      <c r="D72" s="599" t="s">
        <v>187</v>
      </c>
      <c r="E72" s="595">
        <f>'[4]2'!F72</f>
        <v>850735</v>
      </c>
      <c r="F72" s="735">
        <v>850833</v>
      </c>
      <c r="G72" s="549">
        <f t="shared" ref="G72:G84" si="6">F72-E72</f>
        <v>98</v>
      </c>
      <c r="H72" s="536">
        <f>G72+'[4]2'!H72</f>
        <v>241</v>
      </c>
      <c r="I72" s="556"/>
      <c r="J72" s="629">
        <f>H72/DAY(B2)</f>
        <v>80.333333333333329</v>
      </c>
      <c r="K72" s="470"/>
      <c r="L72" s="408"/>
      <c r="O72" s="413"/>
    </row>
    <row r="73" spans="1:15" ht="27.75">
      <c r="A73" s="1430" t="s">
        <v>192</v>
      </c>
      <c r="B73" s="1431"/>
      <c r="C73" s="1432"/>
      <c r="D73" s="599" t="s">
        <v>187</v>
      </c>
      <c r="E73" s="596">
        <f>'[4]2'!F73</f>
        <v>885772</v>
      </c>
      <c r="F73" s="736">
        <v>885772</v>
      </c>
      <c r="G73" s="733">
        <f t="shared" si="6"/>
        <v>0</v>
      </c>
      <c r="H73" s="536">
        <f>G73+'[4]2'!H73</f>
        <v>0</v>
      </c>
      <c r="I73" s="556"/>
      <c r="J73" s="629">
        <f>H73/DAY(B2)</f>
        <v>0</v>
      </c>
      <c r="K73" s="469"/>
      <c r="L73" s="408"/>
      <c r="O73" s="413"/>
    </row>
    <row r="74" spans="1:15" ht="27.75">
      <c r="A74" s="1430" t="s">
        <v>193</v>
      </c>
      <c r="B74" s="1431"/>
      <c r="C74" s="1432"/>
      <c r="D74" s="599" t="s">
        <v>187</v>
      </c>
      <c r="E74" s="597">
        <f>'[4]2'!F74</f>
        <v>656.16</v>
      </c>
      <c r="F74" s="737">
        <v>683.56</v>
      </c>
      <c r="G74" s="549">
        <f t="shared" si="6"/>
        <v>27.399999999999977</v>
      </c>
      <c r="H74" s="536">
        <f>G74+'[4]2'!H74</f>
        <v>97.389999999999986</v>
      </c>
      <c r="I74" s="556"/>
      <c r="J74" s="629">
        <f>H74/DAY(B2)</f>
        <v>32.463333333333331</v>
      </c>
      <c r="K74" s="470"/>
      <c r="L74" s="408"/>
      <c r="O74" s="413"/>
    </row>
    <row r="75" spans="1:15" ht="27.75">
      <c r="A75" s="1479" t="s">
        <v>194</v>
      </c>
      <c r="B75" s="1480"/>
      <c r="C75" s="1481"/>
      <c r="D75" s="599" t="s">
        <v>187</v>
      </c>
      <c r="E75" s="597">
        <f>'[4]2'!F75</f>
        <v>3814.26</v>
      </c>
      <c r="F75" s="737">
        <v>3968.34</v>
      </c>
      <c r="G75" s="549">
        <f t="shared" si="6"/>
        <v>154.07999999999993</v>
      </c>
      <c r="H75" s="536">
        <f>G75+'[4]2'!H75</f>
        <v>449.12000000000035</v>
      </c>
      <c r="I75" s="556"/>
      <c r="J75" s="629">
        <f>H75/DAY(B2)</f>
        <v>149.70666666666679</v>
      </c>
      <c r="K75" s="469"/>
      <c r="L75" s="408"/>
      <c r="O75" s="413"/>
    </row>
    <row r="76" spans="1:15" ht="27.75">
      <c r="A76" s="1479" t="s">
        <v>195</v>
      </c>
      <c r="B76" s="1480"/>
      <c r="C76" s="1481"/>
      <c r="D76" s="599" t="s">
        <v>187</v>
      </c>
      <c r="E76" s="596">
        <f>'[4]2'!F76</f>
        <v>1674.12</v>
      </c>
      <c r="F76" s="736">
        <v>1757.3</v>
      </c>
      <c r="G76" s="549">
        <f t="shared" si="6"/>
        <v>83.180000000000064</v>
      </c>
      <c r="H76" s="536">
        <f>G76+'[4]2'!H76</f>
        <v>242.96000000000004</v>
      </c>
      <c r="I76" s="581"/>
      <c r="J76" s="629">
        <f>H76/DAY(B2)</f>
        <v>80.986666666666679</v>
      </c>
      <c r="K76" s="469"/>
      <c r="L76" s="408"/>
      <c r="O76" s="413"/>
    </row>
    <row r="77" spans="1:15" ht="27.75">
      <c r="A77" s="1430" t="s">
        <v>196</v>
      </c>
      <c r="B77" s="1431"/>
      <c r="C77" s="1432"/>
      <c r="D77" s="599" t="s">
        <v>187</v>
      </c>
      <c r="E77" s="596">
        <f>'[4]2'!F77</f>
        <v>698678</v>
      </c>
      <c r="F77" s="736">
        <v>698725</v>
      </c>
      <c r="G77" s="733">
        <f t="shared" si="6"/>
        <v>47</v>
      </c>
      <c r="H77" s="536">
        <f>G77+'[4]2'!H77</f>
        <v>137</v>
      </c>
      <c r="I77" s="581"/>
      <c r="J77" s="629">
        <f>H77/DAY(B2)</f>
        <v>45.666666666666664</v>
      </c>
      <c r="K77" s="469"/>
      <c r="L77" s="408"/>
      <c r="O77" s="413"/>
    </row>
    <row r="78" spans="1:15" ht="27.75">
      <c r="A78" s="1398" t="s">
        <v>197</v>
      </c>
      <c r="B78" s="1391"/>
      <c r="C78" s="1391"/>
      <c r="D78" s="599" t="s">
        <v>187</v>
      </c>
      <c r="E78" s="597">
        <f>'[4]2'!F78</f>
        <v>653630</v>
      </c>
      <c r="F78" s="737">
        <v>653959</v>
      </c>
      <c r="G78" s="549">
        <f t="shared" si="6"/>
        <v>329</v>
      </c>
      <c r="H78" s="536">
        <f>G78+'[4]2'!H78</f>
        <v>1096</v>
      </c>
      <c r="I78" s="581"/>
      <c r="J78" s="629">
        <f>H78/DAY(B2)</f>
        <v>365.33333333333331</v>
      </c>
      <c r="K78" s="469"/>
      <c r="L78" s="408"/>
      <c r="O78" s="413"/>
    </row>
    <row r="79" spans="1:15" ht="27.75">
      <c r="A79" s="1479" t="s">
        <v>92</v>
      </c>
      <c r="B79" s="1480"/>
      <c r="C79" s="1481"/>
      <c r="D79" s="600" t="s">
        <v>187</v>
      </c>
      <c r="E79" s="597">
        <f>'[4]2'!F79</f>
        <v>815599</v>
      </c>
      <c r="F79" s="737">
        <v>815715</v>
      </c>
      <c r="G79" s="549">
        <f t="shared" si="6"/>
        <v>116</v>
      </c>
      <c r="H79" s="536">
        <f>G79+'[4]2'!H79</f>
        <v>606</v>
      </c>
      <c r="I79" s="581"/>
      <c r="J79" s="629">
        <f>H79/DAY(B2)</f>
        <v>202</v>
      </c>
      <c r="K79" s="469"/>
      <c r="L79" s="408"/>
      <c r="O79" s="413"/>
    </row>
    <row r="80" spans="1:15" ht="27.75">
      <c r="A80" s="1479" t="s">
        <v>198</v>
      </c>
      <c r="B80" s="1480"/>
      <c r="C80" s="1481"/>
      <c r="D80" s="600" t="s">
        <v>187</v>
      </c>
      <c r="E80" s="596">
        <f>'[4]2'!F80</f>
        <v>495488.36</v>
      </c>
      <c r="F80" s="736">
        <v>495836</v>
      </c>
      <c r="G80" s="549">
        <f t="shared" si="6"/>
        <v>347.64000000001397</v>
      </c>
      <c r="H80" s="536">
        <f>G80+'[4]2'!H80</f>
        <v>1162.359999999986</v>
      </c>
      <c r="I80" s="581"/>
      <c r="J80" s="629">
        <f>H80/DAY(B2)</f>
        <v>387.45333333332866</v>
      </c>
      <c r="K80" s="469"/>
      <c r="L80" s="408"/>
      <c r="O80" s="413"/>
    </row>
    <row r="81" spans="1:15" ht="27.75">
      <c r="A81" s="1479" t="s">
        <v>199</v>
      </c>
      <c r="B81" s="1480"/>
      <c r="C81" s="1481"/>
      <c r="D81" s="600" t="s">
        <v>187</v>
      </c>
      <c r="E81" s="596">
        <f>'[4]2'!F81</f>
        <v>626157.64</v>
      </c>
      <c r="F81" s="736">
        <v>626258</v>
      </c>
      <c r="G81" s="549">
        <f t="shared" si="6"/>
        <v>100.35999999998603</v>
      </c>
      <c r="H81" s="536">
        <f>G81+'[4]2'!H81</f>
        <v>314.1600000000326</v>
      </c>
      <c r="I81" s="581"/>
      <c r="J81" s="629">
        <f>H81/DAY(B2)</f>
        <v>104.72000000001087</v>
      </c>
      <c r="K81" s="469"/>
      <c r="L81" s="408"/>
      <c r="O81" s="413"/>
    </row>
    <row r="82" spans="1:15" ht="27.75">
      <c r="A82" s="1479" t="s">
        <v>93</v>
      </c>
      <c r="B82" s="1480"/>
      <c r="C82" s="1481"/>
      <c r="D82" s="561" t="s">
        <v>132</v>
      </c>
      <c r="E82" s="598">
        <f>'[4]2'!F82</f>
        <v>106242.13</v>
      </c>
      <c r="F82" s="732">
        <v>106261</v>
      </c>
      <c r="G82" s="549">
        <f t="shared" si="6"/>
        <v>18.869999999995343</v>
      </c>
      <c r="H82" s="536">
        <f>G82+'[4]2'!H82</f>
        <v>58.520000000004075</v>
      </c>
      <c r="I82" s="562"/>
      <c r="J82" s="629">
        <f>H82/DAY(B2)</f>
        <v>19.506666666668025</v>
      </c>
      <c r="K82" s="469"/>
      <c r="L82" s="408"/>
      <c r="O82" s="413"/>
    </row>
    <row r="83" spans="1:15" ht="27.75">
      <c r="A83" s="1479" t="s">
        <v>200</v>
      </c>
      <c r="B83" s="1480"/>
      <c r="C83" s="1481"/>
      <c r="D83" s="697" t="s">
        <v>132</v>
      </c>
      <c r="E83" s="587">
        <f>'[4]2'!F83</f>
        <v>997516</v>
      </c>
      <c r="F83" s="587">
        <v>998039</v>
      </c>
      <c r="G83" s="549">
        <f t="shared" si="6"/>
        <v>523</v>
      </c>
      <c r="H83" s="536">
        <f>G83+'[4]2'!H83</f>
        <v>1590</v>
      </c>
      <c r="I83" s="557"/>
      <c r="J83" s="629">
        <f>H83/DAY(B2)</f>
        <v>530</v>
      </c>
      <c r="K83" s="468"/>
      <c r="L83" s="408"/>
      <c r="O83" s="413"/>
    </row>
    <row r="84" spans="1:15">
      <c r="A84" s="1399" t="s">
        <v>201</v>
      </c>
      <c r="B84" s="648"/>
      <c r="C84" s="648"/>
      <c r="D84" s="554" t="s">
        <v>132</v>
      </c>
      <c r="E84" s="704">
        <f>'[4]2'!F84</f>
        <v>432215</v>
      </c>
      <c r="F84" s="704">
        <v>432768</v>
      </c>
      <c r="G84" s="549">
        <f t="shared" si="6"/>
        <v>553</v>
      </c>
      <c r="H84" s="536">
        <f>G84+'[4]2'!H84</f>
        <v>1970</v>
      </c>
      <c r="I84" s="557"/>
      <c r="J84" s="629">
        <f>H84/DAY(B2)</f>
        <v>656.66666666666663</v>
      </c>
      <c r="K84" s="411"/>
      <c r="L84" s="408"/>
      <c r="O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2397.5299999999952</v>
      </c>
      <c r="H85" s="536">
        <f>G85+'[4]2'!H85</f>
        <v>5939.1299999999683</v>
      </c>
      <c r="I85" s="557"/>
      <c r="J85" s="629">
        <f>H85/DAY(B2)</f>
        <v>1979.7099999999893</v>
      </c>
      <c r="K85" s="411"/>
      <c r="L85" s="409"/>
      <c r="O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'[4]2'!F86</f>
        <v>450647.2</v>
      </c>
      <c r="F86" s="728">
        <v>450765</v>
      </c>
      <c r="G86" s="787">
        <f t="shared" ref="G86:G90" si="7">F86-E86</f>
        <v>117.79999999998836</v>
      </c>
      <c r="H86" s="536">
        <f>G86+'[4]2'!H86</f>
        <v>396.46999999997206</v>
      </c>
      <c r="I86" s="733"/>
      <c r="J86" s="789">
        <f>H86/DAY(B2)</f>
        <v>132.15666666665734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'[4]2'!F87</f>
        <v>79285.100000000006</v>
      </c>
      <c r="F87" s="728">
        <v>79323.199999999997</v>
      </c>
      <c r="G87" s="787">
        <f t="shared" si="7"/>
        <v>38.099999999991269</v>
      </c>
      <c r="H87" s="536">
        <f>G87+'[4]2'!H87</f>
        <v>115.5</v>
      </c>
      <c r="I87" s="733"/>
      <c r="J87" s="789">
        <f>H87/DAY(B2)</f>
        <v>38.5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'[4]2'!F88</f>
        <v>148388.41</v>
      </c>
      <c r="F88" s="728">
        <v>148414.26</v>
      </c>
      <c r="G88" s="787">
        <f t="shared" si="7"/>
        <v>25.850000000005821</v>
      </c>
      <c r="H88" s="536">
        <f>G88+'[4]2'!H88</f>
        <v>149.65000000002328</v>
      </c>
      <c r="I88" s="733"/>
      <c r="J88" s="789">
        <f>H88/DAY(B2)</f>
        <v>49.883333333341092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'[4]2'!F89</f>
        <v>61817.8</v>
      </c>
      <c r="F89" s="728">
        <v>61900.4</v>
      </c>
      <c r="G89" s="787">
        <f t="shared" si="7"/>
        <v>82.599999999998545</v>
      </c>
      <c r="H89" s="536">
        <f>G89+'[4]2'!H89</f>
        <v>225.30000000000291</v>
      </c>
      <c r="I89" s="733"/>
      <c r="J89" s="789">
        <f>H89/DAY(B2)</f>
        <v>75.100000000000975</v>
      </c>
      <c r="K89" s="815" t="e">
        <f t="shared" ref="K89:K90" si="8">I89/DAY(C3)</f>
        <v>#VALUE!</v>
      </c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'[4]2'!F90</f>
        <v>3173.2</v>
      </c>
      <c r="F90" s="728">
        <v>3178.6</v>
      </c>
      <c r="G90" s="787">
        <f t="shared" si="7"/>
        <v>5.4000000000000909</v>
      </c>
      <c r="H90" s="536">
        <f>G90+'[4]2'!H90</f>
        <v>15.699999999999818</v>
      </c>
      <c r="I90" s="733"/>
      <c r="J90" s="789">
        <f>H90/DAY(B2)</f>
        <v>5.233333333333273</v>
      </c>
      <c r="K90" s="815" t="e">
        <f t="shared" si="8"/>
        <v>#VALUE!</v>
      </c>
      <c r="L90" s="816"/>
      <c r="N90" s="860"/>
      <c r="O90" s="413"/>
    </row>
    <row r="91" spans="1:15" s="410" customFormat="1">
      <c r="A91" s="683" t="s">
        <v>205</v>
      </c>
      <c r="B91" s="1401"/>
      <c r="C91" s="1401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'[4]2'!F92</f>
        <v>239912</v>
      </c>
      <c r="F92" s="554">
        <v>239994</v>
      </c>
      <c r="G92" s="549">
        <f t="shared" ref="G92:G93" si="9">F92-E92</f>
        <v>82</v>
      </c>
      <c r="H92" s="536">
        <f>G92+'[4]2'!H92</f>
        <v>299</v>
      </c>
      <c r="I92" s="556"/>
      <c r="J92" s="629">
        <f>H92/DAY(B2)</f>
        <v>99.666666666666671</v>
      </c>
      <c r="K92" s="468"/>
      <c r="L92" s="408"/>
      <c r="O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'[4]2'!F93</f>
        <v>175994</v>
      </c>
      <c r="F93" s="554">
        <v>176158</v>
      </c>
      <c r="G93" s="549">
        <f t="shared" si="9"/>
        <v>164</v>
      </c>
      <c r="H93" s="536">
        <f>G93+'[4]2'!H93</f>
        <v>497</v>
      </c>
      <c r="I93" s="556"/>
      <c r="J93" s="629">
        <f>H93/DAY(B2)</f>
        <v>165.66666666666666</v>
      </c>
      <c r="K93" s="411"/>
      <c r="L93" s="408"/>
      <c r="O93" s="413"/>
    </row>
    <row r="94" spans="1:15">
      <c r="A94" s="1427" t="s">
        <v>208</v>
      </c>
      <c r="B94" s="1428"/>
      <c r="C94" s="1429"/>
      <c r="D94" s="599"/>
      <c r="E94" s="560"/>
      <c r="F94" s="554"/>
      <c r="G94" s="549">
        <f>G92+G93</f>
        <v>246</v>
      </c>
      <c r="H94" s="536">
        <f>G94+'[4]2'!H94</f>
        <v>530</v>
      </c>
      <c r="I94" s="556"/>
      <c r="J94" s="629">
        <f>H94/DAY(B2)</f>
        <v>176.66666666666666</v>
      </c>
      <c r="K94" s="411"/>
      <c r="L94" s="408"/>
      <c r="O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'[4]2'!F95</f>
        <v>408317</v>
      </c>
      <c r="F95" s="554">
        <v>408393</v>
      </c>
      <c r="G95" s="549">
        <f t="shared" ref="G95:G100" si="10">F95-E95</f>
        <v>76</v>
      </c>
      <c r="H95" s="536">
        <f>G95+'[4]2'!H95</f>
        <v>237</v>
      </c>
      <c r="I95" s="556"/>
      <c r="J95" s="629">
        <f>H95/DAY(B2)</f>
        <v>79</v>
      </c>
      <c r="K95" s="411"/>
      <c r="L95" s="408"/>
      <c r="O95" s="413"/>
    </row>
    <row r="96" spans="1:15" ht="27.75">
      <c r="A96" s="1395" t="s">
        <v>210</v>
      </c>
      <c r="B96" s="1396"/>
      <c r="C96" s="1396"/>
      <c r="D96" s="599" t="s">
        <v>144</v>
      </c>
      <c r="E96" s="560">
        <f>'[4]2'!F96</f>
        <v>101363</v>
      </c>
      <c r="F96" s="554">
        <v>101380</v>
      </c>
      <c r="G96" s="549">
        <f t="shared" si="10"/>
        <v>17</v>
      </c>
      <c r="H96" s="536">
        <f>G96+'[4]2'!H96</f>
        <v>48</v>
      </c>
      <c r="I96" s="556"/>
      <c r="J96" s="629">
        <f>H96/DAY(B2)</f>
        <v>16</v>
      </c>
      <c r="K96" s="466"/>
      <c r="L96" s="408"/>
      <c r="O96" s="413"/>
    </row>
    <row r="97" spans="1:15" ht="27.75">
      <c r="A97" s="1395" t="s">
        <v>211</v>
      </c>
      <c r="B97" s="1396"/>
      <c r="C97" s="1396"/>
      <c r="D97" s="599" t="s">
        <v>144</v>
      </c>
      <c r="E97" s="560">
        <f>'[4]2'!F97</f>
        <v>96492</v>
      </c>
      <c r="F97" s="554">
        <v>96508</v>
      </c>
      <c r="G97" s="549">
        <f t="shared" si="10"/>
        <v>16</v>
      </c>
      <c r="H97" s="536">
        <f>G97+'[4]2'!H97</f>
        <v>59</v>
      </c>
      <c r="I97" s="556"/>
      <c r="J97" s="629">
        <f>H97/DAY(B2)</f>
        <v>19.666666666666668</v>
      </c>
      <c r="K97" s="471"/>
      <c r="L97" s="408"/>
      <c r="O97" s="413"/>
    </row>
    <row r="98" spans="1:15" ht="27.75">
      <c r="A98" s="1395" t="s">
        <v>212</v>
      </c>
      <c r="B98" s="1396"/>
      <c r="C98" s="1396"/>
      <c r="D98" s="599" t="s">
        <v>144</v>
      </c>
      <c r="E98" s="560">
        <f>'[4]2'!F98</f>
        <v>147779</v>
      </c>
      <c r="F98" s="554">
        <v>147866</v>
      </c>
      <c r="G98" s="549">
        <f t="shared" si="10"/>
        <v>87</v>
      </c>
      <c r="H98" s="536">
        <f>G98+'[4]2'!H98</f>
        <v>258</v>
      </c>
      <c r="I98" s="556"/>
      <c r="J98" s="629">
        <f>H98/DAY(B2)</f>
        <v>86</v>
      </c>
      <c r="K98" s="411"/>
      <c r="L98" s="408"/>
      <c r="O98" s="413"/>
    </row>
    <row r="99" spans="1:15" ht="27.75">
      <c r="A99" s="1395" t="s">
        <v>213</v>
      </c>
      <c r="B99" s="1396"/>
      <c r="C99" s="1396"/>
      <c r="D99" s="599" t="s">
        <v>144</v>
      </c>
      <c r="E99" s="560">
        <f>'[4]2'!F99</f>
        <v>6444</v>
      </c>
      <c r="F99" s="554">
        <v>6457</v>
      </c>
      <c r="G99" s="549">
        <f t="shared" si="10"/>
        <v>13</v>
      </c>
      <c r="H99" s="536">
        <f>G99+'[4]2'!H99</f>
        <v>49</v>
      </c>
      <c r="I99" s="556"/>
      <c r="J99" s="629">
        <f>H99/DAY(B2)</f>
        <v>16.333333333333332</v>
      </c>
      <c r="K99" s="411"/>
      <c r="L99" s="408"/>
      <c r="O99" s="413"/>
    </row>
    <row r="100" spans="1:15" ht="27.75">
      <c r="A100" s="1395" t="s">
        <v>214</v>
      </c>
      <c r="B100" s="1396"/>
      <c r="C100" s="1396"/>
      <c r="D100" s="599" t="s">
        <v>144</v>
      </c>
      <c r="E100" s="560">
        <f>'[4]2'!F100</f>
        <v>4574</v>
      </c>
      <c r="F100" s="554">
        <v>4587</v>
      </c>
      <c r="G100" s="549">
        <f t="shared" si="10"/>
        <v>13</v>
      </c>
      <c r="H100" s="536">
        <f>G100+'[4]2'!H100</f>
        <v>44</v>
      </c>
      <c r="I100" s="556"/>
      <c r="J100" s="629">
        <f>H100/DAY(B2)</f>
        <v>14.666666666666666</v>
      </c>
      <c r="K100" s="411"/>
      <c r="L100" s="408"/>
      <c r="O100" s="413"/>
    </row>
    <row r="101" spans="1:15">
      <c r="A101" s="1427" t="s">
        <v>216</v>
      </c>
      <c r="B101" s="1428"/>
      <c r="C101" s="1429"/>
      <c r="D101" s="600"/>
      <c r="E101" s="600"/>
      <c r="F101" s="600"/>
      <c r="G101" s="601">
        <f>SUM(G95:G100)</f>
        <v>222</v>
      </c>
      <c r="H101" s="536">
        <f>G101+'[4]2'!H101</f>
        <v>695</v>
      </c>
      <c r="I101" s="602"/>
      <c r="J101" s="629">
        <f>H101/DAY(B2)</f>
        <v>231.66666666666666</v>
      </c>
      <c r="K101" s="411"/>
      <c r="L101" s="408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36" t="s">
        <v>218</v>
      </c>
      <c r="B103" s="1437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474" t="s">
        <v>219</v>
      </c>
      <c r="B104" s="1475"/>
      <c r="C104" s="1393"/>
      <c r="D104" s="699" t="s">
        <v>144</v>
      </c>
      <c r="E104" s="608">
        <f>'[4]2'!F104</f>
        <v>7128</v>
      </c>
      <c r="F104" s="739">
        <v>7128</v>
      </c>
      <c r="G104" s="608">
        <f>F104-E104</f>
        <v>0</v>
      </c>
      <c r="H104" s="536">
        <f>G104+'[4]2'!H104</f>
        <v>0</v>
      </c>
      <c r="I104" s="608"/>
      <c r="J104" s="635">
        <f>H108/DAY(B2)</f>
        <v>0</v>
      </c>
      <c r="O104" s="413"/>
    </row>
    <row r="105" spans="1:15" s="481" customFormat="1" ht="27.75">
      <c r="A105" s="1474" t="s">
        <v>77</v>
      </c>
      <c r="B105" s="1475"/>
      <c r="C105" s="1393"/>
      <c r="D105" s="699" t="s">
        <v>144</v>
      </c>
      <c r="E105" s="610">
        <f>'[4]2'!F105</f>
        <v>35425</v>
      </c>
      <c r="F105" s="740">
        <v>35434</v>
      </c>
      <c r="G105" s="608">
        <f t="shared" ref="G105:G106" si="11">F105-E105</f>
        <v>9</v>
      </c>
      <c r="H105" s="536">
        <f>G105+'[4]2'!H105</f>
        <v>27</v>
      </c>
      <c r="I105" s="608"/>
      <c r="J105" s="635">
        <f>H105/DAY(B2)</f>
        <v>9</v>
      </c>
      <c r="O105" s="413"/>
    </row>
    <row r="106" spans="1:15" s="481" customFormat="1" ht="27.75">
      <c r="A106" s="1474" t="s">
        <v>78</v>
      </c>
      <c r="B106" s="1491"/>
      <c r="C106" s="1475"/>
      <c r="D106" s="699" t="s">
        <v>144</v>
      </c>
      <c r="E106" s="608">
        <f>'[4]2'!F106</f>
        <v>19257</v>
      </c>
      <c r="F106" s="739">
        <v>19263</v>
      </c>
      <c r="G106" s="608">
        <f t="shared" si="11"/>
        <v>6</v>
      </c>
      <c r="H106" s="536">
        <f>G106+'[4]2'!H106</f>
        <v>16</v>
      </c>
      <c r="I106" s="608"/>
      <c r="J106" s="635">
        <f>H106/DAY(B2)</f>
        <v>5.333333333333333</v>
      </c>
      <c r="O106" s="413"/>
    </row>
    <row r="107" spans="1:15" s="481" customFormat="1" ht="27.75">
      <c r="A107" s="1470" t="s">
        <v>202</v>
      </c>
      <c r="B107" s="1471"/>
      <c r="C107" s="1393"/>
      <c r="D107" s="699"/>
      <c r="E107" s="608"/>
      <c r="F107" s="739" t="s">
        <v>269</v>
      </c>
      <c r="G107" s="608">
        <f>SUM(G104:G106)</f>
        <v>15</v>
      </c>
      <c r="H107" s="536">
        <f>G107+'[4]2'!H107</f>
        <v>43</v>
      </c>
      <c r="I107" s="608"/>
      <c r="J107" s="635">
        <f>H107/DAY(B2)</f>
        <v>14.333333333333334</v>
      </c>
      <c r="O107" s="413"/>
    </row>
    <row r="108" spans="1:15" s="481" customFormat="1" ht="27.75">
      <c r="A108" s="1489" t="s">
        <v>79</v>
      </c>
      <c r="B108" s="1490"/>
      <c r="C108" s="1393"/>
      <c r="D108" s="699" t="s">
        <v>144</v>
      </c>
      <c r="E108" s="608"/>
      <c r="F108" s="739"/>
      <c r="G108" s="608"/>
      <c r="H108" s="536">
        <f>G104+'[4]2'!H104</f>
        <v>0</v>
      </c>
      <c r="I108" s="608"/>
      <c r="J108" s="635"/>
      <c r="O108" s="413"/>
    </row>
    <row r="109" spans="1:15" s="481" customFormat="1" ht="27.75">
      <c r="A109" s="1474" t="s">
        <v>220</v>
      </c>
      <c r="B109" s="1475"/>
      <c r="C109" s="1393"/>
      <c r="D109" s="699" t="s">
        <v>144</v>
      </c>
      <c r="E109" s="608">
        <f>'[4]2'!F109</f>
        <v>56516</v>
      </c>
      <c r="F109" s="739">
        <v>56606</v>
      </c>
      <c r="G109" s="608">
        <f>F109-E109</f>
        <v>90</v>
      </c>
      <c r="H109" s="536">
        <f>G109+'[4]2'!H109</f>
        <v>253</v>
      </c>
      <c r="I109" s="608"/>
      <c r="J109" s="635">
        <f>H109/DAY(B2)</f>
        <v>84.333333333333329</v>
      </c>
      <c r="O109" s="413"/>
    </row>
    <row r="110" spans="1:15" s="481" customFormat="1" ht="27.75">
      <c r="A110" s="1474" t="s">
        <v>221</v>
      </c>
      <c r="B110" s="1475"/>
      <c r="C110" s="1393"/>
      <c r="D110" s="699" t="s">
        <v>144</v>
      </c>
      <c r="E110" s="608">
        <f>'[4]2'!F110</f>
        <v>30690</v>
      </c>
      <c r="F110" s="739">
        <v>30795</v>
      </c>
      <c r="G110" s="608">
        <f t="shared" ref="G110:G111" si="12">F110-E110</f>
        <v>105</v>
      </c>
      <c r="H110" s="536">
        <f>G110+'[4]2'!H110</f>
        <v>268</v>
      </c>
      <c r="I110" s="608"/>
      <c r="J110" s="635">
        <f>H110/DAY(B2)</f>
        <v>89.333333333333329</v>
      </c>
      <c r="O110" s="413"/>
    </row>
    <row r="111" spans="1:15" s="481" customFormat="1" ht="27.75">
      <c r="A111" s="1474" t="s">
        <v>222</v>
      </c>
      <c r="B111" s="1475"/>
      <c r="C111" s="1393"/>
      <c r="D111" s="699" t="s">
        <v>144</v>
      </c>
      <c r="E111" s="608">
        <f>'[4]2'!F111</f>
        <v>3987</v>
      </c>
      <c r="F111" s="739">
        <v>4012</v>
      </c>
      <c r="G111" s="608">
        <f t="shared" si="12"/>
        <v>25</v>
      </c>
      <c r="H111" s="536">
        <f>G111+'[4]2'!H111</f>
        <v>32</v>
      </c>
      <c r="I111" s="608"/>
      <c r="J111" s="635">
        <f>H111/DAY(B2)</f>
        <v>10.666666666666666</v>
      </c>
      <c r="O111" s="413"/>
    </row>
    <row r="112" spans="1:15" s="481" customFormat="1" ht="27.75">
      <c r="A112" s="1470" t="s">
        <v>110</v>
      </c>
      <c r="B112" s="1471"/>
      <c r="C112" s="1393"/>
      <c r="D112" s="699"/>
      <c r="E112" s="608"/>
      <c r="F112" s="739"/>
      <c r="G112" s="608">
        <f>SUM(G109:G111)</f>
        <v>220</v>
      </c>
      <c r="H112" s="536">
        <f>G112+'[4]2'!H112</f>
        <v>553</v>
      </c>
      <c r="I112" s="608"/>
      <c r="J112" s="635">
        <f>H112/DAY(B2)</f>
        <v>184.33333333333334</v>
      </c>
      <c r="O112" s="413"/>
    </row>
    <row r="113" spans="1:15" s="481" customFormat="1" ht="27.75">
      <c r="A113" s="1489" t="s">
        <v>223</v>
      </c>
      <c r="B113" s="1490"/>
      <c r="C113" s="1393"/>
      <c r="D113" s="699"/>
      <c r="E113" s="608"/>
      <c r="F113" s="739"/>
      <c r="G113" s="608"/>
      <c r="H113" s="536">
        <f>G113+'[4]2'!H113</f>
        <v>0</v>
      </c>
      <c r="I113" s="608"/>
      <c r="J113" s="635">
        <f>H113/DAY(B2)</f>
        <v>0</v>
      </c>
      <c r="O113" s="413"/>
    </row>
    <row r="114" spans="1:15" s="481" customFormat="1" ht="27.75">
      <c r="A114" s="1474" t="s">
        <v>224</v>
      </c>
      <c r="B114" s="1475"/>
      <c r="C114" s="1392"/>
      <c r="D114" s="699" t="s">
        <v>144</v>
      </c>
      <c r="E114" s="610">
        <f>'[4]2'!F114</f>
        <v>10363</v>
      </c>
      <c r="F114" s="740">
        <v>10379</v>
      </c>
      <c r="G114" s="610">
        <f>F114-E114</f>
        <v>16</v>
      </c>
      <c r="H114" s="536">
        <f>G114+'[4]2'!H114</f>
        <v>57</v>
      </c>
      <c r="I114" s="608"/>
      <c r="J114" s="635">
        <f>H114/DAY(B2)</f>
        <v>19</v>
      </c>
      <c r="O114" s="413"/>
    </row>
    <row r="115" spans="1:15" s="481" customFormat="1" ht="27.75">
      <c r="A115" s="1474" t="s">
        <v>225</v>
      </c>
      <c r="B115" s="1475"/>
      <c r="C115" s="1392"/>
      <c r="D115" s="699" t="s">
        <v>144</v>
      </c>
      <c r="E115" s="610">
        <f>'[4]2'!F115</f>
        <v>7690</v>
      </c>
      <c r="F115" s="740">
        <v>7703</v>
      </c>
      <c r="G115" s="610">
        <f t="shared" ref="G115:G116" si="13">F115-E115</f>
        <v>13</v>
      </c>
      <c r="H115" s="536">
        <f>G115+'[4]2'!H115</f>
        <v>36</v>
      </c>
      <c r="I115" s="608"/>
      <c r="J115" s="635">
        <f>H115/DAY(B2)</f>
        <v>12</v>
      </c>
      <c r="O115" s="413"/>
    </row>
    <row r="116" spans="1:15" s="481" customFormat="1" ht="27.75">
      <c r="A116" s="1474" t="s">
        <v>226</v>
      </c>
      <c r="B116" s="1475"/>
      <c r="C116" s="1392"/>
      <c r="D116" s="699" t="s">
        <v>144</v>
      </c>
      <c r="E116" s="610"/>
      <c r="F116" s="740"/>
      <c r="G116" s="610">
        <f t="shared" si="13"/>
        <v>0</v>
      </c>
      <c r="H116" s="536">
        <f>G116+'[4]2'!H116</f>
        <v>0</v>
      </c>
      <c r="I116" s="608"/>
      <c r="J116" s="635">
        <f>H116/DAY(B2)</f>
        <v>0</v>
      </c>
      <c r="O116" s="413"/>
    </row>
    <row r="117" spans="1:15" s="494" customFormat="1" ht="27.75">
      <c r="A117" s="1470" t="s">
        <v>202</v>
      </c>
      <c r="B117" s="1471"/>
      <c r="C117" s="1392"/>
      <c r="D117" s="863"/>
      <c r="E117" s="610"/>
      <c r="F117" s="740"/>
      <c r="G117" s="610">
        <f>SUM(G114:G116)</f>
        <v>29</v>
      </c>
      <c r="H117" s="536">
        <f>G117+'[4]2'!H117</f>
        <v>93</v>
      </c>
      <c r="I117" s="610"/>
      <c r="J117" s="635">
        <f>H117/DAY(B2)</f>
        <v>31</v>
      </c>
      <c r="O117" s="413"/>
    </row>
    <row r="118" spans="1:15" s="494" customFormat="1" ht="27.75">
      <c r="A118" s="1472" t="s">
        <v>227</v>
      </c>
      <c r="B118" s="1473"/>
      <c r="C118" s="1392"/>
      <c r="D118" s="701" t="s">
        <v>144</v>
      </c>
      <c r="E118" s="612"/>
      <c r="F118" s="741">
        <f>SUM(G19+G92)</f>
        <v>134</v>
      </c>
      <c r="G118" s="612">
        <f>SUM(G19+G92)</f>
        <v>134</v>
      </c>
      <c r="H118" s="536">
        <f>G118+'[4]2'!H118</f>
        <v>451</v>
      </c>
      <c r="I118" s="611"/>
      <c r="J118" s="636">
        <f>H118/DAY(B2)</f>
        <v>150.33333333333334</v>
      </c>
      <c r="O118" s="413"/>
    </row>
    <row r="119" spans="1:15" s="494" customFormat="1" ht="27.75">
      <c r="A119" s="1472" t="s">
        <v>228</v>
      </c>
      <c r="B119" s="1473"/>
      <c r="C119" s="1392"/>
      <c r="D119" s="701" t="s">
        <v>144</v>
      </c>
      <c r="E119" s="612"/>
      <c r="F119" s="741">
        <f>SUM(G95,G96,G97,G99,G100)</f>
        <v>135</v>
      </c>
      <c r="G119" s="612">
        <f>SUM(G95,G96,G97,G99,G100)</f>
        <v>135</v>
      </c>
      <c r="H119" s="536">
        <f>G119+'[4]2'!H119</f>
        <v>437</v>
      </c>
      <c r="I119" s="611"/>
      <c r="J119" s="636">
        <f>H119/DAY(B2)</f>
        <v>145.66666666666666</v>
      </c>
      <c r="O119" s="413"/>
    </row>
    <row r="120" spans="1:15" s="494" customFormat="1" ht="27.75">
      <c r="A120" s="1472" t="s">
        <v>229</v>
      </c>
      <c r="B120" s="1473"/>
      <c r="C120" s="1392"/>
      <c r="D120" s="701" t="s">
        <v>144</v>
      </c>
      <c r="E120" s="610"/>
      <c r="F120" s="740">
        <f>SUM(G112)</f>
        <v>220</v>
      </c>
      <c r="G120" s="610">
        <f>SUM(G112)</f>
        <v>220</v>
      </c>
      <c r="H120" s="536">
        <f>G120+'[4]2'!H120</f>
        <v>553</v>
      </c>
      <c r="I120" s="611"/>
      <c r="J120" s="636">
        <f>H120/DAY(B2)</f>
        <v>184.33333333333334</v>
      </c>
      <c r="O120" s="413"/>
    </row>
    <row r="121" spans="1:15" s="481" customFormat="1" ht="27.75">
      <c r="A121" s="1474"/>
      <c r="B121" s="1475"/>
      <c r="C121" s="1393"/>
      <c r="D121" s="637"/>
      <c r="E121" s="637"/>
      <c r="F121" s="742" t="s">
        <v>215</v>
      </c>
      <c r="G121" s="637"/>
      <c r="H121" s="638"/>
      <c r="I121" s="637"/>
      <c r="J121" s="639"/>
      <c r="O121" s="413"/>
    </row>
    <row r="122" spans="1:15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395" t="s">
        <v>231</v>
      </c>
      <c r="B123" s="1396"/>
      <c r="C123" s="1396"/>
      <c r="D123" s="599" t="s">
        <v>141</v>
      </c>
      <c r="E123" s="554">
        <f>'[4]2'!F123</f>
        <v>811551.39</v>
      </c>
      <c r="F123" s="554">
        <v>811797.04</v>
      </c>
      <c r="G123" s="549">
        <f t="shared" ref="G123:G127" si="14">F123-E123</f>
        <v>245.65000000002328</v>
      </c>
      <c r="H123" s="536">
        <f>G123+'[4]2'!H123</f>
        <v>790.20000000006985</v>
      </c>
      <c r="I123" s="602"/>
      <c r="J123" s="629">
        <f>H123/DAY(B2)</f>
        <v>263.40000000002328</v>
      </c>
      <c r="K123" s="411"/>
      <c r="L123" s="408"/>
      <c r="O123" s="413"/>
    </row>
    <row r="124" spans="1:15" ht="27.75">
      <c r="A124" s="1395" t="s">
        <v>232</v>
      </c>
      <c r="B124" s="1396"/>
      <c r="C124" s="1396"/>
      <c r="D124" s="599" t="s">
        <v>141</v>
      </c>
      <c r="E124" s="703">
        <f>'[4]2'!F124</f>
        <v>73583.399999999994</v>
      </c>
      <c r="F124" s="703">
        <v>73583.399999999994</v>
      </c>
      <c r="G124" s="549">
        <f t="shared" si="14"/>
        <v>0</v>
      </c>
      <c r="H124" s="536">
        <f>G124+'[4]2'!H124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430" t="s">
        <v>233</v>
      </c>
      <c r="B125" s="1431"/>
      <c r="C125" s="1432"/>
      <c r="D125" s="599" t="s">
        <v>141</v>
      </c>
      <c r="E125" s="554">
        <f>'[4]2'!F125</f>
        <v>140124.99</v>
      </c>
      <c r="F125" s="554">
        <v>140188.65</v>
      </c>
      <c r="G125" s="549">
        <f t="shared" si="14"/>
        <v>63.660000000003492</v>
      </c>
      <c r="H125" s="536">
        <f>G125+'[4]2'!H125</f>
        <v>209.30999999999767</v>
      </c>
      <c r="I125" s="602"/>
      <c r="J125" s="629">
        <f>H125/DAY(B2)</f>
        <v>69.769999999999229</v>
      </c>
      <c r="K125" s="411"/>
      <c r="L125" s="408"/>
      <c r="O125" s="413"/>
    </row>
    <row r="126" spans="1:15" ht="27.75">
      <c r="A126" s="686" t="s">
        <v>234</v>
      </c>
      <c r="B126" s="1396"/>
      <c r="C126" s="1396"/>
      <c r="D126" s="599" t="s">
        <v>141</v>
      </c>
      <c r="E126" s="703">
        <f>'[4]2'!F126</f>
        <v>59358.9</v>
      </c>
      <c r="F126" s="703">
        <v>59377.599999999999</v>
      </c>
      <c r="G126" s="549">
        <f t="shared" si="14"/>
        <v>18.69999999999709</v>
      </c>
      <c r="H126" s="536">
        <f>G126+'[4]2'!H126</f>
        <v>70.69999999999709</v>
      </c>
      <c r="I126" s="602"/>
      <c r="J126" s="629">
        <f>H126/DAY(B2)</f>
        <v>23.566666666665697</v>
      </c>
      <c r="K126" s="411"/>
      <c r="L126" s="408"/>
      <c r="O126" s="413"/>
    </row>
    <row r="127" spans="1:15" ht="27.75">
      <c r="A127" s="686" t="s">
        <v>235</v>
      </c>
      <c r="B127" s="1396"/>
      <c r="C127" s="1396"/>
      <c r="D127" s="599" t="s">
        <v>141</v>
      </c>
      <c r="E127" s="703">
        <f>'[4]2'!F127</f>
        <v>8890.4</v>
      </c>
      <c r="F127" s="703">
        <v>8894.1</v>
      </c>
      <c r="G127" s="549">
        <f t="shared" si="14"/>
        <v>3.7000000000007276</v>
      </c>
      <c r="H127" s="536">
        <f>G127+'[4]2'!H127</f>
        <v>6.3000000000010914</v>
      </c>
      <c r="I127" s="556"/>
      <c r="J127" s="629">
        <f>H127/DAY(B2)</f>
        <v>2.1000000000003638</v>
      </c>
      <c r="K127" s="411"/>
      <c r="L127" s="408"/>
      <c r="O127" s="413"/>
    </row>
    <row r="128" spans="1:15" s="281" customFormat="1" ht="27.75">
      <c r="A128" s="686" t="s">
        <v>236</v>
      </c>
      <c r="B128" s="1396"/>
      <c r="C128" s="1396"/>
      <c r="D128" s="599"/>
      <c r="E128" s="554"/>
      <c r="F128" s="554"/>
      <c r="G128" s="549">
        <f>G15-SUM(G123:G127)</f>
        <v>498.70000000012442</v>
      </c>
      <c r="H128" s="536">
        <f>G128+'[4]2'!H128</f>
        <v>1627.7099999999064</v>
      </c>
      <c r="I128" s="556"/>
      <c r="J128" s="629">
        <f>H128/DAY(B2)</f>
        <v>542.56999999996879</v>
      </c>
      <c r="K128" s="391"/>
      <c r="L128" s="293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395" t="s">
        <v>238</v>
      </c>
      <c r="B130" s="1396"/>
      <c r="C130" s="1396"/>
      <c r="D130" s="599" t="s">
        <v>239</v>
      </c>
      <c r="E130" s="560">
        <f>'[4]2'!F130</f>
        <v>0</v>
      </c>
      <c r="F130" s="554">
        <v>0</v>
      </c>
      <c r="G130" s="549">
        <f t="shared" ref="G130:G140" si="15">F130-E130</f>
        <v>0</v>
      </c>
      <c r="H130" s="536">
        <f>G130+'[4]2'!H130</f>
        <v>0</v>
      </c>
      <c r="I130" s="556"/>
      <c r="J130" s="629">
        <f>H130/DAY(B2)</f>
        <v>0</v>
      </c>
      <c r="O130" s="413"/>
    </row>
    <row r="131" spans="1:15" ht="27.75">
      <c r="A131" s="1395" t="s">
        <v>240</v>
      </c>
      <c r="B131" s="1396"/>
      <c r="C131" s="1396"/>
      <c r="D131" s="599" t="s">
        <v>239</v>
      </c>
      <c r="E131" s="560">
        <f>'[4]2'!F131</f>
        <v>0</v>
      </c>
      <c r="F131" s="554">
        <v>0</v>
      </c>
      <c r="G131" s="549">
        <f t="shared" si="15"/>
        <v>0</v>
      </c>
      <c r="H131" s="536">
        <f>G131+'[4]2'!H131</f>
        <v>0</v>
      </c>
      <c r="I131" s="556"/>
      <c r="J131" s="629">
        <f>H131/DAY(B2)</f>
        <v>0</v>
      </c>
      <c r="O131" s="413"/>
    </row>
    <row r="132" spans="1:15" ht="27.75">
      <c r="A132" s="1395" t="s">
        <v>241</v>
      </c>
      <c r="B132" s="1396"/>
      <c r="C132" s="1396"/>
      <c r="D132" s="599" t="s">
        <v>239</v>
      </c>
      <c r="E132" s="618">
        <f>'[4]2'!F132</f>
        <v>38829</v>
      </c>
      <c r="F132" s="732">
        <v>38829</v>
      </c>
      <c r="G132" s="549">
        <f t="shared" si="15"/>
        <v>0</v>
      </c>
      <c r="H132" s="536">
        <f>G132+'[4]2'!H132</f>
        <v>0</v>
      </c>
      <c r="I132" s="556"/>
      <c r="J132" s="629">
        <f>H132/DAY(B2)</f>
        <v>0</v>
      </c>
      <c r="O132" s="413"/>
    </row>
    <row r="133" spans="1:15" ht="27.75">
      <c r="A133" s="1395" t="s">
        <v>242</v>
      </c>
      <c r="B133" s="1396"/>
      <c r="C133" s="1396"/>
      <c r="D133" s="599" t="s">
        <v>239</v>
      </c>
      <c r="E133" s="782">
        <f>'[4]2'!F133</f>
        <v>300</v>
      </c>
      <c r="F133" s="703">
        <v>299.52</v>
      </c>
      <c r="G133" s="549">
        <f t="shared" si="15"/>
        <v>-0.48000000000001819</v>
      </c>
      <c r="H133" s="536">
        <f>G133+'[4]2'!H133</f>
        <v>-0.48000000000001819</v>
      </c>
      <c r="I133" s="556"/>
      <c r="J133" s="629">
        <f>H133/DAY(B2)</f>
        <v>-0.16000000000000605</v>
      </c>
      <c r="O133" s="413"/>
    </row>
    <row r="134" spans="1:15" ht="27.75">
      <c r="A134" s="1395" t="s">
        <v>243</v>
      </c>
      <c r="B134" s="1396"/>
      <c r="C134" s="1396"/>
      <c r="D134" s="599" t="s">
        <v>239</v>
      </c>
      <c r="E134" s="782">
        <f>'[4]2'!F134</f>
        <v>40410.14</v>
      </c>
      <c r="F134" s="703">
        <v>40434.199999999997</v>
      </c>
      <c r="G134" s="549">
        <f t="shared" si="15"/>
        <v>24.059999999997672</v>
      </c>
      <c r="H134" s="536">
        <f>G134+'[4]2'!H134</f>
        <v>67.059999999997672</v>
      </c>
      <c r="I134" s="556"/>
      <c r="J134" s="629">
        <f>H134/DAY(B2)</f>
        <v>22.353333333332557</v>
      </c>
      <c r="O134" s="413"/>
    </row>
    <row r="135" spans="1:15" ht="27.75">
      <c r="A135" s="1395" t="s">
        <v>244</v>
      </c>
      <c r="B135" s="1396"/>
      <c r="C135" s="1396"/>
      <c r="D135" s="599" t="s">
        <v>239</v>
      </c>
      <c r="E135" s="782">
        <f>'[4]2'!F135</f>
        <v>32582.09</v>
      </c>
      <c r="F135" s="703">
        <v>32582.09</v>
      </c>
      <c r="G135" s="549">
        <f t="shared" si="15"/>
        <v>0</v>
      </c>
      <c r="H135" s="536">
        <f>G135+'[4]2'!H135</f>
        <v>11.090000000000146</v>
      </c>
      <c r="I135" s="556">
        <f t="shared" ref="I135" si="16">G132+G133+G134+G135</f>
        <v>23.579999999997654</v>
      </c>
      <c r="J135" s="629">
        <f>H135/DAY(B2)</f>
        <v>3.6966666666667152</v>
      </c>
      <c r="O135" s="413"/>
    </row>
    <row r="136" spans="1:15" ht="27.75">
      <c r="A136" s="1395" t="s">
        <v>245</v>
      </c>
      <c r="B136" s="1396"/>
      <c r="C136" s="1396"/>
      <c r="D136" s="599" t="s">
        <v>239</v>
      </c>
      <c r="E136" s="618">
        <f>'[4]2'!F136</f>
        <v>22239.82</v>
      </c>
      <c r="F136" s="732">
        <v>22248.35</v>
      </c>
      <c r="G136" s="549">
        <f t="shared" si="15"/>
        <v>8.5299999999988358</v>
      </c>
      <c r="H136" s="536">
        <f>G136+'[4]2'!H136</f>
        <v>26.139999999999418</v>
      </c>
      <c r="I136" s="556"/>
      <c r="J136" s="629">
        <f>H136/DAY(B2)</f>
        <v>8.7133333333331393</v>
      </c>
      <c r="O136" s="413"/>
    </row>
    <row r="137" spans="1:15" ht="27.75">
      <c r="A137" s="1395" t="s">
        <v>246</v>
      </c>
      <c r="B137" s="1396"/>
      <c r="C137" s="1396"/>
      <c r="D137" s="599" t="s">
        <v>239</v>
      </c>
      <c r="E137" s="618">
        <f>'[4]2'!F137</f>
        <v>25044.31</v>
      </c>
      <c r="F137" s="732">
        <v>25044.31</v>
      </c>
      <c r="G137" s="549">
        <f t="shared" si="15"/>
        <v>0</v>
      </c>
      <c r="H137" s="536">
        <f>G137+'[4]2'!H137</f>
        <v>0</v>
      </c>
      <c r="I137" s="556"/>
      <c r="J137" s="629">
        <f>H137/DAY(B2)</f>
        <v>0</v>
      </c>
      <c r="O137" s="413"/>
    </row>
    <row r="138" spans="1:15" ht="27.75">
      <c r="A138" s="1395" t="s">
        <v>247</v>
      </c>
      <c r="B138" s="1396"/>
      <c r="C138" s="1396"/>
      <c r="D138" s="599" t="s">
        <v>239</v>
      </c>
      <c r="E138" s="618">
        <f>'[4]2'!F138</f>
        <v>70159.350000000006</v>
      </c>
      <c r="F138" s="732">
        <v>70164.81</v>
      </c>
      <c r="G138" s="549">
        <f t="shared" si="15"/>
        <v>5.4599999999918509</v>
      </c>
      <c r="H138" s="536">
        <f>G138+'[4]2'!H138</f>
        <v>17.470000000001164</v>
      </c>
      <c r="I138" s="556">
        <f>G136+G137+G138</f>
        <v>13.989999999990687</v>
      </c>
      <c r="J138" s="629">
        <f>H138/DAY(B2)</f>
        <v>5.8233333333337214</v>
      </c>
      <c r="O138" s="413"/>
    </row>
    <row r="139" spans="1:15" ht="27.75">
      <c r="A139" s="1395" t="s">
        <v>248</v>
      </c>
      <c r="B139" s="1396"/>
      <c r="C139" s="1396"/>
      <c r="D139" s="599" t="s">
        <v>239</v>
      </c>
      <c r="E139" s="782">
        <f>'[4]2'!F139</f>
        <v>1438.91</v>
      </c>
      <c r="F139" s="703">
        <v>1445.97</v>
      </c>
      <c r="G139" s="549">
        <f t="shared" si="15"/>
        <v>7.0599999999999454</v>
      </c>
      <c r="H139" s="536">
        <f>G139+'[4]2'!H139</f>
        <v>22.829999999999927</v>
      </c>
      <c r="I139" s="619"/>
      <c r="J139" s="629">
        <f>H139/DAY(B2)</f>
        <v>7.6099999999999755</v>
      </c>
      <c r="O139" s="413"/>
    </row>
    <row r="140" spans="1:15" ht="27.75">
      <c r="A140" s="1395" t="s">
        <v>249</v>
      </c>
      <c r="B140" s="1396"/>
      <c r="C140" s="1396"/>
      <c r="D140" s="599" t="s">
        <v>239</v>
      </c>
      <c r="E140" s="560">
        <f>'[4]2'!F140</f>
        <v>4334</v>
      </c>
      <c r="F140" s="554">
        <v>4334</v>
      </c>
      <c r="G140" s="549">
        <f t="shared" si="15"/>
        <v>0</v>
      </c>
      <c r="H140" s="536">
        <f>G140+'[4]2'!H140</f>
        <v>0</v>
      </c>
      <c r="I140" s="619">
        <f>G140+G177</f>
        <v>0</v>
      </c>
      <c r="J140" s="629">
        <f>H140/DAY(B2)</f>
        <v>0</v>
      </c>
      <c r="O140" s="413"/>
    </row>
    <row r="141" spans="1:15">
      <c r="A141" s="1468" t="s">
        <v>250</v>
      </c>
      <c r="B141" s="1469"/>
      <c r="C141" s="1401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5890.7000000000698</v>
      </c>
      <c r="H142" s="536">
        <f>G142+'[4]2'!H142</f>
        <v>17528.460000000079</v>
      </c>
      <c r="I142" s="556"/>
      <c r="J142" s="629">
        <f>H142/DAY(B2)</f>
        <v>5842.8200000000261</v>
      </c>
      <c r="K142" s="411"/>
      <c r="L142" s="408"/>
      <c r="O142" s="413"/>
    </row>
    <row r="143" spans="1:15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0.27906106400114028</v>
      </c>
      <c r="H143" s="536">
        <f>G143+'[4]2'!H143</f>
        <v>0.6114514435400572</v>
      </c>
      <c r="I143" s="621"/>
      <c r="J143" s="629">
        <f>H143/DAY(B2)</f>
        <v>0.20381714784668573</v>
      </c>
      <c r="K143" s="411"/>
      <c r="L143" s="408"/>
      <c r="O143" s="413"/>
    </row>
    <row r="144" spans="1:15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4924.5289999999077</v>
      </c>
      <c r="H144" s="536">
        <f>G144+'[4]2'!H144</f>
        <v>16306.839999999909</v>
      </c>
      <c r="I144" s="556"/>
      <c r="J144" s="629">
        <f>H144/DAY(B2)</f>
        <v>5435.6133333333028</v>
      </c>
      <c r="K144" s="411"/>
      <c r="L144" s="408"/>
      <c r="O144" s="413"/>
    </row>
    <row r="145" spans="1:15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0.23329049220711107</v>
      </c>
      <c r="H145" s="536">
        <f>G145+'[4]2'!H145</f>
        <v>0.74169972079948565</v>
      </c>
      <c r="I145" s="621"/>
      <c r="J145" s="629">
        <f>H145/DAY(B2)</f>
        <v>0.24723324026649521</v>
      </c>
      <c r="K145" s="411"/>
      <c r="L145" s="408"/>
      <c r="O145" s="413"/>
    </row>
    <row r="146" spans="1:15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4356.4200000000128</v>
      </c>
      <c r="H146" s="536">
        <f>G146+'[4]2'!H146</f>
        <v>13054.150000000009</v>
      </c>
      <c r="I146" s="622"/>
      <c r="J146" s="629">
        <f>H146/DAY(B2)</f>
        <v>4351.3833333333359</v>
      </c>
      <c r="K146" s="411"/>
      <c r="L146" s="408"/>
      <c r="O146" s="413"/>
    </row>
    <row r="147" spans="1:15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0.20637737457956382</v>
      </c>
      <c r="H147" s="536">
        <f>G147+'[4]2'!H147</f>
        <v>0.59487780060695816</v>
      </c>
      <c r="I147" s="622"/>
      <c r="J147" s="629">
        <f>H147/DAY(B2)</f>
        <v>0.1982926002023194</v>
      </c>
      <c r="O147" s="413"/>
    </row>
    <row r="148" spans="1:15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2172.0499999999665</v>
      </c>
      <c r="H148" s="536">
        <f>G148+'[4]2'!H148</f>
        <v>6401.9799999999668</v>
      </c>
      <c r="I148" s="556"/>
      <c r="J148" s="629">
        <f>H148/DAY(B2)</f>
        <v>2133.9933333333224</v>
      </c>
      <c r="K148" s="412"/>
      <c r="O148" s="413"/>
    </row>
    <row r="149" spans="1:15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0.10289686863423025</v>
      </c>
      <c r="H149" s="536">
        <f>G149+'[4]2'!H149</f>
        <v>0.29183336218878986</v>
      </c>
      <c r="I149" s="622"/>
      <c r="J149" s="629">
        <f>H149/DAY(B2)</f>
        <v>9.7277787396263291E-2</v>
      </c>
      <c r="O149" s="413"/>
    </row>
    <row r="150" spans="1:15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1691.7799999999697</v>
      </c>
      <c r="H150" s="536">
        <f>G150+'[4]2'!H150</f>
        <v>6356.5799999999581</v>
      </c>
      <c r="I150" s="622"/>
      <c r="J150" s="629">
        <f>H150/DAY(B2)</f>
        <v>2118.859999999986</v>
      </c>
      <c r="O150" s="413"/>
    </row>
    <row r="151" spans="1:15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8.0144961864606082E-2</v>
      </c>
      <c r="H151" s="536">
        <f>G151+'[4]2'!H151</f>
        <v>0.28850436398501689</v>
      </c>
      <c r="I151" s="556"/>
      <c r="J151" s="629">
        <f>H151/DAY(B2)</f>
        <v>9.6168121328338962E-2</v>
      </c>
      <c r="O151" s="413"/>
    </row>
    <row r="152" spans="1:15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1469.489999999998</v>
      </c>
      <c r="H152" s="536">
        <f>G152+'[4]2'!H152</f>
        <v>4376.7799999999988</v>
      </c>
      <c r="I152" s="556"/>
      <c r="J152" s="629">
        <f>H152/DAY(B2)</f>
        <v>1458.9266666666663</v>
      </c>
      <c r="O152" s="413"/>
    </row>
    <row r="153" spans="1:15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6.9614382490880575E-2</v>
      </c>
      <c r="H153" s="536">
        <f>G153+'[4]2'!H153</f>
        <v>0.19947381784104767</v>
      </c>
      <c r="I153" s="645"/>
      <c r="J153" s="646">
        <f>H153/DAY(B2)</f>
        <v>6.6491272613682553E-2</v>
      </c>
      <c r="O153" s="413"/>
    </row>
    <row r="154" spans="1:15">
      <c r="O154" s="413"/>
    </row>
    <row r="157" spans="1:15" ht="27.75">
      <c r="A157" s="1483" t="s">
        <v>267</v>
      </c>
      <c r="B157" s="1484"/>
      <c r="C157" s="1484"/>
      <c r="D157" s="1484"/>
      <c r="E157" s="1484"/>
      <c r="F157" s="1484"/>
      <c r="G157" s="1485"/>
    </row>
    <row r="158" spans="1:15">
      <c r="A158" s="867"/>
      <c r="B158" s="868"/>
      <c r="C158" s="868"/>
      <c r="D158" s="587"/>
      <c r="E158" s="531"/>
      <c r="F158" s="739"/>
      <c r="G158" s="549"/>
    </row>
    <row r="159" spans="1:15">
      <c r="A159" s="867"/>
      <c r="B159" s="868"/>
      <c r="C159" s="868"/>
      <c r="D159" s="587"/>
      <c r="E159" s="531"/>
      <c r="F159" s="739"/>
      <c r="G159" s="549"/>
    </row>
    <row r="160" spans="1:15">
      <c r="A160" s="867" t="s">
        <v>263</v>
      </c>
      <c r="B160" s="868"/>
      <c r="C160" s="868"/>
      <c r="D160" s="587" t="s">
        <v>187</v>
      </c>
      <c r="E160" s="739">
        <f>'[4]1'!F160</f>
        <v>30881.599999999999</v>
      </c>
      <c r="F160" s="739">
        <v>31052.720000000001</v>
      </c>
      <c r="G160" s="549">
        <f t="shared" ref="G160:G171" si="17">F160-E160</f>
        <v>171.12000000000262</v>
      </c>
    </row>
    <row r="161" spans="1:7">
      <c r="A161" s="867" t="s">
        <v>264</v>
      </c>
      <c r="B161" s="868"/>
      <c r="C161" s="868"/>
      <c r="D161" s="587" t="s">
        <v>187</v>
      </c>
      <c r="E161" s="739">
        <f>'[4]1'!F161</f>
        <v>55548.51</v>
      </c>
      <c r="F161" s="739">
        <v>56464.34</v>
      </c>
      <c r="G161" s="549">
        <f t="shared" si="17"/>
        <v>915.82999999999447</v>
      </c>
    </row>
    <row r="162" spans="1:7">
      <c r="A162" s="867" t="s">
        <v>265</v>
      </c>
      <c r="B162" s="868"/>
      <c r="C162" s="868"/>
      <c r="D162" s="587" t="s">
        <v>187</v>
      </c>
      <c r="E162" s="739">
        <f>'[4]1'!F162</f>
        <v>20843.25</v>
      </c>
      <c r="F162" s="739">
        <v>21416</v>
      </c>
      <c r="G162" s="549">
        <f t="shared" si="17"/>
        <v>572.75</v>
      </c>
    </row>
    <row r="163" spans="1:7">
      <c r="A163" s="867" t="s">
        <v>266</v>
      </c>
      <c r="B163" s="868"/>
      <c r="C163" s="868"/>
      <c r="D163" s="587" t="s">
        <v>187</v>
      </c>
      <c r="E163" s="739">
        <f>'[4]1'!F163</f>
        <v>5449.61</v>
      </c>
      <c r="F163" s="739">
        <v>5473.49</v>
      </c>
      <c r="G163" s="549">
        <f t="shared" si="17"/>
        <v>23.880000000000109</v>
      </c>
    </row>
    <row r="164" spans="1:7">
      <c r="A164" s="869" t="s">
        <v>98</v>
      </c>
      <c r="B164" s="681"/>
      <c r="C164" s="681"/>
      <c r="D164" s="587" t="s">
        <v>187</v>
      </c>
      <c r="E164" s="739">
        <f>'[4]1'!F164</f>
        <v>20419</v>
      </c>
      <c r="F164" s="590">
        <f>F62</f>
        <v>20419.188999999998</v>
      </c>
      <c r="G164" s="549">
        <f t="shared" si="17"/>
        <v>0.1889999999984866</v>
      </c>
    </row>
    <row r="165" spans="1:7">
      <c r="A165" s="869" t="s">
        <v>188</v>
      </c>
      <c r="B165" s="681"/>
      <c r="C165" s="681"/>
      <c r="D165" s="587" t="s">
        <v>187</v>
      </c>
      <c r="E165" s="739">
        <f>'[4]1'!F165</f>
        <v>1721.57</v>
      </c>
      <c r="F165" s="590">
        <v>1745.37</v>
      </c>
      <c r="G165" s="549">
        <f t="shared" si="17"/>
        <v>23.799999999999955</v>
      </c>
    </row>
    <row r="166" spans="1:7" ht="21.75" customHeight="1">
      <c r="A166" s="1482" t="s">
        <v>99</v>
      </c>
      <c r="B166" s="1482"/>
      <c r="C166" s="1482"/>
      <c r="D166" s="599" t="s">
        <v>187</v>
      </c>
      <c r="E166" s="739">
        <f>'[4]1'!F166</f>
        <v>124127.85</v>
      </c>
      <c r="F166" s="590">
        <v>125180.16</v>
      </c>
      <c r="G166" s="549">
        <f t="shared" si="17"/>
        <v>1052.3099999999977</v>
      </c>
    </row>
    <row r="167" spans="1:7" ht="21.75" customHeight="1">
      <c r="A167" s="1482" t="s">
        <v>100</v>
      </c>
      <c r="B167" s="1482"/>
      <c r="C167" s="1482"/>
      <c r="D167" s="599" t="s">
        <v>187</v>
      </c>
      <c r="E167" s="739">
        <f>'[4]1'!F167</f>
        <v>132996.35999999999</v>
      </c>
      <c r="F167" s="590">
        <f t="shared" ref="F167:F171" si="18">F65</f>
        <v>133770.84</v>
      </c>
      <c r="G167" s="549">
        <f t="shared" si="17"/>
        <v>774.48000000001048</v>
      </c>
    </row>
    <row r="168" spans="1:7" ht="21.75" customHeight="1">
      <c r="A168" s="1482" t="s">
        <v>101</v>
      </c>
      <c r="B168" s="1482"/>
      <c r="C168" s="1482"/>
      <c r="D168" s="599" t="s">
        <v>187</v>
      </c>
      <c r="E168" s="739">
        <f>'[4]1'!F168</f>
        <v>25566.36</v>
      </c>
      <c r="F168" s="590">
        <f t="shared" si="18"/>
        <v>26413.93</v>
      </c>
      <c r="G168" s="549">
        <f t="shared" si="17"/>
        <v>847.56999999999971</v>
      </c>
    </row>
    <row r="169" spans="1:7" ht="27.75" customHeight="1">
      <c r="A169" s="1482" t="s">
        <v>102</v>
      </c>
      <c r="B169" s="1482"/>
      <c r="C169" s="1482"/>
      <c r="D169" s="599" t="s">
        <v>187</v>
      </c>
      <c r="E169" s="739">
        <f>'[4]1'!F169</f>
        <v>208546.07</v>
      </c>
      <c r="F169" s="590">
        <f t="shared" si="18"/>
        <v>209908.33</v>
      </c>
      <c r="G169" s="549">
        <f t="shared" si="17"/>
        <v>1362.2599999999802</v>
      </c>
    </row>
    <row r="170" spans="1:7" ht="24" customHeight="1">
      <c r="A170" s="1482" t="s">
        <v>103</v>
      </c>
      <c r="B170" s="1482"/>
      <c r="C170" s="1482"/>
      <c r="D170" s="599" t="s">
        <v>187</v>
      </c>
      <c r="E170" s="739">
        <f>'[4]1'!F170</f>
        <v>73027.42</v>
      </c>
      <c r="F170" s="590">
        <f t="shared" si="18"/>
        <v>73751.149999999994</v>
      </c>
      <c r="G170" s="549">
        <f t="shared" si="17"/>
        <v>723.72999999999593</v>
      </c>
    </row>
    <row r="171" spans="1:7" ht="22.5" customHeight="1">
      <c r="A171" s="1482" t="s">
        <v>104</v>
      </c>
      <c r="B171" s="1482"/>
      <c r="C171" s="1482"/>
      <c r="D171" s="599" t="s">
        <v>187</v>
      </c>
      <c r="E171" s="739">
        <f>'[4]1'!F171</f>
        <v>64776.091</v>
      </c>
      <c r="F171" s="590">
        <f t="shared" si="18"/>
        <v>65425.09</v>
      </c>
      <c r="G171" s="549">
        <f t="shared" si="17"/>
        <v>648.99899999999616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43" zoomScale="55" zoomScaleNormal="48" zoomScaleSheetLayoutView="55" workbookViewId="0">
      <selection activeCell="E40" sqref="E40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4" s="281" customFormat="1" ht="27">
      <c r="A2" s="652" t="s">
        <v>358</v>
      </c>
      <c r="B2" s="1117">
        <v>44259</v>
      </c>
      <c r="C2" s="1397" t="s">
        <v>69</v>
      </c>
      <c r="D2" s="688">
        <v>0.45</v>
      </c>
      <c r="E2" s="537"/>
      <c r="F2" s="70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4" s="281" customFormat="1" ht="27">
      <c r="A3" s="647"/>
      <c r="B3" s="691"/>
      <c r="C3" s="1397" t="s">
        <v>120</v>
      </c>
      <c r="D3" s="689">
        <v>28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397" t="s">
        <v>122</v>
      </c>
      <c r="D4" s="688">
        <v>0.78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123</v>
      </c>
      <c r="B5" s="535"/>
      <c r="C5" s="535"/>
      <c r="D5" s="587" t="s">
        <v>124</v>
      </c>
      <c r="E5" s="543" t="s">
        <v>125</v>
      </c>
      <c r="F5" s="709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4">
      <c r="A6" s="1448" t="s">
        <v>130</v>
      </c>
      <c r="B6" s="1449"/>
      <c r="C6" s="1450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131</v>
      </c>
      <c r="B7" s="758"/>
      <c r="C7" s="758"/>
      <c r="D7" s="715" t="s">
        <v>132</v>
      </c>
      <c r="E7" s="710">
        <f>'[4]3'!F7</f>
        <v>4510962</v>
      </c>
      <c r="F7" s="710">
        <v>4530754</v>
      </c>
      <c r="G7" s="770">
        <f>F7-E7</f>
        <v>19792</v>
      </c>
      <c r="H7" s="760">
        <f>G7+'[4]3'!H7</f>
        <v>85677</v>
      </c>
      <c r="I7" s="761">
        <f>'[4]1'!I7</f>
        <v>12000</v>
      </c>
      <c r="J7" s="762">
        <f>H7/DAY(B2)</f>
        <v>21419.25</v>
      </c>
      <c r="K7" s="626"/>
      <c r="L7" s="408"/>
      <c r="N7" s="413"/>
    </row>
    <row r="8" spans="1:14" ht="27.75" thickBot="1">
      <c r="A8" s="763" t="s">
        <v>133</v>
      </c>
      <c r="B8" s="764"/>
      <c r="C8" s="765"/>
      <c r="D8" s="766" t="s">
        <v>25</v>
      </c>
      <c r="E8" s="710">
        <f>'[4]3'!F8</f>
        <v>4539500</v>
      </c>
      <c r="F8" s="711">
        <v>4559427</v>
      </c>
      <c r="G8" s="1135">
        <f>F8-E8</f>
        <v>19927</v>
      </c>
      <c r="H8" s="760">
        <f>G8+'[4]3'!H8</f>
        <v>86271</v>
      </c>
      <c r="I8" s="767">
        <v>12000</v>
      </c>
      <c r="J8" s="762">
        <f>H8/DAY(B2)</f>
        <v>21567.75</v>
      </c>
      <c r="K8" s="626"/>
      <c r="L8" s="464"/>
      <c r="M8" s="479"/>
      <c r="N8" s="784">
        <f>G7/G8</f>
        <v>0.99322527224368951</v>
      </c>
    </row>
    <row r="9" spans="1:14">
      <c r="A9" s="768" t="s">
        <v>134</v>
      </c>
      <c r="B9" s="769"/>
      <c r="C9" s="769"/>
      <c r="D9" s="715" t="s">
        <v>132</v>
      </c>
      <c r="E9" s="710">
        <f>'[4]3'!F9</f>
        <v>123403.31</v>
      </c>
      <c r="F9" s="712">
        <v>124354</v>
      </c>
      <c r="G9" s="783">
        <f t="shared" ref="G9:G12" si="0">F9-E9</f>
        <v>950.69000000000233</v>
      </c>
      <c r="H9" s="760">
        <f>G9+'[4]3'!H9</f>
        <v>37444.990000000005</v>
      </c>
      <c r="I9" s="771">
        <f>I8-J8</f>
        <v>-9567.75</v>
      </c>
      <c r="J9" s="762">
        <f>H9/DAY(B2)</f>
        <v>9361.2475000000013</v>
      </c>
      <c r="K9" s="467"/>
      <c r="L9" s="408"/>
      <c r="N9" s="413"/>
    </row>
    <row r="10" spans="1:14">
      <c r="A10" s="757" t="s">
        <v>135</v>
      </c>
      <c r="B10" s="758"/>
      <c r="C10" s="758"/>
      <c r="D10" s="715" t="s">
        <v>132</v>
      </c>
      <c r="E10" s="710">
        <f>'[4]3'!F10</f>
        <v>53107.95</v>
      </c>
      <c r="F10" s="712">
        <v>71239</v>
      </c>
      <c r="G10" s="770">
        <f t="shared" si="0"/>
        <v>18131.050000000003</v>
      </c>
      <c r="H10" s="760">
        <f>G10+'[4]3'!H10</f>
        <v>45543.44</v>
      </c>
      <c r="I10" s="772"/>
      <c r="J10" s="762">
        <f>H10/DAY(B2)</f>
        <v>11385.86</v>
      </c>
      <c r="K10" s="467"/>
      <c r="L10" s="408"/>
      <c r="N10" s="413"/>
    </row>
    <row r="11" spans="1:14">
      <c r="A11" s="757" t="s">
        <v>136</v>
      </c>
      <c r="B11" s="758"/>
      <c r="C11" s="758"/>
      <c r="D11" s="715" t="s">
        <v>132</v>
      </c>
      <c r="E11" s="710">
        <f>'[4]3'!F11</f>
        <v>37000</v>
      </c>
      <c r="F11" s="710">
        <v>37000</v>
      </c>
      <c r="G11" s="770">
        <f t="shared" si="0"/>
        <v>0</v>
      </c>
      <c r="H11" s="760">
        <f>G11+'[4]3'!H11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137</v>
      </c>
      <c r="B12" s="758"/>
      <c r="C12" s="758"/>
      <c r="D12" s="715" t="s">
        <v>132</v>
      </c>
      <c r="E12" s="710">
        <f>'[4]3'!F12</f>
        <v>40010</v>
      </c>
      <c r="F12" s="712">
        <v>40010</v>
      </c>
      <c r="G12" s="770">
        <f t="shared" si="0"/>
        <v>0</v>
      </c>
      <c r="H12" s="760">
        <f>G12+'[4]3'!H12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138</v>
      </c>
      <c r="B13" s="774"/>
      <c r="C13" s="774"/>
      <c r="D13" s="715"/>
      <c r="E13" s="710"/>
      <c r="F13" s="710"/>
      <c r="G13" s="775">
        <f>G9+G10+G11+G12</f>
        <v>19081.740000000005</v>
      </c>
      <c r="H13" s="760">
        <f>G13+'[4]3'!H13</f>
        <v>82988.429999999993</v>
      </c>
      <c r="I13" s="776">
        <f>G7-G13</f>
        <v>710.25999999999476</v>
      </c>
      <c r="J13" s="762">
        <f>H13/DAY(B2)</f>
        <v>20747.107499999998</v>
      </c>
      <c r="K13" s="467"/>
      <c r="L13" s="408"/>
      <c r="N13" s="413"/>
    </row>
    <row r="14" spans="1:14">
      <c r="A14" s="1451" t="s">
        <v>139</v>
      </c>
      <c r="B14" s="1452"/>
      <c r="C14" s="1453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75" t="s">
        <v>140</v>
      </c>
      <c r="B15" s="870"/>
      <c r="C15" s="870"/>
      <c r="D15" s="600" t="s">
        <v>141</v>
      </c>
      <c r="E15" s="561">
        <f>'[4]3'!F15</f>
        <v>1622582.83</v>
      </c>
      <c r="F15" s="703">
        <v>1623467</v>
      </c>
      <c r="G15" s="856">
        <f>(F15-E15)</f>
        <v>884.16999999992549</v>
      </c>
      <c r="H15" s="562">
        <f>G15+'[4]3'!H15</f>
        <v>3588.3899999998976</v>
      </c>
      <c r="I15" s="550">
        <v>800</v>
      </c>
      <c r="J15" s="630">
        <f>H15/DAY(B2)</f>
        <v>897.09749999997439</v>
      </c>
      <c r="K15" s="467"/>
      <c r="L15" s="408"/>
      <c r="N15" s="413"/>
    </row>
    <row r="16" spans="1:14">
      <c r="A16" s="873"/>
      <c r="B16" s="874"/>
      <c r="C16" s="874"/>
      <c r="D16" s="600"/>
      <c r="E16" s="561"/>
      <c r="F16" s="561"/>
      <c r="G16" s="549"/>
      <c r="H16" s="562"/>
      <c r="I16" s="563">
        <f>I15-J15</f>
        <v>-97.097499999974389</v>
      </c>
      <c r="J16" s="630"/>
      <c r="K16" s="467"/>
      <c r="L16" s="408"/>
      <c r="N16" s="413"/>
    </row>
    <row r="17" spans="1:14">
      <c r="A17" s="1451" t="s">
        <v>142</v>
      </c>
      <c r="B17" s="1452"/>
      <c r="C17" s="1453"/>
      <c r="D17" s="548"/>
      <c r="E17" s="548"/>
      <c r="F17" s="559"/>
      <c r="G17" s="564" t="s">
        <v>215</v>
      </c>
      <c r="H17" s="548"/>
      <c r="I17" s="548"/>
      <c r="J17" s="628"/>
      <c r="K17" s="467"/>
      <c r="L17" s="408"/>
      <c r="N17" s="413"/>
    </row>
    <row r="18" spans="1:14" ht="27.75">
      <c r="A18" s="1486" t="s">
        <v>143</v>
      </c>
      <c r="B18" s="1487"/>
      <c r="C18" s="1488"/>
      <c r="D18" s="715" t="s">
        <v>144</v>
      </c>
      <c r="E18" s="712">
        <f>'[4]3'!F18</f>
        <v>14</v>
      </c>
      <c r="F18" s="712">
        <v>14</v>
      </c>
      <c r="G18" s="775">
        <f>F18*10</f>
        <v>140</v>
      </c>
      <c r="H18" s="760">
        <f>G18+'[4]3'!H18</f>
        <v>600</v>
      </c>
      <c r="I18" s="761">
        <f>'[4]1'!I18</f>
        <v>65</v>
      </c>
      <c r="J18" s="762">
        <f>H18/DAY(B2)</f>
        <v>150</v>
      </c>
      <c r="K18" s="467"/>
      <c r="L18" s="408"/>
      <c r="N18" s="413"/>
    </row>
    <row r="19" spans="1:14" ht="27.75">
      <c r="A19" s="1486" t="s">
        <v>71</v>
      </c>
      <c r="B19" s="1487"/>
      <c r="C19" s="1488"/>
      <c r="D19" s="715" t="s">
        <v>144</v>
      </c>
      <c r="E19" s="712">
        <f>'[4]3'!F19</f>
        <v>134620</v>
      </c>
      <c r="F19" s="712">
        <v>134672</v>
      </c>
      <c r="G19" s="770">
        <f t="shared" ref="G19" si="1">F19-E19</f>
        <v>52</v>
      </c>
      <c r="H19" s="760">
        <f>G19+'[4]3'!H19</f>
        <v>204</v>
      </c>
      <c r="I19" s="777"/>
      <c r="J19" s="762">
        <f>H19/DAY(B2)</f>
        <v>51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715"/>
      <c r="G20" s="1134">
        <f>G18+G19</f>
        <v>192</v>
      </c>
      <c r="H20" s="760">
        <f>G20+'[4]3'!H20</f>
        <v>804</v>
      </c>
      <c r="I20" s="779">
        <f>I18-J20</f>
        <v>-136</v>
      </c>
      <c r="J20" s="762">
        <f>H20/DAY(B2)</f>
        <v>201</v>
      </c>
      <c r="K20" s="467"/>
      <c r="L20" s="408"/>
      <c r="N20" s="413"/>
    </row>
    <row r="21" spans="1:14">
      <c r="A21" s="1451" t="s">
        <v>146</v>
      </c>
      <c r="B21" s="1452"/>
      <c r="C21" s="1453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395" t="s">
        <v>147</v>
      </c>
      <c r="B22" s="666"/>
      <c r="C22" s="666"/>
      <c r="D22" s="599" t="s">
        <v>148</v>
      </c>
      <c r="E22" s="560">
        <f>'[4]3'!F22</f>
        <v>2970</v>
      </c>
      <c r="F22" s="712">
        <v>2970</v>
      </c>
      <c r="G22" s="770">
        <f t="shared" ref="G22" si="2">F22-E22</f>
        <v>0</v>
      </c>
      <c r="H22" s="536">
        <f>G22+'[4]3'!H22</f>
        <v>0</v>
      </c>
      <c r="I22" s="556"/>
      <c r="J22" s="629">
        <f>H22/DAY(B2)</f>
        <v>0</v>
      </c>
      <c r="K22" s="467"/>
      <c r="L22" s="408"/>
      <c r="M22" s="407" t="s">
        <v>270</v>
      </c>
      <c r="N22" s="413"/>
    </row>
    <row r="23" spans="1:14">
      <c r="A23" s="1395" t="s">
        <v>149</v>
      </c>
      <c r="B23" s="666"/>
      <c r="C23" s="666"/>
      <c r="D23" s="599" t="s">
        <v>148</v>
      </c>
      <c r="E23" s="560">
        <f>'[4]3'!F23</f>
        <v>1900</v>
      </c>
      <c r="F23" s="712">
        <v>1900</v>
      </c>
      <c r="G23" s="770">
        <v>0</v>
      </c>
      <c r="H23" s="536">
        <f>G23+'[4]3'!H23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569">
        <f>'[4]3'!F24</f>
        <v>4250</v>
      </c>
      <c r="F24" s="714">
        <v>4250</v>
      </c>
      <c r="G24" s="770">
        <v>0</v>
      </c>
      <c r="H24" s="536">
        <f>G24+'[4]3'!H24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56" t="s">
        <v>151</v>
      </c>
      <c r="B25" s="1457"/>
      <c r="C25" s="1458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19927</v>
      </c>
      <c r="F27" s="577">
        <v>9</v>
      </c>
      <c r="G27" s="578">
        <f>E27*F27</f>
        <v>179343</v>
      </c>
      <c r="H27" s="536">
        <f>G27+'[4]3'!H27</f>
        <v>776439</v>
      </c>
      <c r="I27" s="579"/>
      <c r="J27" s="629">
        <f>H27/DAY(B2)</f>
        <v>194109.75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884.16999999992549</v>
      </c>
      <c r="F28" s="577">
        <v>48.88</v>
      </c>
      <c r="G28" s="578">
        <f>E28*F28</f>
        <v>43218.229599996361</v>
      </c>
      <c r="H28" s="536">
        <f>G28+'[4]3'!H28</f>
        <v>175400.503199995</v>
      </c>
      <c r="I28" s="581"/>
      <c r="J28" s="629">
        <f>H28/DAY(B2)</f>
        <v>43850.12579999875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716">
        <v>69</v>
      </c>
      <c r="G29" s="578">
        <f>E29*F29</f>
        <v>0</v>
      </c>
      <c r="H29" s="536">
        <f>G29+'[4]3'!H29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52</v>
      </c>
      <c r="F30" s="716">
        <v>134</v>
      </c>
      <c r="G30" s="578">
        <f>E30*F30</f>
        <v>6968</v>
      </c>
      <c r="H30" s="536">
        <f>G30+'[4]3'!H30</f>
        <v>45024</v>
      </c>
      <c r="I30" s="581"/>
      <c r="J30" s="629">
        <f>H30/DAY(B2)</f>
        <v>11256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140</v>
      </c>
      <c r="F31" s="716">
        <v>80</v>
      </c>
      <c r="G31" s="578">
        <f>E31*F31</f>
        <v>11200</v>
      </c>
      <c r="H31" s="536">
        <f>G31+'[4]3'!H31</f>
        <v>37440</v>
      </c>
      <c r="I31" s="581"/>
      <c r="J31" s="629">
        <f>H31/DAY(B2)</f>
        <v>9360</v>
      </c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717"/>
      <c r="G32" s="584">
        <f>G27+G28+G29+G30+G31</f>
        <v>240729.22959999635</v>
      </c>
      <c r="H32" s="536">
        <f>G32+'[4]3'!H32</f>
        <v>1034303.503199995</v>
      </c>
      <c r="I32" s="585"/>
      <c r="J32" s="629">
        <f>H32/DAY(B2)</f>
        <v>258575.87579999876</v>
      </c>
      <c r="K32" s="404"/>
      <c r="L32" s="484"/>
      <c r="N32" s="413"/>
    </row>
    <row r="33" spans="1:14" ht="25.5" customHeight="1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</row>
    <row r="34" spans="1:14">
      <c r="A34" s="675" t="s">
        <v>163</v>
      </c>
      <c r="B34" s="1400"/>
      <c r="C34" s="1400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'[4]3'!F35</f>
        <v>703211.35</v>
      </c>
      <c r="F35" s="718">
        <v>706472</v>
      </c>
      <c r="G35" s="549">
        <f t="shared" ref="G35:G46" si="3">F35-E35</f>
        <v>3260.6500000000233</v>
      </c>
      <c r="H35" s="536">
        <f>G35+'[4]3'!H35</f>
        <v>13384.410000000033</v>
      </c>
      <c r="I35" s="531"/>
      <c r="J35" s="629">
        <f>H35/DAY(B2)</f>
        <v>3346.1025000000081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'[4]3'!F36</f>
        <v>298500.51</v>
      </c>
      <c r="F36" s="718">
        <v>299123</v>
      </c>
      <c r="G36" s="549">
        <f t="shared" si="3"/>
        <v>622.48999999999069</v>
      </c>
      <c r="H36" s="536">
        <f>G36+'[4]3'!H36</f>
        <v>2677.429999999993</v>
      </c>
      <c r="I36" s="531"/>
      <c r="J36" s="629">
        <f>H36/DAY(B2)</f>
        <v>669.35749999999825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v>0</v>
      </c>
      <c r="F37" s="718">
        <v>0</v>
      </c>
      <c r="G37" s="549">
        <f t="shared" si="3"/>
        <v>0</v>
      </c>
      <c r="H37" s="536">
        <f>G37+'[4]3'!H37</f>
        <v>3105.0800000000017</v>
      </c>
      <c r="I37" s="531"/>
      <c r="J37" s="629">
        <f>H37/DAY(B2)</f>
        <v>776.27000000000044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45">
        <f>'[4]3'!F38</f>
        <v>48333.51</v>
      </c>
      <c r="F38" s="719">
        <v>48334</v>
      </c>
      <c r="G38" s="549">
        <f t="shared" si="3"/>
        <v>0.48999999999796273</v>
      </c>
      <c r="H38" s="536">
        <f>G38+'[4]3'!H38</f>
        <v>4520.510000000002</v>
      </c>
      <c r="I38" s="531"/>
      <c r="J38" s="629">
        <f>H38/DAY(B2)</f>
        <v>1130.1275000000005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v>0</v>
      </c>
      <c r="F39" s="718">
        <v>0</v>
      </c>
      <c r="G39" s="549">
        <f t="shared" si="3"/>
        <v>0</v>
      </c>
      <c r="H39" s="536">
        <f>G39+'[4]3'!H39</f>
        <v>9392.89</v>
      </c>
      <c r="I39" s="531"/>
      <c r="J39" s="629">
        <f>H39/DAY(B2)</f>
        <v>2348.2224999999999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'[4]3'!F40</f>
        <v>0.17</v>
      </c>
      <c r="F40" s="718">
        <v>0.17</v>
      </c>
      <c r="G40" s="549">
        <f t="shared" si="3"/>
        <v>0</v>
      </c>
      <c r="H40" s="536">
        <f>G40+'[4]3'!H40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'[4]3'!F41</f>
        <v>63882.37</v>
      </c>
      <c r="F41" s="718">
        <v>63882</v>
      </c>
      <c r="G41" s="549">
        <f t="shared" si="3"/>
        <v>-0.37000000000261934</v>
      </c>
      <c r="H41" s="536">
        <f>G41+'[4]3'!H41</f>
        <v>-0.37000000000261934</v>
      </c>
      <c r="I41" s="531"/>
      <c r="J41" s="629">
        <f>H41/DAY(B2)</f>
        <v>-9.2500000000654836E-2</v>
      </c>
      <c r="K41" s="467"/>
      <c r="L41" s="408"/>
      <c r="N41" s="413"/>
    </row>
    <row r="42" spans="1:14">
      <c r="A42" s="655" t="s">
        <v>171</v>
      </c>
      <c r="B42" s="656"/>
      <c r="C42" s="656"/>
      <c r="D42" s="599" t="s">
        <v>132</v>
      </c>
      <c r="E42" s="586">
        <f>'[4]3'!F42</f>
        <v>59128.85</v>
      </c>
      <c r="F42" s="718">
        <v>59129</v>
      </c>
      <c r="G42" s="549">
        <f t="shared" si="3"/>
        <v>0.15000000000145519</v>
      </c>
      <c r="H42" s="536">
        <f>G42+'[4]3'!H42</f>
        <v>0.15000000000145519</v>
      </c>
      <c r="I42" s="531"/>
      <c r="J42" s="629">
        <f>H42/DAY(B2)</f>
        <v>3.7500000000363798E-2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'[4]3'!F43</f>
        <v>833302.53</v>
      </c>
      <c r="F43" s="718">
        <v>835764</v>
      </c>
      <c r="G43" s="549">
        <f t="shared" si="3"/>
        <v>2461.4699999999721</v>
      </c>
      <c r="H43" s="536">
        <f>G43+'[4]3'!H43</f>
        <v>9866.1700000000419</v>
      </c>
      <c r="I43" s="531"/>
      <c r="J43" s="629">
        <f>H43/DAY(B2)</f>
        <v>2466.5425000000105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'[4]3'!F44</f>
        <v>0</v>
      </c>
      <c r="F44" s="718">
        <v>0</v>
      </c>
      <c r="G44" s="549">
        <f t="shared" si="3"/>
        <v>0</v>
      </c>
      <c r="H44" s="536">
        <f>G44+'[4]3'!H44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'[4]3'!F45</f>
        <v>614</v>
      </c>
      <c r="F45" s="718">
        <v>614</v>
      </c>
      <c r="G45" s="549">
        <f t="shared" si="3"/>
        <v>0</v>
      </c>
      <c r="H45" s="536">
        <f>G45+'[4]3'!H45</f>
        <v>0</v>
      </c>
      <c r="I45" s="531"/>
      <c r="J45" s="629">
        <f>H45/DAY(B2)</f>
        <v>0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'[4]3'!F46</f>
        <v>187</v>
      </c>
      <c r="F46" s="718">
        <v>187</v>
      </c>
      <c r="G46" s="549">
        <f t="shared" si="3"/>
        <v>0</v>
      </c>
      <c r="H46" s="536">
        <f>G46+'[4]3'!H46</f>
        <v>0</v>
      </c>
      <c r="I46" s="531"/>
      <c r="J46" s="629">
        <f>H46/DAY(B2)</f>
        <v>0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720"/>
      <c r="G47" s="557">
        <f>G35+G36+G37+G38+G39+G40+G41+G42+G43+G44+G45+G46</f>
        <v>6344.8799999999828</v>
      </c>
      <c r="H47" s="536">
        <f>G47+'[4]3'!H47</f>
        <v>42946.27000000007</v>
      </c>
      <c r="I47" s="531"/>
      <c r="J47" s="629">
        <f>H47/DAY(B2)</f>
        <v>10736.567500000017</v>
      </c>
      <c r="K47" s="467"/>
      <c r="L47" s="408"/>
      <c r="N47" s="413"/>
    </row>
    <row r="48" spans="1:14">
      <c r="A48" s="675" t="s">
        <v>177</v>
      </c>
      <c r="B48" s="1400"/>
      <c r="C48" s="1400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'[4]3'!F49</f>
        <v>260732.13</v>
      </c>
      <c r="F49" s="718">
        <v>260732</v>
      </c>
      <c r="G49" s="549">
        <f t="shared" ref="G49:G58" si="4">F49-E49</f>
        <v>-0.13000000000465661</v>
      </c>
      <c r="H49" s="536">
        <f>G49+'[4]3'!H49</f>
        <v>-0.13000000000465661</v>
      </c>
      <c r="I49" s="531"/>
      <c r="J49" s="629">
        <f>H49/DAY(B2)</f>
        <v>-3.2500000001164153E-2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'[4]3'!F50</f>
        <v>406764.67</v>
      </c>
      <c r="F50" s="718">
        <v>407794</v>
      </c>
      <c r="G50" s="549">
        <f t="shared" si="4"/>
        <v>1029.3300000000163</v>
      </c>
      <c r="H50" s="536">
        <f>G50+'[4]3'!H50</f>
        <v>5330.9699999999721</v>
      </c>
      <c r="I50" s="531"/>
      <c r="J50" s="629">
        <f>H50/DAY(B2)</f>
        <v>1332.742499999993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'[4]3'!F51</f>
        <v>121322.62</v>
      </c>
      <c r="F51" s="718">
        <v>122811</v>
      </c>
      <c r="G51" s="549">
        <f t="shared" si="4"/>
        <v>1488.3800000000047</v>
      </c>
      <c r="H51" s="536">
        <f>G51+'[4]3'!H51</f>
        <v>2760.0800000000017</v>
      </c>
      <c r="I51" s="531"/>
      <c r="J51" s="629">
        <f>H51/DAY(B2)</f>
        <v>690.02000000000044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'[4]3'!F52</f>
        <v>509794.67</v>
      </c>
      <c r="F52" s="718">
        <v>511805</v>
      </c>
      <c r="G52" s="549">
        <f t="shared" si="4"/>
        <v>2010.3300000000163</v>
      </c>
      <c r="H52" s="536">
        <f>G52+'[4]3'!H52</f>
        <v>3892.289999999979</v>
      </c>
      <c r="I52" s="531"/>
      <c r="J52" s="629">
        <f>H52/DAY(B2)</f>
        <v>973.07249999999476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'[4]3'!F53</f>
        <v>335515.77</v>
      </c>
      <c r="F53" s="718">
        <v>339679</v>
      </c>
      <c r="G53" s="549">
        <f t="shared" si="4"/>
        <v>4163.2299999999814</v>
      </c>
      <c r="H53" s="536">
        <f>G53+'[4]3'!H53</f>
        <v>7824.4899999999907</v>
      </c>
      <c r="I53" s="531"/>
      <c r="J53" s="629">
        <f>H53/DAY(B2)</f>
        <v>1956.1224999999977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'[4]3'!F54</f>
        <v>8200.0300000000007</v>
      </c>
      <c r="F54" s="718">
        <v>8200</v>
      </c>
      <c r="G54" s="549">
        <f t="shared" si="4"/>
        <v>-3.0000000000654836E-2</v>
      </c>
      <c r="H54" s="536">
        <f>G54+'[4]3'!H54</f>
        <v>104.36999999999989</v>
      </c>
      <c r="I54" s="531"/>
      <c r="J54" s="629">
        <f>H54/DAY(B2)</f>
        <v>26.092499999999973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'[4]3'!F55</f>
        <v>131386.60999999999</v>
      </c>
      <c r="F55" s="721">
        <v>135614</v>
      </c>
      <c r="G55" s="549">
        <f t="shared" si="4"/>
        <v>4227.390000000014</v>
      </c>
      <c r="H55" s="536">
        <f>G55+'[4]3'!H55</f>
        <v>18028.309999999998</v>
      </c>
      <c r="I55" s="531"/>
      <c r="J55" s="629">
        <f>H55/DAY(B2)</f>
        <v>4507.0774999999994</v>
      </c>
      <c r="K55" s="467"/>
      <c r="L55" s="408"/>
      <c r="N55" s="413"/>
    </row>
    <row r="56" spans="1:14">
      <c r="A56" s="655" t="s">
        <v>182</v>
      </c>
      <c r="B56" s="678"/>
      <c r="C56" s="678"/>
      <c r="D56" s="599" t="s">
        <v>183</v>
      </c>
      <c r="E56" s="586">
        <f>'[4]3'!F56</f>
        <v>588556.94999999995</v>
      </c>
      <c r="F56" s="721">
        <v>588557</v>
      </c>
      <c r="G56" s="549">
        <f t="shared" si="4"/>
        <v>5.0000000046566129E-2</v>
      </c>
      <c r="H56" s="536">
        <f>G56+'[4]3'!H56</f>
        <v>2505.9699999999721</v>
      </c>
      <c r="I56" s="531"/>
      <c r="J56" s="629">
        <f>H56/DAY(B2)</f>
        <v>626.49249999999302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'[4]3'!F57</f>
        <v>7711.33</v>
      </c>
      <c r="F57" s="721">
        <v>7711</v>
      </c>
      <c r="G57" s="549">
        <f t="shared" si="4"/>
        <v>-0.32999999999992724</v>
      </c>
      <c r="H57" s="536">
        <f>G57+'[4]3'!H57</f>
        <v>-0.32999999999992724</v>
      </c>
      <c r="I57" s="531"/>
      <c r="J57" s="629">
        <f>H57/DAY(B2)</f>
        <v>-8.249999999998181E-2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'[4]3'!F58</f>
        <v>36500.910000000003</v>
      </c>
      <c r="F58" s="721">
        <v>36665</v>
      </c>
      <c r="G58" s="549">
        <f t="shared" si="4"/>
        <v>164.08999999999651</v>
      </c>
      <c r="H58" s="536">
        <f>G58+'[4]3'!H58</f>
        <v>796.30000000000291</v>
      </c>
      <c r="I58" s="531"/>
      <c r="J58" s="629">
        <f>H58/DAY(B2)</f>
        <v>199.07500000000073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720"/>
      <c r="G59" s="557">
        <f>G49+G50+G51+G52+G53+G54+G55+G56+G57+G58</f>
        <v>13082.31000000007</v>
      </c>
      <c r="H59" s="536">
        <f>G59+'[4]3'!H59</f>
        <v>41242.319999999912</v>
      </c>
      <c r="I59" s="531">
        <f>G7-G60</f>
        <v>364.80999999994674</v>
      </c>
      <c r="J59" s="629">
        <f>H59/DAY(B2)</f>
        <v>10310.579999999978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720"/>
      <c r="G60" s="557">
        <f>G47+G59</f>
        <v>19427.190000000053</v>
      </c>
      <c r="H60" s="536">
        <f>G60+'[4]3'!H60</f>
        <v>84188.589999999982</v>
      </c>
      <c r="I60" s="531">
        <f>G13-G60</f>
        <v>-345.45000000004802</v>
      </c>
      <c r="J60" s="629">
        <f>H60/DAY(B2)</f>
        <v>21047.147499999995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'[4]3'!F62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G62+'[4]3'!H62</f>
        <v>9.9999999656574801E-4</v>
      </c>
      <c r="I62" s="591"/>
      <c r="J62" s="629">
        <f>H62/DAY(B2)</f>
        <v>2.49999999141437E-4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'[4]3'!F63</f>
        <v>1745.37</v>
      </c>
      <c r="F63" s="723">
        <v>1760</v>
      </c>
      <c r="G63" s="549">
        <f t="shared" si="5"/>
        <v>14.630000000000109</v>
      </c>
      <c r="H63" s="536">
        <f>G63+'[4]3'!H63</f>
        <v>52.6400000000001</v>
      </c>
      <c r="I63" s="591"/>
      <c r="J63" s="629">
        <f>H63/DAY(B2)</f>
        <v>13.160000000000025</v>
      </c>
      <c r="K63" s="467"/>
      <c r="L63" s="408"/>
      <c r="N63" s="413"/>
    </row>
    <row r="64" spans="1:14" ht="27.75">
      <c r="A64" s="1430" t="s">
        <v>99</v>
      </c>
      <c r="B64" s="1431"/>
      <c r="C64" s="1432"/>
      <c r="D64" s="599" t="s">
        <v>187</v>
      </c>
      <c r="E64" s="560">
        <f>'[4]3'!F64</f>
        <v>125180.16</v>
      </c>
      <c r="F64" s="712">
        <v>125668</v>
      </c>
      <c r="G64" s="549">
        <f t="shared" si="5"/>
        <v>487.83999999999651</v>
      </c>
      <c r="H64" s="536">
        <f>G64+'[4]3'!H64</f>
        <v>2040.6999999999971</v>
      </c>
      <c r="I64" s="556"/>
      <c r="J64" s="629">
        <f>H64/DAY(B2)</f>
        <v>510.17499999999927</v>
      </c>
      <c r="K64" s="467"/>
      <c r="L64" s="408"/>
      <c r="N64" s="413"/>
    </row>
    <row r="65" spans="1:14" ht="27.75">
      <c r="A65" s="1430" t="s">
        <v>100</v>
      </c>
      <c r="B65" s="1431"/>
      <c r="C65" s="1432"/>
      <c r="D65" s="599" t="s">
        <v>187</v>
      </c>
      <c r="E65" s="560">
        <f>'[4]3'!F65</f>
        <v>133770.84</v>
      </c>
      <c r="F65" s="713">
        <v>134126</v>
      </c>
      <c r="G65" s="549">
        <f t="shared" si="5"/>
        <v>355.16000000000349</v>
      </c>
      <c r="H65" s="536">
        <f>G65+'[4]3'!H65</f>
        <v>1528.7000000000116</v>
      </c>
      <c r="I65" s="565"/>
      <c r="J65" s="629">
        <f>H65/DAY(B2)</f>
        <v>382.17500000000291</v>
      </c>
      <c r="K65" s="467"/>
      <c r="L65" s="408"/>
      <c r="N65" s="413"/>
    </row>
    <row r="66" spans="1:14" ht="27.75">
      <c r="A66" s="1430" t="s">
        <v>101</v>
      </c>
      <c r="B66" s="1431"/>
      <c r="C66" s="1432"/>
      <c r="D66" s="599" t="s">
        <v>187</v>
      </c>
      <c r="E66" s="560">
        <f>'[4]3'!F66</f>
        <v>26413.93</v>
      </c>
      <c r="F66" s="712">
        <v>26815</v>
      </c>
      <c r="G66" s="549">
        <f t="shared" si="5"/>
        <v>401.06999999999971</v>
      </c>
      <c r="H66" s="536">
        <f>G66+'[4]3'!H66</f>
        <v>1655.25</v>
      </c>
      <c r="I66" s="556"/>
      <c r="J66" s="629">
        <f>H66/DAY(B2)</f>
        <v>413.8125</v>
      </c>
      <c r="K66" s="467"/>
      <c r="L66" s="408"/>
      <c r="N66" s="413"/>
    </row>
    <row r="67" spans="1:14" ht="27.75">
      <c r="A67" s="1430" t="s">
        <v>102</v>
      </c>
      <c r="B67" s="1431"/>
      <c r="C67" s="1432"/>
      <c r="D67" s="599" t="s">
        <v>187</v>
      </c>
      <c r="E67" s="560">
        <f>'[4]3'!F67</f>
        <v>209908.33</v>
      </c>
      <c r="F67" s="712">
        <v>210580</v>
      </c>
      <c r="G67" s="549">
        <f t="shared" si="5"/>
        <v>671.67000000001281</v>
      </c>
      <c r="H67" s="536">
        <f>G67+'[4]3'!H67</f>
        <v>2738.1700000000128</v>
      </c>
      <c r="I67" s="565"/>
      <c r="J67" s="629">
        <f>H67/DAY(B2)</f>
        <v>684.5425000000032</v>
      </c>
      <c r="K67" s="468"/>
      <c r="L67" s="408"/>
      <c r="N67" s="413"/>
    </row>
    <row r="68" spans="1:14" ht="27.75">
      <c r="A68" s="1430" t="s">
        <v>103</v>
      </c>
      <c r="B68" s="1431"/>
      <c r="C68" s="1432"/>
      <c r="D68" s="599" t="s">
        <v>187</v>
      </c>
      <c r="E68" s="560">
        <f>'[4]3'!F68</f>
        <v>73751.149999999994</v>
      </c>
      <c r="F68" s="712">
        <v>74083</v>
      </c>
      <c r="G68" s="549">
        <f t="shared" si="5"/>
        <v>331.85000000000582</v>
      </c>
      <c r="H68" s="536">
        <f>G68+'[4]3'!H68</f>
        <v>1404.4799999999959</v>
      </c>
      <c r="I68" s="592"/>
      <c r="J68" s="629">
        <f>H68/DAY(B2)</f>
        <v>351.11999999999898</v>
      </c>
      <c r="K68" s="469"/>
      <c r="L68" s="408"/>
      <c r="N68" s="413"/>
    </row>
    <row r="69" spans="1:14" ht="27.75">
      <c r="A69" s="1430" t="s">
        <v>104</v>
      </c>
      <c r="B69" s="1431"/>
      <c r="C69" s="1432"/>
      <c r="D69" s="599" t="s">
        <v>187</v>
      </c>
      <c r="E69" s="560">
        <f>'[4]3'!F69</f>
        <v>65425.09</v>
      </c>
      <c r="F69" s="712">
        <v>65740</v>
      </c>
      <c r="G69" s="549">
        <f t="shared" si="5"/>
        <v>314.91000000000349</v>
      </c>
      <c r="H69" s="536">
        <f>G69+'[4]3'!H69</f>
        <v>1287.9100000000035</v>
      </c>
      <c r="I69" s="592"/>
      <c r="J69" s="629">
        <f>H69/DAY(B2)</f>
        <v>321.97750000000087</v>
      </c>
      <c r="K69" s="470"/>
      <c r="L69" s="408"/>
      <c r="N69" s="413"/>
    </row>
    <row r="70" spans="1:14" ht="27.75">
      <c r="A70" s="1462" t="s">
        <v>189</v>
      </c>
      <c r="B70" s="1463"/>
      <c r="C70" s="1464"/>
      <c r="D70" s="599" t="s">
        <v>187</v>
      </c>
      <c r="E70" s="594"/>
      <c r="F70" s="724"/>
      <c r="G70" s="594"/>
      <c r="H70" s="536">
        <f>G70+'[4]3'!H70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</row>
    <row r="72" spans="1:14" ht="27.75">
      <c r="A72" s="1430" t="s">
        <v>191</v>
      </c>
      <c r="B72" s="1431"/>
      <c r="C72" s="1432"/>
      <c r="D72" s="599" t="s">
        <v>187</v>
      </c>
      <c r="E72" s="595">
        <f>'[4]3'!F72</f>
        <v>850833</v>
      </c>
      <c r="F72" s="725">
        <v>850923</v>
      </c>
      <c r="G72" s="549">
        <f t="shared" ref="G72:G84" si="6">F72-E72</f>
        <v>90</v>
      </c>
      <c r="H72" s="536">
        <f>G72+'[4]3'!H72</f>
        <v>331</v>
      </c>
      <c r="I72" s="556"/>
      <c r="J72" s="629">
        <f>H72/DAY(B2)</f>
        <v>82.75</v>
      </c>
      <c r="K72" s="470"/>
      <c r="L72" s="408"/>
      <c r="N72" s="413"/>
    </row>
    <row r="73" spans="1:14" ht="27.75">
      <c r="A73" s="1430" t="s">
        <v>192</v>
      </c>
      <c r="B73" s="1431"/>
      <c r="C73" s="1432"/>
      <c r="D73" s="599" t="s">
        <v>187</v>
      </c>
      <c r="E73" s="596">
        <f>'[4]3'!F73</f>
        <v>885772</v>
      </c>
      <c r="F73" s="726">
        <v>885773</v>
      </c>
      <c r="G73" s="733">
        <f t="shared" si="6"/>
        <v>1</v>
      </c>
      <c r="H73" s="536">
        <f>G73+'[4]3'!H73</f>
        <v>1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430" t="s">
        <v>193</v>
      </c>
      <c r="B74" s="1431"/>
      <c r="C74" s="1432"/>
      <c r="D74" s="599" t="s">
        <v>187</v>
      </c>
      <c r="E74" s="597">
        <f>'[4]3'!F74</f>
        <v>683.56</v>
      </c>
      <c r="F74" s="727">
        <v>701</v>
      </c>
      <c r="G74" s="549">
        <f>F74-E74</f>
        <v>17.440000000000055</v>
      </c>
      <c r="H74" s="536">
        <f>G74+'[4]3'!H74</f>
        <v>114.83000000000004</v>
      </c>
      <c r="I74" s="556"/>
      <c r="J74" s="629">
        <f>H74/DAY(B2)</f>
        <v>28.70750000000001</v>
      </c>
      <c r="K74" s="470"/>
      <c r="L74" s="408"/>
      <c r="N74" s="413"/>
    </row>
    <row r="75" spans="1:14" ht="27.75">
      <c r="A75" s="1479" t="s">
        <v>194</v>
      </c>
      <c r="B75" s="1480"/>
      <c r="C75" s="1481"/>
      <c r="D75" s="599" t="s">
        <v>187</v>
      </c>
      <c r="E75" s="597">
        <f>'[4]3'!F75</f>
        <v>3968.34</v>
      </c>
      <c r="F75" s="727">
        <v>4121</v>
      </c>
      <c r="G75" s="549">
        <f t="shared" si="6"/>
        <v>152.65999999999985</v>
      </c>
      <c r="H75" s="536">
        <f>G75+'[4]3'!H75</f>
        <v>601.7800000000002</v>
      </c>
      <c r="I75" s="556"/>
      <c r="J75" s="629">
        <f>H75/DAY(B2)</f>
        <v>150.44500000000005</v>
      </c>
      <c r="K75" s="469"/>
      <c r="L75" s="408"/>
      <c r="N75" s="413"/>
    </row>
    <row r="76" spans="1:14" ht="27.75">
      <c r="A76" s="1479" t="s">
        <v>195</v>
      </c>
      <c r="B76" s="1480"/>
      <c r="C76" s="1481"/>
      <c r="D76" s="599" t="s">
        <v>187</v>
      </c>
      <c r="E76" s="596">
        <f>'[4]3'!F76</f>
        <v>1757.3</v>
      </c>
      <c r="F76" s="726">
        <v>1842</v>
      </c>
      <c r="G76" s="549">
        <f t="shared" si="6"/>
        <v>84.700000000000045</v>
      </c>
      <c r="H76" s="536">
        <f>G76+'[4]3'!H76</f>
        <v>327.66000000000008</v>
      </c>
      <c r="I76" s="581"/>
      <c r="J76" s="629">
        <f>H76/DAY(B2)</f>
        <v>81.91500000000002</v>
      </c>
      <c r="K76" s="469"/>
      <c r="L76" s="408"/>
      <c r="N76" s="413"/>
    </row>
    <row r="77" spans="1:14" ht="27.75">
      <c r="A77" s="1430" t="s">
        <v>196</v>
      </c>
      <c r="B77" s="1431"/>
      <c r="C77" s="1432"/>
      <c r="D77" s="599" t="s">
        <v>187</v>
      </c>
      <c r="E77" s="596">
        <f>'[4]3'!F77</f>
        <v>698725</v>
      </c>
      <c r="F77" s="726">
        <v>698775</v>
      </c>
      <c r="G77" s="733">
        <f t="shared" si="6"/>
        <v>50</v>
      </c>
      <c r="H77" s="536">
        <f>G77+'[4]3'!H77</f>
        <v>187</v>
      </c>
      <c r="I77" s="581"/>
      <c r="J77" s="629">
        <f>H77/DAY(B2)</f>
        <v>46.75</v>
      </c>
      <c r="K77" s="469"/>
      <c r="L77" s="408"/>
      <c r="N77" s="413"/>
    </row>
    <row r="78" spans="1:14" ht="27.75">
      <c r="A78" s="1398" t="s">
        <v>197</v>
      </c>
      <c r="B78" s="1391"/>
      <c r="C78" s="1391"/>
      <c r="D78" s="599" t="s">
        <v>187</v>
      </c>
      <c r="E78" s="597">
        <f>'[4]3'!F78</f>
        <v>653959</v>
      </c>
      <c r="F78" s="727">
        <v>654347</v>
      </c>
      <c r="G78" s="549">
        <f t="shared" si="6"/>
        <v>388</v>
      </c>
      <c r="H78" s="536">
        <f>G78+'[4]3'!H78</f>
        <v>1484</v>
      </c>
      <c r="I78" s="581"/>
      <c r="J78" s="629">
        <f>H78/DAY(B2)</f>
        <v>371</v>
      </c>
      <c r="K78" s="469"/>
      <c r="L78" s="408"/>
      <c r="N78" s="413"/>
    </row>
    <row r="79" spans="1:14" ht="27.75">
      <c r="A79" s="1479" t="s">
        <v>92</v>
      </c>
      <c r="B79" s="1480"/>
      <c r="C79" s="1481"/>
      <c r="D79" s="600" t="s">
        <v>187</v>
      </c>
      <c r="E79" s="597">
        <f>'[4]3'!F79</f>
        <v>815715</v>
      </c>
      <c r="F79" s="1402">
        <v>815965</v>
      </c>
      <c r="G79" s="549">
        <f t="shared" si="6"/>
        <v>250</v>
      </c>
      <c r="H79" s="536">
        <f>G79+'[4]3'!H79</f>
        <v>856</v>
      </c>
      <c r="I79" s="581"/>
      <c r="J79" s="629">
        <f>H79/DAY(B2)</f>
        <v>214</v>
      </c>
      <c r="K79" s="469"/>
      <c r="L79" s="408"/>
      <c r="N79" s="413"/>
    </row>
    <row r="80" spans="1:14" ht="27.75">
      <c r="A80" s="1479" t="s">
        <v>198</v>
      </c>
      <c r="B80" s="1480"/>
      <c r="C80" s="1481"/>
      <c r="D80" s="600" t="s">
        <v>187</v>
      </c>
      <c r="E80" s="596">
        <f>'[4]3'!F80</f>
        <v>495836</v>
      </c>
      <c r="F80" s="726">
        <v>496186</v>
      </c>
      <c r="G80" s="549">
        <f t="shared" si="6"/>
        <v>350</v>
      </c>
      <c r="H80" s="536">
        <f>G80+'[4]3'!H80</f>
        <v>1512.359999999986</v>
      </c>
      <c r="I80" s="581"/>
      <c r="J80" s="629">
        <f>H80/DAY(B2)</f>
        <v>378.08999999999651</v>
      </c>
      <c r="K80" s="469"/>
      <c r="L80" s="408"/>
      <c r="N80" s="413"/>
    </row>
    <row r="81" spans="1:15" ht="27.75">
      <c r="A81" s="1479" t="s">
        <v>199</v>
      </c>
      <c r="B81" s="1480"/>
      <c r="C81" s="1481"/>
      <c r="D81" s="600" t="s">
        <v>187</v>
      </c>
      <c r="E81" s="596">
        <f>'[4]3'!F81</f>
        <v>626258</v>
      </c>
      <c r="F81" s="726">
        <v>626378</v>
      </c>
      <c r="G81" s="549">
        <f t="shared" si="6"/>
        <v>120</v>
      </c>
      <c r="H81" s="536">
        <f>G81+'[4]3'!H81</f>
        <v>434.1600000000326</v>
      </c>
      <c r="I81" s="581"/>
      <c r="J81" s="629">
        <f>H81/DAY(B2)</f>
        <v>108.54000000000815</v>
      </c>
      <c r="K81" s="469"/>
      <c r="L81" s="408"/>
      <c r="N81" s="413"/>
    </row>
    <row r="82" spans="1:15" ht="27.75">
      <c r="A82" s="1479" t="s">
        <v>93</v>
      </c>
      <c r="B82" s="1480"/>
      <c r="C82" s="1481"/>
      <c r="D82" s="561" t="s">
        <v>132</v>
      </c>
      <c r="E82" s="598">
        <f>'[4]3'!F82</f>
        <v>106261</v>
      </c>
      <c r="F82" s="713">
        <v>106283</v>
      </c>
      <c r="G82" s="549">
        <f t="shared" si="6"/>
        <v>22</v>
      </c>
      <c r="H82" s="536">
        <f>G82+'[4]3'!H82</f>
        <v>80.520000000004075</v>
      </c>
      <c r="I82" s="562"/>
      <c r="J82" s="629">
        <f>H82/DAY(B2)</f>
        <v>20.130000000001019</v>
      </c>
      <c r="K82" s="469"/>
      <c r="L82" s="408"/>
      <c r="N82" s="413"/>
    </row>
    <row r="83" spans="1:15" ht="27.75">
      <c r="A83" s="1479" t="s">
        <v>200</v>
      </c>
      <c r="B83" s="1480"/>
      <c r="C83" s="1481"/>
      <c r="D83" s="697" t="s">
        <v>132</v>
      </c>
      <c r="E83" s="587">
        <f>'[4]3'!F83</f>
        <v>998039</v>
      </c>
      <c r="F83" s="1403">
        <v>998532</v>
      </c>
      <c r="G83" s="549">
        <f t="shared" si="6"/>
        <v>493</v>
      </c>
      <c r="H83" s="536">
        <f>G83+'[4]3'!H83</f>
        <v>2083</v>
      </c>
      <c r="I83" s="557"/>
      <c r="J83" s="629">
        <f>H83/DAY(B2)</f>
        <v>520.75</v>
      </c>
      <c r="K83" s="468"/>
      <c r="L83" s="408"/>
      <c r="N83" s="413"/>
    </row>
    <row r="84" spans="1:15">
      <c r="A84" s="1399" t="s">
        <v>201</v>
      </c>
      <c r="B84" s="648"/>
      <c r="C84" s="648"/>
      <c r="D84" s="554" t="s">
        <v>132</v>
      </c>
      <c r="E84" s="704">
        <f>'[4]3'!F84</f>
        <v>432768</v>
      </c>
      <c r="F84" s="728">
        <v>433468</v>
      </c>
      <c r="G84" s="549">
        <f t="shared" si="6"/>
        <v>700</v>
      </c>
      <c r="H84" s="536">
        <f>G84+'[4]3'!H84</f>
        <v>2670</v>
      </c>
      <c r="I84" s="557"/>
      <c r="J84" s="629">
        <f>H84/DAY(B2)</f>
        <v>667.5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599"/>
      <c r="F85" s="715"/>
      <c r="G85" s="536">
        <f xml:space="preserve"> SUM(G71:G84)</f>
        <v>2718.8</v>
      </c>
      <c r="H85" s="536">
        <f>G85+'[4]3'!H85</f>
        <v>8657.9299999999675</v>
      </c>
      <c r="I85" s="557"/>
      <c r="J85" s="629">
        <f>H85/DAY(B2)</f>
        <v>2164.4824999999919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'[4]3'!F86</f>
        <v>450765</v>
      </c>
      <c r="F86" s="728">
        <v>450871</v>
      </c>
      <c r="G86" s="787">
        <f t="shared" ref="G86:G87" si="7">F86-E86</f>
        <v>106</v>
      </c>
      <c r="H86" s="536">
        <f>G86+'[4]3'!H86</f>
        <v>502.46999999997206</v>
      </c>
      <c r="I86" s="733"/>
      <c r="J86" s="789">
        <f>H86/DAY(B2)</f>
        <v>125.61749999999302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'[4]3'!F87</f>
        <v>79323.199999999997</v>
      </c>
      <c r="F87" s="728">
        <v>79360.399999999994</v>
      </c>
      <c r="G87" s="787">
        <f t="shared" si="7"/>
        <v>37.19999999999709</v>
      </c>
      <c r="H87" s="536">
        <f>G87+'[4]3'!H87</f>
        <v>152.69999999999709</v>
      </c>
      <c r="I87" s="733"/>
      <c r="J87" s="789">
        <f>H87/DAY(B2)</f>
        <v>38.174999999999272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'[4]3'!F88</f>
        <v>148414.26</v>
      </c>
      <c r="F88" s="728">
        <v>148522</v>
      </c>
      <c r="G88" s="787">
        <f>F88-E88</f>
        <v>107.73999999999069</v>
      </c>
      <c r="H88" s="536">
        <f>G88+'[4]3'!H88</f>
        <v>257.39000000001397</v>
      </c>
      <c r="I88" s="733"/>
      <c r="J88" s="789">
        <f>H88/DAY(B2)</f>
        <v>64.347500000003492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'[4]3'!F89</f>
        <v>61900.4</v>
      </c>
      <c r="F89" s="728">
        <v>61962</v>
      </c>
      <c r="G89" s="787">
        <f>F89-E89</f>
        <v>61.599999999998545</v>
      </c>
      <c r="H89" s="536">
        <f>G89+'[4]3'!H89</f>
        <v>286.90000000000146</v>
      </c>
      <c r="I89" s="733"/>
      <c r="J89" s="789">
        <f>H89/DAY(B2)</f>
        <v>71.725000000000364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'[4]3'!F90</f>
        <v>3178.6</v>
      </c>
      <c r="F90" s="728">
        <v>3184</v>
      </c>
      <c r="G90" s="787">
        <f t="shared" ref="G90" si="8">F90-E90</f>
        <v>5.4000000000000909</v>
      </c>
      <c r="H90" s="536">
        <f>G90+'[4]3'!H90</f>
        <v>21.099999999999909</v>
      </c>
      <c r="I90" s="733"/>
      <c r="J90" s="789">
        <f>H90/DAY(B2)</f>
        <v>5.2749999999999773</v>
      </c>
      <c r="K90" s="815"/>
      <c r="L90" s="816"/>
      <c r="N90" s="860"/>
      <c r="O90" s="413"/>
    </row>
    <row r="91" spans="1:15" s="410" customFormat="1">
      <c r="A91" s="683" t="s">
        <v>205</v>
      </c>
      <c r="B91" s="1401"/>
      <c r="C91" s="1401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'[4]3'!F92</f>
        <v>239994</v>
      </c>
      <c r="F92" s="712">
        <v>240093</v>
      </c>
      <c r="G92" s="549">
        <f t="shared" ref="G92:G93" si="9">F92-E92</f>
        <v>99</v>
      </c>
      <c r="H92" s="536">
        <f>G92+'[4]3'!H92</f>
        <v>398</v>
      </c>
      <c r="I92" s="556"/>
      <c r="J92" s="629">
        <f>H92/DAY(B2)</f>
        <v>99.5</v>
      </c>
      <c r="K92" s="468"/>
      <c r="L92" s="408"/>
      <c r="N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'[4]3'!F93</f>
        <v>176158</v>
      </c>
      <c r="F93" s="712">
        <v>176317</v>
      </c>
      <c r="G93" s="549">
        <f t="shared" si="9"/>
        <v>159</v>
      </c>
      <c r="H93" s="536">
        <f>G93+'[4]3'!H93</f>
        <v>656</v>
      </c>
      <c r="I93" s="556"/>
      <c r="J93" s="629">
        <f>H93/DAY(B2)</f>
        <v>164</v>
      </c>
      <c r="K93" s="411"/>
      <c r="L93" s="408"/>
      <c r="N93" s="413"/>
    </row>
    <row r="94" spans="1:15">
      <c r="A94" s="1427" t="s">
        <v>208</v>
      </c>
      <c r="B94" s="1428"/>
      <c r="C94" s="1429"/>
      <c r="D94" s="599"/>
      <c r="E94" s="560"/>
      <c r="F94" s="712"/>
      <c r="G94" s="549">
        <f>G92+G93</f>
        <v>258</v>
      </c>
      <c r="H94" s="536">
        <f>G94+'[4]3'!H94</f>
        <v>788</v>
      </c>
      <c r="I94" s="556"/>
      <c r="J94" s="629">
        <f>H94/DAY(B2)</f>
        <v>197</v>
      </c>
      <c r="K94" s="411"/>
      <c r="L94" s="408"/>
      <c r="N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'[4]3'!F95</f>
        <v>408393</v>
      </c>
      <c r="F95" s="712">
        <v>408491</v>
      </c>
      <c r="G95" s="549">
        <f t="shared" ref="G95:G100" si="10">F95-E95</f>
        <v>98</v>
      </c>
      <c r="H95" s="536">
        <f>G95+'[4]3'!H95</f>
        <v>335</v>
      </c>
      <c r="I95" s="556"/>
      <c r="J95" s="629">
        <f>H95/DAY(B2)</f>
        <v>83.75</v>
      </c>
      <c r="K95" s="411"/>
      <c r="L95" s="408"/>
      <c r="N95" s="413"/>
    </row>
    <row r="96" spans="1:15" ht="27.75">
      <c r="A96" s="1395" t="s">
        <v>210</v>
      </c>
      <c r="B96" s="1396"/>
      <c r="C96" s="1396"/>
      <c r="D96" s="599" t="s">
        <v>144</v>
      </c>
      <c r="E96" s="560">
        <f>'[4]3'!F96</f>
        <v>101380</v>
      </c>
      <c r="F96" s="712">
        <v>101390</v>
      </c>
      <c r="G96" s="549">
        <f t="shared" si="10"/>
        <v>10</v>
      </c>
      <c r="H96" s="536">
        <f>G96+'[4]3'!H96</f>
        <v>58</v>
      </c>
      <c r="I96" s="556"/>
      <c r="J96" s="629">
        <f>H96/DAY(B2)</f>
        <v>14.5</v>
      </c>
      <c r="K96" s="466"/>
      <c r="L96" s="408"/>
      <c r="N96" s="413"/>
    </row>
    <row r="97" spans="1:14" ht="27.75">
      <c r="A97" s="1395" t="s">
        <v>211</v>
      </c>
      <c r="B97" s="1396"/>
      <c r="C97" s="1396"/>
      <c r="D97" s="599" t="s">
        <v>144</v>
      </c>
      <c r="E97" s="560">
        <f>'[4]3'!F97</f>
        <v>96508</v>
      </c>
      <c r="F97" s="712">
        <v>96524</v>
      </c>
      <c r="G97" s="549">
        <f t="shared" si="10"/>
        <v>16</v>
      </c>
      <c r="H97" s="536">
        <f>G97+'[4]3'!H97</f>
        <v>75</v>
      </c>
      <c r="I97" s="556"/>
      <c r="J97" s="629">
        <f>H97/DAY(B2)</f>
        <v>18.75</v>
      </c>
      <c r="K97" s="471"/>
      <c r="L97" s="408"/>
      <c r="N97" s="413"/>
    </row>
    <row r="98" spans="1:14" ht="27.75">
      <c r="A98" s="1395" t="s">
        <v>212</v>
      </c>
      <c r="B98" s="1396"/>
      <c r="C98" s="1396"/>
      <c r="D98" s="599" t="s">
        <v>144</v>
      </c>
      <c r="E98" s="560">
        <f>'[4]3'!F98</f>
        <v>147866</v>
      </c>
      <c r="F98" s="712">
        <v>147915</v>
      </c>
      <c r="G98" s="549">
        <f t="shared" si="10"/>
        <v>49</v>
      </c>
      <c r="H98" s="536">
        <f>G98+'[4]3'!H98</f>
        <v>307</v>
      </c>
      <c r="I98" s="556"/>
      <c r="J98" s="629">
        <f>H98/DAY(B2)</f>
        <v>76.75</v>
      </c>
      <c r="K98" s="411"/>
      <c r="L98" s="408"/>
      <c r="N98" s="413"/>
    </row>
    <row r="99" spans="1:14" ht="27.75">
      <c r="A99" s="1395" t="s">
        <v>213</v>
      </c>
      <c r="B99" s="1396"/>
      <c r="C99" s="1396"/>
      <c r="D99" s="599" t="s">
        <v>144</v>
      </c>
      <c r="E99" s="560">
        <f>'[4]3'!F99</f>
        <v>6457</v>
      </c>
      <c r="F99" s="712">
        <v>6461</v>
      </c>
      <c r="G99" s="549">
        <f t="shared" si="10"/>
        <v>4</v>
      </c>
      <c r="H99" s="536">
        <f>G99+'[4]3'!H99</f>
        <v>53</v>
      </c>
      <c r="I99" s="556"/>
      <c r="J99" s="629">
        <f>H99/DAY(B2)</f>
        <v>13.25</v>
      </c>
      <c r="K99" s="411"/>
      <c r="L99" s="408"/>
      <c r="N99" s="413"/>
    </row>
    <row r="100" spans="1:14" ht="27.75">
      <c r="A100" s="1395" t="s">
        <v>214</v>
      </c>
      <c r="B100" s="1396"/>
      <c r="C100" s="1396"/>
      <c r="D100" s="599" t="s">
        <v>144</v>
      </c>
      <c r="E100" s="560">
        <f>'[4]3'!F100</f>
        <v>4587</v>
      </c>
      <c r="F100" s="712">
        <v>4598</v>
      </c>
      <c r="G100" s="549">
        <f t="shared" si="10"/>
        <v>11</v>
      </c>
      <c r="H100" s="536">
        <f>G100+'[4]3'!H100</f>
        <v>55</v>
      </c>
      <c r="I100" s="556"/>
      <c r="J100" s="629">
        <f>H100/DAY(B2)</f>
        <v>13.75</v>
      </c>
      <c r="K100" s="411"/>
      <c r="L100" s="408"/>
      <c r="N100" s="413"/>
    </row>
    <row r="101" spans="1:14">
      <c r="A101" s="1427" t="s">
        <v>216</v>
      </c>
      <c r="B101" s="1428"/>
      <c r="C101" s="1429"/>
      <c r="D101" s="600"/>
      <c r="E101" s="600"/>
      <c r="F101" s="717"/>
      <c r="G101" s="601">
        <f>SUM(G95:G100)</f>
        <v>188</v>
      </c>
      <c r="H101" s="536">
        <f>G101+'[4]3'!H101</f>
        <v>883</v>
      </c>
      <c r="I101" s="602"/>
      <c r="J101" s="629">
        <f>H101/DAY(B2)</f>
        <v>220.75</v>
      </c>
      <c r="K101" s="411"/>
      <c r="L101" s="408"/>
      <c r="N101" s="413"/>
    </row>
    <row r="102" spans="1:14" s="481" customFormat="1" ht="27">
      <c r="A102" s="684" t="s">
        <v>217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436" t="s">
        <v>218</v>
      </c>
      <c r="B103" s="1437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438" t="s">
        <v>219</v>
      </c>
      <c r="B104" s="1439"/>
      <c r="C104" s="1394"/>
      <c r="D104" s="699" t="s">
        <v>144</v>
      </c>
      <c r="E104" s="608">
        <f>'[4]3'!F104</f>
        <v>7128</v>
      </c>
      <c r="F104" s="608">
        <v>7131</v>
      </c>
      <c r="G104" s="608">
        <f>F104-E104</f>
        <v>3</v>
      </c>
      <c r="H104" s="536">
        <f>G104+'[4]3'!H108</f>
        <v>3</v>
      </c>
      <c r="I104" s="608"/>
      <c r="J104" s="635">
        <f>H104/DAY(B2)</f>
        <v>0.75</v>
      </c>
      <c r="N104" s="413"/>
    </row>
    <row r="105" spans="1:14" s="481" customFormat="1" ht="27.75">
      <c r="A105" s="1438" t="s">
        <v>77</v>
      </c>
      <c r="B105" s="1439"/>
      <c r="C105" s="1394"/>
      <c r="D105" s="699" t="s">
        <v>144</v>
      </c>
      <c r="E105" s="610">
        <f>'[4]3'!F105</f>
        <v>35434</v>
      </c>
      <c r="F105" s="610">
        <v>35443</v>
      </c>
      <c r="G105" s="608">
        <f t="shared" ref="G105:G106" si="11">F105-E105</f>
        <v>9</v>
      </c>
      <c r="H105" s="536">
        <f>G105+'[4]3'!H105</f>
        <v>36</v>
      </c>
      <c r="I105" s="608"/>
      <c r="J105" s="635">
        <f>H105/DAY(B2)</f>
        <v>9</v>
      </c>
      <c r="N105" s="413"/>
    </row>
    <row r="106" spans="1:14" s="481" customFormat="1" ht="27.75">
      <c r="A106" s="1438" t="s">
        <v>78</v>
      </c>
      <c r="B106" s="1440"/>
      <c r="C106" s="1439"/>
      <c r="D106" s="699" t="s">
        <v>144</v>
      </c>
      <c r="E106" s="608">
        <f>'[4]3'!F106</f>
        <v>19263</v>
      </c>
      <c r="F106" s="1133">
        <v>19269</v>
      </c>
      <c r="G106" s="608">
        <f t="shared" si="11"/>
        <v>6</v>
      </c>
      <c r="H106" s="536">
        <f>G106+'[4]3'!H106</f>
        <v>22</v>
      </c>
      <c r="I106" s="608"/>
      <c r="J106" s="635">
        <f>H106/DAY(B2)</f>
        <v>5.5</v>
      </c>
      <c r="N106" s="413"/>
    </row>
    <row r="107" spans="1:14" s="481" customFormat="1" ht="27.75">
      <c r="A107" s="1441" t="s">
        <v>202</v>
      </c>
      <c r="B107" s="1442"/>
      <c r="C107" s="1394"/>
      <c r="D107" s="699"/>
      <c r="E107" s="608"/>
      <c r="F107" s="608"/>
      <c r="G107" s="608">
        <f>SUM(G104:G106)</f>
        <v>18</v>
      </c>
      <c r="H107" s="536">
        <f>G107+'[4]3'!H107</f>
        <v>61</v>
      </c>
      <c r="I107" s="608"/>
      <c r="J107" s="635">
        <f>H107/DAY(B2)</f>
        <v>15.25</v>
      </c>
      <c r="N107" s="413"/>
    </row>
    <row r="108" spans="1:14" s="481" customFormat="1" ht="27.75">
      <c r="A108" s="1443" t="s">
        <v>79</v>
      </c>
      <c r="B108" s="1444"/>
      <c r="C108" s="1394"/>
      <c r="D108" s="699" t="s">
        <v>144</v>
      </c>
      <c r="E108" s="608"/>
      <c r="F108" s="608"/>
      <c r="G108" s="608"/>
      <c r="H108" s="536" t="e">
        <f>G108+'[4]3'!#REF!</f>
        <v>#REF!</v>
      </c>
      <c r="I108" s="608"/>
      <c r="J108" s="635"/>
      <c r="N108" s="413"/>
    </row>
    <row r="109" spans="1:14" s="481" customFormat="1" ht="27.75">
      <c r="A109" s="1438" t="s">
        <v>220</v>
      </c>
      <c r="B109" s="1439"/>
      <c r="C109" s="1394"/>
      <c r="D109" s="699" t="s">
        <v>144</v>
      </c>
      <c r="E109" s="608">
        <f>'[4]3'!F109</f>
        <v>56606</v>
      </c>
      <c r="F109" s="608">
        <v>56688</v>
      </c>
      <c r="G109" s="608">
        <f>F109-E109</f>
        <v>82</v>
      </c>
      <c r="H109" s="536">
        <f>G109+'[4]3'!H109</f>
        <v>335</v>
      </c>
      <c r="I109" s="608"/>
      <c r="J109" s="635">
        <f>H109/DAY(B2)</f>
        <v>83.75</v>
      </c>
      <c r="N109" s="413"/>
    </row>
    <row r="110" spans="1:14" s="481" customFormat="1" ht="27.75">
      <c r="A110" s="1438" t="s">
        <v>221</v>
      </c>
      <c r="B110" s="1439"/>
      <c r="C110" s="1394"/>
      <c r="D110" s="699" t="s">
        <v>144</v>
      </c>
      <c r="E110" s="608">
        <f>'[4]3'!F110</f>
        <v>30795</v>
      </c>
      <c r="F110" s="608">
        <v>30834</v>
      </c>
      <c r="G110" s="608">
        <f t="shared" ref="G110:G111" si="12">F110-E110</f>
        <v>39</v>
      </c>
      <c r="H110" s="536">
        <f>G110+'[4]3'!H110</f>
        <v>307</v>
      </c>
      <c r="I110" s="608"/>
      <c r="J110" s="635">
        <f>H110/DAY(B2)</f>
        <v>76.75</v>
      </c>
      <c r="N110" s="413"/>
    </row>
    <row r="111" spans="1:14" s="481" customFormat="1" ht="27.75">
      <c r="A111" s="1438" t="s">
        <v>222</v>
      </c>
      <c r="B111" s="1439"/>
      <c r="C111" s="1394"/>
      <c r="D111" s="699" t="s">
        <v>144</v>
      </c>
      <c r="E111" s="608">
        <f>'[4]3'!F111</f>
        <v>4012</v>
      </c>
      <c r="F111" s="608">
        <v>4012</v>
      </c>
      <c r="G111" s="608">
        <f t="shared" si="12"/>
        <v>0</v>
      </c>
      <c r="H111" s="536">
        <f>G111+'[4]3'!H111</f>
        <v>32</v>
      </c>
      <c r="I111" s="608"/>
      <c r="J111" s="635">
        <f>H111/DAY(B2)</f>
        <v>8</v>
      </c>
      <c r="N111" s="413"/>
    </row>
    <row r="112" spans="1:14" s="481" customFormat="1" ht="27.75">
      <c r="A112" s="1441" t="s">
        <v>110</v>
      </c>
      <c r="B112" s="1442"/>
      <c r="C112" s="1394"/>
      <c r="D112" s="699"/>
      <c r="E112" s="608"/>
      <c r="F112" s="608"/>
      <c r="G112" s="608">
        <f>SUM(G109:G111)</f>
        <v>121</v>
      </c>
      <c r="H112" s="536">
        <f>G112+'[4]3'!H112</f>
        <v>674</v>
      </c>
      <c r="I112" s="608"/>
      <c r="J112" s="635">
        <f>H112/DAY(B2)</f>
        <v>168.5</v>
      </c>
      <c r="N112" s="413"/>
    </row>
    <row r="113" spans="1:14" s="481" customFormat="1" ht="27.75">
      <c r="A113" s="1443" t="s">
        <v>223</v>
      </c>
      <c r="B113" s="1444"/>
      <c r="C113" s="1394"/>
      <c r="D113" s="699"/>
      <c r="E113" s="608"/>
      <c r="F113" s="608"/>
      <c r="G113" s="608"/>
      <c r="H113" s="536">
        <f>G113+'[4]3'!H113</f>
        <v>0</v>
      </c>
      <c r="I113" s="608"/>
      <c r="J113" s="635">
        <f>H113/DAY(B2)</f>
        <v>0</v>
      </c>
      <c r="N113" s="413"/>
    </row>
    <row r="114" spans="1:14" s="481" customFormat="1" ht="27.75">
      <c r="A114" s="1438" t="s">
        <v>224</v>
      </c>
      <c r="B114" s="1439"/>
      <c r="C114" s="651"/>
      <c r="D114" s="699" t="s">
        <v>144</v>
      </c>
      <c r="E114" s="610">
        <f>'[4]3'!F114</f>
        <v>10379</v>
      </c>
      <c r="F114" s="610">
        <v>10387</v>
      </c>
      <c r="G114" s="610">
        <f>F114-E114</f>
        <v>8</v>
      </c>
      <c r="H114" s="536">
        <f>G114+'[4]3'!H114</f>
        <v>65</v>
      </c>
      <c r="I114" s="608"/>
      <c r="J114" s="635">
        <f>H114/DAY(B2)</f>
        <v>16.25</v>
      </c>
      <c r="N114" s="413"/>
    </row>
    <row r="115" spans="1:14" s="481" customFormat="1" ht="27.75">
      <c r="A115" s="1438" t="s">
        <v>225</v>
      </c>
      <c r="B115" s="1439"/>
      <c r="C115" s="651"/>
      <c r="D115" s="699" t="s">
        <v>144</v>
      </c>
      <c r="E115" s="610">
        <f>'[4]3'!F115</f>
        <v>7703</v>
      </c>
      <c r="F115" s="610">
        <v>7714</v>
      </c>
      <c r="G115" s="610">
        <f t="shared" ref="G115:G116" si="13">F115-E115</f>
        <v>11</v>
      </c>
      <c r="H115" s="536">
        <f>G115+'[4]3'!H115</f>
        <v>47</v>
      </c>
      <c r="I115" s="608"/>
      <c r="J115" s="635">
        <f>H115/DAY(B2)</f>
        <v>11.75</v>
      </c>
      <c r="N115" s="413"/>
    </row>
    <row r="116" spans="1:14" s="481" customFormat="1" ht="27.75">
      <c r="A116" s="1438" t="s">
        <v>226</v>
      </c>
      <c r="B116" s="1439"/>
      <c r="C116" s="651"/>
      <c r="D116" s="699" t="s">
        <v>144</v>
      </c>
      <c r="E116" s="610"/>
      <c r="F116" s="610"/>
      <c r="G116" s="610">
        <f t="shared" si="13"/>
        <v>0</v>
      </c>
      <c r="H116" s="536">
        <f>G116+'[4]3'!H116</f>
        <v>0</v>
      </c>
      <c r="I116" s="608"/>
      <c r="J116" s="635">
        <f>H116/DAY(B2)</f>
        <v>0</v>
      </c>
      <c r="N116" s="413"/>
    </row>
    <row r="117" spans="1:14" s="494" customFormat="1" ht="27.75">
      <c r="A117" s="1441" t="s">
        <v>202</v>
      </c>
      <c r="B117" s="1442"/>
      <c r="C117" s="651"/>
      <c r="D117" s="700"/>
      <c r="E117" s="610"/>
      <c r="F117" s="610"/>
      <c r="G117" s="610">
        <f>SUM(G114:G116)</f>
        <v>19</v>
      </c>
      <c r="H117" s="536">
        <f>G117+'[4]3'!H117</f>
        <v>112</v>
      </c>
      <c r="I117" s="610"/>
      <c r="J117" s="635">
        <f>H117/DAY(B2)</f>
        <v>28</v>
      </c>
      <c r="N117" s="413"/>
    </row>
    <row r="118" spans="1:14" s="495" customFormat="1" ht="27.75">
      <c r="A118" s="1472" t="s">
        <v>227</v>
      </c>
      <c r="B118" s="1473"/>
      <c r="C118" s="1392"/>
      <c r="D118" s="701" t="s">
        <v>144</v>
      </c>
      <c r="E118" s="612"/>
      <c r="F118" s="612">
        <f>SUM(G19+G92)</f>
        <v>151</v>
      </c>
      <c r="G118" s="612">
        <f>SUM(G19+G92)</f>
        <v>151</v>
      </c>
      <c r="H118" s="536">
        <f>G118+'[4]3'!H118</f>
        <v>602</v>
      </c>
      <c r="I118" s="611"/>
      <c r="J118" s="636">
        <f>H118/DAY(B2)</f>
        <v>150.5</v>
      </c>
      <c r="N118" s="413"/>
    </row>
    <row r="119" spans="1:14" s="495" customFormat="1" ht="27.75">
      <c r="A119" s="1472" t="s">
        <v>228</v>
      </c>
      <c r="B119" s="1473"/>
      <c r="C119" s="1392"/>
      <c r="D119" s="701" t="s">
        <v>144</v>
      </c>
      <c r="E119" s="612"/>
      <c r="F119" s="612">
        <f>SUM(G95,G96,G97,G99,G100)</f>
        <v>139</v>
      </c>
      <c r="G119" s="612">
        <f>SUM(G95,G96,G97,G99,G100)</f>
        <v>139</v>
      </c>
      <c r="H119" s="536">
        <f>G119+'[4]3'!H119</f>
        <v>576</v>
      </c>
      <c r="I119" s="611"/>
      <c r="J119" s="636">
        <f>H119/DAY(B2)</f>
        <v>144</v>
      </c>
      <c r="N119" s="413"/>
    </row>
    <row r="120" spans="1:14" s="495" customFormat="1" ht="27.75">
      <c r="A120" s="1472" t="s">
        <v>229</v>
      </c>
      <c r="B120" s="1473"/>
      <c r="C120" s="1392"/>
      <c r="D120" s="701" t="s">
        <v>144</v>
      </c>
      <c r="E120" s="610"/>
      <c r="F120" s="610">
        <f>SUM(G112)</f>
        <v>121</v>
      </c>
      <c r="G120" s="610">
        <f>SUM(G112)</f>
        <v>121</v>
      </c>
      <c r="H120" s="536">
        <f>G120+'[4]3'!H120</f>
        <v>674</v>
      </c>
      <c r="I120" s="611"/>
      <c r="J120" s="636">
        <f>H120/DAY(B2)</f>
        <v>168.5</v>
      </c>
      <c r="N120" s="413"/>
    </row>
    <row r="121" spans="1:14" s="481" customFormat="1" ht="27.75">
      <c r="A121" s="1474"/>
      <c r="B121" s="1475"/>
      <c r="C121" s="1393"/>
      <c r="D121" s="637"/>
      <c r="E121" s="637"/>
      <c r="F121" s="637" t="s">
        <v>215</v>
      </c>
      <c r="G121" s="637"/>
      <c r="H121" s="638"/>
      <c r="I121" s="637"/>
      <c r="J121" s="639"/>
      <c r="N121" s="413"/>
    </row>
    <row r="122" spans="1:14">
      <c r="A122" s="1424" t="s">
        <v>230</v>
      </c>
      <c r="B122" s="1425"/>
      <c r="C122" s="1426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395" t="s">
        <v>231</v>
      </c>
      <c r="B123" s="1396"/>
      <c r="C123" s="1396"/>
      <c r="D123" s="599" t="s">
        <v>141</v>
      </c>
      <c r="E123" s="554">
        <f>'[4]3'!F123</f>
        <v>811797.04</v>
      </c>
      <c r="F123" s="712">
        <v>812042</v>
      </c>
      <c r="G123" s="549">
        <f t="shared" ref="G123:G127" si="14">F123-E123</f>
        <v>244.95999999996275</v>
      </c>
      <c r="H123" s="536">
        <f>G123+'[4]3'!H123</f>
        <v>1035.1600000000326</v>
      </c>
      <c r="I123" s="602"/>
      <c r="J123" s="629">
        <f>H123/DAY(B2)</f>
        <v>258.79000000000815</v>
      </c>
      <c r="K123" s="411"/>
      <c r="L123" s="408"/>
      <c r="N123" s="413"/>
    </row>
    <row r="124" spans="1:14" ht="27.75">
      <c r="A124" s="1395" t="s">
        <v>232</v>
      </c>
      <c r="B124" s="1396"/>
      <c r="C124" s="1396"/>
      <c r="D124" s="599" t="s">
        <v>141</v>
      </c>
      <c r="E124" s="703">
        <f>'[4]3'!F124</f>
        <v>73583.399999999994</v>
      </c>
      <c r="F124" s="730">
        <v>73583</v>
      </c>
      <c r="G124" s="549">
        <f t="shared" si="14"/>
        <v>-0.39999999999417923</v>
      </c>
      <c r="H124" s="536">
        <f>G124+'[4]3'!H124</f>
        <v>-0.39999999999417923</v>
      </c>
      <c r="I124" s="602"/>
      <c r="J124" s="629">
        <f>H124/DAY(B2)</f>
        <v>-9.9999999998544808E-2</v>
      </c>
      <c r="K124" s="411"/>
      <c r="L124" s="408"/>
      <c r="N124" s="413"/>
    </row>
    <row r="125" spans="1:14" ht="27.75">
      <c r="A125" s="1430" t="s">
        <v>233</v>
      </c>
      <c r="B125" s="1431"/>
      <c r="C125" s="1432"/>
      <c r="D125" s="599" t="s">
        <v>141</v>
      </c>
      <c r="E125" s="554">
        <f>'[4]3'!F125</f>
        <v>140188.65</v>
      </c>
      <c r="F125" s="712">
        <v>140260</v>
      </c>
      <c r="G125" s="549">
        <f t="shared" si="14"/>
        <v>71.350000000005821</v>
      </c>
      <c r="H125" s="536">
        <f>G125+'[4]3'!H125</f>
        <v>280.66000000000349</v>
      </c>
      <c r="I125" s="602"/>
      <c r="J125" s="629">
        <f>H125/DAY(B2)</f>
        <v>70.165000000000873</v>
      </c>
      <c r="K125" s="411"/>
      <c r="L125" s="408"/>
      <c r="N125" s="413"/>
    </row>
    <row r="126" spans="1:14" ht="27.75">
      <c r="A126" s="686" t="s">
        <v>234</v>
      </c>
      <c r="B126" s="1396"/>
      <c r="C126" s="1396"/>
      <c r="D126" s="599" t="s">
        <v>141</v>
      </c>
      <c r="E126" s="703">
        <f>'[4]3'!F126</f>
        <v>59377.599999999999</v>
      </c>
      <c r="F126" s="730">
        <v>59407</v>
      </c>
      <c r="G126" s="549">
        <f t="shared" si="14"/>
        <v>29.400000000001455</v>
      </c>
      <c r="H126" s="536">
        <f>G126+'[4]3'!H126</f>
        <v>100.09999999999854</v>
      </c>
      <c r="I126" s="602"/>
      <c r="J126" s="629">
        <f>H126/DAY(B2)</f>
        <v>25.024999999999636</v>
      </c>
      <c r="K126" s="411"/>
      <c r="L126" s="408"/>
      <c r="N126" s="413"/>
    </row>
    <row r="127" spans="1:14" ht="27.75">
      <c r="A127" s="686" t="s">
        <v>235</v>
      </c>
      <c r="B127" s="1396"/>
      <c r="C127" s="1396"/>
      <c r="D127" s="599" t="s">
        <v>141</v>
      </c>
      <c r="E127" s="703">
        <f>'[4]3'!F127</f>
        <v>8894.1</v>
      </c>
      <c r="F127" s="730">
        <v>8896</v>
      </c>
      <c r="G127" s="549">
        <f t="shared" si="14"/>
        <v>1.8999999999996362</v>
      </c>
      <c r="H127" s="536">
        <f>G127+'[4]3'!H127</f>
        <v>8.2000000000007276</v>
      </c>
      <c r="I127" s="556"/>
      <c r="J127" s="629">
        <f>H127/DAY(B2)</f>
        <v>2.0500000000001819</v>
      </c>
      <c r="K127" s="411"/>
      <c r="L127" s="408"/>
      <c r="N127" s="413"/>
    </row>
    <row r="128" spans="1:14" s="281" customFormat="1" ht="27.75">
      <c r="A128" s="686" t="s">
        <v>236</v>
      </c>
      <c r="B128" s="1396"/>
      <c r="C128" s="1396"/>
      <c r="D128" s="599"/>
      <c r="E128" s="554"/>
      <c r="F128" s="712"/>
      <c r="G128" s="549">
        <f>G15-SUM(G123:G127)</f>
        <v>536.95999999995001</v>
      </c>
      <c r="H128" s="536">
        <f>G128+'[4]3'!H128</f>
        <v>2164.6699999998564</v>
      </c>
      <c r="I128" s="556"/>
      <c r="J128" s="629">
        <f>H128/DAY(B2)</f>
        <v>541.16749999996409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395" t="s">
        <v>238</v>
      </c>
      <c r="B130" s="1396"/>
      <c r="C130" s="1396"/>
      <c r="D130" s="599" t="s">
        <v>239</v>
      </c>
      <c r="E130" s="560">
        <f>'[4]3'!F130</f>
        <v>0</v>
      </c>
      <c r="F130" s="712">
        <v>0</v>
      </c>
      <c r="G130" s="549">
        <f t="shared" ref="G130:G140" si="15">F130-E130</f>
        <v>0</v>
      </c>
      <c r="H130" s="536">
        <f>G130+'[4]3'!H130</f>
        <v>0</v>
      </c>
      <c r="I130" s="556"/>
      <c r="J130" s="629">
        <f>H130/DAY(B2)</f>
        <v>0</v>
      </c>
      <c r="N130" s="413"/>
    </row>
    <row r="131" spans="1:14" ht="27.75">
      <c r="A131" s="1395" t="s">
        <v>240</v>
      </c>
      <c r="B131" s="1396"/>
      <c r="C131" s="1396"/>
      <c r="D131" s="599" t="s">
        <v>239</v>
      </c>
      <c r="E131" s="560">
        <f>'[4]3'!F131</f>
        <v>0</v>
      </c>
      <c r="F131" s="712">
        <v>0</v>
      </c>
      <c r="G131" s="549">
        <f t="shared" si="15"/>
        <v>0</v>
      </c>
      <c r="H131" s="536">
        <f>G131+'[4]3'!H131</f>
        <v>0</v>
      </c>
      <c r="I131" s="556"/>
      <c r="J131" s="629">
        <f>H131/DAY(B2)</f>
        <v>0</v>
      </c>
      <c r="N131" s="413"/>
    </row>
    <row r="132" spans="1:14" ht="27.75">
      <c r="A132" s="1395" t="s">
        <v>241</v>
      </c>
      <c r="B132" s="1396"/>
      <c r="C132" s="1396"/>
      <c r="D132" s="599" t="s">
        <v>239</v>
      </c>
      <c r="E132" s="560">
        <f>'[4]3'!F132</f>
        <v>38829</v>
      </c>
      <c r="F132" s="713">
        <v>38829</v>
      </c>
      <c r="G132" s="549">
        <f t="shared" si="15"/>
        <v>0</v>
      </c>
      <c r="H132" s="536">
        <f>G132+'[4]3'!H132</f>
        <v>0</v>
      </c>
      <c r="I132" s="556"/>
      <c r="J132" s="629">
        <f>H132/DAY(B2)</f>
        <v>0</v>
      </c>
      <c r="N132" s="413"/>
    </row>
    <row r="133" spans="1:14" ht="27.75">
      <c r="A133" s="1395" t="s">
        <v>242</v>
      </c>
      <c r="B133" s="1396"/>
      <c r="C133" s="1396"/>
      <c r="D133" s="599" t="s">
        <v>239</v>
      </c>
      <c r="E133" s="560">
        <f>'[4]3'!F133</f>
        <v>299.52</v>
      </c>
      <c r="F133" s="730">
        <v>300</v>
      </c>
      <c r="G133" s="549">
        <f t="shared" si="15"/>
        <v>0.48000000000001819</v>
      </c>
      <c r="H133" s="536">
        <f>G133+'[4]3'!H133</f>
        <v>0</v>
      </c>
      <c r="I133" s="556">
        <f>G132+G133+G134+G135</f>
        <v>24.190000000002783</v>
      </c>
      <c r="J133" s="629">
        <f>H133/DAY(B2)</f>
        <v>0</v>
      </c>
      <c r="N133" s="413"/>
    </row>
    <row r="134" spans="1:14" ht="27.75">
      <c r="A134" s="1395" t="s">
        <v>243</v>
      </c>
      <c r="B134" s="1396"/>
      <c r="C134" s="1396"/>
      <c r="D134" s="599" t="s">
        <v>239</v>
      </c>
      <c r="E134" s="560">
        <f>'[4]3'!F134</f>
        <v>40434.199999999997</v>
      </c>
      <c r="F134" s="730">
        <v>40458</v>
      </c>
      <c r="G134" s="549">
        <f t="shared" si="15"/>
        <v>23.80000000000291</v>
      </c>
      <c r="H134" s="536">
        <f>G134+'[4]3'!H134</f>
        <v>90.860000000000582</v>
      </c>
      <c r="I134" s="556"/>
      <c r="J134" s="629">
        <f>H134/DAY(B2)</f>
        <v>22.715000000000146</v>
      </c>
      <c r="N134" s="413"/>
    </row>
    <row r="135" spans="1:14" ht="27.75">
      <c r="A135" s="1395" t="s">
        <v>244</v>
      </c>
      <c r="B135" s="1396"/>
      <c r="C135" s="1396"/>
      <c r="D135" s="599" t="s">
        <v>239</v>
      </c>
      <c r="E135" s="560">
        <f>'[4]3'!F135</f>
        <v>32582.09</v>
      </c>
      <c r="F135" s="730">
        <v>32582</v>
      </c>
      <c r="G135" s="549">
        <f t="shared" si="15"/>
        <v>-9.0000000000145519E-2</v>
      </c>
      <c r="H135" s="536">
        <f>G135+'[4]3'!H135</f>
        <v>11</v>
      </c>
      <c r="I135" s="556"/>
      <c r="J135" s="629">
        <f>H135/DAY(B2)</f>
        <v>2.75</v>
      </c>
      <c r="N135" s="413"/>
    </row>
    <row r="136" spans="1:14" ht="27.75">
      <c r="A136" s="1395" t="s">
        <v>245</v>
      </c>
      <c r="B136" s="1396"/>
      <c r="C136" s="1396"/>
      <c r="D136" s="599" t="s">
        <v>239</v>
      </c>
      <c r="E136" s="560">
        <f>'[4]3'!F136</f>
        <v>22248.35</v>
      </c>
      <c r="F136" s="713">
        <v>22256.43</v>
      </c>
      <c r="G136" s="549">
        <f t="shared" si="15"/>
        <v>8.0800000000017462</v>
      </c>
      <c r="H136" s="536">
        <f>G136+'[4]3'!H136</f>
        <v>34.220000000001164</v>
      </c>
      <c r="I136" s="556">
        <f>G136+G137+G138</f>
        <v>11.270000000004075</v>
      </c>
      <c r="J136" s="629">
        <f>H136/DAY(B2)</f>
        <v>8.555000000000291</v>
      </c>
      <c r="N136" s="413"/>
    </row>
    <row r="137" spans="1:14" ht="27.75">
      <c r="A137" s="1395" t="s">
        <v>246</v>
      </c>
      <c r="B137" s="1396"/>
      <c r="C137" s="1396"/>
      <c r="D137" s="599" t="s">
        <v>239</v>
      </c>
      <c r="E137" s="560">
        <f>'[4]3'!F137</f>
        <v>25044.31</v>
      </c>
      <c r="F137" s="713">
        <v>25044.31</v>
      </c>
      <c r="G137" s="549">
        <f t="shared" si="15"/>
        <v>0</v>
      </c>
      <c r="H137" s="536">
        <f>G137+'[4]3'!H137</f>
        <v>0</v>
      </c>
      <c r="I137" s="556"/>
      <c r="J137" s="629">
        <f>H137/DAY(B2)</f>
        <v>0</v>
      </c>
      <c r="N137" s="413"/>
    </row>
    <row r="138" spans="1:14" ht="27.75">
      <c r="A138" s="1395" t="s">
        <v>247</v>
      </c>
      <c r="B138" s="1396"/>
      <c r="C138" s="1396"/>
      <c r="D138" s="599" t="s">
        <v>239</v>
      </c>
      <c r="E138" s="560">
        <f>'[4]3'!F138</f>
        <v>70164.81</v>
      </c>
      <c r="F138" s="713">
        <v>70168</v>
      </c>
      <c r="G138" s="549">
        <f t="shared" si="15"/>
        <v>3.1900000000023283</v>
      </c>
      <c r="H138" s="536">
        <f>G138+'[4]3'!H138</f>
        <v>20.660000000003492</v>
      </c>
      <c r="I138" s="556"/>
      <c r="J138" s="629">
        <f>H138/DAY(B2)</f>
        <v>5.1650000000008731</v>
      </c>
      <c r="N138" s="413"/>
    </row>
    <row r="139" spans="1:14" ht="27.75">
      <c r="A139" s="1395" t="s">
        <v>248</v>
      </c>
      <c r="B139" s="1396"/>
      <c r="C139" s="1396"/>
      <c r="D139" s="599" t="s">
        <v>239</v>
      </c>
      <c r="E139" s="560">
        <f>'[4]3'!F139</f>
        <v>1445.97</v>
      </c>
      <c r="F139" s="730">
        <v>1453</v>
      </c>
      <c r="G139" s="549">
        <f t="shared" si="15"/>
        <v>7.0299999999999727</v>
      </c>
      <c r="H139" s="536">
        <f>G139+'[4]3'!H139</f>
        <v>29.8599999999999</v>
      </c>
      <c r="I139" s="619">
        <f>G139+G140</f>
        <v>7.0299999999999727</v>
      </c>
      <c r="J139" s="629">
        <f>H139/DAY(B2)</f>
        <v>7.464999999999975</v>
      </c>
      <c r="N139" s="413"/>
    </row>
    <row r="140" spans="1:14" ht="27.75">
      <c r="A140" s="1395" t="s">
        <v>249</v>
      </c>
      <c r="B140" s="1396"/>
      <c r="C140" s="1396"/>
      <c r="D140" s="599" t="s">
        <v>239</v>
      </c>
      <c r="E140" s="560">
        <f>'[4]3'!F140</f>
        <v>4334</v>
      </c>
      <c r="F140" s="712">
        <v>4334</v>
      </c>
      <c r="G140" s="549">
        <f t="shared" si="15"/>
        <v>0</v>
      </c>
      <c r="H140" s="536">
        <f>G140+'[4]3'!H140</f>
        <v>0</v>
      </c>
      <c r="I140" s="619"/>
      <c r="J140" s="629">
        <f>H140/DAY(B2)</f>
        <v>0</v>
      </c>
      <c r="N140" s="413"/>
    </row>
    <row r="141" spans="1:14">
      <c r="A141" s="1468" t="s">
        <v>250</v>
      </c>
      <c r="B141" s="1469"/>
      <c r="C141" s="1401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433" t="s">
        <v>251</v>
      </c>
      <c r="B142" s="1434"/>
      <c r="C142" s="1435"/>
      <c r="D142" s="599" t="s">
        <v>132</v>
      </c>
      <c r="E142" s="599"/>
      <c r="F142" s="715"/>
      <c r="G142" s="536">
        <f>G35+G43+G49+G57</f>
        <v>5721.6599999999908</v>
      </c>
      <c r="H142" s="536">
        <f>G142+'[4]3'!H142</f>
        <v>23250.120000000068</v>
      </c>
      <c r="I142" s="556"/>
      <c r="J142" s="629">
        <f>H142/DAY(B2)</f>
        <v>5812.530000000017</v>
      </c>
      <c r="K142" s="411"/>
      <c r="L142" s="408"/>
      <c r="N142" s="413"/>
    </row>
    <row r="143" spans="1:14" ht="27.75">
      <c r="A143" s="1433" t="s">
        <v>252</v>
      </c>
      <c r="B143" s="1434"/>
      <c r="C143" s="1435"/>
      <c r="D143" s="599" t="s">
        <v>24</v>
      </c>
      <c r="E143" s="587"/>
      <c r="F143" s="720"/>
      <c r="G143" s="620">
        <f>G142/G7</f>
        <v>0.28908953112368585</v>
      </c>
      <c r="H143" s="536">
        <f>G143+'[4]3'!H143</f>
        <v>0.90054097466374305</v>
      </c>
      <c r="I143" s="621"/>
      <c r="J143" s="629">
        <f>H143/DAY(B2)</f>
        <v>0.22513524366593576</v>
      </c>
      <c r="K143" s="411"/>
      <c r="L143" s="408"/>
      <c r="N143" s="413"/>
    </row>
    <row r="144" spans="1:14" ht="27.75">
      <c r="A144" s="1433" t="s">
        <v>253</v>
      </c>
      <c r="B144" s="1434"/>
      <c r="C144" s="1435"/>
      <c r="D144" s="599" t="s">
        <v>132</v>
      </c>
      <c r="E144" s="531"/>
      <c r="F144" s="710"/>
      <c r="G144" s="536">
        <f>G41+G42+G55+G56</f>
        <v>4227.2200000000594</v>
      </c>
      <c r="H144" s="536">
        <f>G144+'[4]3'!H144</f>
        <v>20534.059999999969</v>
      </c>
      <c r="I144" s="556"/>
      <c r="J144" s="629">
        <f>H144/DAY(B2)</f>
        <v>5133.5149999999921</v>
      </c>
      <c r="K144" s="411"/>
      <c r="L144" s="408"/>
      <c r="N144" s="413"/>
    </row>
    <row r="145" spans="1:14" ht="27.75">
      <c r="A145" s="1433" t="s">
        <v>254</v>
      </c>
      <c r="B145" s="1434"/>
      <c r="C145" s="1435"/>
      <c r="D145" s="599" t="s">
        <v>24</v>
      </c>
      <c r="E145" s="531"/>
      <c r="F145" s="710"/>
      <c r="G145" s="620">
        <f>G144/G7</f>
        <v>0.21358225545675319</v>
      </c>
      <c r="H145" s="536">
        <f>G145+'[4]3'!H145</f>
        <v>0.95528197625623879</v>
      </c>
      <c r="I145" s="621"/>
      <c r="J145" s="629">
        <f>H145/DAY(B2)</f>
        <v>0.2388204940640597</v>
      </c>
      <c r="K145" s="411"/>
      <c r="L145" s="408"/>
      <c r="N145" s="413"/>
    </row>
    <row r="146" spans="1:14" ht="27.75">
      <c r="A146" s="1433" t="s">
        <v>255</v>
      </c>
      <c r="B146" s="1434"/>
      <c r="C146" s="1435"/>
      <c r="D146" s="599" t="s">
        <v>132</v>
      </c>
      <c r="E146" s="531"/>
      <c r="F146" s="710"/>
      <c r="G146" s="536">
        <f>G39+G53</f>
        <v>4163.2299999999814</v>
      </c>
      <c r="H146" s="536">
        <f>G146+'[4]3'!H146</f>
        <v>17217.37999999999</v>
      </c>
      <c r="I146" s="622"/>
      <c r="J146" s="629">
        <f>H146/DAY(B2)</f>
        <v>4304.3449999999975</v>
      </c>
      <c r="K146" s="411"/>
      <c r="L146" s="408"/>
      <c r="N146" s="413"/>
    </row>
    <row r="147" spans="1:14" ht="27.75">
      <c r="A147" s="1433" t="s">
        <v>256</v>
      </c>
      <c r="B147" s="1434"/>
      <c r="C147" s="1435"/>
      <c r="D147" s="599" t="s">
        <v>24</v>
      </c>
      <c r="E147" s="531"/>
      <c r="F147" s="710"/>
      <c r="G147" s="620">
        <f>G146/G7</f>
        <v>0.21034913096200392</v>
      </c>
      <c r="H147" s="536">
        <f>G147+'[4]3'!H147</f>
        <v>0.80522693156896208</v>
      </c>
      <c r="I147" s="622"/>
      <c r="J147" s="629">
        <f>H147/DAY(B2)</f>
        <v>0.20130673289224052</v>
      </c>
      <c r="N147" s="413"/>
    </row>
    <row r="148" spans="1:14" ht="27.75">
      <c r="A148" s="1433" t="s">
        <v>257</v>
      </c>
      <c r="B148" s="1434"/>
      <c r="C148" s="1435"/>
      <c r="D148" s="599" t="s">
        <v>183</v>
      </c>
      <c r="E148" s="531"/>
      <c r="F148" s="710"/>
      <c r="G148" s="536">
        <f>G38+G52</f>
        <v>2010.8200000000143</v>
      </c>
      <c r="H148" s="536">
        <f>G148+'[4]3'!H148</f>
        <v>8412.7999999999811</v>
      </c>
      <c r="I148" s="556"/>
      <c r="J148" s="629">
        <f>H148/DAY(B2)</f>
        <v>2103.1999999999953</v>
      </c>
      <c r="K148" s="412"/>
      <c r="N148" s="413"/>
    </row>
    <row r="149" spans="1:14" ht="27.75">
      <c r="A149" s="1433" t="s">
        <v>258</v>
      </c>
      <c r="B149" s="1434"/>
      <c r="C149" s="1435"/>
      <c r="D149" s="599" t="s">
        <v>24</v>
      </c>
      <c r="E149" s="531"/>
      <c r="F149" s="710"/>
      <c r="G149" s="620">
        <f>G148/G7</f>
        <v>0.10159761519806054</v>
      </c>
      <c r="H149" s="536">
        <f>G149+'[4]3'!H149</f>
        <v>0.3934309773868504</v>
      </c>
      <c r="I149" s="622"/>
      <c r="J149" s="629">
        <f>H149/DAY(B2)</f>
        <v>9.83577443467126E-2</v>
      </c>
      <c r="N149" s="413"/>
    </row>
    <row r="150" spans="1:14" ht="27.75">
      <c r="A150" s="1433" t="s">
        <v>259</v>
      </c>
      <c r="B150" s="1434"/>
      <c r="C150" s="1435"/>
      <c r="D150" s="599" t="s">
        <v>183</v>
      </c>
      <c r="E150" s="531"/>
      <c r="F150" s="710"/>
      <c r="G150" s="536">
        <f>G36+G50</f>
        <v>1651.820000000007</v>
      </c>
      <c r="H150" s="536">
        <f>G150+'[4]3'!H150</f>
        <v>8008.3999999999651</v>
      </c>
      <c r="I150" s="622"/>
      <c r="J150" s="629">
        <f>H150/DAY(B2)</f>
        <v>2002.0999999999913</v>
      </c>
      <c r="N150" s="413"/>
    </row>
    <row r="151" spans="1:14" ht="27.75">
      <c r="A151" s="1433" t="s">
        <v>260</v>
      </c>
      <c r="B151" s="1434"/>
      <c r="C151" s="1435"/>
      <c r="D151" s="599" t="s">
        <v>24</v>
      </c>
      <c r="E151" s="531"/>
      <c r="F151" s="710"/>
      <c r="G151" s="620">
        <f>G150/G7</f>
        <v>8.3458973322554919E-2</v>
      </c>
      <c r="H151" s="536">
        <f>G151+'[4]3'!H151</f>
        <v>0.37196333730757181</v>
      </c>
      <c r="I151" s="556"/>
      <c r="J151" s="629">
        <f>H151/DAY(B2)</f>
        <v>9.2990834326892952E-2</v>
      </c>
      <c r="N151" s="413"/>
    </row>
    <row r="152" spans="1:14" ht="27.75">
      <c r="A152" s="1433" t="s">
        <v>261</v>
      </c>
      <c r="B152" s="1434"/>
      <c r="C152" s="1435"/>
      <c r="D152" s="599" t="s">
        <v>183</v>
      </c>
      <c r="E152" s="531"/>
      <c r="F152" s="710"/>
      <c r="G152" s="536">
        <f>G37+G51</f>
        <v>1488.3800000000047</v>
      </c>
      <c r="H152" s="536">
        <f>G152+'[4]3'!H152</f>
        <v>5865.1600000000035</v>
      </c>
      <c r="I152" s="556"/>
      <c r="J152" s="629">
        <f>H152/DAY(B2)</f>
        <v>1466.2900000000009</v>
      </c>
      <c r="N152" s="413"/>
    </row>
    <row r="153" spans="1:14" ht="28.5" thickBot="1">
      <c r="A153" s="1465" t="s">
        <v>262</v>
      </c>
      <c r="B153" s="1466"/>
      <c r="C153" s="1467"/>
      <c r="D153" s="702" t="s">
        <v>24</v>
      </c>
      <c r="E153" s="642"/>
      <c r="F153" s="731"/>
      <c r="G153" s="643">
        <f>G152/G7</f>
        <v>7.5201091350040661E-2</v>
      </c>
      <c r="H153" s="536">
        <f>G153+'[4]3'!H153</f>
        <v>0.27467490919108833</v>
      </c>
      <c r="I153" s="645"/>
      <c r="J153" s="646">
        <f>H153/DAY(B2)</f>
        <v>6.8668727297772084E-2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83" t="s">
        <v>267</v>
      </c>
      <c r="B157" s="1484"/>
      <c r="C157" s="1484"/>
      <c r="D157" s="1484"/>
      <c r="E157" s="1484"/>
      <c r="F157" s="1484"/>
      <c r="G157" s="1485"/>
    </row>
    <row r="158" spans="1:14">
      <c r="A158" s="867"/>
      <c r="B158" s="868"/>
      <c r="C158" s="868"/>
      <c r="D158" s="587"/>
      <c r="E158" s="531"/>
      <c r="F158" s="739"/>
      <c r="G158" s="549"/>
    </row>
    <row r="159" spans="1:14">
      <c r="A159" s="867"/>
      <c r="B159" s="868"/>
      <c r="C159" s="868"/>
      <c r="D159" s="587"/>
      <c r="E159" s="531"/>
      <c r="F159" s="739"/>
      <c r="G159" s="549"/>
    </row>
    <row r="160" spans="1:14">
      <c r="A160" s="867" t="s">
        <v>263</v>
      </c>
      <c r="B160" s="868"/>
      <c r="C160" s="868"/>
      <c r="D160" s="587" t="s">
        <v>187</v>
      </c>
      <c r="E160" s="739">
        <v>31052.720000000001</v>
      </c>
      <c r="F160" s="739">
        <v>31136</v>
      </c>
      <c r="G160" s="549">
        <f t="shared" ref="G160:G171" si="16">F160-E160</f>
        <v>83.279999999998836</v>
      </c>
    </row>
    <row r="161" spans="1:7">
      <c r="A161" s="867" t="s">
        <v>264</v>
      </c>
      <c r="B161" s="868"/>
      <c r="C161" s="868"/>
      <c r="D161" s="587" t="s">
        <v>187</v>
      </c>
      <c r="E161" s="739">
        <v>56464.34</v>
      </c>
      <c r="F161" s="739">
        <v>56888</v>
      </c>
      <c r="G161" s="549">
        <f t="shared" si="16"/>
        <v>423.66000000000349</v>
      </c>
    </row>
    <row r="162" spans="1:7">
      <c r="A162" s="867" t="s">
        <v>265</v>
      </c>
      <c r="B162" s="868"/>
      <c r="C162" s="868"/>
      <c r="D162" s="587" t="s">
        <v>187</v>
      </c>
      <c r="E162" s="739">
        <v>21416</v>
      </c>
      <c r="F162" s="739">
        <v>21692</v>
      </c>
      <c r="G162" s="549">
        <f t="shared" si="16"/>
        <v>276</v>
      </c>
    </row>
    <row r="163" spans="1:7">
      <c r="A163" s="867" t="s">
        <v>266</v>
      </c>
      <c r="B163" s="868"/>
      <c r="C163" s="868"/>
      <c r="D163" s="587" t="s">
        <v>187</v>
      </c>
      <c r="E163" s="739">
        <v>5473.49</v>
      </c>
      <c r="F163" s="739">
        <v>5483</v>
      </c>
      <c r="G163" s="549">
        <f t="shared" si="16"/>
        <v>9.5100000000002183</v>
      </c>
    </row>
    <row r="164" spans="1:7">
      <c r="A164" s="869" t="s">
        <v>98</v>
      </c>
      <c r="B164" s="681"/>
      <c r="C164" s="681"/>
      <c r="D164" s="587" t="s">
        <v>187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69" t="s">
        <v>188</v>
      </c>
      <c r="B165" s="681"/>
      <c r="C165" s="681"/>
      <c r="D165" s="587" t="s">
        <v>187</v>
      </c>
      <c r="E165" s="590">
        <v>1745.37</v>
      </c>
      <c r="F165" s="590">
        <f t="shared" ref="F165:F171" si="17">F63</f>
        <v>1760</v>
      </c>
      <c r="G165" s="549">
        <f t="shared" si="16"/>
        <v>14.630000000000109</v>
      </c>
    </row>
    <row r="166" spans="1:7" ht="25.5" customHeight="1">
      <c r="A166" s="1482" t="s">
        <v>99</v>
      </c>
      <c r="B166" s="1482"/>
      <c r="C166" s="1482"/>
      <c r="D166" s="599" t="s">
        <v>187</v>
      </c>
      <c r="E166" s="590">
        <v>125180.16</v>
      </c>
      <c r="F166" s="590">
        <f t="shared" si="17"/>
        <v>125668</v>
      </c>
      <c r="G166" s="549">
        <f t="shared" si="16"/>
        <v>487.83999999999651</v>
      </c>
    </row>
    <row r="167" spans="1:7" ht="24.75" customHeight="1">
      <c r="A167" s="1482" t="s">
        <v>100</v>
      </c>
      <c r="B167" s="1482"/>
      <c r="C167" s="1482"/>
      <c r="D167" s="599" t="s">
        <v>187</v>
      </c>
      <c r="E167" s="590">
        <f t="shared" ref="E167:E171" si="18">E65</f>
        <v>133770.84</v>
      </c>
      <c r="F167" s="590">
        <f t="shared" si="17"/>
        <v>134126</v>
      </c>
      <c r="G167" s="549">
        <f t="shared" si="16"/>
        <v>355.16000000000349</v>
      </c>
    </row>
    <row r="168" spans="1:7" ht="28.5" customHeight="1">
      <c r="A168" s="1482" t="s">
        <v>101</v>
      </c>
      <c r="B168" s="1482"/>
      <c r="C168" s="1482"/>
      <c r="D168" s="599" t="s">
        <v>187</v>
      </c>
      <c r="E168" s="590">
        <f t="shared" si="18"/>
        <v>26413.93</v>
      </c>
      <c r="F168" s="590">
        <f t="shared" si="17"/>
        <v>26815</v>
      </c>
      <c r="G168" s="549">
        <f t="shared" si="16"/>
        <v>401.06999999999971</v>
      </c>
    </row>
    <row r="169" spans="1:7" ht="24.75" customHeight="1">
      <c r="A169" s="1482" t="s">
        <v>102</v>
      </c>
      <c r="B169" s="1482"/>
      <c r="C169" s="1482"/>
      <c r="D169" s="599" t="s">
        <v>187</v>
      </c>
      <c r="E169" s="590">
        <f t="shared" si="18"/>
        <v>209908.33</v>
      </c>
      <c r="F169" s="590">
        <f t="shared" si="17"/>
        <v>210580</v>
      </c>
      <c r="G169" s="549">
        <f t="shared" si="16"/>
        <v>671.67000000001281</v>
      </c>
    </row>
    <row r="170" spans="1:7" ht="24" customHeight="1">
      <c r="A170" s="1482" t="s">
        <v>103</v>
      </c>
      <c r="B170" s="1482"/>
      <c r="C170" s="1482"/>
      <c r="D170" s="599" t="s">
        <v>187</v>
      </c>
      <c r="E170" s="590">
        <f t="shared" si="18"/>
        <v>73751.149999999994</v>
      </c>
      <c r="F170" s="590">
        <f t="shared" si="17"/>
        <v>74083</v>
      </c>
      <c r="G170" s="549">
        <f t="shared" si="16"/>
        <v>331.85000000000582</v>
      </c>
    </row>
    <row r="171" spans="1:7" ht="27.75">
      <c r="A171" s="1482" t="s">
        <v>104</v>
      </c>
      <c r="B171" s="1482"/>
      <c r="C171" s="1482"/>
      <c r="D171" s="599" t="s">
        <v>187</v>
      </c>
      <c r="E171" s="590">
        <f t="shared" si="18"/>
        <v>65425.09</v>
      </c>
      <c r="F171" s="590">
        <f t="shared" si="17"/>
        <v>65740</v>
      </c>
      <c r="G171" s="549">
        <f t="shared" si="16"/>
        <v>314.91000000000349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G35" sqref="G35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356</v>
      </c>
      <c r="B2" s="1117">
        <v>44260</v>
      </c>
      <c r="C2" s="1231" t="s">
        <v>69</v>
      </c>
      <c r="D2" s="688">
        <v>0.48</v>
      </c>
      <c r="E2" s="537"/>
      <c r="F2" s="70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1" t="s">
        <v>120</v>
      </c>
      <c r="D3" s="689">
        <v>28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1" t="s">
        <v>122</v>
      </c>
      <c r="D4" s="688">
        <v>0.78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709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48" t="s">
        <v>130</v>
      </c>
      <c r="B6" s="1449"/>
      <c r="C6" s="1450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131</v>
      </c>
      <c r="B7" s="758"/>
      <c r="C7" s="758"/>
      <c r="D7" s="715" t="s">
        <v>357</v>
      </c>
      <c r="E7" s="710">
        <f>'4'!F7</f>
        <v>4530754</v>
      </c>
      <c r="F7" s="1339">
        <v>4551145</v>
      </c>
      <c r="G7" s="1344">
        <f>F7-E7</f>
        <v>20391</v>
      </c>
      <c r="H7" s="760">
        <f>G7+'4'!H7</f>
        <v>106068</v>
      </c>
      <c r="I7" s="761">
        <f>'1'!I7</f>
        <v>12000</v>
      </c>
      <c r="J7" s="762">
        <f>H7/DAY(B2)</f>
        <v>21213.599999999999</v>
      </c>
      <c r="K7" s="626"/>
      <c r="L7" s="408"/>
      <c r="N7" s="413"/>
      <c r="O7" s="413"/>
    </row>
    <row r="8" spans="1:15" ht="27.75" thickBot="1">
      <c r="A8" s="763" t="s">
        <v>133</v>
      </c>
      <c r="B8" s="764"/>
      <c r="C8" s="765"/>
      <c r="D8" s="766" t="s">
        <v>25</v>
      </c>
      <c r="E8" s="710">
        <f>'4'!F8</f>
        <v>4559427</v>
      </c>
      <c r="F8" s="1340">
        <v>4579962</v>
      </c>
      <c r="G8" s="1344">
        <f t="shared" ref="G8:G9" si="0">F8-E8</f>
        <v>20535</v>
      </c>
      <c r="H8" s="760">
        <f>G8+'4'!H8</f>
        <v>106806</v>
      </c>
      <c r="I8" s="767">
        <v>12000</v>
      </c>
      <c r="J8" s="762">
        <f>H8/DAY(B2)</f>
        <v>21361.200000000001</v>
      </c>
      <c r="K8" s="626"/>
      <c r="L8" s="464"/>
      <c r="M8" s="479"/>
      <c r="N8" s="784"/>
      <c r="O8" s="413"/>
    </row>
    <row r="9" spans="1:15">
      <c r="A9" s="768" t="s">
        <v>134</v>
      </c>
      <c r="B9" s="769"/>
      <c r="C9" s="769"/>
      <c r="D9" s="715" t="s">
        <v>132</v>
      </c>
      <c r="E9" s="712">
        <f>'4'!F9</f>
        <v>124354</v>
      </c>
      <c r="F9" s="1336">
        <v>124353.81</v>
      </c>
      <c r="G9" s="1344">
        <f t="shared" si="0"/>
        <v>-0.19000000000232831</v>
      </c>
      <c r="H9" s="760">
        <f>G9+'4'!H9</f>
        <v>37444.800000000003</v>
      </c>
      <c r="I9" s="771">
        <f>I8-J8</f>
        <v>-9361.2000000000007</v>
      </c>
      <c r="J9" s="762">
        <f>H9/DAY(B2)</f>
        <v>7488.9600000000009</v>
      </c>
      <c r="K9" s="467"/>
      <c r="L9" s="408"/>
      <c r="N9" s="413"/>
      <c r="O9" s="413"/>
    </row>
    <row r="10" spans="1:15">
      <c r="A10" s="757" t="s">
        <v>135</v>
      </c>
      <c r="B10" s="758"/>
      <c r="C10" s="758"/>
      <c r="D10" s="715" t="s">
        <v>132</v>
      </c>
      <c r="E10" s="712">
        <f>'4'!F10</f>
        <v>71239</v>
      </c>
      <c r="F10" s="1336">
        <v>90883.22</v>
      </c>
      <c r="G10" s="1344">
        <f>F10-E10</f>
        <v>19644.22</v>
      </c>
      <c r="H10" s="760">
        <f>G10+'4'!H10</f>
        <v>65187.66</v>
      </c>
      <c r="I10" s="772"/>
      <c r="J10" s="762">
        <f>H10/DAY(B2)</f>
        <v>13037.532000000001</v>
      </c>
      <c r="K10" s="467"/>
      <c r="L10" s="408"/>
      <c r="N10" s="413">
        <v>108</v>
      </c>
      <c r="O10" s="413"/>
    </row>
    <row r="11" spans="1:15">
      <c r="A11" s="757" t="s">
        <v>136</v>
      </c>
      <c r="B11" s="758"/>
      <c r="C11" s="758"/>
      <c r="D11" s="715" t="s">
        <v>132</v>
      </c>
      <c r="E11" s="710">
        <f>'4'!F11</f>
        <v>37000</v>
      </c>
      <c r="F11" s="1339">
        <v>35000</v>
      </c>
      <c r="G11" s="1344">
        <f>F11-E11</f>
        <v>-2000</v>
      </c>
      <c r="H11" s="760">
        <f>G11+'4'!H11</f>
        <v>-2000</v>
      </c>
      <c r="I11" s="772"/>
      <c r="J11" s="762">
        <f>H11/DAY(B2)</f>
        <v>-400</v>
      </c>
      <c r="K11" s="467"/>
      <c r="L11" s="408"/>
      <c r="N11" s="413">
        <v>28</v>
      </c>
      <c r="O11" s="413"/>
    </row>
    <row r="12" spans="1:15">
      <c r="A12" s="757" t="s">
        <v>137</v>
      </c>
      <c r="B12" s="758"/>
      <c r="C12" s="758"/>
      <c r="D12" s="715" t="s">
        <v>132</v>
      </c>
      <c r="E12" s="712">
        <f>'4'!F12</f>
        <v>40010</v>
      </c>
      <c r="F12" s="1336">
        <v>38010</v>
      </c>
      <c r="G12" s="1344">
        <f t="shared" ref="G12" si="1">F12-E12</f>
        <v>-2000</v>
      </c>
      <c r="H12" s="760">
        <f>G12+'4'!H12</f>
        <v>-2000</v>
      </c>
      <c r="I12" s="772"/>
      <c r="J12" s="762">
        <f>H12/DAY(B2)</f>
        <v>-400</v>
      </c>
      <c r="K12" s="467"/>
      <c r="L12" s="408"/>
      <c r="N12" s="413">
        <v>342</v>
      </c>
      <c r="O12" s="413"/>
    </row>
    <row r="13" spans="1:15">
      <c r="A13" s="773" t="s">
        <v>138</v>
      </c>
      <c r="B13" s="774"/>
      <c r="C13" s="774"/>
      <c r="D13" s="715"/>
      <c r="E13" s="710"/>
      <c r="F13" s="1339"/>
      <c r="G13" s="1344">
        <f>G9+G10+G11+G12</f>
        <v>15644.029999999999</v>
      </c>
      <c r="H13" s="760">
        <f>G13+'4'!H13</f>
        <v>98632.459999999992</v>
      </c>
      <c r="I13" s="776">
        <f>G7-G13</f>
        <v>4746.9700000000012</v>
      </c>
      <c r="J13" s="762">
        <f>H13/DAY(B2)</f>
        <v>19726.491999999998</v>
      </c>
      <c r="K13" s="467"/>
      <c r="L13" s="408"/>
      <c r="N13" s="413">
        <v>349</v>
      </c>
      <c r="O13" s="413"/>
    </row>
    <row r="14" spans="1:15">
      <c r="A14" s="1451" t="s">
        <v>139</v>
      </c>
      <c r="B14" s="1452"/>
      <c r="C14" s="1453"/>
      <c r="D14" s="548"/>
      <c r="E14" s="548"/>
      <c r="F14" s="1181"/>
      <c r="G14" s="1347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1342" t="s">
        <v>140</v>
      </c>
      <c r="B15" s="870"/>
      <c r="C15" s="870"/>
      <c r="D15" s="871" t="s">
        <v>141</v>
      </c>
      <c r="E15" s="1343">
        <f>'4'!F15</f>
        <v>1623467</v>
      </c>
      <c r="F15" s="1343">
        <v>1624360.64</v>
      </c>
      <c r="G15" s="1344">
        <f t="shared" ref="G15" si="2">F15-E15</f>
        <v>893.63999999989755</v>
      </c>
      <c r="H15" s="1345">
        <f>G15+'4'!H15</f>
        <v>4482.0299999997951</v>
      </c>
      <c r="I15" s="1183">
        <v>800</v>
      </c>
      <c r="J15" s="1346">
        <f>H15/DAY(B2)</f>
        <v>896.40599999995902</v>
      </c>
      <c r="K15" s="467"/>
      <c r="L15" s="408"/>
      <c r="N15" s="413"/>
      <c r="O15" s="413"/>
    </row>
    <row r="16" spans="1:15">
      <c r="A16" s="873"/>
      <c r="B16" s="874"/>
      <c r="C16" s="874"/>
      <c r="D16" s="871"/>
      <c r="E16" s="1343"/>
      <c r="F16" s="1343"/>
      <c r="G16" s="1344"/>
      <c r="H16" s="1345"/>
      <c r="I16" s="1179">
        <f>I15-J15</f>
        <v>-96.405999999959022</v>
      </c>
      <c r="J16" s="1346"/>
      <c r="K16" s="467"/>
      <c r="L16" s="408"/>
      <c r="N16" s="413"/>
      <c r="O16" s="413"/>
    </row>
    <row r="17" spans="1:15">
      <c r="A17" s="1451" t="s">
        <v>142</v>
      </c>
      <c r="B17" s="1452"/>
      <c r="C17" s="1453"/>
      <c r="D17" s="548"/>
      <c r="E17" s="548"/>
      <c r="F17" s="1181"/>
      <c r="G17" s="1345"/>
      <c r="H17" s="548"/>
      <c r="I17" s="548"/>
      <c r="J17" s="628"/>
      <c r="K17" s="467"/>
      <c r="L17" s="408"/>
      <c r="N17" s="413"/>
      <c r="O17" s="413"/>
    </row>
    <row r="18" spans="1:15" ht="27.75">
      <c r="A18" s="1486" t="s">
        <v>143</v>
      </c>
      <c r="B18" s="1487"/>
      <c r="C18" s="1488"/>
      <c r="D18" s="715" t="s">
        <v>144</v>
      </c>
      <c r="E18" s="712">
        <v>14</v>
      </c>
      <c r="F18" s="1336">
        <v>14</v>
      </c>
      <c r="G18" s="1344">
        <f>F18*10</f>
        <v>140</v>
      </c>
      <c r="H18" s="760">
        <f>G18+'4'!H18</f>
        <v>740</v>
      </c>
      <c r="I18" s="761">
        <f>'1'!I18</f>
        <v>65</v>
      </c>
      <c r="J18" s="762">
        <f>H18/DAY(B2)</f>
        <v>148</v>
      </c>
      <c r="K18" s="467"/>
      <c r="L18" s="408"/>
      <c r="N18" s="413"/>
      <c r="O18" s="413"/>
    </row>
    <row r="19" spans="1:15" ht="27.75">
      <c r="A19" s="1486" t="s">
        <v>71</v>
      </c>
      <c r="B19" s="1487"/>
      <c r="C19" s="1488"/>
      <c r="D19" s="715" t="s">
        <v>144</v>
      </c>
      <c r="E19" s="712">
        <f>'4'!F19</f>
        <v>134672</v>
      </c>
      <c r="F19" s="1336">
        <v>134723</v>
      </c>
      <c r="G19" s="1344">
        <f t="shared" ref="G19" si="3">F19-E19</f>
        <v>51</v>
      </c>
      <c r="H19" s="760">
        <f>G19+'4'!H19</f>
        <v>255</v>
      </c>
      <c r="I19" s="777"/>
      <c r="J19" s="762">
        <f>H19/DAY(B2)</f>
        <v>51</v>
      </c>
      <c r="K19" s="467"/>
      <c r="L19" s="408"/>
      <c r="N19" s="413"/>
      <c r="O19" s="413"/>
    </row>
    <row r="20" spans="1:15">
      <c r="A20" s="773" t="s">
        <v>145</v>
      </c>
      <c r="B20" s="774"/>
      <c r="C20" s="774"/>
      <c r="D20" s="715"/>
      <c r="E20" s="715"/>
      <c r="F20" s="715"/>
      <c r="G20" s="1348">
        <f>G18+G19</f>
        <v>191</v>
      </c>
      <c r="H20" s="760">
        <f>G20+'4'!H20</f>
        <v>995</v>
      </c>
      <c r="I20" s="779">
        <f>I18-J20</f>
        <v>-134</v>
      </c>
      <c r="J20" s="762">
        <f>H20/DAY(B2)</f>
        <v>199</v>
      </c>
      <c r="K20" s="467"/>
      <c r="L20" s="408"/>
      <c r="N20" s="413"/>
      <c r="O20" s="413"/>
    </row>
    <row r="21" spans="1:15">
      <c r="A21" s="1451" t="s">
        <v>146</v>
      </c>
      <c r="B21" s="1452"/>
      <c r="C21" s="1453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29" t="s">
        <v>147</v>
      </c>
      <c r="B22" s="666"/>
      <c r="C22" s="666"/>
      <c r="D22" s="599" t="s">
        <v>148</v>
      </c>
      <c r="E22" s="712">
        <v>2970</v>
      </c>
      <c r="F22" s="712">
        <v>2970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29" t="s">
        <v>149</v>
      </c>
      <c r="B23" s="666"/>
      <c r="C23" s="666"/>
      <c r="D23" s="599" t="s">
        <v>148</v>
      </c>
      <c r="E23" s="712">
        <v>2900</v>
      </c>
      <c r="F23" s="712">
        <v>2900</v>
      </c>
      <c r="G23" s="557">
        <v>0</v>
      </c>
      <c r="H23" s="536">
        <f>G23+'4'!H23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712">
        <v>4250</v>
      </c>
      <c r="F24" s="714">
        <v>4250</v>
      </c>
      <c r="G24" s="557">
        <v>0</v>
      </c>
      <c r="H24" s="536">
        <f>G24+'4'!H24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56" t="s">
        <v>151</v>
      </c>
      <c r="B25" s="1457"/>
      <c r="C25" s="1458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20535</v>
      </c>
      <c r="F27" s="577">
        <v>9</v>
      </c>
      <c r="G27" s="578">
        <f>E27*F27</f>
        <v>184815</v>
      </c>
      <c r="H27" s="536">
        <f>G27+'4'!H27</f>
        <v>961254</v>
      </c>
      <c r="I27" s="579"/>
      <c r="J27" s="629">
        <f>H27/DAY(B2)</f>
        <v>192250.8</v>
      </c>
      <c r="K27" s="404"/>
      <c r="L27" s="484"/>
      <c r="N27" s="41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780">
        <f>G15</f>
        <v>893.63999999989755</v>
      </c>
      <c r="F28" s="577">
        <v>43.5</v>
      </c>
      <c r="G28" s="578">
        <f>E28*F28</f>
        <v>38873.339999995544</v>
      </c>
      <c r="H28" s="536">
        <f>G28+'4'!H28</f>
        <v>214273.84319999054</v>
      </c>
      <c r="I28" s="581"/>
      <c r="J28" s="629">
        <f>H28/DAY(B2)</f>
        <v>42854.76863999811</v>
      </c>
      <c r="K28" s="404"/>
      <c r="L28" s="484"/>
      <c r="N28" s="41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0</v>
      </c>
      <c r="I29" s="581"/>
      <c r="J29" s="629">
        <f>H29/DAY(B2)</f>
        <v>0</v>
      </c>
      <c r="K29" s="404"/>
      <c r="L29" s="484"/>
      <c r="N29" s="41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716">
        <v>134</v>
      </c>
      <c r="G30" s="578">
        <f>E30*F30</f>
        <v>6834</v>
      </c>
      <c r="H30" s="536">
        <f>G30+'4'!H30</f>
        <v>51858</v>
      </c>
      <c r="I30" s="581"/>
      <c r="J30" s="629">
        <f>H30/DAY(B2)</f>
        <v>10371.6</v>
      </c>
      <c r="K30" s="404"/>
      <c r="L30" s="484"/>
      <c r="N30" s="41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780">
        <f>G18</f>
        <v>140</v>
      </c>
      <c r="F31" s="716">
        <v>80</v>
      </c>
      <c r="G31" s="578">
        <f>E31*F31</f>
        <v>11200</v>
      </c>
      <c r="H31" s="536">
        <f>G31+'4'!H31</f>
        <v>48640</v>
      </c>
      <c r="I31" s="581"/>
      <c r="J31" s="629">
        <f>H31/DAY(B2)</f>
        <v>9728</v>
      </c>
      <c r="K31" s="404"/>
      <c r="L31" s="484"/>
      <c r="N31" s="413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717"/>
      <c r="G32" s="584">
        <f>G27+G28+G29+G30+G31</f>
        <v>241722.33999999554</v>
      </c>
      <c r="H32" s="536">
        <f>G32+'4'!H32</f>
        <v>1276025.8431999907</v>
      </c>
      <c r="I32" s="585"/>
      <c r="J32" s="629">
        <f>H32/DAY(B2)</f>
        <v>255205.16863999813</v>
      </c>
      <c r="K32" s="404"/>
      <c r="L32" s="484"/>
      <c r="N32" s="413"/>
      <c r="O32" s="413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  <c r="O33" s="413"/>
    </row>
    <row r="34" spans="1:15">
      <c r="A34" s="675" t="s">
        <v>163</v>
      </c>
      <c r="B34" s="1234"/>
      <c r="C34" s="1234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'4'!F35</f>
        <v>706472</v>
      </c>
      <c r="F35" s="1329">
        <v>709840</v>
      </c>
      <c r="G35" s="549">
        <f t="shared" ref="G35:G46" si="5">F35-E35</f>
        <v>3368</v>
      </c>
      <c r="H35" s="536">
        <f>G35+'4'!H35</f>
        <v>16752.410000000033</v>
      </c>
      <c r="I35" s="531"/>
      <c r="J35" s="629">
        <f>H35/DAY(B2)</f>
        <v>3350.4820000000063</v>
      </c>
      <c r="K35" s="467"/>
      <c r="L35" s="408"/>
      <c r="N35" s="413"/>
      <c r="O35" s="413"/>
    </row>
    <row r="36" spans="1:15">
      <c r="A36" s="655" t="s">
        <v>165</v>
      </c>
      <c r="B36" s="656"/>
      <c r="C36" s="656"/>
      <c r="D36" s="599" t="s">
        <v>132</v>
      </c>
      <c r="E36" s="586">
        <f>'4'!F36</f>
        <v>299123</v>
      </c>
      <c r="F36" s="1329">
        <v>299700</v>
      </c>
      <c r="G36" s="549">
        <f t="shared" si="5"/>
        <v>577</v>
      </c>
      <c r="H36" s="536">
        <f>G36+'4'!H36</f>
        <v>3254.429999999993</v>
      </c>
      <c r="I36" s="531"/>
      <c r="J36" s="629">
        <f>H36/DAY(B2)</f>
        <v>650.8859999999986</v>
      </c>
      <c r="K36" s="467"/>
      <c r="L36" s="408"/>
      <c r="N36" s="705"/>
      <c r="O36" s="413"/>
    </row>
    <row r="37" spans="1:15">
      <c r="A37" s="655" t="s">
        <v>166</v>
      </c>
      <c r="B37" s="656"/>
      <c r="C37" s="656"/>
      <c r="D37" s="599" t="s">
        <v>132</v>
      </c>
      <c r="E37" s="586">
        <f>'4'!F37</f>
        <v>0</v>
      </c>
      <c r="F37" s="1329">
        <v>35167</v>
      </c>
      <c r="G37" s="549">
        <f t="shared" si="5"/>
        <v>35167</v>
      </c>
      <c r="H37" s="536">
        <f>G37+'4'!H37</f>
        <v>38272.080000000002</v>
      </c>
      <c r="I37" s="531"/>
      <c r="J37" s="629">
        <f>H37/DAY(B2)</f>
        <v>7654.4160000000002</v>
      </c>
      <c r="K37" s="467"/>
      <c r="L37" s="408"/>
      <c r="N37" s="706"/>
      <c r="O37" s="413"/>
    </row>
    <row r="38" spans="1:15">
      <c r="A38" s="655" t="s">
        <v>167</v>
      </c>
      <c r="B38" s="656"/>
      <c r="C38" s="656"/>
      <c r="D38" s="599" t="s">
        <v>132</v>
      </c>
      <c r="E38" s="545">
        <f>'4'!F38</f>
        <v>48334</v>
      </c>
      <c r="F38" s="1330">
        <v>48333</v>
      </c>
      <c r="G38" s="549">
        <f t="shared" si="5"/>
        <v>-1</v>
      </c>
      <c r="H38" s="536">
        <f>G38+'4'!H38</f>
        <v>4519.510000000002</v>
      </c>
      <c r="I38" s="531"/>
      <c r="J38" s="629">
        <f>H38/DAY(B2)</f>
        <v>903.90200000000038</v>
      </c>
      <c r="K38" s="467"/>
      <c r="L38" s="408"/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'4'!F39</f>
        <v>0</v>
      </c>
      <c r="F39" s="1329">
        <v>100066</v>
      </c>
      <c r="G39" s="549">
        <f t="shared" si="5"/>
        <v>100066</v>
      </c>
      <c r="H39" s="536">
        <f>G39+'4'!H39</f>
        <v>109458.89</v>
      </c>
      <c r="I39" s="531"/>
      <c r="J39" s="629">
        <f>H39/DAY(B2)</f>
        <v>21891.777999999998</v>
      </c>
      <c r="K39" s="467"/>
      <c r="L39" s="408"/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f>'4'!F40</f>
        <v>0.17</v>
      </c>
      <c r="F40" s="1329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'4'!F41</f>
        <v>63882</v>
      </c>
      <c r="F41" s="1329">
        <v>63881.74</v>
      </c>
      <c r="G41" s="549">
        <f t="shared" si="5"/>
        <v>-0.26000000000203727</v>
      </c>
      <c r="H41" s="536">
        <f>G41+'4'!H41</f>
        <v>-0.63000000000465661</v>
      </c>
      <c r="I41" s="531"/>
      <c r="J41" s="629">
        <f>H41/DAY(B2)</f>
        <v>-0.12600000000093131</v>
      </c>
      <c r="K41" s="467"/>
      <c r="L41" s="408"/>
      <c r="N41" s="413"/>
      <c r="O41" s="413"/>
    </row>
    <row r="42" spans="1:15">
      <c r="A42" s="655" t="s">
        <v>171</v>
      </c>
      <c r="B42" s="656"/>
      <c r="C42" s="656"/>
      <c r="D42" s="599" t="s">
        <v>132</v>
      </c>
      <c r="E42" s="586">
        <f>'4'!F42</f>
        <v>59129</v>
      </c>
      <c r="F42" s="1329">
        <v>59128</v>
      </c>
      <c r="G42" s="549">
        <f t="shared" si="5"/>
        <v>-1</v>
      </c>
      <c r="H42" s="536">
        <f>G42+'4'!H42</f>
        <v>-0.84999999999854481</v>
      </c>
      <c r="I42" s="531"/>
      <c r="J42" s="629">
        <f>H42/DAY(B2)</f>
        <v>-0.16999999999970897</v>
      </c>
      <c r="K42" s="467"/>
      <c r="L42" s="408"/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'4'!F43</f>
        <v>835764</v>
      </c>
      <c r="F43" s="1329">
        <v>838151</v>
      </c>
      <c r="G43" s="549">
        <f t="shared" si="5"/>
        <v>2387</v>
      </c>
      <c r="H43" s="536">
        <f>G43+'4'!H43</f>
        <v>12253.170000000042</v>
      </c>
      <c r="I43" s="531"/>
      <c r="J43" s="629">
        <f>H43/DAY(B2)</f>
        <v>2450.6340000000082</v>
      </c>
      <c r="K43" s="467"/>
      <c r="L43" s="408"/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'4'!F44</f>
        <v>0</v>
      </c>
      <c r="F44" s="1329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'4'!F45</f>
        <v>614</v>
      </c>
      <c r="F45" s="1329">
        <v>614</v>
      </c>
      <c r="G45" s="549">
        <f t="shared" si="5"/>
        <v>0</v>
      </c>
      <c r="H45" s="536">
        <f>G45+'4'!H45</f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'4'!F46</f>
        <v>187</v>
      </c>
      <c r="F46" s="1329">
        <v>187</v>
      </c>
      <c r="G46" s="549">
        <f t="shared" si="5"/>
        <v>0</v>
      </c>
      <c r="H46" s="536">
        <f>G46+'4'!H46</f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176</v>
      </c>
      <c r="B47" s="663"/>
      <c r="C47" s="663"/>
      <c r="D47" s="546"/>
      <c r="E47" s="587"/>
      <c r="F47" s="1331"/>
      <c r="G47" s="557">
        <f>G35+G36+G37+G38+G39+G40+G41+G42+G43+G44+G45+G46</f>
        <v>141562.74</v>
      </c>
      <c r="H47" s="536">
        <f>G47+'4'!H47</f>
        <v>184509.01000000007</v>
      </c>
      <c r="I47" s="531"/>
      <c r="J47" s="629">
        <f>H47/DAY(B2)</f>
        <v>36901.802000000011</v>
      </c>
      <c r="K47" s="467"/>
      <c r="L47" s="408"/>
      <c r="N47" s="413"/>
      <c r="O47" s="413"/>
    </row>
    <row r="48" spans="1:15">
      <c r="A48" s="675" t="s">
        <v>177</v>
      </c>
      <c r="B48" s="1234"/>
      <c r="C48" s="1234"/>
      <c r="D48" s="548"/>
      <c r="E48" s="547"/>
      <c r="F48" s="1332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'4'!F49</f>
        <v>260732</v>
      </c>
      <c r="F49" s="1329">
        <v>260732</v>
      </c>
      <c r="G49" s="549">
        <f t="shared" ref="G49:G58" si="6">F49-E49</f>
        <v>0</v>
      </c>
      <c r="H49" s="536">
        <f>G49+'4'!H49</f>
        <v>-0.13000000000465661</v>
      </c>
      <c r="I49" s="531"/>
      <c r="J49" s="629">
        <f>H49/DAY(B2)</f>
        <v>-2.6000000000931323E-2</v>
      </c>
      <c r="K49" s="467"/>
      <c r="L49" s="408"/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'4'!F50</f>
        <v>407794</v>
      </c>
      <c r="F50" s="1329">
        <v>408805</v>
      </c>
      <c r="G50" s="549">
        <f t="shared" si="6"/>
        <v>1011</v>
      </c>
      <c r="H50" s="536">
        <f>G50+'4'!H50</f>
        <v>6341.9699999999721</v>
      </c>
      <c r="I50" s="531"/>
      <c r="J50" s="629">
        <f>H50/DAY(B2)</f>
        <v>1268.3939999999943</v>
      </c>
      <c r="K50" s="467"/>
      <c r="L50" s="408"/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'4'!F51</f>
        <v>122811</v>
      </c>
      <c r="F51" s="1329">
        <v>124303</v>
      </c>
      <c r="G51" s="549">
        <f t="shared" si="6"/>
        <v>1492</v>
      </c>
      <c r="H51" s="536">
        <f>G51+'4'!H51</f>
        <v>4252.0800000000017</v>
      </c>
      <c r="I51" s="531"/>
      <c r="J51" s="629">
        <f>H51/DAY(B2)</f>
        <v>850.41600000000039</v>
      </c>
      <c r="K51" s="467"/>
      <c r="L51" s="408"/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'4'!F52</f>
        <v>511805</v>
      </c>
      <c r="F52" s="1329">
        <v>513628</v>
      </c>
      <c r="G52" s="549">
        <f t="shared" si="6"/>
        <v>1823</v>
      </c>
      <c r="H52" s="536">
        <f>G52+'4'!H52</f>
        <v>5715.289999999979</v>
      </c>
      <c r="I52" s="531"/>
      <c r="J52" s="629">
        <f>H52/DAY(B2)</f>
        <v>1143.0579999999959</v>
      </c>
      <c r="K52" s="467"/>
      <c r="L52" s="408"/>
      <c r="N52" s="413"/>
      <c r="O52" s="413"/>
    </row>
    <row r="53" spans="1:15">
      <c r="A53" s="655" t="s">
        <v>168</v>
      </c>
      <c r="B53" s="678"/>
      <c r="C53" s="678"/>
      <c r="D53" s="599" t="s">
        <v>132</v>
      </c>
      <c r="E53" s="586">
        <f>'4'!F53</f>
        <v>339679</v>
      </c>
      <c r="F53" s="1329">
        <v>343944</v>
      </c>
      <c r="G53" s="549">
        <f t="shared" si="6"/>
        <v>4265</v>
      </c>
      <c r="H53" s="536">
        <f>G53+'4'!H53</f>
        <v>12089.489999999991</v>
      </c>
      <c r="I53" s="531"/>
      <c r="J53" s="629">
        <f>H53/DAY(B2)</f>
        <v>2417.8979999999983</v>
      </c>
      <c r="K53" s="467"/>
      <c r="L53" s="408"/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'4'!F54</f>
        <v>8200</v>
      </c>
      <c r="F54" s="1329">
        <v>8200</v>
      </c>
      <c r="G54" s="549">
        <f t="shared" si="6"/>
        <v>0</v>
      </c>
      <c r="H54" s="536">
        <f>G54+'4'!H54</f>
        <v>104.36999999999989</v>
      </c>
      <c r="I54" s="531"/>
      <c r="J54" s="629">
        <f>H54/DAY(B2)</f>
        <v>20.873999999999977</v>
      </c>
      <c r="K54" s="467"/>
      <c r="L54" s="408"/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'4'!F55</f>
        <v>135614</v>
      </c>
      <c r="F55" s="1341">
        <v>140538</v>
      </c>
      <c r="G55" s="549">
        <f t="shared" si="6"/>
        <v>4924</v>
      </c>
      <c r="H55" s="536">
        <f>G55+'4'!H55</f>
        <v>22952.309999999998</v>
      </c>
      <c r="I55" s="531"/>
      <c r="J55" s="629">
        <f>H55/DAY(B2)</f>
        <v>4590.4619999999995</v>
      </c>
      <c r="K55" s="467"/>
      <c r="L55" s="408"/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'4'!F56</f>
        <v>588557</v>
      </c>
      <c r="F56" s="1341">
        <v>588535</v>
      </c>
      <c r="G56" s="549">
        <f t="shared" si="6"/>
        <v>-22</v>
      </c>
      <c r="H56" s="536">
        <f>G56+'4'!H56</f>
        <v>2483.9699999999721</v>
      </c>
      <c r="I56" s="531"/>
      <c r="J56" s="629">
        <f>H56/DAY(B2)</f>
        <v>496.79399999999441</v>
      </c>
      <c r="K56" s="466"/>
      <c r="L56" s="408"/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'4'!F57</f>
        <v>7711</v>
      </c>
      <c r="F57" s="1329">
        <v>7711</v>
      </c>
      <c r="G57" s="549">
        <f t="shared" si="6"/>
        <v>0</v>
      </c>
      <c r="H57" s="536">
        <f>G57+'4'!H57</f>
        <v>-0.32999999999992724</v>
      </c>
      <c r="I57" s="531"/>
      <c r="J57" s="629">
        <f>H57/DAY(B2)</f>
        <v>-6.5999999999985445E-2</v>
      </c>
      <c r="K57" s="467"/>
      <c r="L57" s="408"/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'4'!F58</f>
        <v>36665</v>
      </c>
      <c r="F58" s="1333">
        <v>36874</v>
      </c>
      <c r="G58" s="549">
        <f t="shared" si="6"/>
        <v>209</v>
      </c>
      <c r="H58" s="536">
        <f>G58+'4'!H58</f>
        <v>1005.3000000000029</v>
      </c>
      <c r="I58" s="531"/>
      <c r="J58" s="629">
        <f>H58/DAY(B2)</f>
        <v>201.06000000000057</v>
      </c>
      <c r="K58" s="467"/>
      <c r="L58" s="408"/>
      <c r="N58" s="413"/>
      <c r="O58" s="413"/>
    </row>
    <row r="59" spans="1:15">
      <c r="A59" s="662" t="s">
        <v>176</v>
      </c>
      <c r="B59" s="663"/>
      <c r="C59" s="663"/>
      <c r="D59" s="587"/>
      <c r="E59" s="587"/>
      <c r="F59" s="1331"/>
      <c r="G59" s="557">
        <f>G49+G50+G51+G52+G53+G54+G55+G56+G57+G58</f>
        <v>13702</v>
      </c>
      <c r="H59" s="536">
        <f>G59+'4'!H59</f>
        <v>54944.319999999912</v>
      </c>
      <c r="I59" s="531">
        <f>G7-G60</f>
        <v>-134873.74</v>
      </c>
      <c r="J59" s="629">
        <f>H59/DAY(B2)</f>
        <v>10988.863999999983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185</v>
      </c>
      <c r="E60" s="587"/>
      <c r="F60" s="1331"/>
      <c r="G60" s="557">
        <f>G47+G59</f>
        <v>155264.74</v>
      </c>
      <c r="H60" s="536">
        <f>G60+'4'!H60</f>
        <v>239453.32999999996</v>
      </c>
      <c r="I60" s="531">
        <f>G13-G60</f>
        <v>-139620.71</v>
      </c>
      <c r="J60" s="629">
        <f>H60/DAY(B2)</f>
        <v>47890.66599999999</v>
      </c>
      <c r="K60" s="467"/>
      <c r="L60" s="408"/>
      <c r="N60" s="413"/>
      <c r="O60" s="413"/>
    </row>
    <row r="61" spans="1:15">
      <c r="A61" s="679" t="s">
        <v>186</v>
      </c>
      <c r="B61" s="529"/>
      <c r="C61" s="529"/>
      <c r="D61" s="589"/>
      <c r="E61" s="588"/>
      <c r="F61" s="1334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'4'!F62</f>
        <v>20419.187999999998</v>
      </c>
      <c r="F62" s="1335">
        <v>20419</v>
      </c>
      <c r="G62" s="549">
        <f t="shared" ref="G62:G69" si="7">F62-E62</f>
        <v>-0.18799999999828287</v>
      </c>
      <c r="H62" s="536">
        <f>G62+'4'!H62</f>
        <v>-0.18700000000171713</v>
      </c>
      <c r="I62" s="591"/>
      <c r="J62" s="629">
        <f>H62/DAY(B2)</f>
        <v>-3.7400000000343422E-2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'4'!F63</f>
        <v>1760</v>
      </c>
      <c r="F63" s="1335">
        <v>1771</v>
      </c>
      <c r="G63" s="549">
        <f t="shared" si="7"/>
        <v>11</v>
      </c>
      <c r="H63" s="536">
        <f>G63+'4'!H63</f>
        <v>63.6400000000001</v>
      </c>
      <c r="I63" s="591"/>
      <c r="J63" s="629">
        <f>H63/DAY(B2)</f>
        <v>12.728000000000019</v>
      </c>
      <c r="K63" s="467"/>
      <c r="L63" s="408"/>
      <c r="N63" s="413"/>
      <c r="O63" s="413"/>
    </row>
    <row r="64" spans="1:15" ht="27.75">
      <c r="A64" s="1430" t="s">
        <v>99</v>
      </c>
      <c r="B64" s="1431"/>
      <c r="C64" s="1432"/>
      <c r="D64" s="599" t="s">
        <v>187</v>
      </c>
      <c r="E64" s="560">
        <f>'4'!F64</f>
        <v>125668</v>
      </c>
      <c r="F64" s="1336">
        <v>126210</v>
      </c>
      <c r="G64" s="549">
        <f t="shared" si="7"/>
        <v>542</v>
      </c>
      <c r="H64" s="536">
        <f>G64+'4'!H64</f>
        <v>2582.6999999999971</v>
      </c>
      <c r="I64" s="556"/>
      <c r="J64" s="629">
        <f>H64/DAY(B2)</f>
        <v>516.5399999999994</v>
      </c>
      <c r="K64" s="467"/>
      <c r="L64" s="408"/>
      <c r="N64" s="413"/>
      <c r="O64" s="413"/>
    </row>
    <row r="65" spans="1:15" ht="27.75">
      <c r="A65" s="1430" t="s">
        <v>100</v>
      </c>
      <c r="B65" s="1431"/>
      <c r="C65" s="1432"/>
      <c r="D65" s="599" t="s">
        <v>187</v>
      </c>
      <c r="E65" s="560">
        <f>'4'!F65</f>
        <v>134126</v>
      </c>
      <c r="F65" s="1337">
        <v>134499</v>
      </c>
      <c r="G65" s="549">
        <f t="shared" si="7"/>
        <v>373</v>
      </c>
      <c r="H65" s="536">
        <f>G65+'4'!H65</f>
        <v>1901.7000000000116</v>
      </c>
      <c r="I65" s="565"/>
      <c r="J65" s="629">
        <f>H65/DAY(B2)</f>
        <v>380.34000000000231</v>
      </c>
      <c r="K65" s="467"/>
      <c r="L65" s="408"/>
      <c r="N65" s="413"/>
      <c r="O65" s="413"/>
    </row>
    <row r="66" spans="1:15" ht="27.75">
      <c r="A66" s="1430" t="s">
        <v>101</v>
      </c>
      <c r="B66" s="1431"/>
      <c r="C66" s="1432"/>
      <c r="D66" s="599" t="s">
        <v>187</v>
      </c>
      <c r="E66" s="560">
        <f>'4'!F66</f>
        <v>26815</v>
      </c>
      <c r="F66" s="1336">
        <v>27210</v>
      </c>
      <c r="G66" s="549">
        <f t="shared" si="7"/>
        <v>395</v>
      </c>
      <c r="H66" s="536">
        <f>G66+'4'!H66</f>
        <v>2050.25</v>
      </c>
      <c r="I66" s="556"/>
      <c r="J66" s="629">
        <f>H66/DAY(B2)</f>
        <v>410.05</v>
      </c>
      <c r="K66" s="467"/>
      <c r="L66" s="408"/>
      <c r="N66" s="413"/>
      <c r="O66" s="413"/>
    </row>
    <row r="67" spans="1:15" ht="27.75">
      <c r="A67" s="1430" t="s">
        <v>102</v>
      </c>
      <c r="B67" s="1431"/>
      <c r="C67" s="1432"/>
      <c r="D67" s="599" t="s">
        <v>187</v>
      </c>
      <c r="E67" s="560">
        <f>'4'!F67</f>
        <v>210580</v>
      </c>
      <c r="F67" s="1336">
        <v>211254</v>
      </c>
      <c r="G67" s="549">
        <f t="shared" si="7"/>
        <v>674</v>
      </c>
      <c r="H67" s="536">
        <f>G67+'4'!H67</f>
        <v>3412.1700000000128</v>
      </c>
      <c r="I67" s="565"/>
      <c r="J67" s="629">
        <f>H67/DAY(B2)</f>
        <v>682.43400000000258</v>
      </c>
      <c r="K67" s="468"/>
      <c r="L67" s="408"/>
      <c r="N67" s="413"/>
      <c r="O67" s="413"/>
    </row>
    <row r="68" spans="1:15" ht="27.75">
      <c r="A68" s="1430" t="s">
        <v>103</v>
      </c>
      <c r="B68" s="1431"/>
      <c r="C68" s="1432"/>
      <c r="D68" s="599" t="s">
        <v>187</v>
      </c>
      <c r="E68" s="560">
        <f>'4'!F68</f>
        <v>74083</v>
      </c>
      <c r="F68" s="1336">
        <v>74412</v>
      </c>
      <c r="G68" s="549">
        <f t="shared" si="7"/>
        <v>329</v>
      </c>
      <c r="H68" s="536">
        <f>G68+'4'!H68</f>
        <v>1733.4799999999959</v>
      </c>
      <c r="I68" s="592"/>
      <c r="J68" s="629">
        <f>H68/DAY(B2)</f>
        <v>346.69599999999917</v>
      </c>
      <c r="K68" s="469"/>
      <c r="L68" s="408"/>
      <c r="N68" s="413"/>
      <c r="O68" s="413"/>
    </row>
    <row r="69" spans="1:15" ht="27.75">
      <c r="A69" s="1430" t="s">
        <v>104</v>
      </c>
      <c r="B69" s="1431"/>
      <c r="C69" s="1432"/>
      <c r="D69" s="599" t="s">
        <v>187</v>
      </c>
      <c r="E69" s="560">
        <f>'4'!F69</f>
        <v>65740</v>
      </c>
      <c r="F69" s="1336">
        <v>66061</v>
      </c>
      <c r="G69" s="549">
        <f t="shared" si="7"/>
        <v>321</v>
      </c>
      <c r="H69" s="536">
        <f>G69+'4'!H69</f>
        <v>1608.9100000000035</v>
      </c>
      <c r="I69" s="592"/>
      <c r="J69" s="629">
        <f>H69/DAY(B2)</f>
        <v>321.78200000000072</v>
      </c>
      <c r="K69" s="470"/>
      <c r="L69" s="408"/>
      <c r="N69" s="413"/>
      <c r="O69" s="413"/>
    </row>
    <row r="70" spans="1:15" ht="27.75">
      <c r="A70" s="1462" t="s">
        <v>189</v>
      </c>
      <c r="B70" s="1463"/>
      <c r="C70" s="1464"/>
      <c r="D70" s="599" t="s">
        <v>187</v>
      </c>
      <c r="E70" s="594"/>
      <c r="F70" s="1338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  <c r="O71" s="413"/>
    </row>
    <row r="72" spans="1:15" ht="27.75">
      <c r="A72" s="1430" t="s">
        <v>191</v>
      </c>
      <c r="B72" s="1431"/>
      <c r="C72" s="1432"/>
      <c r="D72" s="599" t="s">
        <v>187</v>
      </c>
      <c r="E72" s="595">
        <f>'4'!F72</f>
        <v>850923</v>
      </c>
      <c r="F72" s="1349">
        <v>850998</v>
      </c>
      <c r="G72" s="549">
        <f t="shared" ref="G72:G84" si="8">F72-E72</f>
        <v>75</v>
      </c>
      <c r="H72" s="536">
        <f>G72+'4'!H72</f>
        <v>406</v>
      </c>
      <c r="I72" s="556"/>
      <c r="J72" s="629">
        <f>H72/DAY(B2)</f>
        <v>81.2</v>
      </c>
      <c r="K72" s="470"/>
      <c r="L72" s="408"/>
      <c r="N72" s="413"/>
      <c r="O72" s="413"/>
    </row>
    <row r="73" spans="1:15" ht="27.75">
      <c r="A73" s="1430" t="s">
        <v>192</v>
      </c>
      <c r="B73" s="1431"/>
      <c r="C73" s="1432"/>
      <c r="D73" s="599" t="s">
        <v>187</v>
      </c>
      <c r="E73" s="596">
        <f>'4'!F73</f>
        <v>885773</v>
      </c>
      <c r="F73" s="1350">
        <v>885773</v>
      </c>
      <c r="G73" s="733">
        <f t="shared" si="8"/>
        <v>0</v>
      </c>
      <c r="H73" s="536">
        <f>G73+'4'!H73</f>
        <v>1</v>
      </c>
      <c r="I73" s="556"/>
      <c r="J73" s="629">
        <f>H73/DAY(B2)</f>
        <v>0.2</v>
      </c>
      <c r="K73" s="469"/>
      <c r="L73" s="408"/>
      <c r="N73" s="413"/>
      <c r="O73" s="413"/>
    </row>
    <row r="74" spans="1:15" ht="27.75">
      <c r="A74" s="1430" t="s">
        <v>193</v>
      </c>
      <c r="B74" s="1431"/>
      <c r="C74" s="1432"/>
      <c r="D74" s="599" t="s">
        <v>187</v>
      </c>
      <c r="E74" s="597">
        <f>'4'!F74</f>
        <v>701</v>
      </c>
      <c r="F74" s="1349">
        <v>719</v>
      </c>
      <c r="G74" s="549">
        <f t="shared" si="8"/>
        <v>18</v>
      </c>
      <c r="H74" s="536">
        <f>G74+'4'!H74</f>
        <v>132.83000000000004</v>
      </c>
      <c r="I74" s="556"/>
      <c r="J74" s="629">
        <f>H74/DAY(B2)</f>
        <v>26.56600000000001</v>
      </c>
      <c r="K74" s="470"/>
      <c r="L74" s="408"/>
      <c r="N74" s="413"/>
      <c r="O74" s="413"/>
    </row>
    <row r="75" spans="1:15" ht="27.75">
      <c r="A75" s="1479" t="s">
        <v>194</v>
      </c>
      <c r="B75" s="1480"/>
      <c r="C75" s="1481"/>
      <c r="D75" s="599" t="s">
        <v>187</v>
      </c>
      <c r="E75" s="597">
        <f>'4'!F75</f>
        <v>4121</v>
      </c>
      <c r="F75" s="1351">
        <v>4281</v>
      </c>
      <c r="G75" s="549">
        <f t="shared" si="8"/>
        <v>160</v>
      </c>
      <c r="H75" s="536">
        <f>G75+'4'!H75</f>
        <v>761.7800000000002</v>
      </c>
      <c r="I75" s="556"/>
      <c r="J75" s="629">
        <f>H75/DAY(B2)</f>
        <v>152.35600000000005</v>
      </c>
      <c r="K75" s="469"/>
      <c r="L75" s="408"/>
      <c r="N75" s="413"/>
      <c r="O75" s="413"/>
    </row>
    <row r="76" spans="1:15" ht="27.75">
      <c r="A76" s="1479" t="s">
        <v>195</v>
      </c>
      <c r="B76" s="1480"/>
      <c r="C76" s="1481"/>
      <c r="D76" s="599" t="s">
        <v>187</v>
      </c>
      <c r="E76" s="596">
        <f>'4'!F76</f>
        <v>1842</v>
      </c>
      <c r="F76" s="1350">
        <v>1926</v>
      </c>
      <c r="G76" s="549">
        <f t="shared" si="8"/>
        <v>84</v>
      </c>
      <c r="H76" s="536">
        <f>G76+'4'!H76</f>
        <v>411.66000000000008</v>
      </c>
      <c r="I76" s="581"/>
      <c r="J76" s="629">
        <f>H76/DAY(B2)</f>
        <v>82.332000000000022</v>
      </c>
      <c r="K76" s="469"/>
      <c r="L76" s="408"/>
      <c r="N76" s="413"/>
      <c r="O76" s="413"/>
    </row>
    <row r="77" spans="1:15" ht="27.75">
      <c r="A77" s="1430" t="s">
        <v>196</v>
      </c>
      <c r="B77" s="1431"/>
      <c r="C77" s="1432"/>
      <c r="D77" s="599" t="s">
        <v>187</v>
      </c>
      <c r="E77" s="596">
        <f>'4'!F77</f>
        <v>698775</v>
      </c>
      <c r="F77" s="1350">
        <v>698832</v>
      </c>
      <c r="G77" s="733">
        <f t="shared" si="8"/>
        <v>57</v>
      </c>
      <c r="H77" s="536">
        <f>G77+'4'!H77</f>
        <v>244</v>
      </c>
      <c r="I77" s="581"/>
      <c r="J77" s="629">
        <f>H77/DAY(B2)</f>
        <v>48.8</v>
      </c>
      <c r="K77" s="469"/>
      <c r="L77" s="408"/>
      <c r="N77" s="413"/>
      <c r="O77" s="413"/>
    </row>
    <row r="78" spans="1:15" ht="27.75">
      <c r="A78" s="1232" t="s">
        <v>197</v>
      </c>
      <c r="B78" s="1203"/>
      <c r="C78" s="1203"/>
      <c r="D78" s="599" t="s">
        <v>187</v>
      </c>
      <c r="E78" s="597">
        <f>'4'!F78</f>
        <v>654347</v>
      </c>
      <c r="F78" s="1351">
        <v>654679</v>
      </c>
      <c r="G78" s="549">
        <f t="shared" si="8"/>
        <v>332</v>
      </c>
      <c r="H78" s="536">
        <f>G78+'4'!H78</f>
        <v>1816</v>
      </c>
      <c r="I78" s="581"/>
      <c r="J78" s="629">
        <f>H78/DAY(B2)</f>
        <v>363.2</v>
      </c>
      <c r="K78" s="469"/>
      <c r="L78" s="408"/>
      <c r="N78" s="413"/>
      <c r="O78" s="413"/>
    </row>
    <row r="79" spans="1:15" ht="27.75">
      <c r="A79" s="1479" t="s">
        <v>92</v>
      </c>
      <c r="B79" s="1480"/>
      <c r="C79" s="1481"/>
      <c r="D79" s="600" t="s">
        <v>187</v>
      </c>
      <c r="E79" s="597">
        <f>'4'!F79</f>
        <v>815965</v>
      </c>
      <c r="F79" s="1351">
        <v>816181</v>
      </c>
      <c r="G79" s="549">
        <f t="shared" si="8"/>
        <v>216</v>
      </c>
      <c r="H79" s="536">
        <f>G79+'4'!H79</f>
        <v>1072</v>
      </c>
      <c r="I79" s="581"/>
      <c r="J79" s="629">
        <f>H79/DAY(B2)</f>
        <v>214.4</v>
      </c>
      <c r="K79" s="469"/>
      <c r="L79" s="408"/>
      <c r="N79" s="413"/>
      <c r="O79" s="413"/>
    </row>
    <row r="80" spans="1:15" ht="27.75">
      <c r="A80" s="1479" t="s">
        <v>198</v>
      </c>
      <c r="B80" s="1480"/>
      <c r="C80" s="1481"/>
      <c r="D80" s="600" t="s">
        <v>187</v>
      </c>
      <c r="E80" s="596">
        <f>'4'!F80</f>
        <v>496186</v>
      </c>
      <c r="F80" s="1350">
        <v>496451</v>
      </c>
      <c r="G80" s="549">
        <f t="shared" si="8"/>
        <v>265</v>
      </c>
      <c r="H80" s="536">
        <f>G80+'4'!H80</f>
        <v>1777.359999999986</v>
      </c>
      <c r="I80" s="581"/>
      <c r="J80" s="629">
        <f>H80/DAY(B2)</f>
        <v>355.47199999999719</v>
      </c>
      <c r="K80" s="469"/>
      <c r="L80" s="408"/>
      <c r="N80" s="413"/>
      <c r="O80" s="413"/>
    </row>
    <row r="81" spans="1:15" ht="27.75">
      <c r="A81" s="1479" t="s">
        <v>199</v>
      </c>
      <c r="B81" s="1480"/>
      <c r="C81" s="1481"/>
      <c r="D81" s="600" t="s">
        <v>187</v>
      </c>
      <c r="E81" s="596">
        <f>'4'!F81</f>
        <v>626378</v>
      </c>
      <c r="F81" s="1350">
        <v>626189</v>
      </c>
      <c r="G81" s="549">
        <f t="shared" si="8"/>
        <v>-189</v>
      </c>
      <c r="H81" s="536">
        <f>G81+'4'!H81</f>
        <v>245.1600000000326</v>
      </c>
      <c r="I81" s="581"/>
      <c r="J81" s="629">
        <f>H81/DAY(B2)</f>
        <v>49.032000000006519</v>
      </c>
      <c r="K81" s="469"/>
      <c r="L81" s="408"/>
      <c r="N81" s="413"/>
      <c r="O81" s="413"/>
    </row>
    <row r="82" spans="1:15" ht="27.75">
      <c r="A82" s="1479" t="s">
        <v>93</v>
      </c>
      <c r="B82" s="1480"/>
      <c r="C82" s="1481"/>
      <c r="D82" s="561" t="s">
        <v>132</v>
      </c>
      <c r="E82" s="598">
        <f>'4'!F82</f>
        <v>106283</v>
      </c>
      <c r="F82" s="1337">
        <v>106304</v>
      </c>
      <c r="G82" s="549">
        <f t="shared" si="8"/>
        <v>21</v>
      </c>
      <c r="H82" s="536">
        <f>G82+'4'!H82</f>
        <v>101.52000000000407</v>
      </c>
      <c r="I82" s="562"/>
      <c r="J82" s="629">
        <f>H82/DAY(B2)</f>
        <v>20.304000000000816</v>
      </c>
      <c r="K82" s="469"/>
      <c r="L82" s="408"/>
      <c r="N82" s="413"/>
      <c r="O82" s="413"/>
    </row>
    <row r="83" spans="1:15" ht="27.75">
      <c r="A83" s="1479" t="s">
        <v>200</v>
      </c>
      <c r="B83" s="1480"/>
      <c r="C83" s="1481"/>
      <c r="D83" s="697" t="s">
        <v>132</v>
      </c>
      <c r="E83" s="587">
        <f>'4'!F83</f>
        <v>998532</v>
      </c>
      <c r="F83" s="1331">
        <v>998888</v>
      </c>
      <c r="G83" s="549">
        <f t="shared" si="8"/>
        <v>356</v>
      </c>
      <c r="H83" s="536">
        <f>G83+'4'!H83</f>
        <v>2439</v>
      </c>
      <c r="I83" s="557"/>
      <c r="J83" s="629">
        <f>H83/DAY(B2)</f>
        <v>487.8</v>
      </c>
      <c r="K83" s="468"/>
      <c r="L83" s="408"/>
      <c r="N83" s="413"/>
      <c r="O83" s="413"/>
    </row>
    <row r="84" spans="1:15">
      <c r="A84" s="1233" t="s">
        <v>201</v>
      </c>
      <c r="B84" s="648"/>
      <c r="C84" s="648"/>
      <c r="D84" s="554" t="s">
        <v>132</v>
      </c>
      <c r="E84" s="704">
        <f>'4'!F84</f>
        <v>433468</v>
      </c>
      <c r="F84" s="1352">
        <v>434422</v>
      </c>
      <c r="G84" s="549">
        <f t="shared" si="8"/>
        <v>954</v>
      </c>
      <c r="H84" s="536">
        <f>G84+'4'!H84</f>
        <v>3624</v>
      </c>
      <c r="I84" s="557"/>
      <c r="J84" s="629">
        <f>H84/DAY(B2)</f>
        <v>724.8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704">
        <f>'4'!F85</f>
        <v>0</v>
      </c>
      <c r="F85" s="1184"/>
      <c r="G85" s="536">
        <f xml:space="preserve"> SUM(G71:G84)</f>
        <v>2349</v>
      </c>
      <c r="H85" s="536">
        <f>G85+'4'!H85</f>
        <v>11006.929999999968</v>
      </c>
      <c r="I85" s="557"/>
      <c r="J85" s="629">
        <f>H85/DAY(B2)</f>
        <v>2201.3859999999936</v>
      </c>
      <c r="K85" s="411"/>
      <c r="L85" s="409"/>
      <c r="N85" s="413"/>
      <c r="O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'4'!F86</f>
        <v>450871</v>
      </c>
      <c r="F86" s="1352">
        <v>451005</v>
      </c>
      <c r="G86" s="787">
        <f t="shared" ref="G86:G90" si="9">F86-E86</f>
        <v>134</v>
      </c>
      <c r="H86" s="536">
        <f>G86+'4'!H86</f>
        <v>636.46999999997206</v>
      </c>
      <c r="I86" s="733"/>
      <c r="J86" s="789">
        <f>H86/DAY(B2)</f>
        <v>127.29399999999441</v>
      </c>
      <c r="K86" s="815"/>
      <c r="L86" s="816"/>
      <c r="N86" s="860">
        <f>G86-173</f>
        <v>-39</v>
      </c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'4'!F87</f>
        <v>79360.399999999994</v>
      </c>
      <c r="F87" s="1352">
        <v>79385</v>
      </c>
      <c r="G87" s="787">
        <f t="shared" si="9"/>
        <v>24.600000000005821</v>
      </c>
      <c r="H87" s="536">
        <f>G87+'4'!H87</f>
        <v>177.30000000000291</v>
      </c>
      <c r="I87" s="733"/>
      <c r="J87" s="789">
        <f>H87/DAY(B2)</f>
        <v>35.460000000000583</v>
      </c>
      <c r="K87" s="815"/>
      <c r="L87" s="816"/>
      <c r="N87" s="817">
        <v>108</v>
      </c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'4'!F88</f>
        <v>148522</v>
      </c>
      <c r="F88" s="1352">
        <v>148591</v>
      </c>
      <c r="G88" s="787">
        <f t="shared" si="9"/>
        <v>69</v>
      </c>
      <c r="H88" s="536">
        <f>G88+'4'!H88</f>
        <v>326.39000000001397</v>
      </c>
      <c r="I88" s="733"/>
      <c r="J88" s="789">
        <f>H88/DAY(B2)</f>
        <v>65.278000000002791</v>
      </c>
      <c r="K88" s="815"/>
      <c r="L88" s="816"/>
      <c r="N88" s="817">
        <v>28</v>
      </c>
      <c r="O88" s="413"/>
    </row>
    <row r="89" spans="1:15" s="817" customFormat="1">
      <c r="A89" s="812" t="s">
        <v>203</v>
      </c>
      <c r="B89" s="813"/>
      <c r="C89" s="813"/>
      <c r="D89" s="814" t="s">
        <v>183</v>
      </c>
      <c r="E89" s="704">
        <f>'4'!F89</f>
        <v>61962</v>
      </c>
      <c r="F89" s="1352">
        <v>62037</v>
      </c>
      <c r="G89" s="787">
        <f t="shared" si="9"/>
        <v>75</v>
      </c>
      <c r="H89" s="536">
        <f>G89+'4'!H89</f>
        <v>361.90000000000146</v>
      </c>
      <c r="I89" s="733"/>
      <c r="J89" s="789">
        <f>H89/DAY(B2)</f>
        <v>72.380000000000294</v>
      </c>
      <c r="K89" s="815"/>
      <c r="L89" s="816"/>
      <c r="N89" s="860">
        <v>342</v>
      </c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'4'!F90</f>
        <v>3184</v>
      </c>
      <c r="F90" s="1352">
        <v>3186</v>
      </c>
      <c r="G90" s="787">
        <f t="shared" si="9"/>
        <v>2</v>
      </c>
      <c r="H90" s="536">
        <f>G90+'4'!H90</f>
        <v>23.099999999999909</v>
      </c>
      <c r="I90" s="733"/>
      <c r="J90" s="789">
        <f>H90/DAY(B2)</f>
        <v>4.6199999999999815</v>
      </c>
      <c r="K90" s="815"/>
      <c r="L90" s="816"/>
      <c r="N90" s="860">
        <v>349</v>
      </c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1181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'4'!F92</f>
        <v>240093</v>
      </c>
      <c r="F92" s="1336">
        <v>240166</v>
      </c>
      <c r="G92" s="549">
        <f t="shared" ref="G92:G93" si="10">F92-E92</f>
        <v>73</v>
      </c>
      <c r="H92" s="536">
        <f>G92+'4'!H92</f>
        <v>471</v>
      </c>
      <c r="I92" s="556"/>
      <c r="J92" s="629">
        <f>H92/DAY(B2)</f>
        <v>94.2</v>
      </c>
      <c r="K92" s="468"/>
      <c r="L92" s="408"/>
      <c r="N92" s="413"/>
      <c r="O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'4'!F93</f>
        <v>176317</v>
      </c>
      <c r="F93" s="1336">
        <v>176317</v>
      </c>
      <c r="G93" s="549">
        <f t="shared" si="10"/>
        <v>0</v>
      </c>
      <c r="H93" s="536">
        <f>G93+'4'!H93</f>
        <v>656</v>
      </c>
      <c r="I93" s="556"/>
      <c r="J93" s="629">
        <f>H93/DAY(B2)</f>
        <v>131.19999999999999</v>
      </c>
      <c r="K93" s="411"/>
      <c r="L93" s="408"/>
      <c r="N93" s="413"/>
      <c r="O93" s="413"/>
    </row>
    <row r="94" spans="1:15">
      <c r="A94" s="1427" t="s">
        <v>208</v>
      </c>
      <c r="B94" s="1428"/>
      <c r="C94" s="1429"/>
      <c r="D94" s="599"/>
      <c r="E94" s="560"/>
      <c r="F94" s="1336"/>
      <c r="G94" s="549">
        <f>G92+G93</f>
        <v>73</v>
      </c>
      <c r="H94" s="536">
        <f>G94+'4'!H94</f>
        <v>861</v>
      </c>
      <c r="I94" s="556"/>
      <c r="J94" s="629">
        <f>H94/DAY(B2)</f>
        <v>172.2</v>
      </c>
      <c r="K94" s="411"/>
      <c r="L94" s="408"/>
      <c r="N94" s="413"/>
      <c r="O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'4'!F95</f>
        <v>408491</v>
      </c>
      <c r="F95" s="1336">
        <v>408574</v>
      </c>
      <c r="G95" s="549">
        <f t="shared" ref="G95:G100" si="11">F95-E95</f>
        <v>83</v>
      </c>
      <c r="H95" s="536">
        <f>G95+'4'!H95</f>
        <v>418</v>
      </c>
      <c r="I95" s="556"/>
      <c r="J95" s="629">
        <f>H95/DAY(B2)</f>
        <v>83.6</v>
      </c>
      <c r="K95" s="411"/>
      <c r="L95" s="408"/>
      <c r="N95" s="413"/>
      <c r="O95" s="413"/>
    </row>
    <row r="96" spans="1:15" ht="27.75">
      <c r="A96" s="1229" t="s">
        <v>210</v>
      </c>
      <c r="B96" s="1230"/>
      <c r="C96" s="1230"/>
      <c r="D96" s="599" t="s">
        <v>144</v>
      </c>
      <c r="E96" s="560">
        <f>'4'!F96</f>
        <v>101390</v>
      </c>
      <c r="F96" s="1336">
        <v>101401</v>
      </c>
      <c r="G96" s="549">
        <f t="shared" si="11"/>
        <v>11</v>
      </c>
      <c r="H96" s="536">
        <f>G96+'4'!H96</f>
        <v>69</v>
      </c>
      <c r="I96" s="556"/>
      <c r="J96" s="629">
        <f>H96/DAY(B2)</f>
        <v>13.8</v>
      </c>
      <c r="K96" s="466"/>
      <c r="L96" s="408"/>
      <c r="N96" s="413"/>
      <c r="O96" s="413"/>
    </row>
    <row r="97" spans="1:15" ht="27.75">
      <c r="A97" s="1229" t="s">
        <v>211</v>
      </c>
      <c r="B97" s="1230"/>
      <c r="C97" s="1230"/>
      <c r="D97" s="599" t="s">
        <v>144</v>
      </c>
      <c r="E97" s="560">
        <f>'4'!F97</f>
        <v>96524</v>
      </c>
      <c r="F97" s="1336">
        <v>96535</v>
      </c>
      <c r="G97" s="549">
        <f t="shared" si="11"/>
        <v>11</v>
      </c>
      <c r="H97" s="536">
        <f>G97+'4'!H97</f>
        <v>86</v>
      </c>
      <c r="I97" s="556"/>
      <c r="J97" s="629">
        <f>H97/DAY(B2)</f>
        <v>17.2</v>
      </c>
      <c r="K97" s="471"/>
      <c r="L97" s="408"/>
      <c r="N97" s="413"/>
      <c r="O97" s="413"/>
    </row>
    <row r="98" spans="1:15" ht="27.75">
      <c r="A98" s="1229" t="s">
        <v>212</v>
      </c>
      <c r="B98" s="1230"/>
      <c r="C98" s="1230"/>
      <c r="D98" s="599" t="s">
        <v>144</v>
      </c>
      <c r="E98" s="560">
        <f>'4'!F98</f>
        <v>147915</v>
      </c>
      <c r="F98" s="1336">
        <v>147934</v>
      </c>
      <c r="G98" s="549">
        <f t="shared" si="11"/>
        <v>19</v>
      </c>
      <c r="H98" s="536">
        <f>G98+'4'!H98</f>
        <v>326</v>
      </c>
      <c r="I98" s="556"/>
      <c r="J98" s="629">
        <f>H98/DAY(B2)</f>
        <v>65.2</v>
      </c>
      <c r="K98" s="411"/>
      <c r="L98" s="408"/>
      <c r="N98" s="785"/>
      <c r="O98" s="413"/>
    </row>
    <row r="99" spans="1:15" ht="27.75">
      <c r="A99" s="1229" t="s">
        <v>213</v>
      </c>
      <c r="B99" s="1230"/>
      <c r="C99" s="1230"/>
      <c r="D99" s="599" t="s">
        <v>144</v>
      </c>
      <c r="E99" s="560">
        <f>'4'!F99</f>
        <v>6461</v>
      </c>
      <c r="F99" s="1336">
        <v>6472</v>
      </c>
      <c r="G99" s="549">
        <f t="shared" si="11"/>
        <v>11</v>
      </c>
      <c r="H99" s="536">
        <f>G99+'4'!H99</f>
        <v>64</v>
      </c>
      <c r="I99" s="556"/>
      <c r="J99" s="629">
        <f>H99/DAY(B2)</f>
        <v>12.8</v>
      </c>
      <c r="K99" s="411"/>
      <c r="L99" s="408"/>
      <c r="N99" s="413"/>
      <c r="O99" s="413"/>
    </row>
    <row r="100" spans="1:15" ht="27.75">
      <c r="A100" s="1229" t="s">
        <v>214</v>
      </c>
      <c r="B100" s="1230"/>
      <c r="C100" s="1230"/>
      <c r="D100" s="599" t="s">
        <v>144</v>
      </c>
      <c r="E100" s="560">
        <f>'4'!F100</f>
        <v>4598</v>
      </c>
      <c r="F100" s="1336">
        <v>4586</v>
      </c>
      <c r="G100" s="549">
        <f t="shared" si="11"/>
        <v>-12</v>
      </c>
      <c r="H100" s="536">
        <f>G100+'4'!H100</f>
        <v>43</v>
      </c>
      <c r="I100" s="556"/>
      <c r="J100" s="629">
        <f>H100/DAY(B2)</f>
        <v>8.6</v>
      </c>
      <c r="K100" s="411"/>
      <c r="L100" s="408"/>
      <c r="N100" s="413"/>
      <c r="O100" s="413"/>
    </row>
    <row r="101" spans="1:15">
      <c r="A101" s="1427" t="s">
        <v>216</v>
      </c>
      <c r="B101" s="1428"/>
      <c r="C101" s="1429"/>
      <c r="D101" s="600"/>
      <c r="E101" s="600"/>
      <c r="F101" s="1347"/>
      <c r="G101" s="601">
        <f>SUM(G95:G100)</f>
        <v>123</v>
      </c>
      <c r="H101" s="536">
        <f>G101+'4'!H101</f>
        <v>1006</v>
      </c>
      <c r="I101" s="602"/>
      <c r="J101" s="629">
        <f>H101/DAY(B2)</f>
        <v>201.2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1353"/>
      <c r="G102" s="605"/>
      <c r="H102" s="606"/>
      <c r="I102" s="607"/>
      <c r="J102" s="634"/>
      <c r="N102" s="413"/>
      <c r="O102" s="413"/>
    </row>
    <row r="103" spans="1:15" s="481" customFormat="1" ht="27.75">
      <c r="A103" s="1436" t="s">
        <v>218</v>
      </c>
      <c r="B103" s="1437"/>
      <c r="C103" s="650"/>
      <c r="D103" s="699"/>
      <c r="E103" s="608"/>
      <c r="F103" s="1354"/>
      <c r="G103" s="608"/>
      <c r="H103" s="609"/>
      <c r="I103" s="608"/>
      <c r="J103" s="635"/>
      <c r="N103" s="413"/>
      <c r="O103" s="413"/>
    </row>
    <row r="104" spans="1:15" s="481" customFormat="1" ht="27.75">
      <c r="A104" s="1438" t="s">
        <v>219</v>
      </c>
      <c r="B104" s="1439"/>
      <c r="C104" s="1228"/>
      <c r="D104" s="699" t="s">
        <v>144</v>
      </c>
      <c r="E104" s="608">
        <f>'4'!E104</f>
        <v>7128</v>
      </c>
      <c r="F104" s="1354">
        <v>7131</v>
      </c>
      <c r="G104" s="608">
        <f>F104-E104</f>
        <v>3</v>
      </c>
      <c r="H104" s="536">
        <f>G104+'4'!H104</f>
        <v>6</v>
      </c>
      <c r="I104" s="608"/>
      <c r="J104" s="635">
        <f>H104/DAY(B2)</f>
        <v>1.2</v>
      </c>
      <c r="N104" s="413"/>
      <c r="O104" s="413"/>
    </row>
    <row r="105" spans="1:15" s="481" customFormat="1" ht="27.75">
      <c r="A105" s="1438" t="s">
        <v>77</v>
      </c>
      <c r="B105" s="1439"/>
      <c r="C105" s="1228"/>
      <c r="D105" s="699" t="s">
        <v>144</v>
      </c>
      <c r="E105" s="608">
        <f>'4'!E105</f>
        <v>35434</v>
      </c>
      <c r="F105" s="1360">
        <v>35443</v>
      </c>
      <c r="G105" s="608">
        <f t="shared" ref="G105:G106" si="12">F105-E105</f>
        <v>9</v>
      </c>
      <c r="H105" s="536">
        <f>G105+'4'!H105</f>
        <v>45</v>
      </c>
      <c r="I105" s="608"/>
      <c r="J105" s="635">
        <f>H105/DAY(B2)</f>
        <v>9</v>
      </c>
      <c r="N105" s="413"/>
      <c r="O105" s="413"/>
    </row>
    <row r="106" spans="1:15" s="481" customFormat="1" ht="27.75">
      <c r="A106" s="1438" t="s">
        <v>78</v>
      </c>
      <c r="B106" s="1440"/>
      <c r="C106" s="1439"/>
      <c r="D106" s="699" t="s">
        <v>144</v>
      </c>
      <c r="E106" s="608">
        <f>'4'!E106</f>
        <v>19263</v>
      </c>
      <c r="F106" s="1354">
        <v>19274</v>
      </c>
      <c r="G106" s="608">
        <f t="shared" si="12"/>
        <v>11</v>
      </c>
      <c r="H106" s="536">
        <f>G106+'4'!H106</f>
        <v>33</v>
      </c>
      <c r="I106" s="608"/>
      <c r="J106" s="635">
        <f>H106/DAY(B2)</f>
        <v>6.6</v>
      </c>
      <c r="N106" s="413"/>
      <c r="O106" s="413"/>
    </row>
    <row r="107" spans="1:15" s="481" customFormat="1" ht="27.75">
      <c r="A107" s="1441" t="s">
        <v>202</v>
      </c>
      <c r="B107" s="1442"/>
      <c r="C107" s="1228"/>
      <c r="D107" s="699"/>
      <c r="E107" s="608">
        <f>'4'!E107</f>
        <v>0</v>
      </c>
      <c r="F107" s="1354"/>
      <c r="G107" s="608">
        <f>SUM(G104:G106)</f>
        <v>23</v>
      </c>
      <c r="H107" s="536">
        <f>G107+'4'!H107</f>
        <v>84</v>
      </c>
      <c r="I107" s="608"/>
      <c r="J107" s="635">
        <f>H107/DAY(B2)</f>
        <v>16.8</v>
      </c>
      <c r="N107" s="413"/>
      <c r="O107" s="413"/>
    </row>
    <row r="108" spans="1:15" s="481" customFormat="1" ht="27.75">
      <c r="A108" s="1443" t="s">
        <v>79</v>
      </c>
      <c r="B108" s="1444"/>
      <c r="C108" s="1228"/>
      <c r="D108" s="699" t="s">
        <v>144</v>
      </c>
      <c r="E108" s="608">
        <f>'4'!E108</f>
        <v>0</v>
      </c>
      <c r="F108" s="1354"/>
      <c r="G108" s="608"/>
      <c r="H108" s="536" t="e">
        <f>G108+'4'!H108</f>
        <v>#REF!</v>
      </c>
      <c r="I108" s="608"/>
      <c r="J108" s="635"/>
      <c r="N108" s="413"/>
      <c r="O108" s="413"/>
    </row>
    <row r="109" spans="1:15" s="481" customFormat="1" ht="27.75">
      <c r="A109" s="1438" t="s">
        <v>220</v>
      </c>
      <c r="B109" s="1439"/>
      <c r="C109" s="1228"/>
      <c r="D109" s="699" t="s">
        <v>144</v>
      </c>
      <c r="E109" s="608">
        <f>'4'!E109</f>
        <v>56606</v>
      </c>
      <c r="F109" s="1354">
        <v>56778</v>
      </c>
      <c r="G109" s="608">
        <f>F109-E109</f>
        <v>172</v>
      </c>
      <c r="H109" s="536">
        <f>G109+'4'!H109</f>
        <v>507</v>
      </c>
      <c r="I109" s="608"/>
      <c r="J109" s="635">
        <f>H109/DAY(B2)</f>
        <v>101.4</v>
      </c>
      <c r="N109" s="413"/>
    </row>
    <row r="110" spans="1:15" s="481" customFormat="1" ht="27.75">
      <c r="A110" s="1438" t="s">
        <v>221</v>
      </c>
      <c r="B110" s="1439"/>
      <c r="C110" s="1228"/>
      <c r="D110" s="699" t="s">
        <v>144</v>
      </c>
      <c r="E110" s="608">
        <f>'4'!E110</f>
        <v>30795</v>
      </c>
      <c r="F110" s="1354">
        <v>30834</v>
      </c>
      <c r="G110" s="608">
        <f t="shared" ref="G110:G111" si="13">F110-E110</f>
        <v>39</v>
      </c>
      <c r="H110" s="536">
        <f>G110+'4'!H110</f>
        <v>346</v>
      </c>
      <c r="I110" s="608"/>
      <c r="J110" s="635">
        <f>H110/DAY(B2)</f>
        <v>69.2</v>
      </c>
      <c r="N110" s="413"/>
    </row>
    <row r="111" spans="1:15" s="481" customFormat="1" ht="27.75">
      <c r="A111" s="1438" t="s">
        <v>222</v>
      </c>
      <c r="B111" s="1439"/>
      <c r="C111" s="1228"/>
      <c r="D111" s="699" t="s">
        <v>144</v>
      </c>
      <c r="E111" s="608">
        <f>'4'!E111</f>
        <v>4012</v>
      </c>
      <c r="F111" s="1354">
        <v>4012</v>
      </c>
      <c r="G111" s="608">
        <f t="shared" si="13"/>
        <v>0</v>
      </c>
      <c r="H111" s="536">
        <f>G111+'4'!H111</f>
        <v>32</v>
      </c>
      <c r="I111" s="608"/>
      <c r="J111" s="635">
        <f>H111/DAY(B2)</f>
        <v>6.4</v>
      </c>
      <c r="N111" s="413"/>
    </row>
    <row r="112" spans="1:15" s="481" customFormat="1" ht="27.75">
      <c r="A112" s="1441" t="s">
        <v>110</v>
      </c>
      <c r="B112" s="1442"/>
      <c r="C112" s="1228"/>
      <c r="D112" s="699"/>
      <c r="E112" s="608">
        <f>'4'!E112</f>
        <v>0</v>
      </c>
      <c r="F112" s="1354"/>
      <c r="G112" s="608">
        <f>SUM(G109:G111)</f>
        <v>211</v>
      </c>
      <c r="H112" s="536">
        <f>G112+'4'!H112</f>
        <v>885</v>
      </c>
      <c r="I112" s="608"/>
      <c r="J112" s="635">
        <f>H112/DAY(B2)</f>
        <v>177</v>
      </c>
      <c r="N112" s="413"/>
    </row>
    <row r="113" spans="1:14" s="481" customFormat="1" ht="27.75">
      <c r="A113" s="1443" t="s">
        <v>223</v>
      </c>
      <c r="B113" s="1444"/>
      <c r="C113" s="1228"/>
      <c r="D113" s="699"/>
      <c r="E113" s="608">
        <f>'4'!E113</f>
        <v>0</v>
      </c>
      <c r="F113" s="1354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438" t="s">
        <v>224</v>
      </c>
      <c r="B114" s="1439"/>
      <c r="C114" s="651"/>
      <c r="D114" s="699" t="s">
        <v>144</v>
      </c>
      <c r="E114" s="608">
        <f>'4'!E114</f>
        <v>10379</v>
      </c>
      <c r="F114" s="1355">
        <v>10399</v>
      </c>
      <c r="G114" s="610">
        <f>F114-E114</f>
        <v>20</v>
      </c>
      <c r="H114" s="536">
        <f>G114+'4'!H114</f>
        <v>85</v>
      </c>
      <c r="I114" s="608"/>
      <c r="J114" s="635">
        <f>H114/DAY(B2)</f>
        <v>17</v>
      </c>
      <c r="N114" s="413"/>
    </row>
    <row r="115" spans="1:14" s="481" customFormat="1" ht="27.75">
      <c r="A115" s="1438" t="s">
        <v>225</v>
      </c>
      <c r="B115" s="1439"/>
      <c r="C115" s="651"/>
      <c r="D115" s="699" t="s">
        <v>144</v>
      </c>
      <c r="E115" s="608">
        <f>'4'!E115</f>
        <v>7703</v>
      </c>
      <c r="F115" s="1355">
        <v>7722</v>
      </c>
      <c r="G115" s="610">
        <f t="shared" ref="G115:G116" si="14">F115-E115</f>
        <v>19</v>
      </c>
      <c r="H115" s="536">
        <f>G115+'4'!H115</f>
        <v>66</v>
      </c>
      <c r="I115" s="608"/>
      <c r="J115" s="635">
        <f>H115/DAY(B2)</f>
        <v>13.2</v>
      </c>
      <c r="N115" s="413"/>
    </row>
    <row r="116" spans="1:14" s="481" customFormat="1" ht="27.75">
      <c r="A116" s="1438" t="s">
        <v>226</v>
      </c>
      <c r="B116" s="1439"/>
      <c r="C116" s="651"/>
      <c r="D116" s="699" t="s">
        <v>144</v>
      </c>
      <c r="E116" s="610"/>
      <c r="F116" s="1355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441" t="s">
        <v>202</v>
      </c>
      <c r="B117" s="1442"/>
      <c r="C117" s="651"/>
      <c r="D117" s="700"/>
      <c r="E117" s="610"/>
      <c r="F117" s="1355"/>
      <c r="G117" s="610">
        <f>SUM(G114:G116)</f>
        <v>39</v>
      </c>
      <c r="H117" s="536">
        <f>G117+'4'!H117</f>
        <v>151</v>
      </c>
      <c r="I117" s="610"/>
      <c r="J117" s="635">
        <f>H117/DAY(B2)</f>
        <v>30.2</v>
      </c>
      <c r="N117" s="413"/>
    </row>
    <row r="118" spans="1:14" s="495" customFormat="1" ht="27.75">
      <c r="A118" s="1472" t="s">
        <v>227</v>
      </c>
      <c r="B118" s="1473"/>
      <c r="C118" s="1226"/>
      <c r="D118" s="701" t="s">
        <v>144</v>
      </c>
      <c r="E118" s="612"/>
      <c r="F118" s="1356">
        <f>SUM(G19+G92)</f>
        <v>124</v>
      </c>
      <c r="G118" s="612">
        <f>SUM(G19+G92)</f>
        <v>124</v>
      </c>
      <c r="H118" s="536">
        <f>G118+'4'!H118</f>
        <v>726</v>
      </c>
      <c r="I118" s="611"/>
      <c r="J118" s="636">
        <f>H118/DAY(B2)</f>
        <v>145.19999999999999</v>
      </c>
      <c r="N118" s="413"/>
    </row>
    <row r="119" spans="1:14" s="495" customFormat="1" ht="27.75">
      <c r="A119" s="1472" t="s">
        <v>228</v>
      </c>
      <c r="B119" s="1473"/>
      <c r="C119" s="1226"/>
      <c r="D119" s="701" t="s">
        <v>144</v>
      </c>
      <c r="E119" s="612"/>
      <c r="F119" s="1356">
        <f>SUM(G95,G96,G97,G99,G100)</f>
        <v>104</v>
      </c>
      <c r="G119" s="612">
        <f>SUM(G95,G96,G97,G99,G100)</f>
        <v>104</v>
      </c>
      <c r="H119" s="536">
        <f>G119+'4'!H119</f>
        <v>680</v>
      </c>
      <c r="I119" s="611"/>
      <c r="J119" s="636">
        <f>H119/DAY(B2)</f>
        <v>136</v>
      </c>
      <c r="N119" s="413"/>
    </row>
    <row r="120" spans="1:14" s="495" customFormat="1" ht="27.75">
      <c r="A120" s="1472" t="s">
        <v>229</v>
      </c>
      <c r="B120" s="1473"/>
      <c r="C120" s="1226"/>
      <c r="D120" s="701" t="s">
        <v>144</v>
      </c>
      <c r="E120" s="610"/>
      <c r="F120" s="1355">
        <f>SUM(G112)</f>
        <v>211</v>
      </c>
      <c r="G120" s="610">
        <f>SUM(G112)</f>
        <v>211</v>
      </c>
      <c r="H120" s="536">
        <f>G120+'4'!H120</f>
        <v>885</v>
      </c>
      <c r="I120" s="611"/>
      <c r="J120" s="636">
        <f>H120/DAY(B2)</f>
        <v>177</v>
      </c>
      <c r="N120" s="413"/>
    </row>
    <row r="121" spans="1:14" s="481" customFormat="1" ht="27.75">
      <c r="A121" s="1474"/>
      <c r="B121" s="1475"/>
      <c r="C121" s="1227"/>
      <c r="D121" s="637"/>
      <c r="E121" s="637"/>
      <c r="F121" s="1357" t="s">
        <v>215</v>
      </c>
      <c r="G121" s="637"/>
      <c r="H121" s="536">
        <f>G121+'4'!H121</f>
        <v>0</v>
      </c>
      <c r="I121" s="637"/>
      <c r="J121" s="639"/>
      <c r="N121" s="413"/>
    </row>
    <row r="122" spans="1:14">
      <c r="A122" s="1424" t="s">
        <v>230</v>
      </c>
      <c r="B122" s="1425"/>
      <c r="C122" s="1426"/>
      <c r="D122" s="548"/>
      <c r="E122" s="548"/>
      <c r="F122" s="1181"/>
      <c r="G122" s="559"/>
      <c r="H122" s="559"/>
      <c r="I122" s="559"/>
      <c r="J122" s="640"/>
      <c r="K122" s="411"/>
      <c r="L122" s="408"/>
      <c r="N122" s="413"/>
    </row>
    <row r="123" spans="1:14" ht="27.75">
      <c r="A123" s="1229" t="s">
        <v>231</v>
      </c>
      <c r="B123" s="1230"/>
      <c r="C123" s="1230"/>
      <c r="D123" s="599" t="s">
        <v>141</v>
      </c>
      <c r="E123" s="554">
        <f>'4'!F123</f>
        <v>812042</v>
      </c>
      <c r="F123" s="1336">
        <v>812287</v>
      </c>
      <c r="G123" s="549">
        <f t="shared" ref="G123:G127" si="15">F123-E123</f>
        <v>245</v>
      </c>
      <c r="H123" s="536">
        <f>G123+'4'!H123</f>
        <v>1280.1600000000326</v>
      </c>
      <c r="I123" s="602"/>
      <c r="J123" s="629">
        <f>H123/DAY(B2)</f>
        <v>256.03200000000652</v>
      </c>
      <c r="K123" s="411"/>
      <c r="L123" s="408"/>
      <c r="N123" s="413"/>
    </row>
    <row r="124" spans="1:14" ht="27.75">
      <c r="A124" s="1229" t="s">
        <v>232</v>
      </c>
      <c r="B124" s="1230"/>
      <c r="C124" s="1230"/>
      <c r="D124" s="599" t="s">
        <v>141</v>
      </c>
      <c r="E124" s="703">
        <f>'4'!F124</f>
        <v>73583</v>
      </c>
      <c r="F124" s="1358">
        <v>73583</v>
      </c>
      <c r="G124" s="549">
        <f t="shared" si="15"/>
        <v>0</v>
      </c>
      <c r="H124" s="536">
        <f>G124+'4'!H124</f>
        <v>-0.39999999999417923</v>
      </c>
      <c r="I124" s="602"/>
      <c r="J124" s="629">
        <f>H124/DAY(B2)</f>
        <v>-7.999999999883585E-2</v>
      </c>
      <c r="K124" s="411"/>
      <c r="L124" s="408"/>
      <c r="N124" s="413"/>
    </row>
    <row r="125" spans="1:14" ht="27.75">
      <c r="A125" s="1430" t="s">
        <v>233</v>
      </c>
      <c r="B125" s="1431"/>
      <c r="C125" s="1432"/>
      <c r="D125" s="599" t="s">
        <v>141</v>
      </c>
      <c r="E125" s="554">
        <f>'4'!F125</f>
        <v>140260</v>
      </c>
      <c r="F125" s="1336">
        <v>140321</v>
      </c>
      <c r="G125" s="549">
        <f t="shared" si="15"/>
        <v>61</v>
      </c>
      <c r="H125" s="536">
        <f>G125+'4'!H125</f>
        <v>341.66000000000349</v>
      </c>
      <c r="I125" s="602"/>
      <c r="J125" s="629">
        <f>H125/DAY(B2)</f>
        <v>68.332000000000704</v>
      </c>
      <c r="K125" s="411"/>
      <c r="L125" s="408"/>
      <c r="N125" s="413"/>
    </row>
    <row r="126" spans="1:14" ht="27.75">
      <c r="A126" s="686" t="s">
        <v>234</v>
      </c>
      <c r="B126" s="1230"/>
      <c r="C126" s="1230"/>
      <c r="D126" s="599" t="s">
        <v>141</v>
      </c>
      <c r="E126" s="703">
        <f>'4'!F126</f>
        <v>59407</v>
      </c>
      <c r="F126" s="1358">
        <v>59428</v>
      </c>
      <c r="G126" s="549">
        <f t="shared" si="15"/>
        <v>21</v>
      </c>
      <c r="H126" s="536">
        <f>G126+'4'!H126</f>
        <v>121.09999999999854</v>
      </c>
      <c r="I126" s="602"/>
      <c r="J126" s="629">
        <f>H126/DAY(B2)</f>
        <v>24.219999999999708</v>
      </c>
      <c r="K126" s="411"/>
      <c r="L126" s="408"/>
      <c r="N126" s="413"/>
    </row>
    <row r="127" spans="1:14" ht="27.75">
      <c r="A127" s="686" t="s">
        <v>235</v>
      </c>
      <c r="B127" s="1230"/>
      <c r="C127" s="1230"/>
      <c r="D127" s="599" t="s">
        <v>141</v>
      </c>
      <c r="E127" s="703">
        <f>'4'!F127</f>
        <v>8896</v>
      </c>
      <c r="F127" s="1358">
        <v>8898</v>
      </c>
      <c r="G127" s="549">
        <f t="shared" si="15"/>
        <v>2</v>
      </c>
      <c r="H127" s="536">
        <f>G127+'4'!H127</f>
        <v>10.200000000000728</v>
      </c>
      <c r="I127" s="556"/>
      <c r="J127" s="629">
        <f>H127/DAY(B2)</f>
        <v>2.0400000000001457</v>
      </c>
      <c r="K127" s="411"/>
      <c r="L127" s="408"/>
      <c r="N127" s="413"/>
    </row>
    <row r="128" spans="1:14" s="281" customFormat="1" ht="27.75">
      <c r="A128" s="686" t="s">
        <v>236</v>
      </c>
      <c r="B128" s="1230"/>
      <c r="C128" s="1230"/>
      <c r="D128" s="599"/>
      <c r="E128" s="554"/>
      <c r="F128" s="1336"/>
      <c r="G128" s="549">
        <f>G15-SUM(G123:G127)</f>
        <v>564.63999999989755</v>
      </c>
      <c r="H128" s="536">
        <f>G128+'4'!H128</f>
        <v>2729.3099999997539</v>
      </c>
      <c r="I128" s="556"/>
      <c r="J128" s="629">
        <f>H128/DAY(B2)</f>
        <v>545.86199999995074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1332"/>
      <c r="G129" s="617"/>
      <c r="H129" s="617"/>
      <c r="I129" s="617"/>
      <c r="J129" s="641"/>
      <c r="N129" s="413"/>
    </row>
    <row r="130" spans="1:14" ht="27.75">
      <c r="A130" s="1229" t="s">
        <v>238</v>
      </c>
      <c r="B130" s="1230"/>
      <c r="C130" s="1230"/>
      <c r="D130" s="599" t="s">
        <v>239</v>
      </c>
      <c r="E130" s="560">
        <f>'4'!F130</f>
        <v>0</v>
      </c>
      <c r="F130" s="1336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29" t="s">
        <v>240</v>
      </c>
      <c r="B131" s="1230"/>
      <c r="C131" s="1230"/>
      <c r="D131" s="599" t="s">
        <v>239</v>
      </c>
      <c r="E131" s="560">
        <f>'4'!F131</f>
        <v>0</v>
      </c>
      <c r="F131" s="1336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29" t="s">
        <v>241</v>
      </c>
      <c r="B132" s="1230"/>
      <c r="C132" s="1230"/>
      <c r="D132" s="599" t="s">
        <v>239</v>
      </c>
      <c r="E132" s="618">
        <f>'4'!F132</f>
        <v>38829</v>
      </c>
      <c r="F132" s="1337">
        <v>39215</v>
      </c>
      <c r="G132" s="549">
        <f t="shared" si="16"/>
        <v>386</v>
      </c>
      <c r="H132" s="536">
        <f>G132+'4'!H132</f>
        <v>386</v>
      </c>
      <c r="I132" s="556"/>
      <c r="J132" s="629">
        <f>H132/DAY(B2)</f>
        <v>77.2</v>
      </c>
      <c r="N132" s="413"/>
    </row>
    <row r="133" spans="1:14" ht="27.75">
      <c r="A133" s="1229" t="s">
        <v>242</v>
      </c>
      <c r="B133" s="1230"/>
      <c r="C133" s="1230"/>
      <c r="D133" s="599" t="s">
        <v>239</v>
      </c>
      <c r="E133" s="782">
        <f>'4'!F133</f>
        <v>300</v>
      </c>
      <c r="F133" s="1358">
        <v>299</v>
      </c>
      <c r="G133" s="549">
        <f t="shared" si="16"/>
        <v>-1</v>
      </c>
      <c r="H133" s="536">
        <f>G133+'4'!H133</f>
        <v>-1</v>
      </c>
      <c r="I133" s="556">
        <f>G130+G131+G132+G133</f>
        <v>385</v>
      </c>
      <c r="J133" s="629">
        <f>H133/DAY(B2)</f>
        <v>-0.2</v>
      </c>
      <c r="N133" s="413"/>
    </row>
    <row r="134" spans="1:14" ht="27.75">
      <c r="A134" s="1229" t="s">
        <v>243</v>
      </c>
      <c r="B134" s="1230"/>
      <c r="C134" s="1230"/>
      <c r="D134" s="599" t="s">
        <v>239</v>
      </c>
      <c r="E134" s="782">
        <f>'4'!F134</f>
        <v>40458</v>
      </c>
      <c r="F134" s="1358">
        <v>40482</v>
      </c>
      <c r="G134" s="549">
        <f t="shared" si="16"/>
        <v>24</v>
      </c>
      <c r="H134" s="536">
        <f>G134+'4'!H134</f>
        <v>114.86000000000058</v>
      </c>
      <c r="I134" s="556"/>
      <c r="J134" s="629">
        <f>H134/DAY(B2)</f>
        <v>22.972000000000115</v>
      </c>
      <c r="N134" s="413"/>
    </row>
    <row r="135" spans="1:14" ht="27.75">
      <c r="A135" s="1229" t="s">
        <v>244</v>
      </c>
      <c r="B135" s="1230"/>
      <c r="C135" s="1230"/>
      <c r="D135" s="599" t="s">
        <v>239</v>
      </c>
      <c r="E135" s="782">
        <f>'4'!F135</f>
        <v>32582</v>
      </c>
      <c r="F135" s="1358">
        <v>32581.55</v>
      </c>
      <c r="G135" s="549">
        <f t="shared" si="16"/>
        <v>-0.4500000000007276</v>
      </c>
      <c r="H135" s="536">
        <f>G135+'4'!H135</f>
        <v>10.549999999999272</v>
      </c>
      <c r="I135" s="556"/>
      <c r="J135" s="629">
        <f>H135/DAY(B2)</f>
        <v>2.1099999999998547</v>
      </c>
      <c r="N135" s="413"/>
    </row>
    <row r="136" spans="1:14" ht="27.75">
      <c r="A136" s="1229" t="s">
        <v>245</v>
      </c>
      <c r="B136" s="1230"/>
      <c r="C136" s="1230"/>
      <c r="D136" s="599" t="s">
        <v>239</v>
      </c>
      <c r="E136" s="618">
        <f>'4'!F136</f>
        <v>22256.43</v>
      </c>
      <c r="F136" s="1337">
        <v>22265.68</v>
      </c>
      <c r="G136" s="549">
        <f t="shared" si="16"/>
        <v>9.25</v>
      </c>
      <c r="H136" s="536">
        <f>G136+'4'!H136</f>
        <v>43.470000000001164</v>
      </c>
      <c r="I136" s="556">
        <f>G136+G137+G138</f>
        <v>13.93999999999869</v>
      </c>
      <c r="J136" s="629">
        <f>H136/DAY(B2)</f>
        <v>8.6940000000002335</v>
      </c>
      <c r="N136" s="413"/>
    </row>
    <row r="137" spans="1:14" ht="27.75">
      <c r="A137" s="1229" t="s">
        <v>246</v>
      </c>
      <c r="B137" s="1230"/>
      <c r="C137" s="1230"/>
      <c r="D137" s="599" t="s">
        <v>239</v>
      </c>
      <c r="E137" s="618">
        <f>'4'!F137</f>
        <v>25044.31</v>
      </c>
      <c r="F137" s="1337">
        <v>25044</v>
      </c>
      <c r="G137" s="549">
        <f t="shared" si="16"/>
        <v>-0.31000000000130967</v>
      </c>
      <c r="H137" s="536">
        <f>G137+'4'!H137</f>
        <v>-0.31000000000130967</v>
      </c>
      <c r="I137" s="556"/>
      <c r="J137" s="629">
        <f>H137/DAY(B2)</f>
        <v>-6.2000000000261936E-2</v>
      </c>
      <c r="N137" s="413"/>
    </row>
    <row r="138" spans="1:14" ht="27.75">
      <c r="A138" s="1229" t="s">
        <v>247</v>
      </c>
      <c r="B138" s="1230"/>
      <c r="C138" s="1230"/>
      <c r="D138" s="599" t="s">
        <v>239</v>
      </c>
      <c r="E138" s="618">
        <f>'4'!F138</f>
        <v>70168</v>
      </c>
      <c r="F138" s="1337">
        <v>70173</v>
      </c>
      <c r="G138" s="549">
        <f t="shared" si="16"/>
        <v>5</v>
      </c>
      <c r="H138" s="536">
        <f>G138+'4'!H138</f>
        <v>25.660000000003492</v>
      </c>
      <c r="I138" s="556"/>
      <c r="J138" s="629">
        <f>H138/DAY(B2)</f>
        <v>5.1320000000006987</v>
      </c>
      <c r="N138" s="413"/>
    </row>
    <row r="139" spans="1:14" ht="27.75">
      <c r="A139" s="1229" t="s">
        <v>248</v>
      </c>
      <c r="B139" s="1230"/>
      <c r="C139" s="1230"/>
      <c r="D139" s="599" t="s">
        <v>239</v>
      </c>
      <c r="E139" s="782">
        <f>'4'!F139</f>
        <v>1453</v>
      </c>
      <c r="F139" s="1358">
        <v>1460</v>
      </c>
      <c r="G139" s="549">
        <f t="shared" si="16"/>
        <v>7</v>
      </c>
      <c r="H139" s="536">
        <f>G139+'4'!H139</f>
        <v>36.8599999999999</v>
      </c>
      <c r="I139" s="619">
        <f>G139+G140</f>
        <v>7</v>
      </c>
      <c r="J139" s="629">
        <f>H139/DAY(B2)</f>
        <v>7.3719999999999803</v>
      </c>
      <c r="N139" s="413"/>
    </row>
    <row r="140" spans="1:14" ht="27.75">
      <c r="A140" s="1229" t="s">
        <v>249</v>
      </c>
      <c r="B140" s="1230"/>
      <c r="C140" s="1230"/>
      <c r="D140" s="599" t="s">
        <v>239</v>
      </c>
      <c r="E140" s="560">
        <f>'4'!F140</f>
        <v>4334</v>
      </c>
      <c r="F140" s="1336">
        <v>4334</v>
      </c>
      <c r="G140" s="549">
        <f t="shared" si="16"/>
        <v>0</v>
      </c>
      <c r="H140" s="536">
        <f>G140+'4'!H140</f>
        <v>0</v>
      </c>
      <c r="I140" s="619"/>
      <c r="J140" s="629">
        <f>H140/DAY(B2)</f>
        <v>0</v>
      </c>
      <c r="N140" s="413"/>
    </row>
    <row r="141" spans="1:14">
      <c r="A141" s="1468" t="s">
        <v>250</v>
      </c>
      <c r="B141" s="1469"/>
      <c r="C141" s="1235"/>
      <c r="D141" s="548"/>
      <c r="E141" s="548"/>
      <c r="F141" s="1181"/>
      <c r="G141" s="559"/>
      <c r="H141" s="559"/>
      <c r="I141" s="559"/>
      <c r="J141" s="640"/>
      <c r="K141" s="411"/>
      <c r="L141" s="408"/>
      <c r="N141" s="413"/>
    </row>
    <row r="142" spans="1:14" ht="27.75">
      <c r="A142" s="1433" t="s">
        <v>251</v>
      </c>
      <c r="B142" s="1434"/>
      <c r="C142" s="1435"/>
      <c r="D142" s="599" t="s">
        <v>132</v>
      </c>
      <c r="E142" s="599"/>
      <c r="F142" s="1184"/>
      <c r="G142" s="536">
        <f>G35+G43+G49+G57</f>
        <v>5755</v>
      </c>
      <c r="H142" s="536">
        <f>G142+'4'!H142</f>
        <v>29005.120000000068</v>
      </c>
      <c r="I142" s="556"/>
      <c r="J142" s="629">
        <f>H142/DAY(B2)</f>
        <v>5801.024000000014</v>
      </c>
      <c r="K142" s="411"/>
      <c r="L142" s="408"/>
      <c r="N142" s="413"/>
    </row>
    <row r="143" spans="1:14" ht="27.75">
      <c r="A143" s="1433" t="s">
        <v>252</v>
      </c>
      <c r="B143" s="1434"/>
      <c r="C143" s="1435"/>
      <c r="D143" s="599" t="s">
        <v>24</v>
      </c>
      <c r="E143" s="587"/>
      <c r="F143" s="1331"/>
      <c r="G143" s="620">
        <f>G142/G7</f>
        <v>0.28223235741258396</v>
      </c>
      <c r="H143" s="536">
        <f>G143+'4'!H143</f>
        <v>1.182773332076327</v>
      </c>
      <c r="I143" s="621"/>
      <c r="J143" s="629">
        <f>H143/DAY(B2)</f>
        <v>0.2365546664152654</v>
      </c>
      <c r="K143" s="411"/>
      <c r="L143" s="408"/>
      <c r="N143" s="413"/>
    </row>
    <row r="144" spans="1:14" ht="27.75">
      <c r="A144" s="1433" t="s">
        <v>253</v>
      </c>
      <c r="B144" s="1434"/>
      <c r="C144" s="1435"/>
      <c r="D144" s="599" t="s">
        <v>132</v>
      </c>
      <c r="E144" s="531"/>
      <c r="F144" s="1339"/>
      <c r="G144" s="536">
        <f>G41+G42+G55+G56</f>
        <v>4900.739999999998</v>
      </c>
      <c r="H144" s="536">
        <f>G144+'4'!H144</f>
        <v>25434.799999999967</v>
      </c>
      <c r="I144" s="556"/>
      <c r="J144" s="629">
        <f>H144/DAY(B2)</f>
        <v>5086.9599999999937</v>
      </c>
      <c r="K144" s="411"/>
      <c r="L144" s="408"/>
      <c r="N144" s="413"/>
    </row>
    <row r="145" spans="1:14" ht="27.75">
      <c r="A145" s="1433" t="s">
        <v>254</v>
      </c>
      <c r="B145" s="1434"/>
      <c r="C145" s="1435"/>
      <c r="D145" s="599" t="s">
        <v>24</v>
      </c>
      <c r="E145" s="531"/>
      <c r="F145" s="1339"/>
      <c r="G145" s="620">
        <f>G144/G7</f>
        <v>0.24033838458143289</v>
      </c>
      <c r="H145" s="536">
        <f>G145+'4'!H145</f>
        <v>1.1956203608376716</v>
      </c>
      <c r="I145" s="621"/>
      <c r="J145" s="629">
        <f>H145/DAY(B2)</f>
        <v>0.23912407216753434</v>
      </c>
      <c r="K145" s="411"/>
      <c r="L145" s="408"/>
      <c r="N145" s="413"/>
    </row>
    <row r="146" spans="1:14" ht="27.75">
      <c r="A146" s="1433" t="s">
        <v>255</v>
      </c>
      <c r="B146" s="1434"/>
      <c r="C146" s="1435"/>
      <c r="D146" s="599" t="s">
        <v>132</v>
      </c>
      <c r="E146" s="531"/>
      <c r="F146" s="1339"/>
      <c r="G146" s="536">
        <f>G39+G53</f>
        <v>104331</v>
      </c>
      <c r="H146" s="536">
        <f>G146+'4'!H146</f>
        <v>121548.37999999999</v>
      </c>
      <c r="I146" s="622"/>
      <c r="J146" s="629">
        <f>H146/DAY(B2)</f>
        <v>24309.675999999999</v>
      </c>
      <c r="K146" s="411"/>
      <c r="L146" s="408"/>
      <c r="N146" s="413"/>
    </row>
    <row r="147" spans="1:14" ht="27.75">
      <c r="A147" s="1433" t="s">
        <v>256</v>
      </c>
      <c r="B147" s="1434"/>
      <c r="C147" s="1435"/>
      <c r="D147" s="599" t="s">
        <v>24</v>
      </c>
      <c r="E147" s="531"/>
      <c r="F147" s="1339"/>
      <c r="G147" s="620">
        <f>G146/G7</f>
        <v>5.1165219949977931</v>
      </c>
      <c r="H147" s="536">
        <f>G147+'4'!H147</f>
        <v>5.9217489265667549</v>
      </c>
      <c r="I147" s="622"/>
      <c r="J147" s="629">
        <f>H147/DAY(B2)</f>
        <v>1.1843497853133509</v>
      </c>
      <c r="N147" s="413"/>
    </row>
    <row r="148" spans="1:14" ht="27.75">
      <c r="A148" s="1433" t="s">
        <v>257</v>
      </c>
      <c r="B148" s="1434"/>
      <c r="C148" s="1435"/>
      <c r="D148" s="599" t="s">
        <v>183</v>
      </c>
      <c r="E148" s="531"/>
      <c r="F148" s="1339"/>
      <c r="G148" s="536">
        <f>G38+G52</f>
        <v>1822</v>
      </c>
      <c r="H148" s="536">
        <f>G148+'4'!H148</f>
        <v>10234.799999999981</v>
      </c>
      <c r="I148" s="556"/>
      <c r="J148" s="629">
        <f>H148/DAY(B2)</f>
        <v>2046.9599999999962</v>
      </c>
      <c r="K148" s="412"/>
      <c r="N148" s="413"/>
    </row>
    <row r="149" spans="1:14" ht="27.75">
      <c r="A149" s="1433" t="s">
        <v>258</v>
      </c>
      <c r="B149" s="1434"/>
      <c r="C149" s="1435"/>
      <c r="D149" s="599" t="s">
        <v>24</v>
      </c>
      <c r="E149" s="531"/>
      <c r="F149" s="1339"/>
      <c r="G149" s="620">
        <f>G148/G7</f>
        <v>8.9353145995782451E-2</v>
      </c>
      <c r="H149" s="536">
        <f>G149+'4'!H149</f>
        <v>0.48278412338263288</v>
      </c>
      <c r="I149" s="622"/>
      <c r="J149" s="629">
        <f>H149/DAY(B2)</f>
        <v>9.655682467652657E-2</v>
      </c>
      <c r="N149" s="413"/>
    </row>
    <row r="150" spans="1:14" ht="27.75">
      <c r="A150" s="1433" t="s">
        <v>259</v>
      </c>
      <c r="B150" s="1434"/>
      <c r="C150" s="1435"/>
      <c r="D150" s="599" t="s">
        <v>183</v>
      </c>
      <c r="E150" s="531"/>
      <c r="F150" s="1339"/>
      <c r="G150" s="536">
        <f>G36+G50</f>
        <v>1588</v>
      </c>
      <c r="H150" s="536">
        <f>G150+'4'!H150</f>
        <v>9596.3999999999651</v>
      </c>
      <c r="I150" s="622"/>
      <c r="J150" s="629">
        <f>H150/DAY(B2)</f>
        <v>1919.2799999999929</v>
      </c>
      <c r="N150" s="413"/>
    </row>
    <row r="151" spans="1:14" ht="27.75">
      <c r="A151" s="1433" t="s">
        <v>260</v>
      </c>
      <c r="B151" s="1434"/>
      <c r="C151" s="1435"/>
      <c r="D151" s="599" t="s">
        <v>24</v>
      </c>
      <c r="E151" s="531"/>
      <c r="F151" s="1339"/>
      <c r="G151" s="620">
        <f>G150/G7</f>
        <v>7.7877494973272524E-2</v>
      </c>
      <c r="H151" s="536">
        <f>G151+'4'!H151</f>
        <v>0.44984083228084432</v>
      </c>
      <c r="I151" s="556"/>
      <c r="J151" s="629">
        <f>H151/DAY(B2)</f>
        <v>8.9968166456168869E-2</v>
      </c>
      <c r="N151" s="413"/>
    </row>
    <row r="152" spans="1:14" ht="27.75">
      <c r="A152" s="1433" t="s">
        <v>261</v>
      </c>
      <c r="B152" s="1434"/>
      <c r="C152" s="1435"/>
      <c r="D152" s="599" t="s">
        <v>183</v>
      </c>
      <c r="E152" s="531"/>
      <c r="F152" s="1339"/>
      <c r="G152" s="536">
        <f>G37+G51</f>
        <v>36659</v>
      </c>
      <c r="H152" s="536">
        <f>G152+'4'!H152</f>
        <v>42524.160000000003</v>
      </c>
      <c r="I152" s="556"/>
      <c r="J152" s="629">
        <f>H152/DAY(B2)</f>
        <v>8504.8320000000003</v>
      </c>
      <c r="N152" s="413"/>
    </row>
    <row r="153" spans="1:14" ht="28.5" thickBot="1">
      <c r="A153" s="1465" t="s">
        <v>262</v>
      </c>
      <c r="B153" s="1466"/>
      <c r="C153" s="1467"/>
      <c r="D153" s="702" t="s">
        <v>24</v>
      </c>
      <c r="E153" s="642"/>
      <c r="F153" s="1359"/>
      <c r="G153" s="643">
        <f>G152/G7</f>
        <v>1.7978029522828698</v>
      </c>
      <c r="H153" s="536">
        <f>G153+'4'!H153</f>
        <v>2.0724778614739581</v>
      </c>
      <c r="I153" s="645"/>
      <c r="J153" s="646">
        <f>H153/DAY(B2)</f>
        <v>0.41449557229479161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83" t="s">
        <v>267</v>
      </c>
      <c r="B157" s="1484"/>
      <c r="C157" s="1484"/>
      <c r="D157" s="1484"/>
      <c r="E157" s="1484"/>
      <c r="F157" s="1484"/>
      <c r="G157" s="1485"/>
    </row>
    <row r="158" spans="1:14">
      <c r="A158" s="867"/>
      <c r="B158" s="868"/>
      <c r="C158" s="868"/>
      <c r="D158" s="587"/>
      <c r="E158" s="531"/>
      <c r="F158" s="739"/>
      <c r="G158" s="549"/>
    </row>
    <row r="159" spans="1:14">
      <c r="A159" s="867"/>
      <c r="B159" s="868"/>
      <c r="C159" s="868"/>
      <c r="D159" s="587"/>
      <c r="E159" s="531"/>
      <c r="F159" s="739"/>
      <c r="G159" s="549"/>
    </row>
    <row r="160" spans="1:14">
      <c r="A160" s="867" t="s">
        <v>263</v>
      </c>
      <c r="B160" s="868"/>
      <c r="C160" s="868"/>
      <c r="D160" s="587" t="s">
        <v>187</v>
      </c>
      <c r="E160" s="739">
        <v>28760</v>
      </c>
      <c r="F160" s="739">
        <v>31220</v>
      </c>
      <c r="G160" s="549">
        <f t="shared" ref="G160:G171" si="17">F160-E160</f>
        <v>2460</v>
      </c>
    </row>
    <row r="161" spans="1:7">
      <c r="A161" s="867" t="s">
        <v>264</v>
      </c>
      <c r="B161" s="868"/>
      <c r="C161" s="868"/>
      <c r="D161" s="587" t="s">
        <v>187</v>
      </c>
      <c r="E161" s="739">
        <v>44539</v>
      </c>
      <c r="F161" s="739">
        <v>57341</v>
      </c>
      <c r="G161" s="549">
        <f t="shared" si="17"/>
        <v>12802</v>
      </c>
    </row>
    <row r="162" spans="1:7">
      <c r="A162" s="867" t="s">
        <v>265</v>
      </c>
      <c r="B162" s="868"/>
      <c r="C162" s="868"/>
      <c r="D162" s="587" t="s">
        <v>187</v>
      </c>
      <c r="E162" s="739">
        <v>13657</v>
      </c>
      <c r="F162" s="739">
        <v>21975</v>
      </c>
      <c r="G162" s="549">
        <f t="shared" si="17"/>
        <v>8318</v>
      </c>
    </row>
    <row r="163" spans="1:7">
      <c r="A163" s="867" t="s">
        <v>266</v>
      </c>
      <c r="B163" s="868"/>
      <c r="C163" s="868"/>
      <c r="D163" s="587" t="s">
        <v>187</v>
      </c>
      <c r="E163" s="739">
        <v>5067</v>
      </c>
      <c r="F163" s="739">
        <v>5494</v>
      </c>
      <c r="G163" s="549">
        <f t="shared" si="17"/>
        <v>427</v>
      </c>
    </row>
    <row r="164" spans="1:7">
      <c r="A164" s="869" t="s">
        <v>98</v>
      </c>
      <c r="B164" s="681"/>
      <c r="C164" s="681"/>
      <c r="D164" s="587" t="s">
        <v>187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69" t="s">
        <v>188</v>
      </c>
      <c r="B165" s="681"/>
      <c r="C165" s="681"/>
      <c r="D165" s="587" t="s">
        <v>187</v>
      </c>
      <c r="E165" s="590">
        <f t="shared" ref="E165" si="18">E63</f>
        <v>1760</v>
      </c>
      <c r="F165" s="590">
        <f t="shared" ref="F165:F171" si="19">F63</f>
        <v>1771</v>
      </c>
      <c r="G165" s="549">
        <f t="shared" si="17"/>
        <v>11</v>
      </c>
    </row>
    <row r="166" spans="1:7" ht="27.75">
      <c r="A166" s="1482" t="s">
        <v>99</v>
      </c>
      <c r="B166" s="1482"/>
      <c r="C166" s="1482"/>
      <c r="D166" s="599" t="s">
        <v>187</v>
      </c>
      <c r="E166" s="590">
        <f t="shared" ref="E166" si="20">E64</f>
        <v>125668</v>
      </c>
      <c r="F166" s="590">
        <f t="shared" si="19"/>
        <v>126210</v>
      </c>
      <c r="G166" s="549">
        <f t="shared" si="17"/>
        <v>542</v>
      </c>
    </row>
    <row r="167" spans="1:7" ht="27.75">
      <c r="A167" s="1482" t="s">
        <v>100</v>
      </c>
      <c r="B167" s="1482"/>
      <c r="C167" s="1482"/>
      <c r="D167" s="599" t="s">
        <v>187</v>
      </c>
      <c r="E167" s="590">
        <f t="shared" ref="E167" si="21">E65</f>
        <v>134126</v>
      </c>
      <c r="F167" s="590">
        <f t="shared" si="19"/>
        <v>134499</v>
      </c>
      <c r="G167" s="549">
        <f t="shared" si="17"/>
        <v>373</v>
      </c>
    </row>
    <row r="168" spans="1:7" ht="27.75">
      <c r="A168" s="1482" t="s">
        <v>101</v>
      </c>
      <c r="B168" s="1482"/>
      <c r="C168" s="1482"/>
      <c r="D168" s="599" t="s">
        <v>187</v>
      </c>
      <c r="E168" s="590">
        <f t="shared" ref="E168" si="22">E66</f>
        <v>26815</v>
      </c>
      <c r="F168" s="590">
        <f t="shared" si="19"/>
        <v>27210</v>
      </c>
      <c r="G168" s="549">
        <f t="shared" si="17"/>
        <v>395</v>
      </c>
    </row>
    <row r="169" spans="1:7" ht="27.75">
      <c r="A169" s="1482" t="s">
        <v>102</v>
      </c>
      <c r="B169" s="1482"/>
      <c r="C169" s="1482"/>
      <c r="D169" s="599" t="s">
        <v>187</v>
      </c>
      <c r="E169" s="590">
        <f t="shared" ref="E169" si="23">E67</f>
        <v>210580</v>
      </c>
      <c r="F169" s="590">
        <f t="shared" si="19"/>
        <v>211254</v>
      </c>
      <c r="G169" s="549">
        <f t="shared" si="17"/>
        <v>674</v>
      </c>
    </row>
    <row r="170" spans="1:7" ht="27.75">
      <c r="A170" s="1482" t="s">
        <v>103</v>
      </c>
      <c r="B170" s="1482"/>
      <c r="C170" s="1482"/>
      <c r="D170" s="599" t="s">
        <v>187</v>
      </c>
      <c r="E170" s="590">
        <f t="shared" ref="E170" si="24">E68</f>
        <v>74083</v>
      </c>
      <c r="F170" s="590">
        <f t="shared" si="19"/>
        <v>74412</v>
      </c>
      <c r="G170" s="549">
        <f t="shared" si="17"/>
        <v>329</v>
      </c>
    </row>
    <row r="171" spans="1:7" ht="27.75">
      <c r="A171" s="1482" t="s">
        <v>104</v>
      </c>
      <c r="B171" s="1482"/>
      <c r="C171" s="1482"/>
      <c r="D171" s="599" t="s">
        <v>187</v>
      </c>
      <c r="E171" s="590">
        <f t="shared" ref="E171" si="25">E69</f>
        <v>65740</v>
      </c>
      <c r="F171" s="590">
        <f t="shared" si="19"/>
        <v>66061</v>
      </c>
      <c r="G171" s="549">
        <f t="shared" si="17"/>
        <v>321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34" zoomScale="55" zoomScaleSheetLayoutView="55" workbookViewId="0">
      <selection activeCell="F35" sqref="F35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7" s="281" customFormat="1" ht="27">
      <c r="A2" s="652" t="s">
        <v>356</v>
      </c>
      <c r="B2" s="1117">
        <v>44261</v>
      </c>
      <c r="C2" s="1231" t="s">
        <v>69</v>
      </c>
      <c r="D2" s="688">
        <v>0.8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7" s="281" customFormat="1" ht="27">
      <c r="A3" s="647"/>
      <c r="B3" s="691"/>
      <c r="C3" s="1231" t="s">
        <v>120</v>
      </c>
      <c r="D3" s="689">
        <v>29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31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123</v>
      </c>
      <c r="B5" s="535"/>
      <c r="C5" s="535"/>
      <c r="D5" s="587"/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7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131</v>
      </c>
      <c r="B7" s="758"/>
      <c r="C7" s="758"/>
      <c r="D7" s="715" t="s">
        <v>132</v>
      </c>
      <c r="E7" s="710">
        <f>'5'!F7</f>
        <v>4551145</v>
      </c>
      <c r="F7" s="531">
        <v>4573016</v>
      </c>
      <c r="G7" s="770">
        <f>F7-E7</f>
        <v>21871</v>
      </c>
      <c r="H7" s="760">
        <f>G7+'5'!H7</f>
        <v>127939</v>
      </c>
      <c r="I7" s="761">
        <f>'1'!I7</f>
        <v>12000</v>
      </c>
      <c r="J7" s="762">
        <f>H7/DAY(B2)</f>
        <v>21323.166666666668</v>
      </c>
      <c r="K7" s="626"/>
      <c r="L7" s="408"/>
      <c r="N7" s="790"/>
    </row>
    <row r="8" spans="1:17" ht="27.75" thickBot="1">
      <c r="A8" s="763" t="s">
        <v>133</v>
      </c>
      <c r="B8" s="764"/>
      <c r="C8" s="765"/>
      <c r="D8" s="766" t="s">
        <v>25</v>
      </c>
      <c r="E8" s="710">
        <f>'5'!F8</f>
        <v>4579962</v>
      </c>
      <c r="F8" s="551">
        <v>4601933</v>
      </c>
      <c r="G8" s="770">
        <f t="shared" ref="G8:G12" si="0">F8-E8</f>
        <v>21971</v>
      </c>
      <c r="H8" s="760">
        <f>G8+'5'!H8</f>
        <v>128777</v>
      </c>
      <c r="I8" s="767">
        <v>12000</v>
      </c>
      <c r="J8" s="762">
        <f>H8/DAY(B2)</f>
        <v>21462.833333333332</v>
      </c>
      <c r="K8" s="626"/>
      <c r="L8" s="464"/>
      <c r="M8" s="479"/>
      <c r="N8" s="784"/>
      <c r="O8" s="413"/>
    </row>
    <row r="9" spans="1:17">
      <c r="A9" s="768" t="s">
        <v>134</v>
      </c>
      <c r="B9" s="769"/>
      <c r="C9" s="769"/>
      <c r="D9" s="715" t="s">
        <v>132</v>
      </c>
      <c r="E9" s="710">
        <f>'5'!F9</f>
        <v>124353.81</v>
      </c>
      <c r="F9" s="554">
        <v>124354</v>
      </c>
      <c r="G9" s="770">
        <f t="shared" si="0"/>
        <v>0.19000000000232831</v>
      </c>
      <c r="H9" s="760">
        <f>G9+'5'!H9</f>
        <v>37444.990000000005</v>
      </c>
      <c r="I9" s="771">
        <f>I8-J8</f>
        <v>-9462.8333333333321</v>
      </c>
      <c r="J9" s="762">
        <f>H9/DAY(B2)</f>
        <v>6240.8316666666678</v>
      </c>
      <c r="K9" s="467"/>
      <c r="L9" s="408"/>
      <c r="N9" s="413"/>
      <c r="O9" s="479"/>
    </row>
    <row r="10" spans="1:17">
      <c r="A10" s="757" t="s">
        <v>135</v>
      </c>
      <c r="B10" s="758"/>
      <c r="C10" s="758"/>
      <c r="D10" s="715" t="s">
        <v>132</v>
      </c>
      <c r="E10" s="710">
        <f>'5'!F10</f>
        <v>90883.22</v>
      </c>
      <c r="F10" s="554">
        <v>111959</v>
      </c>
      <c r="G10" s="770">
        <f t="shared" si="0"/>
        <v>21075.78</v>
      </c>
      <c r="H10" s="760">
        <f>G10+'5'!H10</f>
        <v>86263.44</v>
      </c>
      <c r="I10" s="772"/>
      <c r="J10" s="762">
        <f>H10/DAY(B2)</f>
        <v>14377.24</v>
      </c>
      <c r="K10" s="467"/>
      <c r="L10" s="408"/>
      <c r="N10" s="413"/>
      <c r="O10" s="479"/>
      <c r="Q10" s="479"/>
    </row>
    <row r="11" spans="1:17">
      <c r="A11" s="757" t="s">
        <v>136</v>
      </c>
      <c r="B11" s="758"/>
      <c r="C11" s="758"/>
      <c r="D11" s="715" t="s">
        <v>132</v>
      </c>
      <c r="E11" s="710">
        <v>37000</v>
      </c>
      <c r="F11" s="531">
        <v>37000</v>
      </c>
      <c r="G11" s="770">
        <f t="shared" si="0"/>
        <v>0</v>
      </c>
      <c r="H11" s="760">
        <f>G11+'5'!H11</f>
        <v>-2000</v>
      </c>
      <c r="I11" s="772"/>
      <c r="J11" s="762">
        <f>H11/DAY(B2)</f>
        <v>-333.33333333333331</v>
      </c>
      <c r="K11" s="467"/>
      <c r="L11" s="408"/>
      <c r="N11" s="413"/>
      <c r="O11" s="479"/>
      <c r="Q11" s="479"/>
    </row>
    <row r="12" spans="1:17">
      <c r="A12" s="757" t="s">
        <v>137</v>
      </c>
      <c r="B12" s="758"/>
      <c r="C12" s="758"/>
      <c r="D12" s="715" t="s">
        <v>132</v>
      </c>
      <c r="E12" s="710">
        <v>40010</v>
      </c>
      <c r="F12" s="554">
        <v>40010</v>
      </c>
      <c r="G12" s="770">
        <f t="shared" si="0"/>
        <v>0</v>
      </c>
      <c r="H12" s="760">
        <f>G12+'5'!H12</f>
        <v>-2000</v>
      </c>
      <c r="I12" s="772"/>
      <c r="J12" s="762">
        <f>H12/DAY(B2)</f>
        <v>-333.33333333333331</v>
      </c>
      <c r="K12" s="467"/>
      <c r="L12" s="408"/>
      <c r="N12" s="413"/>
      <c r="O12" s="479"/>
      <c r="Q12" s="479"/>
    </row>
    <row r="13" spans="1:17">
      <c r="A13" s="773" t="s">
        <v>138</v>
      </c>
      <c r="B13" s="774"/>
      <c r="C13" s="774"/>
      <c r="D13" s="715"/>
      <c r="E13" s="710"/>
      <c r="F13" s="531"/>
      <c r="G13" s="775">
        <f>G9+G10+G11+G12</f>
        <v>21075.97</v>
      </c>
      <c r="H13" s="760">
        <f>G13+'5'!H13</f>
        <v>119708.43</v>
      </c>
      <c r="I13" s="776">
        <f>G7-G13</f>
        <v>795.02999999999884</v>
      </c>
      <c r="J13" s="762">
        <f>H13/DAY(B2)</f>
        <v>19951.404999999999</v>
      </c>
      <c r="K13" s="467"/>
      <c r="L13" s="408"/>
      <c r="N13" s="413"/>
      <c r="O13" s="479"/>
      <c r="Q13" s="479"/>
    </row>
    <row r="14" spans="1:17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75" t="s">
        <v>140</v>
      </c>
      <c r="B15" s="870"/>
      <c r="C15" s="870"/>
      <c r="D15" s="600" t="s">
        <v>141</v>
      </c>
      <c r="E15" s="561">
        <f>'5'!F15</f>
        <v>1624360.64</v>
      </c>
      <c r="F15" s="561">
        <v>1625305</v>
      </c>
      <c r="G15" s="549">
        <f>(F15-E15)</f>
        <v>944.36000000010245</v>
      </c>
      <c r="H15" s="562">
        <f>G15+'5'!H15</f>
        <v>5426.3899999998976</v>
      </c>
      <c r="I15" s="550">
        <v>800</v>
      </c>
      <c r="J15" s="630">
        <f>H15/DAY(B2)</f>
        <v>904.39833333331626</v>
      </c>
      <c r="K15" s="467"/>
      <c r="L15" s="408"/>
      <c r="N15" s="413"/>
    </row>
    <row r="16" spans="1:17">
      <c r="A16" s="873"/>
      <c r="B16" s="874"/>
      <c r="C16" s="874"/>
      <c r="D16" s="871"/>
      <c r="E16" s="872"/>
      <c r="F16" s="561"/>
      <c r="G16" s="1121"/>
      <c r="H16" s="1138"/>
      <c r="I16" s="563">
        <f>I15-J15</f>
        <v>-104.39833333331626</v>
      </c>
      <c r="J16" s="1139"/>
      <c r="K16" s="467"/>
      <c r="L16" s="408"/>
      <c r="N16" s="413"/>
    </row>
    <row r="17" spans="1:14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86" t="s">
        <v>143</v>
      </c>
      <c r="B18" s="1487"/>
      <c r="C18" s="1488"/>
      <c r="D18" s="717" t="s">
        <v>144</v>
      </c>
      <c r="E18" s="714">
        <f>'5'!F18</f>
        <v>14</v>
      </c>
      <c r="F18" s="561">
        <v>14</v>
      </c>
      <c r="G18" s="770">
        <f>F18*10</f>
        <v>140</v>
      </c>
      <c r="H18" s="760">
        <f>G18+'5'!H18</f>
        <v>880</v>
      </c>
      <c r="I18" s="761">
        <f>'1'!I18</f>
        <v>65</v>
      </c>
      <c r="J18" s="762">
        <f>H18/DAY(B2)</f>
        <v>146.66666666666666</v>
      </c>
      <c r="K18" s="467"/>
      <c r="L18" s="408"/>
      <c r="N18" s="413"/>
    </row>
    <row r="19" spans="1:14" ht="27.75">
      <c r="A19" s="1486" t="s">
        <v>71</v>
      </c>
      <c r="B19" s="1487"/>
      <c r="C19" s="1488"/>
      <c r="D19" s="715" t="s">
        <v>144</v>
      </c>
      <c r="E19" s="712">
        <f>'5'!F19</f>
        <v>134723</v>
      </c>
      <c r="F19" s="554">
        <v>134774</v>
      </c>
      <c r="G19" s="770">
        <f t="shared" ref="G19" si="1">F19-E19</f>
        <v>51</v>
      </c>
      <c r="H19" s="760">
        <f>G19+'5'!H19</f>
        <v>306</v>
      </c>
      <c r="I19" s="777"/>
      <c r="J19" s="762">
        <f>H19/DAY(B2)</f>
        <v>51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599"/>
      <c r="G20" s="778">
        <f>G18+G19</f>
        <v>191</v>
      </c>
      <c r="H20" s="760">
        <f>G20+'5'!H20</f>
        <v>1186</v>
      </c>
      <c r="I20" s="779">
        <f>I18-J20</f>
        <v>-132.66666666666666</v>
      </c>
      <c r="J20" s="762">
        <f>H20/DAY(B2)</f>
        <v>197.66666666666666</v>
      </c>
      <c r="K20" s="467"/>
      <c r="L20" s="408"/>
      <c r="N20" s="413"/>
    </row>
    <row r="21" spans="1:14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29" t="s">
        <v>147</v>
      </c>
      <c r="B22" s="666"/>
      <c r="C22" s="666"/>
      <c r="D22" s="599" t="s">
        <v>148</v>
      </c>
      <c r="E22" s="712">
        <f>'5'!F22</f>
        <v>2970</v>
      </c>
      <c r="F22" s="554">
        <v>2970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29" t="s">
        <v>149</v>
      </c>
      <c r="B23" s="666"/>
      <c r="C23" s="666"/>
      <c r="D23" s="599" t="s">
        <v>148</v>
      </c>
      <c r="E23" s="712">
        <f>'5'!F23</f>
        <v>2900</v>
      </c>
      <c r="F23" s="554">
        <v>2900</v>
      </c>
      <c r="G23" s="557">
        <v>0</v>
      </c>
      <c r="H23" s="536">
        <f>G23+'5'!H23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712">
        <f>'5'!F24</f>
        <v>4250</v>
      </c>
      <c r="F24" s="561">
        <v>4250</v>
      </c>
      <c r="G24" s="557">
        <v>0</v>
      </c>
      <c r="H24" s="536">
        <f>G24+'5'!H24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21971</v>
      </c>
      <c r="F27" s="577">
        <v>9</v>
      </c>
      <c r="G27" s="578">
        <f>E27*F27</f>
        <v>197739</v>
      </c>
      <c r="H27" s="536">
        <f>G27+'5'!H27</f>
        <v>1158993</v>
      </c>
      <c r="I27" s="579"/>
      <c r="J27" s="629">
        <f>H27/DAY(B2)</f>
        <v>193165.5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944.36000000010245</v>
      </c>
      <c r="F28" s="577">
        <v>43.5</v>
      </c>
      <c r="G28" s="578">
        <f t="shared" ref="G28:G31" si="3">E28*F28</f>
        <v>41079.660000004456</v>
      </c>
      <c r="H28" s="536">
        <f>G28+'5'!H28</f>
        <v>255353.503199995</v>
      </c>
      <c r="I28" s="581"/>
      <c r="J28" s="629">
        <f>H28/DAY(B2)</f>
        <v>42558.917199999167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716">
        <v>69</v>
      </c>
      <c r="G29" s="578">
        <f t="shared" si="3"/>
        <v>0</v>
      </c>
      <c r="H29" s="536">
        <f>G29+'5'!H29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716">
        <v>134</v>
      </c>
      <c r="G30" s="578">
        <f t="shared" si="3"/>
        <v>6834</v>
      </c>
      <c r="H30" s="536">
        <f>G30+'5'!H30</f>
        <v>58692</v>
      </c>
      <c r="I30" s="581"/>
      <c r="J30" s="629">
        <f>H30/DAY(B2)</f>
        <v>9782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140</v>
      </c>
      <c r="F31" s="716">
        <v>80</v>
      </c>
      <c r="G31" s="578">
        <f t="shared" si="3"/>
        <v>11200</v>
      </c>
      <c r="H31" s="536">
        <f>G31+'5'!H31</f>
        <v>59840</v>
      </c>
      <c r="I31" s="581"/>
      <c r="J31" s="629">
        <f>H31/DAY(B2)</f>
        <v>9973.3333333333339</v>
      </c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256852.66000000446</v>
      </c>
      <c r="H32" s="536">
        <f>G32+'5'!H32</f>
        <v>1532878.503199995</v>
      </c>
      <c r="I32" s="585"/>
      <c r="J32" s="629">
        <f>H32/DAY(B2)</f>
        <v>255479.7505333325</v>
      </c>
      <c r="K32" s="404"/>
      <c r="L32" s="484"/>
      <c r="N32" s="413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</row>
    <row r="34" spans="1:14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'5'!F35</f>
        <v>709840</v>
      </c>
      <c r="F35" s="586">
        <v>713324</v>
      </c>
      <c r="G35" s="549">
        <f t="shared" ref="G35:G46" si="4">F35-E35</f>
        <v>3484</v>
      </c>
      <c r="H35" s="536">
        <f>G35+'5'!H35</f>
        <v>20236.410000000033</v>
      </c>
      <c r="I35" s="531"/>
      <c r="J35" s="629">
        <f>H35/DAY(B2)</f>
        <v>3372.7350000000056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'5'!F36</f>
        <v>299700</v>
      </c>
      <c r="F36" s="586">
        <v>300324</v>
      </c>
      <c r="G36" s="549">
        <f t="shared" si="4"/>
        <v>624</v>
      </c>
      <c r="H36" s="536">
        <f>G36+'5'!H36</f>
        <v>3878.429999999993</v>
      </c>
      <c r="I36" s="531"/>
      <c r="J36" s="629">
        <f>H36/DAY(B2)</f>
        <v>646.40499999999884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f>'5'!F37</f>
        <v>35167</v>
      </c>
      <c r="F37" s="586">
        <v>35167</v>
      </c>
      <c r="G37" s="549">
        <f t="shared" si="4"/>
        <v>0</v>
      </c>
      <c r="H37" s="536">
        <f>G37+'5'!H37</f>
        <v>38272.080000000002</v>
      </c>
      <c r="I37" s="531"/>
      <c r="J37" s="629">
        <f>H37/DAY(B2)</f>
        <v>6378.68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45">
        <f>'5'!F38</f>
        <v>48333</v>
      </c>
      <c r="F38" s="545">
        <v>48333</v>
      </c>
      <c r="G38" s="549">
        <f t="shared" si="4"/>
        <v>0</v>
      </c>
      <c r="H38" s="536">
        <f>G38+'5'!H38</f>
        <v>4519.510000000002</v>
      </c>
      <c r="I38" s="531"/>
      <c r="J38" s="629">
        <f>H38/DAY(B2)</f>
        <v>753.25166666666701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f>'5'!F39</f>
        <v>100066</v>
      </c>
      <c r="F39" s="586">
        <v>100066</v>
      </c>
      <c r="G39" s="549">
        <f t="shared" si="4"/>
        <v>0</v>
      </c>
      <c r="H39" s="536">
        <f>G39+'5'!H39</f>
        <v>109458.89</v>
      </c>
      <c r="I39" s="531"/>
      <c r="J39" s="629">
        <f>H39/DAY(B2)</f>
        <v>18243.148333333334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'5'!F41</f>
        <v>63881.74</v>
      </c>
      <c r="F41" s="586">
        <v>63881.74</v>
      </c>
      <c r="G41" s="549">
        <f>F41-E41</f>
        <v>0</v>
      </c>
      <c r="H41" s="536">
        <f>G41+'5'!H41</f>
        <v>-0.63000000000465661</v>
      </c>
      <c r="I41" s="531"/>
      <c r="J41" s="629">
        <f>H41/DAY(B2)</f>
        <v>-0.1050000000007761</v>
      </c>
      <c r="K41" s="467"/>
      <c r="L41" s="408"/>
      <c r="N41" s="413"/>
    </row>
    <row r="42" spans="1:14">
      <c r="A42" s="655" t="s">
        <v>171</v>
      </c>
      <c r="B42" s="656"/>
      <c r="C42" s="656"/>
      <c r="D42" s="599" t="s">
        <v>132</v>
      </c>
      <c r="E42" s="586">
        <f>'5'!F42</f>
        <v>59128</v>
      </c>
      <c r="F42" s="586">
        <v>59128</v>
      </c>
      <c r="G42" s="549">
        <f t="shared" si="4"/>
        <v>0</v>
      </c>
      <c r="H42" s="536">
        <f>G42+'5'!H42</f>
        <v>-0.84999999999854481</v>
      </c>
      <c r="I42" s="531"/>
      <c r="J42" s="629">
        <f>H42/DAY(B2)</f>
        <v>-0.14166666666642413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'5'!F43</f>
        <v>838151</v>
      </c>
      <c r="F43" s="586">
        <v>840588</v>
      </c>
      <c r="G43" s="549">
        <f t="shared" si="4"/>
        <v>2437</v>
      </c>
      <c r="H43" s="536">
        <f>G43+'5'!H43</f>
        <v>14690.170000000042</v>
      </c>
      <c r="I43" s="531"/>
      <c r="J43" s="629">
        <f>H43/DAY(B2)</f>
        <v>2448.3616666666735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0</v>
      </c>
      <c r="I45" s="531"/>
      <c r="J45" s="629">
        <f>H45/DAY(B2)</f>
        <v>0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0</v>
      </c>
      <c r="I46" s="531"/>
      <c r="J46" s="629">
        <f>H46/DAY(B2)</f>
        <v>0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6545</v>
      </c>
      <c r="H47" s="536">
        <f>G47+'5'!H47</f>
        <v>191054.01000000007</v>
      </c>
      <c r="I47" s="531"/>
      <c r="J47" s="629">
        <f>H47/DAY(B2)</f>
        <v>31842.33500000001</v>
      </c>
      <c r="K47" s="467"/>
      <c r="L47" s="408"/>
      <c r="N47" s="413"/>
    </row>
    <row r="48" spans="1:14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'5'!F49</f>
        <v>260732</v>
      </c>
      <c r="F49" s="1119">
        <v>260732</v>
      </c>
      <c r="G49" s="549">
        <f t="shared" ref="G49:G58" si="5">F49-E49</f>
        <v>0</v>
      </c>
      <c r="H49" s="536">
        <f>G49+'5'!H49</f>
        <v>-0.13000000000465661</v>
      </c>
      <c r="I49" s="531"/>
      <c r="J49" s="629">
        <f>H49/DAY(B2)</f>
        <v>-2.1666666667442769E-2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'5'!F50</f>
        <v>408805</v>
      </c>
      <c r="F50" s="586">
        <v>409848</v>
      </c>
      <c r="G50" s="549">
        <f t="shared" si="5"/>
        <v>1043</v>
      </c>
      <c r="H50" s="536">
        <f>G50+'5'!H50</f>
        <v>7384.9699999999721</v>
      </c>
      <c r="I50" s="531"/>
      <c r="J50" s="629">
        <f>H50/DAY(B2)</f>
        <v>1230.8283333333286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'5'!F51</f>
        <v>124303</v>
      </c>
      <c r="F51" s="586">
        <v>125821</v>
      </c>
      <c r="G51" s="549">
        <f t="shared" si="5"/>
        <v>1518</v>
      </c>
      <c r="H51" s="536">
        <f>G51+'5'!H51</f>
        <v>5770.0800000000017</v>
      </c>
      <c r="I51" s="531"/>
      <c r="J51" s="629">
        <f>H51/DAY(B2)</f>
        <v>961.68000000000029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'5'!F52</f>
        <v>513628</v>
      </c>
      <c r="F52" s="586">
        <v>515751</v>
      </c>
      <c r="G52" s="549">
        <f t="shared" si="5"/>
        <v>2123</v>
      </c>
      <c r="H52" s="536">
        <f>G52+'5'!H52</f>
        <v>7838.289999999979</v>
      </c>
      <c r="I52" s="531"/>
      <c r="J52" s="629">
        <f>H52/DAY(B2)</f>
        <v>1306.3816666666632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'5'!F53</f>
        <v>343944</v>
      </c>
      <c r="F53" s="586">
        <v>348181</v>
      </c>
      <c r="G53" s="549">
        <f t="shared" si="5"/>
        <v>4237</v>
      </c>
      <c r="H53" s="536">
        <f>G53+'5'!H53</f>
        <v>16326.489999999991</v>
      </c>
      <c r="I53" s="531"/>
      <c r="J53" s="629">
        <f>H53/DAY(B2)</f>
        <v>2721.0816666666651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'5'!F54</f>
        <v>8200</v>
      </c>
      <c r="F54" s="586">
        <v>8200</v>
      </c>
      <c r="G54" s="549">
        <f t="shared" si="5"/>
        <v>0</v>
      </c>
      <c r="H54" s="536">
        <f>G54+'5'!H54</f>
        <v>104.36999999999989</v>
      </c>
      <c r="I54" s="531"/>
      <c r="J54" s="629">
        <f>H54/DAY(B2)</f>
        <v>17.394999999999982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'5'!F55</f>
        <v>140538</v>
      </c>
      <c r="F55" s="734">
        <v>146216</v>
      </c>
      <c r="G55" s="733">
        <f t="shared" si="5"/>
        <v>5678</v>
      </c>
      <c r="H55" s="787">
        <f>G55+'5'!H55</f>
        <v>28630.309999999998</v>
      </c>
      <c r="I55" s="788"/>
      <c r="J55" s="789">
        <f>H55/DAY(B2)</f>
        <v>4771.7183333333332</v>
      </c>
      <c r="K55" s="467"/>
      <c r="L55" s="408"/>
      <c r="N55" s="413"/>
    </row>
    <row r="56" spans="1:14">
      <c r="A56" s="655" t="s">
        <v>182</v>
      </c>
      <c r="B56" s="678"/>
      <c r="C56" s="678"/>
      <c r="D56" s="599" t="s">
        <v>183</v>
      </c>
      <c r="E56" s="586">
        <f>'5'!F56</f>
        <v>588535</v>
      </c>
      <c r="F56" s="1142">
        <v>588761</v>
      </c>
      <c r="G56" s="549">
        <f t="shared" si="5"/>
        <v>226</v>
      </c>
      <c r="H56" s="536">
        <f>G56+'5'!H56</f>
        <v>2709.9699999999721</v>
      </c>
      <c r="I56" s="531"/>
      <c r="J56" s="629">
        <f>H56/DAY(B2)</f>
        <v>451.66166666666203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'5'!F57</f>
        <v>7711</v>
      </c>
      <c r="F57" s="1119">
        <v>7711</v>
      </c>
      <c r="G57" s="549">
        <f t="shared" si="5"/>
        <v>0</v>
      </c>
      <c r="H57" s="536">
        <f>G57+'5'!H57</f>
        <v>-0.32999999999992724</v>
      </c>
      <c r="I57" s="531"/>
      <c r="J57" s="629">
        <f>H57/DAY(B2)</f>
        <v>-5.4999999999987871E-2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'5'!F58</f>
        <v>36874</v>
      </c>
      <c r="F58" s="734">
        <v>37068</v>
      </c>
      <c r="G58" s="549">
        <f t="shared" si="5"/>
        <v>194</v>
      </c>
      <c r="H58" s="536">
        <f>G58+'5'!H58</f>
        <v>1199.3000000000029</v>
      </c>
      <c r="I58" s="531"/>
      <c r="J58" s="629">
        <f>H58/DAY(B2)</f>
        <v>199.88333333333381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15019</v>
      </c>
      <c r="H59" s="536">
        <f>G59+'5'!H59</f>
        <v>69963.31999999992</v>
      </c>
      <c r="I59" s="531">
        <f>G7-G60</f>
        <v>307</v>
      </c>
      <c r="J59" s="629">
        <f>H59/DAY(B2)</f>
        <v>11660.553333333321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21564</v>
      </c>
      <c r="H60" s="536">
        <f>G60+'5'!H60</f>
        <v>261017.32999999996</v>
      </c>
      <c r="I60" s="531">
        <f>G13-G60</f>
        <v>-488.02999999999884</v>
      </c>
      <c r="J60" s="629">
        <f>H60/DAY(B2)</f>
        <v>43502.888333333329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-0.18700000000171713</v>
      </c>
      <c r="I62" s="591"/>
      <c r="J62" s="629">
        <f>H62/DAY(B2)</f>
        <v>-3.1166666666952853E-2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'5'!F63</f>
        <v>1771</v>
      </c>
      <c r="F63" s="590">
        <v>1785</v>
      </c>
      <c r="G63" s="549">
        <f t="shared" si="6"/>
        <v>14</v>
      </c>
      <c r="H63" s="536">
        <f>G63+'5'!H63</f>
        <v>77.6400000000001</v>
      </c>
      <c r="I63" s="591"/>
      <c r="J63" s="629">
        <f>H63/DAY(B2)</f>
        <v>12.940000000000017</v>
      </c>
      <c r="K63" s="467"/>
      <c r="L63" s="408"/>
      <c r="N63" s="413"/>
    </row>
    <row r="64" spans="1:14" ht="27.75">
      <c r="A64" s="1430" t="s">
        <v>99</v>
      </c>
      <c r="B64" s="1431"/>
      <c r="C64" s="1432"/>
      <c r="D64" s="599" t="s">
        <v>187</v>
      </c>
      <c r="E64" s="560">
        <f>'5'!F64</f>
        <v>126210</v>
      </c>
      <c r="F64" s="554">
        <v>126712</v>
      </c>
      <c r="G64" s="549">
        <f t="shared" si="6"/>
        <v>502</v>
      </c>
      <c r="H64" s="536">
        <f>G64+'5'!H64</f>
        <v>3084.6999999999971</v>
      </c>
      <c r="I64" s="556"/>
      <c r="J64" s="629">
        <f>H64/DAY(B2)</f>
        <v>514.11666666666622</v>
      </c>
      <c r="K64" s="467"/>
      <c r="L64" s="408"/>
      <c r="N64" s="413"/>
    </row>
    <row r="65" spans="1:14" ht="27.75">
      <c r="A65" s="1430" t="s">
        <v>100</v>
      </c>
      <c r="B65" s="1431"/>
      <c r="C65" s="1432"/>
      <c r="D65" s="599" t="s">
        <v>187</v>
      </c>
      <c r="E65" s="560">
        <f>'5'!F65</f>
        <v>134499</v>
      </c>
      <c r="F65" s="732">
        <v>134863</v>
      </c>
      <c r="G65" s="549">
        <f t="shared" si="6"/>
        <v>364</v>
      </c>
      <c r="H65" s="536">
        <f>G65+'5'!H65</f>
        <v>2265.7000000000116</v>
      </c>
      <c r="I65" s="565"/>
      <c r="J65" s="629">
        <f>H65/DAY(B2)</f>
        <v>377.61666666666861</v>
      </c>
      <c r="K65" s="467"/>
      <c r="L65" s="408"/>
      <c r="N65" s="413"/>
    </row>
    <row r="66" spans="1:14" ht="27.75">
      <c r="A66" s="1430" t="s">
        <v>101</v>
      </c>
      <c r="B66" s="1431"/>
      <c r="C66" s="1432"/>
      <c r="D66" s="599" t="s">
        <v>187</v>
      </c>
      <c r="E66" s="560">
        <f>'5'!F66</f>
        <v>27210</v>
      </c>
      <c r="F66" s="554">
        <v>27597</v>
      </c>
      <c r="G66" s="549">
        <f t="shared" si="6"/>
        <v>387</v>
      </c>
      <c r="H66" s="536">
        <f>G66+'5'!H66</f>
        <v>2437.25</v>
      </c>
      <c r="I66" s="556"/>
      <c r="J66" s="629">
        <f>H66/DAY(B2)</f>
        <v>406.20833333333331</v>
      </c>
      <c r="K66" s="467"/>
      <c r="L66" s="408"/>
      <c r="N66" s="413"/>
    </row>
    <row r="67" spans="1:14" ht="27.75">
      <c r="A67" s="1430" t="s">
        <v>102</v>
      </c>
      <c r="B67" s="1431"/>
      <c r="C67" s="1432"/>
      <c r="D67" s="599" t="s">
        <v>187</v>
      </c>
      <c r="E67" s="560">
        <f>'5'!F67</f>
        <v>211254</v>
      </c>
      <c r="F67" s="554">
        <v>211959</v>
      </c>
      <c r="G67" s="549">
        <f t="shared" si="6"/>
        <v>705</v>
      </c>
      <c r="H67" s="536">
        <f>G67+'5'!H67</f>
        <v>4117.1700000000128</v>
      </c>
      <c r="I67" s="565"/>
      <c r="J67" s="629">
        <f>H67/DAY(B2)</f>
        <v>686.1950000000021</v>
      </c>
      <c r="K67" s="468"/>
      <c r="L67" s="408"/>
      <c r="N67" s="413"/>
    </row>
    <row r="68" spans="1:14" ht="27.75">
      <c r="A68" s="1430" t="s">
        <v>103</v>
      </c>
      <c r="B68" s="1431"/>
      <c r="C68" s="1432"/>
      <c r="D68" s="599" t="s">
        <v>187</v>
      </c>
      <c r="E68" s="560">
        <f>'5'!F68</f>
        <v>74412</v>
      </c>
      <c r="F68" s="554">
        <v>74747</v>
      </c>
      <c r="G68" s="549">
        <f t="shared" si="6"/>
        <v>335</v>
      </c>
      <c r="H68" s="536">
        <f>G68+'5'!H68</f>
        <v>2068.4799999999959</v>
      </c>
      <c r="I68" s="592"/>
      <c r="J68" s="629">
        <f>H68/DAY(B2)</f>
        <v>344.74666666666599</v>
      </c>
      <c r="K68" s="469"/>
      <c r="L68" s="408"/>
      <c r="N68" s="413"/>
    </row>
    <row r="69" spans="1:14" ht="27.75">
      <c r="A69" s="1430" t="s">
        <v>104</v>
      </c>
      <c r="B69" s="1431"/>
      <c r="C69" s="1432"/>
      <c r="D69" s="599" t="s">
        <v>187</v>
      </c>
      <c r="E69" s="560">
        <f>'5'!F69</f>
        <v>66061</v>
      </c>
      <c r="F69" s="554">
        <v>66393</v>
      </c>
      <c r="G69" s="549">
        <f t="shared" si="6"/>
        <v>332</v>
      </c>
      <c r="H69" s="536">
        <f>G69+'5'!H69</f>
        <v>1940.9100000000035</v>
      </c>
      <c r="I69" s="592"/>
      <c r="J69" s="629">
        <f>H69/DAY(B2)</f>
        <v>323.48500000000058</v>
      </c>
      <c r="K69" s="470"/>
      <c r="L69" s="408"/>
      <c r="N69" s="413"/>
    </row>
    <row r="70" spans="1:14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</row>
    <row r="72" spans="1:14" ht="27.75">
      <c r="A72" s="1430" t="s">
        <v>191</v>
      </c>
      <c r="B72" s="1431"/>
      <c r="C72" s="1432"/>
      <c r="D72" s="599" t="s">
        <v>187</v>
      </c>
      <c r="E72" s="595">
        <f>'5'!F72</f>
        <v>850998</v>
      </c>
      <c r="F72" s="735">
        <v>851073</v>
      </c>
      <c r="G72" s="549">
        <f t="shared" ref="G72:G84" si="7">F72-E72</f>
        <v>75</v>
      </c>
      <c r="H72" s="536">
        <f>G72+'5'!H72</f>
        <v>481</v>
      </c>
      <c r="I72" s="556"/>
      <c r="J72" s="629">
        <f>H72/DAY(B2)</f>
        <v>80.166666666666671</v>
      </c>
      <c r="K72" s="470"/>
      <c r="L72" s="408"/>
      <c r="N72" s="413"/>
    </row>
    <row r="73" spans="1:14" ht="27.75">
      <c r="A73" s="1430" t="s">
        <v>192</v>
      </c>
      <c r="B73" s="1431"/>
      <c r="C73" s="1432"/>
      <c r="D73" s="599" t="s">
        <v>187</v>
      </c>
      <c r="E73" s="596">
        <f>'5'!F73</f>
        <v>885773</v>
      </c>
      <c r="F73" s="736">
        <v>885774</v>
      </c>
      <c r="G73" s="733">
        <f t="shared" si="7"/>
        <v>1</v>
      </c>
      <c r="H73" s="536">
        <f>G73+'5'!H73</f>
        <v>2</v>
      </c>
      <c r="I73" s="556"/>
      <c r="J73" s="629">
        <f>H73/DAY(B2)</f>
        <v>0.33333333333333331</v>
      </c>
      <c r="K73" s="469"/>
      <c r="L73" s="408"/>
      <c r="N73" s="413"/>
    </row>
    <row r="74" spans="1:14" ht="27.75">
      <c r="A74" s="1430" t="s">
        <v>193</v>
      </c>
      <c r="B74" s="1431"/>
      <c r="C74" s="1432"/>
      <c r="D74" s="599" t="s">
        <v>187</v>
      </c>
      <c r="E74" s="597">
        <f>'5'!F74</f>
        <v>719</v>
      </c>
      <c r="F74" s="735">
        <v>752</v>
      </c>
      <c r="G74" s="549">
        <f t="shared" si="7"/>
        <v>33</v>
      </c>
      <c r="H74" s="536">
        <f>G74+'5'!H74</f>
        <v>165.83000000000004</v>
      </c>
      <c r="I74" s="556"/>
      <c r="J74" s="629">
        <f>H74/DAY(B2)</f>
        <v>27.638333333333339</v>
      </c>
      <c r="K74" s="470"/>
      <c r="L74" s="408"/>
      <c r="N74" s="413"/>
    </row>
    <row r="75" spans="1:14" ht="27.75">
      <c r="A75" s="1479" t="s">
        <v>194</v>
      </c>
      <c r="B75" s="1480"/>
      <c r="C75" s="1481"/>
      <c r="D75" s="599" t="s">
        <v>187</v>
      </c>
      <c r="E75" s="596">
        <f>'5'!F75</f>
        <v>4281</v>
      </c>
      <c r="F75" s="736">
        <v>4464</v>
      </c>
      <c r="G75" s="549">
        <f t="shared" si="7"/>
        <v>183</v>
      </c>
      <c r="H75" s="536">
        <f>G75+'5'!H75</f>
        <v>944.7800000000002</v>
      </c>
      <c r="I75" s="556"/>
      <c r="J75" s="629">
        <f>H75/DAY(B2)</f>
        <v>157.46333333333337</v>
      </c>
      <c r="K75" s="469"/>
      <c r="L75" s="408"/>
      <c r="N75" s="413"/>
    </row>
    <row r="76" spans="1:14" ht="27.75">
      <c r="A76" s="1479" t="s">
        <v>195</v>
      </c>
      <c r="B76" s="1480"/>
      <c r="C76" s="1481"/>
      <c r="D76" s="599" t="s">
        <v>187</v>
      </c>
      <c r="E76" s="596">
        <f>'5'!F76</f>
        <v>1926</v>
      </c>
      <c r="F76" s="736">
        <v>2014</v>
      </c>
      <c r="G76" s="549">
        <f t="shared" si="7"/>
        <v>88</v>
      </c>
      <c r="H76" s="536">
        <f>G76+'5'!H76</f>
        <v>499.66000000000008</v>
      </c>
      <c r="I76" s="581"/>
      <c r="J76" s="629">
        <f>H76/DAY(B2)</f>
        <v>83.276666666666685</v>
      </c>
      <c r="K76" s="469"/>
      <c r="L76" s="408"/>
      <c r="N76" s="413"/>
    </row>
    <row r="77" spans="1:14" ht="27.75">
      <c r="A77" s="1430" t="s">
        <v>196</v>
      </c>
      <c r="B77" s="1431"/>
      <c r="C77" s="1432"/>
      <c r="D77" s="599" t="s">
        <v>187</v>
      </c>
      <c r="E77" s="596">
        <f>'5'!F77</f>
        <v>698832</v>
      </c>
      <c r="F77" s="736">
        <v>698883</v>
      </c>
      <c r="G77" s="733">
        <f t="shared" si="7"/>
        <v>51</v>
      </c>
      <c r="H77" s="536">
        <f>G77+'5'!H77</f>
        <v>295</v>
      </c>
      <c r="I77" s="581"/>
      <c r="J77" s="629">
        <f>H77/DAY(B2)</f>
        <v>49.166666666666664</v>
      </c>
      <c r="K77" s="469"/>
      <c r="L77" s="408"/>
      <c r="N77" s="413"/>
    </row>
    <row r="78" spans="1:14" ht="27.75">
      <c r="A78" s="1232" t="s">
        <v>197</v>
      </c>
      <c r="B78" s="1203"/>
      <c r="C78" s="1203"/>
      <c r="D78" s="599" t="s">
        <v>187</v>
      </c>
      <c r="E78" s="597">
        <f>'5'!F78</f>
        <v>654679</v>
      </c>
      <c r="F78" s="737">
        <v>655094</v>
      </c>
      <c r="G78" s="549">
        <f t="shared" si="7"/>
        <v>415</v>
      </c>
      <c r="H78" s="536">
        <f>G78+'5'!H78</f>
        <v>2231</v>
      </c>
      <c r="I78" s="581"/>
      <c r="J78" s="629">
        <f>H78/DAY(B2)</f>
        <v>371.83333333333331</v>
      </c>
      <c r="K78" s="469"/>
      <c r="L78" s="408"/>
      <c r="N78" s="413"/>
    </row>
    <row r="79" spans="1:14" ht="27.75">
      <c r="A79" s="1479" t="s">
        <v>92</v>
      </c>
      <c r="B79" s="1480"/>
      <c r="C79" s="1481"/>
      <c r="D79" s="600" t="s">
        <v>187</v>
      </c>
      <c r="E79" s="597">
        <f>'5'!F79</f>
        <v>816181</v>
      </c>
      <c r="F79" s="737">
        <v>816416</v>
      </c>
      <c r="G79" s="549">
        <f t="shared" si="7"/>
        <v>235</v>
      </c>
      <c r="H79" s="536">
        <f>G79+'5'!H79</f>
        <v>1307</v>
      </c>
      <c r="I79" s="581"/>
      <c r="J79" s="629">
        <f>H79/DAY(B2)</f>
        <v>217.83333333333334</v>
      </c>
      <c r="K79" s="469"/>
      <c r="L79" s="408"/>
      <c r="N79" s="413"/>
    </row>
    <row r="80" spans="1:14" ht="27.75">
      <c r="A80" s="1479" t="s">
        <v>198</v>
      </c>
      <c r="B80" s="1480"/>
      <c r="C80" s="1481"/>
      <c r="D80" s="600" t="s">
        <v>187</v>
      </c>
      <c r="E80" s="596">
        <f>'5'!F80</f>
        <v>496451</v>
      </c>
      <c r="F80" s="736">
        <v>496863</v>
      </c>
      <c r="G80" s="549">
        <f t="shared" si="7"/>
        <v>412</v>
      </c>
      <c r="H80" s="536">
        <f>G80+'5'!H80</f>
        <v>2189.359999999986</v>
      </c>
      <c r="I80" s="581"/>
      <c r="J80" s="629">
        <f>H80/DAY(B2)</f>
        <v>364.89333333333099</v>
      </c>
      <c r="K80" s="469"/>
      <c r="L80" s="408"/>
      <c r="N80" s="413"/>
    </row>
    <row r="81" spans="1:15" ht="27.75">
      <c r="A81" s="1479" t="s">
        <v>199</v>
      </c>
      <c r="B81" s="1480"/>
      <c r="C81" s="1481"/>
      <c r="D81" s="600" t="s">
        <v>187</v>
      </c>
      <c r="E81" s="596">
        <f>'5'!F81</f>
        <v>626189</v>
      </c>
      <c r="F81" s="736">
        <v>626601</v>
      </c>
      <c r="G81" s="549">
        <f t="shared" si="7"/>
        <v>412</v>
      </c>
      <c r="H81" s="536">
        <f>G81+'5'!H81</f>
        <v>657.1600000000326</v>
      </c>
      <c r="I81" s="581"/>
      <c r="J81" s="629">
        <f>H81/DAY(B2)</f>
        <v>109.5266666666721</v>
      </c>
      <c r="K81" s="469"/>
      <c r="L81" s="408"/>
      <c r="N81" s="413"/>
    </row>
    <row r="82" spans="1:15" ht="27.75">
      <c r="A82" s="1479" t="s">
        <v>93</v>
      </c>
      <c r="B82" s="1480"/>
      <c r="C82" s="1481"/>
      <c r="D82" s="561" t="s">
        <v>132</v>
      </c>
      <c r="E82" s="598">
        <f>'5'!F82</f>
        <v>106304</v>
      </c>
      <c r="F82" s="732">
        <v>106327</v>
      </c>
      <c r="G82" s="549">
        <f t="shared" si="7"/>
        <v>23</v>
      </c>
      <c r="H82" s="536">
        <f>G82+'5'!H82</f>
        <v>124.52000000000407</v>
      </c>
      <c r="I82" s="562"/>
      <c r="J82" s="629">
        <f>H82/DAY(B2)</f>
        <v>20.753333333334012</v>
      </c>
      <c r="K82" s="469"/>
      <c r="L82" s="408"/>
      <c r="N82" s="413"/>
    </row>
    <row r="83" spans="1:15" ht="27.75">
      <c r="A83" s="1479" t="s">
        <v>200</v>
      </c>
      <c r="B83" s="1480"/>
      <c r="C83" s="1481"/>
      <c r="D83" s="697" t="s">
        <v>132</v>
      </c>
      <c r="E83" s="587">
        <f>'5'!F83</f>
        <v>998888</v>
      </c>
      <c r="F83" s="587">
        <v>999356</v>
      </c>
      <c r="G83" s="549">
        <f t="shared" si="7"/>
        <v>468</v>
      </c>
      <c r="H83" s="536">
        <f>G83+'5'!H83</f>
        <v>2907</v>
      </c>
      <c r="I83" s="557"/>
      <c r="J83" s="629">
        <f>H83/DAY(B2)</f>
        <v>484.5</v>
      </c>
      <c r="K83" s="468"/>
      <c r="L83" s="408"/>
      <c r="N83" s="413"/>
    </row>
    <row r="84" spans="1:15">
      <c r="A84" s="1233" t="s">
        <v>201</v>
      </c>
      <c r="B84" s="648"/>
      <c r="C84" s="648"/>
      <c r="D84" s="554" t="s">
        <v>132</v>
      </c>
      <c r="E84" s="704">
        <f>'5'!F84</f>
        <v>434422</v>
      </c>
      <c r="F84" s="704">
        <v>435066</v>
      </c>
      <c r="G84" s="549">
        <f t="shared" si="7"/>
        <v>644</v>
      </c>
      <c r="H84" s="536">
        <f>G84+'5'!H84</f>
        <v>4268</v>
      </c>
      <c r="I84" s="557"/>
      <c r="J84" s="629">
        <f>H84/DAY(B2)</f>
        <v>711.33333333333337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3040</v>
      </c>
      <c r="H85" s="536">
        <f>G85+'5'!H85</f>
        <v>14046.929999999968</v>
      </c>
      <c r="I85" s="557"/>
      <c r="J85" s="629">
        <f>H85/DAY(B2)</f>
        <v>2341.1549999999947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'5'!F86</f>
        <v>451005</v>
      </c>
      <c r="F86" s="728">
        <v>451093</v>
      </c>
      <c r="G86" s="787">
        <f t="shared" ref="G86:G90" si="8">F86-E86</f>
        <v>88</v>
      </c>
      <c r="H86" s="536">
        <f>G86+'5'!H86</f>
        <v>724.46999999997206</v>
      </c>
      <c r="I86" s="733"/>
      <c r="J86" s="789">
        <f>H86/DAY(B2)</f>
        <v>120.74499999999534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'5'!F87</f>
        <v>79385</v>
      </c>
      <c r="F87" s="728">
        <v>79414</v>
      </c>
      <c r="G87" s="787">
        <f t="shared" si="8"/>
        <v>29</v>
      </c>
      <c r="H87" s="536">
        <f>G87+'5'!H87</f>
        <v>206.30000000000291</v>
      </c>
      <c r="I87" s="733"/>
      <c r="J87" s="789">
        <f>H87/DAY(B2)</f>
        <v>34.383333333333816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'5'!F88</f>
        <v>148591</v>
      </c>
      <c r="F88" s="728">
        <v>148682</v>
      </c>
      <c r="G88" s="787">
        <f t="shared" si="8"/>
        <v>91</v>
      </c>
      <c r="H88" s="536">
        <f>G88+'5'!H88</f>
        <v>417.39000000001397</v>
      </c>
      <c r="I88" s="733"/>
      <c r="J88" s="789">
        <f>H88/DAY(B2)</f>
        <v>69.565000000002328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'5'!F89</f>
        <v>62037</v>
      </c>
      <c r="F89" s="728">
        <v>62135</v>
      </c>
      <c r="G89" s="787">
        <f t="shared" si="8"/>
        <v>98</v>
      </c>
      <c r="H89" s="536">
        <f>G89+'5'!H89</f>
        <v>459.90000000000146</v>
      </c>
      <c r="I89" s="733"/>
      <c r="J89" s="789">
        <f>H89/DAY(B2)</f>
        <v>76.650000000000247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'5'!F90</f>
        <v>3186</v>
      </c>
      <c r="F90" s="728">
        <v>3190</v>
      </c>
      <c r="G90" s="787">
        <f t="shared" si="8"/>
        <v>4</v>
      </c>
      <c r="H90" s="536">
        <f>G90+'5'!H90</f>
        <v>27.099999999999909</v>
      </c>
      <c r="I90" s="733"/>
      <c r="J90" s="789">
        <f>H90/DAY(B2)</f>
        <v>4.5166666666666515</v>
      </c>
      <c r="K90" s="815"/>
      <c r="L90" s="816"/>
      <c r="N90" s="860"/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'5'!F92</f>
        <v>240166</v>
      </c>
      <c r="F92" s="554">
        <v>240282</v>
      </c>
      <c r="G92" s="549">
        <f t="shared" ref="G92:G93" si="9">F92-E92</f>
        <v>116</v>
      </c>
      <c r="H92" s="536">
        <f>G92+'5'!H92</f>
        <v>587</v>
      </c>
      <c r="I92" s="556"/>
      <c r="J92" s="629">
        <f>H92/DAY(B2)</f>
        <v>97.833333333333329</v>
      </c>
      <c r="K92" s="468"/>
      <c r="L92" s="408"/>
      <c r="N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'5'!F93</f>
        <v>176317</v>
      </c>
      <c r="F93" s="554">
        <v>176511</v>
      </c>
      <c r="G93" s="549">
        <f t="shared" si="9"/>
        <v>194</v>
      </c>
      <c r="H93" s="536">
        <f>G93+'5'!H93</f>
        <v>850</v>
      </c>
      <c r="I93" s="556"/>
      <c r="J93" s="629">
        <f>H93/DAY(B2)</f>
        <v>141.66666666666666</v>
      </c>
      <c r="K93" s="411"/>
      <c r="L93" s="408"/>
      <c r="N93" s="413"/>
    </row>
    <row r="94" spans="1:15">
      <c r="A94" s="1427" t="s">
        <v>208</v>
      </c>
      <c r="B94" s="1428"/>
      <c r="C94" s="1429"/>
      <c r="D94" s="599"/>
      <c r="E94" s="560">
        <f>'5'!F94</f>
        <v>0</v>
      </c>
      <c r="F94" s="554"/>
      <c r="G94" s="549">
        <f>G92+G93</f>
        <v>310</v>
      </c>
      <c r="H94" s="536">
        <f>G94+'5'!H94</f>
        <v>1171</v>
      </c>
      <c r="I94" s="556"/>
      <c r="J94" s="629">
        <f>H94/DAY(B2)</f>
        <v>195.16666666666666</v>
      </c>
      <c r="K94" s="411"/>
      <c r="L94" s="408"/>
      <c r="N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'5'!F95</f>
        <v>408574</v>
      </c>
      <c r="F95" s="554">
        <v>408694</v>
      </c>
      <c r="G95" s="549">
        <f t="shared" ref="G95:G100" si="10">F95-E95</f>
        <v>120</v>
      </c>
      <c r="H95" s="536">
        <f>G95+'5'!H95</f>
        <v>538</v>
      </c>
      <c r="I95" s="556"/>
      <c r="J95" s="629">
        <f>H95/DAY(B2)</f>
        <v>89.666666666666671</v>
      </c>
      <c r="K95" s="411"/>
      <c r="L95" s="408"/>
      <c r="N95" s="413"/>
    </row>
    <row r="96" spans="1:15" ht="27.75">
      <c r="A96" s="1229" t="s">
        <v>210</v>
      </c>
      <c r="B96" s="1230"/>
      <c r="C96" s="1230"/>
      <c r="D96" s="599" t="s">
        <v>144</v>
      </c>
      <c r="E96" s="560">
        <f>'5'!F96</f>
        <v>101401</v>
      </c>
      <c r="F96" s="554">
        <v>101422</v>
      </c>
      <c r="G96" s="549">
        <f t="shared" si="10"/>
        <v>21</v>
      </c>
      <c r="H96" s="536">
        <f>G96+'5'!H96</f>
        <v>90</v>
      </c>
      <c r="I96" s="556"/>
      <c r="J96" s="629">
        <f>H96/DAY(B2)</f>
        <v>15</v>
      </c>
      <c r="K96" s="466"/>
      <c r="L96" s="408"/>
      <c r="N96" s="413"/>
    </row>
    <row r="97" spans="1:14" ht="27.75">
      <c r="A97" s="1229" t="s">
        <v>211</v>
      </c>
      <c r="B97" s="1230"/>
      <c r="C97" s="1230"/>
      <c r="D97" s="599" t="s">
        <v>144</v>
      </c>
      <c r="E97" s="560">
        <v>96535</v>
      </c>
      <c r="F97" s="554">
        <v>96560</v>
      </c>
      <c r="G97" s="549">
        <f t="shared" si="10"/>
        <v>25</v>
      </c>
      <c r="H97" s="536">
        <f>G97+'5'!H97</f>
        <v>111</v>
      </c>
      <c r="I97" s="556"/>
      <c r="J97" s="629">
        <f>H97/DAY(B2)</f>
        <v>18.5</v>
      </c>
      <c r="K97" s="471"/>
      <c r="L97" s="408"/>
      <c r="N97" s="413"/>
    </row>
    <row r="98" spans="1:14" ht="27.75">
      <c r="A98" s="1229" t="s">
        <v>212</v>
      </c>
      <c r="B98" s="1230"/>
      <c r="C98" s="1230"/>
      <c r="D98" s="599" t="s">
        <v>144</v>
      </c>
      <c r="E98" s="560">
        <f>'5'!F98</f>
        <v>147934</v>
      </c>
      <c r="F98" s="554">
        <v>147971</v>
      </c>
      <c r="G98" s="549">
        <f t="shared" si="10"/>
        <v>37</v>
      </c>
      <c r="H98" s="536">
        <f>G98+'5'!H98</f>
        <v>363</v>
      </c>
      <c r="I98" s="556"/>
      <c r="J98" s="629">
        <f>H98/DAY(B2)</f>
        <v>60.5</v>
      </c>
      <c r="K98" s="411"/>
      <c r="L98" s="408"/>
      <c r="N98" s="785"/>
    </row>
    <row r="99" spans="1:14" ht="27.75">
      <c r="A99" s="1229" t="s">
        <v>213</v>
      </c>
      <c r="B99" s="1230"/>
      <c r="C99" s="1230"/>
      <c r="D99" s="599" t="s">
        <v>144</v>
      </c>
      <c r="E99" s="560">
        <f>'5'!F99</f>
        <v>6472</v>
      </c>
      <c r="F99" s="554">
        <v>6480</v>
      </c>
      <c r="G99" s="549">
        <f t="shared" si="10"/>
        <v>8</v>
      </c>
      <c r="H99" s="536">
        <f>G99+'5'!H99</f>
        <v>72</v>
      </c>
      <c r="I99" s="556"/>
      <c r="J99" s="629">
        <f>H99/DAY(B2)</f>
        <v>12</v>
      </c>
      <c r="K99" s="411"/>
      <c r="L99" s="408"/>
      <c r="N99" s="413"/>
    </row>
    <row r="100" spans="1:14" ht="27.75">
      <c r="A100" s="1229" t="s">
        <v>214</v>
      </c>
      <c r="B100" s="1230"/>
      <c r="C100" s="1230"/>
      <c r="D100" s="599" t="s">
        <v>144</v>
      </c>
      <c r="E100" s="560">
        <f>'5'!F100</f>
        <v>4586</v>
      </c>
      <c r="F100" s="554">
        <v>4617</v>
      </c>
      <c r="G100" s="549">
        <f t="shared" si="10"/>
        <v>31</v>
      </c>
      <c r="H100" s="536">
        <f>G100+'5'!H100</f>
        <v>74</v>
      </c>
      <c r="I100" s="556"/>
      <c r="J100" s="629">
        <f>H100/DAY(B2)</f>
        <v>12.333333333333334</v>
      </c>
      <c r="K100" s="411"/>
      <c r="L100" s="408"/>
      <c r="N100" s="413"/>
    </row>
    <row r="101" spans="1:14">
      <c r="A101" s="1427" t="s">
        <v>216</v>
      </c>
      <c r="B101" s="1428"/>
      <c r="C101" s="1429"/>
      <c r="D101" s="600"/>
      <c r="E101" s="600"/>
      <c r="F101" s="600"/>
      <c r="G101" s="601">
        <f>SUM(G95:G100)</f>
        <v>242</v>
      </c>
      <c r="H101" s="536">
        <f>G101+'5'!H101</f>
        <v>1248</v>
      </c>
      <c r="I101" s="602"/>
      <c r="J101" s="629">
        <f>H101/DAY(B2)</f>
        <v>208</v>
      </c>
      <c r="K101" s="411"/>
      <c r="L101" s="408"/>
      <c r="N101" s="413"/>
    </row>
    <row r="102" spans="1:14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6" t="s">
        <v>218</v>
      </c>
      <c r="B103" s="143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38" t="s">
        <v>219</v>
      </c>
      <c r="B104" s="1439"/>
      <c r="C104" s="1228"/>
      <c r="D104" s="699" t="s">
        <v>144</v>
      </c>
      <c r="E104" s="608">
        <f>'5'!F104</f>
        <v>7131</v>
      </c>
      <c r="F104" s="739">
        <v>7134</v>
      </c>
      <c r="G104" s="608">
        <f>F104-E104</f>
        <v>3</v>
      </c>
      <c r="H104" s="536">
        <f>G104+'5'!H104</f>
        <v>9</v>
      </c>
      <c r="I104" s="608"/>
      <c r="J104" s="635">
        <f>H104/DAY(B2)</f>
        <v>1.5</v>
      </c>
      <c r="N104" s="413"/>
    </row>
    <row r="105" spans="1:14" s="481" customFormat="1" ht="27.75">
      <c r="A105" s="1438" t="s">
        <v>77</v>
      </c>
      <c r="B105" s="1439"/>
      <c r="C105" s="1228"/>
      <c r="D105" s="699" t="s">
        <v>144</v>
      </c>
      <c r="E105" s="608">
        <f>'5'!F105</f>
        <v>35443</v>
      </c>
      <c r="F105" s="740">
        <v>35455</v>
      </c>
      <c r="G105" s="608">
        <f t="shared" ref="G105" si="11">F105-E105</f>
        <v>12</v>
      </c>
      <c r="H105" s="536">
        <f>G105+'5'!H105</f>
        <v>57</v>
      </c>
      <c r="I105" s="608"/>
      <c r="J105" s="635">
        <f>H105/DAY(B2)</f>
        <v>9.5</v>
      </c>
      <c r="N105" s="413"/>
    </row>
    <row r="106" spans="1:14" s="481" customFormat="1" ht="27.75">
      <c r="A106" s="1438" t="s">
        <v>78</v>
      </c>
      <c r="B106" s="1440"/>
      <c r="C106" s="1439"/>
      <c r="D106" s="699" t="s">
        <v>144</v>
      </c>
      <c r="E106" s="608">
        <f>'5'!F106</f>
        <v>19274</v>
      </c>
      <c r="F106" s="739">
        <v>19278</v>
      </c>
      <c r="G106" s="608">
        <f>F106-E106</f>
        <v>4</v>
      </c>
      <c r="H106" s="536">
        <f>G106+'5'!H106</f>
        <v>37</v>
      </c>
      <c r="I106" s="608"/>
      <c r="J106" s="635">
        <f>H106/DAY(B2)</f>
        <v>6.166666666666667</v>
      </c>
      <c r="N106" s="413"/>
    </row>
    <row r="107" spans="1:14" s="481" customFormat="1" ht="27.75">
      <c r="A107" s="1441" t="s">
        <v>202</v>
      </c>
      <c r="B107" s="1442"/>
      <c r="C107" s="1228"/>
      <c r="D107" s="699"/>
      <c r="E107" s="608"/>
      <c r="F107" s="739"/>
      <c r="G107" s="608">
        <f>SUM(G104:G106)</f>
        <v>19</v>
      </c>
      <c r="H107" s="536">
        <f>G107+'5'!H107</f>
        <v>103</v>
      </c>
      <c r="I107" s="608"/>
      <c r="J107" s="635">
        <f>H107/DAY(B2)</f>
        <v>17.166666666666668</v>
      </c>
      <c r="N107" s="413"/>
    </row>
    <row r="108" spans="1:14" s="481" customFormat="1" ht="27.75">
      <c r="A108" s="1443" t="s">
        <v>79</v>
      </c>
      <c r="B108" s="1444"/>
      <c r="C108" s="1228"/>
      <c r="D108" s="699" t="s">
        <v>144</v>
      </c>
      <c r="E108" s="608"/>
      <c r="F108" s="739"/>
      <c r="G108" s="608"/>
      <c r="H108" s="536" t="e">
        <f>G108+'5'!H108</f>
        <v>#REF!</v>
      </c>
      <c r="I108" s="608"/>
      <c r="J108" s="635"/>
      <c r="N108" s="413"/>
    </row>
    <row r="109" spans="1:14" s="481" customFormat="1" ht="27.75">
      <c r="A109" s="1438" t="s">
        <v>220</v>
      </c>
      <c r="B109" s="1439"/>
      <c r="C109" s="1228"/>
      <c r="D109" s="699" t="s">
        <v>144</v>
      </c>
      <c r="E109" s="608">
        <f>'5'!F109</f>
        <v>56778</v>
      </c>
      <c r="F109" s="739">
        <v>56854</v>
      </c>
      <c r="G109" s="608">
        <f>F109-E109</f>
        <v>76</v>
      </c>
      <c r="H109" s="536">
        <f>G109+'5'!H109</f>
        <v>583</v>
      </c>
      <c r="I109" s="608"/>
      <c r="J109" s="635">
        <f>H109/DAY(B2)</f>
        <v>97.166666666666671</v>
      </c>
      <c r="N109" s="413"/>
    </row>
    <row r="110" spans="1:14" s="481" customFormat="1" ht="27.75">
      <c r="A110" s="1438" t="s">
        <v>221</v>
      </c>
      <c r="B110" s="1439"/>
      <c r="C110" s="1228"/>
      <c r="D110" s="699" t="s">
        <v>144</v>
      </c>
      <c r="E110" s="608">
        <f>'5'!F110</f>
        <v>30834</v>
      </c>
      <c r="F110" s="739">
        <v>30899</v>
      </c>
      <c r="G110" s="608">
        <f>F110-E110</f>
        <v>65</v>
      </c>
      <c r="H110" s="536">
        <f>G110+'5'!H110</f>
        <v>411</v>
      </c>
      <c r="I110" s="608"/>
      <c r="J110" s="635">
        <f>H110/DAY(B2)</f>
        <v>68.5</v>
      </c>
      <c r="N110" s="413"/>
    </row>
    <row r="111" spans="1:14" s="481" customFormat="1" ht="27.75">
      <c r="A111" s="1438" t="s">
        <v>222</v>
      </c>
      <c r="B111" s="1439"/>
      <c r="C111" s="1228"/>
      <c r="D111" s="699" t="s">
        <v>144</v>
      </c>
      <c r="E111" s="608">
        <f>'5'!F111</f>
        <v>4012</v>
      </c>
      <c r="F111" s="739">
        <v>4029</v>
      </c>
      <c r="G111" s="608">
        <f t="shared" ref="G111" si="12">F111-E111</f>
        <v>17</v>
      </c>
      <c r="H111" s="536">
        <f>G111+'5'!H111</f>
        <v>49</v>
      </c>
      <c r="I111" s="608"/>
      <c r="J111" s="635">
        <f>H111/DAY(B2)</f>
        <v>8.1666666666666661</v>
      </c>
      <c r="N111" s="413"/>
    </row>
    <row r="112" spans="1:14" s="481" customFormat="1" ht="27.75">
      <c r="A112" s="1441" t="s">
        <v>110</v>
      </c>
      <c r="B112" s="1442"/>
      <c r="C112" s="1228"/>
      <c r="D112" s="699"/>
      <c r="E112" s="608"/>
      <c r="F112" s="739"/>
      <c r="G112" s="608">
        <f>SUM(G109:G111)</f>
        <v>158</v>
      </c>
      <c r="H112" s="536">
        <f>G112+'5'!H112</f>
        <v>1043</v>
      </c>
      <c r="I112" s="608"/>
      <c r="J112" s="635">
        <f>H112/DAY(B2)</f>
        <v>173.83333333333334</v>
      </c>
      <c r="N112" s="413"/>
    </row>
    <row r="113" spans="1:14" s="481" customFormat="1" ht="27.75">
      <c r="A113" s="1443" t="s">
        <v>223</v>
      </c>
      <c r="B113" s="1444"/>
      <c r="C113" s="1228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438" t="s">
        <v>224</v>
      </c>
      <c r="B114" s="1439"/>
      <c r="C114" s="651"/>
      <c r="D114" s="699" t="s">
        <v>144</v>
      </c>
      <c r="E114" s="608">
        <f>'5'!F114</f>
        <v>10399</v>
      </c>
      <c r="F114" s="740">
        <v>10410</v>
      </c>
      <c r="G114" s="610">
        <f>F114-E114</f>
        <v>11</v>
      </c>
      <c r="H114" s="536">
        <f>G114+'5'!H114</f>
        <v>96</v>
      </c>
      <c r="I114" s="608"/>
      <c r="J114" s="635">
        <f>H114/DAY(B2)</f>
        <v>16</v>
      </c>
      <c r="N114" s="413"/>
    </row>
    <row r="115" spans="1:14" s="481" customFormat="1" ht="27.75">
      <c r="A115" s="1438" t="s">
        <v>225</v>
      </c>
      <c r="B115" s="1439"/>
      <c r="C115" s="651"/>
      <c r="D115" s="699" t="s">
        <v>144</v>
      </c>
      <c r="E115" s="608">
        <f>'5'!F115</f>
        <v>7722</v>
      </c>
      <c r="F115" s="740">
        <v>7729</v>
      </c>
      <c r="G115" s="610">
        <f t="shared" ref="G115:G116" si="13">F115-E115</f>
        <v>7</v>
      </c>
      <c r="H115" s="536">
        <f>G115+'5'!H115</f>
        <v>73</v>
      </c>
      <c r="I115" s="608"/>
      <c r="J115" s="635">
        <f>H115/DAY(B2)</f>
        <v>12.166666666666666</v>
      </c>
      <c r="N115" s="413"/>
    </row>
    <row r="116" spans="1:14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18</v>
      </c>
      <c r="H117" s="536">
        <f>G117+'5'!H117</f>
        <v>169</v>
      </c>
      <c r="I117" s="610"/>
      <c r="J117" s="635">
        <f>H117/DAY(B2)</f>
        <v>28.166666666666668</v>
      </c>
      <c r="N117" s="413"/>
    </row>
    <row r="118" spans="1:14" s="495" customFormat="1" ht="27.75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167</v>
      </c>
      <c r="G118" s="612">
        <f>SUM(G19+G92)</f>
        <v>167</v>
      </c>
      <c r="H118" s="536">
        <f>G118+'5'!H118</f>
        <v>893</v>
      </c>
      <c r="I118" s="611"/>
      <c r="J118" s="636">
        <f>H118/DAY(B2)</f>
        <v>148.83333333333334</v>
      </c>
      <c r="N118" s="413"/>
    </row>
    <row r="119" spans="1:14" s="495" customFormat="1" ht="27.75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205</v>
      </c>
      <c r="G119" s="612">
        <f>SUM(G95,G96,G97,G99,G100)</f>
        <v>205</v>
      </c>
      <c r="H119" s="536">
        <f>G119+'5'!H119</f>
        <v>885</v>
      </c>
      <c r="I119" s="611"/>
      <c r="J119" s="636">
        <f>H119/DAY(B2)</f>
        <v>147.5</v>
      </c>
      <c r="N119" s="413"/>
    </row>
    <row r="120" spans="1:14" s="495" customFormat="1" ht="27.75">
      <c r="A120" s="1472" t="s">
        <v>229</v>
      </c>
      <c r="B120" s="1473"/>
      <c r="C120" s="1226"/>
      <c r="D120" s="701" t="s">
        <v>144</v>
      </c>
      <c r="E120" s="610"/>
      <c r="F120" s="740">
        <f>SUM(G112)</f>
        <v>158</v>
      </c>
      <c r="G120" s="610">
        <f>SUM(G112)</f>
        <v>158</v>
      </c>
      <c r="H120" s="536">
        <f>G120+'5'!H120</f>
        <v>1043</v>
      </c>
      <c r="I120" s="611"/>
      <c r="J120" s="636">
        <f>H120/DAY(B2)</f>
        <v>173.83333333333334</v>
      </c>
      <c r="N120" s="413"/>
    </row>
    <row r="121" spans="1:14" s="481" customFormat="1" ht="27.75">
      <c r="A121" s="1474"/>
      <c r="B121" s="1475"/>
      <c r="C121" s="1227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29" t="s">
        <v>231</v>
      </c>
      <c r="B123" s="1230"/>
      <c r="C123" s="1230"/>
      <c r="D123" s="599" t="s">
        <v>141</v>
      </c>
      <c r="E123" s="554">
        <f>'5'!F123</f>
        <v>812287</v>
      </c>
      <c r="F123" s="554">
        <v>812551</v>
      </c>
      <c r="G123" s="549">
        <f t="shared" ref="G123:G127" si="14">F123-E123</f>
        <v>264</v>
      </c>
      <c r="H123" s="536">
        <f>G123+'5'!H123</f>
        <v>1544.1600000000326</v>
      </c>
      <c r="I123" s="602"/>
      <c r="J123" s="629">
        <f>H123/DAY(B2)</f>
        <v>257.36000000000541</v>
      </c>
      <c r="K123" s="411"/>
      <c r="L123" s="408"/>
      <c r="N123" s="413"/>
    </row>
    <row r="124" spans="1:14" ht="27.75">
      <c r="A124" s="1229" t="s">
        <v>232</v>
      </c>
      <c r="B124" s="1230"/>
      <c r="C124" s="1230"/>
      <c r="D124" s="599" t="s">
        <v>141</v>
      </c>
      <c r="E124" s="703">
        <f>'5'!F124</f>
        <v>73583</v>
      </c>
      <c r="F124" s="703">
        <v>73583</v>
      </c>
      <c r="G124" s="549">
        <f t="shared" si="14"/>
        <v>0</v>
      </c>
      <c r="H124" s="536">
        <f>G124+'5'!H124</f>
        <v>-0.39999999999417923</v>
      </c>
      <c r="I124" s="602"/>
      <c r="J124" s="629">
        <f>H124/DAY(B2)</f>
        <v>-6.6666666665696539E-2</v>
      </c>
      <c r="K124" s="411"/>
      <c r="L124" s="408"/>
      <c r="N124" s="413"/>
    </row>
    <row r="125" spans="1:14" ht="27.75">
      <c r="A125" s="1430" t="s">
        <v>233</v>
      </c>
      <c r="B125" s="1431"/>
      <c r="C125" s="1432"/>
      <c r="D125" s="599" t="s">
        <v>141</v>
      </c>
      <c r="E125" s="554">
        <f>'5'!F125</f>
        <v>140321</v>
      </c>
      <c r="F125" s="554">
        <v>140392</v>
      </c>
      <c r="G125" s="549">
        <f t="shared" si="14"/>
        <v>71</v>
      </c>
      <c r="H125" s="536">
        <f>G125+'5'!H125</f>
        <v>412.66000000000349</v>
      </c>
      <c r="I125" s="602"/>
      <c r="J125" s="629">
        <f>H125/DAY(B2)</f>
        <v>68.776666666667253</v>
      </c>
      <c r="K125" s="411"/>
      <c r="L125" s="408"/>
      <c r="N125" s="413"/>
    </row>
    <row r="126" spans="1:14" ht="27.75">
      <c r="A126" s="686" t="s">
        <v>234</v>
      </c>
      <c r="B126" s="1230"/>
      <c r="C126" s="1230"/>
      <c r="D126" s="599" t="s">
        <v>141</v>
      </c>
      <c r="E126" s="703">
        <f>'5'!F126</f>
        <v>59428</v>
      </c>
      <c r="F126" s="703">
        <v>59460</v>
      </c>
      <c r="G126" s="549">
        <f t="shared" si="14"/>
        <v>32</v>
      </c>
      <c r="H126" s="536">
        <f>G126+'5'!H126</f>
        <v>153.09999999999854</v>
      </c>
      <c r="I126" s="602"/>
      <c r="J126" s="629">
        <f>H126/DAY(B2)</f>
        <v>25.516666666666424</v>
      </c>
      <c r="K126" s="411"/>
      <c r="L126" s="408"/>
      <c r="N126" s="413"/>
    </row>
    <row r="127" spans="1:14" ht="27.75">
      <c r="A127" s="686" t="s">
        <v>235</v>
      </c>
      <c r="B127" s="1230"/>
      <c r="C127" s="1230"/>
      <c r="D127" s="599" t="s">
        <v>141</v>
      </c>
      <c r="E127" s="703">
        <f>'5'!F127</f>
        <v>8898</v>
      </c>
      <c r="F127" s="703">
        <v>8901</v>
      </c>
      <c r="G127" s="549">
        <f t="shared" si="14"/>
        <v>3</v>
      </c>
      <c r="H127" s="536">
        <f>G127+'5'!H127</f>
        <v>13.200000000000728</v>
      </c>
      <c r="I127" s="556"/>
      <c r="J127" s="629">
        <f>H127/DAY(B2)</f>
        <v>2.2000000000001214</v>
      </c>
      <c r="K127" s="411"/>
      <c r="L127" s="408"/>
      <c r="N127" s="413"/>
    </row>
    <row r="128" spans="1:14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574.36000000010245</v>
      </c>
      <c r="H128" s="536">
        <f>G128+'5'!H128</f>
        <v>3303.6699999998564</v>
      </c>
      <c r="I128" s="556"/>
      <c r="J128" s="629">
        <f>H128/DAY(B2)</f>
        <v>550.61166666664269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29" t="s">
        <v>238</v>
      </c>
      <c r="B130" s="1230"/>
      <c r="C130" s="1230"/>
      <c r="D130" s="599" t="s">
        <v>239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29" t="s">
        <v>240</v>
      </c>
      <c r="B131" s="1230"/>
      <c r="C131" s="1230"/>
      <c r="D131" s="599" t="s">
        <v>239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29" t="s">
        <v>241</v>
      </c>
      <c r="B132" s="1230"/>
      <c r="C132" s="1230"/>
      <c r="D132" s="599" t="s">
        <v>239</v>
      </c>
      <c r="E132" s="782">
        <v>39215</v>
      </c>
      <c r="F132" s="703">
        <v>39215</v>
      </c>
      <c r="G132" s="549">
        <f t="shared" si="15"/>
        <v>0</v>
      </c>
      <c r="H132" s="536">
        <f>G132+'5'!H132</f>
        <v>386</v>
      </c>
      <c r="I132" s="556"/>
      <c r="J132" s="629">
        <f>H132/DAY(B2)</f>
        <v>64.333333333333329</v>
      </c>
      <c r="N132" s="413"/>
    </row>
    <row r="133" spans="1:14" ht="27.75">
      <c r="A133" s="1229" t="s">
        <v>242</v>
      </c>
      <c r="B133" s="1230"/>
      <c r="C133" s="1230"/>
      <c r="D133" s="599" t="s">
        <v>239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-1</v>
      </c>
      <c r="I133" s="556">
        <f>G132+G133+G134+G135</f>
        <v>25.010000000002037</v>
      </c>
      <c r="J133" s="629">
        <f>H133/DAY(B2)</f>
        <v>-0.16666666666666666</v>
      </c>
      <c r="N133" s="413"/>
    </row>
    <row r="134" spans="1:14" ht="27.75">
      <c r="A134" s="1229" t="s">
        <v>243</v>
      </c>
      <c r="B134" s="1230"/>
      <c r="C134" s="1230"/>
      <c r="D134" s="599" t="s">
        <v>239</v>
      </c>
      <c r="E134" s="782">
        <f>'5'!F134</f>
        <v>40482</v>
      </c>
      <c r="F134" s="703">
        <v>40506</v>
      </c>
      <c r="G134" s="549">
        <f t="shared" si="15"/>
        <v>24</v>
      </c>
      <c r="H134" s="536">
        <f>G134+'5'!H134</f>
        <v>138.86000000000058</v>
      </c>
      <c r="I134" s="556"/>
      <c r="J134" s="629">
        <f>H134/DAY(B2)</f>
        <v>23.14333333333343</v>
      </c>
      <c r="N134" s="413"/>
    </row>
    <row r="135" spans="1:14" ht="27.75">
      <c r="A135" s="1229" t="s">
        <v>244</v>
      </c>
      <c r="B135" s="1230"/>
      <c r="C135" s="1230"/>
      <c r="D135" s="599" t="s">
        <v>239</v>
      </c>
      <c r="E135" s="598">
        <f>'5'!F135</f>
        <v>32581.55</v>
      </c>
      <c r="F135" s="561">
        <v>32582.560000000001</v>
      </c>
      <c r="G135" s="549">
        <f t="shared" si="15"/>
        <v>1.0100000000020373</v>
      </c>
      <c r="H135" s="536">
        <f>G135+'5'!H135</f>
        <v>11.56000000000131</v>
      </c>
      <c r="I135" s="556"/>
      <c r="J135" s="629">
        <f>H135/DAY(B2)</f>
        <v>1.926666666666885</v>
      </c>
      <c r="N135" s="413"/>
    </row>
    <row r="136" spans="1:14" ht="27.75">
      <c r="A136" s="1229" t="s">
        <v>245</v>
      </c>
      <c r="B136" s="1230"/>
      <c r="C136" s="1230"/>
      <c r="D136" s="599" t="s">
        <v>239</v>
      </c>
      <c r="E136" s="618">
        <f>'5'!F136</f>
        <v>22265.68</v>
      </c>
      <c r="F136" s="732">
        <v>22274</v>
      </c>
      <c r="G136" s="549">
        <f t="shared" si="15"/>
        <v>8.319999999999709</v>
      </c>
      <c r="H136" s="536">
        <f>G136+'5'!H136</f>
        <v>51.790000000000873</v>
      </c>
      <c r="I136" s="556">
        <f>G136+G137+G138</f>
        <v>14.319999999999709</v>
      </c>
      <c r="J136" s="629">
        <f>H136/DAY(B2)</f>
        <v>8.6316666666668116</v>
      </c>
      <c r="N136" s="413"/>
    </row>
    <row r="137" spans="1:14" ht="27.75">
      <c r="A137" s="1229" t="s">
        <v>246</v>
      </c>
      <c r="B137" s="1230"/>
      <c r="C137" s="1230"/>
      <c r="D137" s="599" t="s">
        <v>239</v>
      </c>
      <c r="E137" s="618">
        <f>'5'!F137</f>
        <v>25044</v>
      </c>
      <c r="F137" s="732">
        <v>25044</v>
      </c>
      <c r="G137" s="549">
        <f t="shared" si="15"/>
        <v>0</v>
      </c>
      <c r="H137" s="536">
        <f>G137+'5'!H137</f>
        <v>-0.31000000000130967</v>
      </c>
      <c r="I137" s="556"/>
      <c r="J137" s="629">
        <f>H137/DAY(B2)</f>
        <v>-5.1666666666884943E-2</v>
      </c>
      <c r="N137" s="413"/>
    </row>
    <row r="138" spans="1:14" ht="27.75">
      <c r="A138" s="1229" t="s">
        <v>247</v>
      </c>
      <c r="B138" s="1230"/>
      <c r="C138" s="1230"/>
      <c r="D138" s="599" t="s">
        <v>239</v>
      </c>
      <c r="E138" s="618">
        <f>'5'!F138</f>
        <v>70173</v>
      </c>
      <c r="F138" s="732">
        <v>70179</v>
      </c>
      <c r="G138" s="549">
        <f t="shared" si="15"/>
        <v>6</v>
      </c>
      <c r="H138" s="536">
        <f>G138+'5'!H138</f>
        <v>31.660000000003492</v>
      </c>
      <c r="I138" s="556"/>
      <c r="J138" s="629">
        <f>H138/DAY(B2)</f>
        <v>5.276666666667249</v>
      </c>
      <c r="N138" s="413"/>
    </row>
    <row r="139" spans="1:14" ht="27.75">
      <c r="A139" s="1229" t="s">
        <v>248</v>
      </c>
      <c r="B139" s="1230"/>
      <c r="C139" s="1230"/>
      <c r="D139" s="599" t="s">
        <v>239</v>
      </c>
      <c r="E139" s="782">
        <f>'5'!F139</f>
        <v>1460</v>
      </c>
      <c r="F139" s="703">
        <v>1468</v>
      </c>
      <c r="G139" s="549">
        <f t="shared" si="15"/>
        <v>8</v>
      </c>
      <c r="H139" s="536">
        <f>G139+'5'!H139</f>
        <v>44.8599999999999</v>
      </c>
      <c r="I139" s="619">
        <f>G140+G1277</f>
        <v>0</v>
      </c>
      <c r="J139" s="629">
        <f>H139/DAY(B2)</f>
        <v>7.4766666666666497</v>
      </c>
      <c r="N139" s="413"/>
    </row>
    <row r="140" spans="1:14" ht="27.75">
      <c r="A140" s="1229" t="s">
        <v>249</v>
      </c>
      <c r="B140" s="1230"/>
      <c r="C140" s="1230"/>
      <c r="D140" s="599" t="s">
        <v>239</v>
      </c>
      <c r="E140" s="560">
        <f>'5'!F140</f>
        <v>4334</v>
      </c>
      <c r="F140" s="554">
        <v>4334</v>
      </c>
      <c r="G140" s="549">
        <f t="shared" si="15"/>
        <v>0</v>
      </c>
      <c r="H140" s="536">
        <f>G140+'5'!H140</f>
        <v>0</v>
      </c>
      <c r="I140" s="619"/>
      <c r="J140" s="629">
        <f>H140/DAY(B2)</f>
        <v>0</v>
      </c>
      <c r="N140" s="413"/>
    </row>
    <row r="141" spans="1:14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5921</v>
      </c>
      <c r="H142" s="536">
        <f>G142+'5'!H142</f>
        <v>34926.120000000068</v>
      </c>
      <c r="I142" s="556"/>
      <c r="J142" s="629">
        <f>H142/DAY(B2)</f>
        <v>5821.0200000000114</v>
      </c>
      <c r="K142" s="411"/>
      <c r="L142" s="408"/>
      <c r="N142" s="413"/>
    </row>
    <row r="143" spans="1:14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0.27072378949293585</v>
      </c>
      <c r="H143" s="536">
        <f>G143+'5'!H143</f>
        <v>1.4534971215692627</v>
      </c>
      <c r="I143" s="621"/>
      <c r="J143" s="629">
        <f>H143/DAY(B2)</f>
        <v>0.24224952026154378</v>
      </c>
      <c r="K143" s="411"/>
      <c r="L143" s="408"/>
      <c r="N143" s="413"/>
    </row>
    <row r="144" spans="1:14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5904</v>
      </c>
      <c r="H144" s="536">
        <f>G144+'5'!H144</f>
        <v>31338.799999999967</v>
      </c>
      <c r="I144" s="556"/>
      <c r="J144" s="629">
        <f>H144/DAY(B2)</f>
        <v>5223.1333333333278</v>
      </c>
      <c r="K144" s="411"/>
      <c r="L144" s="408"/>
      <c r="N144" s="413"/>
    </row>
    <row r="145" spans="1:14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0.26994650450368068</v>
      </c>
      <c r="H145" s="536">
        <f>G145+'5'!H145</f>
        <v>1.4655668653413523</v>
      </c>
      <c r="I145" s="621"/>
      <c r="J145" s="629">
        <f>H145/DAY(B2)</f>
        <v>0.24426114422355871</v>
      </c>
      <c r="K145" s="411"/>
      <c r="L145" s="408"/>
      <c r="N145" s="413"/>
    </row>
    <row r="146" spans="1:14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4237</v>
      </c>
      <c r="H146" s="536">
        <f>G146+'5'!H146</f>
        <v>125785.37999999999</v>
      </c>
      <c r="I146" s="622"/>
      <c r="J146" s="629">
        <f>H146/DAY(B2)</f>
        <v>20964.23</v>
      </c>
      <c r="K146" s="411"/>
      <c r="L146" s="408"/>
      <c r="N146" s="413"/>
    </row>
    <row r="147" spans="1:14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0.19372685291024644</v>
      </c>
      <c r="H147" s="536">
        <f>G147+'5'!H147</f>
        <v>6.1154757794770012</v>
      </c>
      <c r="I147" s="622"/>
      <c r="J147" s="629">
        <f>H147/DAY(B2)</f>
        <v>1.0192459632461668</v>
      </c>
      <c r="N147" s="413"/>
    </row>
    <row r="148" spans="1:14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2123</v>
      </c>
      <c r="H148" s="536">
        <f>G148+'5'!H148</f>
        <v>12357.799999999981</v>
      </c>
      <c r="I148" s="556"/>
      <c r="J148" s="629">
        <f>H148/DAY(B2)</f>
        <v>2059.63333333333</v>
      </c>
      <c r="K148" s="412"/>
      <c r="N148" s="413"/>
    </row>
    <row r="149" spans="1:14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9.7069178364043704E-2</v>
      </c>
      <c r="H149" s="536">
        <f>G149+'5'!H149</f>
        <v>0.5798533017466766</v>
      </c>
      <c r="I149" s="622"/>
      <c r="J149" s="629">
        <f>H149/DAY(B2)</f>
        <v>9.6642216957779428E-2</v>
      </c>
      <c r="N149" s="413"/>
    </row>
    <row r="150" spans="1:14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1667</v>
      </c>
      <c r="H150" s="536">
        <f>G150+'5'!H150</f>
        <v>11263.399999999965</v>
      </c>
      <c r="I150" s="622"/>
      <c r="J150" s="629">
        <f>H150/DAY(B2)</f>
        <v>1877.2333333333274</v>
      </c>
      <c r="N150" s="413"/>
    </row>
    <row r="151" spans="1:14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7.6219651593434232E-2</v>
      </c>
      <c r="H151" s="536">
        <f>G151+'5'!H151</f>
        <v>0.52606048387427851</v>
      </c>
      <c r="I151" s="556"/>
      <c r="J151" s="629">
        <f>H151/DAY(B2)</f>
        <v>8.7676747312379746E-2</v>
      </c>
      <c r="N151" s="413"/>
    </row>
    <row r="152" spans="1:14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1518</v>
      </c>
      <c r="H152" s="536">
        <f>G152+'5'!H152</f>
        <v>44042.16</v>
      </c>
      <c r="I152" s="556"/>
      <c r="J152" s="629">
        <f>H152/DAY(B2)</f>
        <v>7340.3600000000006</v>
      </c>
      <c r="N152" s="413"/>
    </row>
    <row r="153" spans="1:14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6.9406977275844731E-2</v>
      </c>
      <c r="H153" s="536">
        <f>G153+'5'!H153</f>
        <v>2.1418848387498026</v>
      </c>
      <c r="I153" s="645"/>
      <c r="J153" s="646">
        <f>H153/DAY(B2)</f>
        <v>0.35698080645830044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83" t="s">
        <v>267</v>
      </c>
      <c r="B157" s="1484"/>
      <c r="C157" s="1484"/>
      <c r="D157" s="1484"/>
      <c r="E157" s="1484"/>
      <c r="F157" s="1484"/>
      <c r="G157" s="1485"/>
    </row>
    <row r="158" spans="1:14">
      <c r="A158" s="867"/>
      <c r="B158" s="868"/>
      <c r="C158" s="868"/>
      <c r="D158" s="587"/>
      <c r="E158" s="531"/>
      <c r="F158" s="739"/>
      <c r="G158" s="549"/>
    </row>
    <row r="159" spans="1:14">
      <c r="A159" s="867"/>
      <c r="B159" s="868"/>
      <c r="C159" s="868"/>
      <c r="D159" s="587"/>
      <c r="E159" s="531"/>
      <c r="F159" s="739"/>
      <c r="G159" s="549"/>
    </row>
    <row r="160" spans="1:14">
      <c r="A160" s="867" t="s">
        <v>263</v>
      </c>
      <c r="B160" s="868"/>
      <c r="C160" s="868"/>
      <c r="D160" s="587" t="s">
        <v>187</v>
      </c>
      <c r="E160" s="739">
        <v>31220</v>
      </c>
      <c r="F160" s="739">
        <v>31306</v>
      </c>
      <c r="G160" s="549">
        <f t="shared" ref="G160:G171" si="16">F160-E160</f>
        <v>86</v>
      </c>
    </row>
    <row r="161" spans="1:7">
      <c r="A161" s="867" t="s">
        <v>264</v>
      </c>
      <c r="B161" s="868"/>
      <c r="C161" s="868"/>
      <c r="D161" s="587" t="s">
        <v>187</v>
      </c>
      <c r="E161" s="739">
        <v>57341</v>
      </c>
      <c r="F161" s="739">
        <v>57798</v>
      </c>
      <c r="G161" s="549">
        <f t="shared" si="16"/>
        <v>457</v>
      </c>
    </row>
    <row r="162" spans="1:7">
      <c r="A162" s="867" t="s">
        <v>265</v>
      </c>
      <c r="B162" s="868"/>
      <c r="C162" s="868"/>
      <c r="D162" s="587" t="s">
        <v>187</v>
      </c>
      <c r="E162" s="739">
        <v>21975</v>
      </c>
      <c r="F162" s="739">
        <v>22255</v>
      </c>
      <c r="G162" s="549">
        <f t="shared" si="16"/>
        <v>280</v>
      </c>
    </row>
    <row r="163" spans="1:7">
      <c r="A163" s="867" t="s">
        <v>266</v>
      </c>
      <c r="B163" s="868"/>
      <c r="C163" s="868"/>
      <c r="D163" s="587" t="s">
        <v>187</v>
      </c>
      <c r="E163" s="739">
        <v>5494</v>
      </c>
      <c r="F163" s="739">
        <v>5506</v>
      </c>
      <c r="G163" s="549">
        <f t="shared" si="16"/>
        <v>12</v>
      </c>
    </row>
    <row r="164" spans="1:7">
      <c r="A164" s="869" t="s">
        <v>98</v>
      </c>
      <c r="B164" s="681"/>
      <c r="C164" s="681"/>
      <c r="D164" s="587" t="s">
        <v>187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69" t="s">
        <v>188</v>
      </c>
      <c r="B165" s="681"/>
      <c r="C165" s="681"/>
      <c r="D165" s="587" t="s">
        <v>187</v>
      </c>
      <c r="E165" s="590">
        <f t="shared" ref="E165:E171" si="17">E63</f>
        <v>1771</v>
      </c>
      <c r="F165" s="590">
        <f t="shared" ref="F165:F171" si="18">F63</f>
        <v>1785</v>
      </c>
      <c r="G165" s="549">
        <f t="shared" si="16"/>
        <v>14</v>
      </c>
    </row>
    <row r="166" spans="1:7" ht="27.75">
      <c r="A166" s="1482" t="s">
        <v>99</v>
      </c>
      <c r="B166" s="1482"/>
      <c r="C166" s="1482"/>
      <c r="D166" s="599" t="s">
        <v>187</v>
      </c>
      <c r="E166" s="590">
        <f t="shared" si="17"/>
        <v>126210</v>
      </c>
      <c r="F166" s="590">
        <f t="shared" si="18"/>
        <v>126712</v>
      </c>
      <c r="G166" s="549">
        <f t="shared" si="16"/>
        <v>502</v>
      </c>
    </row>
    <row r="167" spans="1:7" ht="27.75">
      <c r="A167" s="1482" t="s">
        <v>100</v>
      </c>
      <c r="B167" s="1482"/>
      <c r="C167" s="1482"/>
      <c r="D167" s="599" t="s">
        <v>187</v>
      </c>
      <c r="E167" s="590">
        <f t="shared" si="17"/>
        <v>134499</v>
      </c>
      <c r="F167" s="590">
        <f t="shared" si="18"/>
        <v>134863</v>
      </c>
      <c r="G167" s="549">
        <f t="shared" si="16"/>
        <v>364</v>
      </c>
    </row>
    <row r="168" spans="1:7" ht="27.75">
      <c r="A168" s="1482" t="s">
        <v>101</v>
      </c>
      <c r="B168" s="1482"/>
      <c r="C168" s="1482"/>
      <c r="D168" s="599" t="s">
        <v>187</v>
      </c>
      <c r="E168" s="590">
        <f t="shared" si="17"/>
        <v>27210</v>
      </c>
      <c r="F168" s="590">
        <f t="shared" si="18"/>
        <v>27597</v>
      </c>
      <c r="G168" s="549">
        <f t="shared" si="16"/>
        <v>387</v>
      </c>
    </row>
    <row r="169" spans="1:7" ht="27.75">
      <c r="A169" s="1482" t="s">
        <v>102</v>
      </c>
      <c r="B169" s="1482"/>
      <c r="C169" s="1482"/>
      <c r="D169" s="599" t="s">
        <v>187</v>
      </c>
      <c r="E169" s="590">
        <f t="shared" si="17"/>
        <v>211254</v>
      </c>
      <c r="F169" s="590">
        <f t="shared" si="18"/>
        <v>211959</v>
      </c>
      <c r="G169" s="549">
        <f t="shared" si="16"/>
        <v>705</v>
      </c>
    </row>
    <row r="170" spans="1:7" ht="27.75">
      <c r="A170" s="1482" t="s">
        <v>103</v>
      </c>
      <c r="B170" s="1482"/>
      <c r="C170" s="1482"/>
      <c r="D170" s="599" t="s">
        <v>187</v>
      </c>
      <c r="E170" s="590">
        <f t="shared" si="17"/>
        <v>74412</v>
      </c>
      <c r="F170" s="590">
        <f t="shared" si="18"/>
        <v>74747</v>
      </c>
      <c r="G170" s="549">
        <f t="shared" si="16"/>
        <v>335</v>
      </c>
    </row>
    <row r="171" spans="1:7" ht="27.75">
      <c r="A171" s="1482" t="s">
        <v>104</v>
      </c>
      <c r="B171" s="1482"/>
      <c r="C171" s="1482"/>
      <c r="D171" s="599" t="s">
        <v>187</v>
      </c>
      <c r="E171" s="590">
        <f t="shared" si="17"/>
        <v>66061</v>
      </c>
      <c r="F171" s="590">
        <f t="shared" si="18"/>
        <v>66393</v>
      </c>
      <c r="G171" s="549">
        <f t="shared" si="16"/>
        <v>332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37" zoomScale="55" zoomScaleNormal="77" zoomScaleSheetLayoutView="55" workbookViewId="0">
      <selection activeCell="F66" sqref="F66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652" t="s">
        <v>322</v>
      </c>
      <c r="B2" s="1117">
        <v>44262</v>
      </c>
      <c r="C2" s="1231" t="s">
        <v>69</v>
      </c>
      <c r="D2" s="688">
        <v>0.51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6" s="281" customFormat="1" ht="27">
      <c r="A3" s="647"/>
      <c r="B3" s="691"/>
      <c r="C3" s="1231" t="s">
        <v>120</v>
      </c>
      <c r="D3" s="689">
        <v>29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31" t="s">
        <v>122</v>
      </c>
      <c r="D4" s="688">
        <v>0.82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123</v>
      </c>
      <c r="B5" s="535"/>
      <c r="C5" s="535"/>
      <c r="D5" s="587" t="s">
        <v>215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'6'!F7</f>
        <v>4573016</v>
      </c>
      <c r="F7" s="531">
        <v>4594627</v>
      </c>
      <c r="G7" s="770">
        <f t="shared" ref="G7:G12" si="0">F7-E7</f>
        <v>21611</v>
      </c>
      <c r="H7" s="760">
        <f>G7+'6'!H7</f>
        <v>149550</v>
      </c>
      <c r="I7" s="761">
        <f>'1'!I7</f>
        <v>12000</v>
      </c>
      <c r="J7" s="762">
        <f>H7/DAY(B2)</f>
        <v>21364.285714285714</v>
      </c>
      <c r="K7" s="626"/>
      <c r="L7" s="408"/>
      <c r="N7" s="790"/>
      <c r="P7" s="407" t="s">
        <v>215</v>
      </c>
    </row>
    <row r="8" spans="1:16" ht="27.75" thickBot="1">
      <c r="A8" s="763" t="s">
        <v>133</v>
      </c>
      <c r="B8" s="764"/>
      <c r="C8" s="765"/>
      <c r="D8" s="766" t="s">
        <v>25</v>
      </c>
      <c r="E8" s="710">
        <f>'6'!F8</f>
        <v>4601933</v>
      </c>
      <c r="F8" s="551">
        <v>4623614</v>
      </c>
      <c r="G8" s="770">
        <f t="shared" si="0"/>
        <v>21681</v>
      </c>
      <c r="H8" s="760">
        <f>G8+'6'!H8</f>
        <v>150458</v>
      </c>
      <c r="I8" s="767">
        <v>12000</v>
      </c>
      <c r="J8" s="762">
        <f>H8/DAY(B2)</f>
        <v>21494</v>
      </c>
      <c r="K8" s="626"/>
      <c r="L8" s="464"/>
      <c r="M8" s="479"/>
      <c r="N8" s="784"/>
    </row>
    <row r="9" spans="1:16">
      <c r="A9" s="768" t="s">
        <v>134</v>
      </c>
      <c r="B9" s="769"/>
      <c r="C9" s="769"/>
      <c r="D9" s="715" t="s">
        <v>132</v>
      </c>
      <c r="E9" s="712">
        <v>124354</v>
      </c>
      <c r="F9" s="554">
        <v>124354</v>
      </c>
      <c r="G9" s="770">
        <f t="shared" si="0"/>
        <v>0</v>
      </c>
      <c r="H9" s="760">
        <f>G9+'6'!H9</f>
        <v>37444.990000000005</v>
      </c>
      <c r="I9" s="771">
        <f>I8-J8</f>
        <v>-9494</v>
      </c>
      <c r="J9" s="762">
        <f>H9/DAY(B2)</f>
        <v>5349.2842857142869</v>
      </c>
      <c r="K9" s="467"/>
      <c r="L9" s="408"/>
      <c r="N9" s="413"/>
    </row>
    <row r="10" spans="1:16">
      <c r="A10" s="757" t="s">
        <v>135</v>
      </c>
      <c r="B10" s="758"/>
      <c r="C10" s="758"/>
      <c r="D10" s="715" t="s">
        <v>132</v>
      </c>
      <c r="E10" s="712">
        <f>'6'!F10</f>
        <v>111959</v>
      </c>
      <c r="F10" s="554">
        <v>132785</v>
      </c>
      <c r="G10" s="770">
        <f t="shared" si="0"/>
        <v>20826</v>
      </c>
      <c r="H10" s="760">
        <f>G10+'6'!H10</f>
        <v>107089.44</v>
      </c>
      <c r="I10" s="772"/>
      <c r="J10" s="762">
        <f>H10/DAY(B2)</f>
        <v>15298.491428571429</v>
      </c>
      <c r="K10" s="467"/>
      <c r="L10" s="408"/>
      <c r="N10" s="413"/>
    </row>
    <row r="11" spans="1:16">
      <c r="A11" s="757" t="s">
        <v>136</v>
      </c>
      <c r="B11" s="758"/>
      <c r="C11" s="758"/>
      <c r="D11" s="715" t="s">
        <v>132</v>
      </c>
      <c r="E11" s="710">
        <f>'6'!F11</f>
        <v>37000</v>
      </c>
      <c r="F11" s="531">
        <v>37000</v>
      </c>
      <c r="G11" s="770">
        <f t="shared" si="0"/>
        <v>0</v>
      </c>
      <c r="H11" s="760">
        <f>G11+'6'!H11</f>
        <v>-2000</v>
      </c>
      <c r="I11" s="772"/>
      <c r="J11" s="762">
        <f>H11/DAY(B2)</f>
        <v>-285.71428571428572</v>
      </c>
      <c r="K11" s="467"/>
      <c r="L11" s="408"/>
      <c r="N11" s="413"/>
    </row>
    <row r="12" spans="1:16">
      <c r="A12" s="757" t="s">
        <v>137</v>
      </c>
      <c r="B12" s="758"/>
      <c r="C12" s="758"/>
      <c r="D12" s="715" t="s">
        <v>132</v>
      </c>
      <c r="E12" s="712">
        <f>'6'!F12</f>
        <v>40010</v>
      </c>
      <c r="F12" s="554">
        <v>40010</v>
      </c>
      <c r="G12" s="770">
        <f t="shared" si="0"/>
        <v>0</v>
      </c>
      <c r="H12" s="760">
        <f>G12+'6'!H12</f>
        <v>-2000</v>
      </c>
      <c r="I12" s="772"/>
      <c r="J12" s="762">
        <f>H12/DAY(B2)</f>
        <v>-285.71428571428572</v>
      </c>
      <c r="K12" s="467"/>
      <c r="L12" s="408"/>
      <c r="N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20826</v>
      </c>
      <c r="H13" s="760">
        <f>G13+'6'!H13</f>
        <v>140534.43</v>
      </c>
      <c r="I13" s="776">
        <f>G7-G13</f>
        <v>785</v>
      </c>
      <c r="J13" s="762">
        <f>H13/DAY(B2)</f>
        <v>20076.347142857143</v>
      </c>
      <c r="K13" s="467"/>
      <c r="L13" s="408"/>
      <c r="N13" s="413"/>
    </row>
    <row r="14" spans="1:16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75" t="s">
        <v>140</v>
      </c>
      <c r="B15" s="876"/>
      <c r="C15" s="876"/>
      <c r="D15" s="600" t="s">
        <v>141</v>
      </c>
      <c r="E15" s="561">
        <f>'6'!F15</f>
        <v>1625305</v>
      </c>
      <c r="F15" s="561">
        <v>1626236</v>
      </c>
      <c r="G15" s="745">
        <f>(F15-E15)</f>
        <v>931</v>
      </c>
      <c r="H15" s="562">
        <f>G15+'6'!H15</f>
        <v>6357.3899999998976</v>
      </c>
      <c r="I15" s="1151">
        <v>800</v>
      </c>
      <c r="J15" s="630">
        <f>H15/DAY(B2)</f>
        <v>908.19857142855676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-108.19857142855676</v>
      </c>
      <c r="J16" s="630"/>
      <c r="K16" s="467"/>
      <c r="L16" s="408"/>
      <c r="N16" s="413"/>
    </row>
    <row r="17" spans="1:14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86" t="s">
        <v>143</v>
      </c>
      <c r="B18" s="1487"/>
      <c r="C18" s="1488"/>
      <c r="D18" s="715" t="s">
        <v>144</v>
      </c>
      <c r="E18" s="712">
        <f>'6'!F18</f>
        <v>14</v>
      </c>
      <c r="F18" s="554">
        <v>20</v>
      </c>
      <c r="G18" s="775">
        <f>F18*10</f>
        <v>200</v>
      </c>
      <c r="H18" s="760">
        <f>G18+'6'!H18</f>
        <v>1080</v>
      </c>
      <c r="I18" s="761">
        <f>'1'!I18</f>
        <v>65</v>
      </c>
      <c r="J18" s="762">
        <f>H18/DAY(B2)</f>
        <v>154.28571428571428</v>
      </c>
      <c r="K18" s="467"/>
      <c r="L18" s="408"/>
      <c r="N18" s="413"/>
    </row>
    <row r="19" spans="1:14" ht="27.75">
      <c r="A19" s="1486" t="s">
        <v>71</v>
      </c>
      <c r="B19" s="1487"/>
      <c r="C19" s="1488"/>
      <c r="D19" s="715" t="s">
        <v>144</v>
      </c>
      <c r="E19" s="712">
        <f>'6'!F19</f>
        <v>134774</v>
      </c>
      <c r="F19" s="554">
        <v>134825</v>
      </c>
      <c r="G19" s="770">
        <f t="shared" ref="G19" si="1">F19-E19</f>
        <v>51</v>
      </c>
      <c r="H19" s="760">
        <f>G19+'6'!H19</f>
        <v>357</v>
      </c>
      <c r="I19" s="777"/>
      <c r="J19" s="762">
        <f>H19/DAY(B2)</f>
        <v>51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599"/>
      <c r="G20" s="778">
        <f>G18+G19</f>
        <v>251</v>
      </c>
      <c r="H20" s="760">
        <f>G20+'6'!H20</f>
        <v>1437</v>
      </c>
      <c r="I20" s="779">
        <f>I18-J20</f>
        <v>-140.28571428571428</v>
      </c>
      <c r="J20" s="762">
        <f>H20/DAY(B2)</f>
        <v>205.28571428571428</v>
      </c>
      <c r="K20" s="467"/>
      <c r="L20" s="408"/>
      <c r="N20" s="413"/>
    </row>
    <row r="21" spans="1:14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29" t="s">
        <v>147</v>
      </c>
      <c r="B22" s="666"/>
      <c r="C22" s="666"/>
      <c r="D22" s="599" t="s">
        <v>148</v>
      </c>
      <c r="E22" s="712">
        <f>'6'!F22</f>
        <v>2970</v>
      </c>
      <c r="F22" s="554">
        <v>2970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29" t="s">
        <v>149</v>
      </c>
      <c r="B23" s="666"/>
      <c r="C23" s="666"/>
      <c r="D23" s="599" t="s">
        <v>148</v>
      </c>
      <c r="E23" s="712">
        <f>'6'!F23</f>
        <v>2900</v>
      </c>
      <c r="F23" s="554">
        <v>2900</v>
      </c>
      <c r="G23" s="557">
        <v>0</v>
      </c>
      <c r="H23" s="536">
        <f>G23+'6'!H23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712">
        <f>'6'!F24</f>
        <v>4250</v>
      </c>
      <c r="F24" s="561">
        <v>4250</v>
      </c>
      <c r="G24" s="557">
        <v>0</v>
      </c>
      <c r="H24" s="536">
        <f>G24+'6'!H24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21681</v>
      </c>
      <c r="F27" s="577">
        <v>9</v>
      </c>
      <c r="G27" s="578">
        <f>E27*F27</f>
        <v>195129</v>
      </c>
      <c r="H27" s="536">
        <f>G27+'6'!H27</f>
        <v>1354122</v>
      </c>
      <c r="I27" s="579"/>
      <c r="J27" s="629">
        <f>H27/DAY(B2)</f>
        <v>193446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931</v>
      </c>
      <c r="F28" s="577">
        <v>43.5</v>
      </c>
      <c r="G28" s="578">
        <f>E28*F28</f>
        <v>40498.5</v>
      </c>
      <c r="H28" s="536">
        <f>G28+'6'!H28</f>
        <v>295852.00319999503</v>
      </c>
      <c r="I28" s="581"/>
      <c r="J28" s="629">
        <f>H28/DAY(B2)</f>
        <v>42264.571885713573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G30+'6'!H30</f>
        <v>65526</v>
      </c>
      <c r="I30" s="581"/>
      <c r="J30" s="629">
        <f>H30/DAY(B2)</f>
        <v>9360.8571428571431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200</v>
      </c>
      <c r="F31" s="577">
        <v>80</v>
      </c>
      <c r="G31" s="578">
        <f>E31*F31</f>
        <v>16000</v>
      </c>
      <c r="H31" s="536">
        <f>G31+'6'!H31</f>
        <v>75840</v>
      </c>
      <c r="I31" s="581"/>
      <c r="J31" s="629">
        <f>H31/DAY(B2)</f>
        <v>10834.285714285714</v>
      </c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1140">
        <f>G27+G28+G29+G30+G31</f>
        <v>258461.5</v>
      </c>
      <c r="H32" s="536">
        <f>G32+'6'!H32</f>
        <v>1791340.003199995</v>
      </c>
      <c r="I32" s="585"/>
      <c r="J32" s="629">
        <f>H32/DAY(B2)</f>
        <v>255905.71474285642</v>
      </c>
      <c r="K32" s="404"/>
      <c r="L32" s="484"/>
      <c r="N32" s="413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</row>
    <row r="34" spans="1:14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'6'!F35</f>
        <v>713324</v>
      </c>
      <c r="F35" s="586">
        <v>716643</v>
      </c>
      <c r="G35" s="549">
        <f t="shared" ref="G35:G46" si="3">F35-E35</f>
        <v>3319</v>
      </c>
      <c r="H35" s="536">
        <f>G35+'6'!H35</f>
        <v>23555.410000000033</v>
      </c>
      <c r="I35" s="531"/>
      <c r="J35" s="629">
        <f>H35/DAY(B2)</f>
        <v>3365.0585714285762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'6'!F36</f>
        <v>300324</v>
      </c>
      <c r="F36" s="586">
        <v>300935</v>
      </c>
      <c r="G36" s="549">
        <f t="shared" si="3"/>
        <v>611</v>
      </c>
      <c r="H36" s="536">
        <f>G36+'6'!H36</f>
        <v>4489.429999999993</v>
      </c>
      <c r="I36" s="531"/>
      <c r="J36" s="629">
        <f>H36/DAY(B2)</f>
        <v>641.34714285714188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f>'6'!F37</f>
        <v>35167</v>
      </c>
      <c r="F37" s="586">
        <v>35167</v>
      </c>
      <c r="G37" s="549">
        <f t="shared" si="3"/>
        <v>0</v>
      </c>
      <c r="H37" s="536">
        <f>G37+'6'!H37</f>
        <v>38272.080000000002</v>
      </c>
      <c r="I37" s="531"/>
      <c r="J37" s="629">
        <f>H37/DAY(B2)</f>
        <v>5467.4400000000005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86">
        <f>'6'!F38</f>
        <v>48333</v>
      </c>
      <c r="F38" s="545">
        <v>48333</v>
      </c>
      <c r="G38" s="549">
        <f t="shared" si="3"/>
        <v>0</v>
      </c>
      <c r="H38" s="536">
        <f>G38+'6'!H38</f>
        <v>4519.510000000002</v>
      </c>
      <c r="I38" s="531"/>
      <c r="J38" s="629">
        <f>H38/DAY(B2)</f>
        <v>645.64428571428596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f>'6'!F39</f>
        <v>100066</v>
      </c>
      <c r="F39" s="586">
        <v>100066</v>
      </c>
      <c r="G39" s="549">
        <f t="shared" si="3"/>
        <v>0</v>
      </c>
      <c r="H39" s="536">
        <f>G39+'6'!H39</f>
        <v>109458.89</v>
      </c>
      <c r="I39" s="531"/>
      <c r="J39" s="629">
        <f>H39/DAY(B2)</f>
        <v>15636.984285714285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'6'!F41</f>
        <v>63881.74</v>
      </c>
      <c r="F41" s="586">
        <v>63881.74</v>
      </c>
      <c r="G41" s="549">
        <f t="shared" si="3"/>
        <v>0</v>
      </c>
      <c r="H41" s="536">
        <f>G41+'6'!H41</f>
        <v>-0.63000000000465661</v>
      </c>
      <c r="I41" s="531"/>
      <c r="J41" s="629">
        <f>H41/DAY(B2)</f>
        <v>-9.0000000000665228E-2</v>
      </c>
      <c r="K41" s="467"/>
      <c r="L41" s="408"/>
      <c r="N41" s="413"/>
    </row>
    <row r="42" spans="1:14">
      <c r="A42" s="664" t="s">
        <v>171</v>
      </c>
      <c r="B42" s="665"/>
      <c r="C42" s="665"/>
      <c r="D42" s="600" t="s">
        <v>132</v>
      </c>
      <c r="E42" s="586">
        <f>'6'!F42</f>
        <v>59128</v>
      </c>
      <c r="F42" s="1119">
        <v>59128</v>
      </c>
      <c r="G42" s="856">
        <f t="shared" si="3"/>
        <v>0</v>
      </c>
      <c r="H42" s="536">
        <f>G42+'6'!H42</f>
        <v>-0.84999999999854481</v>
      </c>
      <c r="I42" s="531"/>
      <c r="J42" s="629">
        <f>H42/DAY(B2)</f>
        <v>-0.12142857142836354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'6'!F43</f>
        <v>840588</v>
      </c>
      <c r="F43" s="586">
        <v>843005</v>
      </c>
      <c r="G43" s="549">
        <f t="shared" si="3"/>
        <v>2417</v>
      </c>
      <c r="H43" s="536">
        <f>G43+'6'!H43</f>
        <v>17107.170000000042</v>
      </c>
      <c r="I43" s="531"/>
      <c r="J43" s="629">
        <f>H43/DAY(B2)</f>
        <v>2443.8814285714348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0</v>
      </c>
      <c r="I45" s="531"/>
      <c r="J45" s="629">
        <f>H45/DAY(B2)</f>
        <v>0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0</v>
      </c>
      <c r="I46" s="531"/>
      <c r="J46" s="629">
        <f>H46/DAY(B2)</f>
        <v>0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6347</v>
      </c>
      <c r="H47" s="536">
        <f>G47+'6'!H47</f>
        <v>197401.01000000007</v>
      </c>
      <c r="I47" s="531"/>
      <c r="J47" s="629">
        <f>H47/DAY(B2)</f>
        <v>28200.144285714294</v>
      </c>
      <c r="K47" s="467"/>
      <c r="L47" s="408"/>
      <c r="N47" s="413"/>
    </row>
    <row r="48" spans="1:14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'6'!F49</f>
        <v>260732</v>
      </c>
      <c r="F49" s="586">
        <v>260732</v>
      </c>
      <c r="G49" s="549">
        <f t="shared" ref="G49:G58" si="4">F49-E49</f>
        <v>0</v>
      </c>
      <c r="H49" s="536">
        <f>G49+'6'!H49</f>
        <v>-0.13000000000465661</v>
      </c>
      <c r="I49" s="531"/>
      <c r="J49" s="629">
        <f>H49/DAY(B2)</f>
        <v>-1.85714285720938E-2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'6'!F50</f>
        <v>409848</v>
      </c>
      <c r="F50" s="586">
        <v>411078</v>
      </c>
      <c r="G50" s="549">
        <f t="shared" si="4"/>
        <v>1230</v>
      </c>
      <c r="H50" s="536">
        <f>G50+'6'!H50</f>
        <v>8614.9699999999721</v>
      </c>
      <c r="I50" s="531"/>
      <c r="J50" s="629">
        <f>H50/DAY(B2)</f>
        <v>1230.7099999999959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'6'!F51</f>
        <v>125821</v>
      </c>
      <c r="F51" s="586">
        <v>127321</v>
      </c>
      <c r="G51" s="549">
        <f t="shared" si="4"/>
        <v>1500</v>
      </c>
      <c r="H51" s="536">
        <f>G51+'6'!H51</f>
        <v>7270.0800000000017</v>
      </c>
      <c r="I51" s="531"/>
      <c r="J51" s="629">
        <f>H51/DAY(B2)</f>
        <v>1038.5828571428574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'6'!F52</f>
        <v>515751</v>
      </c>
      <c r="F52" s="586">
        <v>518082</v>
      </c>
      <c r="G52" s="549">
        <f t="shared" si="4"/>
        <v>2331</v>
      </c>
      <c r="H52" s="536">
        <f>G52+'6'!H52</f>
        <v>10169.289999999979</v>
      </c>
      <c r="I52" s="531"/>
      <c r="J52" s="629">
        <f>H52/DAY(B2)</f>
        <v>1452.7557142857113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'6'!F53</f>
        <v>348181</v>
      </c>
      <c r="F53" s="586">
        <v>352411</v>
      </c>
      <c r="G53" s="549">
        <f t="shared" si="4"/>
        <v>4230</v>
      </c>
      <c r="H53" s="536">
        <f>G53+'6'!H53</f>
        <v>20556.489999999991</v>
      </c>
      <c r="I53" s="531"/>
      <c r="J53" s="629">
        <f>H53/DAY(B2)</f>
        <v>2936.6414285714272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'6'!F54</f>
        <v>8200</v>
      </c>
      <c r="F54" s="586">
        <v>8200</v>
      </c>
      <c r="G54" s="549">
        <f t="shared" si="4"/>
        <v>0</v>
      </c>
      <c r="H54" s="536">
        <f>G54+'6'!H54</f>
        <v>104.36999999999989</v>
      </c>
      <c r="I54" s="531"/>
      <c r="J54" s="629">
        <f>H54/DAY(B2)</f>
        <v>14.909999999999984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'6'!F55</f>
        <v>146216</v>
      </c>
      <c r="F55" s="734">
        <v>151710</v>
      </c>
      <c r="G55" s="733">
        <f t="shared" si="4"/>
        <v>5494</v>
      </c>
      <c r="H55" s="787">
        <f>G55+'6'!H55</f>
        <v>34124.31</v>
      </c>
      <c r="I55" s="788"/>
      <c r="J55" s="789">
        <f>H55/DAY(B2)</f>
        <v>4874.9014285714284</v>
      </c>
      <c r="K55" s="467"/>
      <c r="L55" s="408"/>
      <c r="N55" s="413"/>
    </row>
    <row r="56" spans="1:14">
      <c r="A56" s="664" t="s">
        <v>182</v>
      </c>
      <c r="B56" s="1150"/>
      <c r="C56" s="1150"/>
      <c r="D56" s="600" t="s">
        <v>183</v>
      </c>
      <c r="E56" s="586">
        <f>'6'!F56</f>
        <v>588761</v>
      </c>
      <c r="F56" s="1119">
        <v>588761</v>
      </c>
      <c r="G56" s="856">
        <f t="shared" si="4"/>
        <v>0</v>
      </c>
      <c r="H56" s="536">
        <f>G56+'6'!H56</f>
        <v>2709.9699999999721</v>
      </c>
      <c r="I56" s="531"/>
      <c r="J56" s="629">
        <f>H56/DAY(B2)</f>
        <v>387.13857142856745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'6'!F57</f>
        <v>7711</v>
      </c>
      <c r="F57" s="586">
        <v>7711</v>
      </c>
      <c r="G57" s="549">
        <f t="shared" si="4"/>
        <v>0</v>
      </c>
      <c r="H57" s="536">
        <f>G57+'6'!H57</f>
        <v>-0.32999999999992724</v>
      </c>
      <c r="I57" s="531"/>
      <c r="J57" s="629">
        <f>H57/DAY(B2)</f>
        <v>-4.7142857142846752E-2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'6'!F58</f>
        <v>37068</v>
      </c>
      <c r="F58" s="734">
        <v>37259</v>
      </c>
      <c r="G58" s="549">
        <f t="shared" si="4"/>
        <v>191</v>
      </c>
      <c r="H58" s="536">
        <f>G58+'6'!H58</f>
        <v>1390.3000000000029</v>
      </c>
      <c r="I58" s="531"/>
      <c r="J58" s="629">
        <f>H58/DAY(B2)</f>
        <v>198.61428571428613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14976</v>
      </c>
      <c r="H59" s="536">
        <f>G59+'6'!H59</f>
        <v>84939.31999999992</v>
      </c>
      <c r="I59" s="531">
        <f>G7-G60</f>
        <v>288</v>
      </c>
      <c r="J59" s="629">
        <f>H59/DAY(B2)</f>
        <v>12134.18857142856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21323</v>
      </c>
      <c r="H60" s="536">
        <f>G60+'6'!H60</f>
        <v>282340.32999999996</v>
      </c>
      <c r="I60" s="531">
        <f>G13-G60</f>
        <v>-497</v>
      </c>
      <c r="J60" s="629">
        <f>H60/DAY(B2)</f>
        <v>40334.33285714285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-0.18700000000171713</v>
      </c>
      <c r="I62" s="591"/>
      <c r="J62" s="629">
        <f>H62/DAY(B2)</f>
        <v>-2.6714285714531018E-2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'6'!F63</f>
        <v>1785</v>
      </c>
      <c r="F63" s="590">
        <v>1797</v>
      </c>
      <c r="G63" s="549">
        <f t="shared" si="5"/>
        <v>12</v>
      </c>
      <c r="H63" s="536">
        <f>G63+'6'!H63</f>
        <v>89.6400000000001</v>
      </c>
      <c r="I63" s="591"/>
      <c r="J63" s="629">
        <f>H63/DAY(B2)</f>
        <v>12.8057142857143</v>
      </c>
      <c r="K63" s="467"/>
      <c r="L63" s="408"/>
      <c r="N63" s="413"/>
    </row>
    <row r="64" spans="1:14" ht="27.75">
      <c r="A64" s="1430" t="s">
        <v>99</v>
      </c>
      <c r="B64" s="1431"/>
      <c r="C64" s="1432"/>
      <c r="D64" s="599" t="s">
        <v>187</v>
      </c>
      <c r="E64" s="560">
        <f>'6'!F64</f>
        <v>126712</v>
      </c>
      <c r="F64" s="554">
        <v>127265</v>
      </c>
      <c r="G64" s="549">
        <f t="shared" si="5"/>
        <v>553</v>
      </c>
      <c r="H64" s="536">
        <f>G64+'6'!H64</f>
        <v>3637.6999999999971</v>
      </c>
      <c r="I64" s="556"/>
      <c r="J64" s="629">
        <f>H64/DAY(B2)</f>
        <v>519.67142857142812</v>
      </c>
      <c r="K64" s="467"/>
      <c r="L64" s="408"/>
      <c r="N64" s="413"/>
    </row>
    <row r="65" spans="1:14" ht="27.75">
      <c r="A65" s="1430" t="s">
        <v>100</v>
      </c>
      <c r="B65" s="1431"/>
      <c r="C65" s="1432"/>
      <c r="D65" s="599" t="s">
        <v>187</v>
      </c>
      <c r="E65" s="560">
        <f>'6'!F65</f>
        <v>134863</v>
      </c>
      <c r="F65" s="732">
        <v>135234</v>
      </c>
      <c r="G65" s="549">
        <f t="shared" si="5"/>
        <v>371</v>
      </c>
      <c r="H65" s="536">
        <f>G65+'6'!H65</f>
        <v>2636.7000000000116</v>
      </c>
      <c r="I65" s="565"/>
      <c r="J65" s="629">
        <f>H65/DAY(B2)</f>
        <v>376.67142857143023</v>
      </c>
      <c r="K65" s="467"/>
      <c r="L65" s="408"/>
      <c r="N65" s="413"/>
    </row>
    <row r="66" spans="1:14" ht="27.75">
      <c r="A66" s="1430" t="s">
        <v>101</v>
      </c>
      <c r="B66" s="1431"/>
      <c r="C66" s="1432"/>
      <c r="D66" s="599" t="s">
        <v>187</v>
      </c>
      <c r="E66" s="560">
        <f>'6'!F66</f>
        <v>27597</v>
      </c>
      <c r="F66" s="554">
        <v>27966</v>
      </c>
      <c r="G66" s="549">
        <f t="shared" si="5"/>
        <v>369</v>
      </c>
      <c r="H66" s="536">
        <f>G66+'6'!H66</f>
        <v>2806.25</v>
      </c>
      <c r="I66" s="556"/>
      <c r="J66" s="629">
        <f>H66/DAY(B2)</f>
        <v>400.89285714285717</v>
      </c>
      <c r="K66" s="467"/>
      <c r="L66" s="408"/>
      <c r="N66" s="413"/>
    </row>
    <row r="67" spans="1:14" ht="27.75">
      <c r="A67" s="1430" t="s">
        <v>102</v>
      </c>
      <c r="B67" s="1431"/>
      <c r="C67" s="1432"/>
      <c r="D67" s="599" t="s">
        <v>187</v>
      </c>
      <c r="E67" s="560">
        <f>'6'!F67</f>
        <v>211959</v>
      </c>
      <c r="F67" s="554">
        <v>212624</v>
      </c>
      <c r="G67" s="549">
        <f t="shared" si="5"/>
        <v>665</v>
      </c>
      <c r="H67" s="536">
        <f>G67+'6'!H67</f>
        <v>4782.1700000000128</v>
      </c>
      <c r="I67" s="565"/>
      <c r="J67" s="629">
        <f>H67/DAY(B2)</f>
        <v>683.16714285714465</v>
      </c>
      <c r="K67" s="468"/>
      <c r="L67" s="408"/>
      <c r="N67" s="413"/>
    </row>
    <row r="68" spans="1:14" ht="27.75">
      <c r="A68" s="1430" t="s">
        <v>103</v>
      </c>
      <c r="B68" s="1431"/>
      <c r="C68" s="1432"/>
      <c r="D68" s="599" t="s">
        <v>187</v>
      </c>
      <c r="E68" s="560">
        <f>'6'!F68</f>
        <v>74747</v>
      </c>
      <c r="F68" s="554">
        <v>75071</v>
      </c>
      <c r="G68" s="549">
        <f t="shared" si="5"/>
        <v>324</v>
      </c>
      <c r="H68" s="536">
        <f>G68+'6'!H68</f>
        <v>2392.4799999999959</v>
      </c>
      <c r="I68" s="592"/>
      <c r="J68" s="629">
        <f>H68/DAY(B2)</f>
        <v>341.78285714285659</v>
      </c>
      <c r="K68" s="469"/>
      <c r="L68" s="408"/>
      <c r="N68" s="413"/>
    </row>
    <row r="69" spans="1:14" ht="27.75">
      <c r="A69" s="1430" t="s">
        <v>104</v>
      </c>
      <c r="B69" s="1431"/>
      <c r="C69" s="1432"/>
      <c r="D69" s="599" t="s">
        <v>187</v>
      </c>
      <c r="E69" s="560">
        <f>'6'!F69</f>
        <v>66393</v>
      </c>
      <c r="F69" s="554">
        <v>66722</v>
      </c>
      <c r="G69" s="549">
        <f t="shared" si="5"/>
        <v>329</v>
      </c>
      <c r="H69" s="536">
        <f>G69+'6'!H69</f>
        <v>2269.9100000000035</v>
      </c>
      <c r="I69" s="592"/>
      <c r="J69" s="629">
        <f>H69/DAY(B2)</f>
        <v>324.27285714285762</v>
      </c>
      <c r="K69" s="470"/>
      <c r="L69" s="408"/>
      <c r="N69" s="413"/>
    </row>
    <row r="70" spans="1:14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</row>
    <row r="72" spans="1:14" ht="27.75">
      <c r="A72" s="1430" t="s">
        <v>191</v>
      </c>
      <c r="B72" s="1431"/>
      <c r="C72" s="1432"/>
      <c r="D72" s="599" t="s">
        <v>187</v>
      </c>
      <c r="E72" s="595">
        <f>'6'!F72</f>
        <v>851073</v>
      </c>
      <c r="F72" s="735">
        <v>851145</v>
      </c>
      <c r="G72" s="549">
        <f t="shared" ref="G72:G84" si="6">F72-E72</f>
        <v>72</v>
      </c>
      <c r="H72" s="536">
        <f>G72+'6'!H72</f>
        <v>553</v>
      </c>
      <c r="I72" s="556"/>
      <c r="J72" s="629">
        <f>H72/DAY(B2)</f>
        <v>79</v>
      </c>
      <c r="K72" s="470"/>
      <c r="L72" s="408"/>
      <c r="N72" s="413"/>
    </row>
    <row r="73" spans="1:14" ht="27.75">
      <c r="A73" s="1430" t="s">
        <v>192</v>
      </c>
      <c r="B73" s="1431"/>
      <c r="C73" s="1432"/>
      <c r="D73" s="599" t="s">
        <v>187</v>
      </c>
      <c r="E73" s="595">
        <f>'6'!F73</f>
        <v>885774</v>
      </c>
      <c r="F73" s="736">
        <v>885774</v>
      </c>
      <c r="G73" s="733">
        <f t="shared" si="6"/>
        <v>0</v>
      </c>
      <c r="H73" s="536">
        <f>G73+'6'!H73</f>
        <v>2</v>
      </c>
      <c r="I73" s="556"/>
      <c r="J73" s="629">
        <f>H73/DAY(B2)</f>
        <v>0.2857142857142857</v>
      </c>
      <c r="K73" s="469"/>
      <c r="L73" s="408"/>
      <c r="N73" s="413"/>
    </row>
    <row r="74" spans="1:14" ht="27.75">
      <c r="A74" s="1430" t="s">
        <v>193</v>
      </c>
      <c r="B74" s="1431"/>
      <c r="C74" s="1432"/>
      <c r="D74" s="599" t="s">
        <v>187</v>
      </c>
      <c r="E74" s="595">
        <f>'6'!F74</f>
        <v>752</v>
      </c>
      <c r="F74" s="735">
        <v>798</v>
      </c>
      <c r="G74" s="549">
        <f t="shared" si="6"/>
        <v>46</v>
      </c>
      <c r="H74" s="536">
        <f>G74+'6'!H74</f>
        <v>211.83000000000004</v>
      </c>
      <c r="I74" s="556"/>
      <c r="J74" s="629">
        <f>H74/DAY(B2)</f>
        <v>30.261428571428578</v>
      </c>
      <c r="K74" s="470"/>
      <c r="L74" s="408"/>
      <c r="N74" s="413"/>
    </row>
    <row r="75" spans="1:14" ht="27.75">
      <c r="A75" s="1479" t="s">
        <v>194</v>
      </c>
      <c r="B75" s="1480"/>
      <c r="C75" s="1481"/>
      <c r="D75" s="599" t="s">
        <v>187</v>
      </c>
      <c r="E75" s="595">
        <f>'6'!F75</f>
        <v>4464</v>
      </c>
      <c r="F75" s="736">
        <v>4645</v>
      </c>
      <c r="G75" s="549">
        <f t="shared" si="6"/>
        <v>181</v>
      </c>
      <c r="H75" s="536">
        <f>G75+'6'!H75</f>
        <v>1125.7800000000002</v>
      </c>
      <c r="I75" s="556"/>
      <c r="J75" s="629">
        <f>H75/DAY(B2)</f>
        <v>160.82571428571433</v>
      </c>
      <c r="K75" s="469"/>
      <c r="L75" s="408"/>
      <c r="N75" s="413"/>
    </row>
    <row r="76" spans="1:14" ht="27.75">
      <c r="A76" s="1479" t="s">
        <v>195</v>
      </c>
      <c r="B76" s="1480"/>
      <c r="C76" s="1481"/>
      <c r="D76" s="599" t="s">
        <v>187</v>
      </c>
      <c r="E76" s="595">
        <f>'6'!F76</f>
        <v>2014</v>
      </c>
      <c r="F76" s="736">
        <v>2108</v>
      </c>
      <c r="G76" s="549">
        <f t="shared" si="6"/>
        <v>94</v>
      </c>
      <c r="H76" s="536">
        <f>G76+'6'!H76</f>
        <v>593.66000000000008</v>
      </c>
      <c r="I76" s="581"/>
      <c r="J76" s="629">
        <f>H76/DAY(B2)</f>
        <v>84.80857142857144</v>
      </c>
      <c r="K76" s="469"/>
      <c r="L76" s="408"/>
      <c r="N76" s="413"/>
    </row>
    <row r="77" spans="1:14" ht="27.75">
      <c r="A77" s="1430" t="s">
        <v>196</v>
      </c>
      <c r="B77" s="1431"/>
      <c r="C77" s="1432"/>
      <c r="D77" s="599" t="s">
        <v>187</v>
      </c>
      <c r="E77" s="595">
        <f>'6'!F77</f>
        <v>698883</v>
      </c>
      <c r="F77" s="736">
        <v>698935</v>
      </c>
      <c r="G77" s="733">
        <f t="shared" si="6"/>
        <v>52</v>
      </c>
      <c r="H77" s="536">
        <f>G77+'6'!H77</f>
        <v>347</v>
      </c>
      <c r="I77" s="581"/>
      <c r="J77" s="629">
        <f>H77/DAY(B2)</f>
        <v>49.571428571428569</v>
      </c>
      <c r="K77" s="469"/>
      <c r="L77" s="408"/>
      <c r="N77" s="413"/>
    </row>
    <row r="78" spans="1:14" ht="27.75">
      <c r="A78" s="1232" t="s">
        <v>197</v>
      </c>
      <c r="B78" s="1203"/>
      <c r="C78" s="1203"/>
      <c r="D78" s="599" t="s">
        <v>187</v>
      </c>
      <c r="E78" s="595">
        <f>'6'!F78</f>
        <v>655094</v>
      </c>
      <c r="F78" s="737">
        <v>655522</v>
      </c>
      <c r="G78" s="549">
        <f t="shared" si="6"/>
        <v>428</v>
      </c>
      <c r="H78" s="536">
        <f>G78+'6'!H78</f>
        <v>2659</v>
      </c>
      <c r="I78" s="581"/>
      <c r="J78" s="629">
        <f>H78/DAY(B2)</f>
        <v>379.85714285714283</v>
      </c>
      <c r="K78" s="469"/>
      <c r="L78" s="408"/>
      <c r="N78" s="413"/>
    </row>
    <row r="79" spans="1:14" ht="27.75">
      <c r="A79" s="1479" t="s">
        <v>92</v>
      </c>
      <c r="B79" s="1480"/>
      <c r="C79" s="1481"/>
      <c r="D79" s="600" t="s">
        <v>187</v>
      </c>
      <c r="E79" s="595">
        <f>'6'!F79</f>
        <v>816416</v>
      </c>
      <c r="F79" s="735">
        <v>816632</v>
      </c>
      <c r="G79" s="549">
        <f t="shared" si="6"/>
        <v>216</v>
      </c>
      <c r="H79" s="536">
        <f>G79+'6'!H79</f>
        <v>1523</v>
      </c>
      <c r="I79" s="581"/>
      <c r="J79" s="629">
        <f>H79/DAY(B2)</f>
        <v>217.57142857142858</v>
      </c>
      <c r="K79" s="469"/>
      <c r="L79" s="408"/>
      <c r="N79" s="413"/>
    </row>
    <row r="80" spans="1:14" ht="27.75">
      <c r="A80" s="1479" t="s">
        <v>198</v>
      </c>
      <c r="B80" s="1480"/>
      <c r="C80" s="1481"/>
      <c r="D80" s="600" t="s">
        <v>187</v>
      </c>
      <c r="E80" s="595">
        <f>'6'!F80</f>
        <v>496863</v>
      </c>
      <c r="F80" s="736">
        <v>497222</v>
      </c>
      <c r="G80" s="549">
        <f t="shared" si="6"/>
        <v>359</v>
      </c>
      <c r="H80" s="536">
        <f>G80+'6'!H80</f>
        <v>2548.359999999986</v>
      </c>
      <c r="I80" s="581"/>
      <c r="J80" s="629">
        <f>H80/DAY(B2)</f>
        <v>364.05142857142658</v>
      </c>
      <c r="K80" s="469"/>
      <c r="L80" s="408"/>
      <c r="N80" s="413"/>
    </row>
    <row r="81" spans="1:15" ht="27.75">
      <c r="A81" s="1479" t="s">
        <v>199</v>
      </c>
      <c r="B81" s="1480"/>
      <c r="C81" s="1481"/>
      <c r="D81" s="600" t="s">
        <v>187</v>
      </c>
      <c r="E81" s="595">
        <f>'6'!F81</f>
        <v>626601</v>
      </c>
      <c r="F81" s="736">
        <v>626724</v>
      </c>
      <c r="G81" s="549">
        <f t="shared" si="6"/>
        <v>123</v>
      </c>
      <c r="H81" s="536">
        <f>G81+'6'!H81</f>
        <v>780.1600000000326</v>
      </c>
      <c r="I81" s="581"/>
      <c r="J81" s="629">
        <f>H81/DAY(B2)</f>
        <v>111.45142857143323</v>
      </c>
      <c r="K81" s="469"/>
      <c r="L81" s="408"/>
      <c r="N81" s="413"/>
    </row>
    <row r="82" spans="1:15" ht="27.75">
      <c r="A82" s="1479" t="s">
        <v>93</v>
      </c>
      <c r="B82" s="1480"/>
      <c r="C82" s="1481"/>
      <c r="D82" s="561" t="s">
        <v>132</v>
      </c>
      <c r="E82" s="595">
        <f>'6'!F82</f>
        <v>106327</v>
      </c>
      <c r="F82" s="732">
        <v>106348</v>
      </c>
      <c r="G82" s="549">
        <f t="shared" si="6"/>
        <v>21</v>
      </c>
      <c r="H82" s="536">
        <f>G82+'6'!H82</f>
        <v>145.52000000000407</v>
      </c>
      <c r="I82" s="562"/>
      <c r="J82" s="629">
        <f>H82/DAY(B2)</f>
        <v>20.788571428572009</v>
      </c>
      <c r="K82" s="469"/>
      <c r="L82" s="408"/>
      <c r="N82" s="413"/>
    </row>
    <row r="83" spans="1:15" ht="27.75">
      <c r="A83" s="1479" t="s">
        <v>200</v>
      </c>
      <c r="B83" s="1480"/>
      <c r="C83" s="1481"/>
      <c r="D83" s="697" t="s">
        <v>132</v>
      </c>
      <c r="E83" s="595">
        <f>'6'!F83</f>
        <v>999356</v>
      </c>
      <c r="F83" s="697">
        <v>999852</v>
      </c>
      <c r="G83" s="549">
        <f t="shared" si="6"/>
        <v>496</v>
      </c>
      <c r="H83" s="536">
        <f>G83+'6'!H83</f>
        <v>3403</v>
      </c>
      <c r="I83" s="557"/>
      <c r="J83" s="629">
        <f>H83/DAY(B2)</f>
        <v>486.14285714285717</v>
      </c>
      <c r="K83" s="468"/>
      <c r="L83" s="408"/>
      <c r="N83" s="413"/>
    </row>
    <row r="84" spans="1:15">
      <c r="A84" s="1233" t="s">
        <v>201</v>
      </c>
      <c r="B84" s="648"/>
      <c r="C84" s="648"/>
      <c r="D84" s="554" t="s">
        <v>132</v>
      </c>
      <c r="E84" s="595">
        <f>'6'!F84</f>
        <v>435066</v>
      </c>
      <c r="F84" s="704">
        <v>435900</v>
      </c>
      <c r="G84" s="549">
        <f t="shared" si="6"/>
        <v>834</v>
      </c>
      <c r="H84" s="536">
        <f>G84+'6'!H84</f>
        <v>5102</v>
      </c>
      <c r="I84" s="557"/>
      <c r="J84" s="629">
        <f>H84/DAY(B2)</f>
        <v>728.85714285714289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2922</v>
      </c>
      <c r="H85" s="536">
        <f>G85+'6'!H85</f>
        <v>16968.929999999968</v>
      </c>
      <c r="I85" s="557"/>
      <c r="J85" s="629">
        <f>H85/DAY(B2)</f>
        <v>2424.1328571428526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732" t="s">
        <v>183</v>
      </c>
      <c r="E86" s="704">
        <f>'6'!F86</f>
        <v>451093</v>
      </c>
      <c r="F86" s="728">
        <v>451193</v>
      </c>
      <c r="G86" s="787">
        <f t="shared" ref="G86:G90" si="7">F86-E86</f>
        <v>100</v>
      </c>
      <c r="H86" s="787">
        <f t="shared" ref="H86:H88" si="8">G86</f>
        <v>100</v>
      </c>
      <c r="I86" s="733"/>
      <c r="J86" s="789">
        <f>H86/DAY(B2)</f>
        <v>14.285714285714286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732" t="s">
        <v>183</v>
      </c>
      <c r="E87" s="704">
        <f>'6'!F87</f>
        <v>79414</v>
      </c>
      <c r="F87" s="728">
        <v>79422</v>
      </c>
      <c r="G87" s="787">
        <f t="shared" si="7"/>
        <v>8</v>
      </c>
      <c r="H87" s="787">
        <f t="shared" si="8"/>
        <v>8</v>
      </c>
      <c r="I87" s="733"/>
      <c r="J87" s="789">
        <f>H87/DAY(B2)</f>
        <v>1.1428571428571428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732" t="s">
        <v>183</v>
      </c>
      <c r="E88" s="704">
        <f>'6'!F88</f>
        <v>148682</v>
      </c>
      <c r="F88" s="728">
        <v>148719</v>
      </c>
      <c r="G88" s="787">
        <f t="shared" si="7"/>
        <v>37</v>
      </c>
      <c r="H88" s="787">
        <f t="shared" si="8"/>
        <v>37</v>
      </c>
      <c r="I88" s="733"/>
      <c r="J88" s="789">
        <f>H88/DAY(B2)</f>
        <v>5.2857142857142856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732" t="s">
        <v>183</v>
      </c>
      <c r="E89" s="704">
        <f>'6'!F89</f>
        <v>62135</v>
      </c>
      <c r="F89" s="728">
        <v>62201</v>
      </c>
      <c r="G89" s="787">
        <f t="shared" si="7"/>
        <v>66</v>
      </c>
      <c r="H89" s="787">
        <f>G89</f>
        <v>66</v>
      </c>
      <c r="I89" s="733"/>
      <c r="J89" s="789">
        <f>H89/DAY(B2)</f>
        <v>9.4285714285714288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732" t="s">
        <v>183</v>
      </c>
      <c r="E90" s="704">
        <f>'6'!F90</f>
        <v>3190</v>
      </c>
      <c r="F90" s="728">
        <v>3193</v>
      </c>
      <c r="G90" s="787">
        <f t="shared" si="7"/>
        <v>3</v>
      </c>
      <c r="H90" s="787">
        <f>G90</f>
        <v>3</v>
      </c>
      <c r="I90" s="733"/>
      <c r="J90" s="789">
        <f>H90/DAY(B2)</f>
        <v>0.42857142857142855</v>
      </c>
      <c r="K90" s="815"/>
      <c r="L90" s="816"/>
      <c r="N90" s="860"/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'6'!F92</f>
        <v>240282</v>
      </c>
      <c r="F92" s="561">
        <v>240444</v>
      </c>
      <c r="G92" s="549">
        <f t="shared" ref="G92:G93" si="9">F92-E92</f>
        <v>162</v>
      </c>
      <c r="H92" s="536">
        <f>G92+'6'!H92</f>
        <v>749</v>
      </c>
      <c r="I92" s="556"/>
      <c r="J92" s="629">
        <f>H92/DAY(B2)</f>
        <v>107</v>
      </c>
      <c r="K92" s="468"/>
      <c r="L92" s="408"/>
      <c r="N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'6'!F93</f>
        <v>176511</v>
      </c>
      <c r="F93" s="561">
        <v>176674</v>
      </c>
      <c r="G93" s="549">
        <f t="shared" si="9"/>
        <v>163</v>
      </c>
      <c r="H93" s="536">
        <f>G93+'6'!H93</f>
        <v>1013</v>
      </c>
      <c r="I93" s="556"/>
      <c r="J93" s="629">
        <f>H93/DAY(B2)</f>
        <v>144.71428571428572</v>
      </c>
      <c r="K93" s="411"/>
      <c r="L93" s="408"/>
      <c r="N93" s="413"/>
    </row>
    <row r="94" spans="1:15">
      <c r="A94" s="1427" t="s">
        <v>208</v>
      </c>
      <c r="B94" s="1428"/>
      <c r="C94" s="1429"/>
      <c r="D94" s="599"/>
      <c r="E94" s="560">
        <f>'6'!F94</f>
        <v>0</v>
      </c>
      <c r="F94" s="554"/>
      <c r="G94" s="549">
        <f>G92+G93</f>
        <v>325</v>
      </c>
      <c r="H94" s="536">
        <f>G94+'6'!H94</f>
        <v>1496</v>
      </c>
      <c r="I94" s="556"/>
      <c r="J94" s="629">
        <f>H94/DAY(B2)</f>
        <v>213.71428571428572</v>
      </c>
      <c r="K94" s="411"/>
      <c r="L94" s="408"/>
      <c r="N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'6'!F95</f>
        <v>408694</v>
      </c>
      <c r="F95" s="554">
        <v>408813</v>
      </c>
      <c r="G95" s="549">
        <f t="shared" ref="G95:G100" si="10">F95-E95</f>
        <v>119</v>
      </c>
      <c r="H95" s="536">
        <f>G95+'6'!H95</f>
        <v>657</v>
      </c>
      <c r="I95" s="556"/>
      <c r="J95" s="629">
        <f>H95/DAY(B2)</f>
        <v>93.857142857142861</v>
      </c>
      <c r="K95" s="411"/>
      <c r="L95" s="408"/>
      <c r="N95" s="413"/>
    </row>
    <row r="96" spans="1:15" ht="27.75">
      <c r="A96" s="1229" t="s">
        <v>210</v>
      </c>
      <c r="B96" s="1230"/>
      <c r="C96" s="1230"/>
      <c r="D96" s="599" t="s">
        <v>144</v>
      </c>
      <c r="E96" s="560">
        <f>'6'!F96</f>
        <v>101422</v>
      </c>
      <c r="F96" s="554">
        <v>101454</v>
      </c>
      <c r="G96" s="549">
        <f t="shared" si="10"/>
        <v>32</v>
      </c>
      <c r="H96" s="536">
        <f>G96+'6'!H96</f>
        <v>122</v>
      </c>
      <c r="I96" s="556"/>
      <c r="J96" s="629">
        <f>H96/DAY(B2)</f>
        <v>17.428571428571427</v>
      </c>
      <c r="K96" s="466"/>
      <c r="L96" s="408"/>
      <c r="N96" s="413"/>
    </row>
    <row r="97" spans="1:14" ht="27.75">
      <c r="A97" s="1229" t="s">
        <v>211</v>
      </c>
      <c r="B97" s="1230"/>
      <c r="C97" s="1230"/>
      <c r="D97" s="599" t="s">
        <v>144</v>
      </c>
      <c r="E97" s="560">
        <f>'6'!F97</f>
        <v>96560</v>
      </c>
      <c r="F97" s="554">
        <v>96588</v>
      </c>
      <c r="G97" s="549">
        <f t="shared" si="10"/>
        <v>28</v>
      </c>
      <c r="H97" s="536">
        <f>G97+'6'!H97</f>
        <v>139</v>
      </c>
      <c r="I97" s="556"/>
      <c r="J97" s="629">
        <f>H97/DAY(B2)</f>
        <v>19.857142857142858</v>
      </c>
      <c r="K97" s="471"/>
      <c r="L97" s="408"/>
      <c r="N97" s="413"/>
    </row>
    <row r="98" spans="1:14" ht="27.75">
      <c r="A98" s="1229" t="s">
        <v>212</v>
      </c>
      <c r="B98" s="1230"/>
      <c r="C98" s="1230"/>
      <c r="D98" s="599" t="s">
        <v>144</v>
      </c>
      <c r="E98" s="560">
        <f>'6'!F98</f>
        <v>147971</v>
      </c>
      <c r="F98" s="554">
        <v>147999</v>
      </c>
      <c r="G98" s="549">
        <f t="shared" si="10"/>
        <v>28</v>
      </c>
      <c r="H98" s="536">
        <f>G98+'6'!H98</f>
        <v>391</v>
      </c>
      <c r="I98" s="556"/>
      <c r="J98" s="629">
        <f>H98/DAY(B2)</f>
        <v>55.857142857142854</v>
      </c>
      <c r="K98" s="411"/>
      <c r="L98" s="408"/>
      <c r="N98" s="785"/>
    </row>
    <row r="99" spans="1:14" ht="27.75">
      <c r="A99" s="1229" t="s">
        <v>213</v>
      </c>
      <c r="B99" s="1230"/>
      <c r="C99" s="1230"/>
      <c r="D99" s="599" t="s">
        <v>144</v>
      </c>
      <c r="E99" s="560">
        <f>'6'!F99</f>
        <v>6480</v>
      </c>
      <c r="F99" s="554">
        <v>6504</v>
      </c>
      <c r="G99" s="549">
        <f t="shared" si="10"/>
        <v>24</v>
      </c>
      <c r="H99" s="536">
        <f>G99+'6'!H99</f>
        <v>96</v>
      </c>
      <c r="I99" s="556"/>
      <c r="J99" s="629">
        <f>H99/DAY(B2)</f>
        <v>13.714285714285714</v>
      </c>
      <c r="K99" s="411"/>
      <c r="L99" s="408"/>
      <c r="N99" s="413"/>
    </row>
    <row r="100" spans="1:14" ht="27.75">
      <c r="A100" s="1229" t="s">
        <v>214</v>
      </c>
      <c r="B100" s="1230"/>
      <c r="C100" s="1230"/>
      <c r="D100" s="599" t="s">
        <v>144</v>
      </c>
      <c r="E100" s="560">
        <f>'6'!F100</f>
        <v>4617</v>
      </c>
      <c r="F100" s="554">
        <v>4625</v>
      </c>
      <c r="G100" s="549">
        <f t="shared" si="10"/>
        <v>8</v>
      </c>
      <c r="H100" s="536">
        <f>G100+'6'!H100</f>
        <v>82</v>
      </c>
      <c r="I100" s="556"/>
      <c r="J100" s="629">
        <f>H100/DAY(B2)</f>
        <v>11.714285714285714</v>
      </c>
      <c r="K100" s="411"/>
      <c r="L100" s="408"/>
      <c r="N100" s="413"/>
    </row>
    <row r="101" spans="1:14">
      <c r="A101" s="1427" t="s">
        <v>216</v>
      </c>
      <c r="B101" s="1428"/>
      <c r="C101" s="1429"/>
      <c r="D101" s="600"/>
      <c r="E101" s="600"/>
      <c r="F101" s="600"/>
      <c r="G101" s="601">
        <f>SUM(G95:G100)</f>
        <v>239</v>
      </c>
      <c r="H101" s="536">
        <f>G101+'6'!H101</f>
        <v>1487</v>
      </c>
      <c r="I101" s="602"/>
      <c r="J101" s="629">
        <f>H101/DAY(B2)</f>
        <v>212.42857142857142</v>
      </c>
      <c r="K101" s="411"/>
      <c r="L101" s="408"/>
      <c r="N101" s="413"/>
    </row>
    <row r="102" spans="1:14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6" t="s">
        <v>218</v>
      </c>
      <c r="B103" s="143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38" t="s">
        <v>219</v>
      </c>
      <c r="B104" s="1439"/>
      <c r="C104" s="1228"/>
      <c r="D104" s="699" t="s">
        <v>144</v>
      </c>
      <c r="E104" s="608">
        <v>7134</v>
      </c>
      <c r="F104" s="739">
        <v>7139</v>
      </c>
      <c r="G104" s="608">
        <f>F104-E104</f>
        <v>5</v>
      </c>
      <c r="H104" s="536">
        <f>G104+'6'!H104</f>
        <v>14</v>
      </c>
      <c r="I104" s="608"/>
      <c r="J104" s="635">
        <f>H104/DAY(B2)</f>
        <v>2</v>
      </c>
      <c r="N104" s="413"/>
    </row>
    <row r="105" spans="1:14" s="481" customFormat="1" ht="27.75">
      <c r="A105" s="1438" t="s">
        <v>77</v>
      </c>
      <c r="B105" s="1439"/>
      <c r="C105" s="1228"/>
      <c r="D105" s="699" t="s">
        <v>144</v>
      </c>
      <c r="E105" s="608">
        <f>'6'!F105</f>
        <v>35455</v>
      </c>
      <c r="F105" s="740">
        <v>35464</v>
      </c>
      <c r="G105" s="608">
        <f t="shared" ref="G105:G106" si="11">F105-E105</f>
        <v>9</v>
      </c>
      <c r="H105" s="536">
        <f>G105+'6'!H105</f>
        <v>66</v>
      </c>
      <c r="I105" s="608"/>
      <c r="J105" s="635">
        <f>H105/DAY(B2)</f>
        <v>9.4285714285714288</v>
      </c>
      <c r="N105" s="413"/>
    </row>
    <row r="106" spans="1:14" s="481" customFormat="1" ht="27.75">
      <c r="A106" s="1438" t="s">
        <v>78</v>
      </c>
      <c r="B106" s="1440"/>
      <c r="C106" s="1439"/>
      <c r="D106" s="699" t="s">
        <v>144</v>
      </c>
      <c r="E106" s="608">
        <f>'6'!F106</f>
        <v>19278</v>
      </c>
      <c r="F106" s="740">
        <v>19284</v>
      </c>
      <c r="G106" s="608">
        <f t="shared" si="11"/>
        <v>6</v>
      </c>
      <c r="H106" s="536">
        <f>G106+'6'!H106</f>
        <v>43</v>
      </c>
      <c r="I106" s="608"/>
      <c r="J106" s="635">
        <f>H106/DAY(B2)</f>
        <v>6.1428571428571432</v>
      </c>
      <c r="N106" s="413"/>
    </row>
    <row r="107" spans="1:14" s="481" customFormat="1" ht="27.75">
      <c r="A107" s="1441" t="s">
        <v>202</v>
      </c>
      <c r="B107" s="1442"/>
      <c r="C107" s="1228"/>
      <c r="D107" s="699"/>
      <c r="E107" s="608"/>
      <c r="F107" s="740"/>
      <c r="G107" s="608">
        <f>SUM(G104:G106)</f>
        <v>20</v>
      </c>
      <c r="H107" s="536">
        <f>G107+'6'!H107</f>
        <v>123</v>
      </c>
      <c r="I107" s="608"/>
      <c r="J107" s="635">
        <f>H107/DAY(B2)</f>
        <v>17.571428571428573</v>
      </c>
      <c r="N107" s="413"/>
    </row>
    <row r="108" spans="1:14" s="481" customFormat="1" ht="27.75">
      <c r="A108" s="1443" t="s">
        <v>79</v>
      </c>
      <c r="B108" s="1444"/>
      <c r="C108" s="1228"/>
      <c r="D108" s="699" t="s">
        <v>144</v>
      </c>
      <c r="E108" s="608"/>
      <c r="F108" s="740"/>
      <c r="G108" s="608"/>
      <c r="H108" s="536" t="e">
        <f>G108+'6'!H108</f>
        <v>#REF!</v>
      </c>
      <c r="I108" s="608"/>
      <c r="J108" s="635"/>
      <c r="N108" s="413"/>
    </row>
    <row r="109" spans="1:14" s="481" customFormat="1" ht="27.75">
      <c r="A109" s="1438" t="s">
        <v>220</v>
      </c>
      <c r="B109" s="1439"/>
      <c r="C109" s="1228"/>
      <c r="D109" s="699" t="s">
        <v>144</v>
      </c>
      <c r="E109" s="608">
        <f>'6'!F109</f>
        <v>56854</v>
      </c>
      <c r="F109" s="740">
        <v>56937</v>
      </c>
      <c r="G109" s="608">
        <f>F109-E109</f>
        <v>83</v>
      </c>
      <c r="H109" s="536">
        <f>G109+'6'!H109</f>
        <v>666</v>
      </c>
      <c r="I109" s="608"/>
      <c r="J109" s="635">
        <f>H109/DAY(B2)</f>
        <v>95.142857142857139</v>
      </c>
      <c r="N109" s="413"/>
    </row>
    <row r="110" spans="1:14" s="481" customFormat="1" ht="27.75">
      <c r="A110" s="1438" t="s">
        <v>221</v>
      </c>
      <c r="B110" s="1439"/>
      <c r="C110" s="1228"/>
      <c r="D110" s="699" t="s">
        <v>144</v>
      </c>
      <c r="E110" s="608">
        <f>'6'!F110</f>
        <v>30899</v>
      </c>
      <c r="F110" s="740">
        <v>30923</v>
      </c>
      <c r="G110" s="608">
        <f t="shared" ref="G110:G111" si="12">F110-E110</f>
        <v>24</v>
      </c>
      <c r="H110" s="536">
        <f>G110+'6'!H110</f>
        <v>435</v>
      </c>
      <c r="I110" s="608"/>
      <c r="J110" s="635">
        <f>H110/DAY(B2)</f>
        <v>62.142857142857146</v>
      </c>
      <c r="N110" s="413"/>
    </row>
    <row r="111" spans="1:14" s="481" customFormat="1" ht="27.75">
      <c r="A111" s="1438" t="s">
        <v>222</v>
      </c>
      <c r="B111" s="1439"/>
      <c r="C111" s="1228"/>
      <c r="D111" s="699" t="s">
        <v>144</v>
      </c>
      <c r="E111" s="608">
        <f>'6'!F111</f>
        <v>4029</v>
      </c>
      <c r="F111" s="740">
        <v>4029</v>
      </c>
      <c r="G111" s="608">
        <f t="shared" si="12"/>
        <v>0</v>
      </c>
      <c r="H111" s="536">
        <f>G111+'6'!H111</f>
        <v>49</v>
      </c>
      <c r="I111" s="608"/>
      <c r="J111" s="635">
        <f>H111/DAY(B2)</f>
        <v>7</v>
      </c>
      <c r="N111" s="413"/>
    </row>
    <row r="112" spans="1:14" s="481" customFormat="1" ht="27.75">
      <c r="A112" s="1441" t="s">
        <v>110</v>
      </c>
      <c r="B112" s="1442"/>
      <c r="C112" s="1228"/>
      <c r="D112" s="699"/>
      <c r="E112" s="608"/>
      <c r="F112" s="740"/>
      <c r="G112" s="608">
        <f>SUM(G109:G111)</f>
        <v>107</v>
      </c>
      <c r="H112" s="536">
        <f>G112+'6'!H112</f>
        <v>1150</v>
      </c>
      <c r="I112" s="608"/>
      <c r="J112" s="635">
        <f>H112/DAY(B2)</f>
        <v>164.28571428571428</v>
      </c>
      <c r="N112" s="413"/>
    </row>
    <row r="113" spans="1:14" s="481" customFormat="1" ht="27.75">
      <c r="A113" s="1443" t="s">
        <v>223</v>
      </c>
      <c r="B113" s="1444"/>
      <c r="C113" s="1228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438" t="s">
        <v>224</v>
      </c>
      <c r="B114" s="1439"/>
      <c r="C114" s="651"/>
      <c r="D114" s="699" t="s">
        <v>144</v>
      </c>
      <c r="E114" s="608">
        <f>'6'!F114</f>
        <v>10410</v>
      </c>
      <c r="F114" s="740">
        <v>10436</v>
      </c>
      <c r="G114" s="610">
        <f>F114-E114</f>
        <v>26</v>
      </c>
      <c r="H114" s="536">
        <f>G114+'6'!H114</f>
        <v>122</v>
      </c>
      <c r="I114" s="608"/>
      <c r="J114" s="635">
        <f>H114/DAY(B2)</f>
        <v>17.428571428571427</v>
      </c>
      <c r="N114" s="413"/>
    </row>
    <row r="115" spans="1:14" s="481" customFormat="1" ht="27.75">
      <c r="A115" s="1438" t="s">
        <v>225</v>
      </c>
      <c r="B115" s="1439"/>
      <c r="C115" s="651"/>
      <c r="D115" s="699" t="s">
        <v>144</v>
      </c>
      <c r="E115" s="608">
        <f>'6'!F115</f>
        <v>7729</v>
      </c>
      <c r="F115" s="740">
        <v>7735</v>
      </c>
      <c r="G115" s="610">
        <f t="shared" ref="G115:G116" si="13">F115-E115</f>
        <v>6</v>
      </c>
      <c r="H115" s="536">
        <f>G115+'6'!H115</f>
        <v>79</v>
      </c>
      <c r="I115" s="608"/>
      <c r="J115" s="635">
        <f>H115/DAY(B2)</f>
        <v>11.285714285714286</v>
      </c>
      <c r="N115" s="413"/>
    </row>
    <row r="116" spans="1:14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32</v>
      </c>
      <c r="H117" s="536">
        <f>G117+'6'!H117</f>
        <v>201</v>
      </c>
      <c r="I117" s="610"/>
      <c r="J117" s="635">
        <f>H117/DAY(B2)</f>
        <v>28.714285714285715</v>
      </c>
      <c r="N117" s="413"/>
    </row>
    <row r="118" spans="1:14" s="495" customFormat="1" ht="27.75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213</v>
      </c>
      <c r="G118" s="612">
        <f>SUM(G19+G92)</f>
        <v>213</v>
      </c>
      <c r="H118" s="536">
        <f>G118+'6'!H118</f>
        <v>1106</v>
      </c>
      <c r="I118" s="611"/>
      <c r="J118" s="636">
        <f>H118/DAY(B2)</f>
        <v>158</v>
      </c>
      <c r="N118" s="413"/>
    </row>
    <row r="119" spans="1:14" s="495" customFormat="1" ht="27.75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211</v>
      </c>
      <c r="G119" s="612">
        <f>SUM(G95,G96,G97,G99,G100)</f>
        <v>211</v>
      </c>
      <c r="H119" s="536">
        <f>G119+'6'!H119</f>
        <v>1096</v>
      </c>
      <c r="I119" s="611"/>
      <c r="J119" s="636">
        <f>H119/DAY(B2)</f>
        <v>156.57142857142858</v>
      </c>
      <c r="N119" s="413"/>
    </row>
    <row r="120" spans="1:14" s="495" customFormat="1" ht="27.75">
      <c r="A120" s="1472" t="s">
        <v>229</v>
      </c>
      <c r="B120" s="1473"/>
      <c r="C120" s="1226"/>
      <c r="D120" s="701" t="s">
        <v>144</v>
      </c>
      <c r="E120" s="610"/>
      <c r="F120" s="740">
        <f>SUM(G112)</f>
        <v>107</v>
      </c>
      <c r="G120" s="610">
        <f>SUM(G112)</f>
        <v>107</v>
      </c>
      <c r="H120" s="536">
        <f>G120+'6'!H120</f>
        <v>1150</v>
      </c>
      <c r="I120" s="611"/>
      <c r="J120" s="636">
        <f>H120/DAY(B2)</f>
        <v>164.28571428571428</v>
      </c>
      <c r="N120" s="413"/>
    </row>
    <row r="121" spans="1:14" s="481" customFormat="1" ht="27.75">
      <c r="A121" s="1474"/>
      <c r="B121" s="1475"/>
      <c r="C121" s="1227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29" t="s">
        <v>231</v>
      </c>
      <c r="B123" s="1230"/>
      <c r="C123" s="1230"/>
      <c r="D123" s="599" t="s">
        <v>141</v>
      </c>
      <c r="E123" s="1143">
        <f>'6'!F123</f>
        <v>812551</v>
      </c>
      <c r="F123" s="1143">
        <v>812826</v>
      </c>
      <c r="G123" s="1144">
        <f t="shared" ref="G123:G127" si="14">F123-E123</f>
        <v>275</v>
      </c>
      <c r="H123" s="536">
        <f>G123+'6'!H123</f>
        <v>1819.1600000000326</v>
      </c>
      <c r="I123" s="602"/>
      <c r="J123" s="629">
        <f>H123/DAY(B2)</f>
        <v>259.88000000000466</v>
      </c>
      <c r="K123" s="411"/>
      <c r="L123" s="408"/>
      <c r="N123" s="413"/>
    </row>
    <row r="124" spans="1:14" ht="27.75">
      <c r="A124" s="1229" t="s">
        <v>232</v>
      </c>
      <c r="B124" s="1230"/>
      <c r="C124" s="1230"/>
      <c r="D124" s="599" t="s">
        <v>141</v>
      </c>
      <c r="E124" s="1143">
        <f>'6'!F124</f>
        <v>73583</v>
      </c>
      <c r="F124" s="561">
        <v>73583</v>
      </c>
      <c r="G124" s="549">
        <f t="shared" si="14"/>
        <v>0</v>
      </c>
      <c r="H124" s="536">
        <f>G124+'6'!H124</f>
        <v>-0.39999999999417923</v>
      </c>
      <c r="I124" s="602"/>
      <c r="J124" s="629">
        <f>H124/DAY(B2)</f>
        <v>-5.7142857142025605E-2</v>
      </c>
      <c r="K124" s="411"/>
      <c r="L124" s="408"/>
      <c r="N124" s="413"/>
    </row>
    <row r="125" spans="1:14" ht="27.75">
      <c r="A125" s="1430" t="s">
        <v>233</v>
      </c>
      <c r="B125" s="1431"/>
      <c r="C125" s="1432"/>
      <c r="D125" s="599" t="s">
        <v>141</v>
      </c>
      <c r="E125" s="1143">
        <f>'6'!F125</f>
        <v>140392</v>
      </c>
      <c r="F125" s="1149">
        <v>140464</v>
      </c>
      <c r="G125" s="1145">
        <f t="shared" si="14"/>
        <v>72</v>
      </c>
      <c r="H125" s="536">
        <f>G125+'6'!H125</f>
        <v>484.66000000000349</v>
      </c>
      <c r="I125" s="602"/>
      <c r="J125" s="629">
        <f>H125/DAY(B2)</f>
        <v>69.237142857143354</v>
      </c>
      <c r="K125" s="411"/>
      <c r="L125" s="408"/>
      <c r="N125" s="413"/>
    </row>
    <row r="126" spans="1:14" ht="27.75">
      <c r="A126" s="686" t="s">
        <v>234</v>
      </c>
      <c r="B126" s="1230"/>
      <c r="C126" s="1230"/>
      <c r="D126" s="599" t="s">
        <v>141</v>
      </c>
      <c r="E126" s="1143">
        <f>'6'!F126</f>
        <v>59460</v>
      </c>
      <c r="F126" s="561">
        <v>59498</v>
      </c>
      <c r="G126" s="549">
        <f t="shared" si="14"/>
        <v>38</v>
      </c>
      <c r="H126" s="536">
        <f>G126+'6'!H126</f>
        <v>191.09999999999854</v>
      </c>
      <c r="I126" s="602"/>
      <c r="J126" s="629">
        <f>H126/DAY(B2)</f>
        <v>27.299999999999791</v>
      </c>
      <c r="K126" s="411"/>
      <c r="L126" s="408"/>
      <c r="N126" s="413"/>
    </row>
    <row r="127" spans="1:14" ht="27.75">
      <c r="A127" s="686" t="s">
        <v>235</v>
      </c>
      <c r="B127" s="1230"/>
      <c r="C127" s="1230"/>
      <c r="D127" s="599" t="s">
        <v>141</v>
      </c>
      <c r="E127" s="1143">
        <f>'6'!F127</f>
        <v>8901</v>
      </c>
      <c r="F127" s="561">
        <v>8905</v>
      </c>
      <c r="G127" s="549">
        <f t="shared" si="14"/>
        <v>4</v>
      </c>
      <c r="H127" s="536">
        <f>G127+'6'!H127</f>
        <v>17.200000000000728</v>
      </c>
      <c r="I127" s="556"/>
      <c r="J127" s="629">
        <f>H127/DAY(B2)</f>
        <v>2.4571428571429612</v>
      </c>
      <c r="K127" s="411"/>
      <c r="L127" s="408"/>
      <c r="N127" s="413"/>
    </row>
    <row r="128" spans="1:14" s="281" customFormat="1" ht="27.75">
      <c r="A128" s="686" t="s">
        <v>236</v>
      </c>
      <c r="B128" s="1230"/>
      <c r="C128" s="1230"/>
      <c r="D128" s="599"/>
      <c r="E128" s="554"/>
      <c r="F128" s="554"/>
      <c r="G128" s="1141">
        <f>G15-SUM(G123:G127)</f>
        <v>542</v>
      </c>
      <c r="H128" s="536">
        <f>G128+'6'!H128</f>
        <v>3845.6699999998564</v>
      </c>
      <c r="I128" s="556"/>
      <c r="J128" s="629">
        <f>H128/DAY(B2)</f>
        <v>549.38142857140804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29" t="s">
        <v>238</v>
      </c>
      <c r="B130" s="1230"/>
      <c r="C130" s="1230"/>
      <c r="D130" s="599" t="s">
        <v>239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29" t="s">
        <v>240</v>
      </c>
      <c r="B131" s="1230"/>
      <c r="C131" s="1230"/>
      <c r="D131" s="599" t="s">
        <v>239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29" t="s">
        <v>241</v>
      </c>
      <c r="B132" s="1230"/>
      <c r="C132" s="1230"/>
      <c r="D132" s="599" t="s">
        <v>239</v>
      </c>
      <c r="E132" s="598">
        <f>'6'!F132</f>
        <v>39215</v>
      </c>
      <c r="F132" s="561">
        <v>39215</v>
      </c>
      <c r="G132" s="549">
        <f t="shared" si="15"/>
        <v>0</v>
      </c>
      <c r="H132" s="536">
        <f>G132+'6'!H132</f>
        <v>386</v>
      </c>
      <c r="I132" s="556"/>
      <c r="J132" s="629">
        <f>H132/DAY(B2)</f>
        <v>55.142857142857146</v>
      </c>
      <c r="N132" s="413"/>
    </row>
    <row r="133" spans="1:14" ht="27.75">
      <c r="A133" s="1229" t="s">
        <v>242</v>
      </c>
      <c r="B133" s="1230"/>
      <c r="C133" s="1230"/>
      <c r="D133" s="599" t="s">
        <v>239</v>
      </c>
      <c r="E133" s="782">
        <f>'6'!F133</f>
        <v>299</v>
      </c>
      <c r="F133" s="703">
        <v>299</v>
      </c>
      <c r="G133" s="856">
        <f t="shared" si="15"/>
        <v>0</v>
      </c>
      <c r="H133" s="536">
        <f>G133+'6'!H133</f>
        <v>-1</v>
      </c>
      <c r="I133" s="556">
        <f>G132+G133+G134+G135</f>
        <v>24</v>
      </c>
      <c r="J133" s="629">
        <f>H133/DAY(B2)</f>
        <v>-0.14285714285714285</v>
      </c>
      <c r="N133" s="413"/>
    </row>
    <row r="134" spans="1:14" ht="27.75">
      <c r="A134" s="1229" t="s">
        <v>243</v>
      </c>
      <c r="B134" s="1230"/>
      <c r="C134" s="1230"/>
      <c r="D134" s="599" t="s">
        <v>239</v>
      </c>
      <c r="E134" s="598">
        <f>'6'!F134</f>
        <v>40506</v>
      </c>
      <c r="F134" s="561">
        <v>40530</v>
      </c>
      <c r="G134" s="549">
        <f t="shared" si="15"/>
        <v>24</v>
      </c>
      <c r="H134" s="536">
        <f>G134+'6'!H134</f>
        <v>162.86000000000058</v>
      </c>
      <c r="I134" s="556"/>
      <c r="J134" s="629">
        <f>H134/DAY(B2)</f>
        <v>23.26571428571437</v>
      </c>
      <c r="N134" s="413"/>
    </row>
    <row r="135" spans="1:14" ht="27.75">
      <c r="A135" s="1229" t="s">
        <v>244</v>
      </c>
      <c r="B135" s="1230"/>
      <c r="C135" s="1230"/>
      <c r="D135" s="599" t="s">
        <v>239</v>
      </c>
      <c r="E135" s="782">
        <f>'6'!F135</f>
        <v>32582.560000000001</v>
      </c>
      <c r="F135" s="703">
        <v>32582.560000000001</v>
      </c>
      <c r="G135" s="856">
        <f t="shared" si="15"/>
        <v>0</v>
      </c>
      <c r="H135" s="536">
        <f>G135+'6'!H135</f>
        <v>11.56000000000131</v>
      </c>
      <c r="I135" s="556"/>
      <c r="J135" s="629">
        <f>H135/DAY(B2)</f>
        <v>1.6514285714287584</v>
      </c>
      <c r="N135" s="413"/>
    </row>
    <row r="136" spans="1:14" ht="27.75">
      <c r="A136" s="1229" t="s">
        <v>245</v>
      </c>
      <c r="B136" s="1230"/>
      <c r="C136" s="1230"/>
      <c r="D136" s="599" t="s">
        <v>239</v>
      </c>
      <c r="E136" s="618">
        <f>'6'!F136</f>
        <v>22274</v>
      </c>
      <c r="F136" s="732">
        <v>22283.919999999998</v>
      </c>
      <c r="G136" s="549">
        <f t="shared" si="15"/>
        <v>9.9199999999982538</v>
      </c>
      <c r="H136" s="536">
        <f>G136+'6'!H136</f>
        <v>61.709999999999127</v>
      </c>
      <c r="I136" s="556">
        <f>G136+G137+G138</f>
        <v>12.919999999998254</v>
      </c>
      <c r="J136" s="629">
        <f>H136/DAY(B2)</f>
        <v>8.8157142857141615</v>
      </c>
      <c r="N136" s="413"/>
    </row>
    <row r="137" spans="1:14" ht="27.75">
      <c r="A137" s="1229" t="s">
        <v>246</v>
      </c>
      <c r="B137" s="1230"/>
      <c r="C137" s="1230"/>
      <c r="D137" s="599" t="s">
        <v>239</v>
      </c>
      <c r="E137" s="618">
        <f>'6'!F137</f>
        <v>25044</v>
      </c>
      <c r="F137" s="732">
        <v>25044</v>
      </c>
      <c r="G137" s="549">
        <f t="shared" si="15"/>
        <v>0</v>
      </c>
      <c r="H137" s="536">
        <f>G137+'6'!H137</f>
        <v>-0.31000000000130967</v>
      </c>
      <c r="I137" s="556"/>
      <c r="J137" s="629">
        <f>H137/DAY(B2)</f>
        <v>-4.4285714285901383E-2</v>
      </c>
      <c r="N137" s="413"/>
    </row>
    <row r="138" spans="1:14" ht="27.75">
      <c r="A138" s="1229" t="s">
        <v>247</v>
      </c>
      <c r="B138" s="1230"/>
      <c r="C138" s="1230"/>
      <c r="D138" s="599" t="s">
        <v>239</v>
      </c>
      <c r="E138" s="1147">
        <f>'6'!F138</f>
        <v>70179</v>
      </c>
      <c r="F138" s="1148">
        <v>70182</v>
      </c>
      <c r="G138" s="1141">
        <f t="shared" si="15"/>
        <v>3</v>
      </c>
      <c r="H138" s="536">
        <f>G138+'6'!H138</f>
        <v>34.660000000003492</v>
      </c>
      <c r="I138" s="556"/>
      <c r="J138" s="629">
        <f>H138/DAY(B2)</f>
        <v>4.9514285714290702</v>
      </c>
      <c r="N138" s="413"/>
    </row>
    <row r="139" spans="1:14" ht="27.75">
      <c r="A139" s="1229" t="s">
        <v>248</v>
      </c>
      <c r="B139" s="1230"/>
      <c r="C139" s="1230"/>
      <c r="D139" s="599" t="s">
        <v>239</v>
      </c>
      <c r="E139" s="598">
        <f>'6'!F139</f>
        <v>1468</v>
      </c>
      <c r="F139" s="561">
        <v>1476</v>
      </c>
      <c r="G139" s="549">
        <f t="shared" si="15"/>
        <v>8</v>
      </c>
      <c r="H139" s="536">
        <f>G139+'6'!H139</f>
        <v>52.8599999999999</v>
      </c>
      <c r="I139" s="619">
        <f>G139+G140</f>
        <v>8</v>
      </c>
      <c r="J139" s="629">
        <f>H139/DAY(B2)</f>
        <v>7.5514285714285574</v>
      </c>
      <c r="N139" s="413"/>
    </row>
    <row r="140" spans="1:14" ht="27.75">
      <c r="A140" s="1229" t="s">
        <v>249</v>
      </c>
      <c r="B140" s="1230"/>
      <c r="C140" s="1230"/>
      <c r="D140" s="599" t="s">
        <v>239</v>
      </c>
      <c r="E140" s="1146">
        <f>'6'!F140</f>
        <v>4334</v>
      </c>
      <c r="F140" s="1143">
        <v>4334</v>
      </c>
      <c r="G140" s="1144">
        <f t="shared" si="15"/>
        <v>0</v>
      </c>
      <c r="H140" s="536">
        <f>G140+'6'!H140</f>
        <v>0</v>
      </c>
      <c r="I140" s="619"/>
      <c r="J140" s="629">
        <f>H140/DAY(B2)</f>
        <v>0</v>
      </c>
      <c r="N140" s="413"/>
    </row>
    <row r="141" spans="1:14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5736</v>
      </c>
      <c r="H142" s="536">
        <f>G142+'6'!H142</f>
        <v>40662.120000000068</v>
      </c>
      <c r="I142" s="556"/>
      <c r="J142" s="629">
        <f>H142/DAY(B2)</f>
        <v>5808.8742857142952</v>
      </c>
      <c r="K142" s="411"/>
      <c r="L142" s="408"/>
      <c r="N142" s="413"/>
    </row>
    <row r="143" spans="1:14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0.26542038776548982</v>
      </c>
      <c r="H143" s="536">
        <f>G143+'6'!H143</f>
        <v>1.7189175093347524</v>
      </c>
      <c r="I143" s="621"/>
      <c r="J143" s="629">
        <f>H143/DAY(B2)</f>
        <v>0.24555964419067891</v>
      </c>
      <c r="K143" s="411"/>
      <c r="L143" s="408"/>
      <c r="N143" s="413"/>
    </row>
    <row r="144" spans="1:14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5494</v>
      </c>
      <c r="H144" s="536">
        <f>G144+'6'!H144</f>
        <v>36832.799999999967</v>
      </c>
      <c r="I144" s="556"/>
      <c r="J144" s="629">
        <f>H144/DAY(B2)</f>
        <v>5261.8285714285666</v>
      </c>
      <c r="K144" s="411"/>
      <c r="L144" s="408"/>
      <c r="N144" s="413"/>
    </row>
    <row r="145" spans="1:14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0.2542223867474897</v>
      </c>
      <c r="H145" s="536">
        <f>G145+'6'!H145</f>
        <v>1.719789252088842</v>
      </c>
      <c r="I145" s="621"/>
      <c r="J145" s="629">
        <f>H145/DAY(B2)</f>
        <v>0.24568417886983457</v>
      </c>
      <c r="K145" s="411"/>
      <c r="L145" s="408"/>
      <c r="N145" s="413"/>
    </row>
    <row r="146" spans="1:14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4230</v>
      </c>
      <c r="H146" s="536">
        <f>G146+'6'!H146</f>
        <v>130015.37999999999</v>
      </c>
      <c r="I146" s="622"/>
      <c r="J146" s="629">
        <f>H146/DAY(B2)</f>
        <v>18573.625714285714</v>
      </c>
      <c r="K146" s="411"/>
      <c r="L146" s="408"/>
      <c r="N146" s="413"/>
    </row>
    <row r="147" spans="1:14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0.19573365415760494</v>
      </c>
      <c r="H147" s="536">
        <f>G147+'6'!H147</f>
        <v>6.3112094336346063</v>
      </c>
      <c r="I147" s="622"/>
      <c r="J147" s="629">
        <f>H147/DAY(B2)</f>
        <v>0.90160134766208666</v>
      </c>
      <c r="N147" s="413"/>
    </row>
    <row r="148" spans="1:14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2331</v>
      </c>
      <c r="H148" s="536">
        <f>G148+'6'!H148</f>
        <v>14688.799999999981</v>
      </c>
      <c r="I148" s="556"/>
      <c r="J148" s="629">
        <f>H148/DAY(B2)</f>
        <v>2098.3999999999974</v>
      </c>
      <c r="K148" s="412"/>
      <c r="N148" s="413"/>
    </row>
    <row r="149" spans="1:14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0.10786173707833974</v>
      </c>
      <c r="H149" s="536">
        <f>G149+'6'!H149</f>
        <v>0.68771503882501639</v>
      </c>
      <c r="I149" s="622"/>
      <c r="J149" s="629">
        <f>H149/DAY(B2)</f>
        <v>9.8245005546430911E-2</v>
      </c>
      <c r="N149" s="413"/>
    </row>
    <row r="150" spans="1:14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1841</v>
      </c>
      <c r="H150" s="536">
        <f>G150+'6'!H150</f>
        <v>13104.399999999965</v>
      </c>
      <c r="I150" s="622"/>
      <c r="J150" s="629">
        <f>H150/DAY(B2)</f>
        <v>1872.0571428571379</v>
      </c>
      <c r="N150" s="413"/>
    </row>
    <row r="151" spans="1:14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8.5188098653463509E-2</v>
      </c>
      <c r="H151" s="536">
        <f>G151+'6'!H151</f>
        <v>0.61124858252774206</v>
      </c>
      <c r="I151" s="556"/>
      <c r="J151" s="629">
        <f>H151/DAY(B2)</f>
        <v>8.7321226075391722E-2</v>
      </c>
      <c r="N151" s="413"/>
    </row>
    <row r="152" spans="1:14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1500</v>
      </c>
      <c r="H152" s="536">
        <f>G152+'6'!H152</f>
        <v>45542.16</v>
      </c>
      <c r="I152" s="556"/>
      <c r="J152" s="629">
        <f>H152/DAY(B2)</f>
        <v>6506.0228571428579</v>
      </c>
      <c r="N152" s="413"/>
    </row>
    <row r="153" spans="1:14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6.9409097219008842E-2</v>
      </c>
      <c r="H153" s="536">
        <f>G153+'6'!H153</f>
        <v>2.2112939359688113</v>
      </c>
      <c r="I153" s="645"/>
      <c r="J153" s="646">
        <f>H153/DAY(B2)</f>
        <v>0.31589913370983019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83" t="s">
        <v>267</v>
      </c>
      <c r="B157" s="1484"/>
      <c r="C157" s="1484"/>
      <c r="D157" s="1484"/>
      <c r="E157" s="1484"/>
      <c r="F157" s="1484"/>
      <c r="G157" s="1485"/>
    </row>
    <row r="158" spans="1:14">
      <c r="A158" s="867"/>
      <c r="B158" s="868"/>
      <c r="C158" s="868"/>
      <c r="D158" s="587"/>
      <c r="E158" s="531"/>
      <c r="F158" s="739"/>
      <c r="G158" s="549"/>
    </row>
    <row r="159" spans="1:14">
      <c r="A159" s="867"/>
      <c r="B159" s="868"/>
      <c r="C159" s="868"/>
      <c r="D159" s="587"/>
      <c r="E159" s="531"/>
      <c r="F159" s="739"/>
      <c r="G159" s="549"/>
    </row>
    <row r="160" spans="1:14">
      <c r="A160" s="867" t="s">
        <v>263</v>
      </c>
      <c r="B160" s="868"/>
      <c r="C160" s="868"/>
      <c r="D160" s="587" t="s">
        <v>187</v>
      </c>
      <c r="E160" s="1146">
        <f>'6'!F160</f>
        <v>31306</v>
      </c>
      <c r="F160" s="739">
        <v>31391</v>
      </c>
      <c r="G160" s="549">
        <f t="shared" ref="G160:G171" si="16">F160-E160</f>
        <v>85</v>
      </c>
    </row>
    <row r="161" spans="1:7">
      <c r="A161" s="867" t="s">
        <v>264</v>
      </c>
      <c r="B161" s="868"/>
      <c r="C161" s="868"/>
      <c r="D161" s="587" t="s">
        <v>187</v>
      </c>
      <c r="E161" s="1146">
        <f>'6'!F161</f>
        <v>57798</v>
      </c>
      <c r="F161" s="739">
        <v>58261</v>
      </c>
      <c r="G161" s="549">
        <f t="shared" si="16"/>
        <v>463</v>
      </c>
    </row>
    <row r="162" spans="1:7">
      <c r="A162" s="867" t="s">
        <v>265</v>
      </c>
      <c r="B162" s="868"/>
      <c r="C162" s="868"/>
      <c r="D162" s="587" t="s">
        <v>187</v>
      </c>
      <c r="E162" s="1146">
        <f>'6'!F162</f>
        <v>22255</v>
      </c>
      <c r="F162" s="739">
        <v>22538</v>
      </c>
      <c r="G162" s="549">
        <f t="shared" si="16"/>
        <v>283</v>
      </c>
    </row>
    <row r="163" spans="1:7">
      <c r="A163" s="867" t="s">
        <v>266</v>
      </c>
      <c r="B163" s="868"/>
      <c r="C163" s="868"/>
      <c r="D163" s="587" t="s">
        <v>187</v>
      </c>
      <c r="E163" s="1146">
        <f>'6'!F163</f>
        <v>5506</v>
      </c>
      <c r="F163" s="739">
        <v>5515</v>
      </c>
      <c r="G163" s="549">
        <f t="shared" si="16"/>
        <v>9</v>
      </c>
    </row>
    <row r="164" spans="1:7">
      <c r="A164" s="869" t="s">
        <v>98</v>
      </c>
      <c r="B164" s="681"/>
      <c r="C164" s="681"/>
      <c r="D164" s="587" t="s">
        <v>187</v>
      </c>
      <c r="E164" s="1146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69" t="s">
        <v>188</v>
      </c>
      <c r="B165" s="681"/>
      <c r="C165" s="681"/>
      <c r="D165" s="587" t="s">
        <v>187</v>
      </c>
      <c r="E165" s="1146">
        <f>'6'!F165</f>
        <v>1785</v>
      </c>
      <c r="F165" s="590">
        <f t="shared" ref="F165:F171" si="17">F63</f>
        <v>1797</v>
      </c>
      <c r="G165" s="549">
        <f t="shared" si="16"/>
        <v>12</v>
      </c>
    </row>
    <row r="166" spans="1:7" ht="27.75">
      <c r="A166" s="1482" t="s">
        <v>99</v>
      </c>
      <c r="B166" s="1482"/>
      <c r="C166" s="1482"/>
      <c r="D166" s="599" t="s">
        <v>187</v>
      </c>
      <c r="E166" s="1146">
        <f>'6'!F166</f>
        <v>126712</v>
      </c>
      <c r="F166" s="590">
        <f t="shared" si="17"/>
        <v>127265</v>
      </c>
      <c r="G166" s="549">
        <f t="shared" si="16"/>
        <v>553</v>
      </c>
    </row>
    <row r="167" spans="1:7" ht="27.75">
      <c r="A167" s="1482" t="s">
        <v>100</v>
      </c>
      <c r="B167" s="1482"/>
      <c r="C167" s="1482"/>
      <c r="D167" s="599" t="s">
        <v>187</v>
      </c>
      <c r="E167" s="1146">
        <f>'6'!F167</f>
        <v>134863</v>
      </c>
      <c r="F167" s="590">
        <f t="shared" si="17"/>
        <v>135234</v>
      </c>
      <c r="G167" s="549">
        <f t="shared" si="16"/>
        <v>371</v>
      </c>
    </row>
    <row r="168" spans="1:7" ht="27.75">
      <c r="A168" s="1482" t="s">
        <v>101</v>
      </c>
      <c r="B168" s="1482"/>
      <c r="C168" s="1482"/>
      <c r="D168" s="599" t="s">
        <v>187</v>
      </c>
      <c r="E168" s="1146">
        <f>'6'!F168</f>
        <v>27597</v>
      </c>
      <c r="F168" s="590">
        <f t="shared" si="17"/>
        <v>27966</v>
      </c>
      <c r="G168" s="549">
        <f t="shared" si="16"/>
        <v>369</v>
      </c>
    </row>
    <row r="169" spans="1:7" ht="27.75">
      <c r="A169" s="1482" t="s">
        <v>102</v>
      </c>
      <c r="B169" s="1482"/>
      <c r="C169" s="1482"/>
      <c r="D169" s="599" t="s">
        <v>187</v>
      </c>
      <c r="E169" s="1146">
        <f>'6'!F169</f>
        <v>211959</v>
      </c>
      <c r="F169" s="590">
        <f t="shared" si="17"/>
        <v>212624</v>
      </c>
      <c r="G169" s="549">
        <f t="shared" si="16"/>
        <v>665</v>
      </c>
    </row>
    <row r="170" spans="1:7" ht="27.75">
      <c r="A170" s="1482" t="s">
        <v>103</v>
      </c>
      <c r="B170" s="1482"/>
      <c r="C170" s="1482"/>
      <c r="D170" s="599" t="s">
        <v>187</v>
      </c>
      <c r="E170" s="1146">
        <f>'6'!F170</f>
        <v>74747</v>
      </c>
      <c r="F170" s="590">
        <f t="shared" si="17"/>
        <v>75071</v>
      </c>
      <c r="G170" s="549">
        <f t="shared" si="16"/>
        <v>324</v>
      </c>
    </row>
    <row r="171" spans="1:7" ht="27.75">
      <c r="A171" s="1482" t="s">
        <v>104</v>
      </c>
      <c r="B171" s="1482"/>
      <c r="C171" s="1482"/>
      <c r="D171" s="599" t="s">
        <v>187</v>
      </c>
      <c r="E171" s="1146">
        <f>'6'!F171</f>
        <v>66393</v>
      </c>
      <c r="F171" s="590">
        <f t="shared" si="17"/>
        <v>66722</v>
      </c>
      <c r="G171" s="549">
        <f t="shared" si="16"/>
        <v>329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64" zoomScale="55" zoomScaleSheetLayoutView="55" workbookViewId="0">
      <selection activeCell="F77" sqref="F77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321</v>
      </c>
      <c r="B2" s="1117">
        <v>44263</v>
      </c>
      <c r="C2" s="1231" t="s">
        <v>69</v>
      </c>
      <c r="D2" s="688">
        <v>0.41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1" t="s">
        <v>120</v>
      </c>
      <c r="D3" s="689">
        <v>27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1" t="s">
        <v>122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/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131</v>
      </c>
      <c r="B7" s="758"/>
      <c r="C7" s="758"/>
      <c r="D7" s="715" t="s">
        <v>132</v>
      </c>
      <c r="E7" s="710">
        <f>'7'!F7</f>
        <v>4594627</v>
      </c>
      <c r="F7" s="531">
        <v>4617148</v>
      </c>
      <c r="G7" s="759">
        <f>F7-E7</f>
        <v>22521</v>
      </c>
      <c r="H7" s="760">
        <f>G7+'7'!H7</f>
        <v>172071</v>
      </c>
      <c r="I7" s="761">
        <f>'1'!I7</f>
        <v>12000</v>
      </c>
      <c r="J7" s="762">
        <f>H7/DAY(B2)</f>
        <v>21508.875</v>
      </c>
      <c r="K7" s="626"/>
      <c r="L7" s="408"/>
      <c r="N7" s="790">
        <v>11335</v>
      </c>
      <c r="O7" s="413">
        <f>G7-N7</f>
        <v>11186</v>
      </c>
    </row>
    <row r="8" spans="1:15" ht="27.75" thickBot="1">
      <c r="A8" s="763" t="s">
        <v>133</v>
      </c>
      <c r="B8" s="764"/>
      <c r="C8" s="765"/>
      <c r="D8" s="766" t="s">
        <v>25</v>
      </c>
      <c r="E8" s="710">
        <f>'7'!F8</f>
        <v>4623614</v>
      </c>
      <c r="F8" s="551">
        <v>4646286</v>
      </c>
      <c r="G8" s="770">
        <f>F8-E8</f>
        <v>22672</v>
      </c>
      <c r="H8" s="760">
        <f>G8+'7'!H8</f>
        <v>173130</v>
      </c>
      <c r="I8" s="767">
        <v>12000</v>
      </c>
      <c r="J8" s="762">
        <f>H8/DAY(B2)</f>
        <v>21641.25</v>
      </c>
      <c r="K8" s="626"/>
      <c r="L8" s="464"/>
      <c r="M8" s="479"/>
      <c r="N8" s="784"/>
    </row>
    <row r="9" spans="1:15">
      <c r="A9" s="768" t="s">
        <v>134</v>
      </c>
      <c r="B9" s="769"/>
      <c r="C9" s="769"/>
      <c r="D9" s="715" t="s">
        <v>132</v>
      </c>
      <c r="E9" s="710">
        <f>'7'!F9</f>
        <v>124354</v>
      </c>
      <c r="F9" s="554">
        <v>124354</v>
      </c>
      <c r="G9" s="783">
        <f t="shared" ref="G9:G12" si="0">F9-E9</f>
        <v>0</v>
      </c>
      <c r="H9" s="760">
        <f>G9+'7'!H9</f>
        <v>37444.990000000005</v>
      </c>
      <c r="I9" s="771">
        <f>I7-J7</f>
        <v>-9508.875</v>
      </c>
      <c r="J9" s="762">
        <f>H9/DAY(B2)</f>
        <v>4680.6237500000007</v>
      </c>
      <c r="K9" s="467"/>
      <c r="L9" s="408"/>
      <c r="N9" s="413"/>
    </row>
    <row r="10" spans="1:15">
      <c r="A10" s="757" t="s">
        <v>135</v>
      </c>
      <c r="B10" s="758"/>
      <c r="C10" s="758"/>
      <c r="D10" s="715" t="s">
        <v>132</v>
      </c>
      <c r="E10" s="710">
        <f>'7'!F10</f>
        <v>132785</v>
      </c>
      <c r="F10" s="554">
        <v>154479</v>
      </c>
      <c r="G10" s="770">
        <f t="shared" si="0"/>
        <v>21694</v>
      </c>
      <c r="H10" s="760">
        <f>G10+'7'!H10</f>
        <v>128783.44</v>
      </c>
      <c r="I10" s="772"/>
      <c r="J10" s="762">
        <f>H10/DAY(B2)</f>
        <v>16097.93</v>
      </c>
      <c r="K10" s="467"/>
      <c r="L10" s="408"/>
      <c r="N10" s="413"/>
    </row>
    <row r="11" spans="1:15">
      <c r="A11" s="757" t="s">
        <v>136</v>
      </c>
      <c r="B11" s="758"/>
      <c r="C11" s="758"/>
      <c r="D11" s="715" t="s">
        <v>132</v>
      </c>
      <c r="E11" s="710">
        <f>'7'!F11</f>
        <v>37000</v>
      </c>
      <c r="F11" s="531">
        <v>37000</v>
      </c>
      <c r="G11" s="770">
        <f t="shared" si="0"/>
        <v>0</v>
      </c>
      <c r="H11" s="760">
        <f>G11+'7'!H11</f>
        <v>-2000</v>
      </c>
      <c r="I11" s="772"/>
      <c r="J11" s="762">
        <f>H11/DAY(B2)</f>
        <v>-250</v>
      </c>
      <c r="K11" s="467"/>
      <c r="L11" s="408"/>
      <c r="N11" s="413"/>
    </row>
    <row r="12" spans="1:15">
      <c r="A12" s="757" t="s">
        <v>137</v>
      </c>
      <c r="B12" s="758"/>
      <c r="C12" s="758"/>
      <c r="D12" s="715" t="s">
        <v>132</v>
      </c>
      <c r="E12" s="710">
        <f>'7'!F12</f>
        <v>40010</v>
      </c>
      <c r="F12" s="554">
        <v>40010</v>
      </c>
      <c r="G12" s="770">
        <f t="shared" si="0"/>
        <v>0</v>
      </c>
      <c r="H12" s="760">
        <f>G12+'7'!H12</f>
        <v>-2000</v>
      </c>
      <c r="I12" s="772"/>
      <c r="J12" s="762">
        <f>H12/DAY(B2)</f>
        <v>-250</v>
      </c>
      <c r="K12" s="467"/>
      <c r="L12" s="408"/>
      <c r="N12" s="413"/>
    </row>
    <row r="13" spans="1:15">
      <c r="A13" s="773" t="s">
        <v>138</v>
      </c>
      <c r="B13" s="774"/>
      <c r="C13" s="774"/>
      <c r="D13" s="715"/>
      <c r="E13" s="710"/>
      <c r="F13" s="531">
        <v>0</v>
      </c>
      <c r="G13" s="775">
        <f>G9+G10+G11+G12</f>
        <v>21694</v>
      </c>
      <c r="H13" s="760">
        <f>G13+'7'!H13</f>
        <v>162228.43</v>
      </c>
      <c r="I13" s="776">
        <f>G7-G13</f>
        <v>827</v>
      </c>
      <c r="J13" s="762">
        <f>H13/DAY(B2)</f>
        <v>20278.553749999999</v>
      </c>
      <c r="K13" s="467"/>
      <c r="L13" s="408"/>
      <c r="N13" s="413"/>
    </row>
    <row r="14" spans="1:15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07" t="s">
        <v>215</v>
      </c>
    </row>
    <row r="15" spans="1:15">
      <c r="A15" s="746" t="s">
        <v>140</v>
      </c>
      <c r="B15" s="747"/>
      <c r="C15" s="747"/>
      <c r="D15" s="748" t="s">
        <v>141</v>
      </c>
      <c r="E15" s="749">
        <f>'7'!F15</f>
        <v>1626236</v>
      </c>
      <c r="F15" s="561">
        <v>1627095.85</v>
      </c>
      <c r="G15" s="745">
        <f>(F15-E15)</f>
        <v>859.85000000009313</v>
      </c>
      <c r="H15" s="751">
        <f>G15+'7'!H15</f>
        <v>7217.2399999999907</v>
      </c>
      <c r="I15" s="752">
        <v>800</v>
      </c>
      <c r="J15" s="753">
        <f>H15/DAY(B2)</f>
        <v>902.15499999999884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-102.15499999999884</v>
      </c>
      <c r="J16" s="753"/>
      <c r="K16" s="467"/>
      <c r="L16" s="408"/>
      <c r="N16" s="413"/>
    </row>
    <row r="17" spans="1:14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86" t="s">
        <v>143</v>
      </c>
      <c r="B18" s="1487"/>
      <c r="C18" s="1488"/>
      <c r="D18" s="715" t="s">
        <v>144</v>
      </c>
      <c r="E18" s="712">
        <f>'7'!F18</f>
        <v>20</v>
      </c>
      <c r="F18" s="703">
        <v>14</v>
      </c>
      <c r="G18" s="775">
        <f>F18*10</f>
        <v>140</v>
      </c>
      <c r="H18" s="760">
        <f>G18+'7'!H18</f>
        <v>1220</v>
      </c>
      <c r="I18" s="761">
        <f>'1'!I18</f>
        <v>65</v>
      </c>
      <c r="J18" s="762">
        <f>H18/DAY(B2)</f>
        <v>152.5</v>
      </c>
      <c r="K18" s="467"/>
      <c r="L18" s="408"/>
      <c r="N18" s="413"/>
    </row>
    <row r="19" spans="1:14" ht="27.75">
      <c r="A19" s="1486" t="s">
        <v>71</v>
      </c>
      <c r="B19" s="1487"/>
      <c r="C19" s="1488"/>
      <c r="D19" s="715" t="s">
        <v>144</v>
      </c>
      <c r="E19" s="712">
        <f>'7'!F19</f>
        <v>134825</v>
      </c>
      <c r="F19" s="554">
        <v>134878</v>
      </c>
      <c r="G19" s="770">
        <f t="shared" ref="G19" si="1">F19-E19</f>
        <v>53</v>
      </c>
      <c r="H19" s="760">
        <f>G19+'7'!H19</f>
        <v>410</v>
      </c>
      <c r="I19" s="777"/>
      <c r="J19" s="762">
        <f>H19/DAY(B2)</f>
        <v>51.25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599"/>
      <c r="G20" s="778">
        <f>G18+G19</f>
        <v>193</v>
      </c>
      <c r="H20" s="760">
        <f>G20+'7'!H20</f>
        <v>1630</v>
      </c>
      <c r="I20" s="779">
        <f>I18-J20</f>
        <v>-138.75</v>
      </c>
      <c r="J20" s="762">
        <f>H20/DAY(B2)</f>
        <v>203.75</v>
      </c>
      <c r="K20" s="467"/>
      <c r="L20" s="408"/>
      <c r="N20" s="413"/>
    </row>
    <row r="21" spans="1:14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29" t="s">
        <v>147</v>
      </c>
      <c r="B22" s="666"/>
      <c r="C22" s="666"/>
      <c r="D22" s="599" t="s">
        <v>148</v>
      </c>
      <c r="E22" s="560">
        <f>'7'!F22</f>
        <v>2970</v>
      </c>
      <c r="F22" s="554">
        <v>2970</v>
      </c>
      <c r="G22" s="557">
        <f>(E22-F22)</f>
        <v>0</v>
      </c>
      <c r="H22" s="536">
        <f>G22+'7'!H22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29" t="s">
        <v>149</v>
      </c>
      <c r="B23" s="666"/>
      <c r="C23" s="666"/>
      <c r="D23" s="599" t="s">
        <v>148</v>
      </c>
      <c r="E23" s="560">
        <f>'7'!F23</f>
        <v>2900</v>
      </c>
      <c r="F23" s="554">
        <v>2900</v>
      </c>
      <c r="G23" s="557">
        <f>(E23-F23)</f>
        <v>0</v>
      </c>
      <c r="H23" s="536">
        <f>G23+'7'!H23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569">
        <f>'7'!F24</f>
        <v>4250</v>
      </c>
      <c r="F24" s="569">
        <v>4250</v>
      </c>
      <c r="G24" s="569">
        <f>(G22+G23)</f>
        <v>0</v>
      </c>
      <c r="H24" s="536">
        <f>G24+'7'!H24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22672</v>
      </c>
      <c r="F27" s="577">
        <v>9</v>
      </c>
      <c r="G27" s="578">
        <f>E27*F27</f>
        <v>204048</v>
      </c>
      <c r="H27" s="536">
        <f>G27+'7'!H27</f>
        <v>1558170</v>
      </c>
      <c r="I27" s="579"/>
      <c r="J27" s="629">
        <f>H27/DAY(B2)</f>
        <v>194771.25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859.85000000009313</v>
      </c>
      <c r="F28" s="577">
        <v>43.5</v>
      </c>
      <c r="G28" s="578">
        <f t="shared" ref="G28:G31" si="2">E28*F28</f>
        <v>37403.475000004051</v>
      </c>
      <c r="H28" s="536">
        <f>G28+'7'!H28</f>
        <v>333255.47819999908</v>
      </c>
      <c r="I28" s="581"/>
      <c r="J28" s="629">
        <f>H28/DAY(B2)</f>
        <v>41656.934774999885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 t="shared" si="2"/>
        <v>0</v>
      </c>
      <c r="H29" s="536">
        <f>G29+'7'!H29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53</v>
      </c>
      <c r="F30" s="577">
        <v>134</v>
      </c>
      <c r="G30" s="578">
        <f t="shared" si="2"/>
        <v>7102</v>
      </c>
      <c r="H30" s="536">
        <f>G30+'7'!H30</f>
        <v>72628</v>
      </c>
      <c r="I30" s="581"/>
      <c r="J30" s="629">
        <f>H30/DAY(B2)</f>
        <v>9078.5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140</v>
      </c>
      <c r="F31" s="577">
        <v>80</v>
      </c>
      <c r="G31" s="578">
        <f t="shared" si="2"/>
        <v>11200</v>
      </c>
      <c r="H31" s="536">
        <f>G31+'7'!H31</f>
        <v>87040</v>
      </c>
      <c r="I31" s="581"/>
      <c r="J31" s="629">
        <f>H31/DAY(B2)</f>
        <v>10880</v>
      </c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259753.47500000405</v>
      </c>
      <c r="H32" s="536">
        <f>G32+'7'!H32</f>
        <v>2051093.4781999991</v>
      </c>
      <c r="I32" s="585"/>
      <c r="J32" s="629">
        <f>H32/DAY(B2)</f>
        <v>256386.68477499989</v>
      </c>
      <c r="K32" s="404"/>
      <c r="L32" s="484"/>
      <c r="N32" s="413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</row>
    <row r="34" spans="1:14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'7'!F35</f>
        <v>716643</v>
      </c>
      <c r="F35" s="586">
        <v>720037</v>
      </c>
      <c r="G35" s="549">
        <f t="shared" ref="G35:G46" si="3">F35-E35</f>
        <v>3394</v>
      </c>
      <c r="H35" s="536">
        <f>G35+'7'!H35</f>
        <v>26949.410000000033</v>
      </c>
      <c r="I35" s="531"/>
      <c r="J35" s="629">
        <f>H35/DAY(B2)</f>
        <v>3368.6762500000041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'7'!F36</f>
        <v>300935</v>
      </c>
      <c r="F36" s="586">
        <v>301611</v>
      </c>
      <c r="G36" s="549">
        <f t="shared" si="3"/>
        <v>676</v>
      </c>
      <c r="H36" s="536">
        <f>G36+'7'!H36</f>
        <v>5165.429999999993</v>
      </c>
      <c r="I36" s="531"/>
      <c r="J36" s="629">
        <f>H36/DAY(B2)</f>
        <v>645.67874999999913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f>'7'!F37</f>
        <v>35167</v>
      </c>
      <c r="F37" s="586">
        <v>35167</v>
      </c>
      <c r="G37" s="549">
        <f t="shared" si="3"/>
        <v>0</v>
      </c>
      <c r="H37" s="536">
        <f>G37+'7'!H37</f>
        <v>38272.080000000002</v>
      </c>
      <c r="I37" s="531"/>
      <c r="J37" s="629">
        <f>H37/DAY(B2)</f>
        <v>4784.01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45">
        <f>'7'!F38</f>
        <v>48333</v>
      </c>
      <c r="F38" s="545">
        <v>48333</v>
      </c>
      <c r="G38" s="549">
        <f t="shared" si="3"/>
        <v>0</v>
      </c>
      <c r="H38" s="536">
        <f>G38+'7'!H38</f>
        <v>4519.510000000002</v>
      </c>
      <c r="I38" s="531"/>
      <c r="J38" s="629">
        <f>H38/DAY(B2)</f>
        <v>564.93875000000025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f>'7'!F39</f>
        <v>100066</v>
      </c>
      <c r="F39" s="586">
        <v>100066</v>
      </c>
      <c r="G39" s="549">
        <f t="shared" si="3"/>
        <v>0</v>
      </c>
      <c r="H39" s="536">
        <f>G39+'7'!H39</f>
        <v>109458.89</v>
      </c>
      <c r="I39" s="531"/>
      <c r="J39" s="629">
        <f>H39/DAY(B2)</f>
        <v>13682.36125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'7'!F40</f>
        <v>0.17</v>
      </c>
      <c r="F40" s="586">
        <v>0.17</v>
      </c>
      <c r="G40" s="549">
        <f t="shared" si="3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'7'!F41</f>
        <v>63881.74</v>
      </c>
      <c r="F41" s="1142">
        <v>64767</v>
      </c>
      <c r="G41" s="549">
        <f t="shared" si="3"/>
        <v>885.26000000000204</v>
      </c>
      <c r="H41" s="536">
        <f>G41+'7'!H41</f>
        <v>884.62999999999738</v>
      </c>
      <c r="I41" s="531"/>
      <c r="J41" s="629">
        <f>H41/DAY(B2)</f>
        <v>110.57874999999967</v>
      </c>
      <c r="K41" s="467"/>
      <c r="L41" s="408"/>
      <c r="N41" s="413"/>
    </row>
    <row r="42" spans="1:14">
      <c r="A42" s="655" t="s">
        <v>171</v>
      </c>
      <c r="B42" s="656"/>
      <c r="C42" s="656"/>
      <c r="D42" s="599" t="s">
        <v>132</v>
      </c>
      <c r="E42" s="586">
        <f>'7'!F42</f>
        <v>59128</v>
      </c>
      <c r="F42" s="586">
        <v>59128</v>
      </c>
      <c r="G42" s="549">
        <f t="shared" si="3"/>
        <v>0</v>
      </c>
      <c r="H42" s="536">
        <f>G42+'7'!H42</f>
        <v>-0.84999999999854481</v>
      </c>
      <c r="I42" s="531"/>
      <c r="J42" s="629">
        <f>H42/DAY(B2)</f>
        <v>-0.1062499999998181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'7'!F43</f>
        <v>843005</v>
      </c>
      <c r="F43" s="586">
        <v>845521</v>
      </c>
      <c r="G43" s="549">
        <f t="shared" si="3"/>
        <v>2516</v>
      </c>
      <c r="H43" s="536">
        <f>G43+'7'!H43</f>
        <v>19623.170000000042</v>
      </c>
      <c r="I43" s="531"/>
      <c r="J43" s="629">
        <f>H43/DAY(B2)</f>
        <v>2452.8962500000052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'7'!F44</f>
        <v>0</v>
      </c>
      <c r="F44" s="586">
        <v>0</v>
      </c>
      <c r="G44" s="549">
        <f t="shared" si="3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'7'!F45</f>
        <v>614</v>
      </c>
      <c r="F45" s="586">
        <v>614</v>
      </c>
      <c r="G45" s="549">
        <f t="shared" si="3"/>
        <v>0</v>
      </c>
      <c r="H45" s="536">
        <f>G45+'7'!H45</f>
        <v>0</v>
      </c>
      <c r="I45" s="531"/>
      <c r="J45" s="629">
        <f>H45/DAY(B2)</f>
        <v>0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'7'!F46</f>
        <v>187</v>
      </c>
      <c r="F46" s="586">
        <v>187</v>
      </c>
      <c r="G46" s="549">
        <f t="shared" si="3"/>
        <v>0</v>
      </c>
      <c r="H46" s="536">
        <f>G46+'7'!H46</f>
        <v>0</v>
      </c>
      <c r="I46" s="531"/>
      <c r="J46" s="629">
        <f>H46/DAY(B2)</f>
        <v>0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7471.260000000002</v>
      </c>
      <c r="H47" s="536">
        <f>G47+'7'!H47</f>
        <v>204872.27000000008</v>
      </c>
      <c r="I47" s="531"/>
      <c r="J47" s="629">
        <f>H47/DAY(B2)</f>
        <v>25609.03375000001</v>
      </c>
      <c r="K47" s="467"/>
      <c r="L47" s="408"/>
      <c r="N47" s="413"/>
    </row>
    <row r="48" spans="1:14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'7'!F49</f>
        <v>260732</v>
      </c>
      <c r="F49" s="1142">
        <v>260732</v>
      </c>
      <c r="G49" s="549">
        <f t="shared" ref="G49:G58" si="4">F49-E49</f>
        <v>0</v>
      </c>
      <c r="H49" s="536">
        <f>G49+'7'!H49</f>
        <v>-0.13000000000465661</v>
      </c>
      <c r="I49" s="531"/>
      <c r="J49" s="629">
        <f>H49/DAY(B2)</f>
        <v>-1.6250000000582077E-2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'7'!F50</f>
        <v>411078</v>
      </c>
      <c r="F50" s="586">
        <v>412616</v>
      </c>
      <c r="G50" s="549">
        <f t="shared" si="4"/>
        <v>1538</v>
      </c>
      <c r="H50" s="536">
        <f>G50+'7'!H50</f>
        <v>10152.969999999972</v>
      </c>
      <c r="I50" s="531"/>
      <c r="J50" s="629">
        <f>H50/DAY(B2)</f>
        <v>1269.1212499999965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'7'!F51</f>
        <v>127321</v>
      </c>
      <c r="F51" s="1142">
        <v>128804</v>
      </c>
      <c r="G51" s="549">
        <f t="shared" si="4"/>
        <v>1483</v>
      </c>
      <c r="H51" s="536">
        <f>G51+'7'!H51</f>
        <v>8753.0800000000017</v>
      </c>
      <c r="I51" s="531"/>
      <c r="J51" s="629">
        <f>H51/DAY(B2)</f>
        <v>1094.1350000000002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'7'!F52</f>
        <v>518082</v>
      </c>
      <c r="F52" s="1142">
        <v>520242</v>
      </c>
      <c r="G52" s="549">
        <f t="shared" si="4"/>
        <v>2160</v>
      </c>
      <c r="H52" s="536">
        <f>G52+'7'!H52</f>
        <v>12329.289999999979</v>
      </c>
      <c r="I52" s="531"/>
      <c r="J52" s="629">
        <f>H52/DAY(B2)</f>
        <v>1541.1612499999974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'7'!F53</f>
        <v>352411</v>
      </c>
      <c r="F53" s="1142">
        <v>356683</v>
      </c>
      <c r="G53" s="549">
        <f t="shared" si="4"/>
        <v>4272</v>
      </c>
      <c r="H53" s="536">
        <f>G53+'7'!H53</f>
        <v>24828.489999999991</v>
      </c>
      <c r="I53" s="531"/>
      <c r="J53" s="629">
        <f>H53/DAY(B2)</f>
        <v>3103.5612499999988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'7'!F54</f>
        <v>8200</v>
      </c>
      <c r="F54" s="586">
        <v>8200</v>
      </c>
      <c r="G54" s="549">
        <f t="shared" si="4"/>
        <v>0</v>
      </c>
      <c r="H54" s="536">
        <f>G54+'7'!H54</f>
        <v>104.36999999999989</v>
      </c>
      <c r="I54" s="531"/>
      <c r="J54" s="629">
        <f>H54/DAY(B2)</f>
        <v>13.046249999999986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'7'!F55</f>
        <v>151710</v>
      </c>
      <c r="F55" s="734">
        <v>156663</v>
      </c>
      <c r="G55" s="733">
        <f t="shared" si="4"/>
        <v>4953</v>
      </c>
      <c r="H55" s="787">
        <f>G55+'7'!H55</f>
        <v>39077.31</v>
      </c>
      <c r="I55" s="788"/>
      <c r="J55" s="789">
        <f>H55/DAY(B2)</f>
        <v>4884.6637499999997</v>
      </c>
      <c r="K55" s="467"/>
      <c r="L55" s="408"/>
      <c r="N55" s="413"/>
    </row>
    <row r="56" spans="1:14">
      <c r="A56" s="655" t="s">
        <v>182</v>
      </c>
      <c r="B56" s="678"/>
      <c r="C56" s="678"/>
      <c r="D56" s="599" t="s">
        <v>183</v>
      </c>
      <c r="E56" s="586">
        <f>'7'!F56</f>
        <v>588761</v>
      </c>
      <c r="F56" s="734">
        <v>588761</v>
      </c>
      <c r="G56" s="549">
        <f t="shared" si="4"/>
        <v>0</v>
      </c>
      <c r="H56" s="536">
        <f>G56+'7'!H56</f>
        <v>2709.9699999999721</v>
      </c>
      <c r="I56" s="531"/>
      <c r="J56" s="629">
        <f>H56/DAY(B2)</f>
        <v>338.74624999999651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'7'!F57</f>
        <v>7711</v>
      </c>
      <c r="F57" s="1142">
        <v>7711</v>
      </c>
      <c r="G57" s="549">
        <f t="shared" si="4"/>
        <v>0</v>
      </c>
      <c r="H57" s="536">
        <f>G57+'7'!H57</f>
        <v>-0.32999999999992724</v>
      </c>
      <c r="I57" s="531"/>
      <c r="J57" s="629">
        <f>H57/DAY(B2)</f>
        <v>-4.1249999999990905E-2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'7'!F58</f>
        <v>37259</v>
      </c>
      <c r="F58" s="734">
        <v>37460</v>
      </c>
      <c r="G58" s="549">
        <f t="shared" si="4"/>
        <v>201</v>
      </c>
      <c r="H58" s="536">
        <f>G58+'7'!H58</f>
        <v>1591.3000000000029</v>
      </c>
      <c r="I58" s="531"/>
      <c r="J58" s="629">
        <f>H58/DAY(B2)</f>
        <v>198.91250000000036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14607</v>
      </c>
      <c r="H59" s="536">
        <f>G59+'7'!H59</f>
        <v>99546.31999999992</v>
      </c>
      <c r="I59" s="531">
        <f>G7-G60</f>
        <v>442.73999999999796</v>
      </c>
      <c r="J59" s="629">
        <f>H59/DAY(B2)</f>
        <v>12443.28999999999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22078.260000000002</v>
      </c>
      <c r="H60" s="536">
        <f>G60+'7'!H60</f>
        <v>304418.58999999997</v>
      </c>
      <c r="I60" s="531">
        <f>G13-G60</f>
        <v>-384.26000000000204</v>
      </c>
      <c r="J60" s="629">
        <f>H60/DAY(B2)</f>
        <v>38052.323749999996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'7'!F62</f>
        <v>20419</v>
      </c>
      <c r="F62" s="590">
        <v>20419</v>
      </c>
      <c r="G62" s="549">
        <f t="shared" ref="G62:G69" si="5">F62-E62</f>
        <v>0</v>
      </c>
      <c r="H62" s="536">
        <f>G62+'7'!H62</f>
        <v>-0.18700000000171713</v>
      </c>
      <c r="I62" s="591"/>
      <c r="J62" s="629">
        <f>H62/DAY(B2)</f>
        <v>-2.3375000000214641E-2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'7'!F63</f>
        <v>1797</v>
      </c>
      <c r="F63" s="590">
        <v>1809</v>
      </c>
      <c r="G63" s="549">
        <f t="shared" si="5"/>
        <v>12</v>
      </c>
      <c r="H63" s="536">
        <f>G63+'7'!H63</f>
        <v>101.6400000000001</v>
      </c>
      <c r="I63" s="591"/>
      <c r="J63" s="629">
        <f>H63/DAY(B2)</f>
        <v>12.705000000000013</v>
      </c>
      <c r="K63" s="467"/>
      <c r="L63" s="408"/>
      <c r="N63" s="413"/>
    </row>
    <row r="64" spans="1:14" ht="27.75">
      <c r="A64" s="1430" t="s">
        <v>99</v>
      </c>
      <c r="B64" s="1431"/>
      <c r="C64" s="1432"/>
      <c r="D64" s="599" t="s">
        <v>187</v>
      </c>
      <c r="E64" s="590">
        <f>'7'!F64</f>
        <v>127265</v>
      </c>
      <c r="F64" s="554">
        <v>127792</v>
      </c>
      <c r="G64" s="549">
        <f t="shared" si="5"/>
        <v>527</v>
      </c>
      <c r="H64" s="536">
        <f>G64+'7'!H64</f>
        <v>4164.6999999999971</v>
      </c>
      <c r="I64" s="556"/>
      <c r="J64" s="629">
        <f>H64/DAY(B2)</f>
        <v>520.58749999999964</v>
      </c>
      <c r="K64" s="467"/>
      <c r="L64" s="408"/>
      <c r="N64" s="413"/>
    </row>
    <row r="65" spans="1:14" ht="27.75">
      <c r="A65" s="1430" t="s">
        <v>100</v>
      </c>
      <c r="B65" s="1431"/>
      <c r="C65" s="1432"/>
      <c r="D65" s="599" t="s">
        <v>187</v>
      </c>
      <c r="E65" s="590">
        <f>'7'!F65</f>
        <v>135234</v>
      </c>
      <c r="F65" s="732">
        <v>135612</v>
      </c>
      <c r="G65" s="549">
        <f t="shared" si="5"/>
        <v>378</v>
      </c>
      <c r="H65" s="536">
        <f>G65+'7'!H65</f>
        <v>3014.7000000000116</v>
      </c>
      <c r="I65" s="565"/>
      <c r="J65" s="629">
        <f>H65/DAY(B2)</f>
        <v>376.83750000000146</v>
      </c>
      <c r="K65" s="467"/>
      <c r="L65" s="408"/>
      <c r="N65" s="413"/>
    </row>
    <row r="66" spans="1:14" ht="27.75">
      <c r="A66" s="1430" t="s">
        <v>101</v>
      </c>
      <c r="B66" s="1431"/>
      <c r="C66" s="1432"/>
      <c r="D66" s="599" t="s">
        <v>187</v>
      </c>
      <c r="E66" s="590">
        <f>'7'!F66</f>
        <v>27966</v>
      </c>
      <c r="F66" s="554">
        <v>28345</v>
      </c>
      <c r="G66" s="549">
        <f t="shared" si="5"/>
        <v>379</v>
      </c>
      <c r="H66" s="536">
        <f>G66+'7'!H66</f>
        <v>3185.25</v>
      </c>
      <c r="I66" s="556"/>
      <c r="J66" s="629">
        <f>H66/DAY(B2)</f>
        <v>398.15625</v>
      </c>
      <c r="K66" s="467"/>
      <c r="L66" s="408"/>
      <c r="N66" s="413"/>
    </row>
    <row r="67" spans="1:14" ht="27.75">
      <c r="A67" s="1430" t="s">
        <v>102</v>
      </c>
      <c r="B67" s="1431"/>
      <c r="C67" s="1432"/>
      <c r="D67" s="599" t="s">
        <v>187</v>
      </c>
      <c r="E67" s="590">
        <f>'7'!F67</f>
        <v>212624</v>
      </c>
      <c r="F67" s="554">
        <v>213302</v>
      </c>
      <c r="G67" s="549">
        <f t="shared" si="5"/>
        <v>678</v>
      </c>
      <c r="H67" s="536">
        <f>G67+'7'!H67</f>
        <v>5460.1700000000128</v>
      </c>
      <c r="I67" s="565"/>
      <c r="J67" s="629">
        <f>H67/DAY(B2)</f>
        <v>682.5212500000016</v>
      </c>
      <c r="K67" s="468"/>
      <c r="L67" s="408"/>
      <c r="N67" s="413"/>
    </row>
    <row r="68" spans="1:14" ht="27.75">
      <c r="A68" s="1430" t="s">
        <v>103</v>
      </c>
      <c r="B68" s="1431"/>
      <c r="C68" s="1432"/>
      <c r="D68" s="599" t="s">
        <v>187</v>
      </c>
      <c r="E68" s="590">
        <f>'7'!F68</f>
        <v>75071</v>
      </c>
      <c r="F68" s="554">
        <v>75414</v>
      </c>
      <c r="G68" s="549">
        <f t="shared" si="5"/>
        <v>343</v>
      </c>
      <c r="H68" s="536">
        <f>G68+'7'!H68</f>
        <v>2735.4799999999959</v>
      </c>
      <c r="I68" s="592"/>
      <c r="J68" s="629">
        <f>H68/DAY(B2)</f>
        <v>341.93499999999949</v>
      </c>
      <c r="K68" s="469"/>
      <c r="L68" s="408"/>
      <c r="N68" s="413"/>
    </row>
    <row r="69" spans="1:14" ht="27.75">
      <c r="A69" s="1430" t="s">
        <v>104</v>
      </c>
      <c r="B69" s="1431"/>
      <c r="C69" s="1432"/>
      <c r="D69" s="599" t="s">
        <v>187</v>
      </c>
      <c r="E69" s="590">
        <f>'7'!F69</f>
        <v>66722</v>
      </c>
      <c r="F69" s="554">
        <v>67053</v>
      </c>
      <c r="G69" s="549">
        <f t="shared" si="5"/>
        <v>331</v>
      </c>
      <c r="H69" s="536">
        <f>G69+'7'!H69</f>
        <v>2600.9100000000035</v>
      </c>
      <c r="I69" s="592"/>
      <c r="J69" s="629">
        <f>H69/DAY(B2)</f>
        <v>325.11375000000044</v>
      </c>
      <c r="K69" s="470"/>
      <c r="L69" s="408"/>
      <c r="N69" s="413"/>
    </row>
    <row r="70" spans="1:14" ht="27.75">
      <c r="A70" s="1462" t="s">
        <v>189</v>
      </c>
      <c r="B70" s="1463"/>
      <c r="C70" s="1464"/>
      <c r="D70" s="599" t="s">
        <v>187</v>
      </c>
      <c r="E70" s="594"/>
      <c r="F70" s="594" t="s">
        <v>269</v>
      </c>
      <c r="G70" s="594"/>
      <c r="H70" s="536"/>
      <c r="I70" s="594"/>
      <c r="J70" s="633"/>
      <c r="K70" s="470"/>
      <c r="L70" s="408"/>
      <c r="N70" s="413"/>
    </row>
    <row r="71" spans="1:14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</row>
    <row r="72" spans="1:14" ht="27.75">
      <c r="A72" s="1430" t="s">
        <v>191</v>
      </c>
      <c r="B72" s="1431"/>
      <c r="C72" s="1432"/>
      <c r="D72" s="599" t="s">
        <v>187</v>
      </c>
      <c r="E72" s="595">
        <f>'7'!F72</f>
        <v>851145</v>
      </c>
      <c r="F72" s="735">
        <v>851251</v>
      </c>
      <c r="G72" s="549">
        <f t="shared" ref="G72:G84" si="6">F72-E72</f>
        <v>106</v>
      </c>
      <c r="H72" s="536">
        <f>G72+'7'!H72</f>
        <v>659</v>
      </c>
      <c r="I72" s="556"/>
      <c r="J72" s="629">
        <f>H72/DAY(B2)</f>
        <v>82.375</v>
      </c>
      <c r="K72" s="470"/>
      <c r="L72" s="408"/>
      <c r="N72" s="413"/>
    </row>
    <row r="73" spans="1:14" ht="27.75">
      <c r="A73" s="1430" t="s">
        <v>192</v>
      </c>
      <c r="B73" s="1431"/>
      <c r="C73" s="1432"/>
      <c r="D73" s="599" t="s">
        <v>187</v>
      </c>
      <c r="E73" s="595">
        <f>'7'!F73</f>
        <v>885774</v>
      </c>
      <c r="F73" s="736">
        <v>885774</v>
      </c>
      <c r="G73" s="733">
        <f t="shared" si="6"/>
        <v>0</v>
      </c>
      <c r="H73" s="536">
        <f>G73+'7'!H73</f>
        <v>2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430" t="s">
        <v>193</v>
      </c>
      <c r="B74" s="1431"/>
      <c r="C74" s="1432"/>
      <c r="D74" s="599" t="s">
        <v>187</v>
      </c>
      <c r="E74" s="595">
        <f>'7'!F74</f>
        <v>798</v>
      </c>
      <c r="F74" s="735">
        <v>823</v>
      </c>
      <c r="G74" s="549">
        <f t="shared" si="6"/>
        <v>25</v>
      </c>
      <c r="H74" s="536">
        <f>G74+'7'!H74</f>
        <v>236.83000000000004</v>
      </c>
      <c r="I74" s="556"/>
      <c r="J74" s="629">
        <f>H74/DAY(B2)</f>
        <v>29.603750000000005</v>
      </c>
      <c r="K74" s="470"/>
      <c r="L74" s="408"/>
      <c r="N74" s="413"/>
    </row>
    <row r="75" spans="1:14" ht="27.75">
      <c r="A75" s="1479" t="s">
        <v>194</v>
      </c>
      <c r="B75" s="1480"/>
      <c r="C75" s="1481"/>
      <c r="D75" s="599" t="s">
        <v>187</v>
      </c>
      <c r="E75" s="595">
        <f>'7'!F75</f>
        <v>4645</v>
      </c>
      <c r="F75" s="736">
        <v>4815</v>
      </c>
      <c r="G75" s="549">
        <f t="shared" si="6"/>
        <v>170</v>
      </c>
      <c r="H75" s="536">
        <f>G75+'7'!H75</f>
        <v>1295.7800000000002</v>
      </c>
      <c r="I75" s="556"/>
      <c r="J75" s="629">
        <f>H75/DAY(B2)</f>
        <v>161.97250000000003</v>
      </c>
      <c r="K75" s="469"/>
      <c r="L75" s="408"/>
      <c r="N75" s="413"/>
    </row>
    <row r="76" spans="1:14" ht="27.75">
      <c r="A76" s="1479" t="s">
        <v>195</v>
      </c>
      <c r="B76" s="1480"/>
      <c r="C76" s="1481"/>
      <c r="D76" s="599" t="s">
        <v>187</v>
      </c>
      <c r="E76" s="595">
        <f>'7'!F76</f>
        <v>2108</v>
      </c>
      <c r="F76" s="736">
        <v>2182</v>
      </c>
      <c r="G76" s="549">
        <f t="shared" si="6"/>
        <v>74</v>
      </c>
      <c r="H76" s="536">
        <f>G76+'7'!H76</f>
        <v>667.66000000000008</v>
      </c>
      <c r="I76" s="581"/>
      <c r="J76" s="629">
        <f>H76/DAY(B2)</f>
        <v>83.45750000000001</v>
      </c>
      <c r="K76" s="469"/>
      <c r="L76" s="408"/>
      <c r="N76" s="413"/>
    </row>
    <row r="77" spans="1:14" ht="27.75">
      <c r="A77" s="1430" t="s">
        <v>196</v>
      </c>
      <c r="B77" s="1431"/>
      <c r="C77" s="1432"/>
      <c r="D77" s="599" t="s">
        <v>187</v>
      </c>
      <c r="E77" s="595">
        <f>'7'!F77</f>
        <v>698935</v>
      </c>
      <c r="F77" s="735">
        <v>698993</v>
      </c>
      <c r="G77" s="733">
        <f t="shared" si="6"/>
        <v>58</v>
      </c>
      <c r="H77" s="536">
        <f>G77+'7'!H77</f>
        <v>405</v>
      </c>
      <c r="I77" s="581"/>
      <c r="J77" s="629">
        <f>H77/DAY(B2)</f>
        <v>50.625</v>
      </c>
      <c r="K77" s="469"/>
      <c r="L77" s="408"/>
      <c r="N77" s="413"/>
    </row>
    <row r="78" spans="1:14" ht="27.75">
      <c r="A78" s="1232" t="s">
        <v>197</v>
      </c>
      <c r="B78" s="1203"/>
      <c r="C78" s="1203"/>
      <c r="D78" s="599" t="s">
        <v>187</v>
      </c>
      <c r="E78" s="595">
        <f>'7'!F78</f>
        <v>655522</v>
      </c>
      <c r="F78" s="737">
        <v>655894</v>
      </c>
      <c r="G78" s="549">
        <f t="shared" si="6"/>
        <v>372</v>
      </c>
      <c r="H78" s="536">
        <f>G78+'7'!H78</f>
        <v>3031</v>
      </c>
      <c r="I78" s="581"/>
      <c r="J78" s="629">
        <f>H78/DAY(B2)</f>
        <v>378.875</v>
      </c>
      <c r="K78" s="469"/>
      <c r="L78" s="408"/>
      <c r="N78" s="413"/>
    </row>
    <row r="79" spans="1:14" ht="27.75">
      <c r="A79" s="1479" t="s">
        <v>92</v>
      </c>
      <c r="B79" s="1480"/>
      <c r="C79" s="1481"/>
      <c r="D79" s="600" t="s">
        <v>187</v>
      </c>
      <c r="E79" s="595">
        <f>'7'!F79</f>
        <v>816632</v>
      </c>
      <c r="F79" s="735">
        <v>816842</v>
      </c>
      <c r="G79" s="549">
        <f t="shared" si="6"/>
        <v>210</v>
      </c>
      <c r="H79" s="536">
        <f>G79+'7'!H79</f>
        <v>1733</v>
      </c>
      <c r="I79" s="581"/>
      <c r="J79" s="629">
        <f>H79/DAY(B2)</f>
        <v>216.625</v>
      </c>
      <c r="K79" s="469"/>
      <c r="L79" s="408"/>
      <c r="N79" s="413"/>
    </row>
    <row r="80" spans="1:14" ht="27.75">
      <c r="A80" s="1479" t="s">
        <v>198</v>
      </c>
      <c r="B80" s="1480"/>
      <c r="C80" s="1481"/>
      <c r="D80" s="600" t="s">
        <v>187</v>
      </c>
      <c r="E80" s="595">
        <f>'7'!F80</f>
        <v>497222</v>
      </c>
      <c r="F80" s="736">
        <v>497619</v>
      </c>
      <c r="G80" s="549">
        <f t="shared" si="6"/>
        <v>397</v>
      </c>
      <c r="H80" s="536">
        <f>G80+'7'!H80</f>
        <v>2945.359999999986</v>
      </c>
      <c r="I80" s="581"/>
      <c r="J80" s="629">
        <f>H80/DAY(B2)</f>
        <v>368.16999999999825</v>
      </c>
      <c r="K80" s="469"/>
      <c r="L80" s="408"/>
      <c r="N80" s="413"/>
    </row>
    <row r="81" spans="1:15" ht="27.75">
      <c r="A81" s="1479" t="s">
        <v>199</v>
      </c>
      <c r="B81" s="1480"/>
      <c r="C81" s="1481"/>
      <c r="D81" s="600" t="s">
        <v>187</v>
      </c>
      <c r="E81" s="595">
        <f>'7'!F81</f>
        <v>626724</v>
      </c>
      <c r="F81" s="736">
        <v>626846</v>
      </c>
      <c r="G81" s="549">
        <f t="shared" si="6"/>
        <v>122</v>
      </c>
      <c r="H81" s="536">
        <f>G81+'7'!H81</f>
        <v>902.1600000000326</v>
      </c>
      <c r="I81" s="581"/>
      <c r="J81" s="629">
        <f>H81/DAY(B2)</f>
        <v>112.77000000000407</v>
      </c>
      <c r="K81" s="469"/>
      <c r="L81" s="408"/>
      <c r="N81" s="413"/>
    </row>
    <row r="82" spans="1:15" ht="27.75">
      <c r="A82" s="1479" t="s">
        <v>93</v>
      </c>
      <c r="B82" s="1480"/>
      <c r="C82" s="1481"/>
      <c r="D82" s="561" t="s">
        <v>132</v>
      </c>
      <c r="E82" s="595">
        <f>'7'!F82</f>
        <v>106348</v>
      </c>
      <c r="F82" s="732">
        <v>106372</v>
      </c>
      <c r="G82" s="549">
        <f t="shared" si="6"/>
        <v>24</v>
      </c>
      <c r="H82" s="536">
        <f>G82+'7'!H82</f>
        <v>169.52000000000407</v>
      </c>
      <c r="I82" s="562"/>
      <c r="J82" s="629">
        <f>H82/DAY(B2)</f>
        <v>21.190000000000509</v>
      </c>
      <c r="K82" s="469"/>
      <c r="L82" s="408"/>
      <c r="N82" s="413"/>
    </row>
    <row r="83" spans="1:15" ht="27.75">
      <c r="A83" s="1479" t="s">
        <v>200</v>
      </c>
      <c r="B83" s="1480"/>
      <c r="C83" s="1481"/>
      <c r="D83" s="697" t="s">
        <v>132</v>
      </c>
      <c r="E83" s="595">
        <v>0</v>
      </c>
      <c r="F83" s="697">
        <v>361</v>
      </c>
      <c r="G83" s="549">
        <f t="shared" si="6"/>
        <v>361</v>
      </c>
      <c r="H83" s="536">
        <f>G83+'7'!H83</f>
        <v>3764</v>
      </c>
      <c r="I83" s="557"/>
      <c r="J83" s="629">
        <f>H83/DAY(B2)</f>
        <v>470.5</v>
      </c>
      <c r="K83" s="468"/>
      <c r="L83" s="408"/>
      <c r="N83" s="413"/>
    </row>
    <row r="84" spans="1:15">
      <c r="A84" s="1233" t="s">
        <v>201</v>
      </c>
      <c r="B84" s="648"/>
      <c r="C84" s="648"/>
      <c r="D84" s="554" t="s">
        <v>132</v>
      </c>
      <c r="E84" s="595">
        <f>'7'!F84</f>
        <v>435900</v>
      </c>
      <c r="F84" s="704">
        <v>436693</v>
      </c>
      <c r="G84" s="549">
        <f t="shared" si="6"/>
        <v>793</v>
      </c>
      <c r="H84" s="536">
        <f>G84+'7'!H84</f>
        <v>5895</v>
      </c>
      <c r="I84" s="557"/>
      <c r="J84" s="629">
        <f>H84/DAY(B2)</f>
        <v>736.875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2712</v>
      </c>
      <c r="H85" s="536">
        <f>G85+'7'!H85</f>
        <v>19680.929999999968</v>
      </c>
      <c r="I85" s="557"/>
      <c r="J85" s="629">
        <f>H85/DAY(B2)</f>
        <v>2460.1162499999959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'7'!F86</f>
        <v>451193</v>
      </c>
      <c r="F86" s="728">
        <v>451293</v>
      </c>
      <c r="G86" s="787">
        <f t="shared" ref="G86:G90" si="7">F86-E86</f>
        <v>100</v>
      </c>
      <c r="H86" s="787">
        <f t="shared" ref="H86:H88" si="8">G86</f>
        <v>100</v>
      </c>
      <c r="I86" s="733"/>
      <c r="J86" s="789">
        <f>H86/DAY(B2)</f>
        <v>12.5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'7'!F87</f>
        <v>79422</v>
      </c>
      <c r="F87" s="728">
        <v>79458</v>
      </c>
      <c r="G87" s="787">
        <f t="shared" si="7"/>
        <v>36</v>
      </c>
      <c r="H87" s="787">
        <f t="shared" si="8"/>
        <v>36</v>
      </c>
      <c r="I87" s="733"/>
      <c r="J87" s="789">
        <f>H87/DAY(B2)</f>
        <v>4.5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'7'!F88</f>
        <v>148719</v>
      </c>
      <c r="F88" s="728">
        <v>148814</v>
      </c>
      <c r="G88" s="787">
        <f t="shared" si="7"/>
        <v>95</v>
      </c>
      <c r="H88" s="787">
        <f t="shared" si="8"/>
        <v>95</v>
      </c>
      <c r="I88" s="733"/>
      <c r="J88" s="789">
        <f>H88/DAY(B2)</f>
        <v>11.875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'7'!F89</f>
        <v>62201</v>
      </c>
      <c r="F89" s="728">
        <v>62279</v>
      </c>
      <c r="G89" s="787">
        <f t="shared" si="7"/>
        <v>78</v>
      </c>
      <c r="H89" s="787">
        <f>G89</f>
        <v>78</v>
      </c>
      <c r="I89" s="733"/>
      <c r="J89" s="789">
        <f>H89/DAY(B2)</f>
        <v>9.75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'7'!F90</f>
        <v>3193</v>
      </c>
      <c r="F90" s="728">
        <v>3198</v>
      </c>
      <c r="G90" s="787">
        <f t="shared" si="7"/>
        <v>5</v>
      </c>
      <c r="H90" s="787">
        <f>G90</f>
        <v>5</v>
      </c>
      <c r="I90" s="733"/>
      <c r="J90" s="789">
        <f>H90/DAY(B2)</f>
        <v>0.625</v>
      </c>
      <c r="K90" s="815"/>
      <c r="L90" s="816"/>
      <c r="N90" s="860"/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'7'!F92</f>
        <v>240444</v>
      </c>
      <c r="F92" s="554">
        <v>240537</v>
      </c>
      <c r="G92" s="549">
        <f t="shared" ref="G92:G93" si="9">F92-E92</f>
        <v>93</v>
      </c>
      <c r="H92" s="536">
        <f>G92+'7'!H92</f>
        <v>842</v>
      </c>
      <c r="I92" s="556"/>
      <c r="J92" s="629">
        <f>H92/DAY(B2)</f>
        <v>105.25</v>
      </c>
      <c r="K92" s="468"/>
      <c r="L92" s="408"/>
      <c r="N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'7'!F93</f>
        <v>176674</v>
      </c>
      <c r="F93" s="561">
        <v>176810</v>
      </c>
      <c r="G93" s="549">
        <f t="shared" si="9"/>
        <v>136</v>
      </c>
      <c r="H93" s="536">
        <f>G93+'7'!H93</f>
        <v>1149</v>
      </c>
      <c r="I93" s="556"/>
      <c r="J93" s="629">
        <f>H93/DAY(B2)</f>
        <v>143.625</v>
      </c>
      <c r="K93" s="411"/>
      <c r="L93" s="408"/>
      <c r="N93" s="413"/>
    </row>
    <row r="94" spans="1:15">
      <c r="A94" s="1427" t="s">
        <v>208</v>
      </c>
      <c r="B94" s="1428"/>
      <c r="C94" s="1429"/>
      <c r="D94" s="599"/>
      <c r="E94" s="560">
        <f>'7'!F94</f>
        <v>0</v>
      </c>
      <c r="F94" s="554"/>
      <c r="G94" s="549">
        <f>G92+G93</f>
        <v>229</v>
      </c>
      <c r="H94" s="536">
        <f>G94+'7'!H94</f>
        <v>1725</v>
      </c>
      <c r="I94" s="556"/>
      <c r="J94" s="629">
        <f>H94/DAY(B2)</f>
        <v>215.625</v>
      </c>
      <c r="K94" s="411"/>
      <c r="L94" s="408"/>
      <c r="N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'7'!F95</f>
        <v>408813</v>
      </c>
      <c r="F95" s="554">
        <v>408885</v>
      </c>
      <c r="G95" s="549">
        <f t="shared" ref="G95:G100" si="10">F95-E95</f>
        <v>72</v>
      </c>
      <c r="H95" s="536">
        <f>G95+'7'!H95</f>
        <v>729</v>
      </c>
      <c r="I95" s="556"/>
      <c r="J95" s="629">
        <f>H95/DAY(B2)</f>
        <v>91.125</v>
      </c>
      <c r="K95" s="411"/>
      <c r="L95" s="408"/>
      <c r="N95" s="413"/>
    </row>
    <row r="96" spans="1:15" ht="27.75">
      <c r="A96" s="1229" t="s">
        <v>210</v>
      </c>
      <c r="B96" s="1230"/>
      <c r="C96" s="1230"/>
      <c r="D96" s="599" t="s">
        <v>144</v>
      </c>
      <c r="E96" s="560">
        <f>'7'!F96</f>
        <v>101454</v>
      </c>
      <c r="F96" s="554">
        <v>101467</v>
      </c>
      <c r="G96" s="549">
        <f t="shared" si="10"/>
        <v>13</v>
      </c>
      <c r="H96" s="536">
        <f>G96+'7'!H96</f>
        <v>135</v>
      </c>
      <c r="I96" s="556"/>
      <c r="J96" s="629">
        <f>H96/DAY(B2)</f>
        <v>16.875</v>
      </c>
      <c r="K96" s="466"/>
      <c r="L96" s="408"/>
      <c r="N96" s="413"/>
    </row>
    <row r="97" spans="1:14" ht="27.75">
      <c r="A97" s="1229" t="s">
        <v>211</v>
      </c>
      <c r="B97" s="1230"/>
      <c r="C97" s="1230"/>
      <c r="D97" s="599" t="s">
        <v>144</v>
      </c>
      <c r="E97" s="560">
        <f>'7'!F97</f>
        <v>96588</v>
      </c>
      <c r="F97" s="554">
        <v>96601</v>
      </c>
      <c r="G97" s="549">
        <f t="shared" si="10"/>
        <v>13</v>
      </c>
      <c r="H97" s="536">
        <f>G97+'7'!H97</f>
        <v>152</v>
      </c>
      <c r="I97" s="556"/>
      <c r="J97" s="629">
        <f>H97/DAY(B2)</f>
        <v>19</v>
      </c>
      <c r="K97" s="471"/>
      <c r="L97" s="408"/>
      <c r="N97" s="413"/>
    </row>
    <row r="98" spans="1:14" ht="27.75">
      <c r="A98" s="1229" t="s">
        <v>212</v>
      </c>
      <c r="B98" s="1230"/>
      <c r="C98" s="1230"/>
      <c r="D98" s="599" t="s">
        <v>144</v>
      </c>
      <c r="E98" s="560">
        <f>'7'!F98</f>
        <v>147999</v>
      </c>
      <c r="F98" s="554">
        <v>148038</v>
      </c>
      <c r="G98" s="549">
        <f t="shared" si="10"/>
        <v>39</v>
      </c>
      <c r="H98" s="536">
        <f>G98+'7'!H98</f>
        <v>430</v>
      </c>
      <c r="I98" s="556"/>
      <c r="J98" s="629">
        <f>H98/DAY(B2)</f>
        <v>53.75</v>
      </c>
      <c r="K98" s="411"/>
      <c r="L98" s="408"/>
      <c r="N98" s="785"/>
    </row>
    <row r="99" spans="1:14" ht="27.75">
      <c r="A99" s="1229" t="s">
        <v>213</v>
      </c>
      <c r="B99" s="1230"/>
      <c r="C99" s="1230"/>
      <c r="D99" s="599" t="s">
        <v>144</v>
      </c>
      <c r="E99" s="560">
        <f>'7'!F99</f>
        <v>6504</v>
      </c>
      <c r="F99" s="554">
        <v>6526</v>
      </c>
      <c r="G99" s="549">
        <f t="shared" si="10"/>
        <v>22</v>
      </c>
      <c r="H99" s="536">
        <f>G99+'7'!H99</f>
        <v>118</v>
      </c>
      <c r="I99" s="556"/>
      <c r="J99" s="629">
        <f>H99/DAY(B2)</f>
        <v>14.75</v>
      </c>
      <c r="K99" s="411"/>
      <c r="L99" s="408"/>
      <c r="N99" s="413"/>
    </row>
    <row r="100" spans="1:14" ht="27.75">
      <c r="A100" s="1229" t="s">
        <v>214</v>
      </c>
      <c r="B100" s="1230"/>
      <c r="C100" s="1230"/>
      <c r="D100" s="599" t="s">
        <v>144</v>
      </c>
      <c r="E100" s="560">
        <f>'7'!F100</f>
        <v>4625</v>
      </c>
      <c r="F100" s="554">
        <v>4633</v>
      </c>
      <c r="G100" s="549">
        <f t="shared" si="10"/>
        <v>8</v>
      </c>
      <c r="H100" s="536">
        <f>G100+'7'!H100</f>
        <v>90</v>
      </c>
      <c r="I100" s="556"/>
      <c r="J100" s="629">
        <f>H100/DAY(B2)</f>
        <v>11.25</v>
      </c>
      <c r="K100" s="411"/>
      <c r="L100" s="408"/>
      <c r="N100" s="413"/>
    </row>
    <row r="101" spans="1:14">
      <c r="A101" s="1427" t="s">
        <v>216</v>
      </c>
      <c r="B101" s="1428"/>
      <c r="C101" s="1429"/>
      <c r="D101" s="600"/>
      <c r="E101" s="600"/>
      <c r="F101" s="600"/>
      <c r="G101" s="601">
        <f>SUM(G95:G100)</f>
        <v>167</v>
      </c>
      <c r="H101" s="536">
        <f>G101+'7'!H101</f>
        <v>1654</v>
      </c>
      <c r="I101" s="602"/>
      <c r="J101" s="629">
        <f>H101/DAY(B2)</f>
        <v>206.75</v>
      </c>
      <c r="K101" s="411"/>
      <c r="L101" s="408"/>
      <c r="N101" s="413"/>
    </row>
    <row r="102" spans="1:14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6" t="s">
        <v>218</v>
      </c>
      <c r="B103" s="143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38" t="s">
        <v>219</v>
      </c>
      <c r="B104" s="1439"/>
      <c r="C104" s="1228"/>
      <c r="D104" s="699" t="s">
        <v>144</v>
      </c>
      <c r="E104" s="608">
        <f>'7'!F104</f>
        <v>7139</v>
      </c>
      <c r="F104" s="739">
        <v>7145</v>
      </c>
      <c r="G104" s="608">
        <f>F104-E104</f>
        <v>6</v>
      </c>
      <c r="H104" s="536">
        <f>G104+'7'!H104</f>
        <v>20</v>
      </c>
      <c r="I104" s="608"/>
      <c r="J104" s="635">
        <f>H104/DAY(B2)</f>
        <v>2.5</v>
      </c>
      <c r="N104" s="413"/>
    </row>
    <row r="105" spans="1:14" s="481" customFormat="1" ht="27.75">
      <c r="A105" s="1438" t="s">
        <v>77</v>
      </c>
      <c r="B105" s="1439"/>
      <c r="C105" s="1228"/>
      <c r="D105" s="699" t="s">
        <v>144</v>
      </c>
      <c r="E105" s="608">
        <f>'7'!F105</f>
        <v>35464</v>
      </c>
      <c r="F105" s="886">
        <v>35474</v>
      </c>
      <c r="G105" s="608">
        <f t="shared" ref="G105:G106" si="11">F105-E105</f>
        <v>10</v>
      </c>
      <c r="H105" s="536">
        <f>G105+'7'!H105</f>
        <v>76</v>
      </c>
      <c r="I105" s="608"/>
      <c r="J105" s="635">
        <f>H105/DAY(B2)</f>
        <v>9.5</v>
      </c>
      <c r="N105" s="413"/>
    </row>
    <row r="106" spans="1:14" s="481" customFormat="1" ht="27.75">
      <c r="A106" s="1438" t="s">
        <v>78</v>
      </c>
      <c r="B106" s="1440"/>
      <c r="C106" s="1439"/>
      <c r="D106" s="699" t="s">
        <v>144</v>
      </c>
      <c r="E106" s="608">
        <f>'7'!F106</f>
        <v>19284</v>
      </c>
      <c r="F106" s="740">
        <v>19287</v>
      </c>
      <c r="G106" s="608">
        <f t="shared" si="11"/>
        <v>3</v>
      </c>
      <c r="H106" s="536">
        <f>G106+'7'!H106</f>
        <v>46</v>
      </c>
      <c r="I106" s="608"/>
      <c r="J106" s="635">
        <f>H106/DAY(B2)</f>
        <v>5.75</v>
      </c>
      <c r="N106" s="413"/>
    </row>
    <row r="107" spans="1:14" s="481" customFormat="1" ht="27.75">
      <c r="A107" s="1441" t="s">
        <v>202</v>
      </c>
      <c r="B107" s="1442"/>
      <c r="C107" s="1228"/>
      <c r="D107" s="699"/>
      <c r="E107" s="608"/>
      <c r="F107" s="740"/>
      <c r="G107" s="608">
        <f>SUM(G104:G106)</f>
        <v>19</v>
      </c>
      <c r="H107" s="536">
        <f>G107+'7'!H107</f>
        <v>142</v>
      </c>
      <c r="I107" s="608"/>
      <c r="J107" s="635">
        <f>H107/DAY(B2)</f>
        <v>17.75</v>
      </c>
      <c r="N107" s="413"/>
    </row>
    <row r="108" spans="1:14" s="481" customFormat="1" ht="27.75">
      <c r="A108" s="1443" t="s">
        <v>79</v>
      </c>
      <c r="B108" s="1444"/>
      <c r="C108" s="1228"/>
      <c r="D108" s="699" t="s">
        <v>144</v>
      </c>
      <c r="E108" s="608"/>
      <c r="F108" s="740"/>
      <c r="G108" s="608"/>
      <c r="H108" s="536" t="e">
        <f>G108+'7'!H108</f>
        <v>#REF!</v>
      </c>
      <c r="I108" s="608"/>
      <c r="J108" s="635"/>
      <c r="N108" s="413"/>
    </row>
    <row r="109" spans="1:14" s="481" customFormat="1" ht="27.75">
      <c r="A109" s="1438" t="s">
        <v>220</v>
      </c>
      <c r="B109" s="1439"/>
      <c r="C109" s="1228"/>
      <c r="D109" s="699" t="s">
        <v>144</v>
      </c>
      <c r="E109" s="608">
        <f>'7'!F109</f>
        <v>56937</v>
      </c>
      <c r="F109" s="740">
        <v>57021</v>
      </c>
      <c r="G109" s="608">
        <f>F109-E109</f>
        <v>84</v>
      </c>
      <c r="H109" s="536">
        <f>G109+'7'!H109</f>
        <v>750</v>
      </c>
      <c r="I109" s="608"/>
      <c r="J109" s="635">
        <f>H109/DAY(B2)</f>
        <v>93.75</v>
      </c>
      <c r="N109" s="413"/>
    </row>
    <row r="110" spans="1:14" s="481" customFormat="1" ht="27.75">
      <c r="A110" s="1438" t="s">
        <v>221</v>
      </c>
      <c r="B110" s="1439"/>
      <c r="C110" s="1228"/>
      <c r="D110" s="699" t="s">
        <v>144</v>
      </c>
      <c r="E110" s="608">
        <f>'7'!F110</f>
        <v>30923</v>
      </c>
      <c r="F110" s="886">
        <v>30979</v>
      </c>
      <c r="G110" s="608">
        <f t="shared" ref="G110:G111" si="12">F110-E110</f>
        <v>56</v>
      </c>
      <c r="H110" s="536">
        <f>G110+'7'!H110</f>
        <v>491</v>
      </c>
      <c r="I110" s="608"/>
      <c r="J110" s="635">
        <f>H110/DAY(B2)</f>
        <v>61.375</v>
      </c>
      <c r="N110" s="413"/>
    </row>
    <row r="111" spans="1:14" s="481" customFormat="1" ht="27.75">
      <c r="A111" s="1438" t="s">
        <v>222</v>
      </c>
      <c r="B111" s="1439"/>
      <c r="C111" s="1228"/>
      <c r="D111" s="699" t="s">
        <v>144</v>
      </c>
      <c r="E111" s="608">
        <f>'7'!F111</f>
        <v>4029</v>
      </c>
      <c r="F111" s="886">
        <v>4035</v>
      </c>
      <c r="G111" s="608">
        <f t="shared" si="12"/>
        <v>6</v>
      </c>
      <c r="H111" s="536">
        <f>G111+'7'!H111</f>
        <v>55</v>
      </c>
      <c r="I111" s="608"/>
      <c r="J111" s="635">
        <f>H111/DAY(B2)</f>
        <v>6.875</v>
      </c>
      <c r="N111" s="413"/>
    </row>
    <row r="112" spans="1:14" s="481" customFormat="1" ht="27.75">
      <c r="A112" s="1441" t="s">
        <v>110</v>
      </c>
      <c r="B112" s="1442"/>
      <c r="C112" s="1228"/>
      <c r="D112" s="699"/>
      <c r="E112" s="608"/>
      <c r="F112" s="740"/>
      <c r="G112" s="608">
        <f>SUM(G109:G111)</f>
        <v>146</v>
      </c>
      <c r="H112" s="536">
        <f>G112+'7'!H112</f>
        <v>1296</v>
      </c>
      <c r="I112" s="608"/>
      <c r="J112" s="635">
        <f>H112/DAY(B2)</f>
        <v>162</v>
      </c>
      <c r="N112" s="413"/>
    </row>
    <row r="113" spans="1:14" s="481" customFormat="1" ht="27.75">
      <c r="A113" s="1443" t="s">
        <v>223</v>
      </c>
      <c r="B113" s="1444"/>
      <c r="C113" s="1228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438" t="s">
        <v>224</v>
      </c>
      <c r="B114" s="1439"/>
      <c r="C114" s="651"/>
      <c r="D114" s="699" t="s">
        <v>144</v>
      </c>
      <c r="E114" s="608">
        <f>'7'!F114</f>
        <v>10436</v>
      </c>
      <c r="F114" s="740">
        <v>10462</v>
      </c>
      <c r="G114" s="610">
        <f>F114-E114</f>
        <v>26</v>
      </c>
      <c r="H114" s="536">
        <f>G114+'7'!H114</f>
        <v>148</v>
      </c>
      <c r="I114" s="608"/>
      <c r="J114" s="635">
        <f>H114/DAY(B2)</f>
        <v>18.5</v>
      </c>
      <c r="N114" s="413"/>
    </row>
    <row r="115" spans="1:14" s="481" customFormat="1" ht="27.75">
      <c r="A115" s="1438" t="s">
        <v>225</v>
      </c>
      <c r="B115" s="1439"/>
      <c r="C115" s="651"/>
      <c r="D115" s="699" t="s">
        <v>144</v>
      </c>
      <c r="E115" s="608">
        <f>'7'!F115</f>
        <v>7735</v>
      </c>
      <c r="F115" s="740">
        <v>7741</v>
      </c>
      <c r="G115" s="610">
        <f t="shared" ref="G115:G116" si="13">F115-E115</f>
        <v>6</v>
      </c>
      <c r="H115" s="536">
        <f>G115+'7'!H115</f>
        <v>85</v>
      </c>
      <c r="I115" s="608"/>
      <c r="J115" s="635">
        <f>H115/DAY(B2)</f>
        <v>10.625</v>
      </c>
      <c r="N115" s="413"/>
    </row>
    <row r="116" spans="1:14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3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32</v>
      </c>
      <c r="H117" s="536">
        <f>G117+'7'!H117</f>
        <v>233</v>
      </c>
      <c r="I117" s="610"/>
      <c r="J117" s="635">
        <f>H117/DAY(B2)</f>
        <v>29.125</v>
      </c>
      <c r="N117" s="413"/>
    </row>
    <row r="118" spans="1:14" s="495" customFormat="1" ht="27.75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146</v>
      </c>
      <c r="G118" s="612">
        <f>SUM(G19+G92)</f>
        <v>146</v>
      </c>
      <c r="H118" s="536">
        <f>G118+'7'!H118</f>
        <v>1252</v>
      </c>
      <c r="I118" s="611"/>
      <c r="J118" s="636">
        <f>H118/DAY(B2)</f>
        <v>156.5</v>
      </c>
      <c r="N118" s="413"/>
    </row>
    <row r="119" spans="1:14" s="495" customFormat="1" ht="27.75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128</v>
      </c>
      <c r="G119" s="612">
        <f>SUM(G95,G96,G97,G99,G100)</f>
        <v>128</v>
      </c>
      <c r="H119" s="536">
        <f>G119+'7'!H119</f>
        <v>1224</v>
      </c>
      <c r="I119" s="611"/>
      <c r="J119" s="636">
        <f>H119/DAY(B2)</f>
        <v>153</v>
      </c>
      <c r="N119" s="413"/>
    </row>
    <row r="120" spans="1:14" s="495" customFormat="1" ht="27.75">
      <c r="A120" s="1472" t="s">
        <v>229</v>
      </c>
      <c r="B120" s="1473"/>
      <c r="C120" s="1226"/>
      <c r="D120" s="701" t="s">
        <v>144</v>
      </c>
      <c r="E120" s="610"/>
      <c r="F120" s="740">
        <f>SUM(G112)</f>
        <v>146</v>
      </c>
      <c r="G120" s="610">
        <f>SUM(G112)</f>
        <v>146</v>
      </c>
      <c r="H120" s="536">
        <f>G120+'7'!H120</f>
        <v>1296</v>
      </c>
      <c r="I120" s="611"/>
      <c r="J120" s="636">
        <f>H120/DAY(B2)</f>
        <v>162</v>
      </c>
      <c r="N120" s="413"/>
    </row>
    <row r="121" spans="1:14" s="481" customFormat="1" ht="27.75">
      <c r="A121" s="1474"/>
      <c r="B121" s="1475"/>
      <c r="C121" s="1227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29" t="s">
        <v>231</v>
      </c>
      <c r="B123" s="1230"/>
      <c r="C123" s="1230"/>
      <c r="D123" s="599" t="s">
        <v>141</v>
      </c>
      <c r="E123" s="554">
        <f>'7'!F123</f>
        <v>812826</v>
      </c>
      <c r="F123" s="554">
        <v>813067</v>
      </c>
      <c r="G123" s="549">
        <f t="shared" ref="G123:G127" si="14">F123-E123</f>
        <v>241</v>
      </c>
      <c r="H123" s="536">
        <f>G123+'7'!H123</f>
        <v>2060.1600000000326</v>
      </c>
      <c r="I123" s="602"/>
      <c r="J123" s="629">
        <f>H123/DAY(B2)</f>
        <v>257.52000000000407</v>
      </c>
      <c r="K123" s="411"/>
      <c r="L123" s="408"/>
      <c r="N123" s="413"/>
    </row>
    <row r="124" spans="1:14" ht="27.75">
      <c r="A124" s="1229" t="s">
        <v>232</v>
      </c>
      <c r="B124" s="1230"/>
      <c r="C124" s="1230"/>
      <c r="D124" s="599" t="s">
        <v>141</v>
      </c>
      <c r="E124" s="703">
        <f>'7'!F124</f>
        <v>73583</v>
      </c>
      <c r="F124" s="703">
        <v>73583.399999999994</v>
      </c>
      <c r="G124" s="549">
        <f t="shared" si="14"/>
        <v>0.39999999999417923</v>
      </c>
      <c r="H124" s="536">
        <f>G124+'7'!H124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430" t="s">
        <v>233</v>
      </c>
      <c r="B125" s="1431"/>
      <c r="C125" s="1432"/>
      <c r="D125" s="599" t="s">
        <v>141</v>
      </c>
      <c r="E125" s="554">
        <f>'7'!F125</f>
        <v>140464</v>
      </c>
      <c r="F125" s="554">
        <v>140527</v>
      </c>
      <c r="G125" s="549">
        <f t="shared" si="14"/>
        <v>63</v>
      </c>
      <c r="H125" s="536">
        <f>G125+'7'!H125</f>
        <v>547.66000000000349</v>
      </c>
      <c r="I125" s="602"/>
      <c r="J125" s="629">
        <f>H125/DAY(B2)</f>
        <v>68.457500000000437</v>
      </c>
      <c r="K125" s="411"/>
      <c r="L125" s="408"/>
      <c r="N125" s="413"/>
    </row>
    <row r="126" spans="1:14" ht="27.75">
      <c r="A126" s="686" t="s">
        <v>234</v>
      </c>
      <c r="B126" s="1230"/>
      <c r="C126" s="1230"/>
      <c r="D126" s="599" t="s">
        <v>141</v>
      </c>
      <c r="E126" s="703">
        <f>'7'!F126</f>
        <v>59498</v>
      </c>
      <c r="F126" s="703">
        <v>59514</v>
      </c>
      <c r="G126" s="549">
        <f t="shared" si="14"/>
        <v>16</v>
      </c>
      <c r="H126" s="536">
        <f>G126+'7'!H126</f>
        <v>207.09999999999854</v>
      </c>
      <c r="I126" s="602"/>
      <c r="J126" s="629">
        <f>H126/DAY(B2)</f>
        <v>25.887499999999818</v>
      </c>
      <c r="K126" s="411"/>
      <c r="L126" s="408"/>
      <c r="N126" s="413"/>
    </row>
    <row r="127" spans="1:14" ht="27.75">
      <c r="A127" s="686" t="s">
        <v>235</v>
      </c>
      <c r="B127" s="1230"/>
      <c r="C127" s="1230"/>
      <c r="D127" s="599" t="s">
        <v>141</v>
      </c>
      <c r="E127" s="703">
        <f>'7'!F127</f>
        <v>8905</v>
      </c>
      <c r="F127" s="703">
        <v>8906</v>
      </c>
      <c r="G127" s="549">
        <f t="shared" si="14"/>
        <v>1</v>
      </c>
      <c r="H127" s="536">
        <f>G127+'7'!H127</f>
        <v>18.200000000000728</v>
      </c>
      <c r="I127" s="556"/>
      <c r="J127" s="629">
        <f>H127/DAY(B2)</f>
        <v>2.2750000000000909</v>
      </c>
      <c r="K127" s="411"/>
      <c r="L127" s="408"/>
      <c r="N127" s="413"/>
    </row>
    <row r="128" spans="1:14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538.45000000009895</v>
      </c>
      <c r="H128" s="536"/>
      <c r="I128" s="556"/>
      <c r="J128" s="629"/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29" t="s">
        <v>238</v>
      </c>
      <c r="B130" s="1230"/>
      <c r="C130" s="1230"/>
      <c r="D130" s="599" t="s">
        <v>239</v>
      </c>
      <c r="E130" s="560">
        <f>'7'!F130</f>
        <v>0</v>
      </c>
      <c r="F130" s="554">
        <v>0</v>
      </c>
      <c r="G130" s="549">
        <f t="shared" ref="G130:G140" si="15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29" t="s">
        <v>240</v>
      </c>
      <c r="B131" s="1230"/>
      <c r="C131" s="1230"/>
      <c r="D131" s="599" t="s">
        <v>239</v>
      </c>
      <c r="E131" s="560">
        <f>'7'!F131</f>
        <v>0</v>
      </c>
      <c r="F131" s="554">
        <v>0</v>
      </c>
      <c r="G131" s="549">
        <f t="shared" si="15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29" t="s">
        <v>241</v>
      </c>
      <c r="B132" s="1230"/>
      <c r="C132" s="1230"/>
      <c r="D132" s="599" t="s">
        <v>239</v>
      </c>
      <c r="E132" s="782">
        <f>'7'!F132</f>
        <v>39215</v>
      </c>
      <c r="F132" s="703">
        <v>39219.35</v>
      </c>
      <c r="G132" s="549">
        <f t="shared" si="15"/>
        <v>4.3499999999985448</v>
      </c>
      <c r="H132" s="536">
        <f>G132+'7'!H132</f>
        <v>390.34999999999854</v>
      </c>
      <c r="I132" s="556"/>
      <c r="J132" s="629">
        <f>H132/DAY(B2)</f>
        <v>48.793749999999818</v>
      </c>
      <c r="N132" s="413"/>
    </row>
    <row r="133" spans="1:14" ht="27.75">
      <c r="A133" s="1229" t="s">
        <v>242</v>
      </c>
      <c r="B133" s="1230"/>
      <c r="C133" s="1230"/>
      <c r="D133" s="599" t="s">
        <v>239</v>
      </c>
      <c r="E133" s="598">
        <f>'7'!F133</f>
        <v>299</v>
      </c>
      <c r="F133" s="561">
        <v>299</v>
      </c>
      <c r="G133" s="549">
        <f t="shared" si="15"/>
        <v>0</v>
      </c>
      <c r="H133" s="536">
        <f>G133+'7'!H133</f>
        <v>-1</v>
      </c>
      <c r="I133" s="556">
        <f>G130+G131+G132+G133</f>
        <v>4.3499999999985448</v>
      </c>
      <c r="J133" s="629">
        <f>H133/DAY(B2)</f>
        <v>-0.125</v>
      </c>
      <c r="N133" s="413"/>
    </row>
    <row r="134" spans="1:14" ht="27.75">
      <c r="A134" s="1229" t="s">
        <v>243</v>
      </c>
      <c r="B134" s="1230"/>
      <c r="C134" s="1230"/>
      <c r="D134" s="599" t="s">
        <v>239</v>
      </c>
      <c r="E134" s="782">
        <f>'7'!F134</f>
        <v>40530</v>
      </c>
      <c r="F134" s="703">
        <v>40554</v>
      </c>
      <c r="G134" s="549">
        <f t="shared" si="15"/>
        <v>24</v>
      </c>
      <c r="H134" s="536">
        <f>G134+'7'!H134</f>
        <v>186.86000000000058</v>
      </c>
      <c r="I134" s="556"/>
      <c r="J134" s="629">
        <f>H134/DAY(B2)</f>
        <v>23.357500000000073</v>
      </c>
      <c r="N134" s="413"/>
    </row>
    <row r="135" spans="1:14" ht="27.75">
      <c r="A135" s="1229" t="s">
        <v>244</v>
      </c>
      <c r="B135" s="1230"/>
      <c r="C135" s="1230"/>
      <c r="D135" s="599" t="s">
        <v>239</v>
      </c>
      <c r="E135" s="782">
        <f>'7'!F135</f>
        <v>32582.560000000001</v>
      </c>
      <c r="F135" s="703">
        <v>32582.560000000001</v>
      </c>
      <c r="G135" s="549">
        <f t="shared" si="15"/>
        <v>0</v>
      </c>
      <c r="H135" s="536">
        <f>G135+'7'!H135</f>
        <v>11.56000000000131</v>
      </c>
      <c r="I135" s="556"/>
      <c r="J135" s="629">
        <f>H135/DAY(B2)</f>
        <v>1.4450000000001637</v>
      </c>
      <c r="N135" s="413"/>
    </row>
    <row r="136" spans="1:14" ht="27.75">
      <c r="A136" s="1229" t="s">
        <v>245</v>
      </c>
      <c r="B136" s="1230"/>
      <c r="C136" s="1230"/>
      <c r="D136" s="599" t="s">
        <v>239</v>
      </c>
      <c r="E136" s="618">
        <f>'7'!F136</f>
        <v>22283.919999999998</v>
      </c>
      <c r="F136" s="732">
        <v>22293.61</v>
      </c>
      <c r="G136" s="549">
        <f t="shared" si="15"/>
        <v>9.6900000000023283</v>
      </c>
      <c r="H136" s="536">
        <f>G136+'7'!H136</f>
        <v>71.400000000001455</v>
      </c>
      <c r="I136" s="556">
        <f>G134+G135+G136</f>
        <v>33.690000000002328</v>
      </c>
      <c r="J136" s="629">
        <f>H136/DAY(B2)</f>
        <v>8.9250000000001819</v>
      </c>
      <c r="N136" s="413"/>
    </row>
    <row r="137" spans="1:14" ht="27.75">
      <c r="A137" s="1229" t="s">
        <v>246</v>
      </c>
      <c r="B137" s="1230"/>
      <c r="C137" s="1230"/>
      <c r="D137" s="599" t="s">
        <v>239</v>
      </c>
      <c r="E137" s="618">
        <f>'7'!F137</f>
        <v>25044</v>
      </c>
      <c r="F137" s="732">
        <v>25044</v>
      </c>
      <c r="G137" s="549">
        <f t="shared" si="15"/>
        <v>0</v>
      </c>
      <c r="H137" s="536">
        <f>G137+'7'!H137</f>
        <v>-0.31000000000130967</v>
      </c>
      <c r="I137" s="556"/>
      <c r="J137" s="629">
        <f>H137/DAY(B2)</f>
        <v>-3.8750000000163709E-2</v>
      </c>
      <c r="N137" s="413"/>
    </row>
    <row r="138" spans="1:14" ht="27.75">
      <c r="A138" s="1229" t="s">
        <v>247</v>
      </c>
      <c r="B138" s="1230"/>
      <c r="C138" s="1230"/>
      <c r="D138" s="599" t="s">
        <v>239</v>
      </c>
      <c r="E138" s="618">
        <f>'7'!F138</f>
        <v>70182</v>
      </c>
      <c r="F138" s="732">
        <v>70183.820000000007</v>
      </c>
      <c r="G138" s="549">
        <f t="shared" si="15"/>
        <v>1.8200000000069849</v>
      </c>
      <c r="H138" s="536">
        <f>G138+'7'!H138</f>
        <v>36.480000000010477</v>
      </c>
      <c r="I138" s="556">
        <f>G137+G138</f>
        <v>1.8200000000069849</v>
      </c>
      <c r="J138" s="629">
        <f>H138/DAY(B2)</f>
        <v>4.5600000000013097</v>
      </c>
      <c r="N138" s="413"/>
    </row>
    <row r="139" spans="1:14" ht="27.75">
      <c r="A139" s="1229" t="s">
        <v>248</v>
      </c>
      <c r="B139" s="1230"/>
      <c r="C139" s="1230"/>
      <c r="D139" s="599" t="s">
        <v>239</v>
      </c>
      <c r="E139" s="782">
        <f>'7'!F139</f>
        <v>1476</v>
      </c>
      <c r="F139" s="703">
        <v>1482.68</v>
      </c>
      <c r="G139" s="549">
        <f t="shared" si="15"/>
        <v>6.6800000000000637</v>
      </c>
      <c r="H139" s="536">
        <f>G139+'7'!H139</f>
        <v>59.539999999999964</v>
      </c>
      <c r="I139" s="619"/>
      <c r="J139" s="629">
        <f>H139/DAY(B2)</f>
        <v>7.4424999999999955</v>
      </c>
      <c r="N139" s="413"/>
    </row>
    <row r="140" spans="1:14" ht="27.75">
      <c r="A140" s="1229" t="s">
        <v>249</v>
      </c>
      <c r="B140" s="1230"/>
      <c r="C140" s="1230"/>
      <c r="D140" s="599" t="s">
        <v>239</v>
      </c>
      <c r="E140" s="560">
        <f>'7'!F140</f>
        <v>4334</v>
      </c>
      <c r="F140" s="554">
        <v>4334</v>
      </c>
      <c r="G140" s="549">
        <f t="shared" si="15"/>
        <v>0</v>
      </c>
      <c r="H140" s="536">
        <f>G140+'7'!H140</f>
        <v>0</v>
      </c>
      <c r="I140" s="619"/>
      <c r="J140" s="629">
        <f>H140/DAY(B2)</f>
        <v>0</v>
      </c>
      <c r="N140" s="413"/>
    </row>
    <row r="141" spans="1:14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5910</v>
      </c>
      <c r="H142" s="536">
        <f>G142+'7'!H142</f>
        <v>46572.120000000068</v>
      </c>
      <c r="I142" s="556"/>
      <c r="J142" s="629">
        <f>H142/DAY(B2)</f>
        <v>5821.5150000000085</v>
      </c>
      <c r="K142" s="411"/>
      <c r="L142" s="408"/>
      <c r="N142" s="413"/>
    </row>
    <row r="143" spans="1:14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0.26242173970960436</v>
      </c>
      <c r="H143" s="536">
        <f>G143+'7'!H143</f>
        <v>1.9813392490443569</v>
      </c>
      <c r="I143" s="621"/>
      <c r="J143" s="629">
        <f>H143/DAY(B2)</f>
        <v>0.24766740613054461</v>
      </c>
      <c r="K143" s="411"/>
      <c r="L143" s="408"/>
      <c r="N143" s="413"/>
    </row>
    <row r="144" spans="1:14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5838.260000000002</v>
      </c>
      <c r="H144" s="536">
        <f>G144+'7'!H144</f>
        <v>42671.059999999969</v>
      </c>
      <c r="I144" s="556"/>
      <c r="J144" s="629">
        <f>H144/DAY(B2)</f>
        <v>5333.8824999999961</v>
      </c>
      <c r="K144" s="411"/>
      <c r="L144" s="408"/>
      <c r="N144" s="413"/>
    </row>
    <row r="145" spans="1:14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0.25923626837174202</v>
      </c>
      <c r="H145" s="536">
        <f>G145+'7'!H145</f>
        <v>1.979025520460584</v>
      </c>
      <c r="I145" s="621"/>
      <c r="J145" s="629">
        <f>H145/DAY(B2)</f>
        <v>0.247378190057573</v>
      </c>
      <c r="K145" s="411"/>
      <c r="L145" s="408"/>
      <c r="N145" s="413"/>
    </row>
    <row r="146" spans="1:14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4272</v>
      </c>
      <c r="H146" s="536">
        <f>G146+'7'!H146</f>
        <v>134287.38</v>
      </c>
      <c r="I146" s="622"/>
      <c r="J146" s="629">
        <f>H146/DAY(B2)</f>
        <v>16785.922500000001</v>
      </c>
      <c r="K146" s="411"/>
      <c r="L146" s="408"/>
      <c r="N146" s="413"/>
    </row>
    <row r="147" spans="1:14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0.18968962301851605</v>
      </c>
      <c r="H147" s="536">
        <f>G147+'7'!H147</f>
        <v>6.5008990566531226</v>
      </c>
      <c r="I147" s="622"/>
      <c r="J147" s="629">
        <f>H147/DAY(B2)</f>
        <v>0.81261238208164033</v>
      </c>
      <c r="N147" s="413"/>
    </row>
    <row r="148" spans="1:14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2160</v>
      </c>
      <c r="H148" s="536">
        <f>G148+'7'!H148</f>
        <v>16848.799999999981</v>
      </c>
      <c r="I148" s="556"/>
      <c r="J148" s="629">
        <f>H148/DAY(B2)</f>
        <v>2106.0999999999976</v>
      </c>
      <c r="K148" s="412"/>
      <c r="N148" s="413"/>
    </row>
    <row r="149" spans="1:14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9.5910483548687891E-2</v>
      </c>
      <c r="H149" s="536">
        <f>G149+'7'!H149</f>
        <v>0.78362552237370431</v>
      </c>
      <c r="I149" s="622"/>
      <c r="J149" s="629">
        <f>H149/DAY(B2)</f>
        <v>9.7953190296713039E-2</v>
      </c>
      <c r="N149" s="413"/>
    </row>
    <row r="150" spans="1:14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2214</v>
      </c>
      <c r="H150" s="536">
        <f>G150+'7'!H150</f>
        <v>15318.399999999965</v>
      </c>
      <c r="I150" s="622"/>
      <c r="J150" s="629">
        <f>H150/DAY(B2)</f>
        <v>1914.7999999999956</v>
      </c>
      <c r="N150" s="413"/>
    </row>
    <row r="151" spans="1:14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9.8308245637405089E-2</v>
      </c>
      <c r="H151" s="536">
        <f>G151+'7'!H151</f>
        <v>0.7095568281651472</v>
      </c>
      <c r="I151" s="556"/>
      <c r="J151" s="629">
        <f>H151/DAY(B2)</f>
        <v>8.86946035206434E-2</v>
      </c>
      <c r="N151" s="413"/>
    </row>
    <row r="152" spans="1:14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1483</v>
      </c>
      <c r="H152" s="536">
        <f>G152+'7'!H152</f>
        <v>47025.16</v>
      </c>
      <c r="I152" s="556"/>
      <c r="J152" s="629">
        <f>H152/DAY(B2)</f>
        <v>5878.1450000000004</v>
      </c>
      <c r="N152" s="413"/>
    </row>
    <row r="153" spans="1:14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6.5849651436437104E-2</v>
      </c>
      <c r="H153" s="536">
        <f>G153+'7'!H153</f>
        <v>2.2771435874052486</v>
      </c>
      <c r="I153" s="645"/>
      <c r="J153" s="646">
        <f>H153/DAY(B2)</f>
        <v>0.28464294842565607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83" t="s">
        <v>267</v>
      </c>
      <c r="B157" s="1484"/>
      <c r="C157" s="1484"/>
      <c r="D157" s="1484"/>
      <c r="E157" s="1484"/>
      <c r="F157" s="1484"/>
      <c r="G157" s="1485"/>
    </row>
    <row r="158" spans="1:14">
      <c r="A158" s="867"/>
      <c r="B158" s="868"/>
      <c r="C158" s="868"/>
      <c r="D158" s="587"/>
      <c r="E158" s="531"/>
      <c r="F158" s="739"/>
      <c r="G158" s="549"/>
    </row>
    <row r="159" spans="1:14">
      <c r="A159" s="867"/>
      <c r="B159" s="868"/>
      <c r="C159" s="868"/>
      <c r="D159" s="587"/>
      <c r="E159" s="531"/>
      <c r="F159" s="739"/>
      <c r="G159" s="549"/>
    </row>
    <row r="160" spans="1:14">
      <c r="A160" s="867" t="s">
        <v>263</v>
      </c>
      <c r="B160" s="868"/>
      <c r="C160" s="868"/>
      <c r="D160" s="587" t="s">
        <v>187</v>
      </c>
      <c r="E160" s="1146">
        <f>'7'!F160</f>
        <v>31391</v>
      </c>
      <c r="F160" s="739">
        <v>31478</v>
      </c>
      <c r="G160" s="549">
        <f t="shared" ref="G160:G171" si="16">F160-E160</f>
        <v>87</v>
      </c>
    </row>
    <row r="161" spans="1:7">
      <c r="A161" s="867" t="s">
        <v>264</v>
      </c>
      <c r="B161" s="868"/>
      <c r="C161" s="868"/>
      <c r="D161" s="587" t="s">
        <v>187</v>
      </c>
      <c r="E161" s="1146">
        <f>'7'!F161</f>
        <v>58261</v>
      </c>
      <c r="F161" s="739">
        <v>58750</v>
      </c>
      <c r="G161" s="549">
        <f t="shared" si="16"/>
        <v>489</v>
      </c>
    </row>
    <row r="162" spans="1:7">
      <c r="A162" s="867" t="s">
        <v>265</v>
      </c>
      <c r="B162" s="868"/>
      <c r="C162" s="868"/>
      <c r="D162" s="587" t="s">
        <v>187</v>
      </c>
      <c r="E162" s="1146">
        <f>'7'!F162</f>
        <v>22538</v>
      </c>
      <c r="F162" s="739">
        <v>22823</v>
      </c>
      <c r="G162" s="549">
        <f t="shared" si="16"/>
        <v>285</v>
      </c>
    </row>
    <row r="163" spans="1:7">
      <c r="A163" s="867" t="s">
        <v>266</v>
      </c>
      <c r="B163" s="868"/>
      <c r="C163" s="868"/>
      <c r="D163" s="587" t="s">
        <v>187</v>
      </c>
      <c r="E163" s="1146">
        <f>'7'!F163</f>
        <v>5515</v>
      </c>
      <c r="F163" s="739">
        <v>5527</v>
      </c>
      <c r="G163" s="549">
        <f t="shared" si="16"/>
        <v>12</v>
      </c>
    </row>
    <row r="164" spans="1:7">
      <c r="A164" s="869" t="s">
        <v>98</v>
      </c>
      <c r="B164" s="681"/>
      <c r="C164" s="681"/>
      <c r="D164" s="587" t="s">
        <v>187</v>
      </c>
      <c r="E164" s="1146">
        <f>'7'!F164</f>
        <v>20419</v>
      </c>
      <c r="F164" s="590">
        <f>F62</f>
        <v>20419</v>
      </c>
      <c r="G164" s="549">
        <f t="shared" si="16"/>
        <v>0</v>
      </c>
    </row>
    <row r="165" spans="1:7">
      <c r="A165" s="869" t="s">
        <v>188</v>
      </c>
      <c r="B165" s="681"/>
      <c r="C165" s="681"/>
      <c r="D165" s="587" t="s">
        <v>187</v>
      </c>
      <c r="E165" s="1146">
        <f>'7'!F165</f>
        <v>1797</v>
      </c>
      <c r="F165" s="590">
        <f t="shared" ref="F165:F171" si="17">F63</f>
        <v>1809</v>
      </c>
      <c r="G165" s="549">
        <f t="shared" si="16"/>
        <v>12</v>
      </c>
    </row>
    <row r="166" spans="1:7" ht="27.75">
      <c r="A166" s="1482" t="s">
        <v>99</v>
      </c>
      <c r="B166" s="1482"/>
      <c r="C166" s="1482"/>
      <c r="D166" s="599" t="s">
        <v>187</v>
      </c>
      <c r="E166" s="1146">
        <f>'7'!F166</f>
        <v>127265</v>
      </c>
      <c r="F166" s="590">
        <f t="shared" si="17"/>
        <v>127792</v>
      </c>
      <c r="G166" s="549">
        <f t="shared" si="16"/>
        <v>527</v>
      </c>
    </row>
    <row r="167" spans="1:7" ht="27.75">
      <c r="A167" s="1482" t="s">
        <v>100</v>
      </c>
      <c r="B167" s="1482"/>
      <c r="C167" s="1482"/>
      <c r="D167" s="599" t="s">
        <v>187</v>
      </c>
      <c r="E167" s="1146">
        <f>'7'!F167</f>
        <v>135234</v>
      </c>
      <c r="F167" s="590">
        <f t="shared" si="17"/>
        <v>135612</v>
      </c>
      <c r="G167" s="549">
        <f t="shared" si="16"/>
        <v>378</v>
      </c>
    </row>
    <row r="168" spans="1:7" ht="27.75">
      <c r="A168" s="1482" t="s">
        <v>101</v>
      </c>
      <c r="B168" s="1482"/>
      <c r="C168" s="1482"/>
      <c r="D168" s="599" t="s">
        <v>187</v>
      </c>
      <c r="E168" s="1146">
        <f>'7'!F168</f>
        <v>27966</v>
      </c>
      <c r="F168" s="590">
        <f t="shared" si="17"/>
        <v>28345</v>
      </c>
      <c r="G168" s="549">
        <f t="shared" si="16"/>
        <v>379</v>
      </c>
    </row>
    <row r="169" spans="1:7" ht="27.75">
      <c r="A169" s="1482" t="s">
        <v>102</v>
      </c>
      <c r="B169" s="1482"/>
      <c r="C169" s="1482"/>
      <c r="D169" s="599" t="s">
        <v>187</v>
      </c>
      <c r="E169" s="1146">
        <f>'7'!F169</f>
        <v>212624</v>
      </c>
      <c r="F169" s="590">
        <f t="shared" si="17"/>
        <v>213302</v>
      </c>
      <c r="G169" s="549">
        <f t="shared" si="16"/>
        <v>678</v>
      </c>
    </row>
    <row r="170" spans="1:7" ht="27.75">
      <c r="A170" s="1482" t="s">
        <v>103</v>
      </c>
      <c r="B170" s="1482"/>
      <c r="C170" s="1482"/>
      <c r="D170" s="599" t="s">
        <v>187</v>
      </c>
      <c r="E170" s="1146">
        <f>'7'!F170</f>
        <v>75071</v>
      </c>
      <c r="F170" s="590">
        <f t="shared" si="17"/>
        <v>75414</v>
      </c>
      <c r="G170" s="549">
        <f t="shared" si="16"/>
        <v>343</v>
      </c>
    </row>
    <row r="171" spans="1:7" ht="27.75">
      <c r="A171" s="1482" t="s">
        <v>104</v>
      </c>
      <c r="B171" s="1482"/>
      <c r="C171" s="1482"/>
      <c r="D171" s="599" t="s">
        <v>187</v>
      </c>
      <c r="E171" s="1146">
        <f>'7'!F171</f>
        <v>66722</v>
      </c>
      <c r="F171" s="590">
        <f t="shared" si="17"/>
        <v>67053</v>
      </c>
      <c r="G171" s="549">
        <f t="shared" si="16"/>
        <v>331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57" zoomScale="55" zoomScaleNormal="80" zoomScaleSheetLayoutView="55" workbookViewId="0">
      <selection activeCell="F77" sqref="F77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4" s="281" customFormat="1" ht="27">
      <c r="A2" s="652" t="s">
        <v>323</v>
      </c>
      <c r="B2" s="1117">
        <v>44264</v>
      </c>
      <c r="C2" s="1231" t="s">
        <v>69</v>
      </c>
      <c r="D2" s="688">
        <v>0.45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281" t="s">
        <v>118</v>
      </c>
    </row>
    <row r="3" spans="1:14" s="281" customFormat="1" ht="27">
      <c r="A3" s="647"/>
      <c r="B3" s="691"/>
      <c r="C3" s="1231" t="s">
        <v>120</v>
      </c>
      <c r="D3" s="689">
        <v>29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1" t="s">
        <v>122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N5" s="407" t="s">
        <v>126</v>
      </c>
    </row>
    <row r="6" spans="1:14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131</v>
      </c>
      <c r="B7" s="758"/>
      <c r="C7" s="758"/>
      <c r="D7" s="715" t="s">
        <v>132</v>
      </c>
      <c r="E7" s="710">
        <f>'8'!F7</f>
        <v>4617148</v>
      </c>
      <c r="F7" s="531">
        <v>4638060</v>
      </c>
      <c r="G7" s="759">
        <f>F7-E7</f>
        <v>20912</v>
      </c>
      <c r="H7" s="760">
        <f>G7+'8'!H7</f>
        <v>192983</v>
      </c>
      <c r="I7" s="761">
        <f>'1'!I7</f>
        <v>12000</v>
      </c>
      <c r="J7" s="762">
        <f>H7/DAY(B2)</f>
        <v>21442.555555555555</v>
      </c>
      <c r="K7" s="626"/>
      <c r="L7" s="408"/>
      <c r="N7" s="413">
        <v>11359</v>
      </c>
    </row>
    <row r="8" spans="1:14" ht="27.75" thickBot="1">
      <c r="A8" s="763" t="s">
        <v>133</v>
      </c>
      <c r="B8" s="764"/>
      <c r="C8" s="765"/>
      <c r="D8" s="766" t="s">
        <v>25</v>
      </c>
      <c r="E8" s="710">
        <f>'8'!F8</f>
        <v>4646286</v>
      </c>
      <c r="F8" s="551">
        <v>4667409</v>
      </c>
      <c r="G8" s="770">
        <f>F8-E8</f>
        <v>21123</v>
      </c>
      <c r="H8" s="760">
        <f>G8+'8'!H8</f>
        <v>194253</v>
      </c>
      <c r="I8" s="767">
        <v>12000</v>
      </c>
      <c r="J8" s="762">
        <f>H8/DAY(B2)</f>
        <v>21583.666666666668</v>
      </c>
      <c r="K8" s="626"/>
      <c r="L8" s="464"/>
      <c r="M8" s="479"/>
      <c r="N8" s="413">
        <v>11487</v>
      </c>
    </row>
    <row r="9" spans="1:14">
      <c r="A9" s="768" t="s">
        <v>134</v>
      </c>
      <c r="B9" s="769"/>
      <c r="C9" s="769"/>
      <c r="D9" s="715" t="s">
        <v>132</v>
      </c>
      <c r="E9" s="710">
        <f>'8'!F9</f>
        <v>124354</v>
      </c>
      <c r="F9" s="554">
        <v>124354</v>
      </c>
      <c r="G9" s="783">
        <f t="shared" ref="G9:G12" si="0">F9-E9</f>
        <v>0</v>
      </c>
      <c r="H9" s="760">
        <f>G9+'8'!H9</f>
        <v>37444.990000000005</v>
      </c>
      <c r="I9" s="771">
        <f>I7-J7</f>
        <v>-9442.5555555555547</v>
      </c>
      <c r="J9" s="762">
        <f>H9/DAY(B2)</f>
        <v>4160.5544444444449</v>
      </c>
      <c r="K9" s="467"/>
      <c r="L9" s="408"/>
      <c r="N9" s="413">
        <v>11077</v>
      </c>
    </row>
    <row r="10" spans="1:14">
      <c r="A10" s="757" t="s">
        <v>135</v>
      </c>
      <c r="B10" s="758"/>
      <c r="C10" s="758"/>
      <c r="D10" s="715" t="s">
        <v>132</v>
      </c>
      <c r="E10" s="710">
        <f>'8'!F10</f>
        <v>154479</v>
      </c>
      <c r="F10" s="554">
        <v>174625</v>
      </c>
      <c r="G10" s="770">
        <f t="shared" si="0"/>
        <v>20146</v>
      </c>
      <c r="H10" s="760">
        <f>G10+'8'!H10</f>
        <v>148929.44</v>
      </c>
      <c r="I10" s="772"/>
      <c r="J10" s="762">
        <f>H10/DAY(B2)</f>
        <v>16547.715555555555</v>
      </c>
      <c r="K10" s="467"/>
      <c r="L10" s="408"/>
      <c r="N10" s="413">
        <v>0</v>
      </c>
    </row>
    <row r="11" spans="1:14">
      <c r="A11" s="757" t="s">
        <v>136</v>
      </c>
      <c r="B11" s="758"/>
      <c r="C11" s="758"/>
      <c r="D11" s="715" t="s">
        <v>132</v>
      </c>
      <c r="E11" s="710">
        <f>'8'!F11</f>
        <v>37000</v>
      </c>
      <c r="F11" s="531">
        <v>37000</v>
      </c>
      <c r="G11" s="770">
        <f t="shared" si="0"/>
        <v>0</v>
      </c>
      <c r="H11" s="760">
        <f>G11+'8'!H11</f>
        <v>-2000</v>
      </c>
      <c r="I11" s="772"/>
      <c r="J11" s="762">
        <f>H11/DAY(B2)</f>
        <v>-222.22222222222223</v>
      </c>
      <c r="K11" s="467"/>
      <c r="L11" s="408"/>
      <c r="N11" s="413">
        <v>0</v>
      </c>
    </row>
    <row r="12" spans="1:14">
      <c r="A12" s="757" t="s">
        <v>137</v>
      </c>
      <c r="B12" s="758"/>
      <c r="C12" s="758"/>
      <c r="D12" s="715" t="s">
        <v>132</v>
      </c>
      <c r="E12" s="710">
        <f>'8'!F12</f>
        <v>40010</v>
      </c>
      <c r="F12" s="554">
        <v>40010</v>
      </c>
      <c r="G12" s="770">
        <f t="shared" si="0"/>
        <v>0</v>
      </c>
      <c r="H12" s="760">
        <f>G12+'8'!H12</f>
        <v>-2000</v>
      </c>
      <c r="I12" s="772"/>
      <c r="J12" s="762">
        <f>H12/DAY(B2)</f>
        <v>-222.22222222222223</v>
      </c>
      <c r="K12" s="467"/>
      <c r="L12" s="408"/>
      <c r="N12" s="413">
        <v>0</v>
      </c>
    </row>
    <row r="13" spans="1:14">
      <c r="A13" s="773" t="s">
        <v>138</v>
      </c>
      <c r="B13" s="774"/>
      <c r="C13" s="774"/>
      <c r="D13" s="715"/>
      <c r="E13" s="710"/>
      <c r="F13" s="531"/>
      <c r="G13" s="775">
        <f>G9+G10+G11+G12</f>
        <v>20146</v>
      </c>
      <c r="H13" s="760">
        <f>G13+'8'!H13</f>
        <v>182374.43</v>
      </c>
      <c r="I13" s="776">
        <f>G7-G13</f>
        <v>766</v>
      </c>
      <c r="J13" s="762">
        <f>H13/DAY(B2)</f>
        <v>20263.825555555555</v>
      </c>
      <c r="K13" s="467"/>
      <c r="L13" s="408"/>
      <c r="N13" s="413">
        <v>11077</v>
      </c>
    </row>
    <row r="14" spans="1:14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67" t="s">
        <v>140</v>
      </c>
      <c r="B15" s="1268"/>
      <c r="C15" s="1268"/>
      <c r="D15" s="1269" t="s">
        <v>141</v>
      </c>
      <c r="E15" s="781">
        <f>'8'!F15</f>
        <v>1627095.85</v>
      </c>
      <c r="F15" s="781">
        <v>1627874.87</v>
      </c>
      <c r="G15" s="759">
        <f>(F15-E15)</f>
        <v>779.02000000001863</v>
      </c>
      <c r="H15" s="1262">
        <f>G15+'8'!H15</f>
        <v>7996.2600000000093</v>
      </c>
      <c r="I15" s="1263">
        <v>800</v>
      </c>
      <c r="J15" s="1264">
        <f>H15/DAY(B2)</f>
        <v>888.47333333333438</v>
      </c>
      <c r="K15" s="1256"/>
      <c r="L15" s="1257"/>
      <c r="M15" s="1258"/>
      <c r="N15" s="1259">
        <v>330.54600000008941</v>
      </c>
    </row>
    <row r="16" spans="1:14">
      <c r="A16" s="1260"/>
      <c r="B16" s="1261"/>
      <c r="C16" s="1261"/>
      <c r="D16" s="1254"/>
      <c r="E16" s="1255"/>
      <c r="F16" s="1255"/>
      <c r="G16" s="1265"/>
      <c r="H16" s="1262"/>
      <c r="I16" s="1266">
        <f>I15-J15</f>
        <v>-88.473333333334381</v>
      </c>
      <c r="J16" s="1264"/>
      <c r="K16" s="1256"/>
      <c r="L16" s="1257"/>
      <c r="M16" s="1258"/>
      <c r="N16" s="1259"/>
    </row>
    <row r="17" spans="1:14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86" t="s">
        <v>143</v>
      </c>
      <c r="B18" s="1487"/>
      <c r="C18" s="1488"/>
      <c r="D18" s="715" t="s">
        <v>144</v>
      </c>
      <c r="E18" s="712">
        <f>'8'!F18</f>
        <v>14</v>
      </c>
      <c r="F18" s="554">
        <v>12</v>
      </c>
      <c r="G18" s="775">
        <f>F18*10</f>
        <v>120</v>
      </c>
      <c r="H18" s="760">
        <f>G18+'8'!H18</f>
        <v>1340</v>
      </c>
      <c r="I18" s="761">
        <v>65</v>
      </c>
      <c r="J18" s="762">
        <f>H18/DAY(B2)</f>
        <v>148.88888888888889</v>
      </c>
      <c r="K18" s="467"/>
      <c r="L18" s="408"/>
      <c r="N18" s="413">
        <v>0</v>
      </c>
    </row>
    <row r="19" spans="1:14" ht="27.75">
      <c r="A19" s="1486" t="s">
        <v>71</v>
      </c>
      <c r="B19" s="1487"/>
      <c r="C19" s="1488"/>
      <c r="D19" s="715" t="s">
        <v>144</v>
      </c>
      <c r="E19" s="712">
        <f>'8'!F19</f>
        <v>134878</v>
      </c>
      <c r="F19" s="554">
        <v>134930</v>
      </c>
      <c r="G19" s="770">
        <f t="shared" ref="G19" si="1">F19-E19</f>
        <v>52</v>
      </c>
      <c r="H19" s="760">
        <f>G19+'8'!H19</f>
        <v>462</v>
      </c>
      <c r="I19" s="777"/>
      <c r="J19" s="762">
        <f>H19/DAY(B2)</f>
        <v>51.333333333333336</v>
      </c>
      <c r="K19" s="467"/>
      <c r="L19" s="408"/>
      <c r="N19" s="413">
        <v>55</v>
      </c>
    </row>
    <row r="20" spans="1:14">
      <c r="A20" s="773" t="s">
        <v>145</v>
      </c>
      <c r="B20" s="774"/>
      <c r="C20" s="774"/>
      <c r="D20" s="715"/>
      <c r="E20" s="715"/>
      <c r="F20" s="600"/>
      <c r="G20" s="778">
        <f>G18+G19</f>
        <v>172</v>
      </c>
      <c r="H20" s="760">
        <f>G20+'8'!H20</f>
        <v>1802</v>
      </c>
      <c r="I20" s="779">
        <f>I18-J20</f>
        <v>-135.22222222222223</v>
      </c>
      <c r="J20" s="762">
        <f>H20/DAY(B2)</f>
        <v>200.22222222222223</v>
      </c>
      <c r="K20" s="467"/>
      <c r="L20" s="408"/>
      <c r="N20" s="413">
        <v>55</v>
      </c>
    </row>
    <row r="21" spans="1:14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29" t="s">
        <v>147</v>
      </c>
      <c r="B22" s="666"/>
      <c r="C22" s="666"/>
      <c r="D22" s="599" t="s">
        <v>148</v>
      </c>
      <c r="E22" s="712">
        <f>'8'!F22</f>
        <v>2970</v>
      </c>
      <c r="F22" s="554">
        <v>2970</v>
      </c>
      <c r="G22" s="557">
        <f t="shared" ref="G22" si="2">(F22-E22)</f>
        <v>0</v>
      </c>
      <c r="H22" s="536">
        <f>G22+'8'!H22</f>
        <v>0</v>
      </c>
      <c r="I22" s="556"/>
      <c r="J22" s="629">
        <f>H22/DAY(B2)</f>
        <v>0</v>
      </c>
      <c r="K22" s="467"/>
      <c r="L22" s="408"/>
      <c r="N22" s="413">
        <v>0</v>
      </c>
    </row>
    <row r="23" spans="1:14">
      <c r="A23" s="1229" t="s">
        <v>149</v>
      </c>
      <c r="B23" s="666"/>
      <c r="C23" s="666"/>
      <c r="D23" s="599" t="s">
        <v>148</v>
      </c>
      <c r="E23" s="712">
        <f>'8'!F23</f>
        <v>2900</v>
      </c>
      <c r="F23" s="554">
        <v>2900</v>
      </c>
      <c r="G23" s="557">
        <v>0</v>
      </c>
      <c r="H23" s="536">
        <f>G23+'8'!H23</f>
        <v>0</v>
      </c>
      <c r="I23" s="556"/>
      <c r="J23" s="629">
        <f>H23/DAY(B2)</f>
        <v>0</v>
      </c>
      <c r="K23" s="467"/>
      <c r="L23" s="408"/>
      <c r="N23" s="413">
        <v>0</v>
      </c>
    </row>
    <row r="24" spans="1:14">
      <c r="A24" s="667" t="s">
        <v>150</v>
      </c>
      <c r="B24" s="668"/>
      <c r="C24" s="668"/>
      <c r="D24" s="587" t="s">
        <v>148</v>
      </c>
      <c r="E24" s="569">
        <v>4250</v>
      </c>
      <c r="F24" s="561">
        <v>4250</v>
      </c>
      <c r="G24" s="557">
        <v>0</v>
      </c>
      <c r="H24" s="536">
        <f>G24+'8'!H24</f>
        <v>0</v>
      </c>
      <c r="I24" s="556"/>
      <c r="J24" s="629">
        <f>H24/DAY(B2)</f>
        <v>0</v>
      </c>
      <c r="K24" s="467"/>
      <c r="L24" s="408"/>
      <c r="N24" s="413">
        <v>0</v>
      </c>
    </row>
    <row r="25" spans="1:14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21123</v>
      </c>
      <c r="F27" s="577">
        <v>9</v>
      </c>
      <c r="G27" s="578">
        <f>E27*F27</f>
        <v>190107</v>
      </c>
      <c r="H27" s="536">
        <f>G27+'8'!H27</f>
        <v>1748277</v>
      </c>
      <c r="I27" s="579"/>
      <c r="J27" s="629">
        <f>H27/DAY(B2)</f>
        <v>194253</v>
      </c>
      <c r="K27" s="404"/>
      <c r="L27" s="484"/>
      <c r="N27" s="413">
        <v>114870</v>
      </c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779.02000000001863</v>
      </c>
      <c r="F28" s="577">
        <v>43.5</v>
      </c>
      <c r="G28" s="578">
        <f>E28*F28</f>
        <v>33887.37000000081</v>
      </c>
      <c r="H28" s="536">
        <f>G28+'8'!H28</f>
        <v>367142.84819999989</v>
      </c>
      <c r="I28" s="581"/>
      <c r="J28" s="629">
        <f>H28/DAY(B2)</f>
        <v>40793.649799999985</v>
      </c>
      <c r="K28" s="404"/>
      <c r="L28" s="484"/>
      <c r="N28" s="413">
        <v>11569.110000003129</v>
      </c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0</v>
      </c>
      <c r="I29" s="581"/>
      <c r="J29" s="629">
        <f>H29/DAY(B2)</f>
        <v>0</v>
      </c>
      <c r="K29" s="404"/>
      <c r="L29" s="484"/>
      <c r="N29" s="413">
        <v>0</v>
      </c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G30+'8'!H30</f>
        <v>79596</v>
      </c>
      <c r="I30" s="581"/>
      <c r="J30" s="629">
        <f>H30/DAY(B2)</f>
        <v>8844</v>
      </c>
      <c r="K30" s="404"/>
      <c r="L30" s="484"/>
      <c r="N30" s="413">
        <v>7370</v>
      </c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120</v>
      </c>
      <c r="F31" s="577">
        <v>80</v>
      </c>
      <c r="G31" s="578">
        <f>E31*F31</f>
        <v>9600</v>
      </c>
      <c r="H31" s="536">
        <f>G31+'8'!H31</f>
        <v>96640</v>
      </c>
      <c r="I31" s="581"/>
      <c r="J31" s="629">
        <f>H31/DAY(B2)</f>
        <v>10737.777777777777</v>
      </c>
      <c r="K31" s="404"/>
      <c r="L31" s="484"/>
      <c r="N31" s="413">
        <v>0</v>
      </c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240562.37000000081</v>
      </c>
      <c r="H32" s="536">
        <f>G32+'8'!H32</f>
        <v>2291655.8481999999</v>
      </c>
      <c r="I32" s="585"/>
      <c r="J32" s="629">
        <f>H32/DAY(B2)</f>
        <v>254628.42757777777</v>
      </c>
      <c r="K32" s="404"/>
      <c r="L32" s="484"/>
      <c r="N32" s="413">
        <v>133809.11000000313</v>
      </c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</row>
    <row r="34" spans="1:14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'8'!F35</f>
        <v>720037</v>
      </c>
      <c r="F35" s="586">
        <v>723418</v>
      </c>
      <c r="G35" s="549">
        <f t="shared" ref="G35:G46" si="3">F35-E35</f>
        <v>3381</v>
      </c>
      <c r="H35" s="536">
        <f>G35+'8'!H35</f>
        <v>30330.410000000033</v>
      </c>
      <c r="I35" s="531"/>
      <c r="J35" s="629">
        <f>H35/DAY(B2)</f>
        <v>3370.0455555555591</v>
      </c>
      <c r="K35" s="467"/>
      <c r="L35" s="408"/>
      <c r="N35" s="413">
        <v>1380.8400000000256</v>
      </c>
    </row>
    <row r="36" spans="1:14">
      <c r="A36" s="655" t="s">
        <v>165</v>
      </c>
      <c r="B36" s="656"/>
      <c r="C36" s="656"/>
      <c r="D36" s="599" t="s">
        <v>132</v>
      </c>
      <c r="E36" s="586">
        <f>'8'!F36</f>
        <v>301611</v>
      </c>
      <c r="F36" s="586">
        <v>302278</v>
      </c>
      <c r="G36" s="549">
        <f t="shared" si="3"/>
        <v>667</v>
      </c>
      <c r="H36" s="536">
        <f>G36+'8'!H36</f>
        <v>5832.429999999993</v>
      </c>
      <c r="I36" s="531"/>
      <c r="J36" s="629">
        <f>H36/DAY(B2)</f>
        <v>648.04777777777701</v>
      </c>
      <c r="K36" s="467"/>
      <c r="L36" s="408"/>
      <c r="N36" s="705">
        <v>514.63999999999942</v>
      </c>
    </row>
    <row r="37" spans="1:14">
      <c r="A37" s="655" t="s">
        <v>166</v>
      </c>
      <c r="B37" s="656"/>
      <c r="C37" s="656"/>
      <c r="D37" s="599" t="s">
        <v>132</v>
      </c>
      <c r="E37" s="586">
        <f>'8'!F37</f>
        <v>35167</v>
      </c>
      <c r="F37" s="586">
        <v>35167</v>
      </c>
      <c r="G37" s="549">
        <f t="shared" si="3"/>
        <v>0</v>
      </c>
      <c r="H37" s="536">
        <f>G37+'8'!H37</f>
        <v>38272.080000000002</v>
      </c>
      <c r="I37" s="531"/>
      <c r="J37" s="629">
        <f>H37/DAY(B2)</f>
        <v>4252.4533333333338</v>
      </c>
      <c r="K37" s="467"/>
      <c r="L37" s="408"/>
      <c r="N37" s="706">
        <v>1164.4599999999919</v>
      </c>
    </row>
    <row r="38" spans="1:14">
      <c r="A38" s="655" t="s">
        <v>167</v>
      </c>
      <c r="B38" s="656"/>
      <c r="C38" s="656"/>
      <c r="D38" s="599" t="s">
        <v>132</v>
      </c>
      <c r="E38" s="586">
        <f>'8'!F38</f>
        <v>48333</v>
      </c>
      <c r="F38" s="545">
        <v>48333</v>
      </c>
      <c r="G38" s="549">
        <f t="shared" si="3"/>
        <v>0</v>
      </c>
      <c r="H38" s="536">
        <f>G38+'8'!H38</f>
        <v>4519.510000000002</v>
      </c>
      <c r="I38" s="531"/>
      <c r="J38" s="629">
        <f>H38/DAY(B2)</f>
        <v>502.16777777777799</v>
      </c>
      <c r="K38" s="467"/>
      <c r="L38" s="408"/>
      <c r="N38" s="413">
        <v>0</v>
      </c>
    </row>
    <row r="39" spans="1:14">
      <c r="A39" s="655" t="s">
        <v>168</v>
      </c>
      <c r="B39" s="656"/>
      <c r="C39" s="656"/>
      <c r="D39" s="599" t="s">
        <v>132</v>
      </c>
      <c r="E39" s="586">
        <f>'8'!F39</f>
        <v>100066</v>
      </c>
      <c r="F39" s="586">
        <v>100066</v>
      </c>
      <c r="G39" s="549">
        <f t="shared" si="3"/>
        <v>0</v>
      </c>
      <c r="H39" s="536">
        <f>G39+'8'!H39</f>
        <v>109458.89</v>
      </c>
      <c r="I39" s="531"/>
      <c r="J39" s="629">
        <f>H39/DAY(B2)</f>
        <v>12162.09888888889</v>
      </c>
      <c r="K39" s="467"/>
      <c r="L39" s="408"/>
      <c r="N39" s="413">
        <v>1951.1300000000047</v>
      </c>
    </row>
    <row r="40" spans="1:14">
      <c r="A40" s="676" t="s">
        <v>169</v>
      </c>
      <c r="B40" s="677"/>
      <c r="C40" s="677"/>
      <c r="D40" s="599" t="s">
        <v>132</v>
      </c>
      <c r="E40" s="586">
        <v>0.23</v>
      </c>
      <c r="F40" s="586">
        <v>0.23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170</v>
      </c>
      <c r="B41" s="656"/>
      <c r="C41" s="656"/>
      <c r="D41" s="599" t="s">
        <v>132</v>
      </c>
      <c r="E41" s="586">
        <f>'8'!F41</f>
        <v>64767</v>
      </c>
      <c r="F41" s="586">
        <v>64767</v>
      </c>
      <c r="G41" s="549">
        <f t="shared" si="3"/>
        <v>0</v>
      </c>
      <c r="H41" s="536">
        <f>G41+'8'!H41</f>
        <v>884.62999999999738</v>
      </c>
      <c r="I41" s="531"/>
      <c r="J41" s="629">
        <f>H41/DAY(B2)</f>
        <v>98.292222222221937</v>
      </c>
      <c r="K41" s="467"/>
      <c r="L41" s="408"/>
      <c r="N41" s="413">
        <v>2876.3199999999779</v>
      </c>
    </row>
    <row r="42" spans="1:14">
      <c r="A42" s="655" t="s">
        <v>171</v>
      </c>
      <c r="B42" s="656"/>
      <c r="C42" s="656"/>
      <c r="D42" s="599" t="s">
        <v>132</v>
      </c>
      <c r="E42" s="586">
        <f>'8'!F42</f>
        <v>59128</v>
      </c>
      <c r="F42" s="586">
        <v>59128</v>
      </c>
      <c r="G42" s="549">
        <f t="shared" si="3"/>
        <v>0</v>
      </c>
      <c r="H42" s="536">
        <f>G42+'8'!H42</f>
        <v>-0.84999999999854481</v>
      </c>
      <c r="I42" s="531"/>
      <c r="J42" s="629">
        <f>H42/DAY(B2)</f>
        <v>-9.4444444444282752E-2</v>
      </c>
      <c r="K42" s="467"/>
      <c r="L42" s="408"/>
      <c r="N42" s="413">
        <v>0</v>
      </c>
    </row>
    <row r="43" spans="1:14">
      <c r="A43" s="655" t="s">
        <v>172</v>
      </c>
      <c r="B43" s="656"/>
      <c r="C43" s="656"/>
      <c r="D43" s="599" t="s">
        <v>132</v>
      </c>
      <c r="E43" s="586">
        <f>'8'!F43</f>
        <v>845521</v>
      </c>
      <c r="F43" s="586">
        <v>847898</v>
      </c>
      <c r="G43" s="549">
        <f t="shared" si="3"/>
        <v>2377</v>
      </c>
      <c r="H43" s="536">
        <f>G43+'8'!H43</f>
        <v>22000.170000000042</v>
      </c>
      <c r="I43" s="531"/>
      <c r="J43" s="629">
        <f>H43/DAY(B2)</f>
        <v>2444.4633333333381</v>
      </c>
      <c r="K43" s="467"/>
      <c r="L43" s="408"/>
      <c r="N43" s="413">
        <v>1531.2399999999907</v>
      </c>
    </row>
    <row r="44" spans="1:14">
      <c r="A44" s="655" t="s">
        <v>173</v>
      </c>
      <c r="B44" s="656"/>
      <c r="C44" s="656"/>
      <c r="D44" s="599" t="s">
        <v>132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174</v>
      </c>
      <c r="B45" s="656"/>
      <c r="C45" s="656"/>
      <c r="D45" s="599" t="s">
        <v>132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0</v>
      </c>
      <c r="I45" s="531"/>
      <c r="J45" s="629">
        <f>H45/DAY(B2)</f>
        <v>0</v>
      </c>
      <c r="K45" s="467"/>
      <c r="L45" s="408"/>
      <c r="N45" s="413">
        <v>0</v>
      </c>
    </row>
    <row r="46" spans="1:14">
      <c r="A46" s="655" t="s">
        <v>175</v>
      </c>
      <c r="B46" s="656"/>
      <c r="C46" s="656"/>
      <c r="D46" s="599" t="s">
        <v>132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0</v>
      </c>
      <c r="I46" s="531"/>
      <c r="J46" s="629">
        <f>H46/DAY(B2)</f>
        <v>0</v>
      </c>
      <c r="K46" s="467"/>
      <c r="L46" s="408"/>
      <c r="N46" s="413">
        <v>0</v>
      </c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6425</v>
      </c>
      <c r="H47" s="536">
        <f>G47+'8'!H47</f>
        <v>211297.27000000008</v>
      </c>
      <c r="I47" s="531"/>
      <c r="J47" s="629">
        <f>H47/DAY(B2)</f>
        <v>23477.474444444451</v>
      </c>
      <c r="K47" s="467"/>
      <c r="L47" s="408"/>
      <c r="N47" s="413">
        <v>9418.6299999999901</v>
      </c>
    </row>
    <row r="48" spans="1:14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'8'!F49</f>
        <v>260732</v>
      </c>
      <c r="F49" s="586">
        <v>260732</v>
      </c>
      <c r="G49" s="549">
        <f t="shared" ref="G49:G58" si="4">F49-E49</f>
        <v>0</v>
      </c>
      <c r="H49" s="536">
        <f>G49+'8'!H49</f>
        <v>-0.13000000000465661</v>
      </c>
      <c r="I49" s="531"/>
      <c r="J49" s="629">
        <f>H49/DAY(B2)</f>
        <v>-1.4444444444961846E-2</v>
      </c>
      <c r="K49" s="467"/>
      <c r="L49" s="408"/>
      <c r="N49" s="413">
        <v>0</v>
      </c>
    </row>
    <row r="50" spans="1:14">
      <c r="A50" s="655" t="s">
        <v>178</v>
      </c>
      <c r="B50" s="678"/>
      <c r="C50" s="678"/>
      <c r="D50" s="599" t="s">
        <v>132</v>
      </c>
      <c r="E50" s="586">
        <f>'8'!F50</f>
        <v>412616</v>
      </c>
      <c r="F50" s="586">
        <v>413644</v>
      </c>
      <c r="G50" s="549">
        <f t="shared" si="4"/>
        <v>1028</v>
      </c>
      <c r="H50" s="536">
        <f>G50+'8'!H50</f>
        <v>11180.969999999972</v>
      </c>
      <c r="I50" s="531"/>
      <c r="J50" s="629">
        <f>H50/DAY(B2)</f>
        <v>1242.329999999997</v>
      </c>
      <c r="K50" s="467"/>
      <c r="L50" s="408"/>
      <c r="N50" s="413">
        <v>609.48999999999069</v>
      </c>
    </row>
    <row r="51" spans="1:14">
      <c r="A51" s="655" t="s">
        <v>166</v>
      </c>
      <c r="B51" s="678"/>
      <c r="C51" s="678"/>
      <c r="D51" s="599" t="s">
        <v>132</v>
      </c>
      <c r="E51" s="586">
        <f>'8'!F51</f>
        <v>128804</v>
      </c>
      <c r="F51" s="586">
        <v>130295</v>
      </c>
      <c r="G51" s="549">
        <f t="shared" si="4"/>
        <v>1491</v>
      </c>
      <c r="H51" s="536">
        <f>G51+'8'!H51</f>
        <v>10244.080000000002</v>
      </c>
      <c r="I51" s="531"/>
      <c r="J51" s="629">
        <f>H51/DAY(B2)</f>
        <v>1138.2311111111112</v>
      </c>
      <c r="K51" s="467"/>
      <c r="L51" s="408"/>
      <c r="N51" s="413">
        <v>0</v>
      </c>
    </row>
    <row r="52" spans="1:14">
      <c r="A52" s="655" t="s">
        <v>179</v>
      </c>
      <c r="B52" s="678"/>
      <c r="C52" s="678"/>
      <c r="D52" s="599" t="s">
        <v>132</v>
      </c>
      <c r="E52" s="586">
        <f>'8'!F52</f>
        <v>520242</v>
      </c>
      <c r="F52" s="586">
        <v>522363</v>
      </c>
      <c r="G52" s="549">
        <f t="shared" si="4"/>
        <v>2121</v>
      </c>
      <c r="H52" s="536">
        <f>G52+'8'!H52</f>
        <v>14450.289999999979</v>
      </c>
      <c r="I52" s="531"/>
      <c r="J52" s="629">
        <f>H52/DAY(B2)</f>
        <v>1605.5877777777755</v>
      </c>
      <c r="K52" s="467"/>
      <c r="L52" s="408"/>
      <c r="N52" s="413">
        <v>1071.8899999999849</v>
      </c>
    </row>
    <row r="53" spans="1:14">
      <c r="A53" s="655" t="s">
        <v>168</v>
      </c>
      <c r="B53" s="678"/>
      <c r="C53" s="678"/>
      <c r="D53" s="599" t="s">
        <v>132</v>
      </c>
      <c r="E53" s="586">
        <f>'8'!F53</f>
        <v>356683</v>
      </c>
      <c r="F53" s="586">
        <v>360878</v>
      </c>
      <c r="G53" s="549">
        <f t="shared" si="4"/>
        <v>4195</v>
      </c>
      <c r="H53" s="536">
        <f>G53+'8'!H53</f>
        <v>29023.489999999991</v>
      </c>
      <c r="I53" s="531"/>
      <c r="J53" s="629">
        <f>H53/DAY(B2)</f>
        <v>3224.8322222222214</v>
      </c>
      <c r="K53" s="467"/>
      <c r="L53" s="408"/>
      <c r="N53" s="413">
        <v>85.455900000000838</v>
      </c>
    </row>
    <row r="54" spans="1:14">
      <c r="A54" s="655" t="s">
        <v>180</v>
      </c>
      <c r="B54" s="678"/>
      <c r="C54" s="678"/>
      <c r="D54" s="599" t="s">
        <v>132</v>
      </c>
      <c r="E54" s="586">
        <f>'8'!F54</f>
        <v>8200</v>
      </c>
      <c r="F54" s="586">
        <v>8200</v>
      </c>
      <c r="G54" s="549">
        <f t="shared" si="4"/>
        <v>0</v>
      </c>
      <c r="H54" s="536">
        <f>G54+'8'!H54</f>
        <v>104.36999999999989</v>
      </c>
      <c r="I54" s="531"/>
      <c r="J54" s="629">
        <f>H54/DAY(B2)</f>
        <v>11.596666666666655</v>
      </c>
      <c r="K54" s="467"/>
      <c r="L54" s="408"/>
      <c r="N54" s="413">
        <v>0</v>
      </c>
    </row>
    <row r="55" spans="1:14">
      <c r="A55" s="655" t="s">
        <v>181</v>
      </c>
      <c r="B55" s="678"/>
      <c r="C55" s="678"/>
      <c r="D55" s="599" t="s">
        <v>132</v>
      </c>
      <c r="E55" s="586">
        <f>'8'!F55</f>
        <v>156663</v>
      </c>
      <c r="F55" s="734">
        <v>161778</v>
      </c>
      <c r="G55" s="733">
        <f t="shared" si="4"/>
        <v>5115</v>
      </c>
      <c r="H55" s="787">
        <f>G55+'8'!H55</f>
        <v>44192.31</v>
      </c>
      <c r="I55" s="788"/>
      <c r="J55" s="789">
        <f>H55/DAY(B2)</f>
        <v>4910.2566666666662</v>
      </c>
      <c r="K55" s="467"/>
      <c r="L55" s="408"/>
      <c r="N55" s="413">
        <v>0</v>
      </c>
    </row>
    <row r="56" spans="1:14">
      <c r="A56" s="655" t="s">
        <v>182</v>
      </c>
      <c r="B56" s="678"/>
      <c r="C56" s="678"/>
      <c r="D56" s="599" t="s">
        <v>183</v>
      </c>
      <c r="E56" s="586">
        <f>'8'!F56</f>
        <v>588761</v>
      </c>
      <c r="F56" s="734">
        <v>588761</v>
      </c>
      <c r="G56" s="549">
        <f t="shared" si="4"/>
        <v>0</v>
      </c>
      <c r="H56" s="536">
        <f>G56+'8'!H56</f>
        <v>2709.9699999999721</v>
      </c>
      <c r="I56" s="531"/>
      <c r="J56" s="629">
        <f>H56/DAY(B2)</f>
        <v>301.10777777777469</v>
      </c>
      <c r="K56" s="466"/>
      <c r="L56" s="408"/>
      <c r="N56" s="413">
        <v>0</v>
      </c>
    </row>
    <row r="57" spans="1:14">
      <c r="A57" s="655" t="s">
        <v>172</v>
      </c>
      <c r="B57" s="678"/>
      <c r="C57" s="678"/>
      <c r="D57" s="599" t="s">
        <v>132</v>
      </c>
      <c r="E57" s="586">
        <f>'8'!F57</f>
        <v>7711</v>
      </c>
      <c r="F57" s="586">
        <v>7711</v>
      </c>
      <c r="G57" s="549">
        <f t="shared" si="4"/>
        <v>0</v>
      </c>
      <c r="H57" s="536">
        <f>G57+'8'!H57</f>
        <v>-0.32999999999992724</v>
      </c>
      <c r="I57" s="531"/>
      <c r="J57" s="629">
        <f>H57/DAY(B2)</f>
        <v>-3.6666666666658583E-2</v>
      </c>
      <c r="K57" s="467"/>
      <c r="L57" s="408"/>
      <c r="N57" s="413">
        <v>0</v>
      </c>
    </row>
    <row r="58" spans="1:14">
      <c r="A58" s="655" t="s">
        <v>184</v>
      </c>
      <c r="B58" s="678"/>
      <c r="C58" s="678"/>
      <c r="D58" s="599" t="s">
        <v>132</v>
      </c>
      <c r="E58" s="586">
        <f>'8'!F58</f>
        <v>37460</v>
      </c>
      <c r="F58" s="734">
        <v>37646</v>
      </c>
      <c r="G58" s="549">
        <f t="shared" si="4"/>
        <v>186</v>
      </c>
      <c r="H58" s="536">
        <f>G58+'8'!H58</f>
        <v>1777.3000000000029</v>
      </c>
      <c r="I58" s="531"/>
      <c r="J58" s="629">
        <f>H58/DAY(B2)</f>
        <v>197.4777777777781</v>
      </c>
      <c r="K58" s="467"/>
      <c r="L58" s="408"/>
      <c r="N58" s="413">
        <v>-0.29700000000048021</v>
      </c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14136</v>
      </c>
      <c r="H59" s="536">
        <f>G59+'8'!H59</f>
        <v>113682.31999999992</v>
      </c>
      <c r="I59" s="531">
        <f>G7-G60</f>
        <v>351</v>
      </c>
      <c r="J59" s="629">
        <f>H59/DAY(B2)</f>
        <v>12631.368888888879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20561</v>
      </c>
      <c r="H60" s="536">
        <f>G60+'8'!H60</f>
        <v>324979.58999999997</v>
      </c>
      <c r="I60" s="531">
        <f>G13-G60</f>
        <v>-415</v>
      </c>
      <c r="J60" s="629">
        <f>H60/DAY(B2)</f>
        <v>36108.843333333331</v>
      </c>
      <c r="K60" s="467"/>
      <c r="L60" s="408"/>
      <c r="N60" s="413">
        <v>11185.168899999966</v>
      </c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-0.18700000000171713</v>
      </c>
      <c r="I62" s="591"/>
      <c r="J62" s="629">
        <f>H62/DAY(B2)</f>
        <v>-2.0777777777968569E-2</v>
      </c>
      <c r="K62" s="467"/>
      <c r="L62" s="408"/>
      <c r="N62" s="413">
        <v>0</v>
      </c>
    </row>
    <row r="63" spans="1:14">
      <c r="A63" s="680" t="s">
        <v>188</v>
      </c>
      <c r="B63" s="681"/>
      <c r="C63" s="681"/>
      <c r="D63" s="587" t="s">
        <v>187</v>
      </c>
      <c r="E63" s="590">
        <f>'8'!F63</f>
        <v>1809</v>
      </c>
      <c r="F63" s="590">
        <v>1825</v>
      </c>
      <c r="G63" s="549">
        <f t="shared" si="5"/>
        <v>16</v>
      </c>
      <c r="H63" s="536">
        <f>G63+'8'!H63</f>
        <v>117.6400000000001</v>
      </c>
      <c r="I63" s="591"/>
      <c r="J63" s="629">
        <f>H63/DAY(B2)</f>
        <v>13.071111111111122</v>
      </c>
      <c r="K63" s="467"/>
      <c r="L63" s="408"/>
      <c r="N63" s="413">
        <v>0</v>
      </c>
    </row>
    <row r="64" spans="1:14" ht="27.75">
      <c r="A64" s="1430" t="s">
        <v>99</v>
      </c>
      <c r="B64" s="1431"/>
      <c r="C64" s="1432"/>
      <c r="D64" s="599" t="s">
        <v>187</v>
      </c>
      <c r="E64" s="590">
        <f>'8'!F64</f>
        <v>127792</v>
      </c>
      <c r="F64" s="554">
        <v>128296</v>
      </c>
      <c r="G64" s="549">
        <f t="shared" si="5"/>
        <v>504</v>
      </c>
      <c r="H64" s="536">
        <f>G64+'8'!H64</f>
        <v>4668.6999999999971</v>
      </c>
      <c r="I64" s="556"/>
      <c r="J64" s="629">
        <f>H64/DAY(B2)</f>
        <v>518.74444444444407</v>
      </c>
      <c r="K64" s="467"/>
      <c r="L64" s="408"/>
      <c r="N64" s="413">
        <v>161.90400000000227</v>
      </c>
    </row>
    <row r="65" spans="1:14" ht="27.75">
      <c r="A65" s="1430" t="s">
        <v>100</v>
      </c>
      <c r="B65" s="1431"/>
      <c r="C65" s="1432"/>
      <c r="D65" s="599" t="s">
        <v>187</v>
      </c>
      <c r="E65" s="590">
        <f>'8'!F65</f>
        <v>135612</v>
      </c>
      <c r="F65" s="732">
        <v>135987</v>
      </c>
      <c r="G65" s="549">
        <f t="shared" si="5"/>
        <v>375</v>
      </c>
      <c r="H65" s="536">
        <f>G65+'8'!H65</f>
        <v>3389.7000000000116</v>
      </c>
      <c r="I65" s="565"/>
      <c r="J65" s="629">
        <f>H65/DAY(B2)</f>
        <v>376.63333333333463</v>
      </c>
      <c r="K65" s="467"/>
      <c r="L65" s="408"/>
      <c r="N65" s="413">
        <v>215.74700000000303</v>
      </c>
    </row>
    <row r="66" spans="1:14" ht="27.75">
      <c r="A66" s="1430" t="s">
        <v>101</v>
      </c>
      <c r="B66" s="1431"/>
      <c r="C66" s="1432"/>
      <c r="D66" s="599" t="s">
        <v>187</v>
      </c>
      <c r="E66" s="590">
        <f>'8'!F66</f>
        <v>28345</v>
      </c>
      <c r="F66" s="554">
        <v>28723</v>
      </c>
      <c r="G66" s="549">
        <f t="shared" si="5"/>
        <v>378</v>
      </c>
      <c r="H66" s="536">
        <f>G66+'8'!H66</f>
        <v>3563.25</v>
      </c>
      <c r="I66" s="556"/>
      <c r="J66" s="629">
        <f>H66/DAY(B2)</f>
        <v>395.91666666666669</v>
      </c>
      <c r="K66" s="467"/>
      <c r="L66" s="408"/>
      <c r="N66" s="413">
        <v>243.63500000000204</v>
      </c>
    </row>
    <row r="67" spans="1:14" ht="27.75">
      <c r="A67" s="1430" t="s">
        <v>102</v>
      </c>
      <c r="B67" s="1431"/>
      <c r="C67" s="1432"/>
      <c r="D67" s="599" t="s">
        <v>187</v>
      </c>
      <c r="E67" s="590">
        <f>'8'!F67</f>
        <v>213302</v>
      </c>
      <c r="F67" s="554">
        <v>213978</v>
      </c>
      <c r="G67" s="549">
        <f t="shared" si="5"/>
        <v>676</v>
      </c>
      <c r="H67" s="536">
        <f>G67+'8'!H67</f>
        <v>6136.1700000000128</v>
      </c>
      <c r="I67" s="565"/>
      <c r="J67" s="629">
        <f>H67/DAY(B2)</f>
        <v>681.7966666666681</v>
      </c>
      <c r="K67" s="468"/>
      <c r="L67" s="408"/>
      <c r="N67" s="413">
        <v>74.99199999999837</v>
      </c>
    </row>
    <row r="68" spans="1:14" ht="27.75">
      <c r="A68" s="1430" t="s">
        <v>103</v>
      </c>
      <c r="B68" s="1431"/>
      <c r="C68" s="1432"/>
      <c r="D68" s="599" t="s">
        <v>187</v>
      </c>
      <c r="E68" s="590">
        <f>'8'!F68</f>
        <v>75414</v>
      </c>
      <c r="F68" s="554">
        <v>75751</v>
      </c>
      <c r="G68" s="549">
        <f t="shared" si="5"/>
        <v>337</v>
      </c>
      <c r="H68" s="536">
        <f>G68+'8'!H68</f>
        <v>3072.4799999999959</v>
      </c>
      <c r="I68" s="592"/>
      <c r="J68" s="629">
        <f>H68/DAY(B2)</f>
        <v>341.3866666666662</v>
      </c>
      <c r="K68" s="469"/>
      <c r="L68" s="408"/>
      <c r="N68" s="413">
        <v>92.599999999999909</v>
      </c>
    </row>
    <row r="69" spans="1:14" ht="27.75">
      <c r="A69" s="1430" t="s">
        <v>104</v>
      </c>
      <c r="B69" s="1431"/>
      <c r="C69" s="1432"/>
      <c r="D69" s="599" t="s">
        <v>187</v>
      </c>
      <c r="E69" s="590">
        <f>'8'!F69</f>
        <v>67053</v>
      </c>
      <c r="F69" s="554">
        <v>67385</v>
      </c>
      <c r="G69" s="549">
        <f t="shared" si="5"/>
        <v>332</v>
      </c>
      <c r="H69" s="536">
        <f>G69+'8'!H69</f>
        <v>2932.9100000000035</v>
      </c>
      <c r="I69" s="592"/>
      <c r="J69" s="629">
        <f>H69/DAY(B2)</f>
        <v>325.87888888888926</v>
      </c>
      <c r="K69" s="470"/>
      <c r="L69" s="408"/>
      <c r="N69" s="413">
        <v>12.727999999999156</v>
      </c>
    </row>
    <row r="70" spans="1:14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</row>
    <row r="72" spans="1:14" ht="27.75">
      <c r="A72" s="1430" t="s">
        <v>191</v>
      </c>
      <c r="B72" s="1431"/>
      <c r="C72" s="1432"/>
      <c r="D72" s="599" t="s">
        <v>187</v>
      </c>
      <c r="E72" s="595">
        <f>'8'!F72</f>
        <v>851251</v>
      </c>
      <c r="F72" s="735">
        <v>851351</v>
      </c>
      <c r="G72" s="549">
        <f t="shared" ref="G72:G84" si="6">F72-E72</f>
        <v>100</v>
      </c>
      <c r="H72" s="536">
        <f>G72+'8'!H72</f>
        <v>759</v>
      </c>
      <c r="I72" s="556"/>
      <c r="J72" s="629">
        <f>H72/DAY(B2)</f>
        <v>84.333333333333329</v>
      </c>
      <c r="K72" s="470"/>
      <c r="L72" s="408"/>
      <c r="N72" s="413">
        <v>11</v>
      </c>
    </row>
    <row r="73" spans="1:14" ht="27.75">
      <c r="A73" s="1430" t="s">
        <v>192</v>
      </c>
      <c r="B73" s="1431"/>
      <c r="C73" s="1432"/>
      <c r="D73" s="599" t="s">
        <v>187</v>
      </c>
      <c r="E73" s="595">
        <f>'8'!F73</f>
        <v>885774</v>
      </c>
      <c r="F73" s="736">
        <v>885775</v>
      </c>
      <c r="G73" s="733">
        <f t="shared" si="6"/>
        <v>1</v>
      </c>
      <c r="H73" s="536">
        <f>G73+'8'!H73</f>
        <v>3</v>
      </c>
      <c r="I73" s="556"/>
      <c r="J73" s="629">
        <f>H73/DAY(B2)</f>
        <v>0.33333333333333331</v>
      </c>
      <c r="K73" s="469"/>
      <c r="L73" s="408"/>
      <c r="N73" s="413">
        <v>2</v>
      </c>
    </row>
    <row r="74" spans="1:14" ht="27.75">
      <c r="A74" s="1430" t="s">
        <v>193</v>
      </c>
      <c r="B74" s="1431"/>
      <c r="C74" s="1432"/>
      <c r="D74" s="599" t="s">
        <v>187</v>
      </c>
      <c r="E74" s="595">
        <f>'8'!F74</f>
        <v>823</v>
      </c>
      <c r="F74" s="735">
        <v>847</v>
      </c>
      <c r="G74" s="549">
        <f t="shared" si="6"/>
        <v>24</v>
      </c>
      <c r="H74" s="536">
        <f>G74+'8'!H74</f>
        <v>260.83000000000004</v>
      </c>
      <c r="I74" s="556"/>
      <c r="J74" s="629">
        <f>H74/DAY(B2)</f>
        <v>28.981111111111115</v>
      </c>
      <c r="K74" s="470"/>
      <c r="L74" s="408"/>
      <c r="N74" s="413">
        <v>11</v>
      </c>
    </row>
    <row r="75" spans="1:14" ht="27.75">
      <c r="A75" s="1479" t="s">
        <v>194</v>
      </c>
      <c r="B75" s="1480"/>
      <c r="C75" s="1481"/>
      <c r="D75" s="599" t="s">
        <v>187</v>
      </c>
      <c r="E75" s="595">
        <f>'8'!F75</f>
        <v>4815</v>
      </c>
      <c r="F75" s="736">
        <v>4989</v>
      </c>
      <c r="G75" s="549">
        <f t="shared" si="6"/>
        <v>174</v>
      </c>
      <c r="H75" s="536">
        <f>G75+'8'!H75</f>
        <v>1469.7800000000002</v>
      </c>
      <c r="I75" s="556"/>
      <c r="J75" s="629">
        <f>H75/DAY(B2)</f>
        <v>163.3088888888889</v>
      </c>
      <c r="K75" s="469"/>
      <c r="L75" s="408"/>
      <c r="N75" s="413">
        <v>62</v>
      </c>
    </row>
    <row r="76" spans="1:14" ht="27.75">
      <c r="A76" s="1479" t="s">
        <v>195</v>
      </c>
      <c r="B76" s="1480"/>
      <c r="C76" s="1481"/>
      <c r="D76" s="599" t="s">
        <v>187</v>
      </c>
      <c r="E76" s="595">
        <f>'8'!F76</f>
        <v>2182</v>
      </c>
      <c r="F76" s="736">
        <v>2263</v>
      </c>
      <c r="G76" s="549">
        <f t="shared" si="6"/>
        <v>81</v>
      </c>
      <c r="H76" s="536">
        <f>G76+'8'!H76</f>
        <v>748.66000000000008</v>
      </c>
      <c r="I76" s="581"/>
      <c r="J76" s="629">
        <f>H76/DAY(B2)</f>
        <v>83.184444444444452</v>
      </c>
      <c r="K76" s="469"/>
      <c r="L76" s="408"/>
      <c r="N76" s="413">
        <v>4</v>
      </c>
    </row>
    <row r="77" spans="1:14" ht="27.75">
      <c r="A77" s="1430" t="s">
        <v>196</v>
      </c>
      <c r="B77" s="1431"/>
      <c r="C77" s="1432"/>
      <c r="D77" s="599" t="s">
        <v>187</v>
      </c>
      <c r="E77" s="595">
        <f>'8'!F77</f>
        <v>698993</v>
      </c>
      <c r="F77" s="736">
        <v>699058</v>
      </c>
      <c r="G77" s="733">
        <f t="shared" si="6"/>
        <v>65</v>
      </c>
      <c r="H77" s="536">
        <f>G77+'8'!H77</f>
        <v>470</v>
      </c>
      <c r="I77" s="581"/>
      <c r="J77" s="629">
        <f>H77/DAY(B2)</f>
        <v>52.222222222222221</v>
      </c>
      <c r="K77" s="469"/>
      <c r="L77" s="408"/>
      <c r="N77" s="413">
        <v>19</v>
      </c>
    </row>
    <row r="78" spans="1:14" ht="27.75">
      <c r="A78" s="1232" t="s">
        <v>197</v>
      </c>
      <c r="B78" s="1203"/>
      <c r="C78" s="1203"/>
      <c r="D78" s="599" t="s">
        <v>187</v>
      </c>
      <c r="E78" s="595">
        <f>'8'!F78</f>
        <v>655894</v>
      </c>
      <c r="F78" s="737">
        <v>656365</v>
      </c>
      <c r="G78" s="549">
        <f t="shared" si="6"/>
        <v>471</v>
      </c>
      <c r="H78" s="536">
        <f>G78+'8'!H78</f>
        <v>3502</v>
      </c>
      <c r="I78" s="581"/>
      <c r="J78" s="629">
        <f>H78/DAY(B2)</f>
        <v>389.11111111111109</v>
      </c>
      <c r="K78" s="469"/>
      <c r="L78" s="408"/>
      <c r="N78" s="413">
        <v>31</v>
      </c>
    </row>
    <row r="79" spans="1:14" ht="27.75">
      <c r="A79" s="1479" t="s">
        <v>92</v>
      </c>
      <c r="B79" s="1480"/>
      <c r="C79" s="1481"/>
      <c r="D79" s="600" t="s">
        <v>187</v>
      </c>
      <c r="E79" s="595">
        <f>'8'!F79</f>
        <v>816842</v>
      </c>
      <c r="F79" s="737">
        <v>817034</v>
      </c>
      <c r="G79" s="549">
        <f t="shared" si="6"/>
        <v>192</v>
      </c>
      <c r="H79" s="536">
        <f>G79+'8'!H79</f>
        <v>1925</v>
      </c>
      <c r="I79" s="581"/>
      <c r="J79" s="629">
        <f>H79/DAY(B2)</f>
        <v>213.88888888888889</v>
      </c>
      <c r="K79" s="469"/>
      <c r="L79" s="408"/>
      <c r="N79" s="413">
        <v>100</v>
      </c>
    </row>
    <row r="80" spans="1:14" ht="27.75">
      <c r="A80" s="1479" t="s">
        <v>198</v>
      </c>
      <c r="B80" s="1480"/>
      <c r="C80" s="1481"/>
      <c r="D80" s="600" t="s">
        <v>187</v>
      </c>
      <c r="E80" s="595">
        <f>'8'!F80</f>
        <v>497619</v>
      </c>
      <c r="F80" s="1404">
        <v>497753</v>
      </c>
      <c r="G80" s="549">
        <f t="shared" si="6"/>
        <v>134</v>
      </c>
      <c r="H80" s="536">
        <f>G80+'8'!H80</f>
        <v>3079.359999999986</v>
      </c>
      <c r="I80" s="581"/>
      <c r="J80" s="629">
        <f>H80/DAY(B2)</f>
        <v>342.15111111110957</v>
      </c>
      <c r="K80" s="469"/>
      <c r="L80" s="408"/>
      <c r="N80" s="413">
        <v>158.95999999996275</v>
      </c>
    </row>
    <row r="81" spans="1:15" ht="27.75">
      <c r="A81" s="1479" t="s">
        <v>199</v>
      </c>
      <c r="B81" s="1480"/>
      <c r="C81" s="1481"/>
      <c r="D81" s="600" t="s">
        <v>187</v>
      </c>
      <c r="E81" s="595">
        <f>'8'!F81</f>
        <v>626846</v>
      </c>
      <c r="F81" s="736">
        <v>626928</v>
      </c>
      <c r="G81" s="549">
        <f t="shared" si="6"/>
        <v>82</v>
      </c>
      <c r="H81" s="536">
        <f>G81+'8'!H81</f>
        <v>984.1600000000326</v>
      </c>
      <c r="I81" s="581"/>
      <c r="J81" s="629">
        <f>H81/DAY(B2)</f>
        <v>109.35111111111473</v>
      </c>
      <c r="K81" s="469"/>
      <c r="L81" s="408"/>
      <c r="N81" s="413">
        <v>79.199999999953434</v>
      </c>
    </row>
    <row r="82" spans="1:15" ht="27.75">
      <c r="A82" s="1479" t="s">
        <v>93</v>
      </c>
      <c r="B82" s="1480"/>
      <c r="C82" s="1481"/>
      <c r="D82" s="561" t="s">
        <v>132</v>
      </c>
      <c r="E82" s="595">
        <f>'8'!F82</f>
        <v>106372</v>
      </c>
      <c r="F82" s="732">
        <v>106394</v>
      </c>
      <c r="G82" s="549">
        <f t="shared" si="6"/>
        <v>22</v>
      </c>
      <c r="H82" s="536">
        <f>G82+'8'!H82</f>
        <v>191.52000000000407</v>
      </c>
      <c r="I82" s="562"/>
      <c r="J82" s="629">
        <f>H82/DAY(B2)</f>
        <v>21.280000000000452</v>
      </c>
      <c r="K82" s="469"/>
      <c r="L82" s="408"/>
      <c r="N82" s="413">
        <v>30.149999999994179</v>
      </c>
    </row>
    <row r="83" spans="1:15" ht="27.75">
      <c r="A83" s="1479" t="s">
        <v>200</v>
      </c>
      <c r="B83" s="1480"/>
      <c r="C83" s="1481"/>
      <c r="D83" s="697" t="s">
        <v>132</v>
      </c>
      <c r="E83" s="595">
        <f>'8'!F83</f>
        <v>361</v>
      </c>
      <c r="F83" s="587">
        <v>783</v>
      </c>
      <c r="G83" s="549">
        <f t="shared" si="6"/>
        <v>422</v>
      </c>
      <c r="H83" s="536">
        <f>G83+'8'!H83</f>
        <v>4186</v>
      </c>
      <c r="I83" s="557"/>
      <c r="J83" s="629">
        <f>H83/DAY(B2)</f>
        <v>465.11111111111109</v>
      </c>
      <c r="K83" s="468"/>
      <c r="L83" s="408"/>
      <c r="N83" s="413">
        <v>316</v>
      </c>
    </row>
    <row r="84" spans="1:15">
      <c r="A84" s="1233" t="s">
        <v>201</v>
      </c>
      <c r="B84" s="648"/>
      <c r="C84" s="648"/>
      <c r="D84" s="554" t="s">
        <v>132</v>
      </c>
      <c r="E84" s="595">
        <f>'8'!F84</f>
        <v>436693</v>
      </c>
      <c r="F84" s="704">
        <v>437575</v>
      </c>
      <c r="G84" s="549">
        <f t="shared" si="6"/>
        <v>882</v>
      </c>
      <c r="H84" s="536">
        <f>G84+'8'!H84</f>
        <v>6777</v>
      </c>
      <c r="I84" s="557"/>
      <c r="J84" s="629">
        <f>H84/DAY(B2)</f>
        <v>753</v>
      </c>
      <c r="K84" s="411"/>
      <c r="L84" s="408"/>
      <c r="N84" s="413">
        <v>408</v>
      </c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2650</v>
      </c>
      <c r="H85" s="536">
        <f>G85+'8'!H85</f>
        <v>22330.929999999968</v>
      </c>
      <c r="I85" s="557"/>
      <c r="J85" s="629">
        <f>H85/DAY(B2)</f>
        <v>2481.2144444444407</v>
      </c>
      <c r="K85" s="411"/>
      <c r="L85" s="409"/>
      <c r="N85" s="413">
        <v>1232.3099999999104</v>
      </c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'8'!F86</f>
        <v>451293</v>
      </c>
      <c r="F86" s="717">
        <v>451394</v>
      </c>
      <c r="G86" s="787">
        <f t="shared" ref="G86:G90" si="7">F86-E86</f>
        <v>101</v>
      </c>
      <c r="H86" s="536">
        <f>G86+'8'!H86</f>
        <v>201</v>
      </c>
      <c r="I86" s="733"/>
      <c r="J86" s="789">
        <f>H86/DAY(B2)</f>
        <v>22.333333333333332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'8'!F87</f>
        <v>79458</v>
      </c>
      <c r="F87" s="728">
        <v>79491</v>
      </c>
      <c r="G87" s="787">
        <f t="shared" si="7"/>
        <v>33</v>
      </c>
      <c r="H87" s="536">
        <f>G87+'8'!H87</f>
        <v>69</v>
      </c>
      <c r="I87" s="733"/>
      <c r="J87" s="789">
        <f>H87/DAY(B2)</f>
        <v>7.666666666666667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'8'!F88</f>
        <v>148814</v>
      </c>
      <c r="F88" s="717">
        <v>148916</v>
      </c>
      <c r="G88" s="787">
        <f t="shared" si="7"/>
        <v>102</v>
      </c>
      <c r="H88" s="536">
        <f>G88+'8'!H88</f>
        <v>197</v>
      </c>
      <c r="I88" s="733"/>
      <c r="J88" s="789">
        <f>H88/DAY(B2)</f>
        <v>21.888888888888889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'8'!F89</f>
        <v>62279</v>
      </c>
      <c r="F89" s="728">
        <v>62354</v>
      </c>
      <c r="G89" s="787">
        <f t="shared" si="7"/>
        <v>75</v>
      </c>
      <c r="H89" s="536">
        <f>G89+'8'!H89</f>
        <v>153</v>
      </c>
      <c r="I89" s="733"/>
      <c r="J89" s="789">
        <f>H89/DAY(B2)</f>
        <v>17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'8'!F90</f>
        <v>3198</v>
      </c>
      <c r="F90" s="728">
        <v>3203</v>
      </c>
      <c r="G90" s="787">
        <f t="shared" si="7"/>
        <v>5</v>
      </c>
      <c r="H90" s="536">
        <f>G90+'8'!H90</f>
        <v>10</v>
      </c>
      <c r="I90" s="733"/>
      <c r="J90" s="789">
        <f>H90/DAY(B2)</f>
        <v>1.1111111111111112</v>
      </c>
      <c r="K90" s="815"/>
      <c r="L90" s="816"/>
      <c r="N90" s="860"/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'8'!F92</f>
        <v>240537</v>
      </c>
      <c r="F92" s="554">
        <v>240633</v>
      </c>
      <c r="G92" s="549">
        <f t="shared" ref="G92:G93" si="8">F92-E92</f>
        <v>96</v>
      </c>
      <c r="H92" s="536">
        <f>G92+'8'!H92</f>
        <v>938</v>
      </c>
      <c r="I92" s="556"/>
      <c r="J92" s="629">
        <f>H92/DAY(B2)</f>
        <v>104.22222222222223</v>
      </c>
      <c r="K92" s="468"/>
      <c r="L92" s="408"/>
      <c r="N92" s="413">
        <v>0</v>
      </c>
    </row>
    <row r="93" spans="1:15" ht="27.75">
      <c r="A93" s="1433" t="s">
        <v>207</v>
      </c>
      <c r="B93" s="1434"/>
      <c r="C93" s="1435"/>
      <c r="D93" s="599" t="s">
        <v>144</v>
      </c>
      <c r="E93" s="560">
        <f>'8'!F93</f>
        <v>176810</v>
      </c>
      <c r="F93" s="554">
        <v>176871</v>
      </c>
      <c r="G93" s="549">
        <f t="shared" si="8"/>
        <v>61</v>
      </c>
      <c r="H93" s="536">
        <f>G93+'8'!H93</f>
        <v>1210</v>
      </c>
      <c r="I93" s="556"/>
      <c r="J93" s="629">
        <f>H93/DAY(B2)</f>
        <v>134.44444444444446</v>
      </c>
      <c r="K93" s="411"/>
      <c r="L93" s="408"/>
      <c r="N93" s="413">
        <v>71</v>
      </c>
    </row>
    <row r="94" spans="1:15">
      <c r="A94" s="1427" t="s">
        <v>208</v>
      </c>
      <c r="B94" s="1428"/>
      <c r="C94" s="1429"/>
      <c r="D94" s="599"/>
      <c r="E94" s="560">
        <f>'8'!F94</f>
        <v>0</v>
      </c>
      <c r="F94" s="554"/>
      <c r="G94" s="549">
        <f>G92+G93</f>
        <v>157</v>
      </c>
      <c r="H94" s="536">
        <f>G94+'8'!H94</f>
        <v>1882</v>
      </c>
      <c r="I94" s="556"/>
      <c r="J94" s="629">
        <f>H94/DAY(B2)</f>
        <v>209.11111111111111</v>
      </c>
      <c r="K94" s="411"/>
      <c r="L94" s="408"/>
      <c r="N94" s="413">
        <v>71</v>
      </c>
    </row>
    <row r="95" spans="1:15" ht="27.75">
      <c r="A95" s="1433" t="s">
        <v>209</v>
      </c>
      <c r="B95" s="1434"/>
      <c r="C95" s="1435"/>
      <c r="D95" s="599" t="s">
        <v>144</v>
      </c>
      <c r="E95" s="560">
        <f>'8'!F95</f>
        <v>408885</v>
      </c>
      <c r="F95" s="554">
        <v>408976</v>
      </c>
      <c r="G95" s="549">
        <f t="shared" ref="G95:G100" si="9">F95-E95</f>
        <v>91</v>
      </c>
      <c r="H95" s="536">
        <f>G95+'8'!H95</f>
        <v>820</v>
      </c>
      <c r="I95" s="556"/>
      <c r="J95" s="629">
        <f>H95/DAY(B2)</f>
        <v>91.111111111111114</v>
      </c>
      <c r="K95" s="411"/>
      <c r="L95" s="408"/>
      <c r="N95" s="413">
        <v>26</v>
      </c>
    </row>
    <row r="96" spans="1:15" ht="27.75">
      <c r="A96" s="1229" t="s">
        <v>210</v>
      </c>
      <c r="B96" s="1230"/>
      <c r="C96" s="1230"/>
      <c r="D96" s="599" t="s">
        <v>144</v>
      </c>
      <c r="E96" s="560">
        <f>'8'!F96</f>
        <v>101467</v>
      </c>
      <c r="F96" s="554">
        <v>101479</v>
      </c>
      <c r="G96" s="549">
        <f t="shared" si="9"/>
        <v>12</v>
      </c>
      <c r="H96" s="536">
        <f>G96+'8'!H96</f>
        <v>147</v>
      </c>
      <c r="I96" s="556"/>
      <c r="J96" s="629">
        <f>H96/DAY(B2)</f>
        <v>16.333333333333332</v>
      </c>
      <c r="K96" s="466"/>
      <c r="L96" s="408"/>
      <c r="N96" s="413">
        <v>11</v>
      </c>
    </row>
    <row r="97" spans="1:14" ht="27.75">
      <c r="A97" s="1229" t="s">
        <v>211</v>
      </c>
      <c r="B97" s="1230"/>
      <c r="C97" s="1230"/>
      <c r="D97" s="599" t="s">
        <v>144</v>
      </c>
      <c r="E97" s="560">
        <f>'8'!F97</f>
        <v>96601</v>
      </c>
      <c r="F97" s="554">
        <v>96618</v>
      </c>
      <c r="G97" s="549">
        <f t="shared" si="9"/>
        <v>17</v>
      </c>
      <c r="H97" s="536">
        <f>G97+'8'!H97</f>
        <v>169</v>
      </c>
      <c r="I97" s="556"/>
      <c r="J97" s="629">
        <f>H97/DAY(B2)</f>
        <v>18.777777777777779</v>
      </c>
      <c r="K97" s="471"/>
      <c r="L97" s="408"/>
      <c r="N97" s="413">
        <v>9</v>
      </c>
    </row>
    <row r="98" spans="1:14" ht="27.75">
      <c r="A98" s="1229" t="s">
        <v>212</v>
      </c>
      <c r="B98" s="1230"/>
      <c r="C98" s="1230"/>
      <c r="D98" s="599" t="s">
        <v>144</v>
      </c>
      <c r="E98" s="560">
        <f>'8'!F98</f>
        <v>148038</v>
      </c>
      <c r="F98" s="554">
        <v>148116</v>
      </c>
      <c r="G98" s="549">
        <f t="shared" si="9"/>
        <v>78</v>
      </c>
      <c r="H98" s="536">
        <f>G98+'8'!H98</f>
        <v>508</v>
      </c>
      <c r="I98" s="556"/>
      <c r="J98" s="629">
        <f>H98/DAY(B2)</f>
        <v>56.444444444444443</v>
      </c>
      <c r="K98" s="411"/>
      <c r="L98" s="408"/>
      <c r="N98" s="785">
        <v>24</v>
      </c>
    </row>
    <row r="99" spans="1:14" ht="27.75">
      <c r="A99" s="1229" t="s">
        <v>213</v>
      </c>
      <c r="B99" s="1230"/>
      <c r="C99" s="1230"/>
      <c r="D99" s="599" t="s">
        <v>144</v>
      </c>
      <c r="E99" s="560">
        <f>'8'!F99</f>
        <v>6526</v>
      </c>
      <c r="F99" s="554">
        <v>6540</v>
      </c>
      <c r="G99" s="549">
        <f t="shared" si="9"/>
        <v>14</v>
      </c>
      <c r="H99" s="536">
        <f>G99+'8'!H99</f>
        <v>132</v>
      </c>
      <c r="I99" s="556"/>
      <c r="J99" s="629">
        <f>H99/DAY(B2)</f>
        <v>14.666666666666666</v>
      </c>
      <c r="K99" s="411"/>
      <c r="L99" s="408"/>
      <c r="N99" s="413">
        <v>3</v>
      </c>
    </row>
    <row r="100" spans="1:14" ht="27.75">
      <c r="A100" s="1229" t="s">
        <v>214</v>
      </c>
      <c r="B100" s="1230"/>
      <c r="C100" s="1230"/>
      <c r="D100" s="599" t="s">
        <v>144</v>
      </c>
      <c r="E100" s="560">
        <f>'8'!F100</f>
        <v>4633</v>
      </c>
      <c r="F100" s="554">
        <v>4638</v>
      </c>
      <c r="G100" s="549">
        <f t="shared" si="9"/>
        <v>5</v>
      </c>
      <c r="H100" s="536">
        <f>G100+'8'!H100</f>
        <v>95</v>
      </c>
      <c r="I100" s="556"/>
      <c r="J100" s="629">
        <f>H100/DAY(B2)</f>
        <v>10.555555555555555</v>
      </c>
      <c r="K100" s="411"/>
      <c r="L100" s="408"/>
      <c r="N100" s="413">
        <v>0</v>
      </c>
    </row>
    <row r="101" spans="1:14">
      <c r="A101" s="1427" t="s">
        <v>216</v>
      </c>
      <c r="B101" s="1428"/>
      <c r="C101" s="1429"/>
      <c r="D101" s="600"/>
      <c r="E101" s="560"/>
      <c r="F101" s="600"/>
      <c r="G101" s="601">
        <f>SUM(G95:G100)</f>
        <v>217</v>
      </c>
      <c r="H101" s="536">
        <f>G101+'8'!H101</f>
        <v>1871</v>
      </c>
      <c r="I101" s="602"/>
      <c r="J101" s="629">
        <f>H101/DAY(B2)</f>
        <v>207.88888888888889</v>
      </c>
      <c r="K101" s="411"/>
      <c r="L101" s="408"/>
      <c r="N101" s="413">
        <v>73</v>
      </c>
    </row>
    <row r="102" spans="1:14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436" t="s">
        <v>218</v>
      </c>
      <c r="B103" s="1437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438" t="s">
        <v>219</v>
      </c>
      <c r="B104" s="1439"/>
      <c r="C104" s="1228"/>
      <c r="D104" s="699" t="s">
        <v>144</v>
      </c>
      <c r="E104" s="560">
        <f>'8'!F104</f>
        <v>7145</v>
      </c>
      <c r="F104" s="739">
        <v>7155</v>
      </c>
      <c r="G104" s="608">
        <f>F104-E104</f>
        <v>10</v>
      </c>
      <c r="H104" s="536">
        <f>G104+'8'!H104</f>
        <v>30</v>
      </c>
      <c r="I104" s="608"/>
      <c r="J104" s="635">
        <f>H104/DAY(B2)</f>
        <v>3.3333333333333335</v>
      </c>
      <c r="N104" s="413">
        <v>0</v>
      </c>
    </row>
    <row r="105" spans="1:14" s="481" customFormat="1" ht="27.75">
      <c r="A105" s="1438" t="s">
        <v>77</v>
      </c>
      <c r="B105" s="1439"/>
      <c r="C105" s="1228"/>
      <c r="D105" s="699" t="s">
        <v>144</v>
      </c>
      <c r="E105" s="560">
        <f>'8'!F105</f>
        <v>35474</v>
      </c>
      <c r="F105" s="740">
        <v>35481</v>
      </c>
      <c r="G105" s="608">
        <f t="shared" ref="G105:G106" si="10">F105-E105</f>
        <v>7</v>
      </c>
      <c r="H105" s="536">
        <f>G105+'8'!H105</f>
        <v>83</v>
      </c>
      <c r="I105" s="608"/>
      <c r="J105" s="635">
        <f>H105/DAY(B2)</f>
        <v>9.2222222222222214</v>
      </c>
      <c r="N105" s="413">
        <v>0</v>
      </c>
    </row>
    <row r="106" spans="1:14" s="481" customFormat="1" ht="27.75">
      <c r="A106" s="1438" t="s">
        <v>78</v>
      </c>
      <c r="B106" s="1440"/>
      <c r="C106" s="1439"/>
      <c r="D106" s="699" t="s">
        <v>144</v>
      </c>
      <c r="E106" s="560">
        <f>'8'!F106</f>
        <v>19287</v>
      </c>
      <c r="F106" s="866">
        <v>19292</v>
      </c>
      <c r="G106" s="608">
        <f t="shared" si="10"/>
        <v>5</v>
      </c>
      <c r="H106" s="536">
        <f>G106+'8'!H106</f>
        <v>51</v>
      </c>
      <c r="I106" s="608"/>
      <c r="J106" s="635">
        <f>H106/DAY(B2)</f>
        <v>5.666666666666667</v>
      </c>
      <c r="N106" s="413">
        <v>4</v>
      </c>
    </row>
    <row r="107" spans="1:14" s="481" customFormat="1" ht="27.75">
      <c r="A107" s="1441" t="s">
        <v>202</v>
      </c>
      <c r="B107" s="1442"/>
      <c r="C107" s="1228"/>
      <c r="D107" s="699"/>
      <c r="E107" s="560"/>
      <c r="F107" s="740"/>
      <c r="G107" s="608">
        <f>SUM(G104:G106)</f>
        <v>22</v>
      </c>
      <c r="H107" s="536">
        <f>G107+'8'!H107</f>
        <v>164</v>
      </c>
      <c r="I107" s="608"/>
      <c r="J107" s="635">
        <f>H107/DAY(B2)</f>
        <v>18.222222222222221</v>
      </c>
      <c r="N107" s="413">
        <v>4</v>
      </c>
    </row>
    <row r="108" spans="1:14" s="481" customFormat="1" ht="27.75">
      <c r="A108" s="1443" t="s">
        <v>79</v>
      </c>
      <c r="B108" s="1444"/>
      <c r="C108" s="1228"/>
      <c r="D108" s="699" t="s">
        <v>144</v>
      </c>
      <c r="E108" s="560">
        <f>'8'!F108</f>
        <v>0</v>
      </c>
      <c r="F108" s="740"/>
      <c r="G108" s="608"/>
      <c r="H108" s="536" t="e">
        <f>G108+'8'!H108</f>
        <v>#REF!</v>
      </c>
      <c r="I108" s="608"/>
      <c r="J108" s="635"/>
      <c r="N108" s="413"/>
    </row>
    <row r="109" spans="1:14" s="481" customFormat="1" ht="27.75">
      <c r="A109" s="1438" t="s">
        <v>220</v>
      </c>
      <c r="B109" s="1439"/>
      <c r="C109" s="1228"/>
      <c r="D109" s="699" t="s">
        <v>144</v>
      </c>
      <c r="E109" s="560">
        <f>'8'!F109</f>
        <v>57021</v>
      </c>
      <c r="F109" s="740">
        <v>57061</v>
      </c>
      <c r="G109" s="608">
        <f>F109-E109</f>
        <v>40</v>
      </c>
      <c r="H109" s="536">
        <f>G109+'8'!H109</f>
        <v>790</v>
      </c>
      <c r="I109" s="608"/>
      <c r="J109" s="635">
        <f>H109/DAY(B2)</f>
        <v>87.777777777777771</v>
      </c>
      <c r="N109" s="413">
        <v>40</v>
      </c>
    </row>
    <row r="110" spans="1:14" s="481" customFormat="1" ht="27.75">
      <c r="A110" s="1438" t="s">
        <v>221</v>
      </c>
      <c r="B110" s="1439"/>
      <c r="C110" s="1228"/>
      <c r="D110" s="699" t="s">
        <v>144</v>
      </c>
      <c r="E110" s="560">
        <f>'8'!F110</f>
        <v>30979</v>
      </c>
      <c r="F110" s="740">
        <v>31060</v>
      </c>
      <c r="G110" s="608">
        <f t="shared" ref="G110:G111" si="11">F110-E110</f>
        <v>81</v>
      </c>
      <c r="H110" s="536">
        <f>G110+'8'!H110</f>
        <v>572</v>
      </c>
      <c r="I110" s="608"/>
      <c r="J110" s="635">
        <f>H110/DAY(B2)</f>
        <v>63.555555555555557</v>
      </c>
      <c r="N110" s="413">
        <v>43</v>
      </c>
    </row>
    <row r="111" spans="1:14" s="481" customFormat="1" ht="27.75">
      <c r="A111" s="1438" t="s">
        <v>222</v>
      </c>
      <c r="B111" s="1439"/>
      <c r="C111" s="1228"/>
      <c r="D111" s="699" t="s">
        <v>144</v>
      </c>
      <c r="E111" s="560">
        <f>'8'!F111</f>
        <v>4035</v>
      </c>
      <c r="F111" s="740">
        <v>4043</v>
      </c>
      <c r="G111" s="608">
        <f t="shared" si="11"/>
        <v>8</v>
      </c>
      <c r="H111" s="536">
        <f>G111+'8'!H111</f>
        <v>63</v>
      </c>
      <c r="I111" s="608"/>
      <c r="J111" s="635">
        <f>H111/DAY(B2)</f>
        <v>7</v>
      </c>
      <c r="N111" s="413">
        <v>0</v>
      </c>
    </row>
    <row r="112" spans="1:14" s="481" customFormat="1" ht="27.75">
      <c r="A112" s="1441" t="s">
        <v>110</v>
      </c>
      <c r="B112" s="1442"/>
      <c r="C112" s="1228"/>
      <c r="D112" s="699"/>
      <c r="E112" s="560"/>
      <c r="F112" s="740"/>
      <c r="G112" s="608">
        <f>SUM(G109:G111)</f>
        <v>129</v>
      </c>
      <c r="H112" s="536">
        <f>G112+'8'!H112</f>
        <v>1425</v>
      </c>
      <c r="I112" s="608"/>
      <c r="J112" s="635">
        <f>H112/DAY(B2)</f>
        <v>158.33333333333334</v>
      </c>
      <c r="N112" s="413">
        <v>83</v>
      </c>
    </row>
    <row r="113" spans="1:14" s="481" customFormat="1" ht="27.75">
      <c r="A113" s="1443" t="s">
        <v>223</v>
      </c>
      <c r="B113" s="1444"/>
      <c r="C113" s="1228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438" t="s">
        <v>224</v>
      </c>
      <c r="B114" s="1439"/>
      <c r="C114" s="651"/>
      <c r="D114" s="699" t="s">
        <v>144</v>
      </c>
      <c r="E114" s="560">
        <f>'8'!F114</f>
        <v>10462</v>
      </c>
      <c r="F114" s="740">
        <v>10480</v>
      </c>
      <c r="G114" s="610">
        <f>F114-E114</f>
        <v>18</v>
      </c>
      <c r="H114" s="536">
        <f>G114+'8'!H114</f>
        <v>166</v>
      </c>
      <c r="I114" s="608"/>
      <c r="J114" s="635">
        <f>H114/DAY(B2)</f>
        <v>18.444444444444443</v>
      </c>
      <c r="N114" s="413">
        <v>5</v>
      </c>
    </row>
    <row r="115" spans="1:14" s="481" customFormat="1" ht="27.75">
      <c r="A115" s="1438" t="s">
        <v>225</v>
      </c>
      <c r="B115" s="1439"/>
      <c r="C115" s="651"/>
      <c r="D115" s="699" t="s">
        <v>144</v>
      </c>
      <c r="E115" s="560">
        <f>'8'!F115</f>
        <v>7741</v>
      </c>
      <c r="F115" s="740">
        <v>7746</v>
      </c>
      <c r="G115" s="610">
        <f t="shared" ref="G115:G116" si="12">F115-E115</f>
        <v>5</v>
      </c>
      <c r="H115" s="536">
        <f>G115+'8'!H115</f>
        <v>90</v>
      </c>
      <c r="I115" s="608"/>
      <c r="J115" s="635">
        <f>H115/DAY(B2)</f>
        <v>10</v>
      </c>
      <c r="N115" s="413">
        <v>3</v>
      </c>
    </row>
    <row r="116" spans="1:14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23</v>
      </c>
      <c r="H117" s="536">
        <f>G117+'8'!H117</f>
        <v>256</v>
      </c>
      <c r="I117" s="610"/>
      <c r="J117" s="635">
        <f>H117/DAY(B2)</f>
        <v>28.444444444444443</v>
      </c>
      <c r="N117" s="413">
        <v>8</v>
      </c>
    </row>
    <row r="118" spans="1:14" s="495" customFormat="1" ht="27.75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148</v>
      </c>
      <c r="G118" s="612">
        <f>SUM(G19+G92)</f>
        <v>148</v>
      </c>
      <c r="H118" s="536">
        <f>G118+'8'!H118</f>
        <v>1400</v>
      </c>
      <c r="I118" s="611"/>
      <c r="J118" s="636">
        <f>H118/DAY(B2)</f>
        <v>155.55555555555554</v>
      </c>
      <c r="N118" s="413">
        <v>55</v>
      </c>
    </row>
    <row r="119" spans="1:14" s="495" customFormat="1" ht="27.75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139</v>
      </c>
      <c r="G119" s="612">
        <f>SUM(G95,G96,G97,G99,G100)</f>
        <v>139</v>
      </c>
      <c r="H119" s="536">
        <f>G119+'8'!H119</f>
        <v>1363</v>
      </c>
      <c r="I119" s="611"/>
      <c r="J119" s="636">
        <f>H119/DAY(B2)</f>
        <v>151.44444444444446</v>
      </c>
      <c r="N119" s="413">
        <v>49</v>
      </c>
    </row>
    <row r="120" spans="1:14" s="495" customFormat="1" ht="27.75">
      <c r="A120" s="1472" t="s">
        <v>229</v>
      </c>
      <c r="B120" s="1473"/>
      <c r="C120" s="1226"/>
      <c r="D120" s="701" t="s">
        <v>144</v>
      </c>
      <c r="E120" s="610"/>
      <c r="F120" s="740">
        <f>SUM(G112)</f>
        <v>129</v>
      </c>
      <c r="G120" s="610">
        <f>SUM(G112)</f>
        <v>129</v>
      </c>
      <c r="H120" s="536">
        <f>G120+'8'!H120</f>
        <v>1425</v>
      </c>
      <c r="I120" s="611"/>
      <c r="J120" s="636">
        <f>H120/DAY(B2)</f>
        <v>158.33333333333334</v>
      </c>
      <c r="N120" s="413">
        <v>83</v>
      </c>
    </row>
    <row r="121" spans="1:14" s="481" customFormat="1" ht="27.75">
      <c r="A121" s="1474"/>
      <c r="B121" s="1475"/>
      <c r="C121" s="1227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29" t="s">
        <v>231</v>
      </c>
      <c r="B123" s="1230"/>
      <c r="C123" s="1230"/>
      <c r="D123" s="599" t="s">
        <v>141</v>
      </c>
      <c r="E123" s="554">
        <f>'8'!F123</f>
        <v>813067</v>
      </c>
      <c r="F123" s="554">
        <v>813320</v>
      </c>
      <c r="G123" s="549">
        <f t="shared" ref="G123:G127" si="13">F123-E123</f>
        <v>253</v>
      </c>
      <c r="H123" s="536">
        <f>G123+'8'!H123</f>
        <v>2313.1600000000326</v>
      </c>
      <c r="I123" s="602"/>
      <c r="J123" s="629">
        <f>H123/DAY(B2)</f>
        <v>257.01777777778142</v>
      </c>
      <c r="K123" s="411"/>
      <c r="L123" s="408"/>
      <c r="N123" s="413">
        <v>111.45100000000093</v>
      </c>
    </row>
    <row r="124" spans="1:14" ht="27.75">
      <c r="A124" s="1229" t="s">
        <v>232</v>
      </c>
      <c r="B124" s="1230"/>
      <c r="C124" s="1230"/>
      <c r="D124" s="599" t="s">
        <v>141</v>
      </c>
      <c r="E124" s="703">
        <f>'8'!F124</f>
        <v>73583.399999999994</v>
      </c>
      <c r="F124" s="703">
        <v>73583.399999999994</v>
      </c>
      <c r="G124" s="549">
        <f t="shared" si="13"/>
        <v>0</v>
      </c>
      <c r="H124" s="536">
        <f>G124+'8'!H124</f>
        <v>0</v>
      </c>
      <c r="I124" s="602"/>
      <c r="J124" s="629">
        <f>H124/DAY(B2)</f>
        <v>0</v>
      </c>
      <c r="K124" s="411"/>
      <c r="L124" s="408"/>
      <c r="N124" s="413">
        <v>0</v>
      </c>
    </row>
    <row r="125" spans="1:14" ht="27.75">
      <c r="A125" s="1430" t="s">
        <v>233</v>
      </c>
      <c r="B125" s="1431"/>
      <c r="C125" s="1432"/>
      <c r="D125" s="599" t="s">
        <v>141</v>
      </c>
      <c r="E125" s="554">
        <f>'8'!F125</f>
        <v>140527</v>
      </c>
      <c r="F125" s="554">
        <v>140570</v>
      </c>
      <c r="G125" s="549">
        <f t="shared" si="13"/>
        <v>43</v>
      </c>
      <c r="H125" s="536">
        <f>G125+'8'!H125</f>
        <v>590.66000000000349</v>
      </c>
      <c r="I125" s="602"/>
      <c r="J125" s="629">
        <f>H125/DAY(B2)</f>
        <v>65.628888888889279</v>
      </c>
      <c r="K125" s="411"/>
      <c r="L125" s="408"/>
      <c r="N125" s="413">
        <v>43.220000000001164</v>
      </c>
    </row>
    <row r="126" spans="1:14" ht="27.75">
      <c r="A126" s="686" t="s">
        <v>234</v>
      </c>
      <c r="B126" s="1230"/>
      <c r="C126" s="1230"/>
      <c r="D126" s="599" t="s">
        <v>141</v>
      </c>
      <c r="E126" s="703">
        <f>'8'!F126</f>
        <v>59514</v>
      </c>
      <c r="F126" s="703">
        <v>59599</v>
      </c>
      <c r="G126" s="549">
        <f t="shared" si="13"/>
        <v>85</v>
      </c>
      <c r="H126" s="536">
        <f>G126+'8'!H126</f>
        <v>292.09999999999854</v>
      </c>
      <c r="I126" s="602"/>
      <c r="J126" s="629">
        <f>H126/DAY(B2)</f>
        <v>32.455555555555392</v>
      </c>
      <c r="K126" s="411"/>
      <c r="L126" s="408"/>
      <c r="N126" s="413">
        <v>0</v>
      </c>
    </row>
    <row r="127" spans="1:14" ht="27.75">
      <c r="A127" s="686" t="s">
        <v>235</v>
      </c>
      <c r="B127" s="1230"/>
      <c r="C127" s="1230"/>
      <c r="D127" s="599" t="s">
        <v>141</v>
      </c>
      <c r="E127" s="703">
        <f>'8'!F127</f>
        <v>8906</v>
      </c>
      <c r="F127" s="703">
        <v>8908</v>
      </c>
      <c r="G127" s="549">
        <f t="shared" si="13"/>
        <v>2</v>
      </c>
      <c r="H127" s="536">
        <f>G127+'8'!H127</f>
        <v>20.200000000000728</v>
      </c>
      <c r="I127" s="556"/>
      <c r="J127" s="629">
        <f>H127/DAY(B2)</f>
        <v>2.2444444444445253</v>
      </c>
      <c r="K127" s="411"/>
      <c r="L127" s="408"/>
      <c r="N127" s="413">
        <v>0</v>
      </c>
    </row>
    <row r="128" spans="1:14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396.02000000001863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29" t="s">
        <v>238</v>
      </c>
      <c r="B130" s="1230"/>
      <c r="C130" s="1230"/>
      <c r="D130" s="599" t="s">
        <v>239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29" t="s">
        <v>240</v>
      </c>
      <c r="B131" s="1230"/>
      <c r="C131" s="1230"/>
      <c r="D131" s="599" t="s">
        <v>239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29" t="s">
        <v>241</v>
      </c>
      <c r="B132" s="1230"/>
      <c r="C132" s="1230"/>
      <c r="D132" s="599" t="s">
        <v>239</v>
      </c>
      <c r="E132" s="560">
        <f>'8'!F132</f>
        <v>39219.35</v>
      </c>
      <c r="F132" s="703">
        <v>39219.35</v>
      </c>
      <c r="G132" s="549">
        <f t="shared" si="14"/>
        <v>0</v>
      </c>
      <c r="H132" s="536">
        <f>G132+'8'!H132</f>
        <v>390.34999999999854</v>
      </c>
      <c r="I132" s="556"/>
      <c r="J132" s="629">
        <f>H132/DAY(B2)</f>
        <v>43.372222222222064</v>
      </c>
      <c r="N132" s="413">
        <v>22</v>
      </c>
    </row>
    <row r="133" spans="1:14" ht="27.75">
      <c r="A133" s="1229" t="s">
        <v>242</v>
      </c>
      <c r="B133" s="1230"/>
      <c r="C133" s="1230"/>
      <c r="D133" s="599" t="s">
        <v>239</v>
      </c>
      <c r="E133" s="560">
        <f>'8'!F133</f>
        <v>299</v>
      </c>
      <c r="F133" s="561">
        <v>299</v>
      </c>
      <c r="G133" s="549">
        <f t="shared" si="14"/>
        <v>0</v>
      </c>
      <c r="H133" s="536">
        <f>G133+'8'!H133</f>
        <v>-1</v>
      </c>
      <c r="I133" s="556">
        <f>G130+G131+G132+G133</f>
        <v>0</v>
      </c>
      <c r="J133" s="629">
        <f>H133/DAY(B2)</f>
        <v>-0.1111111111111111</v>
      </c>
      <c r="N133" s="413">
        <v>0</v>
      </c>
    </row>
    <row r="134" spans="1:14" ht="27.75">
      <c r="A134" s="1229" t="s">
        <v>243</v>
      </c>
      <c r="B134" s="1230"/>
      <c r="C134" s="1230"/>
      <c r="D134" s="599" t="s">
        <v>239</v>
      </c>
      <c r="E134" s="560">
        <f>'8'!F134</f>
        <v>40554</v>
      </c>
      <c r="F134" s="703">
        <v>40578.42</v>
      </c>
      <c r="G134" s="549">
        <f t="shared" si="14"/>
        <v>24.419999999998254</v>
      </c>
      <c r="H134" s="536">
        <f>G134+'8'!H134</f>
        <v>211.27999999999884</v>
      </c>
      <c r="I134" s="556"/>
      <c r="J134" s="629">
        <f>H134/DAY(B2)</f>
        <v>23.475555555555427</v>
      </c>
      <c r="N134" s="413">
        <v>0</v>
      </c>
    </row>
    <row r="135" spans="1:14" ht="27.75">
      <c r="A135" s="1229" t="s">
        <v>244</v>
      </c>
      <c r="B135" s="1230"/>
      <c r="C135" s="1230"/>
      <c r="D135" s="599" t="s">
        <v>239</v>
      </c>
      <c r="E135" s="560">
        <f>'8'!F135</f>
        <v>32582.560000000001</v>
      </c>
      <c r="F135" s="703">
        <v>32582.560000000001</v>
      </c>
      <c r="G135" s="549">
        <f t="shared" si="14"/>
        <v>0</v>
      </c>
      <c r="H135" s="536">
        <f>G135+'8'!H135</f>
        <v>11.56000000000131</v>
      </c>
      <c r="I135" s="556"/>
      <c r="J135" s="629">
        <f>H135/DAY(B2)</f>
        <v>1.2844444444445899</v>
      </c>
      <c r="N135" s="413">
        <v>0</v>
      </c>
    </row>
    <row r="136" spans="1:14" ht="27.75">
      <c r="A136" s="1229" t="s">
        <v>245</v>
      </c>
      <c r="B136" s="1230"/>
      <c r="C136" s="1230"/>
      <c r="D136" s="599" t="s">
        <v>239</v>
      </c>
      <c r="E136" s="560">
        <f>'8'!F136</f>
        <v>22293.61</v>
      </c>
      <c r="F136" s="732">
        <v>22301.83</v>
      </c>
      <c r="G136" s="549">
        <f t="shared" si="14"/>
        <v>8.2200000000011642</v>
      </c>
      <c r="H136" s="536">
        <f>G136+'8'!H136</f>
        <v>79.620000000002619</v>
      </c>
      <c r="I136" s="556">
        <f>G134+G135+G136</f>
        <v>32.639999999999418</v>
      </c>
      <c r="J136" s="629">
        <f>H136/DAY(B2)</f>
        <v>8.8466666666669571</v>
      </c>
      <c r="N136" s="413">
        <v>-0.2999999999992724</v>
      </c>
    </row>
    <row r="137" spans="1:14" ht="27.75">
      <c r="A137" s="1229" t="s">
        <v>246</v>
      </c>
      <c r="B137" s="1230"/>
      <c r="C137" s="1230"/>
      <c r="D137" s="599" t="s">
        <v>239</v>
      </c>
      <c r="E137" s="560">
        <f>'8'!F137</f>
        <v>25044</v>
      </c>
      <c r="F137" s="732">
        <v>25044</v>
      </c>
      <c r="G137" s="549">
        <f t="shared" si="14"/>
        <v>0</v>
      </c>
      <c r="H137" s="536">
        <f>G137+'8'!H137</f>
        <v>-0.31000000000130967</v>
      </c>
      <c r="I137" s="556"/>
      <c r="J137" s="629">
        <f>H137/DAY(B2)</f>
        <v>-3.4444444444589967E-2</v>
      </c>
      <c r="N137" s="413">
        <v>0</v>
      </c>
    </row>
    <row r="138" spans="1:14" ht="27.75">
      <c r="A138" s="1229" t="s">
        <v>247</v>
      </c>
      <c r="B138" s="1230"/>
      <c r="C138" s="1230"/>
      <c r="D138" s="599" t="s">
        <v>239</v>
      </c>
      <c r="E138" s="560">
        <f>'8'!F138</f>
        <v>70183.820000000007</v>
      </c>
      <c r="F138" s="732">
        <v>70186.820000000007</v>
      </c>
      <c r="G138" s="549">
        <f t="shared" si="14"/>
        <v>3</v>
      </c>
      <c r="H138" s="536">
        <f>G138+'8'!H138</f>
        <v>39.480000000010477</v>
      </c>
      <c r="I138" s="556">
        <f>G137+G138</f>
        <v>3</v>
      </c>
      <c r="J138" s="629">
        <f>H138/DAY(B2)</f>
        <v>4.3866666666678311</v>
      </c>
      <c r="N138" s="413">
        <v>9.7100000000064028</v>
      </c>
    </row>
    <row r="139" spans="1:14" ht="27.75">
      <c r="A139" s="1229" t="s">
        <v>248</v>
      </c>
      <c r="B139" s="1230"/>
      <c r="C139" s="1230"/>
      <c r="D139" s="599" t="s">
        <v>239</v>
      </c>
      <c r="E139" s="560">
        <f>'8'!F139</f>
        <v>1482.68</v>
      </c>
      <c r="F139" s="703">
        <v>1490</v>
      </c>
      <c r="G139" s="549">
        <f t="shared" si="14"/>
        <v>7.3199999999999363</v>
      </c>
      <c r="H139" s="536">
        <f>G139+'8'!H139</f>
        <v>66.8599999999999</v>
      </c>
      <c r="I139" s="619"/>
      <c r="J139" s="629">
        <f>H139/DAY(B2)</f>
        <v>7.4288888888888778</v>
      </c>
      <c r="N139" s="413">
        <v>0</v>
      </c>
    </row>
    <row r="140" spans="1:14" ht="27.75">
      <c r="A140" s="1229" t="s">
        <v>249</v>
      </c>
      <c r="B140" s="1230"/>
      <c r="C140" s="1230"/>
      <c r="D140" s="599" t="s">
        <v>239</v>
      </c>
      <c r="E140" s="560">
        <f>'8'!F140</f>
        <v>4334</v>
      </c>
      <c r="F140" s="554">
        <v>4334</v>
      </c>
      <c r="G140" s="549">
        <f t="shared" si="14"/>
        <v>0</v>
      </c>
      <c r="H140" s="536">
        <f>G140+'8'!H140</f>
        <v>0</v>
      </c>
      <c r="I140" s="619"/>
      <c r="J140" s="629">
        <f>H140/DAY(B2)</f>
        <v>0</v>
      </c>
      <c r="N140" s="413">
        <v>3.6500000000000909</v>
      </c>
    </row>
    <row r="141" spans="1:14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5758</v>
      </c>
      <c r="H142" s="536">
        <f>G142+'8'!H142</f>
        <v>52330.120000000068</v>
      </c>
      <c r="I142" s="556"/>
      <c r="J142" s="629">
        <f>H142/DAY(B2)</f>
        <v>5814.4577777777849</v>
      </c>
      <c r="K142" s="411"/>
      <c r="L142" s="408"/>
      <c r="N142" s="413">
        <v>2912.0800000000163</v>
      </c>
    </row>
    <row r="143" spans="1:14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0.27534429992348891</v>
      </c>
      <c r="H143" s="536">
        <f>G143+'8'!H143</f>
        <v>2.2566835489678456</v>
      </c>
      <c r="I143" s="621"/>
      <c r="J143" s="629">
        <f>H143/DAY(B2)</f>
        <v>0.25074261655198282</v>
      </c>
      <c r="K143" s="411"/>
      <c r="L143" s="408"/>
      <c r="N143" s="413">
        <v>0.25636763799630391</v>
      </c>
    </row>
    <row r="144" spans="1:14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5115</v>
      </c>
      <c r="H144" s="536">
        <f>G144+'8'!H144</f>
        <v>47786.059999999969</v>
      </c>
      <c r="I144" s="556"/>
      <c r="J144" s="629">
        <f>H144/DAY(B2)</f>
        <v>5309.5622222222191</v>
      </c>
      <c r="K144" s="411"/>
      <c r="L144" s="408"/>
      <c r="N144" s="413">
        <v>2876.3199999999779</v>
      </c>
    </row>
    <row r="145" spans="1:14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0.2445964039785769</v>
      </c>
      <c r="H145" s="536">
        <f>G145+'8'!H145</f>
        <v>2.2236219244391608</v>
      </c>
      <c r="I145" s="621"/>
      <c r="J145" s="629">
        <f>H145/DAY(B2)</f>
        <v>0.24706910271546231</v>
      </c>
      <c r="K145" s="411"/>
      <c r="L145" s="408"/>
      <c r="N145" s="413">
        <v>0.25321947354520452</v>
      </c>
    </row>
    <row r="146" spans="1:14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4195</v>
      </c>
      <c r="H146" s="536">
        <f>G146+'8'!H146</f>
        <v>138482.38</v>
      </c>
      <c r="I146" s="622"/>
      <c r="J146" s="629">
        <f>H146/DAY(B2)</f>
        <v>15386.931111111111</v>
      </c>
      <c r="K146" s="411"/>
      <c r="L146" s="408"/>
      <c r="N146" s="413">
        <v>2036.5859000000055</v>
      </c>
    </row>
    <row r="147" spans="1:14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0.20060252486610558</v>
      </c>
      <c r="H147" s="536">
        <f>G147+'8'!H147</f>
        <v>6.7015015815192278</v>
      </c>
      <c r="I147" s="622"/>
      <c r="J147" s="629">
        <f>H147/DAY(B2)</f>
        <v>0.74461128683546973</v>
      </c>
      <c r="N147" s="413">
        <v>0.17929271062593585</v>
      </c>
    </row>
    <row r="148" spans="1:14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2121</v>
      </c>
      <c r="H148" s="536">
        <f>G148+'8'!H148</f>
        <v>18969.799999999981</v>
      </c>
      <c r="I148" s="556"/>
      <c r="J148" s="629">
        <f>H148/DAY(B2)</f>
        <v>2107.7555555555537</v>
      </c>
      <c r="K148" s="412"/>
      <c r="N148" s="413">
        <v>1071.8899999999849</v>
      </c>
    </row>
    <row r="149" spans="1:14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0.10142501912777353</v>
      </c>
      <c r="H149" s="536">
        <f>G149+'8'!H149</f>
        <v>0.88505054150147788</v>
      </c>
      <c r="I149" s="622"/>
      <c r="J149" s="629">
        <f>H149/DAY(B2)</f>
        <v>9.8338949055719771E-2</v>
      </c>
      <c r="N149" s="413">
        <v>9.4364820846904202E-2</v>
      </c>
    </row>
    <row r="150" spans="1:14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1695</v>
      </c>
      <c r="H150" s="536">
        <f>G150+'8'!H150</f>
        <v>17013.399999999965</v>
      </c>
      <c r="I150" s="622"/>
      <c r="J150" s="629">
        <f>H150/DAY(B2)</f>
        <v>1890.3777777777739</v>
      </c>
      <c r="N150" s="413">
        <v>1124.1299999999901</v>
      </c>
    </row>
    <row r="151" spans="1:14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8.1053940321346593E-2</v>
      </c>
      <c r="H151" s="536">
        <f>G151+'8'!H151</f>
        <v>0.79061076848649381</v>
      </c>
      <c r="I151" s="556"/>
      <c r="J151" s="629">
        <f>H151/DAY(B2)</f>
        <v>8.7845640942943753E-2</v>
      </c>
      <c r="N151" s="413">
        <v>9.8963817237432E-2</v>
      </c>
    </row>
    <row r="152" spans="1:14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1491</v>
      </c>
      <c r="H152" s="536">
        <f>G152+'8'!H152</f>
        <v>48516.160000000003</v>
      </c>
      <c r="I152" s="556"/>
      <c r="J152" s="629">
        <f>H152/DAY(B2)</f>
        <v>5390.684444444445</v>
      </c>
      <c r="N152" s="413">
        <v>1164.4599999999919</v>
      </c>
    </row>
    <row r="153" spans="1:14" ht="27" customHeight="1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7.1298775822494262E-2</v>
      </c>
      <c r="H153" s="536">
        <f>G153+'8'!H153</f>
        <v>2.3484423632277429</v>
      </c>
      <c r="I153" s="645"/>
      <c r="J153" s="646">
        <f>H153/DAY(B2)</f>
        <v>0.2609380403586381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83" t="s">
        <v>267</v>
      </c>
      <c r="B157" s="1484"/>
      <c r="C157" s="1484"/>
      <c r="D157" s="1484"/>
      <c r="E157" s="1484"/>
      <c r="F157" s="1484"/>
      <c r="G157" s="1485"/>
    </row>
    <row r="158" spans="1:14">
      <c r="A158" s="867"/>
      <c r="B158" s="868"/>
      <c r="C158" s="868"/>
      <c r="D158" s="587"/>
      <c r="E158" s="531"/>
      <c r="F158" s="739"/>
      <c r="G158" s="549"/>
    </row>
    <row r="159" spans="1:14">
      <c r="A159" s="867"/>
      <c r="B159" s="868"/>
      <c r="C159" s="868"/>
      <c r="D159" s="587"/>
      <c r="E159" s="531"/>
      <c r="F159" s="739"/>
      <c r="G159" s="549"/>
    </row>
    <row r="160" spans="1:14">
      <c r="A160" s="867" t="s">
        <v>263</v>
      </c>
      <c r="B160" s="868"/>
      <c r="C160" s="868"/>
      <c r="D160" s="587" t="s">
        <v>187</v>
      </c>
      <c r="E160" s="1146">
        <f>'8'!F160</f>
        <v>31478</v>
      </c>
      <c r="F160" s="739">
        <v>31564.65</v>
      </c>
      <c r="G160" s="549">
        <f t="shared" ref="G160:G171" si="15">F160-E160</f>
        <v>86.650000000001455</v>
      </c>
    </row>
    <row r="161" spans="1:7">
      <c r="A161" s="867" t="s">
        <v>264</v>
      </c>
      <c r="B161" s="868"/>
      <c r="C161" s="868"/>
      <c r="D161" s="587" t="s">
        <v>187</v>
      </c>
      <c r="E161" s="1146">
        <f>'8'!F161</f>
        <v>58750</v>
      </c>
      <c r="F161" s="739">
        <v>59197</v>
      </c>
      <c r="G161" s="549">
        <f t="shared" si="15"/>
        <v>447</v>
      </c>
    </row>
    <row r="162" spans="1:7">
      <c r="A162" s="867" t="s">
        <v>265</v>
      </c>
      <c r="B162" s="868"/>
      <c r="C162" s="868"/>
      <c r="D162" s="587" t="s">
        <v>187</v>
      </c>
      <c r="E162" s="1146">
        <f>'8'!F162</f>
        <v>22823</v>
      </c>
      <c r="F162" s="739">
        <v>23100</v>
      </c>
      <c r="G162" s="549">
        <f t="shared" si="15"/>
        <v>277</v>
      </c>
    </row>
    <row r="163" spans="1:7">
      <c r="A163" s="867" t="s">
        <v>266</v>
      </c>
      <c r="B163" s="868"/>
      <c r="C163" s="868"/>
      <c r="D163" s="587" t="s">
        <v>187</v>
      </c>
      <c r="E163" s="1146">
        <f>'8'!F163</f>
        <v>5527</v>
      </c>
      <c r="F163" s="739">
        <v>5536</v>
      </c>
      <c r="G163" s="549">
        <f t="shared" si="15"/>
        <v>9</v>
      </c>
    </row>
    <row r="164" spans="1:7">
      <c r="A164" s="869" t="s">
        <v>98</v>
      </c>
      <c r="B164" s="681"/>
      <c r="C164" s="681"/>
      <c r="D164" s="587" t="s">
        <v>187</v>
      </c>
      <c r="E164" s="1146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69" t="s">
        <v>188</v>
      </c>
      <c r="B165" s="681"/>
      <c r="C165" s="681"/>
      <c r="D165" s="587" t="s">
        <v>187</v>
      </c>
      <c r="E165" s="1146">
        <f>'8'!F165</f>
        <v>1809</v>
      </c>
      <c r="F165" s="590">
        <f t="shared" ref="F165:F171" si="16">F63</f>
        <v>1825</v>
      </c>
      <c r="G165" s="549">
        <f t="shared" si="15"/>
        <v>16</v>
      </c>
    </row>
    <row r="166" spans="1:7" ht="27.75">
      <c r="A166" s="1482" t="s">
        <v>99</v>
      </c>
      <c r="B166" s="1482"/>
      <c r="C166" s="1482"/>
      <c r="D166" s="599" t="s">
        <v>187</v>
      </c>
      <c r="E166" s="1146">
        <f>'8'!F166</f>
        <v>127792</v>
      </c>
      <c r="F166" s="590">
        <f t="shared" si="16"/>
        <v>128296</v>
      </c>
      <c r="G166" s="549">
        <f t="shared" si="15"/>
        <v>504</v>
      </c>
    </row>
    <row r="167" spans="1:7" ht="27.75">
      <c r="A167" s="1482" t="s">
        <v>100</v>
      </c>
      <c r="B167" s="1482"/>
      <c r="C167" s="1482"/>
      <c r="D167" s="599" t="s">
        <v>187</v>
      </c>
      <c r="E167" s="1146">
        <f>'8'!F167</f>
        <v>135612</v>
      </c>
      <c r="F167" s="590">
        <f t="shared" si="16"/>
        <v>135987</v>
      </c>
      <c r="G167" s="549">
        <f t="shared" si="15"/>
        <v>375</v>
      </c>
    </row>
    <row r="168" spans="1:7" ht="27.75">
      <c r="A168" s="1482" t="s">
        <v>101</v>
      </c>
      <c r="B168" s="1482"/>
      <c r="C168" s="1482"/>
      <c r="D168" s="599" t="s">
        <v>187</v>
      </c>
      <c r="E168" s="1146">
        <f>'8'!F168</f>
        <v>28345</v>
      </c>
      <c r="F168" s="590">
        <f t="shared" si="16"/>
        <v>28723</v>
      </c>
      <c r="G168" s="549">
        <f t="shared" si="15"/>
        <v>378</v>
      </c>
    </row>
    <row r="169" spans="1:7" ht="27.75">
      <c r="A169" s="1482" t="s">
        <v>102</v>
      </c>
      <c r="B169" s="1482"/>
      <c r="C169" s="1482"/>
      <c r="D169" s="599" t="s">
        <v>187</v>
      </c>
      <c r="E169" s="1146">
        <f>'8'!F169</f>
        <v>213302</v>
      </c>
      <c r="F169" s="590">
        <f t="shared" si="16"/>
        <v>213978</v>
      </c>
      <c r="G169" s="549">
        <f t="shared" si="15"/>
        <v>676</v>
      </c>
    </row>
    <row r="170" spans="1:7" ht="27.75">
      <c r="A170" s="1482" t="s">
        <v>103</v>
      </c>
      <c r="B170" s="1482"/>
      <c r="C170" s="1482"/>
      <c r="D170" s="599" t="s">
        <v>187</v>
      </c>
      <c r="E170" s="1146">
        <f>'8'!F170</f>
        <v>75414</v>
      </c>
      <c r="F170" s="590">
        <f t="shared" si="16"/>
        <v>75751</v>
      </c>
      <c r="G170" s="549">
        <f t="shared" si="15"/>
        <v>337</v>
      </c>
    </row>
    <row r="171" spans="1:7" ht="27.75">
      <c r="A171" s="1482" t="s">
        <v>104</v>
      </c>
      <c r="B171" s="1482"/>
      <c r="C171" s="1482"/>
      <c r="D171" s="599" t="s">
        <v>187</v>
      </c>
      <c r="E171" s="1146">
        <f>'8'!F171</f>
        <v>67053</v>
      </c>
      <c r="F171" s="590">
        <f t="shared" si="16"/>
        <v>67385</v>
      </c>
      <c r="G171" s="549">
        <f t="shared" si="15"/>
        <v>332</v>
      </c>
    </row>
    <row r="176" spans="1:7" ht="18.75" customHeight="1"/>
    <row r="177" spans="6:6" ht="18.75" customHeight="1">
      <c r="F177" s="744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79" zoomScale="60" zoomScaleNormal="55" workbookViewId="0">
      <selection activeCell="A93" sqref="A93:C93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4" s="281" customFormat="1" ht="27">
      <c r="A2" s="652" t="s">
        <v>324</v>
      </c>
      <c r="B2" s="1117">
        <v>44265</v>
      </c>
      <c r="C2" s="1231" t="s">
        <v>69</v>
      </c>
      <c r="D2" s="688">
        <v>0.42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2"/>
    </row>
    <row r="3" spans="1:14" s="281" customFormat="1" ht="27">
      <c r="A3" s="647"/>
      <c r="B3" s="691"/>
      <c r="C3" s="1231" t="s">
        <v>120</v>
      </c>
      <c r="D3" s="689">
        <v>28</v>
      </c>
      <c r="E3" s="1454" t="s">
        <v>121</v>
      </c>
      <c r="F3" s="1455"/>
      <c r="G3" s="538"/>
      <c r="H3" s="539"/>
      <c r="I3" s="539"/>
      <c r="J3" s="692"/>
      <c r="K3" s="402"/>
      <c r="L3" s="293"/>
      <c r="N3" s="792"/>
    </row>
    <row r="4" spans="1:14" s="281" customFormat="1" ht="27">
      <c r="A4" s="653"/>
      <c r="B4" s="693"/>
      <c r="C4" s="1231" t="s">
        <v>122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  <c r="N4" s="792"/>
    </row>
    <row r="5" spans="1:1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4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131</v>
      </c>
      <c r="B7" s="758"/>
      <c r="C7" s="758"/>
      <c r="D7" s="715" t="s">
        <v>132</v>
      </c>
      <c r="E7" s="710">
        <f>'9'!F7</f>
        <v>4638060</v>
      </c>
      <c r="F7" s="531">
        <v>4659850</v>
      </c>
      <c r="G7" s="759">
        <f>F7-E7</f>
        <v>21790</v>
      </c>
      <c r="H7" s="760">
        <f>G7+'9'!H7</f>
        <v>214773</v>
      </c>
      <c r="I7" s="761">
        <v>12000</v>
      </c>
      <c r="J7" s="762">
        <f>H7/DAY(B2)</f>
        <v>21477.3</v>
      </c>
      <c r="K7" s="626"/>
      <c r="L7" s="408"/>
      <c r="N7" s="793"/>
    </row>
    <row r="8" spans="1:14" ht="27.75" thickBot="1">
      <c r="A8" s="763" t="s">
        <v>133</v>
      </c>
      <c r="B8" s="764"/>
      <c r="C8" s="765"/>
      <c r="D8" s="766" t="s">
        <v>25</v>
      </c>
      <c r="E8" s="710">
        <f>'9'!F8</f>
        <v>4667409</v>
      </c>
      <c r="F8" s="551">
        <v>4689349</v>
      </c>
      <c r="G8" s="770">
        <f>F8-E8</f>
        <v>21940</v>
      </c>
      <c r="H8" s="760">
        <f>G8+'9'!H8</f>
        <v>216193</v>
      </c>
      <c r="I8" s="767">
        <v>12000</v>
      </c>
      <c r="J8" s="762">
        <f>H8/DAY(B2)</f>
        <v>21619.3</v>
      </c>
      <c r="K8" s="626"/>
      <c r="L8" s="464"/>
      <c r="M8" s="479"/>
      <c r="N8" s="794"/>
    </row>
    <row r="9" spans="1:14">
      <c r="A9" s="768" t="s">
        <v>134</v>
      </c>
      <c r="B9" s="769"/>
      <c r="C9" s="769"/>
      <c r="D9" s="715" t="s">
        <v>132</v>
      </c>
      <c r="E9" s="710">
        <f>'9'!F9</f>
        <v>124354</v>
      </c>
      <c r="F9" s="554">
        <v>124354</v>
      </c>
      <c r="G9" s="783">
        <f t="shared" ref="G9:G12" si="0">F9-E9</f>
        <v>0</v>
      </c>
      <c r="H9" s="760">
        <f>G9+'9'!H9</f>
        <v>37444.990000000005</v>
      </c>
      <c r="I9" s="771">
        <f>I7-J7</f>
        <v>-9477.2999999999993</v>
      </c>
      <c r="J9" s="762">
        <f>H9/DAY(B2)</f>
        <v>3744.4990000000007</v>
      </c>
      <c r="K9" s="467"/>
      <c r="L9" s="408"/>
      <c r="N9" s="795"/>
    </row>
    <row r="10" spans="1:14">
      <c r="A10" s="757" t="s">
        <v>135</v>
      </c>
      <c r="B10" s="758"/>
      <c r="C10" s="758"/>
      <c r="D10" s="715" t="s">
        <v>132</v>
      </c>
      <c r="E10" s="710">
        <f>'9'!F10</f>
        <v>174625</v>
      </c>
      <c r="F10" s="554">
        <v>195619</v>
      </c>
      <c r="G10" s="770">
        <f t="shared" si="0"/>
        <v>20994</v>
      </c>
      <c r="H10" s="760">
        <f>G10+'9'!H10</f>
        <v>169923.44</v>
      </c>
      <c r="I10" s="772"/>
      <c r="J10" s="762">
        <f>H10/DAY(B2)</f>
        <v>16992.344000000001</v>
      </c>
      <c r="K10" s="467"/>
      <c r="L10" s="408"/>
      <c r="N10" s="795"/>
    </row>
    <row r="11" spans="1:14">
      <c r="A11" s="757" t="s">
        <v>136</v>
      </c>
      <c r="B11" s="758"/>
      <c r="C11" s="758"/>
      <c r="D11" s="715" t="s">
        <v>132</v>
      </c>
      <c r="E11" s="710">
        <f>'9'!F11</f>
        <v>37000</v>
      </c>
      <c r="F11" s="531">
        <v>37000</v>
      </c>
      <c r="G11" s="770">
        <f t="shared" si="0"/>
        <v>0</v>
      </c>
      <c r="H11" s="760">
        <f>G11+'9'!H11</f>
        <v>-2000</v>
      </c>
      <c r="I11" s="772"/>
      <c r="J11" s="762">
        <f>H11/DAY(B2)</f>
        <v>-200</v>
      </c>
      <c r="K11" s="467"/>
      <c r="L11" s="408"/>
      <c r="N11" s="795"/>
    </row>
    <row r="12" spans="1:14">
      <c r="A12" s="757" t="s">
        <v>137</v>
      </c>
      <c r="B12" s="758"/>
      <c r="C12" s="758"/>
      <c r="D12" s="715" t="s">
        <v>132</v>
      </c>
      <c r="E12" s="710">
        <f>'9'!F12</f>
        <v>40010</v>
      </c>
      <c r="F12" s="554">
        <v>40010</v>
      </c>
      <c r="G12" s="770">
        <f t="shared" si="0"/>
        <v>0</v>
      </c>
      <c r="H12" s="760">
        <f>G12+'9'!H12</f>
        <v>-2000</v>
      </c>
      <c r="I12" s="772"/>
      <c r="J12" s="762">
        <f>H12/DAY(B2)</f>
        <v>-200</v>
      </c>
      <c r="K12" s="467"/>
      <c r="L12" s="408"/>
      <c r="N12" s="795"/>
    </row>
    <row r="13" spans="1:14">
      <c r="A13" s="773" t="s">
        <v>138</v>
      </c>
      <c r="B13" s="774"/>
      <c r="C13" s="774"/>
      <c r="D13" s="715"/>
      <c r="E13" s="710"/>
      <c r="F13" s="531"/>
      <c r="G13" s="775">
        <f>G9+G10+G11+G12</f>
        <v>20994</v>
      </c>
      <c r="H13" s="760">
        <f>G13+'9'!H13</f>
        <v>203368.43</v>
      </c>
      <c r="I13" s="776">
        <f>G7-G13</f>
        <v>796</v>
      </c>
      <c r="J13" s="762">
        <f>H13/DAY(B2)</f>
        <v>20336.843000000001</v>
      </c>
      <c r="K13" s="467"/>
      <c r="L13" s="408"/>
      <c r="N13" s="795"/>
    </row>
    <row r="14" spans="1:14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795"/>
    </row>
    <row r="15" spans="1:14">
      <c r="A15" s="875" t="s">
        <v>140</v>
      </c>
      <c r="B15" s="870"/>
      <c r="C15" s="870"/>
      <c r="D15" s="600" t="s">
        <v>141</v>
      </c>
      <c r="E15" s="561">
        <f>'9'!F15</f>
        <v>1627874.87</v>
      </c>
      <c r="F15" s="561">
        <v>1628722</v>
      </c>
      <c r="G15" s="745">
        <f>(F15-E15)</f>
        <v>847.12999999988824</v>
      </c>
      <c r="H15" s="562">
        <f>G15+'9'!H15</f>
        <v>8843.3899999998976</v>
      </c>
      <c r="I15" s="550">
        <v>800</v>
      </c>
      <c r="J15" s="630">
        <f>H15/DAY(B2)</f>
        <v>884.33899999998971</v>
      </c>
      <c r="K15" s="467"/>
      <c r="L15" s="408"/>
      <c r="N15" s="795"/>
    </row>
    <row r="16" spans="1:14">
      <c r="A16" s="873"/>
      <c r="B16" s="874"/>
      <c r="C16" s="874"/>
      <c r="D16" s="871"/>
      <c r="E16" s="872"/>
      <c r="F16" s="561"/>
      <c r="G16" s="750"/>
      <c r="H16" s="562"/>
      <c r="I16" s="558">
        <f>I15-J15</f>
        <v>-84.33899999998971</v>
      </c>
      <c r="J16" s="630"/>
      <c r="K16" s="467"/>
      <c r="L16" s="408"/>
      <c r="N16" s="795"/>
    </row>
    <row r="17" spans="1:14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795"/>
    </row>
    <row r="18" spans="1:14" ht="27.75">
      <c r="A18" s="1486" t="s">
        <v>143</v>
      </c>
      <c r="B18" s="1487"/>
      <c r="C18" s="1488"/>
      <c r="D18" s="715" t="s">
        <v>144</v>
      </c>
      <c r="E18" s="712">
        <f>'9'!F18</f>
        <v>12</v>
      </c>
      <c r="F18" s="554">
        <v>10</v>
      </c>
      <c r="G18" s="775">
        <f>F18*10</f>
        <v>100</v>
      </c>
      <c r="H18" s="760">
        <f>G18+'9'!H18</f>
        <v>1440</v>
      </c>
      <c r="I18" s="761">
        <v>65</v>
      </c>
      <c r="J18" s="762">
        <f>H18/DAY(B2)</f>
        <v>144</v>
      </c>
      <c r="K18" s="467"/>
      <c r="L18" s="408"/>
      <c r="N18" s="795"/>
    </row>
    <row r="19" spans="1:14" ht="27.75">
      <c r="A19" s="1486" t="s">
        <v>71</v>
      </c>
      <c r="B19" s="1487"/>
      <c r="C19" s="1488"/>
      <c r="D19" s="715" t="s">
        <v>144</v>
      </c>
      <c r="E19" s="712">
        <f>'9'!F19</f>
        <v>134930</v>
      </c>
      <c r="F19" s="554">
        <v>134982</v>
      </c>
      <c r="G19" s="770">
        <f t="shared" ref="G19" si="1">F19-E19</f>
        <v>52</v>
      </c>
      <c r="H19" s="760">
        <f>G19+'9'!H19</f>
        <v>514</v>
      </c>
      <c r="I19" s="777"/>
      <c r="J19" s="762">
        <f>H19/DAY(B2)</f>
        <v>51.4</v>
      </c>
      <c r="K19" s="467"/>
      <c r="L19" s="408"/>
      <c r="N19" s="795"/>
    </row>
    <row r="20" spans="1:14">
      <c r="A20" s="773" t="s">
        <v>145</v>
      </c>
      <c r="B20" s="774"/>
      <c r="C20" s="774"/>
      <c r="D20" s="715"/>
      <c r="E20" s="715"/>
      <c r="F20" s="600"/>
      <c r="G20" s="778">
        <f>G18+G19</f>
        <v>152</v>
      </c>
      <c r="H20" s="760">
        <f>G20+'9'!H20</f>
        <v>1954</v>
      </c>
      <c r="I20" s="779">
        <f>I18-J20</f>
        <v>-130.4</v>
      </c>
      <c r="J20" s="762">
        <f>H20/DAY(B2)</f>
        <v>195.4</v>
      </c>
      <c r="K20" s="467"/>
      <c r="L20" s="408"/>
      <c r="N20" s="795"/>
    </row>
    <row r="21" spans="1:14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795"/>
    </row>
    <row r="22" spans="1:14">
      <c r="A22" s="1229" t="s">
        <v>147</v>
      </c>
      <c r="B22" s="666"/>
      <c r="C22" s="666"/>
      <c r="D22" s="599" t="s">
        <v>148</v>
      </c>
      <c r="E22" s="712">
        <f>'9'!F22</f>
        <v>2970</v>
      </c>
      <c r="F22" s="554">
        <v>2970</v>
      </c>
      <c r="G22" s="557">
        <f t="shared" ref="G22" si="2">(F22-E22)</f>
        <v>0</v>
      </c>
      <c r="H22" s="536">
        <f>G22+'9'!H22</f>
        <v>0</v>
      </c>
      <c r="I22" s="556"/>
      <c r="J22" s="629">
        <f>H22/DAY(B2)</f>
        <v>0</v>
      </c>
      <c r="K22" s="467"/>
      <c r="L22" s="408"/>
      <c r="N22" s="795"/>
    </row>
    <row r="23" spans="1:14">
      <c r="A23" s="1229" t="s">
        <v>149</v>
      </c>
      <c r="B23" s="666"/>
      <c r="C23" s="666"/>
      <c r="D23" s="599" t="s">
        <v>148</v>
      </c>
      <c r="E23" s="712">
        <f>'9'!F23</f>
        <v>2900</v>
      </c>
      <c r="F23" s="554">
        <v>2900</v>
      </c>
      <c r="G23" s="557">
        <v>0</v>
      </c>
      <c r="H23" s="536">
        <f>G23+'9'!H23</f>
        <v>0</v>
      </c>
      <c r="I23" s="556"/>
      <c r="J23" s="629">
        <f>H23/DAY(B2)</f>
        <v>0</v>
      </c>
      <c r="K23" s="467"/>
      <c r="L23" s="408"/>
      <c r="N23" s="795"/>
    </row>
    <row r="24" spans="1:14">
      <c r="A24" s="667" t="s">
        <v>150</v>
      </c>
      <c r="B24" s="668"/>
      <c r="C24" s="668"/>
      <c r="D24" s="587" t="s">
        <v>148</v>
      </c>
      <c r="E24" s="569">
        <f>'9'!F24</f>
        <v>4250</v>
      </c>
      <c r="F24" s="561">
        <v>4250</v>
      </c>
      <c r="G24" s="557">
        <v>0</v>
      </c>
      <c r="H24" s="536">
        <f>G24+'9'!H24</f>
        <v>0</v>
      </c>
      <c r="I24" s="556"/>
      <c r="J24" s="629">
        <f>H24/DAY(B2)</f>
        <v>0</v>
      </c>
      <c r="K24" s="467"/>
      <c r="L24" s="408"/>
      <c r="N24" s="795"/>
    </row>
    <row r="25" spans="1:14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795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795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21940</v>
      </c>
      <c r="F27" s="577">
        <v>9</v>
      </c>
      <c r="G27" s="578">
        <f>E27*F27</f>
        <v>197460</v>
      </c>
      <c r="H27" s="536">
        <f>G27+'9'!H27</f>
        <v>1945737</v>
      </c>
      <c r="I27" s="579"/>
      <c r="J27" s="629">
        <f>H27/DAY(B2)</f>
        <v>194573.7</v>
      </c>
      <c r="K27" s="404"/>
      <c r="L27" s="484"/>
      <c r="N27" s="795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847.12999999988824</v>
      </c>
      <c r="F28" s="577">
        <v>43.5</v>
      </c>
      <c r="G28" s="578">
        <f>E28*F28</f>
        <v>36850.154999995138</v>
      </c>
      <c r="H28" s="536">
        <f>G28+'9'!H28</f>
        <v>403993.00319999503</v>
      </c>
      <c r="I28" s="581"/>
      <c r="J28" s="629">
        <f>H28/DAY(B2)</f>
        <v>40399.3003199995</v>
      </c>
      <c r="K28" s="404"/>
      <c r="L28" s="484"/>
      <c r="N28" s="795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0</v>
      </c>
      <c r="I29" s="581"/>
      <c r="J29" s="629">
        <f>H29/DAY(B2)</f>
        <v>0</v>
      </c>
      <c r="K29" s="404"/>
      <c r="L29" s="484"/>
      <c r="N29" s="795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G30+'9'!H30</f>
        <v>86564</v>
      </c>
      <c r="I30" s="581"/>
      <c r="J30" s="629">
        <f>H30/DAY(B2)</f>
        <v>8656.4</v>
      </c>
      <c r="K30" s="404"/>
      <c r="L30" s="484"/>
      <c r="N30" s="795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100</v>
      </c>
      <c r="F31" s="577">
        <v>80</v>
      </c>
      <c r="G31" s="578">
        <f>E31*F31</f>
        <v>8000</v>
      </c>
      <c r="H31" s="536">
        <f>G31+'9'!H31</f>
        <v>104640</v>
      </c>
      <c r="I31" s="581"/>
      <c r="J31" s="629">
        <f>H31/DAY(B2)</f>
        <v>10464</v>
      </c>
      <c r="K31" s="404"/>
      <c r="L31" s="484"/>
      <c r="N31" s="795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249278.15499999514</v>
      </c>
      <c r="H32" s="536">
        <f>G32+'9'!H32</f>
        <v>2540934.003199995</v>
      </c>
      <c r="I32" s="585"/>
      <c r="J32" s="629">
        <f>H32/DAY(B2)</f>
        <v>254093.40031999949</v>
      </c>
      <c r="K32" s="404"/>
      <c r="L32" s="484"/>
      <c r="N32" s="795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795"/>
    </row>
    <row r="34" spans="1:14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795"/>
    </row>
    <row r="35" spans="1:14">
      <c r="A35" s="655" t="s">
        <v>164</v>
      </c>
      <c r="B35" s="656"/>
      <c r="C35" s="656"/>
      <c r="D35" s="599" t="s">
        <v>132</v>
      </c>
      <c r="E35" s="586">
        <f>'9'!F35</f>
        <v>723418</v>
      </c>
      <c r="F35" s="1119">
        <v>726865</v>
      </c>
      <c r="G35" s="549">
        <f t="shared" ref="G35:G46" si="3">F35-E35</f>
        <v>3447</v>
      </c>
      <c r="H35" s="536">
        <f>G35+'9'!H35</f>
        <v>33777.410000000033</v>
      </c>
      <c r="I35" s="531"/>
      <c r="J35" s="629">
        <f>H35/DAY(B2)</f>
        <v>3377.7410000000032</v>
      </c>
      <c r="K35" s="467"/>
      <c r="L35" s="408"/>
      <c r="N35" s="795"/>
    </row>
    <row r="36" spans="1:14">
      <c r="A36" s="655" t="s">
        <v>165</v>
      </c>
      <c r="B36" s="656"/>
      <c r="C36" s="656"/>
      <c r="D36" s="599" t="s">
        <v>132</v>
      </c>
      <c r="E36" s="586">
        <f>'9'!F36</f>
        <v>302278</v>
      </c>
      <c r="F36" s="1119">
        <v>302980</v>
      </c>
      <c r="G36" s="549">
        <f t="shared" si="3"/>
        <v>702</v>
      </c>
      <c r="H36" s="536">
        <f>G36+'9'!H36</f>
        <v>6534.429999999993</v>
      </c>
      <c r="I36" s="531"/>
      <c r="J36" s="629">
        <f>H36/DAY(B2)</f>
        <v>653.4429999999993</v>
      </c>
      <c r="K36" s="467"/>
      <c r="L36" s="408"/>
      <c r="N36" s="796"/>
    </row>
    <row r="37" spans="1:14">
      <c r="A37" s="655" t="s">
        <v>166</v>
      </c>
      <c r="B37" s="656"/>
      <c r="C37" s="656"/>
      <c r="D37" s="599" t="s">
        <v>132</v>
      </c>
      <c r="E37" s="586">
        <f>'9'!F37</f>
        <v>35167</v>
      </c>
      <c r="F37" s="1119">
        <v>35167</v>
      </c>
      <c r="G37" s="549">
        <f t="shared" si="3"/>
        <v>0</v>
      </c>
      <c r="H37" s="536">
        <f>G37+'9'!H37</f>
        <v>38272.080000000002</v>
      </c>
      <c r="I37" s="531"/>
      <c r="J37" s="629">
        <f>H37/DAY(B2)</f>
        <v>3827.2080000000001</v>
      </c>
      <c r="K37" s="467"/>
      <c r="L37" s="408"/>
      <c r="N37" s="796"/>
    </row>
    <row r="38" spans="1:14">
      <c r="A38" s="655" t="s">
        <v>167</v>
      </c>
      <c r="B38" s="656"/>
      <c r="C38" s="656"/>
      <c r="D38" s="599" t="s">
        <v>132</v>
      </c>
      <c r="E38" s="586">
        <f>'9'!F38</f>
        <v>48333</v>
      </c>
      <c r="F38" s="543">
        <v>48333</v>
      </c>
      <c r="G38" s="549">
        <f t="shared" si="3"/>
        <v>0</v>
      </c>
      <c r="H38" s="536">
        <f>G38+'9'!H38</f>
        <v>4519.510000000002</v>
      </c>
      <c r="I38" s="531"/>
      <c r="J38" s="629">
        <f>H38/DAY(B2)</f>
        <v>451.95100000000019</v>
      </c>
      <c r="K38" s="467"/>
      <c r="L38" s="408"/>
      <c r="N38" s="795"/>
    </row>
    <row r="39" spans="1:14">
      <c r="A39" s="655" t="s">
        <v>168</v>
      </c>
      <c r="B39" s="656"/>
      <c r="C39" s="656"/>
      <c r="D39" s="599" t="s">
        <v>132</v>
      </c>
      <c r="E39" s="586">
        <f>'9'!F39</f>
        <v>100066</v>
      </c>
      <c r="F39" s="1119">
        <v>100066</v>
      </c>
      <c r="G39" s="549">
        <f t="shared" si="3"/>
        <v>0</v>
      </c>
      <c r="H39" s="536">
        <f>G39+'9'!H39</f>
        <v>109458.89</v>
      </c>
      <c r="I39" s="531"/>
      <c r="J39" s="629">
        <f>H39/DAY(B2)</f>
        <v>10945.888999999999</v>
      </c>
      <c r="K39" s="467"/>
      <c r="L39" s="408"/>
      <c r="N39" s="795"/>
    </row>
    <row r="40" spans="1:14">
      <c r="A40" s="676" t="s">
        <v>169</v>
      </c>
      <c r="B40" s="677"/>
      <c r="C40" s="677"/>
      <c r="D40" s="599" t="s">
        <v>132</v>
      </c>
      <c r="E40" s="586">
        <f>'9'!F40</f>
        <v>0.23</v>
      </c>
      <c r="F40" s="1119">
        <v>0.23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795"/>
    </row>
    <row r="41" spans="1:14">
      <c r="A41" s="655" t="s">
        <v>170</v>
      </c>
      <c r="B41" s="656"/>
      <c r="C41" s="656"/>
      <c r="D41" s="599" t="s">
        <v>132</v>
      </c>
      <c r="E41" s="586">
        <f>'9'!F41</f>
        <v>64767</v>
      </c>
      <c r="F41" s="1119">
        <v>64767</v>
      </c>
      <c r="G41" s="549">
        <f>F41-E41</f>
        <v>0</v>
      </c>
      <c r="H41" s="536">
        <f>G41+'9'!H41</f>
        <v>884.62999999999738</v>
      </c>
      <c r="I41" s="531"/>
      <c r="J41" s="629">
        <f>H41/DAY(B2)</f>
        <v>88.462999999999738</v>
      </c>
      <c r="K41" s="467"/>
      <c r="L41" s="408"/>
      <c r="N41" s="795"/>
    </row>
    <row r="42" spans="1:14">
      <c r="A42" s="655" t="s">
        <v>171</v>
      </c>
      <c r="B42" s="656"/>
      <c r="C42" s="656"/>
      <c r="D42" s="599" t="s">
        <v>132</v>
      </c>
      <c r="E42" s="586">
        <f>'9'!F42</f>
        <v>59128</v>
      </c>
      <c r="F42" s="1119">
        <v>59128</v>
      </c>
      <c r="G42" s="549">
        <f t="shared" si="3"/>
        <v>0</v>
      </c>
      <c r="H42" s="536">
        <f>G42+'9'!H42</f>
        <v>-0.84999999999854481</v>
      </c>
      <c r="I42" s="531"/>
      <c r="J42" s="629">
        <f>H42/DAY(B2)</f>
        <v>-8.4999999999854484E-2</v>
      </c>
      <c r="K42" s="467"/>
      <c r="L42" s="408"/>
      <c r="N42" s="795"/>
    </row>
    <row r="43" spans="1:14">
      <c r="A43" s="655" t="s">
        <v>172</v>
      </c>
      <c r="B43" s="656"/>
      <c r="C43" s="656"/>
      <c r="D43" s="599" t="s">
        <v>132</v>
      </c>
      <c r="E43" s="586">
        <f>'9'!F43</f>
        <v>847898</v>
      </c>
      <c r="F43" s="1119">
        <v>850405</v>
      </c>
      <c r="G43" s="549">
        <f t="shared" si="3"/>
        <v>2507</v>
      </c>
      <c r="H43" s="536">
        <f>G43+'9'!H43</f>
        <v>24507.170000000042</v>
      </c>
      <c r="I43" s="531"/>
      <c r="J43" s="629">
        <f>H43/DAY(B2)</f>
        <v>2450.7170000000042</v>
      </c>
      <c r="K43" s="467"/>
      <c r="L43" s="408"/>
      <c r="N43" s="795"/>
    </row>
    <row r="44" spans="1:14">
      <c r="A44" s="655" t="s">
        <v>173</v>
      </c>
      <c r="B44" s="656"/>
      <c r="C44" s="656"/>
      <c r="D44" s="599" t="s">
        <v>132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795"/>
    </row>
    <row r="45" spans="1:14">
      <c r="A45" s="655" t="s">
        <v>174</v>
      </c>
      <c r="B45" s="656"/>
      <c r="C45" s="656"/>
      <c r="D45" s="599" t="s">
        <v>132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0</v>
      </c>
      <c r="I45" s="531"/>
      <c r="J45" s="629">
        <f>H45/DAY(B2)</f>
        <v>0</v>
      </c>
      <c r="K45" s="467"/>
      <c r="L45" s="408"/>
      <c r="N45" s="795"/>
    </row>
    <row r="46" spans="1:14">
      <c r="A46" s="655" t="s">
        <v>175</v>
      </c>
      <c r="B46" s="656"/>
      <c r="C46" s="656"/>
      <c r="D46" s="599" t="s">
        <v>132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0</v>
      </c>
      <c r="I46" s="531"/>
      <c r="J46" s="629">
        <f>H46/DAY(B2)</f>
        <v>0</v>
      </c>
      <c r="K46" s="467"/>
      <c r="L46" s="408"/>
      <c r="N46" s="795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6656</v>
      </c>
      <c r="H47" s="536">
        <f>G47+'9'!H47</f>
        <v>217953.27000000008</v>
      </c>
      <c r="I47" s="531"/>
      <c r="J47" s="629">
        <f>H47/DAY(B2)</f>
        <v>21795.327000000008</v>
      </c>
      <c r="K47" s="467"/>
      <c r="L47" s="408"/>
      <c r="N47" s="795"/>
    </row>
    <row r="48" spans="1:14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795"/>
    </row>
    <row r="49" spans="1:14">
      <c r="A49" s="655" t="s">
        <v>164</v>
      </c>
      <c r="B49" s="678"/>
      <c r="C49" s="678"/>
      <c r="D49" s="599" t="s">
        <v>132</v>
      </c>
      <c r="E49" s="586">
        <f>'9'!F49</f>
        <v>260732</v>
      </c>
      <c r="F49" s="586">
        <v>260732</v>
      </c>
      <c r="G49" s="549">
        <f t="shared" ref="G49:G58" si="4">F49-E49</f>
        <v>0</v>
      </c>
      <c r="H49" s="536">
        <f>G49+'9'!H49</f>
        <v>-0.13000000000465661</v>
      </c>
      <c r="I49" s="531"/>
      <c r="J49" s="629">
        <f>H49/DAY(B2)</f>
        <v>-1.3000000000465662E-2</v>
      </c>
      <c r="K49" s="467"/>
      <c r="L49" s="408"/>
      <c r="N49" s="795"/>
    </row>
    <row r="50" spans="1:14">
      <c r="A50" s="655" t="s">
        <v>178</v>
      </c>
      <c r="B50" s="678"/>
      <c r="C50" s="678"/>
      <c r="D50" s="599" t="s">
        <v>132</v>
      </c>
      <c r="E50" s="586">
        <f>'9'!F50</f>
        <v>413644</v>
      </c>
      <c r="F50" s="1119">
        <v>414838</v>
      </c>
      <c r="G50" s="549">
        <f t="shared" si="4"/>
        <v>1194</v>
      </c>
      <c r="H50" s="536">
        <f>G50+'9'!H50</f>
        <v>12374.969999999972</v>
      </c>
      <c r="I50" s="531"/>
      <c r="J50" s="629">
        <f>H50/DAY(B2)</f>
        <v>1237.4969999999971</v>
      </c>
      <c r="K50" s="467"/>
      <c r="L50" s="408"/>
      <c r="N50" s="795"/>
    </row>
    <row r="51" spans="1:14">
      <c r="A51" s="655" t="s">
        <v>166</v>
      </c>
      <c r="B51" s="678"/>
      <c r="C51" s="678"/>
      <c r="D51" s="599" t="s">
        <v>132</v>
      </c>
      <c r="E51" s="586">
        <f>'9'!F51</f>
        <v>130295</v>
      </c>
      <c r="F51" s="586">
        <v>131844</v>
      </c>
      <c r="G51" s="549">
        <f t="shared" si="4"/>
        <v>1549</v>
      </c>
      <c r="H51" s="536">
        <f>G51+'9'!H51</f>
        <v>11793.080000000002</v>
      </c>
      <c r="I51" s="531"/>
      <c r="J51" s="629">
        <f>H51/DAY(B2)</f>
        <v>1179.3080000000002</v>
      </c>
      <c r="K51" s="467"/>
      <c r="L51" s="408"/>
      <c r="N51" s="795"/>
    </row>
    <row r="52" spans="1:14">
      <c r="A52" s="655" t="s">
        <v>179</v>
      </c>
      <c r="B52" s="678"/>
      <c r="C52" s="678"/>
      <c r="D52" s="599" t="s">
        <v>132</v>
      </c>
      <c r="E52" s="586">
        <f>'9'!F52</f>
        <v>522363</v>
      </c>
      <c r="F52" s="586">
        <v>524409</v>
      </c>
      <c r="G52" s="549">
        <f t="shared" si="4"/>
        <v>2046</v>
      </c>
      <c r="H52" s="536">
        <f>G52+'9'!H52</f>
        <v>16496.289999999979</v>
      </c>
      <c r="I52" s="531"/>
      <c r="J52" s="629">
        <f>H52/DAY(B2)</f>
        <v>1649.6289999999979</v>
      </c>
      <c r="K52" s="467"/>
      <c r="L52" s="408"/>
      <c r="N52" s="795"/>
    </row>
    <row r="53" spans="1:14">
      <c r="A53" s="655" t="s">
        <v>168</v>
      </c>
      <c r="B53" s="678"/>
      <c r="C53" s="678"/>
      <c r="D53" s="599" t="s">
        <v>132</v>
      </c>
      <c r="E53" s="586">
        <f>'9'!F53</f>
        <v>360878</v>
      </c>
      <c r="F53" s="586">
        <v>365063</v>
      </c>
      <c r="G53" s="549">
        <f t="shared" si="4"/>
        <v>4185</v>
      </c>
      <c r="H53" s="536">
        <f>G53+'9'!H53</f>
        <v>33208.489999999991</v>
      </c>
      <c r="I53" s="531"/>
      <c r="J53" s="629">
        <f>H53/DAY(B2)</f>
        <v>3320.8489999999993</v>
      </c>
      <c r="K53" s="467"/>
      <c r="L53" s="408"/>
      <c r="N53" s="795"/>
    </row>
    <row r="54" spans="1:14">
      <c r="A54" s="655" t="s">
        <v>180</v>
      </c>
      <c r="B54" s="678"/>
      <c r="C54" s="678"/>
      <c r="D54" s="599" t="s">
        <v>132</v>
      </c>
      <c r="E54" s="586">
        <f>'9'!F54</f>
        <v>8200</v>
      </c>
      <c r="F54" s="586">
        <v>8200</v>
      </c>
      <c r="G54" s="549">
        <f t="shared" si="4"/>
        <v>0</v>
      </c>
      <c r="H54" s="536">
        <f>G54+'9'!H54</f>
        <v>104.36999999999989</v>
      </c>
      <c r="I54" s="531"/>
      <c r="J54" s="629">
        <f>H54/DAY(B2)</f>
        <v>10.436999999999989</v>
      </c>
      <c r="K54" s="467"/>
      <c r="L54" s="408"/>
      <c r="N54" s="795"/>
    </row>
    <row r="55" spans="1:14">
      <c r="A55" s="655" t="s">
        <v>181</v>
      </c>
      <c r="B55" s="678"/>
      <c r="C55" s="678"/>
      <c r="D55" s="599" t="s">
        <v>132</v>
      </c>
      <c r="E55" s="586">
        <f>'9'!F55</f>
        <v>161778</v>
      </c>
      <c r="F55" s="734">
        <v>166777</v>
      </c>
      <c r="G55" s="733">
        <f t="shared" si="4"/>
        <v>4999</v>
      </c>
      <c r="H55" s="787">
        <f>G55+'9'!H55</f>
        <v>49191.31</v>
      </c>
      <c r="I55" s="788"/>
      <c r="J55" s="789">
        <f>H55/DAY(B2)</f>
        <v>4919.1309999999994</v>
      </c>
      <c r="K55" s="467"/>
      <c r="L55" s="408"/>
      <c r="N55" s="795"/>
    </row>
    <row r="56" spans="1:14">
      <c r="A56" s="655" t="s">
        <v>182</v>
      </c>
      <c r="B56" s="678"/>
      <c r="C56" s="678"/>
      <c r="D56" s="599" t="s">
        <v>183</v>
      </c>
      <c r="E56" s="586">
        <f>'9'!F56</f>
        <v>588761</v>
      </c>
      <c r="F56" s="734">
        <v>588761</v>
      </c>
      <c r="G56" s="549">
        <f t="shared" si="4"/>
        <v>0</v>
      </c>
      <c r="H56" s="536">
        <f>G56+'9'!H56</f>
        <v>2709.9699999999721</v>
      </c>
      <c r="I56" s="531"/>
      <c r="J56" s="629">
        <f>H56/DAY(B2)</f>
        <v>270.99699999999723</v>
      </c>
      <c r="K56" s="466"/>
      <c r="L56" s="408"/>
      <c r="N56" s="795"/>
    </row>
    <row r="57" spans="1:14">
      <c r="A57" s="655" t="s">
        <v>172</v>
      </c>
      <c r="B57" s="678"/>
      <c r="C57" s="678"/>
      <c r="D57" s="599" t="s">
        <v>132</v>
      </c>
      <c r="E57" s="586">
        <f>'9'!F57</f>
        <v>7711</v>
      </c>
      <c r="F57" s="586">
        <v>7711</v>
      </c>
      <c r="G57" s="549">
        <f t="shared" si="4"/>
        <v>0</v>
      </c>
      <c r="H57" s="536">
        <f>G57+'9'!H57</f>
        <v>-0.32999999999992724</v>
      </c>
      <c r="I57" s="531"/>
      <c r="J57" s="629">
        <f>H57/DAY(B2)</f>
        <v>-3.2999999999992723E-2</v>
      </c>
      <c r="K57" s="467"/>
      <c r="L57" s="408"/>
      <c r="N57" s="795"/>
    </row>
    <row r="58" spans="1:14">
      <c r="A58" s="655" t="s">
        <v>184</v>
      </c>
      <c r="B58" s="678"/>
      <c r="C58" s="678"/>
      <c r="D58" s="599" t="s">
        <v>132</v>
      </c>
      <c r="E58" s="586">
        <f>'9'!F58</f>
        <v>37646</v>
      </c>
      <c r="F58" s="734">
        <v>37842</v>
      </c>
      <c r="G58" s="549">
        <f t="shared" si="4"/>
        <v>196</v>
      </c>
      <c r="H58" s="536">
        <f>G58+'9'!H58</f>
        <v>1973.3000000000029</v>
      </c>
      <c r="I58" s="531"/>
      <c r="J58" s="629">
        <f>H58/DAY(B2)</f>
        <v>197.3300000000003</v>
      </c>
      <c r="K58" s="467"/>
      <c r="L58" s="408"/>
      <c r="N58" s="795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14169</v>
      </c>
      <c r="H59" s="536">
        <f>G59+'9'!H59</f>
        <v>127851.31999999992</v>
      </c>
      <c r="I59" s="531">
        <f>G7-G60</f>
        <v>965</v>
      </c>
      <c r="J59" s="629">
        <f>H59/DAY(B2)</f>
        <v>12785.131999999992</v>
      </c>
      <c r="K59" s="467"/>
      <c r="L59" s="408"/>
      <c r="N59" s="795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20825</v>
      </c>
      <c r="H60" s="536">
        <f>G60+'9'!H60</f>
        <v>345804.58999999997</v>
      </c>
      <c r="I60" s="531">
        <f>G8-G60</f>
        <v>1115</v>
      </c>
      <c r="J60" s="629">
        <f>H60/DAY(B2)</f>
        <v>34580.458999999995</v>
      </c>
      <c r="K60" s="467"/>
      <c r="L60" s="408"/>
      <c r="N60" s="795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795"/>
    </row>
    <row r="62" spans="1:14">
      <c r="A62" s="680" t="s">
        <v>98</v>
      </c>
      <c r="B62" s="681"/>
      <c r="C62" s="681"/>
      <c r="D62" s="587" t="s">
        <v>187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-0.18700000000171713</v>
      </c>
      <c r="I62" s="591"/>
      <c r="J62" s="629">
        <f>H62/DAY(B2)</f>
        <v>-1.8700000000171711E-2</v>
      </c>
      <c r="K62" s="467"/>
      <c r="L62" s="408"/>
      <c r="N62" s="795"/>
    </row>
    <row r="63" spans="1:14">
      <c r="A63" s="680" t="s">
        <v>188</v>
      </c>
      <c r="B63" s="681"/>
      <c r="C63" s="681"/>
      <c r="D63" s="587" t="s">
        <v>187</v>
      </c>
      <c r="E63" s="590">
        <f>'9'!F63</f>
        <v>1825</v>
      </c>
      <c r="F63" s="590">
        <v>1839</v>
      </c>
      <c r="G63" s="549">
        <f t="shared" si="5"/>
        <v>14</v>
      </c>
      <c r="H63" s="536">
        <f>G63+'9'!H63</f>
        <v>131.6400000000001</v>
      </c>
      <c r="I63" s="591"/>
      <c r="J63" s="629">
        <f>H63/DAY(B2)</f>
        <v>13.16400000000001</v>
      </c>
      <c r="K63" s="467"/>
      <c r="L63" s="408"/>
      <c r="N63" s="795"/>
    </row>
    <row r="64" spans="1:14" ht="27.75">
      <c r="A64" s="1430" t="s">
        <v>99</v>
      </c>
      <c r="B64" s="1431"/>
      <c r="C64" s="1432"/>
      <c r="D64" s="599" t="s">
        <v>187</v>
      </c>
      <c r="E64" s="590">
        <f>'9'!F64</f>
        <v>128296</v>
      </c>
      <c r="F64" s="554">
        <v>128841</v>
      </c>
      <c r="G64" s="549">
        <f t="shared" si="5"/>
        <v>545</v>
      </c>
      <c r="H64" s="536">
        <f>G64+'9'!H64</f>
        <v>5213.6999999999971</v>
      </c>
      <c r="I64" s="556"/>
      <c r="J64" s="629">
        <f>H64/DAY(B2)</f>
        <v>521.36999999999966</v>
      </c>
      <c r="K64" s="467"/>
      <c r="L64" s="408"/>
      <c r="N64" s="795"/>
    </row>
    <row r="65" spans="1:14" ht="27.75">
      <c r="A65" s="1430" t="s">
        <v>100</v>
      </c>
      <c r="B65" s="1431"/>
      <c r="C65" s="1432"/>
      <c r="D65" s="599" t="s">
        <v>187</v>
      </c>
      <c r="E65" s="590">
        <f>'9'!F65</f>
        <v>135987</v>
      </c>
      <c r="F65" s="732">
        <v>136358</v>
      </c>
      <c r="G65" s="549">
        <f t="shared" si="5"/>
        <v>371</v>
      </c>
      <c r="H65" s="536">
        <f>G65+'9'!H65</f>
        <v>3760.7000000000116</v>
      </c>
      <c r="I65" s="565"/>
      <c r="J65" s="629">
        <f>H65/DAY(B2)</f>
        <v>376.07000000000119</v>
      </c>
      <c r="K65" s="467"/>
      <c r="L65" s="408"/>
      <c r="N65" s="795"/>
    </row>
    <row r="66" spans="1:14" ht="27.75">
      <c r="A66" s="1430" t="s">
        <v>101</v>
      </c>
      <c r="B66" s="1431"/>
      <c r="C66" s="1432"/>
      <c r="D66" s="599" t="s">
        <v>187</v>
      </c>
      <c r="E66" s="590">
        <f>'9'!F66</f>
        <v>28723</v>
      </c>
      <c r="F66" s="554">
        <v>29078</v>
      </c>
      <c r="G66" s="549">
        <f t="shared" si="5"/>
        <v>355</v>
      </c>
      <c r="H66" s="536">
        <f>G66+'9'!H66</f>
        <v>3918.25</v>
      </c>
      <c r="I66" s="556"/>
      <c r="J66" s="629">
        <f>H66/DAY(B2)</f>
        <v>391.82499999999999</v>
      </c>
      <c r="K66" s="467"/>
      <c r="L66" s="408"/>
      <c r="N66" s="795"/>
    </row>
    <row r="67" spans="1:14" ht="27.75">
      <c r="A67" s="1430" t="s">
        <v>102</v>
      </c>
      <c r="B67" s="1431"/>
      <c r="C67" s="1432"/>
      <c r="D67" s="599" t="s">
        <v>187</v>
      </c>
      <c r="E67" s="590">
        <f>'9'!F67</f>
        <v>213978</v>
      </c>
      <c r="F67" s="554">
        <v>214635</v>
      </c>
      <c r="G67" s="549">
        <f t="shared" si="5"/>
        <v>657</v>
      </c>
      <c r="H67" s="536">
        <f>G67+'9'!H67</f>
        <v>6793.1700000000128</v>
      </c>
      <c r="I67" s="565"/>
      <c r="J67" s="629">
        <f>H67/DAY(B2)</f>
        <v>679.31700000000126</v>
      </c>
      <c r="K67" s="468"/>
      <c r="L67" s="408"/>
      <c r="N67" s="795"/>
    </row>
    <row r="68" spans="1:14" ht="27.75">
      <c r="A68" s="1430" t="s">
        <v>103</v>
      </c>
      <c r="B68" s="1431"/>
      <c r="C68" s="1432"/>
      <c r="D68" s="599" t="s">
        <v>187</v>
      </c>
      <c r="E68" s="590">
        <f>'9'!F68</f>
        <v>75751</v>
      </c>
      <c r="F68" s="554">
        <v>76079</v>
      </c>
      <c r="G68" s="549">
        <f t="shared" si="5"/>
        <v>328</v>
      </c>
      <c r="H68" s="536">
        <f>G68+'9'!H68</f>
        <v>3400.4799999999959</v>
      </c>
      <c r="I68" s="592"/>
      <c r="J68" s="629">
        <f>H68/DAY(B2)</f>
        <v>340.0479999999996</v>
      </c>
      <c r="K68" s="469"/>
      <c r="L68" s="408"/>
      <c r="N68" s="795"/>
    </row>
    <row r="69" spans="1:14" ht="27.75">
      <c r="A69" s="1430" t="s">
        <v>104</v>
      </c>
      <c r="B69" s="1431"/>
      <c r="C69" s="1432"/>
      <c r="D69" s="599" t="s">
        <v>187</v>
      </c>
      <c r="E69" s="590">
        <f>'9'!F69</f>
        <v>67385</v>
      </c>
      <c r="F69" s="554">
        <v>67712</v>
      </c>
      <c r="G69" s="549">
        <f t="shared" si="5"/>
        <v>327</v>
      </c>
      <c r="H69" s="536">
        <f>G69+'9'!H69</f>
        <v>3259.9100000000035</v>
      </c>
      <c r="I69" s="592"/>
      <c r="J69" s="629">
        <f>H69/DAY(B2)</f>
        <v>325.99100000000033</v>
      </c>
      <c r="K69" s="470"/>
      <c r="L69" s="408"/>
      <c r="N69" s="795"/>
    </row>
    <row r="70" spans="1:14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795"/>
    </row>
    <row r="71" spans="1:14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795"/>
    </row>
    <row r="72" spans="1:14" ht="27.75">
      <c r="A72" s="1430" t="s">
        <v>191</v>
      </c>
      <c r="B72" s="1431"/>
      <c r="C72" s="1432"/>
      <c r="D72" s="599" t="s">
        <v>187</v>
      </c>
      <c r="E72" s="595">
        <f>'9'!F72</f>
        <v>851351</v>
      </c>
      <c r="F72" s="735">
        <v>851438</v>
      </c>
      <c r="G72" s="549">
        <f t="shared" ref="G72:G84" si="6">F72-E72</f>
        <v>87</v>
      </c>
      <c r="H72" s="536">
        <f>G72+'9'!H72</f>
        <v>846</v>
      </c>
      <c r="I72" s="556"/>
      <c r="J72" s="629">
        <f>H72/DAY(B2)</f>
        <v>84.6</v>
      </c>
      <c r="K72" s="470"/>
      <c r="L72" s="408"/>
      <c r="N72" s="795"/>
    </row>
    <row r="73" spans="1:14" ht="27.75">
      <c r="A73" s="1430" t="s">
        <v>192</v>
      </c>
      <c r="B73" s="1431"/>
      <c r="C73" s="1432"/>
      <c r="D73" s="599" t="s">
        <v>187</v>
      </c>
      <c r="E73" s="595">
        <f>'9'!F73</f>
        <v>885775</v>
      </c>
      <c r="F73" s="736">
        <v>885775</v>
      </c>
      <c r="G73" s="733">
        <f t="shared" si="6"/>
        <v>0</v>
      </c>
      <c r="H73" s="536">
        <f>G73+'9'!H73</f>
        <v>3</v>
      </c>
      <c r="I73" s="556"/>
      <c r="J73" s="629">
        <f>H73/DAY(B2)</f>
        <v>0.3</v>
      </c>
      <c r="K73" s="469"/>
      <c r="L73" s="408"/>
      <c r="N73" s="795"/>
    </row>
    <row r="74" spans="1:14" ht="27.75">
      <c r="A74" s="1430" t="s">
        <v>193</v>
      </c>
      <c r="B74" s="1431"/>
      <c r="C74" s="1432"/>
      <c r="D74" s="599" t="s">
        <v>187</v>
      </c>
      <c r="E74" s="595">
        <f>'9'!F74</f>
        <v>847</v>
      </c>
      <c r="F74" s="735">
        <v>872</v>
      </c>
      <c r="G74" s="549">
        <f t="shared" si="6"/>
        <v>25</v>
      </c>
      <c r="H74" s="536">
        <f>G74+'9'!H74</f>
        <v>285.83000000000004</v>
      </c>
      <c r="I74" s="556"/>
      <c r="J74" s="629">
        <f>H74/DAY(B2)</f>
        <v>28.583000000000006</v>
      </c>
      <c r="K74" s="470"/>
      <c r="L74" s="408"/>
      <c r="N74" s="795"/>
    </row>
    <row r="75" spans="1:14" ht="27.75">
      <c r="A75" s="1479" t="s">
        <v>194</v>
      </c>
      <c r="B75" s="1480"/>
      <c r="C75" s="1481"/>
      <c r="D75" s="599" t="s">
        <v>187</v>
      </c>
      <c r="E75" s="595">
        <f>'9'!F75</f>
        <v>4989</v>
      </c>
      <c r="F75" s="736">
        <v>5150</v>
      </c>
      <c r="G75" s="549">
        <f t="shared" si="6"/>
        <v>161</v>
      </c>
      <c r="H75" s="536">
        <f>G75+'9'!H75</f>
        <v>1630.7800000000002</v>
      </c>
      <c r="I75" s="556"/>
      <c r="J75" s="629">
        <f>H75/DAY(B2)</f>
        <v>163.07800000000003</v>
      </c>
      <c r="K75" s="469"/>
      <c r="L75" s="408"/>
      <c r="N75" s="795"/>
    </row>
    <row r="76" spans="1:14" ht="27.75">
      <c r="A76" s="1479" t="s">
        <v>195</v>
      </c>
      <c r="B76" s="1480"/>
      <c r="C76" s="1481"/>
      <c r="D76" s="599" t="s">
        <v>187</v>
      </c>
      <c r="E76" s="595">
        <f>'9'!F76</f>
        <v>2263</v>
      </c>
      <c r="F76" s="736">
        <v>2353</v>
      </c>
      <c r="G76" s="549">
        <f t="shared" si="6"/>
        <v>90</v>
      </c>
      <c r="H76" s="536">
        <f>G76+'9'!H76</f>
        <v>838.66000000000008</v>
      </c>
      <c r="I76" s="581"/>
      <c r="J76" s="629">
        <f>H76/DAY(B2)</f>
        <v>83.866000000000014</v>
      </c>
      <c r="K76" s="469"/>
      <c r="L76" s="408"/>
      <c r="N76" s="795"/>
    </row>
    <row r="77" spans="1:14" ht="27.75">
      <c r="A77" s="1430" t="s">
        <v>196</v>
      </c>
      <c r="B77" s="1431"/>
      <c r="C77" s="1432"/>
      <c r="D77" s="599" t="s">
        <v>187</v>
      </c>
      <c r="E77" s="595">
        <f>'9'!F77</f>
        <v>699058</v>
      </c>
      <c r="F77" s="736">
        <v>699114</v>
      </c>
      <c r="G77" s="733">
        <f t="shared" si="6"/>
        <v>56</v>
      </c>
      <c r="H77" s="536">
        <f>G77+'9'!H77</f>
        <v>526</v>
      </c>
      <c r="I77" s="581"/>
      <c r="J77" s="629">
        <f>H77/DAY(B2)</f>
        <v>52.6</v>
      </c>
      <c r="K77" s="469"/>
      <c r="L77" s="408"/>
      <c r="N77" s="795"/>
    </row>
    <row r="78" spans="1:14" ht="27.75">
      <c r="A78" s="1232" t="s">
        <v>197</v>
      </c>
      <c r="B78" s="1203"/>
      <c r="C78" s="1203"/>
      <c r="D78" s="599" t="s">
        <v>187</v>
      </c>
      <c r="E78" s="595">
        <f>'9'!F78</f>
        <v>656365</v>
      </c>
      <c r="F78" s="737">
        <v>656774</v>
      </c>
      <c r="G78" s="549">
        <f t="shared" si="6"/>
        <v>409</v>
      </c>
      <c r="H78" s="536">
        <f>G78+'9'!H78</f>
        <v>3911</v>
      </c>
      <c r="I78" s="581"/>
      <c r="J78" s="629">
        <f>H78/DAY(B2)</f>
        <v>391.1</v>
      </c>
      <c r="K78" s="469"/>
      <c r="L78" s="408"/>
      <c r="N78" s="795"/>
    </row>
    <row r="79" spans="1:14" ht="27.75">
      <c r="A79" s="1479" t="s">
        <v>92</v>
      </c>
      <c r="B79" s="1480"/>
      <c r="C79" s="1481"/>
      <c r="D79" s="600" t="s">
        <v>187</v>
      </c>
      <c r="E79" s="595">
        <f>'9'!F79</f>
        <v>817034</v>
      </c>
      <c r="F79" s="737">
        <v>817239</v>
      </c>
      <c r="G79" s="549">
        <f t="shared" si="6"/>
        <v>205</v>
      </c>
      <c r="H79" s="536">
        <f>G79+'9'!H79</f>
        <v>2130</v>
      </c>
      <c r="I79" s="581"/>
      <c r="J79" s="629">
        <f>H79/DAY(B2)</f>
        <v>213</v>
      </c>
      <c r="K79" s="469"/>
      <c r="L79" s="408"/>
      <c r="N79" s="795"/>
    </row>
    <row r="80" spans="1:14" ht="27.75">
      <c r="A80" s="1479" t="s">
        <v>198</v>
      </c>
      <c r="B80" s="1480"/>
      <c r="C80" s="1481"/>
      <c r="D80" s="600" t="s">
        <v>187</v>
      </c>
      <c r="E80" s="595">
        <f>'9'!F80</f>
        <v>497753</v>
      </c>
      <c r="F80" s="736">
        <v>498270</v>
      </c>
      <c r="G80" s="549">
        <f t="shared" si="6"/>
        <v>517</v>
      </c>
      <c r="H80" s="536">
        <f>G80+'9'!H80</f>
        <v>3596.359999999986</v>
      </c>
      <c r="I80" s="581"/>
      <c r="J80" s="629">
        <f>H80/DAY(B2)</f>
        <v>359.6359999999986</v>
      </c>
      <c r="K80" s="469"/>
      <c r="L80" s="408"/>
      <c r="N80" s="795"/>
    </row>
    <row r="81" spans="1:15" ht="27.75">
      <c r="A81" s="1479" t="s">
        <v>199</v>
      </c>
      <c r="B81" s="1480"/>
      <c r="C81" s="1481"/>
      <c r="D81" s="600" t="s">
        <v>187</v>
      </c>
      <c r="E81" s="595">
        <f>'9'!F81</f>
        <v>626928</v>
      </c>
      <c r="F81" s="736">
        <v>627017</v>
      </c>
      <c r="G81" s="549">
        <f t="shared" si="6"/>
        <v>89</v>
      </c>
      <c r="H81" s="536">
        <f>G81+'9'!H81</f>
        <v>1073.1600000000326</v>
      </c>
      <c r="I81" s="581"/>
      <c r="J81" s="629">
        <f>H81/DAY(B2)</f>
        <v>107.31600000000326</v>
      </c>
      <c r="K81" s="469"/>
      <c r="L81" s="408"/>
      <c r="N81" s="795"/>
    </row>
    <row r="82" spans="1:15" ht="27.75">
      <c r="A82" s="1479" t="s">
        <v>93</v>
      </c>
      <c r="B82" s="1480"/>
      <c r="C82" s="1481"/>
      <c r="D82" s="561" t="s">
        <v>132</v>
      </c>
      <c r="E82" s="595">
        <f>'9'!F82</f>
        <v>106394</v>
      </c>
      <c r="F82" s="732">
        <v>106419</v>
      </c>
      <c r="G82" s="549">
        <f t="shared" si="6"/>
        <v>25</v>
      </c>
      <c r="H82" s="536">
        <f>G82+'9'!H82</f>
        <v>216.52000000000407</v>
      </c>
      <c r="I82" s="562"/>
      <c r="J82" s="629">
        <f>H82/DAY(B2)</f>
        <v>21.652000000000406</v>
      </c>
      <c r="K82" s="469"/>
      <c r="L82" s="408"/>
      <c r="N82" s="795"/>
    </row>
    <row r="83" spans="1:15" ht="27.75">
      <c r="A83" s="1479" t="s">
        <v>200</v>
      </c>
      <c r="B83" s="1480"/>
      <c r="C83" s="1481"/>
      <c r="D83" s="697" t="s">
        <v>132</v>
      </c>
      <c r="E83" s="595">
        <f>'9'!F83</f>
        <v>783</v>
      </c>
      <c r="F83" s="587">
        <v>1274</v>
      </c>
      <c r="G83" s="549">
        <f t="shared" si="6"/>
        <v>491</v>
      </c>
      <c r="H83" s="536">
        <f>G83+'9'!H83</f>
        <v>4677</v>
      </c>
      <c r="I83" s="557"/>
      <c r="J83" s="629">
        <f>H83/DAY(B2)</f>
        <v>467.7</v>
      </c>
      <c r="K83" s="468"/>
      <c r="L83" s="408"/>
      <c r="N83" s="795"/>
    </row>
    <row r="84" spans="1:15">
      <c r="A84" s="1233" t="s">
        <v>201</v>
      </c>
      <c r="B84" s="648"/>
      <c r="C84" s="648"/>
      <c r="D84" s="554" t="s">
        <v>132</v>
      </c>
      <c r="E84" s="595">
        <f>'9'!F84</f>
        <v>437575</v>
      </c>
      <c r="F84" s="704">
        <v>438460</v>
      </c>
      <c r="G84" s="549">
        <f t="shared" si="6"/>
        <v>885</v>
      </c>
      <c r="H84" s="536">
        <f>G84+'9'!H84</f>
        <v>7662</v>
      </c>
      <c r="I84" s="557"/>
      <c r="J84" s="629">
        <f>H84/DAY(B2)</f>
        <v>766.2</v>
      </c>
      <c r="K84" s="411"/>
      <c r="L84" s="408"/>
      <c r="N84" s="795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3040</v>
      </c>
      <c r="H85" s="536">
        <f>G85+'9'!H85</f>
        <v>25370.929999999968</v>
      </c>
      <c r="I85" s="557"/>
      <c r="J85" s="629">
        <f>H85/DAY(B2)</f>
        <v>2537.0929999999967</v>
      </c>
      <c r="K85" s="411"/>
      <c r="L85" s="409"/>
      <c r="N85" s="795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'9'!F86</f>
        <v>451394</v>
      </c>
      <c r="F86" s="728">
        <v>451553</v>
      </c>
      <c r="G86" s="787">
        <f t="shared" ref="G86:G90" si="7">F86-E86</f>
        <v>159</v>
      </c>
      <c r="H86" s="536">
        <f>G86+'9'!H86</f>
        <v>360</v>
      </c>
      <c r="I86" s="733"/>
      <c r="J86" s="789">
        <f>H86/DAY(B2)</f>
        <v>36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'9'!F87</f>
        <v>79491</v>
      </c>
      <c r="F87" s="728">
        <v>79518</v>
      </c>
      <c r="G87" s="787">
        <f t="shared" si="7"/>
        <v>27</v>
      </c>
      <c r="H87" s="536">
        <f>G87+'9'!H87</f>
        <v>96</v>
      </c>
      <c r="I87" s="733"/>
      <c r="J87" s="789">
        <f>H87/DAY(B2)</f>
        <v>9.6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'9'!F88</f>
        <v>148916</v>
      </c>
      <c r="F88" s="717">
        <v>149012</v>
      </c>
      <c r="G88" s="787">
        <f t="shared" si="7"/>
        <v>96</v>
      </c>
      <c r="H88" s="536">
        <f>G88+'9'!H88</f>
        <v>293</v>
      </c>
      <c r="I88" s="733"/>
      <c r="J88" s="789">
        <f>H88/DAY(B2)</f>
        <v>29.3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'9'!F89</f>
        <v>62354</v>
      </c>
      <c r="F89" s="728">
        <v>62437</v>
      </c>
      <c r="G89" s="787">
        <f t="shared" si="7"/>
        <v>83</v>
      </c>
      <c r="H89" s="536">
        <f>G89+'9'!H89</f>
        <v>236</v>
      </c>
      <c r="I89" s="733"/>
      <c r="J89" s="789">
        <f>H89/DAY(B2)</f>
        <v>23.6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'9'!F90</f>
        <v>3203</v>
      </c>
      <c r="F90" s="728">
        <v>3209</v>
      </c>
      <c r="G90" s="787">
        <f t="shared" si="7"/>
        <v>6</v>
      </c>
      <c r="H90" s="536">
        <f>G90+'9'!H90</f>
        <v>16</v>
      </c>
      <c r="I90" s="733"/>
      <c r="J90" s="789">
        <f>H90/DAY(B2)</f>
        <v>1.6</v>
      </c>
      <c r="K90" s="815"/>
      <c r="L90" s="816"/>
      <c r="N90" s="860"/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795"/>
    </row>
    <row r="92" spans="1:15" ht="27.75">
      <c r="A92" s="1433" t="s">
        <v>206</v>
      </c>
      <c r="B92" s="1434"/>
      <c r="C92" s="1435"/>
      <c r="D92" s="599" t="s">
        <v>144</v>
      </c>
      <c r="E92" s="560">
        <f>'9'!F92</f>
        <v>240633</v>
      </c>
      <c r="F92" s="554">
        <v>240680</v>
      </c>
      <c r="G92" s="549">
        <f t="shared" ref="G92:G93" si="8">F92-E92</f>
        <v>47</v>
      </c>
      <c r="H92" s="536">
        <f>G92+'9'!H92</f>
        <v>985</v>
      </c>
      <c r="I92" s="556"/>
      <c r="J92" s="629">
        <f>H92/DAY(B2)</f>
        <v>98.5</v>
      </c>
      <c r="K92" s="468"/>
      <c r="L92" s="408"/>
      <c r="N92" s="795"/>
    </row>
    <row r="93" spans="1:15" ht="27.75">
      <c r="A93" s="1433" t="s">
        <v>207</v>
      </c>
      <c r="B93" s="1434"/>
      <c r="C93" s="1435"/>
      <c r="D93" s="599" t="s">
        <v>144</v>
      </c>
      <c r="E93" s="560">
        <f>'9'!F93</f>
        <v>176871</v>
      </c>
      <c r="F93" s="554">
        <v>176979</v>
      </c>
      <c r="G93" s="549">
        <f t="shared" si="8"/>
        <v>108</v>
      </c>
      <c r="H93" s="536">
        <f>G93+'9'!H93</f>
        <v>1318</v>
      </c>
      <c r="I93" s="556"/>
      <c r="J93" s="629">
        <f>H93/DAY(B2)</f>
        <v>131.80000000000001</v>
      </c>
      <c r="K93" s="411"/>
      <c r="L93" s="408"/>
      <c r="N93" s="795"/>
    </row>
    <row r="94" spans="1:15">
      <c r="A94" s="1427" t="s">
        <v>208</v>
      </c>
      <c r="B94" s="1428"/>
      <c r="C94" s="1429"/>
      <c r="D94" s="599"/>
      <c r="E94" s="560"/>
      <c r="F94" s="554"/>
      <c r="G94" s="549">
        <f>G92+G93</f>
        <v>155</v>
      </c>
      <c r="H94" s="536">
        <f>G94+'9'!H94</f>
        <v>2037</v>
      </c>
      <c r="I94" s="556"/>
      <c r="J94" s="629">
        <f>H94/DAY(B2)</f>
        <v>203.7</v>
      </c>
      <c r="K94" s="411"/>
      <c r="L94" s="408"/>
      <c r="N94" s="795"/>
    </row>
    <row r="95" spans="1:15" ht="27.75">
      <c r="A95" s="1433" t="s">
        <v>209</v>
      </c>
      <c r="B95" s="1434"/>
      <c r="C95" s="1435"/>
      <c r="D95" s="599" t="s">
        <v>144</v>
      </c>
      <c r="E95" s="560">
        <f>'9'!F95</f>
        <v>408976</v>
      </c>
      <c r="F95" s="554">
        <v>409044</v>
      </c>
      <c r="G95" s="549">
        <f t="shared" ref="G95:G100" si="9">F95-E95</f>
        <v>68</v>
      </c>
      <c r="H95" s="536">
        <f>G95+'9'!H95</f>
        <v>888</v>
      </c>
      <c r="I95" s="556"/>
      <c r="J95" s="629">
        <f>H95/DAY(B2)</f>
        <v>88.8</v>
      </c>
      <c r="K95" s="411"/>
      <c r="L95" s="408"/>
      <c r="N95" s="795"/>
    </row>
    <row r="96" spans="1:15" ht="27.75">
      <c r="A96" s="1229" t="s">
        <v>210</v>
      </c>
      <c r="B96" s="1230"/>
      <c r="C96" s="1230"/>
      <c r="D96" s="599" t="s">
        <v>144</v>
      </c>
      <c r="E96" s="560">
        <f>'9'!F96</f>
        <v>101479</v>
      </c>
      <c r="F96" s="554">
        <v>101490</v>
      </c>
      <c r="G96" s="549">
        <f t="shared" si="9"/>
        <v>11</v>
      </c>
      <c r="H96" s="536">
        <f>G96+'9'!H96</f>
        <v>158</v>
      </c>
      <c r="I96" s="556"/>
      <c r="J96" s="629">
        <f>H96/DAY(B2)</f>
        <v>15.8</v>
      </c>
      <c r="K96" s="466"/>
      <c r="L96" s="408"/>
      <c r="N96" s="795"/>
    </row>
    <row r="97" spans="1:14" ht="27.75">
      <c r="A97" s="1229" t="s">
        <v>211</v>
      </c>
      <c r="B97" s="1230"/>
      <c r="C97" s="1230"/>
      <c r="D97" s="599" t="s">
        <v>144</v>
      </c>
      <c r="E97" s="560">
        <f>'9'!F97</f>
        <v>96618</v>
      </c>
      <c r="F97" s="554">
        <v>96636</v>
      </c>
      <c r="G97" s="549">
        <f t="shared" si="9"/>
        <v>18</v>
      </c>
      <c r="H97" s="536">
        <f>G97+'9'!H97</f>
        <v>187</v>
      </c>
      <c r="I97" s="556"/>
      <c r="J97" s="629">
        <f>H97/DAY(B2)</f>
        <v>18.7</v>
      </c>
      <c r="K97" s="471"/>
      <c r="L97" s="408"/>
      <c r="N97" s="795"/>
    </row>
    <row r="98" spans="1:14" ht="27.75">
      <c r="A98" s="1229" t="s">
        <v>212</v>
      </c>
      <c r="B98" s="1230"/>
      <c r="C98" s="1230"/>
      <c r="D98" s="599" t="s">
        <v>144</v>
      </c>
      <c r="E98" s="560">
        <f>'9'!F98</f>
        <v>148116</v>
      </c>
      <c r="F98" s="554">
        <v>148160</v>
      </c>
      <c r="G98" s="549">
        <f t="shared" si="9"/>
        <v>44</v>
      </c>
      <c r="H98" s="536">
        <f>G98+'9'!H98</f>
        <v>552</v>
      </c>
      <c r="I98" s="556"/>
      <c r="J98" s="629">
        <f>H98/DAY(B2)</f>
        <v>55.2</v>
      </c>
      <c r="K98" s="411"/>
      <c r="L98" s="408"/>
      <c r="N98" s="797"/>
    </row>
    <row r="99" spans="1:14" ht="27.75">
      <c r="A99" s="1229" t="s">
        <v>213</v>
      </c>
      <c r="B99" s="1230"/>
      <c r="C99" s="1230"/>
      <c r="D99" s="599" t="s">
        <v>144</v>
      </c>
      <c r="E99" s="560">
        <f>'9'!F99</f>
        <v>6540</v>
      </c>
      <c r="F99" s="554">
        <v>6547</v>
      </c>
      <c r="G99" s="549">
        <f t="shared" si="9"/>
        <v>7</v>
      </c>
      <c r="H99" s="536">
        <f>G99+'9'!H99</f>
        <v>139</v>
      </c>
      <c r="I99" s="556"/>
      <c r="J99" s="629">
        <f>H99/DAY(B2)</f>
        <v>13.9</v>
      </c>
      <c r="K99" s="411"/>
      <c r="L99" s="408"/>
      <c r="N99" s="795"/>
    </row>
    <row r="100" spans="1:14" ht="27.75">
      <c r="A100" s="1229" t="s">
        <v>214</v>
      </c>
      <c r="B100" s="1230"/>
      <c r="C100" s="1230"/>
      <c r="D100" s="599" t="s">
        <v>144</v>
      </c>
      <c r="E100" s="560">
        <f>'9'!F100</f>
        <v>4638</v>
      </c>
      <c r="F100" s="554">
        <v>4646</v>
      </c>
      <c r="G100" s="549">
        <f t="shared" si="9"/>
        <v>8</v>
      </c>
      <c r="H100" s="536">
        <f>G100+'9'!H100</f>
        <v>103</v>
      </c>
      <c r="I100" s="556"/>
      <c r="J100" s="629">
        <f>H100/DAY(B2)</f>
        <v>10.3</v>
      </c>
      <c r="K100" s="411"/>
      <c r="L100" s="408"/>
      <c r="N100" s="795"/>
    </row>
    <row r="101" spans="1:14">
      <c r="A101" s="1427" t="s">
        <v>216</v>
      </c>
      <c r="B101" s="1428"/>
      <c r="C101" s="1429"/>
      <c r="D101" s="600"/>
      <c r="E101" s="560"/>
      <c r="F101" s="600"/>
      <c r="G101" s="601">
        <f>SUM(G95:G100)</f>
        <v>156</v>
      </c>
      <c r="H101" s="536">
        <f>G101+'9'!H101</f>
        <v>2027</v>
      </c>
      <c r="I101" s="602"/>
      <c r="J101" s="629">
        <f>H101/DAY(B2)</f>
        <v>202.7</v>
      </c>
      <c r="K101" s="411"/>
      <c r="L101" s="408"/>
      <c r="N101" s="795"/>
    </row>
    <row r="102" spans="1:14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795"/>
    </row>
    <row r="103" spans="1:14" s="481" customFormat="1" ht="27.75">
      <c r="A103" s="1436" t="s">
        <v>218</v>
      </c>
      <c r="B103" s="1437"/>
      <c r="C103" s="650"/>
      <c r="D103" s="699"/>
      <c r="E103" s="560"/>
      <c r="F103" s="739"/>
      <c r="G103" s="608"/>
      <c r="H103" s="609"/>
      <c r="I103" s="608"/>
      <c r="J103" s="635"/>
      <c r="N103" s="795"/>
    </row>
    <row r="104" spans="1:14" s="481" customFormat="1" ht="27.75">
      <c r="A104" s="1438" t="s">
        <v>219</v>
      </c>
      <c r="B104" s="1439"/>
      <c r="C104" s="1228"/>
      <c r="D104" s="699" t="s">
        <v>144</v>
      </c>
      <c r="E104" s="560">
        <v>7225</v>
      </c>
      <c r="F104" s="739">
        <v>7233</v>
      </c>
      <c r="G104" s="608">
        <v>8</v>
      </c>
      <c r="H104" s="536">
        <f>G104+'9'!H104</f>
        <v>38</v>
      </c>
      <c r="I104" s="608"/>
      <c r="J104" s="635">
        <f>H104/DAY(B2)</f>
        <v>3.8</v>
      </c>
      <c r="N104" s="795"/>
    </row>
    <row r="105" spans="1:14" s="481" customFormat="1" ht="27.75">
      <c r="A105" s="1438" t="s">
        <v>77</v>
      </c>
      <c r="B105" s="1439"/>
      <c r="C105" s="1228"/>
      <c r="D105" s="699" t="s">
        <v>144</v>
      </c>
      <c r="E105" s="560">
        <f>'9'!F105</f>
        <v>35481</v>
      </c>
      <c r="F105" s="740">
        <v>35488</v>
      </c>
      <c r="G105" s="608">
        <f t="shared" ref="G105:G106" si="10">F105-E105</f>
        <v>7</v>
      </c>
      <c r="H105" s="536">
        <f>G105+'9'!H105</f>
        <v>90</v>
      </c>
      <c r="I105" s="608"/>
      <c r="J105" s="635">
        <f>H105/DAY(B2)</f>
        <v>9</v>
      </c>
      <c r="N105" s="795"/>
    </row>
    <row r="106" spans="1:14" s="481" customFormat="1" ht="27.75">
      <c r="A106" s="1438" t="s">
        <v>78</v>
      </c>
      <c r="B106" s="1440"/>
      <c r="C106" s="1439"/>
      <c r="D106" s="699" t="s">
        <v>144</v>
      </c>
      <c r="E106" s="560">
        <f>'9'!F106</f>
        <v>19292</v>
      </c>
      <c r="F106" s="740">
        <v>19297</v>
      </c>
      <c r="G106" s="608">
        <f t="shared" si="10"/>
        <v>5</v>
      </c>
      <c r="H106" s="536">
        <f>G106+'9'!H106</f>
        <v>56</v>
      </c>
      <c r="I106" s="608"/>
      <c r="J106" s="635">
        <f>H106/DAY(B2)</f>
        <v>5.6</v>
      </c>
      <c r="N106" s="795"/>
    </row>
    <row r="107" spans="1:14" s="481" customFormat="1" ht="27.75">
      <c r="A107" s="1441" t="s">
        <v>202</v>
      </c>
      <c r="B107" s="1442"/>
      <c r="C107" s="1228"/>
      <c r="D107" s="699"/>
      <c r="E107" s="560"/>
      <c r="F107" s="740"/>
      <c r="G107" s="608">
        <f>SUM(G104:G106)</f>
        <v>20</v>
      </c>
      <c r="H107" s="536">
        <f>G107+'9'!H107</f>
        <v>184</v>
      </c>
      <c r="I107" s="608"/>
      <c r="J107" s="635">
        <f>H107/DAY(B2)</f>
        <v>18.399999999999999</v>
      </c>
      <c r="N107" s="795"/>
    </row>
    <row r="108" spans="1:14" s="481" customFormat="1" ht="27.75">
      <c r="A108" s="1443" t="s">
        <v>79</v>
      </c>
      <c r="B108" s="1444"/>
      <c r="C108" s="1228"/>
      <c r="D108" s="699" t="s">
        <v>144</v>
      </c>
      <c r="E108" s="560"/>
      <c r="F108" s="740"/>
      <c r="G108" s="608"/>
      <c r="H108" s="609"/>
      <c r="I108" s="608"/>
      <c r="J108" s="635"/>
      <c r="N108" s="795"/>
    </row>
    <row r="109" spans="1:14" s="481" customFormat="1" ht="27.75">
      <c r="A109" s="1438" t="s">
        <v>220</v>
      </c>
      <c r="B109" s="1439"/>
      <c r="C109" s="1228"/>
      <c r="D109" s="699" t="s">
        <v>144</v>
      </c>
      <c r="E109" s="560">
        <f>'9'!F109</f>
        <v>57061</v>
      </c>
      <c r="F109" s="740">
        <v>57144</v>
      </c>
      <c r="G109" s="608">
        <f>F109-E109</f>
        <v>83</v>
      </c>
      <c r="H109" s="536">
        <f>G109+'9'!H109</f>
        <v>873</v>
      </c>
      <c r="I109" s="608"/>
      <c r="J109" s="635">
        <f>H109/DAY(B2)</f>
        <v>87.3</v>
      </c>
      <c r="N109" s="795"/>
    </row>
    <row r="110" spans="1:14" s="481" customFormat="1" ht="27.75">
      <c r="A110" s="1438" t="s">
        <v>221</v>
      </c>
      <c r="B110" s="1439"/>
      <c r="C110" s="1228"/>
      <c r="D110" s="699" t="s">
        <v>144</v>
      </c>
      <c r="E110" s="560">
        <f>'9'!F110</f>
        <v>31060</v>
      </c>
      <c r="F110" s="740">
        <v>31098</v>
      </c>
      <c r="G110" s="608">
        <f t="shared" ref="G110:G111" si="11">F110-E110</f>
        <v>38</v>
      </c>
      <c r="H110" s="536">
        <f>G110+'9'!H110</f>
        <v>610</v>
      </c>
      <c r="I110" s="608"/>
      <c r="J110" s="635">
        <f>H110/DAY(B2)</f>
        <v>61</v>
      </c>
      <c r="N110" s="795"/>
    </row>
    <row r="111" spans="1:14" s="481" customFormat="1" ht="27.75">
      <c r="A111" s="1438" t="s">
        <v>222</v>
      </c>
      <c r="B111" s="1439"/>
      <c r="C111" s="1228"/>
      <c r="D111" s="699" t="s">
        <v>144</v>
      </c>
      <c r="E111" s="560">
        <f>'9'!F111</f>
        <v>4043</v>
      </c>
      <c r="F111" s="740">
        <v>4047</v>
      </c>
      <c r="G111" s="608">
        <f t="shared" si="11"/>
        <v>4</v>
      </c>
      <c r="H111" s="536">
        <f>G111+'9'!H111</f>
        <v>67</v>
      </c>
      <c r="I111" s="608"/>
      <c r="J111" s="635">
        <f>H111/DAY(B2)</f>
        <v>6.7</v>
      </c>
      <c r="N111" s="795"/>
    </row>
    <row r="112" spans="1:14" s="481" customFormat="1" ht="27.75">
      <c r="A112" s="1441" t="s">
        <v>110</v>
      </c>
      <c r="B112" s="1442"/>
      <c r="C112" s="1228"/>
      <c r="D112" s="699"/>
      <c r="E112" s="560"/>
      <c r="F112" s="740"/>
      <c r="G112" s="608">
        <f>SUM(G109:G111)</f>
        <v>125</v>
      </c>
      <c r="H112" s="536">
        <f>G112+'9'!H112</f>
        <v>1550</v>
      </c>
      <c r="I112" s="608"/>
      <c r="J112" s="635">
        <f>H112/DAY(B2)</f>
        <v>155</v>
      </c>
      <c r="N112" s="795"/>
    </row>
    <row r="113" spans="1:14" s="481" customFormat="1" ht="27.75">
      <c r="A113" s="1443" t="s">
        <v>223</v>
      </c>
      <c r="B113" s="1444"/>
      <c r="C113" s="1228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795"/>
    </row>
    <row r="114" spans="1:14" s="481" customFormat="1" ht="27.75">
      <c r="A114" s="1438" t="s">
        <v>224</v>
      </c>
      <c r="B114" s="1439"/>
      <c r="C114" s="651"/>
      <c r="D114" s="699" t="s">
        <v>144</v>
      </c>
      <c r="E114" s="560">
        <f>'9'!F114</f>
        <v>10480</v>
      </c>
      <c r="F114" s="740">
        <v>10488</v>
      </c>
      <c r="G114" s="610">
        <f>F114-E114</f>
        <v>8</v>
      </c>
      <c r="H114" s="536">
        <f>G114+'9'!H114</f>
        <v>174</v>
      </c>
      <c r="I114" s="608"/>
      <c r="J114" s="635">
        <f>H114/DAY(B2)</f>
        <v>17.399999999999999</v>
      </c>
      <c r="N114" s="795"/>
    </row>
    <row r="115" spans="1:14" s="481" customFormat="1" ht="27.75">
      <c r="A115" s="1438" t="s">
        <v>225</v>
      </c>
      <c r="B115" s="1439"/>
      <c r="C115" s="651"/>
      <c r="D115" s="699" t="s">
        <v>144</v>
      </c>
      <c r="E115" s="560">
        <f>'9'!F115</f>
        <v>7746</v>
      </c>
      <c r="F115" s="740">
        <v>7749</v>
      </c>
      <c r="G115" s="610">
        <f t="shared" ref="G115:G116" si="12">F115-E115</f>
        <v>3</v>
      </c>
      <c r="H115" s="536">
        <f>G115+'9'!H115</f>
        <v>93</v>
      </c>
      <c r="I115" s="608"/>
      <c r="J115" s="635">
        <f>H115/DAY(B2)</f>
        <v>9.3000000000000007</v>
      </c>
      <c r="N115" s="795"/>
    </row>
    <row r="116" spans="1:14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795"/>
    </row>
    <row r="117" spans="1:14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11</v>
      </c>
      <c r="H117" s="536">
        <f>G117+'9'!H117</f>
        <v>267</v>
      </c>
      <c r="I117" s="610"/>
      <c r="J117" s="635">
        <f>H117/DAY(B2)</f>
        <v>26.7</v>
      </c>
      <c r="N117" s="795"/>
    </row>
    <row r="118" spans="1:14" s="495" customFormat="1" ht="27.75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99</v>
      </c>
      <c r="G118" s="612">
        <f>SUM(G19+G92)</f>
        <v>99</v>
      </c>
      <c r="H118" s="536">
        <f>G118+'9'!H118</f>
        <v>1499</v>
      </c>
      <c r="I118" s="611"/>
      <c r="J118" s="636">
        <f>H118/DAY(B2)</f>
        <v>149.9</v>
      </c>
      <c r="N118" s="795"/>
    </row>
    <row r="119" spans="1:14" s="495" customFormat="1" ht="27.75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112</v>
      </c>
      <c r="G119" s="612">
        <f>SUM(G95,G96,G97,G99,G100)</f>
        <v>112</v>
      </c>
      <c r="H119" s="536">
        <f>G119+'9'!H119</f>
        <v>1475</v>
      </c>
      <c r="I119" s="611"/>
      <c r="J119" s="636">
        <f>H119/DAY(B2)</f>
        <v>147.5</v>
      </c>
      <c r="N119" s="795"/>
    </row>
    <row r="120" spans="1:14" s="495" customFormat="1" ht="27.75">
      <c r="A120" s="1472" t="s">
        <v>229</v>
      </c>
      <c r="B120" s="1473"/>
      <c r="C120" s="1226"/>
      <c r="D120" s="701" t="s">
        <v>144</v>
      </c>
      <c r="E120" s="610"/>
      <c r="F120" s="740">
        <f>SUM(G112)</f>
        <v>125</v>
      </c>
      <c r="G120" s="610">
        <f>SUM(G112)</f>
        <v>125</v>
      </c>
      <c r="H120" s="536">
        <f>G120+'9'!H120</f>
        <v>1550</v>
      </c>
      <c r="I120" s="611"/>
      <c r="J120" s="636">
        <f>H120/DAY(B2)</f>
        <v>155</v>
      </c>
      <c r="N120" s="795"/>
    </row>
    <row r="121" spans="1:14" s="481" customFormat="1" ht="27.75">
      <c r="A121" s="1474"/>
      <c r="B121" s="1475"/>
      <c r="C121" s="1227"/>
      <c r="D121" s="637"/>
      <c r="E121" s="637"/>
      <c r="F121" s="742" t="s">
        <v>215</v>
      </c>
      <c r="G121" s="637"/>
      <c r="H121" s="638"/>
      <c r="I121" s="637"/>
      <c r="J121" s="639"/>
      <c r="N121" s="795"/>
    </row>
    <row r="122" spans="1:14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795"/>
    </row>
    <row r="123" spans="1:14" ht="27.75">
      <c r="A123" s="1229" t="s">
        <v>231</v>
      </c>
      <c r="B123" s="1230"/>
      <c r="C123" s="1230"/>
      <c r="D123" s="599" t="s">
        <v>141</v>
      </c>
      <c r="E123" s="554">
        <f>'9'!F123</f>
        <v>813320</v>
      </c>
      <c r="F123" s="554">
        <v>813567</v>
      </c>
      <c r="G123" s="549">
        <f t="shared" ref="G123:G127" si="13">F123-E123</f>
        <v>247</v>
      </c>
      <c r="H123" s="536">
        <f>G123+'9'!H123</f>
        <v>2560.1600000000326</v>
      </c>
      <c r="I123" s="602"/>
      <c r="J123" s="629">
        <f>H123/DAY(B2)</f>
        <v>256.01600000000326</v>
      </c>
      <c r="K123" s="411"/>
      <c r="L123" s="408"/>
      <c r="N123" s="795"/>
    </row>
    <row r="124" spans="1:14" ht="27.75">
      <c r="A124" s="1229" t="s">
        <v>232</v>
      </c>
      <c r="B124" s="1230"/>
      <c r="C124" s="1230"/>
      <c r="D124" s="599" t="s">
        <v>141</v>
      </c>
      <c r="E124" s="703">
        <f>'9'!F124</f>
        <v>73583.399999999994</v>
      </c>
      <c r="F124" s="703">
        <v>73583</v>
      </c>
      <c r="G124" s="549">
        <f t="shared" si="13"/>
        <v>-0.39999999999417923</v>
      </c>
      <c r="H124" s="536">
        <f>G124+'9'!H124</f>
        <v>-0.39999999999417923</v>
      </c>
      <c r="I124" s="602"/>
      <c r="J124" s="629">
        <f>H124/DAY(B2)</f>
        <v>-3.9999999999417925E-2</v>
      </c>
      <c r="K124" s="411"/>
      <c r="L124" s="408"/>
      <c r="N124" s="795"/>
    </row>
    <row r="125" spans="1:14" ht="27.75">
      <c r="A125" s="1430" t="s">
        <v>233</v>
      </c>
      <c r="B125" s="1431"/>
      <c r="C125" s="1432"/>
      <c r="D125" s="599" t="s">
        <v>141</v>
      </c>
      <c r="E125" s="554">
        <f>'9'!F125</f>
        <v>140570</v>
      </c>
      <c r="F125" s="554">
        <v>140646</v>
      </c>
      <c r="G125" s="549">
        <f t="shared" si="13"/>
        <v>76</v>
      </c>
      <c r="H125" s="536">
        <f>G125+'9'!H125</f>
        <v>666.66000000000349</v>
      </c>
      <c r="I125" s="602"/>
      <c r="J125" s="629">
        <f>H125/DAY(B2)</f>
        <v>66.666000000000352</v>
      </c>
      <c r="K125" s="411"/>
      <c r="L125" s="408"/>
      <c r="N125" s="795"/>
    </row>
    <row r="126" spans="1:14" ht="27.75">
      <c r="A126" s="686" t="s">
        <v>234</v>
      </c>
      <c r="B126" s="1230"/>
      <c r="C126" s="1230"/>
      <c r="D126" s="599" t="s">
        <v>141</v>
      </c>
      <c r="E126" s="703">
        <f>'9'!F126</f>
        <v>59599</v>
      </c>
      <c r="F126" s="703">
        <v>59650</v>
      </c>
      <c r="G126" s="549">
        <f t="shared" si="13"/>
        <v>51</v>
      </c>
      <c r="H126" s="536">
        <f>G126+'9'!H126</f>
        <v>343.09999999999854</v>
      </c>
      <c r="I126" s="602"/>
      <c r="J126" s="629">
        <f>H126/DAY(B2)</f>
        <v>34.309999999999853</v>
      </c>
      <c r="K126" s="411"/>
      <c r="L126" s="408"/>
      <c r="N126" s="795"/>
    </row>
    <row r="127" spans="1:14" ht="27.75">
      <c r="A127" s="686" t="s">
        <v>235</v>
      </c>
      <c r="B127" s="1230"/>
      <c r="C127" s="1230"/>
      <c r="D127" s="599" t="s">
        <v>141</v>
      </c>
      <c r="E127" s="703">
        <f>'9'!F127</f>
        <v>8908</v>
      </c>
      <c r="F127" s="703">
        <v>8911</v>
      </c>
      <c r="G127" s="549">
        <f t="shared" si="13"/>
        <v>3</v>
      </c>
      <c r="H127" s="536">
        <f>G127+'9'!H127</f>
        <v>23.200000000000728</v>
      </c>
      <c r="I127" s="556"/>
      <c r="J127" s="629">
        <f>H127/DAY(B2)</f>
        <v>2.3200000000000727</v>
      </c>
      <c r="K127" s="411"/>
      <c r="L127" s="408"/>
      <c r="N127" s="795"/>
    </row>
    <row r="128" spans="1:14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470.52999999988242</v>
      </c>
      <c r="H128" s="536"/>
      <c r="I128" s="556"/>
      <c r="J128" s="629"/>
      <c r="K128" s="391"/>
      <c r="L128" s="293"/>
      <c r="N128" s="795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795"/>
    </row>
    <row r="130" spans="1:14" ht="27.75">
      <c r="A130" s="1229" t="s">
        <v>238</v>
      </c>
      <c r="B130" s="1230"/>
      <c r="C130" s="1230"/>
      <c r="D130" s="599" t="s">
        <v>239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795"/>
    </row>
    <row r="131" spans="1:14" ht="27.75">
      <c r="A131" s="1229" t="s">
        <v>240</v>
      </c>
      <c r="B131" s="1230"/>
      <c r="C131" s="1230"/>
      <c r="D131" s="599" t="s">
        <v>239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795"/>
    </row>
    <row r="132" spans="1:14" ht="27.75">
      <c r="A132" s="1229" t="s">
        <v>241</v>
      </c>
      <c r="B132" s="1230"/>
      <c r="C132" s="1230"/>
      <c r="D132" s="599" t="s">
        <v>239</v>
      </c>
      <c r="E132" s="560">
        <f>'9'!F132</f>
        <v>39219.35</v>
      </c>
      <c r="F132" s="703">
        <v>39219.35</v>
      </c>
      <c r="G132" s="549">
        <f t="shared" si="14"/>
        <v>0</v>
      </c>
      <c r="H132" s="536">
        <f>G132+'9'!H132</f>
        <v>390.34999999999854</v>
      </c>
      <c r="I132" s="556"/>
      <c r="J132" s="629">
        <f>H132/DAY(B2)</f>
        <v>39.034999999999854</v>
      </c>
      <c r="N132" s="795"/>
    </row>
    <row r="133" spans="1:14" ht="27.75">
      <c r="A133" s="1229" t="s">
        <v>242</v>
      </c>
      <c r="B133" s="1230"/>
      <c r="C133" s="1230"/>
      <c r="D133" s="599" t="s">
        <v>239</v>
      </c>
      <c r="E133" s="560">
        <f>'9'!F133</f>
        <v>299</v>
      </c>
      <c r="F133" s="561">
        <v>299</v>
      </c>
      <c r="G133" s="549">
        <f t="shared" si="14"/>
        <v>0</v>
      </c>
      <c r="H133" s="536">
        <f>G133+'9'!H133</f>
        <v>-1</v>
      </c>
      <c r="I133" s="556">
        <f>G130+G131+G132+G133</f>
        <v>0</v>
      </c>
      <c r="J133" s="629">
        <f>H133/DAY(B2)</f>
        <v>-0.1</v>
      </c>
      <c r="N133" s="795"/>
    </row>
    <row r="134" spans="1:14" ht="27.75">
      <c r="A134" s="1229" t="s">
        <v>243</v>
      </c>
      <c r="B134" s="1230"/>
      <c r="C134" s="1230"/>
      <c r="D134" s="599" t="s">
        <v>239</v>
      </c>
      <c r="E134" s="560">
        <f>'9'!F134</f>
        <v>40578.42</v>
      </c>
      <c r="F134" s="703">
        <v>40602.43</v>
      </c>
      <c r="G134" s="549">
        <f t="shared" si="14"/>
        <v>24.010000000002037</v>
      </c>
      <c r="H134" s="536">
        <f>G134+'9'!H134</f>
        <v>235.29000000000087</v>
      </c>
      <c r="I134" s="556"/>
      <c r="J134" s="629">
        <f>H134/DAY(B2)</f>
        <v>23.529000000000089</v>
      </c>
      <c r="N134" s="795"/>
    </row>
    <row r="135" spans="1:14" ht="27.75">
      <c r="A135" s="1229" t="s">
        <v>244</v>
      </c>
      <c r="B135" s="1230"/>
      <c r="C135" s="1230"/>
      <c r="D135" s="599" t="s">
        <v>239</v>
      </c>
      <c r="E135" s="560">
        <f>'9'!F135</f>
        <v>32582.560000000001</v>
      </c>
      <c r="F135" s="703">
        <v>32582.560000000001</v>
      </c>
      <c r="G135" s="549">
        <f t="shared" si="14"/>
        <v>0</v>
      </c>
      <c r="H135" s="536">
        <f>G135+'9'!H135</f>
        <v>11.56000000000131</v>
      </c>
      <c r="I135" s="556"/>
      <c r="J135" s="629">
        <f>H135/DAY(B2)</f>
        <v>1.1560000000001309</v>
      </c>
      <c r="N135" s="795"/>
    </row>
    <row r="136" spans="1:14" ht="27.75">
      <c r="A136" s="1229" t="s">
        <v>245</v>
      </c>
      <c r="B136" s="1230"/>
      <c r="C136" s="1230"/>
      <c r="D136" s="599" t="s">
        <v>239</v>
      </c>
      <c r="E136" s="560">
        <f>'9'!F136</f>
        <v>22301.83</v>
      </c>
      <c r="F136" s="732">
        <v>22310</v>
      </c>
      <c r="G136" s="549">
        <f t="shared" si="14"/>
        <v>8.1699999999982538</v>
      </c>
      <c r="H136" s="536">
        <f>G136+'9'!H136</f>
        <v>87.790000000000873</v>
      </c>
      <c r="I136" s="556">
        <f>G134+G135+G136</f>
        <v>32.180000000000291</v>
      </c>
      <c r="J136" s="629">
        <f>H136/DAY(B2)</f>
        <v>8.779000000000087</v>
      </c>
      <c r="N136" s="795"/>
    </row>
    <row r="137" spans="1:14" ht="27.75">
      <c r="A137" s="1229" t="s">
        <v>246</v>
      </c>
      <c r="B137" s="1230"/>
      <c r="C137" s="1230"/>
      <c r="D137" s="599" t="s">
        <v>239</v>
      </c>
      <c r="E137" s="560">
        <f>'9'!F137</f>
        <v>25044</v>
      </c>
      <c r="F137" s="732">
        <v>25044</v>
      </c>
      <c r="G137" s="549">
        <f t="shared" si="14"/>
        <v>0</v>
      </c>
      <c r="H137" s="536">
        <f>G137+'9'!H137</f>
        <v>-0.31000000000130967</v>
      </c>
      <c r="I137" s="556"/>
      <c r="J137" s="629">
        <f>H137/DAY(B2)</f>
        <v>-3.1000000000130968E-2</v>
      </c>
      <c r="N137" s="795"/>
    </row>
    <row r="138" spans="1:14" ht="27.75">
      <c r="A138" s="1229" t="s">
        <v>247</v>
      </c>
      <c r="B138" s="1230"/>
      <c r="C138" s="1230"/>
      <c r="D138" s="599" t="s">
        <v>239</v>
      </c>
      <c r="E138" s="560">
        <f>'9'!F138</f>
        <v>70186.820000000007</v>
      </c>
      <c r="F138" s="732">
        <v>70190</v>
      </c>
      <c r="G138" s="549">
        <f t="shared" si="14"/>
        <v>3.1799999999930151</v>
      </c>
      <c r="H138" s="536">
        <f>G138+'9'!H138</f>
        <v>42.660000000003492</v>
      </c>
      <c r="I138" s="556">
        <f>G137+G138</f>
        <v>3.1799999999930151</v>
      </c>
      <c r="J138" s="629">
        <f>H138/DAY(B2)</f>
        <v>4.2660000000003491</v>
      </c>
      <c r="N138" s="795"/>
    </row>
    <row r="139" spans="1:14" ht="27.75">
      <c r="A139" s="1229" t="s">
        <v>248</v>
      </c>
      <c r="B139" s="1230"/>
      <c r="C139" s="1230"/>
      <c r="D139" s="599" t="s">
        <v>239</v>
      </c>
      <c r="E139" s="560">
        <f>'9'!F139</f>
        <v>1490</v>
      </c>
      <c r="F139" s="703">
        <v>1497</v>
      </c>
      <c r="G139" s="549">
        <f t="shared" si="14"/>
        <v>7</v>
      </c>
      <c r="H139" s="536">
        <f>G139+'9'!H139</f>
        <v>73.8599999999999</v>
      </c>
      <c r="I139" s="619"/>
      <c r="J139" s="629">
        <f>H139/DAY(B2)</f>
        <v>7.3859999999999904</v>
      </c>
      <c r="N139" s="795"/>
    </row>
    <row r="140" spans="1:14" ht="27.75">
      <c r="A140" s="1229" t="s">
        <v>249</v>
      </c>
      <c r="B140" s="1230"/>
      <c r="C140" s="1230"/>
      <c r="D140" s="599" t="s">
        <v>239</v>
      </c>
      <c r="E140" s="560">
        <f>'9'!F140</f>
        <v>4334</v>
      </c>
      <c r="F140" s="554">
        <v>4334</v>
      </c>
      <c r="G140" s="549">
        <f t="shared" si="14"/>
        <v>0</v>
      </c>
      <c r="H140" s="536">
        <f>G140+'9'!H140</f>
        <v>0</v>
      </c>
      <c r="I140" s="619"/>
      <c r="J140" s="629">
        <f>H140/DAY(B2)</f>
        <v>0</v>
      </c>
      <c r="N140" s="795"/>
    </row>
    <row r="141" spans="1:14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795"/>
    </row>
    <row r="142" spans="1:14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5954</v>
      </c>
      <c r="H142" s="536">
        <f>G142+'9'!H142</f>
        <v>58284.120000000068</v>
      </c>
      <c r="I142" s="556"/>
      <c r="J142" s="629">
        <f>H142/DAY(B2)</f>
        <v>5828.4120000000066</v>
      </c>
      <c r="K142" s="411"/>
      <c r="L142" s="408"/>
      <c r="N142" s="795"/>
    </row>
    <row r="143" spans="1:14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0.27324460761817349</v>
      </c>
      <c r="H143" s="536">
        <f>G143+'9'!H143</f>
        <v>2.5299281565860192</v>
      </c>
      <c r="I143" s="621"/>
      <c r="J143" s="629">
        <f>H143/DAY(B2)</f>
        <v>0.25299281565860193</v>
      </c>
      <c r="K143" s="411"/>
      <c r="L143" s="408"/>
      <c r="N143" s="795"/>
    </row>
    <row r="144" spans="1:14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4999</v>
      </c>
      <c r="H144" s="536">
        <f>G144+'9'!H144</f>
        <v>52785.059999999969</v>
      </c>
      <c r="I144" s="556"/>
      <c r="J144" s="629">
        <f>H144/DAY(B2)</f>
        <v>5278.5059999999967</v>
      </c>
      <c r="K144" s="411"/>
      <c r="L144" s="408"/>
      <c r="N144" s="795"/>
    </row>
    <row r="145" spans="1:14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0.22941716383662231</v>
      </c>
      <c r="H145" s="536">
        <f>G145+'9'!H145</f>
        <v>2.4530390882757831</v>
      </c>
      <c r="I145" s="621"/>
      <c r="J145" s="629">
        <f>H145/DAY(B2)</f>
        <v>0.2453039088275783</v>
      </c>
      <c r="K145" s="411"/>
      <c r="L145" s="408"/>
      <c r="N145" s="795"/>
    </row>
    <row r="146" spans="1:14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4185</v>
      </c>
      <c r="H146" s="536">
        <f>G146+'9'!H146</f>
        <v>142667.38</v>
      </c>
      <c r="I146" s="622"/>
      <c r="J146" s="629">
        <f>H146/DAY(B2)</f>
        <v>14266.738000000001</v>
      </c>
      <c r="K146" s="411"/>
      <c r="L146" s="408"/>
      <c r="N146" s="795"/>
    </row>
    <row r="147" spans="1:14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0.19206057824690226</v>
      </c>
      <c r="H147" s="536">
        <f>G147+'9'!H147</f>
        <v>6.8935621597661303</v>
      </c>
      <c r="I147" s="622"/>
      <c r="J147" s="629">
        <f>H147/DAY(B2)</f>
        <v>0.68935621597661301</v>
      </c>
      <c r="N147" s="795"/>
    </row>
    <row r="148" spans="1:14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2046</v>
      </c>
      <c r="H148" s="536">
        <f>G148+'9'!H148</f>
        <v>21015.799999999981</v>
      </c>
      <c r="I148" s="556"/>
      <c r="J148" s="629">
        <f>H148/DAY(B2)</f>
        <v>2101.5799999999981</v>
      </c>
      <c r="K148" s="412"/>
      <c r="N148" s="795"/>
    </row>
    <row r="149" spans="1:14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9.3896282698485545E-2</v>
      </c>
      <c r="H149" s="536">
        <f>G149+'9'!H149</f>
        <v>0.97894682419996348</v>
      </c>
      <c r="I149" s="622"/>
      <c r="J149" s="629">
        <f>H149/DAY(B2)</f>
        <v>9.7894682419996354E-2</v>
      </c>
      <c r="N149" s="795"/>
    </row>
    <row r="150" spans="1:14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1896</v>
      </c>
      <c r="H150" s="536">
        <f>G150+'9'!H150</f>
        <v>18909.399999999965</v>
      </c>
      <c r="I150" s="622"/>
      <c r="J150" s="629">
        <f>H150/DAY(B2)</f>
        <v>1890.9399999999964</v>
      </c>
      <c r="N150" s="795"/>
    </row>
    <row r="151" spans="1:14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8.7012391005048192E-2</v>
      </c>
      <c r="H151" s="536">
        <f>G151+'9'!H151</f>
        <v>0.87762315949154202</v>
      </c>
      <c r="I151" s="556"/>
      <c r="J151" s="629">
        <f>H151/DAY(B2)</f>
        <v>8.7762315949154207E-2</v>
      </c>
      <c r="N151" s="795"/>
    </row>
    <row r="152" spans="1:14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1549</v>
      </c>
      <c r="H152" s="536">
        <f>G152+'9'!H152</f>
        <v>50065.16</v>
      </c>
      <c r="I152" s="556"/>
      <c r="J152" s="629">
        <f>H152/DAY(B2)</f>
        <v>5006.5160000000005</v>
      </c>
      <c r="N152" s="795"/>
    </row>
    <row r="153" spans="1:14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7.1087654887563106E-2</v>
      </c>
      <c r="H153" s="644">
        <f>G153+'9'!H153</f>
        <v>2.4195300181153061</v>
      </c>
      <c r="I153" s="645"/>
      <c r="J153" s="646">
        <f>H153/DAY(B2)</f>
        <v>0.24195300181153062</v>
      </c>
      <c r="N153" s="795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795"/>
    </row>
    <row r="157" spans="1:14" ht="27.75">
      <c r="A157" s="1483" t="s">
        <v>267</v>
      </c>
      <c r="B157" s="1484"/>
      <c r="C157" s="1484"/>
      <c r="D157" s="1484"/>
      <c r="E157" s="1484"/>
      <c r="F157" s="1484"/>
      <c r="G157" s="1485"/>
    </row>
    <row r="158" spans="1:14">
      <c r="A158" s="867"/>
      <c r="B158" s="868"/>
      <c r="C158" s="868"/>
      <c r="D158" s="587"/>
      <c r="E158" s="531"/>
      <c r="F158" s="739"/>
      <c r="G158" s="549"/>
    </row>
    <row r="159" spans="1:14">
      <c r="A159" s="867"/>
      <c r="B159" s="868"/>
      <c r="C159" s="868"/>
      <c r="D159" s="587"/>
      <c r="E159" s="531"/>
      <c r="F159" s="739"/>
      <c r="G159" s="549"/>
    </row>
    <row r="160" spans="1:14">
      <c r="A160" s="867" t="s">
        <v>263</v>
      </c>
      <c r="B160" s="868"/>
      <c r="C160" s="868"/>
      <c r="D160" s="587" t="s">
        <v>187</v>
      </c>
      <c r="E160" s="1146">
        <f>'9'!F160</f>
        <v>31564.65</v>
      </c>
      <c r="F160" s="739">
        <v>31650</v>
      </c>
      <c r="G160" s="549">
        <f>F160-E160</f>
        <v>85.349999999998545</v>
      </c>
    </row>
    <row r="161" spans="1:8">
      <c r="A161" s="867" t="s">
        <v>264</v>
      </c>
      <c r="B161" s="868"/>
      <c r="C161" s="868"/>
      <c r="D161" s="587" t="s">
        <v>187</v>
      </c>
      <c r="E161" s="1146">
        <f>'9'!F161</f>
        <v>59197</v>
      </c>
      <c r="F161" s="739">
        <v>59649</v>
      </c>
      <c r="G161" s="549">
        <f t="shared" ref="G161:G171" si="15">F161-E161</f>
        <v>452</v>
      </c>
    </row>
    <row r="162" spans="1:8">
      <c r="A162" s="867" t="s">
        <v>265</v>
      </c>
      <c r="B162" s="868"/>
      <c r="C162" s="868"/>
      <c r="D162" s="587" t="s">
        <v>187</v>
      </c>
      <c r="E162" s="1146">
        <f>'9'!F162</f>
        <v>23100</v>
      </c>
      <c r="F162" s="739">
        <v>23381</v>
      </c>
      <c r="G162" s="549">
        <f t="shared" si="15"/>
        <v>281</v>
      </c>
      <c r="H162" s="590"/>
    </row>
    <row r="163" spans="1:8">
      <c r="A163" s="867" t="s">
        <v>266</v>
      </c>
      <c r="B163" s="868"/>
      <c r="C163" s="868"/>
      <c r="D163" s="587" t="s">
        <v>187</v>
      </c>
      <c r="E163" s="1146">
        <f>'9'!F163</f>
        <v>5536</v>
      </c>
      <c r="F163" s="739">
        <v>5545</v>
      </c>
      <c r="G163" s="549">
        <f t="shared" si="15"/>
        <v>9</v>
      </c>
    </row>
    <row r="164" spans="1:8">
      <c r="A164" s="869" t="s">
        <v>98</v>
      </c>
      <c r="B164" s="681"/>
      <c r="C164" s="681"/>
      <c r="D164" s="587" t="s">
        <v>187</v>
      </c>
      <c r="E164" s="1146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69" t="s">
        <v>188</v>
      </c>
      <c r="B165" s="681"/>
      <c r="C165" s="681"/>
      <c r="D165" s="587" t="s">
        <v>187</v>
      </c>
      <c r="E165" s="1146">
        <f>'9'!F165</f>
        <v>1825</v>
      </c>
      <c r="F165" s="590">
        <f t="shared" ref="F165:F171" si="16">F63</f>
        <v>1839</v>
      </c>
      <c r="G165" s="549">
        <f t="shared" si="15"/>
        <v>14</v>
      </c>
    </row>
    <row r="166" spans="1:8" ht="31.5" customHeight="1">
      <c r="A166" s="1482" t="s">
        <v>99</v>
      </c>
      <c r="B166" s="1482"/>
      <c r="C166" s="1482"/>
      <c r="D166" s="599" t="s">
        <v>187</v>
      </c>
      <c r="E166" s="1146">
        <f>'9'!F166</f>
        <v>128296</v>
      </c>
      <c r="F166" s="590">
        <f t="shared" si="16"/>
        <v>128841</v>
      </c>
      <c r="G166" s="549">
        <f t="shared" si="15"/>
        <v>545</v>
      </c>
    </row>
    <row r="167" spans="1:8" ht="21.75" customHeight="1">
      <c r="A167" s="1482" t="s">
        <v>100</v>
      </c>
      <c r="B167" s="1482"/>
      <c r="C167" s="1482"/>
      <c r="D167" s="599" t="s">
        <v>187</v>
      </c>
      <c r="E167" s="1146">
        <f>'9'!F167</f>
        <v>135987</v>
      </c>
      <c r="F167" s="590">
        <f t="shared" si="16"/>
        <v>136358</v>
      </c>
      <c r="G167" s="549">
        <f t="shared" si="15"/>
        <v>371</v>
      </c>
    </row>
    <row r="168" spans="1:8" ht="27.75" customHeight="1">
      <c r="A168" s="1482" t="s">
        <v>101</v>
      </c>
      <c r="B168" s="1482"/>
      <c r="C168" s="1482"/>
      <c r="D168" s="599" t="s">
        <v>187</v>
      </c>
      <c r="E168" s="1146">
        <f>'9'!F168</f>
        <v>28723</v>
      </c>
      <c r="F168" s="590">
        <f t="shared" si="16"/>
        <v>29078</v>
      </c>
      <c r="G168" s="549">
        <f t="shared" si="15"/>
        <v>355</v>
      </c>
    </row>
    <row r="169" spans="1:8" ht="21.75" customHeight="1">
      <c r="A169" s="1482" t="s">
        <v>102</v>
      </c>
      <c r="B169" s="1482"/>
      <c r="C169" s="1482"/>
      <c r="D169" s="599" t="s">
        <v>187</v>
      </c>
      <c r="E169" s="1146">
        <f>'9'!F169</f>
        <v>213978</v>
      </c>
      <c r="F169" s="590">
        <f t="shared" si="16"/>
        <v>214635</v>
      </c>
      <c r="G169" s="549">
        <f t="shared" si="15"/>
        <v>657</v>
      </c>
    </row>
    <row r="170" spans="1:8" ht="27.75" customHeight="1">
      <c r="A170" s="1482" t="s">
        <v>103</v>
      </c>
      <c r="B170" s="1482"/>
      <c r="C170" s="1482"/>
      <c r="D170" s="599" t="s">
        <v>187</v>
      </c>
      <c r="E170" s="1146">
        <f>'9'!F170</f>
        <v>75751</v>
      </c>
      <c r="F170" s="590">
        <f t="shared" si="16"/>
        <v>76079</v>
      </c>
      <c r="G170" s="549">
        <f t="shared" si="15"/>
        <v>328</v>
      </c>
    </row>
    <row r="171" spans="1:8" ht="27.75">
      <c r="A171" s="1482" t="s">
        <v>104</v>
      </c>
      <c r="B171" s="1482"/>
      <c r="C171" s="1482"/>
      <c r="D171" s="599" t="s">
        <v>187</v>
      </c>
      <c r="E171" s="1146">
        <f>'9'!F171</f>
        <v>67385</v>
      </c>
      <c r="F171" s="590">
        <f t="shared" si="16"/>
        <v>67712</v>
      </c>
      <c r="G171" s="549">
        <f t="shared" si="15"/>
        <v>327</v>
      </c>
    </row>
    <row r="176" spans="1:8" ht="18.75" customHeight="1"/>
    <row r="177" spans="1:7" ht="44.25" customHeight="1">
      <c r="A177" s="530" t="s">
        <v>217</v>
      </c>
    </row>
    <row r="178" spans="1:7" ht="21.75" customHeight="1">
      <c r="A178" s="530" t="s">
        <v>218</v>
      </c>
    </row>
    <row r="179" spans="1:7" ht="21.75" customHeight="1">
      <c r="A179" s="530" t="s">
        <v>219</v>
      </c>
      <c r="D179" s="614" t="s">
        <v>144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144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144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202</v>
      </c>
      <c r="G182" s="614">
        <f>SUM(G179:G181)</f>
        <v>11</v>
      </c>
    </row>
    <row r="183" spans="1:7" ht="21.75" customHeight="1">
      <c r="A183" s="530" t="s">
        <v>79</v>
      </c>
      <c r="D183" s="614" t="s">
        <v>144</v>
      </c>
    </row>
    <row r="184" spans="1:7" ht="21.75" customHeight="1">
      <c r="A184" s="530" t="s">
        <v>220</v>
      </c>
      <c r="D184" s="614" t="s">
        <v>144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221</v>
      </c>
      <c r="D185" s="614" t="s">
        <v>144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222</v>
      </c>
      <c r="D186" s="614" t="s">
        <v>144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110</v>
      </c>
      <c r="G187" s="614">
        <f>SUM(G184:G186)</f>
        <v>51</v>
      </c>
    </row>
    <row r="188" spans="1:7" ht="21.75" customHeight="1">
      <c r="A188" s="530" t="s">
        <v>223</v>
      </c>
    </row>
    <row r="189" spans="1:7" ht="21.75" customHeight="1">
      <c r="A189" s="530" t="s">
        <v>224</v>
      </c>
      <c r="D189" s="614" t="s">
        <v>144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225</v>
      </c>
      <c r="D190" s="614" t="s">
        <v>144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226</v>
      </c>
      <c r="D191" s="614" t="s">
        <v>144</v>
      </c>
      <c r="G191" s="614">
        <f t="shared" si="19"/>
        <v>0</v>
      </c>
    </row>
    <row r="192" spans="1:7" ht="21.75" customHeight="1"/>
    <row r="193" spans="1:8" ht="36.75" customHeight="1">
      <c r="A193" s="530" t="s">
        <v>202</v>
      </c>
      <c r="G193" s="614">
        <f>SUM(G189:G191)</f>
        <v>7</v>
      </c>
    </row>
    <row r="194" spans="1:8">
      <c r="A194" s="530" t="s">
        <v>227</v>
      </c>
      <c r="D194" s="614" t="s">
        <v>144</v>
      </c>
      <c r="F194" s="744">
        <f>SUM(G92+G19)</f>
        <v>99</v>
      </c>
      <c r="G194" s="614">
        <f>F194+'[5]9'!I145</f>
        <v>99</v>
      </c>
      <c r="H194" s="615" t="e">
        <f>G194/DAY(D147)</f>
        <v>#VALUE!</v>
      </c>
    </row>
    <row r="196" spans="1:8">
      <c r="A196" s="530" t="s">
        <v>228</v>
      </c>
      <c r="D196" s="614" t="s">
        <v>144</v>
      </c>
      <c r="F196" s="744">
        <f>SUM(G95:G97,G189:G191)</f>
        <v>104</v>
      </c>
      <c r="G196" s="614">
        <f>F196+'[5]9'!I147</f>
        <v>104</v>
      </c>
      <c r="H196" s="615" t="e">
        <f>G196/DAY(D147)</f>
        <v>#VALUE!</v>
      </c>
    </row>
    <row r="198" spans="1:8">
      <c r="A198" s="530" t="s">
        <v>229</v>
      </c>
      <c r="D198" s="614" t="s">
        <v>144</v>
      </c>
      <c r="F198" s="744">
        <f>H188+H139</f>
        <v>73.8599999999999</v>
      </c>
      <c r="G198" s="614">
        <f>SUM(G98,G184:G186)</f>
        <v>95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82" zoomScale="55" zoomScaleNormal="55" workbookViewId="0">
      <selection activeCell="G110" sqref="G110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6384" width="22.33203125" style="407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652" t="s">
        <v>314</v>
      </c>
      <c r="B2" s="1117">
        <v>44266</v>
      </c>
      <c r="C2" s="1231" t="s">
        <v>69</v>
      </c>
      <c r="D2" s="688">
        <v>0.37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 t="s">
        <v>118</v>
      </c>
    </row>
    <row r="3" spans="1:16" s="281" customFormat="1" ht="27">
      <c r="A3" s="647"/>
      <c r="B3" s="691"/>
      <c r="C3" s="1231" t="s">
        <v>120</v>
      </c>
      <c r="D3" s="689">
        <v>24</v>
      </c>
      <c r="E3" s="1454" t="s">
        <v>121</v>
      </c>
      <c r="F3" s="1455"/>
      <c r="G3" s="538"/>
      <c r="H3" s="539"/>
      <c r="I3" s="539"/>
      <c r="J3" s="692"/>
      <c r="K3" s="402"/>
      <c r="L3" s="293"/>
      <c r="N3" s="799"/>
    </row>
    <row r="4" spans="1:16" s="281" customFormat="1" ht="27">
      <c r="A4" s="653"/>
      <c r="B4" s="693"/>
      <c r="C4" s="1231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N5" s="798" t="s">
        <v>126</v>
      </c>
    </row>
    <row r="6" spans="1:16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271</v>
      </c>
    </row>
    <row r="7" spans="1:16" ht="30" thickBot="1">
      <c r="A7" s="757" t="s">
        <v>131</v>
      </c>
      <c r="B7" s="758"/>
      <c r="C7" s="758"/>
      <c r="D7" s="715" t="s">
        <v>132</v>
      </c>
      <c r="E7" s="710">
        <f>'10'!F7</f>
        <v>4659850</v>
      </c>
      <c r="F7" s="531">
        <v>4681166</v>
      </c>
      <c r="G7" s="759">
        <f>F7-E7</f>
        <v>21316</v>
      </c>
      <c r="H7" s="760">
        <f>G7+'10'!H7</f>
        <v>236089</v>
      </c>
      <c r="I7" s="761">
        <v>12000</v>
      </c>
      <c r="J7" s="762">
        <f>H7/DAY(B2)</f>
        <v>21462.636363636364</v>
      </c>
      <c r="K7" s="626"/>
      <c r="L7" s="408"/>
      <c r="N7" s="800">
        <v>11918</v>
      </c>
      <c r="P7" s="803">
        <f>G7-N7</f>
        <v>9398</v>
      </c>
    </row>
    <row r="8" spans="1:16" ht="27.75" thickBot="1">
      <c r="A8" s="763" t="s">
        <v>133</v>
      </c>
      <c r="B8" s="764"/>
      <c r="C8" s="765"/>
      <c r="D8" s="766" t="s">
        <v>25</v>
      </c>
      <c r="E8" s="710">
        <f>'10'!F8</f>
        <v>4689349</v>
      </c>
      <c r="F8" s="551">
        <v>4710747</v>
      </c>
      <c r="G8" s="770">
        <f t="shared" ref="G8:G12" si="0">F8-E8</f>
        <v>21398</v>
      </c>
      <c r="H8" s="760">
        <f>G8+'10'!H8</f>
        <v>237591</v>
      </c>
      <c r="I8" s="767">
        <v>12000</v>
      </c>
      <c r="J8" s="762">
        <f>H8/DAY(B2)</f>
        <v>21599.18181818182</v>
      </c>
      <c r="K8" s="626"/>
      <c r="L8" s="464"/>
      <c r="M8" s="479"/>
      <c r="N8" s="800">
        <v>12018</v>
      </c>
      <c r="P8" s="413">
        <f t="shared" ref="P8:P71" si="1">G8-N8</f>
        <v>9380</v>
      </c>
    </row>
    <row r="9" spans="1:16">
      <c r="A9" s="768" t="s">
        <v>134</v>
      </c>
      <c r="B9" s="769"/>
      <c r="C9" s="769"/>
      <c r="D9" s="715" t="s">
        <v>132</v>
      </c>
      <c r="E9" s="710">
        <f>'10'!F9</f>
        <v>124354</v>
      </c>
      <c r="F9" s="554">
        <v>124354</v>
      </c>
      <c r="G9" s="783">
        <f t="shared" si="0"/>
        <v>0</v>
      </c>
      <c r="H9" s="760">
        <f>G9+'10'!H9</f>
        <v>37444.990000000005</v>
      </c>
      <c r="I9" s="771">
        <f>I7-J7</f>
        <v>-9462.636363636364</v>
      </c>
      <c r="J9" s="762">
        <f>H9/DAY(B2)</f>
        <v>3404.0900000000006</v>
      </c>
      <c r="K9" s="467"/>
      <c r="L9" s="408"/>
      <c r="N9" s="800">
        <v>11759.219000000001</v>
      </c>
      <c r="O9" s="407">
        <f>G7/G8</f>
        <v>0.99616786615571551</v>
      </c>
      <c r="P9" s="413">
        <f t="shared" si="1"/>
        <v>-11759.219000000001</v>
      </c>
    </row>
    <row r="10" spans="1:16">
      <c r="A10" s="757" t="s">
        <v>135</v>
      </c>
      <c r="B10" s="758"/>
      <c r="C10" s="758"/>
      <c r="D10" s="715" t="s">
        <v>132</v>
      </c>
      <c r="E10" s="710">
        <f>'10'!F10</f>
        <v>195619</v>
      </c>
      <c r="F10" s="554">
        <v>216161</v>
      </c>
      <c r="G10" s="770">
        <f t="shared" si="0"/>
        <v>20542</v>
      </c>
      <c r="H10" s="760">
        <f>G10+'10'!H10</f>
        <v>190465.44</v>
      </c>
      <c r="I10" s="772"/>
      <c r="J10" s="762">
        <f>H10/DAY(B2)</f>
        <v>17315.04</v>
      </c>
      <c r="K10" s="467"/>
      <c r="L10" s="408"/>
      <c r="N10" s="800">
        <v>0</v>
      </c>
      <c r="P10" s="413">
        <f t="shared" si="1"/>
        <v>20542</v>
      </c>
    </row>
    <row r="11" spans="1:16">
      <c r="A11" s="757" t="s">
        <v>136</v>
      </c>
      <c r="B11" s="758"/>
      <c r="C11" s="758"/>
      <c r="D11" s="715" t="s">
        <v>132</v>
      </c>
      <c r="E11" s="710">
        <f>'10'!F11</f>
        <v>37000</v>
      </c>
      <c r="F11" s="531">
        <v>37000</v>
      </c>
      <c r="G11" s="770">
        <f t="shared" si="0"/>
        <v>0</v>
      </c>
      <c r="H11" s="760">
        <f>G11+'10'!H11</f>
        <v>-2000</v>
      </c>
      <c r="I11" s="772"/>
      <c r="J11" s="762">
        <f>H11/DAY(B2)</f>
        <v>-181.81818181818181</v>
      </c>
      <c r="K11" s="467"/>
      <c r="L11" s="408"/>
      <c r="N11" s="800">
        <v>0</v>
      </c>
      <c r="P11" s="413">
        <f t="shared" si="1"/>
        <v>0</v>
      </c>
    </row>
    <row r="12" spans="1:16">
      <c r="A12" s="757" t="s">
        <v>137</v>
      </c>
      <c r="B12" s="758"/>
      <c r="C12" s="758"/>
      <c r="D12" s="715" t="s">
        <v>132</v>
      </c>
      <c r="E12" s="710">
        <f>'10'!F12</f>
        <v>40010</v>
      </c>
      <c r="F12" s="554">
        <v>40010</v>
      </c>
      <c r="G12" s="770">
        <f t="shared" si="0"/>
        <v>0</v>
      </c>
      <c r="H12" s="760">
        <f>G12+'10'!H12</f>
        <v>-2000</v>
      </c>
      <c r="I12" s="772"/>
      <c r="J12" s="762">
        <f>H12/DAY(B2)</f>
        <v>-181.81818181818181</v>
      </c>
      <c r="K12" s="467"/>
      <c r="L12" s="408"/>
      <c r="N12" s="800">
        <v>0</v>
      </c>
      <c r="P12" s="413">
        <f t="shared" si="1"/>
        <v>0</v>
      </c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20542</v>
      </c>
      <c r="H13" s="760">
        <f>G13+'9'!H13</f>
        <v>202916.43</v>
      </c>
      <c r="I13" s="776">
        <f>G7-G13</f>
        <v>774</v>
      </c>
      <c r="J13" s="762">
        <f>H13/DAY(B2)</f>
        <v>18446.948181818181</v>
      </c>
      <c r="K13" s="467"/>
      <c r="L13" s="408"/>
      <c r="N13" s="800">
        <v>11759.219000000001</v>
      </c>
      <c r="P13" s="413">
        <f t="shared" si="1"/>
        <v>8782.780999999999</v>
      </c>
    </row>
    <row r="14" spans="1:16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P14" s="413">
        <f t="shared" si="1"/>
        <v>0</v>
      </c>
    </row>
    <row r="15" spans="1:16">
      <c r="A15" s="875" t="s">
        <v>140</v>
      </c>
      <c r="B15" s="876"/>
      <c r="C15" s="876"/>
      <c r="D15" s="600" t="s">
        <v>141</v>
      </c>
      <c r="E15" s="561">
        <f>'10'!F15</f>
        <v>1628722</v>
      </c>
      <c r="F15" s="561">
        <v>1629574</v>
      </c>
      <c r="G15" s="745">
        <f>(F15-E15)</f>
        <v>852</v>
      </c>
      <c r="H15" s="562">
        <f>G15+'10'!H15</f>
        <v>9695.3899999998976</v>
      </c>
      <c r="I15" s="550">
        <v>800</v>
      </c>
      <c r="J15" s="630">
        <f>H15/DAY(B2)</f>
        <v>881.39909090908156</v>
      </c>
      <c r="K15" s="467"/>
      <c r="L15" s="408"/>
      <c r="N15" s="800">
        <v>339.24300000001676</v>
      </c>
      <c r="P15" s="413">
        <f t="shared" si="1"/>
        <v>512.75699999998324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-81.399090909081565</v>
      </c>
      <c r="J16" s="630"/>
      <c r="K16" s="467"/>
      <c r="L16" s="408"/>
      <c r="N16" s="800"/>
      <c r="P16" s="413">
        <f t="shared" si="1"/>
        <v>0</v>
      </c>
    </row>
    <row r="17" spans="1:16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P17" s="413">
        <f t="shared" si="1"/>
        <v>0</v>
      </c>
    </row>
    <row r="18" spans="1:16" ht="27.75">
      <c r="A18" s="1486" t="s">
        <v>143</v>
      </c>
      <c r="B18" s="1487"/>
      <c r="C18" s="1488"/>
      <c r="D18" s="715" t="s">
        <v>144</v>
      </c>
      <c r="E18" s="712">
        <f>'10'!F18</f>
        <v>10</v>
      </c>
      <c r="F18" s="554">
        <v>12</v>
      </c>
      <c r="G18" s="775">
        <f>F18*10</f>
        <v>120</v>
      </c>
      <c r="H18" s="760">
        <f>G18+'10'!H18</f>
        <v>1560</v>
      </c>
      <c r="I18" s="761">
        <v>65</v>
      </c>
      <c r="J18" s="762">
        <f>H18/DAY(B2)</f>
        <v>141.81818181818181</v>
      </c>
      <c r="K18" s="467"/>
      <c r="L18" s="408"/>
      <c r="N18" s="800">
        <v>20</v>
      </c>
      <c r="P18" s="413">
        <f t="shared" si="1"/>
        <v>100</v>
      </c>
    </row>
    <row r="19" spans="1:16" ht="27.75">
      <c r="A19" s="1486" t="s">
        <v>71</v>
      </c>
      <c r="B19" s="1487"/>
      <c r="C19" s="1488"/>
      <c r="D19" s="715" t="s">
        <v>144</v>
      </c>
      <c r="E19" s="712">
        <f>'10'!F19</f>
        <v>134982</v>
      </c>
      <c r="F19" s="554">
        <v>135033</v>
      </c>
      <c r="G19" s="770">
        <f t="shared" ref="G19" si="2">F19-E19</f>
        <v>51</v>
      </c>
      <c r="H19" s="760">
        <f>G19+'10'!H19</f>
        <v>565</v>
      </c>
      <c r="I19" s="777"/>
      <c r="J19" s="762">
        <f>H19/DAY(B2)</f>
        <v>51.363636363636367</v>
      </c>
      <c r="K19" s="467"/>
      <c r="L19" s="408"/>
      <c r="N19" s="800">
        <v>55</v>
      </c>
      <c r="P19" s="413">
        <f t="shared" si="1"/>
        <v>-4</v>
      </c>
    </row>
    <row r="20" spans="1:16">
      <c r="A20" s="773" t="s">
        <v>145</v>
      </c>
      <c r="B20" s="774"/>
      <c r="C20" s="774"/>
      <c r="D20" s="715"/>
      <c r="E20" s="715"/>
      <c r="F20" s="600"/>
      <c r="G20" s="778">
        <f>G18+G19</f>
        <v>171</v>
      </c>
      <c r="H20" s="760">
        <f>G20+'10'!H20</f>
        <v>2125</v>
      </c>
      <c r="I20" s="779">
        <f>I18-J20</f>
        <v>-128.18181818181819</v>
      </c>
      <c r="J20" s="762">
        <f>H20/DAY(B2)</f>
        <v>193.18181818181819</v>
      </c>
      <c r="K20" s="467"/>
      <c r="L20" s="408"/>
      <c r="N20" s="800">
        <v>75</v>
      </c>
      <c r="P20" s="413">
        <f t="shared" si="1"/>
        <v>96</v>
      </c>
    </row>
    <row r="21" spans="1:16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P21" s="413">
        <f t="shared" si="1"/>
        <v>0</v>
      </c>
    </row>
    <row r="22" spans="1:16">
      <c r="A22" s="1229" t="s">
        <v>147</v>
      </c>
      <c r="B22" s="666"/>
      <c r="C22" s="666"/>
      <c r="D22" s="599" t="s">
        <v>148</v>
      </c>
      <c r="E22" s="712">
        <f>'10'!F22</f>
        <v>2970</v>
      </c>
      <c r="F22" s="554">
        <v>2970</v>
      </c>
      <c r="G22" s="557">
        <f t="shared" ref="G22" si="3">(F22-E22)</f>
        <v>0</v>
      </c>
      <c r="H22" s="536">
        <f>G22+'10'!H22</f>
        <v>0</v>
      </c>
      <c r="I22" s="556"/>
      <c r="J22" s="629">
        <f>H22/DAY(B2)</f>
        <v>0</v>
      </c>
      <c r="K22" s="467"/>
      <c r="L22" s="408"/>
      <c r="N22" s="800">
        <v>0</v>
      </c>
      <c r="P22" s="413">
        <f t="shared" si="1"/>
        <v>0</v>
      </c>
    </row>
    <row r="23" spans="1:16">
      <c r="A23" s="1229" t="s">
        <v>149</v>
      </c>
      <c r="B23" s="666"/>
      <c r="C23" s="666"/>
      <c r="D23" s="599" t="s">
        <v>148</v>
      </c>
      <c r="E23" s="712">
        <f>'10'!F23</f>
        <v>2900</v>
      </c>
      <c r="F23" s="554">
        <v>2900</v>
      </c>
      <c r="G23" s="557">
        <v>0</v>
      </c>
      <c r="H23" s="536">
        <f>G23+'10'!H23</f>
        <v>0</v>
      </c>
      <c r="I23" s="556"/>
      <c r="J23" s="629">
        <f>H23/DAY(B2)</f>
        <v>0</v>
      </c>
      <c r="K23" s="467"/>
      <c r="L23" s="408"/>
      <c r="N23" s="800">
        <v>0</v>
      </c>
      <c r="P23" s="413">
        <f t="shared" si="1"/>
        <v>0</v>
      </c>
    </row>
    <row r="24" spans="1:16">
      <c r="A24" s="667" t="s">
        <v>150</v>
      </c>
      <c r="B24" s="668"/>
      <c r="C24" s="668"/>
      <c r="D24" s="587" t="s">
        <v>148</v>
      </c>
      <c r="E24" s="569">
        <f>'10'!F24</f>
        <v>4250</v>
      </c>
      <c r="F24" s="561">
        <v>4250</v>
      </c>
      <c r="G24" s="557">
        <v>0</v>
      </c>
      <c r="H24" s="536">
        <f>G24+'10'!H24</f>
        <v>0</v>
      </c>
      <c r="I24" s="556"/>
      <c r="J24" s="629">
        <f>H24/DAY(B2)</f>
        <v>0</v>
      </c>
      <c r="K24" s="467"/>
      <c r="L24" s="408"/>
      <c r="N24" s="800">
        <v>0</v>
      </c>
      <c r="P24" s="413">
        <f t="shared" si="1"/>
        <v>0</v>
      </c>
    </row>
    <row r="25" spans="1:16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P25" s="413">
        <f t="shared" si="1"/>
        <v>0</v>
      </c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21398</v>
      </c>
      <c r="F27" s="577">
        <v>9</v>
      </c>
      <c r="G27" s="578">
        <f>E27*F27</f>
        <v>192582</v>
      </c>
      <c r="H27" s="536">
        <f>G27+'10'!H27</f>
        <v>2138319</v>
      </c>
      <c r="I27" s="579"/>
      <c r="J27" s="629">
        <f>H27/DAY(B2)</f>
        <v>194392.63636363635</v>
      </c>
      <c r="K27" s="404"/>
      <c r="L27" s="484"/>
      <c r="N27" s="800">
        <v>120180</v>
      </c>
      <c r="P27" s="413">
        <f t="shared" si="1"/>
        <v>72402</v>
      </c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852</v>
      </c>
      <c r="F28" s="577">
        <v>43.5</v>
      </c>
      <c r="G28" s="578">
        <f>E28*F28</f>
        <v>37062</v>
      </c>
      <c r="H28" s="536">
        <f>G28+'10'!H28</f>
        <v>441055.00319999503</v>
      </c>
      <c r="I28" s="581"/>
      <c r="J28" s="629">
        <f>H28/DAY(B2)</f>
        <v>40095.909381817728</v>
      </c>
      <c r="K28" s="404"/>
      <c r="L28" s="484"/>
      <c r="N28" s="800">
        <v>11873.505000000587</v>
      </c>
      <c r="P28" s="413">
        <f t="shared" si="1"/>
        <v>25188.494999999413</v>
      </c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0</v>
      </c>
      <c r="I29" s="581"/>
      <c r="J29" s="629">
        <f>H29/DAY(B2)</f>
        <v>0</v>
      </c>
      <c r="K29" s="404"/>
      <c r="L29" s="484"/>
      <c r="N29" s="800">
        <v>0</v>
      </c>
      <c r="P29" s="413">
        <f t="shared" si="1"/>
        <v>0</v>
      </c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G30+'10'!H30</f>
        <v>93398</v>
      </c>
      <c r="I30" s="581"/>
      <c r="J30" s="629">
        <f>H30/DAY(B2)</f>
        <v>8490.7272727272721</v>
      </c>
      <c r="K30" s="404"/>
      <c r="L30" s="484"/>
      <c r="N30" s="800">
        <v>7370</v>
      </c>
      <c r="P30" s="413">
        <f t="shared" si="1"/>
        <v>-536</v>
      </c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120</v>
      </c>
      <c r="F31" s="577">
        <v>80</v>
      </c>
      <c r="G31" s="578">
        <f>E31*F31</f>
        <v>9600</v>
      </c>
      <c r="H31" s="536">
        <f>G31+'10'!H31</f>
        <v>114240</v>
      </c>
      <c r="I31" s="581"/>
      <c r="J31" s="629">
        <f>H31/DAY(B2)</f>
        <v>10385.454545454546</v>
      </c>
      <c r="K31" s="404"/>
      <c r="L31" s="484"/>
      <c r="N31" s="800">
        <v>1600</v>
      </c>
      <c r="O31" s="481">
        <f>76*134</f>
        <v>10184</v>
      </c>
      <c r="P31" s="413">
        <f>G31-N31</f>
        <v>8000</v>
      </c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246078</v>
      </c>
      <c r="H32" s="536">
        <f>G32+'10'!H32</f>
        <v>2787012.003199995</v>
      </c>
      <c r="I32" s="585"/>
      <c r="J32" s="629">
        <f>H32/DAY(B2)</f>
        <v>253364.72756363591</v>
      </c>
      <c r="K32" s="404"/>
      <c r="L32" s="484"/>
      <c r="N32" s="800">
        <v>141023.50500000059</v>
      </c>
      <c r="P32" s="413">
        <f>G32-N32</f>
        <v>105054.49499999941</v>
      </c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800"/>
      <c r="P33" s="413">
        <f t="shared" si="1"/>
        <v>0</v>
      </c>
    </row>
    <row r="34" spans="1:16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P34" s="413">
        <f t="shared" si="1"/>
        <v>0</v>
      </c>
    </row>
    <row r="35" spans="1:16">
      <c r="A35" s="655" t="s">
        <v>164</v>
      </c>
      <c r="B35" s="656"/>
      <c r="C35" s="656"/>
      <c r="D35" s="599" t="s">
        <v>132</v>
      </c>
      <c r="E35" s="586">
        <f>'10'!F35</f>
        <v>726865</v>
      </c>
      <c r="F35" s="586">
        <v>730715</v>
      </c>
      <c r="G35" s="549">
        <f t="shared" ref="G35:G46" si="4">F35-E35</f>
        <v>3850</v>
      </c>
      <c r="H35" s="536">
        <f>G35+'10'!H35</f>
        <v>37627.410000000033</v>
      </c>
      <c r="I35" s="531"/>
      <c r="J35" s="629">
        <f>H35/DAY(B2)</f>
        <v>3420.6736363636392</v>
      </c>
      <c r="K35" s="467"/>
      <c r="L35" s="408"/>
      <c r="N35" s="800">
        <v>1428.320000000007</v>
      </c>
      <c r="P35" s="413">
        <f t="shared" si="1"/>
        <v>2421.679999999993</v>
      </c>
    </row>
    <row r="36" spans="1:16">
      <c r="A36" s="655" t="s">
        <v>165</v>
      </c>
      <c r="B36" s="656"/>
      <c r="C36" s="656"/>
      <c r="D36" s="599" t="s">
        <v>132</v>
      </c>
      <c r="E36" s="586">
        <f>'10'!F36</f>
        <v>302980</v>
      </c>
      <c r="F36" s="586">
        <v>303578</v>
      </c>
      <c r="G36" s="549">
        <f t="shared" si="4"/>
        <v>598</v>
      </c>
      <c r="H36" s="536">
        <f>G36+'10'!H36</f>
        <v>7132.429999999993</v>
      </c>
      <c r="I36" s="531"/>
      <c r="J36" s="629">
        <f>H36/DAY(B2)</f>
        <v>648.40272727272668</v>
      </c>
      <c r="K36" s="467"/>
      <c r="L36" s="408"/>
      <c r="N36" s="801">
        <v>535.05999999999767</v>
      </c>
      <c r="P36" s="413">
        <f t="shared" si="1"/>
        <v>62.940000000002328</v>
      </c>
    </row>
    <row r="37" spans="1:16">
      <c r="A37" s="655" t="s">
        <v>166</v>
      </c>
      <c r="B37" s="656"/>
      <c r="C37" s="656"/>
      <c r="D37" s="599" t="s">
        <v>132</v>
      </c>
      <c r="E37" s="586">
        <f>'10'!F37</f>
        <v>35167</v>
      </c>
      <c r="F37" s="586">
        <v>35167</v>
      </c>
      <c r="G37" s="549">
        <f t="shared" si="4"/>
        <v>0</v>
      </c>
      <c r="H37" s="536">
        <f>G37+'10'!H37</f>
        <v>38272.080000000002</v>
      </c>
      <c r="I37" s="531"/>
      <c r="J37" s="629">
        <f>H37/DAY(B2)</f>
        <v>3479.28</v>
      </c>
      <c r="K37" s="467"/>
      <c r="L37" s="408"/>
      <c r="N37" s="801">
        <v>1155.7000000000116</v>
      </c>
      <c r="P37" s="413">
        <f t="shared" si="1"/>
        <v>-1155.7000000000116</v>
      </c>
    </row>
    <row r="38" spans="1:16">
      <c r="A38" s="655" t="s">
        <v>167</v>
      </c>
      <c r="B38" s="656"/>
      <c r="C38" s="656"/>
      <c r="D38" s="599" t="s">
        <v>132</v>
      </c>
      <c r="E38" s="586">
        <f>'10'!F38</f>
        <v>48333</v>
      </c>
      <c r="F38" s="545">
        <v>48333</v>
      </c>
      <c r="G38" s="549">
        <f t="shared" si="4"/>
        <v>0</v>
      </c>
      <c r="H38" s="536">
        <f>G38+'10'!H38</f>
        <v>4519.510000000002</v>
      </c>
      <c r="I38" s="531"/>
      <c r="J38" s="629">
        <f>H38/DAY(B2)</f>
        <v>410.86454545454563</v>
      </c>
      <c r="K38" s="467"/>
      <c r="L38" s="408"/>
      <c r="N38" s="800">
        <v>0.39000000001396984</v>
      </c>
      <c r="P38" s="413">
        <f t="shared" si="1"/>
        <v>-0.39000000001396984</v>
      </c>
    </row>
    <row r="39" spans="1:16">
      <c r="A39" s="655" t="s">
        <v>168</v>
      </c>
      <c r="B39" s="656"/>
      <c r="C39" s="656"/>
      <c r="D39" s="599" t="s">
        <v>132</v>
      </c>
      <c r="E39" s="586">
        <f>'10'!F39</f>
        <v>100066</v>
      </c>
      <c r="F39" s="586">
        <v>100066</v>
      </c>
      <c r="G39" s="549">
        <f t="shared" si="4"/>
        <v>0</v>
      </c>
      <c r="H39" s="536">
        <f>G39+'10'!H39</f>
        <v>109458.89</v>
      </c>
      <c r="I39" s="531"/>
      <c r="J39" s="629">
        <f>H39/DAY(B2)</f>
        <v>9950.8081818181818</v>
      </c>
      <c r="K39" s="467"/>
      <c r="L39" s="408"/>
      <c r="N39" s="800">
        <v>2080</v>
      </c>
      <c r="P39" s="413">
        <f t="shared" si="1"/>
        <v>-2080</v>
      </c>
    </row>
    <row r="40" spans="1:16">
      <c r="A40" s="676" t="s">
        <v>169</v>
      </c>
      <c r="B40" s="677"/>
      <c r="C40" s="677"/>
      <c r="D40" s="599" t="s">
        <v>132</v>
      </c>
      <c r="E40" s="586">
        <f>'10'!F40</f>
        <v>0.23</v>
      </c>
      <c r="F40" s="586">
        <v>0.23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00">
        <v>0</v>
      </c>
      <c r="P40" s="413">
        <f t="shared" si="1"/>
        <v>0</v>
      </c>
    </row>
    <row r="41" spans="1:16">
      <c r="A41" s="655" t="s">
        <v>170</v>
      </c>
      <c r="B41" s="656"/>
      <c r="C41" s="656"/>
      <c r="D41" s="599" t="s">
        <v>132</v>
      </c>
      <c r="E41" s="586">
        <f>'10'!F41</f>
        <v>64767</v>
      </c>
      <c r="F41" s="586">
        <v>64767</v>
      </c>
      <c r="G41" s="549">
        <f t="shared" si="4"/>
        <v>0</v>
      </c>
      <c r="H41" s="536">
        <f>G41+'10'!H41</f>
        <v>884.62999999999738</v>
      </c>
      <c r="I41" s="531"/>
      <c r="J41" s="629">
        <f>H41/DAY(B2)</f>
        <v>80.42090909090885</v>
      </c>
      <c r="K41" s="467"/>
      <c r="L41" s="408"/>
      <c r="N41" s="800">
        <v>3297.5400000000081</v>
      </c>
      <c r="P41" s="803">
        <f t="shared" si="1"/>
        <v>-3297.5400000000081</v>
      </c>
    </row>
    <row r="42" spans="1:16">
      <c r="A42" s="655" t="s">
        <v>171</v>
      </c>
      <c r="B42" s="656"/>
      <c r="C42" s="656"/>
      <c r="D42" s="599" t="s">
        <v>132</v>
      </c>
      <c r="E42" s="586">
        <f>'10'!F42</f>
        <v>59128</v>
      </c>
      <c r="F42" s="586">
        <v>59128</v>
      </c>
      <c r="G42" s="549">
        <f t="shared" si="4"/>
        <v>0</v>
      </c>
      <c r="H42" s="536">
        <f>G42+'10'!H42</f>
        <v>-0.84999999999854481</v>
      </c>
      <c r="I42" s="531"/>
      <c r="J42" s="629">
        <f>H42/DAY(B2)</f>
        <v>-7.7272727272594988E-2</v>
      </c>
      <c r="K42" s="467"/>
      <c r="L42" s="408"/>
      <c r="N42" s="800">
        <v>0</v>
      </c>
      <c r="P42" s="413">
        <f t="shared" si="1"/>
        <v>0</v>
      </c>
    </row>
    <row r="43" spans="1:16">
      <c r="A43" s="655" t="s">
        <v>172</v>
      </c>
      <c r="B43" s="656"/>
      <c r="C43" s="656"/>
      <c r="D43" s="599" t="s">
        <v>132</v>
      </c>
      <c r="E43" s="586">
        <f>'10'!F43</f>
        <v>850405</v>
      </c>
      <c r="F43" s="586">
        <v>852799</v>
      </c>
      <c r="G43" s="549">
        <f>F43-E43</f>
        <v>2394</v>
      </c>
      <c r="H43" s="536">
        <f>G43+'10'!H43</f>
        <v>26901.170000000042</v>
      </c>
      <c r="I43" s="531"/>
      <c r="J43" s="629">
        <f>H43/DAY(B2)</f>
        <v>2445.5609090909129</v>
      </c>
      <c r="K43" s="467"/>
      <c r="L43" s="408"/>
      <c r="N43" s="800">
        <v>1592.9000000000233</v>
      </c>
      <c r="P43" s="413">
        <f t="shared" si="1"/>
        <v>801.09999999997672</v>
      </c>
    </row>
    <row r="44" spans="1:16">
      <c r="A44" s="655" t="s">
        <v>173</v>
      </c>
      <c r="B44" s="656"/>
      <c r="C44" s="656"/>
      <c r="D44" s="599" t="s">
        <v>132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00">
        <v>0</v>
      </c>
      <c r="P44" s="413">
        <f t="shared" si="1"/>
        <v>0</v>
      </c>
    </row>
    <row r="45" spans="1:16">
      <c r="A45" s="655" t="s">
        <v>174</v>
      </c>
      <c r="B45" s="656"/>
      <c r="C45" s="656"/>
      <c r="D45" s="599" t="s">
        <v>132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0</v>
      </c>
      <c r="I45" s="531"/>
      <c r="J45" s="629">
        <f>H45/DAY(B2)</f>
        <v>0</v>
      </c>
      <c r="K45" s="467"/>
      <c r="L45" s="408"/>
      <c r="N45" s="800">
        <v>0</v>
      </c>
      <c r="P45" s="413">
        <f t="shared" si="1"/>
        <v>0</v>
      </c>
    </row>
    <row r="46" spans="1:16">
      <c r="A46" s="655" t="s">
        <v>175</v>
      </c>
      <c r="B46" s="656"/>
      <c r="C46" s="656"/>
      <c r="D46" s="599" t="s">
        <v>132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0.49000000000000909</v>
      </c>
      <c r="I46" s="531"/>
      <c r="J46" s="629">
        <f>H46/DAY(B2)</f>
        <v>4.4545454545455374E-2</v>
      </c>
      <c r="K46" s="467"/>
      <c r="L46" s="408"/>
      <c r="N46" s="800">
        <v>0</v>
      </c>
      <c r="P46" s="413">
        <f t="shared" si="1"/>
        <v>0.49000000000000909</v>
      </c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6842.49</v>
      </c>
      <c r="H47" s="536">
        <f>G47+'10'!H47</f>
        <v>224795.76000000007</v>
      </c>
      <c r="I47" s="531"/>
      <c r="J47" s="629">
        <f>H47/DAY(B2)</f>
        <v>20435.978181818187</v>
      </c>
      <c r="K47" s="467"/>
      <c r="L47" s="408"/>
      <c r="N47" s="800">
        <v>10089.910000000062</v>
      </c>
      <c r="P47" s="413">
        <f>G47-N47</f>
        <v>-3247.4200000000619</v>
      </c>
    </row>
    <row r="48" spans="1:16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P48" s="413">
        <f t="shared" si="1"/>
        <v>0</v>
      </c>
    </row>
    <row r="49" spans="1:16">
      <c r="A49" s="655" t="s">
        <v>164</v>
      </c>
      <c r="B49" s="678"/>
      <c r="C49" s="678"/>
      <c r="D49" s="599" t="s">
        <v>132</v>
      </c>
      <c r="E49" s="586">
        <f>'10'!F49</f>
        <v>260732</v>
      </c>
      <c r="F49" s="586">
        <v>260732</v>
      </c>
      <c r="G49" s="549">
        <f t="shared" ref="G49:G58" si="5">F49-E49</f>
        <v>0</v>
      </c>
      <c r="H49" s="536">
        <f>G49+'9'!H49</f>
        <v>-0.13000000000465661</v>
      </c>
      <c r="I49" s="531"/>
      <c r="J49" s="629">
        <f>H49/DAY(B2)</f>
        <v>-1.1818181818605146E-2</v>
      </c>
      <c r="K49" s="467"/>
      <c r="L49" s="408"/>
      <c r="N49" s="800">
        <v>0</v>
      </c>
      <c r="P49" s="413">
        <f t="shared" si="1"/>
        <v>0</v>
      </c>
    </row>
    <row r="50" spans="1:16">
      <c r="A50" s="655" t="s">
        <v>178</v>
      </c>
      <c r="B50" s="678"/>
      <c r="C50" s="678"/>
      <c r="D50" s="599" t="s">
        <v>132</v>
      </c>
      <c r="E50" s="586">
        <f>'10'!F50</f>
        <v>414838</v>
      </c>
      <c r="F50" s="586">
        <v>415973</v>
      </c>
      <c r="G50" s="549">
        <f t="shared" si="5"/>
        <v>1135</v>
      </c>
      <c r="H50" s="536">
        <f>G50+'9'!H50</f>
        <v>12315.969999999972</v>
      </c>
      <c r="I50" s="531"/>
      <c r="J50" s="629">
        <f>H50/DAY(B2)</f>
        <v>1119.6336363636337</v>
      </c>
      <c r="K50" s="467"/>
      <c r="L50" s="408"/>
      <c r="N50" s="800">
        <v>559.97000000000116</v>
      </c>
      <c r="P50" s="413">
        <f t="shared" si="1"/>
        <v>575.02999999999884</v>
      </c>
    </row>
    <row r="51" spans="1:16">
      <c r="A51" s="655" t="s">
        <v>166</v>
      </c>
      <c r="B51" s="678"/>
      <c r="C51" s="678"/>
      <c r="D51" s="599" t="s">
        <v>132</v>
      </c>
      <c r="E51" s="586">
        <f>'10'!F51</f>
        <v>131844</v>
      </c>
      <c r="F51" s="586">
        <v>133395</v>
      </c>
      <c r="G51" s="549">
        <f t="shared" si="5"/>
        <v>1551</v>
      </c>
      <c r="H51" s="536">
        <f>G51+'9'!H51</f>
        <v>11795.080000000002</v>
      </c>
      <c r="I51" s="531"/>
      <c r="J51" s="629">
        <f>H51/DAY(B2)</f>
        <v>1072.2800000000002</v>
      </c>
      <c r="K51" s="467"/>
      <c r="L51" s="408"/>
      <c r="N51" s="800">
        <v>0</v>
      </c>
      <c r="P51" s="413">
        <f t="shared" si="1"/>
        <v>1551</v>
      </c>
    </row>
    <row r="52" spans="1:16">
      <c r="A52" s="655" t="s">
        <v>179</v>
      </c>
      <c r="B52" s="678"/>
      <c r="C52" s="678"/>
      <c r="D52" s="599" t="s">
        <v>132</v>
      </c>
      <c r="E52" s="586">
        <f>'10'!F52</f>
        <v>524409</v>
      </c>
      <c r="F52" s="586">
        <v>526494</v>
      </c>
      <c r="G52" s="549">
        <f t="shared" si="5"/>
        <v>2085</v>
      </c>
      <c r="H52" s="536">
        <f>G52+'9'!H52</f>
        <v>16535.289999999979</v>
      </c>
      <c r="I52" s="531"/>
      <c r="J52" s="629">
        <f>H52/DAY(B2)</f>
        <v>1503.2081818181798</v>
      </c>
      <c r="K52" s="467"/>
      <c r="L52" s="408"/>
      <c r="N52" s="800">
        <v>1007.1900000000023</v>
      </c>
      <c r="P52" s="413">
        <f t="shared" si="1"/>
        <v>1077.8099999999977</v>
      </c>
    </row>
    <row r="53" spans="1:16">
      <c r="A53" s="655" t="s">
        <v>168</v>
      </c>
      <c r="B53" s="678"/>
      <c r="C53" s="678"/>
      <c r="D53" s="599" t="s">
        <v>132</v>
      </c>
      <c r="E53" s="586">
        <f>'10'!F53</f>
        <v>365063</v>
      </c>
      <c r="F53" s="586">
        <v>369168</v>
      </c>
      <c r="G53" s="549">
        <f t="shared" si="5"/>
        <v>4105</v>
      </c>
      <c r="H53" s="536">
        <f>G53+'9'!H53</f>
        <v>33128.489999999991</v>
      </c>
      <c r="I53" s="531"/>
      <c r="J53" s="629">
        <f>H53/DAY(B2)</f>
        <v>3011.6809090909082</v>
      </c>
      <c r="K53" s="467"/>
      <c r="L53" s="408"/>
      <c r="N53" s="800">
        <v>85.61410000000069</v>
      </c>
      <c r="P53" s="413">
        <f t="shared" si="1"/>
        <v>4019.3858999999993</v>
      </c>
    </row>
    <row r="54" spans="1:16">
      <c r="A54" s="655" t="s">
        <v>180</v>
      </c>
      <c r="B54" s="678"/>
      <c r="C54" s="678"/>
      <c r="D54" s="599" t="s">
        <v>132</v>
      </c>
      <c r="E54" s="586">
        <f>'10'!F54</f>
        <v>8200</v>
      </c>
      <c r="F54" s="586">
        <v>8200</v>
      </c>
      <c r="G54" s="549">
        <f t="shared" si="5"/>
        <v>0</v>
      </c>
      <c r="H54" s="536">
        <f>G54+'9'!H54</f>
        <v>104.36999999999989</v>
      </c>
      <c r="I54" s="531"/>
      <c r="J54" s="629">
        <f>H54/DAY(B2)</f>
        <v>9.4881818181818076</v>
      </c>
      <c r="K54" s="467"/>
      <c r="L54" s="408"/>
      <c r="N54" s="800">
        <v>0</v>
      </c>
      <c r="P54" s="413">
        <f t="shared" si="1"/>
        <v>0</v>
      </c>
    </row>
    <row r="55" spans="1:16">
      <c r="A55" s="655" t="s">
        <v>181</v>
      </c>
      <c r="B55" s="678"/>
      <c r="C55" s="678"/>
      <c r="D55" s="599" t="s">
        <v>132</v>
      </c>
      <c r="E55" s="586">
        <f>'10'!F55</f>
        <v>166777</v>
      </c>
      <c r="F55" s="734">
        <v>171852</v>
      </c>
      <c r="G55" s="733">
        <f t="shared" si="5"/>
        <v>5075</v>
      </c>
      <c r="H55" s="787">
        <f>G55+'9'!H55</f>
        <v>49267.31</v>
      </c>
      <c r="I55" s="788"/>
      <c r="J55" s="789">
        <f>H55/DAY(B2)</f>
        <v>4478.8463636363631</v>
      </c>
      <c r="K55" s="467"/>
      <c r="L55" s="408"/>
      <c r="N55" s="800">
        <v>29.730000000010477</v>
      </c>
      <c r="P55" s="413">
        <f t="shared" si="1"/>
        <v>5045.2699999999895</v>
      </c>
    </row>
    <row r="56" spans="1:16">
      <c r="A56" s="655" t="s">
        <v>182</v>
      </c>
      <c r="B56" s="678"/>
      <c r="C56" s="678"/>
      <c r="D56" s="599" t="s">
        <v>183</v>
      </c>
      <c r="E56" s="586">
        <f>'10'!F56</f>
        <v>588761</v>
      </c>
      <c r="F56" s="734">
        <v>588761</v>
      </c>
      <c r="G56" s="549">
        <f t="shared" si="5"/>
        <v>0</v>
      </c>
      <c r="H56" s="536">
        <f>G56+'9'!H56</f>
        <v>2709.9699999999721</v>
      </c>
      <c r="I56" s="531"/>
      <c r="J56" s="629">
        <f>H56/DAY(B2)</f>
        <v>246.36090909090655</v>
      </c>
      <c r="K56" s="466"/>
      <c r="L56" s="408"/>
      <c r="N56" s="800">
        <v>0</v>
      </c>
      <c r="P56" s="413">
        <f t="shared" si="1"/>
        <v>0</v>
      </c>
    </row>
    <row r="57" spans="1:16">
      <c r="A57" s="655" t="s">
        <v>172</v>
      </c>
      <c r="B57" s="678"/>
      <c r="C57" s="678"/>
      <c r="D57" s="599" t="s">
        <v>132</v>
      </c>
      <c r="E57" s="586">
        <f>'10'!F57</f>
        <v>7711</v>
      </c>
      <c r="F57" s="586">
        <v>7711</v>
      </c>
      <c r="G57" s="549">
        <f t="shared" si="5"/>
        <v>0</v>
      </c>
      <c r="H57" s="536">
        <f>G57+'9'!H57</f>
        <v>-0.32999999999992724</v>
      </c>
      <c r="I57" s="531"/>
      <c r="J57" s="629">
        <f>H57/DAY(B2)</f>
        <v>-2.9999999999993386E-2</v>
      </c>
      <c r="K57" s="467"/>
      <c r="L57" s="408"/>
      <c r="N57" s="800">
        <v>0</v>
      </c>
      <c r="P57" s="413">
        <f t="shared" si="1"/>
        <v>0</v>
      </c>
    </row>
    <row r="58" spans="1:16">
      <c r="A58" s="655" t="s">
        <v>184</v>
      </c>
      <c r="B58" s="678"/>
      <c r="C58" s="678"/>
      <c r="D58" s="599" t="s">
        <v>132</v>
      </c>
      <c r="E58" s="586">
        <f>'10'!F58</f>
        <v>37842</v>
      </c>
      <c r="F58" s="734">
        <v>38003</v>
      </c>
      <c r="G58" s="549">
        <f t="shared" si="5"/>
        <v>161</v>
      </c>
      <c r="H58" s="536">
        <f>G58+'9'!H58</f>
        <v>1938.3000000000029</v>
      </c>
      <c r="I58" s="531"/>
      <c r="J58" s="629">
        <f>H58/DAY(B2)</f>
        <v>176.20909090909117</v>
      </c>
      <c r="K58" s="467"/>
      <c r="L58" s="408"/>
      <c r="N58" s="800">
        <v>7.3549999999995634</v>
      </c>
      <c r="P58" s="413">
        <f t="shared" si="1"/>
        <v>153.64500000000044</v>
      </c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14112</v>
      </c>
      <c r="H59" s="536">
        <f>G59+'9'!H59</f>
        <v>127794.31999999992</v>
      </c>
      <c r="I59" s="531">
        <f>G7-G60</f>
        <v>361.51000000000204</v>
      </c>
      <c r="J59" s="629">
        <f>H59/DAY(B2)</f>
        <v>11617.665454545448</v>
      </c>
      <c r="K59" s="467"/>
      <c r="L59" s="408"/>
      <c r="N59" s="800">
        <v>1689.8591000000142</v>
      </c>
      <c r="P59" s="413">
        <f t="shared" si="1"/>
        <v>12422.140899999986</v>
      </c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20954.489999999998</v>
      </c>
      <c r="H60" s="536">
        <f>G60+'10'!H60</f>
        <v>366759.07999999996</v>
      </c>
      <c r="I60" s="531">
        <f>G13-G60</f>
        <v>-412.48999999999796</v>
      </c>
      <c r="J60" s="629">
        <f>H60/DAY(B2)</f>
        <v>33341.734545454543</v>
      </c>
      <c r="K60" s="467"/>
      <c r="L60" s="408"/>
      <c r="N60" s="800">
        <v>11779.769100000076</v>
      </c>
      <c r="P60" s="413">
        <f>G60-N60</f>
        <v>9174.720899999922</v>
      </c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P61" s="413">
        <f t="shared" si="1"/>
        <v>0</v>
      </c>
    </row>
    <row r="62" spans="1:16">
      <c r="A62" s="680" t="s">
        <v>98</v>
      </c>
      <c r="B62" s="681"/>
      <c r="C62" s="681"/>
      <c r="D62" s="587" t="s">
        <v>187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-0.18700000000171713</v>
      </c>
      <c r="I62" s="591"/>
      <c r="J62" s="629">
        <f>H62/DAY(B2)</f>
        <v>-1.7000000000156102E-2</v>
      </c>
      <c r="K62" s="467"/>
      <c r="L62" s="408"/>
      <c r="N62" s="800">
        <v>0</v>
      </c>
      <c r="P62" s="413">
        <f t="shared" si="1"/>
        <v>0</v>
      </c>
    </row>
    <row r="63" spans="1:16">
      <c r="A63" s="680" t="s">
        <v>188</v>
      </c>
      <c r="B63" s="681"/>
      <c r="C63" s="681"/>
      <c r="D63" s="587" t="s">
        <v>187</v>
      </c>
      <c r="E63" s="590">
        <f>'10'!F63</f>
        <v>1839</v>
      </c>
      <c r="F63" s="590">
        <v>1853</v>
      </c>
      <c r="G63" s="549">
        <f t="shared" si="6"/>
        <v>14</v>
      </c>
      <c r="H63" s="536">
        <f>G63+'10'!H63</f>
        <v>145.6400000000001</v>
      </c>
      <c r="I63" s="591"/>
      <c r="J63" s="629">
        <f>H63/DAY(B2)</f>
        <v>13.240000000000009</v>
      </c>
      <c r="K63" s="467"/>
      <c r="L63" s="408"/>
      <c r="N63" s="800">
        <v>0</v>
      </c>
      <c r="P63" s="413">
        <f t="shared" si="1"/>
        <v>14</v>
      </c>
    </row>
    <row r="64" spans="1:16" ht="27.75">
      <c r="A64" s="1430" t="s">
        <v>99</v>
      </c>
      <c r="B64" s="1431"/>
      <c r="C64" s="1432"/>
      <c r="D64" s="599" t="s">
        <v>187</v>
      </c>
      <c r="E64" s="590">
        <f>'10'!F64</f>
        <v>128841</v>
      </c>
      <c r="F64" s="554">
        <v>129348</v>
      </c>
      <c r="G64" s="549">
        <f t="shared" si="6"/>
        <v>507</v>
      </c>
      <c r="H64" s="536">
        <f>G64+'10'!H64</f>
        <v>5720.6999999999971</v>
      </c>
      <c r="I64" s="556"/>
      <c r="J64" s="629">
        <f>H64/DAY(B2)</f>
        <v>520.06363636363608</v>
      </c>
      <c r="K64" s="467"/>
      <c r="L64" s="408"/>
      <c r="N64" s="800">
        <v>163.8269999999975</v>
      </c>
      <c r="P64" s="413">
        <f t="shared" si="1"/>
        <v>343.1730000000025</v>
      </c>
    </row>
    <row r="65" spans="1:16" ht="27.75">
      <c r="A65" s="1430" t="s">
        <v>100</v>
      </c>
      <c r="B65" s="1431"/>
      <c r="C65" s="1432"/>
      <c r="D65" s="599" t="s">
        <v>187</v>
      </c>
      <c r="E65" s="590">
        <f>'10'!F65</f>
        <v>136358</v>
      </c>
      <c r="F65" s="732">
        <v>136712</v>
      </c>
      <c r="G65" s="549">
        <f t="shared" si="6"/>
        <v>354</v>
      </c>
      <c r="H65" s="536">
        <f>G65+'10'!H65</f>
        <v>4114.7000000000116</v>
      </c>
      <c r="I65" s="565"/>
      <c r="J65" s="629">
        <f>H65/DAY(B2)</f>
        <v>374.06363636363744</v>
      </c>
      <c r="K65" s="467"/>
      <c r="L65" s="408"/>
      <c r="N65" s="800">
        <v>268.47299999999814</v>
      </c>
      <c r="P65" s="413">
        <f t="shared" si="1"/>
        <v>85.527000000001863</v>
      </c>
    </row>
    <row r="66" spans="1:16" ht="27.75">
      <c r="A66" s="1430" t="s">
        <v>101</v>
      </c>
      <c r="B66" s="1431"/>
      <c r="C66" s="1432"/>
      <c r="D66" s="599" t="s">
        <v>187</v>
      </c>
      <c r="E66" s="590">
        <f>'10'!F66</f>
        <v>29078</v>
      </c>
      <c r="F66" s="554">
        <v>29424</v>
      </c>
      <c r="G66" s="549">
        <f t="shared" si="6"/>
        <v>346</v>
      </c>
      <c r="H66" s="536">
        <f>G66+'10'!H66</f>
        <v>4264.25</v>
      </c>
      <c r="I66" s="556"/>
      <c r="J66" s="629">
        <f>H66/DAY(B2)</f>
        <v>387.65909090909093</v>
      </c>
      <c r="K66" s="467"/>
      <c r="L66" s="408"/>
      <c r="N66" s="800">
        <v>269.34500000000116</v>
      </c>
      <c r="P66" s="413">
        <f t="shared" si="1"/>
        <v>76.654999999998836</v>
      </c>
    </row>
    <row r="67" spans="1:16" ht="27.75">
      <c r="A67" s="1430" t="s">
        <v>102</v>
      </c>
      <c r="B67" s="1431"/>
      <c r="C67" s="1432"/>
      <c r="D67" s="599" t="s">
        <v>187</v>
      </c>
      <c r="E67" s="590">
        <f>'10'!F67</f>
        <v>214635</v>
      </c>
      <c r="F67" s="554">
        <v>215299</v>
      </c>
      <c r="G67" s="549">
        <f t="shared" si="6"/>
        <v>664</v>
      </c>
      <c r="H67" s="536">
        <f>G67+'10'!H67</f>
        <v>7457.1700000000128</v>
      </c>
      <c r="I67" s="565"/>
      <c r="J67" s="629">
        <f>H67/DAY(B2)</f>
        <v>677.92454545454666</v>
      </c>
      <c r="K67" s="468"/>
      <c r="L67" s="408"/>
      <c r="N67" s="800">
        <v>278.32000000000698</v>
      </c>
      <c r="P67" s="413">
        <f t="shared" si="1"/>
        <v>385.67999999999302</v>
      </c>
    </row>
    <row r="68" spans="1:16" ht="27.75">
      <c r="A68" s="1430" t="s">
        <v>103</v>
      </c>
      <c r="B68" s="1431"/>
      <c r="C68" s="1432"/>
      <c r="D68" s="599" t="s">
        <v>187</v>
      </c>
      <c r="E68" s="590">
        <f>'10'!F68</f>
        <v>76079</v>
      </c>
      <c r="F68" s="554">
        <v>76381</v>
      </c>
      <c r="G68" s="549">
        <f t="shared" si="6"/>
        <v>302</v>
      </c>
      <c r="H68" s="536">
        <f>G68+'10'!H68</f>
        <v>3702.4799999999959</v>
      </c>
      <c r="I68" s="592"/>
      <c r="J68" s="629">
        <f>H68/DAY(B2)</f>
        <v>336.58909090909054</v>
      </c>
      <c r="K68" s="469"/>
      <c r="L68" s="408"/>
      <c r="N68" s="800">
        <v>96.661499999999705</v>
      </c>
      <c r="P68" s="413">
        <f t="shared" si="1"/>
        <v>205.33850000000029</v>
      </c>
    </row>
    <row r="69" spans="1:16" ht="27.75">
      <c r="A69" s="1430" t="s">
        <v>104</v>
      </c>
      <c r="B69" s="1431"/>
      <c r="C69" s="1432"/>
      <c r="D69" s="599" t="s">
        <v>187</v>
      </c>
      <c r="E69" s="590">
        <f>'10'!F69</f>
        <v>67712</v>
      </c>
      <c r="F69" s="554">
        <v>68042</v>
      </c>
      <c r="G69" s="549">
        <f t="shared" si="6"/>
        <v>330</v>
      </c>
      <c r="H69" s="536">
        <f>G69+'10'!H69</f>
        <v>3589.9100000000035</v>
      </c>
      <c r="I69" s="592"/>
      <c r="J69" s="629">
        <f>H69/DAY(B2)</f>
        <v>326.35545454545485</v>
      </c>
      <c r="K69" s="470"/>
      <c r="L69" s="408"/>
      <c r="N69" s="800">
        <v>12.966000000000349</v>
      </c>
      <c r="P69" s="413">
        <f t="shared" si="1"/>
        <v>317.03399999999965</v>
      </c>
    </row>
    <row r="70" spans="1:16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00"/>
      <c r="P70" s="413">
        <f t="shared" si="1"/>
        <v>0</v>
      </c>
    </row>
    <row r="71" spans="1:16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800"/>
      <c r="P71" s="413">
        <f t="shared" si="1"/>
        <v>0</v>
      </c>
    </row>
    <row r="72" spans="1:16" ht="27.75">
      <c r="A72" s="1430" t="s">
        <v>191</v>
      </c>
      <c r="B72" s="1431"/>
      <c r="C72" s="1432"/>
      <c r="D72" s="599" t="s">
        <v>187</v>
      </c>
      <c r="E72" s="595">
        <f>'10'!F72</f>
        <v>851438</v>
      </c>
      <c r="F72" s="735">
        <v>851533</v>
      </c>
      <c r="G72" s="856">
        <f t="shared" ref="G72:G84" si="7">F72-E72</f>
        <v>95</v>
      </c>
      <c r="H72" s="536">
        <f>G72+'10'!H72</f>
        <v>941</v>
      </c>
      <c r="I72" s="556"/>
      <c r="J72" s="629">
        <f>H72/DAY(B2)</f>
        <v>85.545454545454547</v>
      </c>
      <c r="K72" s="470"/>
      <c r="L72" s="408"/>
      <c r="N72" s="800">
        <v>17</v>
      </c>
      <c r="P72" s="413">
        <f t="shared" ref="P72:P140" si="8">G72-N72</f>
        <v>78</v>
      </c>
    </row>
    <row r="73" spans="1:16" ht="27.75">
      <c r="A73" s="1430" t="s">
        <v>192</v>
      </c>
      <c r="B73" s="1431"/>
      <c r="C73" s="1432"/>
      <c r="D73" s="599" t="s">
        <v>187</v>
      </c>
      <c r="E73" s="595">
        <f>'10'!F73</f>
        <v>885775</v>
      </c>
      <c r="F73" s="736">
        <v>885775</v>
      </c>
      <c r="G73" s="733">
        <f t="shared" si="7"/>
        <v>0</v>
      </c>
      <c r="H73" s="536">
        <f>G73+'10'!H73</f>
        <v>3</v>
      </c>
      <c r="I73" s="556"/>
      <c r="J73" s="629">
        <f>H73/DAY(B2)</f>
        <v>0.27272727272727271</v>
      </c>
      <c r="K73" s="469"/>
      <c r="L73" s="408"/>
      <c r="N73" s="800">
        <v>1</v>
      </c>
      <c r="P73" s="413">
        <f t="shared" si="8"/>
        <v>-1</v>
      </c>
    </row>
    <row r="74" spans="1:16" ht="27.75">
      <c r="A74" s="1430" t="s">
        <v>193</v>
      </c>
      <c r="B74" s="1431"/>
      <c r="C74" s="1432"/>
      <c r="D74" s="599" t="s">
        <v>187</v>
      </c>
      <c r="E74" s="595">
        <f>'10'!F74</f>
        <v>872</v>
      </c>
      <c r="F74" s="736">
        <v>898</v>
      </c>
      <c r="G74" s="549">
        <f t="shared" si="7"/>
        <v>26</v>
      </c>
      <c r="H74" s="536">
        <f>G74+'10'!H74</f>
        <v>311.83000000000004</v>
      </c>
      <c r="I74" s="556"/>
      <c r="J74" s="629">
        <f>H74/DAY(B2)</f>
        <v>28.348181818181821</v>
      </c>
      <c r="K74" s="470"/>
      <c r="L74" s="408"/>
      <c r="N74" s="800">
        <v>7</v>
      </c>
      <c r="P74" s="413">
        <f t="shared" si="8"/>
        <v>19</v>
      </c>
    </row>
    <row r="75" spans="1:16" ht="27.75">
      <c r="A75" s="1479" t="s">
        <v>194</v>
      </c>
      <c r="B75" s="1480"/>
      <c r="C75" s="1481"/>
      <c r="D75" s="599" t="s">
        <v>187</v>
      </c>
      <c r="E75" s="595">
        <f>'10'!F75</f>
        <v>5150</v>
      </c>
      <c r="F75" s="736">
        <v>5314</v>
      </c>
      <c r="G75" s="549">
        <f t="shared" si="7"/>
        <v>164</v>
      </c>
      <c r="H75" s="536">
        <f>G75+'10'!H75</f>
        <v>1794.7800000000002</v>
      </c>
      <c r="I75" s="556"/>
      <c r="J75" s="629">
        <f>H75/DAY(B2)</f>
        <v>163.16181818181821</v>
      </c>
      <c r="K75" s="469"/>
      <c r="L75" s="408"/>
      <c r="N75" s="800">
        <v>63</v>
      </c>
      <c r="P75" s="413">
        <f t="shared" si="8"/>
        <v>101</v>
      </c>
    </row>
    <row r="76" spans="1:16" ht="27.75">
      <c r="A76" s="1479" t="s">
        <v>195</v>
      </c>
      <c r="B76" s="1480"/>
      <c r="C76" s="1481"/>
      <c r="D76" s="599" t="s">
        <v>187</v>
      </c>
      <c r="E76" s="595">
        <f>'10'!F76</f>
        <v>2353</v>
      </c>
      <c r="F76" s="736">
        <v>2444</v>
      </c>
      <c r="G76" s="549">
        <f t="shared" si="7"/>
        <v>91</v>
      </c>
      <c r="H76" s="536">
        <f>G76+'10'!H76</f>
        <v>929.66000000000008</v>
      </c>
      <c r="I76" s="581"/>
      <c r="J76" s="629">
        <f>H76/DAY(B2)</f>
        <v>84.514545454545456</v>
      </c>
      <c r="K76" s="469"/>
      <c r="L76" s="408"/>
      <c r="N76" s="800">
        <v>2</v>
      </c>
      <c r="P76" s="413">
        <f t="shared" si="8"/>
        <v>89</v>
      </c>
    </row>
    <row r="77" spans="1:16" ht="27.75">
      <c r="A77" s="1430" t="s">
        <v>196</v>
      </c>
      <c r="B77" s="1431"/>
      <c r="C77" s="1432"/>
      <c r="D77" s="599" t="s">
        <v>187</v>
      </c>
      <c r="E77" s="595">
        <f>'10'!F77</f>
        <v>699114</v>
      </c>
      <c r="F77" s="1404">
        <v>699169</v>
      </c>
      <c r="G77" s="733">
        <f t="shared" si="7"/>
        <v>55</v>
      </c>
      <c r="H77" s="536">
        <f>G77+'10'!H77</f>
        <v>581</v>
      </c>
      <c r="I77" s="581"/>
      <c r="J77" s="629">
        <f>H77/DAY(B2)</f>
        <v>52.81818181818182</v>
      </c>
      <c r="K77" s="469"/>
      <c r="L77" s="408"/>
      <c r="N77" s="800">
        <v>15</v>
      </c>
      <c r="P77" s="413">
        <f t="shared" si="8"/>
        <v>40</v>
      </c>
    </row>
    <row r="78" spans="1:16" ht="27.75">
      <c r="A78" s="1232" t="s">
        <v>197</v>
      </c>
      <c r="B78" s="1203"/>
      <c r="C78" s="1203"/>
      <c r="D78" s="599" t="s">
        <v>187</v>
      </c>
      <c r="E78" s="595">
        <f>'10'!F78</f>
        <v>656774</v>
      </c>
      <c r="F78" s="1404">
        <v>657185</v>
      </c>
      <c r="G78" s="549">
        <f t="shared" si="7"/>
        <v>411</v>
      </c>
      <c r="H78" s="536">
        <f>G78+'10'!H78</f>
        <v>4322</v>
      </c>
      <c r="I78" s="581"/>
      <c r="J78" s="629">
        <f>H78/DAY(B2)</f>
        <v>392.90909090909093</v>
      </c>
      <c r="K78" s="469"/>
      <c r="L78" s="408"/>
      <c r="N78" s="800">
        <v>38</v>
      </c>
      <c r="P78" s="413">
        <f t="shared" si="8"/>
        <v>373</v>
      </c>
    </row>
    <row r="79" spans="1:16" ht="27.75">
      <c r="A79" s="1479" t="s">
        <v>92</v>
      </c>
      <c r="B79" s="1480"/>
      <c r="C79" s="1481"/>
      <c r="D79" s="600" t="s">
        <v>187</v>
      </c>
      <c r="E79" s="595">
        <f>'10'!F79</f>
        <v>817239</v>
      </c>
      <c r="F79" s="737">
        <v>817412</v>
      </c>
      <c r="G79" s="549">
        <f t="shared" si="7"/>
        <v>173</v>
      </c>
      <c r="H79" s="536">
        <f>G79+'10'!H79</f>
        <v>2303</v>
      </c>
      <c r="I79" s="581"/>
      <c r="J79" s="629">
        <f>H79/DAY(B2)</f>
        <v>209.36363636363637</v>
      </c>
      <c r="K79" s="469"/>
      <c r="L79" s="408"/>
      <c r="N79" s="800">
        <v>94</v>
      </c>
      <c r="P79" s="413">
        <f t="shared" si="8"/>
        <v>79</v>
      </c>
    </row>
    <row r="80" spans="1:16" ht="27.75">
      <c r="A80" s="1479" t="s">
        <v>198</v>
      </c>
      <c r="B80" s="1480"/>
      <c r="C80" s="1481"/>
      <c r="D80" s="600" t="s">
        <v>187</v>
      </c>
      <c r="E80" s="595">
        <f>'10'!F80</f>
        <v>498270</v>
      </c>
      <c r="F80" s="1404">
        <v>498367</v>
      </c>
      <c r="G80" s="549">
        <f t="shared" si="7"/>
        <v>97</v>
      </c>
      <c r="H80" s="536">
        <f>G80+'10'!H80</f>
        <v>3693.359999999986</v>
      </c>
      <c r="I80" s="581"/>
      <c r="J80" s="629">
        <f>H80/DAY(B2)</f>
        <v>335.75999999999874</v>
      </c>
      <c r="K80" s="469"/>
      <c r="L80" s="408"/>
      <c r="N80" s="800">
        <v>188.48000000003958</v>
      </c>
      <c r="P80" s="413">
        <f t="shared" si="8"/>
        <v>-91.480000000039581</v>
      </c>
    </row>
    <row r="81" spans="1:16" ht="27.75">
      <c r="A81" s="1479" t="s">
        <v>199</v>
      </c>
      <c r="B81" s="1480"/>
      <c r="C81" s="1481"/>
      <c r="D81" s="600" t="s">
        <v>187</v>
      </c>
      <c r="E81" s="595">
        <f>'10'!F81</f>
        <v>627017</v>
      </c>
      <c r="F81" s="736">
        <v>627101</v>
      </c>
      <c r="G81" s="549">
        <f t="shared" si="7"/>
        <v>84</v>
      </c>
      <c r="H81" s="536">
        <f>G81+'10'!H81</f>
        <v>1157.1600000000326</v>
      </c>
      <c r="I81" s="581"/>
      <c r="J81" s="629">
        <f>H81/DAY(B2)</f>
        <v>105.1963636363666</v>
      </c>
      <c r="K81" s="469"/>
      <c r="L81" s="408"/>
      <c r="N81" s="800">
        <v>84.92000000004191</v>
      </c>
      <c r="P81" s="413">
        <f t="shared" si="8"/>
        <v>-0.92000000004190952</v>
      </c>
    </row>
    <row r="82" spans="1:16" ht="27.75">
      <c r="A82" s="1479" t="s">
        <v>93</v>
      </c>
      <c r="B82" s="1480"/>
      <c r="C82" s="1481"/>
      <c r="D82" s="561" t="s">
        <v>132</v>
      </c>
      <c r="E82" s="595">
        <f>'10'!F82</f>
        <v>106419</v>
      </c>
      <c r="F82" s="732">
        <v>106445</v>
      </c>
      <c r="G82" s="549">
        <f t="shared" si="7"/>
        <v>26</v>
      </c>
      <c r="H82" s="536">
        <f>G82+'10'!H82</f>
        <v>242.52000000000407</v>
      </c>
      <c r="I82" s="562"/>
      <c r="J82" s="629">
        <f>H82/DAY(B2)</f>
        <v>22.047272727273096</v>
      </c>
      <c r="K82" s="469"/>
      <c r="L82" s="408"/>
      <c r="N82" s="800">
        <v>31.630000000004657</v>
      </c>
      <c r="P82" s="413">
        <f t="shared" si="8"/>
        <v>-5.6300000000046566</v>
      </c>
    </row>
    <row r="83" spans="1:16" ht="27.75">
      <c r="A83" s="1479" t="s">
        <v>200</v>
      </c>
      <c r="B83" s="1480"/>
      <c r="C83" s="1481"/>
      <c r="D83" s="697" t="s">
        <v>132</v>
      </c>
      <c r="E83" s="595">
        <f>'10'!F83</f>
        <v>1274</v>
      </c>
      <c r="F83" s="587">
        <v>1681</v>
      </c>
      <c r="G83" s="549">
        <f t="shared" si="7"/>
        <v>407</v>
      </c>
      <c r="H83" s="536">
        <f>G83+'10'!H83</f>
        <v>5084</v>
      </c>
      <c r="I83" s="557"/>
      <c r="J83" s="629">
        <f>H83/DAY(B2)</f>
        <v>462.18181818181819</v>
      </c>
      <c r="K83" s="468"/>
      <c r="L83" s="408"/>
      <c r="N83" s="800">
        <v>235</v>
      </c>
      <c r="P83" s="413">
        <f t="shared" si="8"/>
        <v>172</v>
      </c>
    </row>
    <row r="84" spans="1:16">
      <c r="A84" s="1233" t="s">
        <v>201</v>
      </c>
      <c r="B84" s="648"/>
      <c r="C84" s="648"/>
      <c r="D84" s="554" t="s">
        <v>132</v>
      </c>
      <c r="E84" s="595">
        <f>'10'!F84</f>
        <v>438460</v>
      </c>
      <c r="F84" s="791">
        <v>439458</v>
      </c>
      <c r="G84" s="549">
        <f t="shared" si="7"/>
        <v>998</v>
      </c>
      <c r="H84" s="536">
        <f>G84+'10'!H84</f>
        <v>8660</v>
      </c>
      <c r="I84" s="557"/>
      <c r="J84" s="629">
        <f>H84/DAY(B2)</f>
        <v>787.27272727272725</v>
      </c>
      <c r="K84" s="411"/>
      <c r="L84" s="408"/>
      <c r="N84" s="800">
        <v>433</v>
      </c>
      <c r="P84" s="413">
        <f t="shared" si="8"/>
        <v>565</v>
      </c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2627</v>
      </c>
      <c r="H85" s="536">
        <f>G85+'10'!H85</f>
        <v>27997.929999999968</v>
      </c>
      <c r="I85" s="557"/>
      <c r="J85" s="629">
        <f>H85/DAY(B2)</f>
        <v>2545.2663636363609</v>
      </c>
      <c r="K85" s="411"/>
      <c r="L85" s="409"/>
      <c r="N85" s="800">
        <v>1210.0300000000861</v>
      </c>
      <c r="P85" s="413">
        <f t="shared" si="8"/>
        <v>1416.9699999999139</v>
      </c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'10'!F86</f>
        <v>451553</v>
      </c>
      <c r="F86" s="728">
        <v>451722</v>
      </c>
      <c r="G86" s="787">
        <f t="shared" ref="G86:G90" si="9">F86-E86</f>
        <v>169</v>
      </c>
      <c r="H86" s="787">
        <f t="shared" ref="H86:H88" si="10">G86</f>
        <v>169</v>
      </c>
      <c r="I86" s="733"/>
      <c r="J86" s="789">
        <f>H86/DAY(B2)</f>
        <v>15.363636363636363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'10'!F87</f>
        <v>79518</v>
      </c>
      <c r="F87" s="1405">
        <v>79543</v>
      </c>
      <c r="G87" s="787">
        <f t="shared" si="9"/>
        <v>25</v>
      </c>
      <c r="H87" s="787">
        <f t="shared" si="10"/>
        <v>25</v>
      </c>
      <c r="I87" s="733"/>
      <c r="J87" s="789">
        <f>H87/DAY(B2)</f>
        <v>2.2727272727272729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'10'!F88</f>
        <v>149012</v>
      </c>
      <c r="F88" s="728">
        <v>149095</v>
      </c>
      <c r="G88" s="787">
        <f t="shared" si="9"/>
        <v>83</v>
      </c>
      <c r="H88" s="787">
        <f t="shared" si="10"/>
        <v>83</v>
      </c>
      <c r="I88" s="733"/>
      <c r="J88" s="789">
        <f>H88/DAY(B2)</f>
        <v>7.5454545454545459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'10'!F89</f>
        <v>62437</v>
      </c>
      <c r="F89" s="1405">
        <v>62495</v>
      </c>
      <c r="G89" s="787">
        <f t="shared" si="9"/>
        <v>58</v>
      </c>
      <c r="H89" s="787">
        <f>G89</f>
        <v>58</v>
      </c>
      <c r="I89" s="733"/>
      <c r="J89" s="789">
        <f>H89/DAY(B2)</f>
        <v>5.2727272727272725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'10'!F90</f>
        <v>3209</v>
      </c>
      <c r="F90" s="1405">
        <v>3214</v>
      </c>
      <c r="G90" s="787">
        <f t="shared" si="9"/>
        <v>5</v>
      </c>
      <c r="H90" s="787">
        <f>G90</f>
        <v>5</v>
      </c>
      <c r="I90" s="733"/>
      <c r="J90" s="789">
        <f>H90/DAY(B2)</f>
        <v>0.45454545454545453</v>
      </c>
      <c r="K90" s="815"/>
      <c r="L90" s="816"/>
      <c r="N90" s="860"/>
      <c r="O90" s="413"/>
    </row>
    <row r="91" spans="1:16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P91" s="413">
        <f t="shared" si="8"/>
        <v>0</v>
      </c>
    </row>
    <row r="92" spans="1:16" ht="27.75">
      <c r="A92" s="1433" t="s">
        <v>206</v>
      </c>
      <c r="B92" s="1434"/>
      <c r="C92" s="1435"/>
      <c r="D92" s="599" t="s">
        <v>144</v>
      </c>
      <c r="E92" s="560">
        <f>'10'!F92</f>
        <v>240680</v>
      </c>
      <c r="F92" s="554">
        <v>240759</v>
      </c>
      <c r="G92" s="549">
        <f t="shared" ref="G92:G93" si="11">F92-E92</f>
        <v>79</v>
      </c>
      <c r="H92" s="536">
        <f>G92+'10'!H92</f>
        <v>1064</v>
      </c>
      <c r="I92" s="556"/>
      <c r="J92" s="629">
        <f>H92/DAY(B2)</f>
        <v>96.727272727272734</v>
      </c>
      <c r="K92" s="468"/>
      <c r="L92" s="408"/>
      <c r="N92" s="800">
        <v>6</v>
      </c>
      <c r="P92" s="413">
        <f t="shared" si="8"/>
        <v>73</v>
      </c>
    </row>
    <row r="93" spans="1:16" ht="27.75">
      <c r="A93" s="1433" t="s">
        <v>207</v>
      </c>
      <c r="B93" s="1434"/>
      <c r="C93" s="1435"/>
      <c r="D93" s="599" t="s">
        <v>144</v>
      </c>
      <c r="E93" s="560">
        <f>'10'!F93</f>
        <v>176979</v>
      </c>
      <c r="F93" s="554">
        <v>177092</v>
      </c>
      <c r="G93" s="549">
        <f t="shared" si="11"/>
        <v>113</v>
      </c>
      <c r="H93" s="536">
        <f>G93+'10'!H93</f>
        <v>1431</v>
      </c>
      <c r="I93" s="556"/>
      <c r="J93" s="629">
        <f>H93/DAY(B2)</f>
        <v>130.09090909090909</v>
      </c>
      <c r="K93" s="411"/>
      <c r="L93" s="408"/>
      <c r="N93" s="800">
        <v>73</v>
      </c>
      <c r="P93" s="413">
        <f t="shared" si="8"/>
        <v>40</v>
      </c>
    </row>
    <row r="94" spans="1:16">
      <c r="A94" s="1427" t="s">
        <v>208</v>
      </c>
      <c r="B94" s="1428"/>
      <c r="C94" s="1429"/>
      <c r="D94" s="599"/>
      <c r="E94" s="560">
        <f>'10'!F94</f>
        <v>0</v>
      </c>
      <c r="F94" s="554"/>
      <c r="G94" s="549">
        <f>G92+G93</f>
        <v>192</v>
      </c>
      <c r="H94" s="536">
        <f>G94+'10'!H94</f>
        <v>2229</v>
      </c>
      <c r="I94" s="556"/>
      <c r="J94" s="629">
        <f>H94/DAY(B2)</f>
        <v>202.63636363636363</v>
      </c>
      <c r="K94" s="411"/>
      <c r="L94" s="408"/>
      <c r="N94" s="800">
        <v>79</v>
      </c>
      <c r="P94" s="413">
        <f t="shared" si="8"/>
        <v>113</v>
      </c>
    </row>
    <row r="95" spans="1:16" ht="27.75">
      <c r="A95" s="1433" t="s">
        <v>209</v>
      </c>
      <c r="B95" s="1434"/>
      <c r="C95" s="1435"/>
      <c r="D95" s="599" t="s">
        <v>144</v>
      </c>
      <c r="E95" s="560">
        <f>'10'!F95</f>
        <v>409044</v>
      </c>
      <c r="F95" s="554">
        <v>409123</v>
      </c>
      <c r="G95" s="549">
        <f t="shared" ref="G95:G100" si="12">F95-E95</f>
        <v>79</v>
      </c>
      <c r="H95" s="536">
        <f>G95+'10'!H95</f>
        <v>967</v>
      </c>
      <c r="I95" s="556"/>
      <c r="J95" s="629">
        <f>H95/DAY(B2)</f>
        <v>87.909090909090907</v>
      </c>
      <c r="K95" s="411"/>
      <c r="L95" s="408"/>
      <c r="N95" s="800">
        <v>28</v>
      </c>
      <c r="P95" s="413">
        <f t="shared" si="8"/>
        <v>51</v>
      </c>
    </row>
    <row r="96" spans="1:16" ht="27.75">
      <c r="A96" s="1229" t="s">
        <v>210</v>
      </c>
      <c r="B96" s="1230"/>
      <c r="C96" s="1230"/>
      <c r="D96" s="599" t="s">
        <v>144</v>
      </c>
      <c r="E96" s="560">
        <f>'10'!F96</f>
        <v>101490</v>
      </c>
      <c r="F96" s="554">
        <v>101500</v>
      </c>
      <c r="G96" s="549">
        <f t="shared" si="12"/>
        <v>10</v>
      </c>
      <c r="H96" s="536">
        <f>G96+'10'!H96</f>
        <v>168</v>
      </c>
      <c r="I96" s="556"/>
      <c r="J96" s="629">
        <f>H96/DAY(B2)</f>
        <v>15.272727272727273</v>
      </c>
      <c r="K96" s="466"/>
      <c r="L96" s="408"/>
      <c r="N96" s="800">
        <v>10</v>
      </c>
      <c r="P96" s="413">
        <f t="shared" si="8"/>
        <v>0</v>
      </c>
    </row>
    <row r="97" spans="1:16" ht="27.75">
      <c r="A97" s="1229" t="s">
        <v>211</v>
      </c>
      <c r="B97" s="1230"/>
      <c r="C97" s="1230"/>
      <c r="D97" s="599" t="s">
        <v>144</v>
      </c>
      <c r="E97" s="560">
        <f>'10'!F97</f>
        <v>96636</v>
      </c>
      <c r="F97" s="703">
        <v>96658</v>
      </c>
      <c r="G97" s="549">
        <f t="shared" si="12"/>
        <v>22</v>
      </c>
      <c r="H97" s="536">
        <f>G97+'10'!H97</f>
        <v>209</v>
      </c>
      <c r="I97" s="556"/>
      <c r="J97" s="629">
        <f>H97/DAY(B2)</f>
        <v>19</v>
      </c>
      <c r="K97" s="471"/>
      <c r="L97" s="408"/>
      <c r="N97" s="800">
        <v>10</v>
      </c>
      <c r="P97" s="413">
        <f t="shared" si="8"/>
        <v>12</v>
      </c>
    </row>
    <row r="98" spans="1:16" ht="27.75">
      <c r="A98" s="1229" t="s">
        <v>212</v>
      </c>
      <c r="B98" s="1230"/>
      <c r="C98" s="1230"/>
      <c r="D98" s="599" t="s">
        <v>144</v>
      </c>
      <c r="E98" s="560">
        <f>'10'!F98</f>
        <v>148160</v>
      </c>
      <c r="F98" s="554">
        <v>148232</v>
      </c>
      <c r="G98" s="549">
        <f t="shared" si="12"/>
        <v>72</v>
      </c>
      <c r="H98" s="536">
        <f>G98+'10'!H98</f>
        <v>624</v>
      </c>
      <c r="I98" s="556"/>
      <c r="J98" s="629">
        <f>H98/DAY(B2)</f>
        <v>56.727272727272727</v>
      </c>
      <c r="K98" s="411"/>
      <c r="L98" s="408"/>
      <c r="N98" s="802">
        <v>28</v>
      </c>
      <c r="P98" s="413">
        <f t="shared" si="8"/>
        <v>44</v>
      </c>
    </row>
    <row r="99" spans="1:16" ht="27.75">
      <c r="A99" s="1229" t="s">
        <v>213</v>
      </c>
      <c r="B99" s="1230"/>
      <c r="C99" s="1230"/>
      <c r="D99" s="599" t="s">
        <v>144</v>
      </c>
      <c r="E99" s="560">
        <f>'10'!F99</f>
        <v>6547</v>
      </c>
      <c r="F99" s="554">
        <v>6556</v>
      </c>
      <c r="G99" s="549">
        <f t="shared" si="12"/>
        <v>9</v>
      </c>
      <c r="H99" s="536">
        <f>G99+'10'!H99</f>
        <v>148</v>
      </c>
      <c r="I99" s="556"/>
      <c r="J99" s="629">
        <f>H99/DAY(B2)</f>
        <v>13.454545454545455</v>
      </c>
      <c r="K99" s="411"/>
      <c r="L99" s="408"/>
      <c r="N99" s="800">
        <v>5</v>
      </c>
      <c r="P99" s="413">
        <f t="shared" si="8"/>
        <v>4</v>
      </c>
    </row>
    <row r="100" spans="1:16" ht="27.75">
      <c r="A100" s="1229" t="s">
        <v>214</v>
      </c>
      <c r="B100" s="1230"/>
      <c r="C100" s="1230"/>
      <c r="D100" s="599" t="s">
        <v>144</v>
      </c>
      <c r="E100" s="560">
        <f>'10'!F100</f>
        <v>4646</v>
      </c>
      <c r="F100" s="703">
        <v>4661</v>
      </c>
      <c r="G100" s="549">
        <f t="shared" si="12"/>
        <v>15</v>
      </c>
      <c r="H100" s="536">
        <f>G100+'10'!H100</f>
        <v>118</v>
      </c>
      <c r="I100" s="556"/>
      <c r="J100" s="629">
        <f>H100/DAY(B2)</f>
        <v>10.727272727272727</v>
      </c>
      <c r="K100" s="411"/>
      <c r="L100" s="408"/>
      <c r="N100" s="800">
        <v>0</v>
      </c>
      <c r="P100" s="413">
        <f t="shared" si="8"/>
        <v>15</v>
      </c>
    </row>
    <row r="101" spans="1:16">
      <c r="A101" s="1427" t="s">
        <v>216</v>
      </c>
      <c r="B101" s="1428"/>
      <c r="C101" s="1429"/>
      <c r="D101" s="600"/>
      <c r="E101" s="560"/>
      <c r="F101" s="600"/>
      <c r="G101" s="601">
        <f>SUM(G95:G100)</f>
        <v>207</v>
      </c>
      <c r="H101" s="536">
        <f>G101+'10'!H101</f>
        <v>2234</v>
      </c>
      <c r="I101" s="602"/>
      <c r="J101" s="629">
        <f>H101/DAY(B2)</f>
        <v>203.09090909090909</v>
      </c>
      <c r="K101" s="411"/>
      <c r="L101" s="408"/>
      <c r="N101" s="800">
        <v>81</v>
      </c>
      <c r="P101" s="413">
        <f t="shared" si="8"/>
        <v>126</v>
      </c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P102" s="413">
        <f t="shared" si="8"/>
        <v>0</v>
      </c>
    </row>
    <row r="103" spans="1:16" s="481" customFormat="1" ht="27.75">
      <c r="A103" s="1436" t="s">
        <v>218</v>
      </c>
      <c r="B103" s="1437"/>
      <c r="C103" s="650"/>
      <c r="D103" s="699"/>
      <c r="E103" s="560"/>
      <c r="F103" s="739"/>
      <c r="G103" s="608"/>
      <c r="H103" s="609"/>
      <c r="I103" s="608"/>
      <c r="J103" s="635"/>
      <c r="N103" s="800"/>
      <c r="P103" s="413">
        <f t="shared" si="8"/>
        <v>0</v>
      </c>
    </row>
    <row r="104" spans="1:16" s="481" customFormat="1" ht="27.75">
      <c r="A104" s="1438" t="s">
        <v>219</v>
      </c>
      <c r="B104" s="1439"/>
      <c r="C104" s="1228"/>
      <c r="D104" s="699" t="s">
        <v>144</v>
      </c>
      <c r="E104" s="560">
        <f>'10'!F104</f>
        <v>7233</v>
      </c>
      <c r="F104" s="739">
        <v>7233</v>
      </c>
      <c r="G104" s="608">
        <f>F104-E104</f>
        <v>0</v>
      </c>
      <c r="H104" s="609">
        <f>SUM(G104+'1'!G76)</f>
        <v>79.150000000000091</v>
      </c>
      <c r="I104" s="608"/>
      <c r="J104" s="635">
        <f>H104/DAY(B2)</f>
        <v>7.1954545454545533</v>
      </c>
      <c r="N104" s="800">
        <v>0</v>
      </c>
      <c r="P104" s="413">
        <f t="shared" si="8"/>
        <v>0</v>
      </c>
    </row>
    <row r="105" spans="1:16" s="481" customFormat="1" ht="27.75">
      <c r="A105" s="1438" t="s">
        <v>77</v>
      </c>
      <c r="B105" s="1439"/>
      <c r="C105" s="1228"/>
      <c r="D105" s="699" t="s">
        <v>144</v>
      </c>
      <c r="E105" s="560">
        <f>'10'!F105</f>
        <v>35488</v>
      </c>
      <c r="F105" s="740">
        <v>35494</v>
      </c>
      <c r="G105" s="608">
        <f t="shared" ref="G105:G106" si="13">F105-E105</f>
        <v>6</v>
      </c>
      <c r="H105" s="609">
        <f>SUM(G105+'1'!G77)</f>
        <v>51</v>
      </c>
      <c r="I105" s="608"/>
      <c r="J105" s="635">
        <f>H105/DAY(B2)</f>
        <v>4.6363636363636367</v>
      </c>
      <c r="N105" s="800">
        <v>0</v>
      </c>
      <c r="P105" s="413">
        <f t="shared" si="8"/>
        <v>6</v>
      </c>
    </row>
    <row r="106" spans="1:16" s="481" customFormat="1" ht="27.75">
      <c r="A106" s="1438" t="s">
        <v>78</v>
      </c>
      <c r="B106" s="1440"/>
      <c r="C106" s="1439"/>
      <c r="D106" s="699" t="s">
        <v>144</v>
      </c>
      <c r="E106" s="560">
        <f>'10'!F106</f>
        <v>19297</v>
      </c>
      <c r="F106" s="740">
        <v>19308</v>
      </c>
      <c r="G106" s="608">
        <f t="shared" si="13"/>
        <v>11</v>
      </c>
      <c r="H106" s="609">
        <f>SUM(G106+'1'!G78)</f>
        <v>401</v>
      </c>
      <c r="I106" s="608"/>
      <c r="J106" s="635">
        <f>H106/DAY(B2)</f>
        <v>36.454545454545453</v>
      </c>
      <c r="N106" s="800">
        <v>4</v>
      </c>
      <c r="P106" s="413">
        <f t="shared" si="8"/>
        <v>7</v>
      </c>
    </row>
    <row r="107" spans="1:16" s="481" customFormat="1" ht="27.75">
      <c r="A107" s="1441" t="s">
        <v>202</v>
      </c>
      <c r="B107" s="1442"/>
      <c r="C107" s="1228"/>
      <c r="D107" s="699"/>
      <c r="E107" s="560"/>
      <c r="F107" s="740"/>
      <c r="G107" s="608">
        <f>SUM(G104:G106)</f>
        <v>17</v>
      </c>
      <c r="H107" s="609">
        <f>SUM(G107+'1'!G79)</f>
        <v>209</v>
      </c>
      <c r="I107" s="608"/>
      <c r="J107" s="635">
        <f>H107/DAY(B2)</f>
        <v>19</v>
      </c>
      <c r="N107" s="800">
        <v>4</v>
      </c>
      <c r="P107" s="413">
        <f t="shared" si="8"/>
        <v>13</v>
      </c>
    </row>
    <row r="108" spans="1:16" s="481" customFormat="1" ht="27.75">
      <c r="A108" s="1443" t="s">
        <v>79</v>
      </c>
      <c r="B108" s="1444"/>
      <c r="C108" s="1228"/>
      <c r="D108" s="699" t="s">
        <v>144</v>
      </c>
      <c r="E108" s="560"/>
      <c r="F108" s="740"/>
      <c r="G108" s="608"/>
      <c r="H108" s="609"/>
      <c r="I108" s="608"/>
      <c r="J108" s="635"/>
      <c r="N108" s="800"/>
      <c r="P108" s="413">
        <f t="shared" si="8"/>
        <v>0</v>
      </c>
    </row>
    <row r="109" spans="1:16" s="481" customFormat="1" ht="27.75">
      <c r="A109" s="1438" t="s">
        <v>220</v>
      </c>
      <c r="B109" s="1439"/>
      <c r="C109" s="1228"/>
      <c r="D109" s="699" t="s">
        <v>144</v>
      </c>
      <c r="E109" s="560">
        <f>'10'!F109</f>
        <v>57144</v>
      </c>
      <c r="F109" s="866">
        <v>57226</v>
      </c>
      <c r="G109" s="608">
        <f>F109-E109</f>
        <v>82</v>
      </c>
      <c r="H109" s="609">
        <f>SUM(G109+'1'!G81)</f>
        <v>194.56000000005588</v>
      </c>
      <c r="I109" s="608"/>
      <c r="J109" s="635">
        <f>H109/DAY(B2)</f>
        <v>17.687272727277808</v>
      </c>
      <c r="N109" s="800">
        <v>40</v>
      </c>
      <c r="P109" s="413">
        <f t="shared" si="8"/>
        <v>42</v>
      </c>
    </row>
    <row r="110" spans="1:16" s="481" customFormat="1" ht="27.75">
      <c r="A110" s="1438" t="s">
        <v>221</v>
      </c>
      <c r="B110" s="1439"/>
      <c r="C110" s="1228"/>
      <c r="D110" s="699" t="s">
        <v>144</v>
      </c>
      <c r="E110" s="560">
        <f>'10'!F110</f>
        <v>31098</v>
      </c>
      <c r="F110" s="740">
        <v>31156</v>
      </c>
      <c r="G110" s="608">
        <f t="shared" ref="G110:G111" si="14">F110-E110</f>
        <v>58</v>
      </c>
      <c r="H110" s="609">
        <f>SUM(G110+'1'!G82)</f>
        <v>76.169999999998254</v>
      </c>
      <c r="I110" s="608"/>
      <c r="J110" s="635">
        <f>H110/DAY(B2)</f>
        <v>6.9245454545452958</v>
      </c>
      <c r="N110" s="800">
        <v>0</v>
      </c>
      <c r="P110" s="413">
        <f t="shared" si="8"/>
        <v>58</v>
      </c>
    </row>
    <row r="111" spans="1:16" s="481" customFormat="1" ht="27.75">
      <c r="A111" s="1438" t="s">
        <v>222</v>
      </c>
      <c r="B111" s="1439"/>
      <c r="C111" s="1228"/>
      <c r="D111" s="699" t="s">
        <v>144</v>
      </c>
      <c r="E111" s="560">
        <f>'10'!F111</f>
        <v>4047</v>
      </c>
      <c r="F111" s="740">
        <v>4047</v>
      </c>
      <c r="G111" s="608">
        <f t="shared" si="14"/>
        <v>0</v>
      </c>
      <c r="H111" s="609">
        <f>SUM(G111+'1'!G83)</f>
        <v>520</v>
      </c>
      <c r="I111" s="608"/>
      <c r="J111" s="635">
        <f>H111/DAY(B2)</f>
        <v>47.272727272727273</v>
      </c>
      <c r="N111" s="800">
        <v>0</v>
      </c>
      <c r="P111" s="413">
        <f t="shared" si="8"/>
        <v>0</v>
      </c>
    </row>
    <row r="112" spans="1:16" s="481" customFormat="1" ht="27.75">
      <c r="A112" s="1441" t="s">
        <v>110</v>
      </c>
      <c r="B112" s="1442"/>
      <c r="C112" s="1228"/>
      <c r="D112" s="699"/>
      <c r="E112" s="560"/>
      <c r="F112" s="740"/>
      <c r="G112" s="608">
        <f>SUM(G109:G111)</f>
        <v>140</v>
      </c>
      <c r="H112" s="609">
        <f>SUM(G112+'1'!G84)</f>
        <v>830</v>
      </c>
      <c r="I112" s="608"/>
      <c r="J112" s="635">
        <f>H112/DAY(B2)</f>
        <v>75.454545454545453</v>
      </c>
      <c r="N112" s="800">
        <v>40</v>
      </c>
      <c r="P112" s="413">
        <f t="shared" si="8"/>
        <v>100</v>
      </c>
    </row>
    <row r="113" spans="1:16" s="481" customFormat="1" ht="27.75">
      <c r="A113" s="1443" t="s">
        <v>223</v>
      </c>
      <c r="B113" s="1444"/>
      <c r="C113" s="1228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P113" s="413">
        <f t="shared" si="8"/>
        <v>0</v>
      </c>
    </row>
    <row r="114" spans="1:16" s="481" customFormat="1" ht="27.75">
      <c r="A114" s="1438" t="s">
        <v>224</v>
      </c>
      <c r="B114" s="1439"/>
      <c r="C114" s="651"/>
      <c r="D114" s="699" t="s">
        <v>144</v>
      </c>
      <c r="E114" s="560">
        <f>'10'!F114</f>
        <v>10488</v>
      </c>
      <c r="F114" s="740">
        <v>10502</v>
      </c>
      <c r="G114" s="610">
        <f>F114-E114</f>
        <v>14</v>
      </c>
      <c r="H114" s="609">
        <f>SUM(G114+'1'!G91)</f>
        <v>14</v>
      </c>
      <c r="I114" s="608"/>
      <c r="J114" s="635">
        <f>H114/DAY(B2)</f>
        <v>1.2727272727272727</v>
      </c>
      <c r="N114" s="800">
        <v>5</v>
      </c>
      <c r="P114" s="413">
        <f t="shared" si="8"/>
        <v>9</v>
      </c>
    </row>
    <row r="115" spans="1:16" s="481" customFormat="1" ht="27.75">
      <c r="A115" s="1438" t="s">
        <v>225</v>
      </c>
      <c r="B115" s="1439"/>
      <c r="C115" s="651"/>
      <c r="D115" s="699" t="s">
        <v>144</v>
      </c>
      <c r="E115" s="560">
        <f>'10'!F115</f>
        <v>7749</v>
      </c>
      <c r="F115" s="740">
        <v>7762</v>
      </c>
      <c r="G115" s="610">
        <f t="shared" ref="G115:G116" si="15">F115-E115</f>
        <v>13</v>
      </c>
      <c r="H115" s="609">
        <f>SUM(G115+'1'!G92)</f>
        <v>135</v>
      </c>
      <c r="I115" s="608"/>
      <c r="J115" s="635">
        <f>H115/DAY(B2)</f>
        <v>12.272727272727273</v>
      </c>
      <c r="N115" s="800">
        <v>2</v>
      </c>
      <c r="P115" s="413">
        <f t="shared" si="8"/>
        <v>11</v>
      </c>
    </row>
    <row r="116" spans="1:16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5"/>
        <v>0</v>
      </c>
      <c r="H116" s="609">
        <f>SUM(G116+'1'!G93)</f>
        <v>144</v>
      </c>
      <c r="I116" s="608"/>
      <c r="J116" s="635">
        <f>H116/DAY(B2)</f>
        <v>13.090909090909092</v>
      </c>
      <c r="N116" s="800">
        <v>0</v>
      </c>
      <c r="P116" s="413">
        <f t="shared" si="8"/>
        <v>0</v>
      </c>
    </row>
    <row r="117" spans="1:16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27</v>
      </c>
      <c r="H117" s="609">
        <f>SUM(G117+'1'!G95)</f>
        <v>103</v>
      </c>
      <c r="I117" s="610"/>
      <c r="J117" s="635">
        <f>H117/DAY(B2)</f>
        <v>9.3636363636363633</v>
      </c>
      <c r="N117" s="800">
        <v>7</v>
      </c>
      <c r="P117" s="413">
        <f t="shared" si="8"/>
        <v>20</v>
      </c>
    </row>
    <row r="118" spans="1:16" s="495" customFormat="1" ht="27.75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130</v>
      </c>
      <c r="G118" s="612">
        <f>SUM(G19+G92)</f>
        <v>130</v>
      </c>
      <c r="H118" s="609">
        <f>SUM(G118+'1'!G96)</f>
        <v>143</v>
      </c>
      <c r="I118" s="611"/>
      <c r="J118" s="636">
        <f>H118/DAY(B2)</f>
        <v>13</v>
      </c>
      <c r="N118" s="800">
        <v>61</v>
      </c>
      <c r="P118" s="413">
        <f t="shared" si="8"/>
        <v>69</v>
      </c>
    </row>
    <row r="119" spans="1:16" s="495" customFormat="1" ht="27.75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135</v>
      </c>
      <c r="G119" s="612">
        <f>SUM(G95,G96,G97,G99,G100)</f>
        <v>135</v>
      </c>
      <c r="H119" s="609">
        <f>SUM(G119+'1'!G98)</f>
        <v>205</v>
      </c>
      <c r="I119" s="611"/>
      <c r="J119" s="636">
        <f>H119/DAY(B2)</f>
        <v>18.636363636363637</v>
      </c>
      <c r="N119" s="800">
        <v>53</v>
      </c>
      <c r="P119" s="413">
        <f t="shared" si="8"/>
        <v>82</v>
      </c>
    </row>
    <row r="120" spans="1:16" s="495" customFormat="1" ht="27.75">
      <c r="A120" s="1472" t="s">
        <v>229</v>
      </c>
      <c r="B120" s="1473"/>
      <c r="C120" s="1226"/>
      <c r="D120" s="701" t="s">
        <v>144</v>
      </c>
      <c r="E120" s="610"/>
      <c r="F120" s="740">
        <f>SUM(G112)</f>
        <v>140</v>
      </c>
      <c r="G120" s="610">
        <f>SUM(G112)</f>
        <v>140</v>
      </c>
      <c r="H120" s="609">
        <f>SUM(G120+'1'!G100)</f>
        <v>154</v>
      </c>
      <c r="I120" s="611"/>
      <c r="J120" s="636">
        <f>H120/DAY(B2)</f>
        <v>14</v>
      </c>
      <c r="N120" s="800">
        <v>40</v>
      </c>
      <c r="P120" s="413">
        <f t="shared" si="8"/>
        <v>100</v>
      </c>
    </row>
    <row r="121" spans="1:16" s="481" customFormat="1" ht="27.75">
      <c r="A121" s="1474"/>
      <c r="B121" s="1475"/>
      <c r="C121" s="1227"/>
      <c r="D121" s="637"/>
      <c r="E121" s="637"/>
      <c r="F121" s="742" t="s">
        <v>215</v>
      </c>
      <c r="G121" s="637"/>
      <c r="H121" s="638"/>
      <c r="I121" s="637"/>
      <c r="J121" s="639"/>
      <c r="N121" s="800"/>
      <c r="P121" s="413">
        <f t="shared" si="8"/>
        <v>0</v>
      </c>
    </row>
    <row r="122" spans="1:16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P122" s="413">
        <f t="shared" si="8"/>
        <v>0</v>
      </c>
    </row>
    <row r="123" spans="1:16" ht="27.75">
      <c r="A123" s="1229" t="s">
        <v>231</v>
      </c>
      <c r="B123" s="1230"/>
      <c r="C123" s="1230"/>
      <c r="D123" s="599" t="s">
        <v>141</v>
      </c>
      <c r="E123" s="554">
        <f>'10'!F123</f>
        <v>813567</v>
      </c>
      <c r="F123" s="554">
        <v>813800</v>
      </c>
      <c r="G123" s="549">
        <f t="shared" ref="G123:G127" si="16">F123-E123</f>
        <v>233</v>
      </c>
      <c r="H123" s="536">
        <f>G123+'10'!H123</f>
        <v>2793.1600000000326</v>
      </c>
      <c r="I123" s="602"/>
      <c r="J123" s="629">
        <f>H123/DAY(B2)</f>
        <v>253.92363636363933</v>
      </c>
      <c r="K123" s="411"/>
      <c r="L123" s="408"/>
      <c r="N123" s="800">
        <v>139.71999999997206</v>
      </c>
      <c r="P123" s="413">
        <f t="shared" si="8"/>
        <v>93.28000000002794</v>
      </c>
    </row>
    <row r="124" spans="1:16" ht="27.75">
      <c r="A124" s="1229" t="s">
        <v>232</v>
      </c>
      <c r="B124" s="1230"/>
      <c r="C124" s="1230"/>
      <c r="D124" s="599" t="s">
        <v>141</v>
      </c>
      <c r="E124" s="703">
        <f>'10'!F124</f>
        <v>73583</v>
      </c>
      <c r="F124" s="703">
        <v>73583</v>
      </c>
      <c r="G124" s="549">
        <f t="shared" si="16"/>
        <v>0</v>
      </c>
      <c r="H124" s="536">
        <f>G124+'10'!H124</f>
        <v>-0.39999999999417923</v>
      </c>
      <c r="I124" s="602"/>
      <c r="J124" s="629">
        <f>H124/DAY(B2)</f>
        <v>-3.6363636363107202E-2</v>
      </c>
      <c r="K124" s="411"/>
      <c r="L124" s="408"/>
      <c r="N124" s="800">
        <v>0</v>
      </c>
      <c r="P124" s="413">
        <f t="shared" si="8"/>
        <v>0</v>
      </c>
    </row>
    <row r="125" spans="1:16" ht="27.75">
      <c r="A125" s="1430" t="s">
        <v>233</v>
      </c>
      <c r="B125" s="1431"/>
      <c r="C125" s="1432"/>
      <c r="D125" s="599" t="s">
        <v>141</v>
      </c>
      <c r="E125" s="554">
        <f>'10'!F125</f>
        <v>140646</v>
      </c>
      <c r="F125" s="554">
        <v>140714</v>
      </c>
      <c r="G125" s="549">
        <f t="shared" si="16"/>
        <v>68</v>
      </c>
      <c r="H125" s="536">
        <f>G125+'10'!H125</f>
        <v>734.66000000000349</v>
      </c>
      <c r="I125" s="602"/>
      <c r="J125" s="629">
        <f>H125/DAY(B2)</f>
        <v>66.787272727273049</v>
      </c>
      <c r="K125" s="411"/>
      <c r="L125" s="408"/>
      <c r="N125" s="800">
        <v>53.380000000004657</v>
      </c>
      <c r="P125" s="413">
        <f t="shared" si="8"/>
        <v>14.619999999995343</v>
      </c>
    </row>
    <row r="126" spans="1:16" ht="27.75">
      <c r="A126" s="686" t="s">
        <v>234</v>
      </c>
      <c r="B126" s="1230"/>
      <c r="C126" s="1230"/>
      <c r="D126" s="599" t="s">
        <v>141</v>
      </c>
      <c r="E126" s="703">
        <f>'10'!F126</f>
        <v>59650</v>
      </c>
      <c r="F126" s="703">
        <v>59667</v>
      </c>
      <c r="G126" s="549">
        <f t="shared" si="16"/>
        <v>17</v>
      </c>
      <c r="H126" s="536">
        <f>G126+'10'!H126</f>
        <v>360.09999999999854</v>
      </c>
      <c r="I126" s="602"/>
      <c r="J126" s="629">
        <f>H126/DAY(B2)</f>
        <v>32.736363636363507</v>
      </c>
      <c r="K126" s="411"/>
      <c r="L126" s="408"/>
      <c r="N126" s="800">
        <v>0</v>
      </c>
      <c r="P126" s="413">
        <f t="shared" si="8"/>
        <v>17</v>
      </c>
    </row>
    <row r="127" spans="1:16" ht="27.75">
      <c r="A127" s="686" t="s">
        <v>235</v>
      </c>
      <c r="B127" s="1230"/>
      <c r="C127" s="1230"/>
      <c r="D127" s="599" t="s">
        <v>141</v>
      </c>
      <c r="E127" s="703">
        <f>'10'!F127</f>
        <v>8911</v>
      </c>
      <c r="F127" s="703">
        <v>8914</v>
      </c>
      <c r="G127" s="549">
        <f t="shared" si="16"/>
        <v>3</v>
      </c>
      <c r="H127" s="536">
        <f>G127+'10'!H127</f>
        <v>26.200000000000728</v>
      </c>
      <c r="I127" s="556"/>
      <c r="J127" s="629">
        <f>H127/DAY(B2)</f>
        <v>2.381818181818248</v>
      </c>
      <c r="K127" s="411"/>
      <c r="L127" s="408"/>
      <c r="N127" s="800">
        <v>0</v>
      </c>
      <c r="P127" s="413">
        <f t="shared" si="8"/>
        <v>3</v>
      </c>
    </row>
    <row r="128" spans="1:16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531</v>
      </c>
      <c r="H128" s="536"/>
      <c r="I128" s="556"/>
      <c r="J128" s="629"/>
      <c r="K128" s="391"/>
      <c r="L128" s="293"/>
      <c r="N128" s="800">
        <v>146.14300000004005</v>
      </c>
      <c r="P128" s="413">
        <f t="shared" si="8"/>
        <v>384.85699999995995</v>
      </c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P129" s="413">
        <f t="shared" si="8"/>
        <v>0</v>
      </c>
    </row>
    <row r="130" spans="1:16" ht="27.75">
      <c r="A130" s="1229" t="s">
        <v>238</v>
      </c>
      <c r="B130" s="1230"/>
      <c r="C130" s="1230"/>
      <c r="D130" s="599" t="s">
        <v>239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00">
        <v>0</v>
      </c>
      <c r="P130" s="413">
        <f t="shared" si="8"/>
        <v>0</v>
      </c>
    </row>
    <row r="131" spans="1:16" ht="27.75">
      <c r="A131" s="1229" t="s">
        <v>240</v>
      </c>
      <c r="B131" s="1230"/>
      <c r="C131" s="1230"/>
      <c r="D131" s="599" t="s">
        <v>239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00">
        <v>0</v>
      </c>
      <c r="P131" s="413">
        <f t="shared" si="8"/>
        <v>0</v>
      </c>
    </row>
    <row r="132" spans="1:16" ht="27.75">
      <c r="A132" s="1229" t="s">
        <v>241</v>
      </c>
      <c r="B132" s="1230"/>
      <c r="C132" s="1230"/>
      <c r="D132" s="599" t="s">
        <v>239</v>
      </c>
      <c r="E132" s="560">
        <f>'10'!F132</f>
        <v>39219.35</v>
      </c>
      <c r="F132" s="732">
        <v>39219.35</v>
      </c>
      <c r="G132" s="549">
        <f t="shared" si="17"/>
        <v>0</v>
      </c>
      <c r="H132" s="536">
        <f>G132+'10'!H132</f>
        <v>390.34999999999854</v>
      </c>
      <c r="I132" s="556"/>
      <c r="J132" s="629">
        <f>H132/DAY(B2)</f>
        <v>35.486363636363507</v>
      </c>
      <c r="N132" s="800">
        <v>22</v>
      </c>
      <c r="P132" s="413">
        <f t="shared" si="8"/>
        <v>-22</v>
      </c>
    </row>
    <row r="133" spans="1:16" ht="27.75">
      <c r="A133" s="1229" t="s">
        <v>242</v>
      </c>
      <c r="B133" s="1230"/>
      <c r="C133" s="1230"/>
      <c r="D133" s="599" t="s">
        <v>239</v>
      </c>
      <c r="E133" s="560">
        <f>'10'!F133</f>
        <v>299</v>
      </c>
      <c r="F133" s="703">
        <v>299</v>
      </c>
      <c r="G133" s="549">
        <f t="shared" si="17"/>
        <v>0</v>
      </c>
      <c r="H133" s="536">
        <f>G133+'10'!H133</f>
        <v>-1</v>
      </c>
      <c r="I133" s="556">
        <f>G130+G131+G132+G133</f>
        <v>0</v>
      </c>
      <c r="J133" s="629">
        <f>H133/DAY(B2)</f>
        <v>-9.0909090909090912E-2</v>
      </c>
      <c r="N133" s="800">
        <v>9.0000000000145519E-2</v>
      </c>
      <c r="P133" s="413">
        <f t="shared" si="8"/>
        <v>-9.0000000000145519E-2</v>
      </c>
    </row>
    <row r="134" spans="1:16" ht="27.75">
      <c r="A134" s="1229" t="s">
        <v>243</v>
      </c>
      <c r="B134" s="1230"/>
      <c r="C134" s="1230"/>
      <c r="D134" s="599" t="s">
        <v>239</v>
      </c>
      <c r="E134" s="560">
        <f>'10'!F134</f>
        <v>40602.43</v>
      </c>
      <c r="F134" s="703">
        <v>40626.51</v>
      </c>
      <c r="G134" s="549">
        <f t="shared" si="17"/>
        <v>24.080000000001746</v>
      </c>
      <c r="H134" s="536">
        <f>G134+'10'!H134</f>
        <v>259.37000000000262</v>
      </c>
      <c r="I134" s="556"/>
      <c r="J134" s="629">
        <f>H134/DAY(B2)</f>
        <v>23.579090909091146</v>
      </c>
      <c r="N134" s="800">
        <v>1</v>
      </c>
      <c r="P134" s="413">
        <f t="shared" si="8"/>
        <v>23.080000000001746</v>
      </c>
    </row>
    <row r="135" spans="1:16" ht="27.75">
      <c r="A135" s="1229" t="s">
        <v>244</v>
      </c>
      <c r="B135" s="1230"/>
      <c r="C135" s="1230"/>
      <c r="D135" s="599" t="s">
        <v>239</v>
      </c>
      <c r="E135" s="560">
        <f>'10'!F135</f>
        <v>32582.560000000001</v>
      </c>
      <c r="F135" s="703">
        <v>32582.560000000001</v>
      </c>
      <c r="G135" s="549">
        <f t="shared" si="17"/>
        <v>0</v>
      </c>
      <c r="H135" s="536">
        <f>G135+'10'!H135</f>
        <v>11.56000000000131</v>
      </c>
      <c r="I135" s="556"/>
      <c r="J135" s="629">
        <f>H135/DAY(B2)</f>
        <v>1.05090909090921</v>
      </c>
      <c r="N135" s="800">
        <v>0</v>
      </c>
      <c r="P135" s="413">
        <f t="shared" si="8"/>
        <v>0</v>
      </c>
    </row>
    <row r="136" spans="1:16" ht="27.75">
      <c r="A136" s="1229" t="s">
        <v>245</v>
      </c>
      <c r="B136" s="1230"/>
      <c r="C136" s="1230"/>
      <c r="D136" s="599" t="s">
        <v>239</v>
      </c>
      <c r="E136" s="560">
        <f>'10'!F136</f>
        <v>22310</v>
      </c>
      <c r="F136" s="732">
        <v>22318</v>
      </c>
      <c r="G136" s="549">
        <f t="shared" si="17"/>
        <v>8</v>
      </c>
      <c r="H136" s="536">
        <f>G136+'10'!H136</f>
        <v>95.790000000000873</v>
      </c>
      <c r="I136" s="556">
        <f>G134+G135+G136</f>
        <v>32.080000000001746</v>
      </c>
      <c r="J136" s="629">
        <f>H136/DAY(B2)</f>
        <v>8.7081818181818971</v>
      </c>
      <c r="N136" s="800">
        <v>0</v>
      </c>
      <c r="P136" s="413">
        <f t="shared" si="8"/>
        <v>8</v>
      </c>
    </row>
    <row r="137" spans="1:16" ht="27.75">
      <c r="A137" s="1229" t="s">
        <v>246</v>
      </c>
      <c r="B137" s="1230"/>
      <c r="C137" s="1230"/>
      <c r="D137" s="599" t="s">
        <v>239</v>
      </c>
      <c r="E137" s="560">
        <f>'10'!F137</f>
        <v>25044</v>
      </c>
      <c r="F137" s="732">
        <v>25044.31</v>
      </c>
      <c r="G137" s="549">
        <f t="shared" si="17"/>
        <v>0.31000000000130967</v>
      </c>
      <c r="H137" s="536">
        <f>G137+'10'!H137</f>
        <v>0</v>
      </c>
      <c r="I137" s="556"/>
      <c r="J137" s="629">
        <f>H137/DAY(B2)</f>
        <v>0</v>
      </c>
      <c r="N137" s="800">
        <v>0</v>
      </c>
      <c r="P137" s="413">
        <f t="shared" si="8"/>
        <v>0.31000000000130967</v>
      </c>
    </row>
    <row r="138" spans="1:16" ht="27.75">
      <c r="A138" s="1229" t="s">
        <v>247</v>
      </c>
      <c r="B138" s="1230"/>
      <c r="C138" s="1230"/>
      <c r="D138" s="599" t="s">
        <v>239</v>
      </c>
      <c r="E138" s="560">
        <f>'10'!F138</f>
        <v>70190</v>
      </c>
      <c r="F138" s="732">
        <v>70196</v>
      </c>
      <c r="G138" s="549">
        <f t="shared" si="17"/>
        <v>6</v>
      </c>
      <c r="H138" s="536">
        <f>G138+'10'!H138</f>
        <v>48.660000000003492</v>
      </c>
      <c r="I138" s="556">
        <f>G137+G138</f>
        <v>6.3100000000013097</v>
      </c>
      <c r="J138" s="629">
        <f>H138/DAY(B2)</f>
        <v>4.4236363636366809</v>
      </c>
      <c r="N138" s="800">
        <v>7.75</v>
      </c>
      <c r="P138" s="413">
        <f t="shared" si="8"/>
        <v>-1.75</v>
      </c>
    </row>
    <row r="139" spans="1:16" ht="27.75">
      <c r="A139" s="1229" t="s">
        <v>248</v>
      </c>
      <c r="B139" s="1230"/>
      <c r="C139" s="1230"/>
      <c r="D139" s="599" t="s">
        <v>239</v>
      </c>
      <c r="E139" s="560">
        <f>'10'!F139</f>
        <v>1497</v>
      </c>
      <c r="F139" s="703">
        <v>1504</v>
      </c>
      <c r="G139" s="549">
        <f t="shared" si="17"/>
        <v>7</v>
      </c>
      <c r="H139" s="536">
        <f>G139+'10'!H139</f>
        <v>80.8599999999999</v>
      </c>
      <c r="I139" s="619"/>
      <c r="J139" s="629">
        <f>H139/DAY(B2)</f>
        <v>7.3509090909090817</v>
      </c>
      <c r="N139" s="800">
        <v>0</v>
      </c>
      <c r="P139" s="413">
        <f t="shared" si="8"/>
        <v>7</v>
      </c>
    </row>
    <row r="140" spans="1:16" ht="27.75">
      <c r="A140" s="1229" t="s">
        <v>249</v>
      </c>
      <c r="B140" s="1230"/>
      <c r="C140" s="1230"/>
      <c r="D140" s="599" t="s">
        <v>239</v>
      </c>
      <c r="E140" s="560">
        <f>'10'!F140</f>
        <v>4334</v>
      </c>
      <c r="F140" s="554">
        <v>4334</v>
      </c>
      <c r="G140" s="549">
        <f t="shared" si="17"/>
        <v>0</v>
      </c>
      <c r="H140" s="536">
        <f>G140+'10'!H140</f>
        <v>0</v>
      </c>
      <c r="I140" s="619"/>
      <c r="J140" s="629">
        <f>H140/DAY(B2)</f>
        <v>0</v>
      </c>
      <c r="N140" s="800">
        <v>4.6199999999998909</v>
      </c>
      <c r="P140" s="413">
        <f t="shared" si="8"/>
        <v>-4.6199999999998909</v>
      </c>
    </row>
    <row r="141" spans="1:16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P141" s="413">
        <f t="shared" ref="P141:P153" si="18">G141-N141</f>
        <v>0</v>
      </c>
    </row>
    <row r="142" spans="1:16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6244</v>
      </c>
      <c r="H142" s="536">
        <f>G142+'10'!H142</f>
        <v>64528.120000000068</v>
      </c>
      <c r="I142" s="556"/>
      <c r="J142" s="629">
        <f>H142/DAY(B2)</f>
        <v>5866.1927272727335</v>
      </c>
      <c r="K142" s="411"/>
      <c r="L142" s="408"/>
      <c r="N142" s="800">
        <v>3021.2200000000303</v>
      </c>
      <c r="O142" s="407">
        <f>24-9</f>
        <v>15</v>
      </c>
      <c r="P142" s="413">
        <f t="shared" si="18"/>
        <v>3222.7799999999697</v>
      </c>
    </row>
    <row r="143" spans="1:16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0.29292550197035089</v>
      </c>
      <c r="H143" s="536">
        <f>G143+'10'!H143</f>
        <v>2.8228536585563702</v>
      </c>
      <c r="I143" s="621"/>
      <c r="J143" s="629">
        <f>H143/DAY(B2)</f>
        <v>0.25662305986876094</v>
      </c>
      <c r="K143" s="411"/>
      <c r="L143" s="408"/>
      <c r="N143" s="800">
        <v>0.25350058734687281</v>
      </c>
      <c r="P143" s="413">
        <f t="shared" si="18"/>
        <v>3.942491462347808E-2</v>
      </c>
    </row>
    <row r="144" spans="1:16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5075</v>
      </c>
      <c r="H144" s="536">
        <f>G144+'10'!H144</f>
        <v>57860.059999999969</v>
      </c>
      <c r="I144" s="556"/>
      <c r="J144" s="629">
        <f>H144/DAY(B2)</f>
        <v>5260.0054545454514</v>
      </c>
      <c r="K144" s="411"/>
      <c r="L144" s="408"/>
      <c r="N144" s="800">
        <v>3327.2700000000186</v>
      </c>
      <c r="P144" s="413">
        <f t="shared" si="18"/>
        <v>1747.7299999999814</v>
      </c>
    </row>
    <row r="145" spans="1:16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0.23808406830549822</v>
      </c>
      <c r="H145" s="536">
        <f>G145+'10'!H145</f>
        <v>2.6911231565812814</v>
      </c>
      <c r="I145" s="621"/>
      <c r="J145" s="629">
        <f>H145/DAY(B2)</f>
        <v>0.2446475596892074</v>
      </c>
      <c r="K145" s="411"/>
      <c r="L145" s="408"/>
      <c r="N145" s="800">
        <v>0.27918023158248184</v>
      </c>
      <c r="P145" s="413">
        <f t="shared" si="18"/>
        <v>-4.1096163276983622E-2</v>
      </c>
    </row>
    <row r="146" spans="1:16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4105</v>
      </c>
      <c r="H146" s="536">
        <f>G146+'10'!H146</f>
        <v>146772.38</v>
      </c>
      <c r="I146" s="622"/>
      <c r="J146" s="629">
        <f>H146/DAY(B2)</f>
        <v>13342.943636363636</v>
      </c>
      <c r="K146" s="411"/>
      <c r="L146" s="408"/>
      <c r="N146" s="800">
        <v>2165.6141000000007</v>
      </c>
      <c r="P146" s="413">
        <f t="shared" si="18"/>
        <v>1939.3858999999993</v>
      </c>
    </row>
    <row r="147" spans="1:16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0.19257834490523551</v>
      </c>
      <c r="H147" s="536">
        <f>G147+'10'!H147</f>
        <v>7.0861405046713655</v>
      </c>
      <c r="I147" s="622"/>
      <c r="J147" s="629">
        <f>H147/DAY(B2)</f>
        <v>0.64419459133376045</v>
      </c>
      <c r="N147" s="800">
        <v>0.18170952340996818</v>
      </c>
      <c r="P147" s="413">
        <f t="shared" si="18"/>
        <v>1.0868821495267328E-2</v>
      </c>
    </row>
    <row r="148" spans="1:16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2085</v>
      </c>
      <c r="H148" s="536">
        <f>G148+'10'!H148</f>
        <v>23100.799999999981</v>
      </c>
      <c r="I148" s="556"/>
      <c r="J148" s="629">
        <f>H148/DAY(B2)</f>
        <v>2100.0727272727254</v>
      </c>
      <c r="K148" s="412"/>
      <c r="N148" s="800">
        <v>1007.5800000000163</v>
      </c>
      <c r="P148" s="413">
        <f t="shared" si="18"/>
        <v>1077.4199999999837</v>
      </c>
    </row>
    <row r="149" spans="1:16" ht="27.75">
      <c r="A149" s="1433" t="s">
        <v>258</v>
      </c>
      <c r="B149" s="1434"/>
      <c r="C149" s="1435"/>
      <c r="D149" s="599" t="s">
        <v>24</v>
      </c>
      <c r="E149" s="531"/>
      <c r="F149" s="531" t="s">
        <v>215</v>
      </c>
      <c r="G149" s="620">
        <f>G148/G7</f>
        <v>9.7813848752111091E-2</v>
      </c>
      <c r="H149" s="536">
        <f>G149+'10'!H149</f>
        <v>1.0767606729520747</v>
      </c>
      <c r="I149" s="622"/>
      <c r="J149" s="629">
        <f>H149/DAY(B2)</f>
        <v>9.7887333904734058E-2</v>
      </c>
      <c r="N149" s="800">
        <v>8.4542708508140316E-2</v>
      </c>
      <c r="P149" s="413">
        <f t="shared" si="18"/>
        <v>1.3271140243970775E-2</v>
      </c>
    </row>
    <row r="150" spans="1:16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1733</v>
      </c>
      <c r="H150" s="536">
        <f>G150+'10'!H150</f>
        <v>20642.399999999965</v>
      </c>
      <c r="I150" s="622"/>
      <c r="J150" s="629">
        <f>H150/DAY(B2)</f>
        <v>1876.5818181818149</v>
      </c>
      <c r="N150" s="800">
        <v>1095.0299999999988</v>
      </c>
      <c r="P150" s="413">
        <f t="shared" si="18"/>
        <v>637.97000000000116</v>
      </c>
    </row>
    <row r="151" spans="1:16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8.1300431600675543E-2</v>
      </c>
      <c r="H151" s="536">
        <f>G151+'10'!H151</f>
        <v>0.95892359109221759</v>
      </c>
      <c r="I151" s="556"/>
      <c r="J151" s="629">
        <f>H151/DAY(B2)</f>
        <v>8.717487191747432E-2</v>
      </c>
      <c r="N151" s="800">
        <v>9.1880349051854243E-2</v>
      </c>
      <c r="P151" s="413">
        <f t="shared" si="18"/>
        <v>-1.05799174511787E-2</v>
      </c>
    </row>
    <row r="152" spans="1:16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1551</v>
      </c>
      <c r="H152" s="536">
        <f>G152+'10'!H152</f>
        <v>51616.160000000003</v>
      </c>
      <c r="I152" s="556"/>
      <c r="J152" s="629"/>
      <c r="N152" s="800">
        <v>1155.7000000000116</v>
      </c>
      <c r="P152" s="413">
        <f t="shared" si="18"/>
        <v>395.29999999998836</v>
      </c>
    </row>
    <row r="153" spans="1:16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7.2762244323512859E-2</v>
      </c>
      <c r="H153" s="536">
        <f>G153+'10'!H153</f>
        <v>2.4922922624388191</v>
      </c>
      <c r="I153" s="645"/>
      <c r="J153" s="646">
        <f>H153/DAY(B2)</f>
        <v>0.22657202385807446</v>
      </c>
      <c r="N153" s="800">
        <v>9.6970968283269982E-2</v>
      </c>
      <c r="P153" s="413">
        <f t="shared" si="18"/>
        <v>-2.4208723959757122E-2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7" t="s">
        <v>263</v>
      </c>
      <c r="B160" s="868"/>
      <c r="C160" s="868"/>
      <c r="D160" s="587" t="s">
        <v>187</v>
      </c>
      <c r="E160" s="561">
        <f>'10'!F160</f>
        <v>31650</v>
      </c>
      <c r="F160" s="866">
        <v>31736</v>
      </c>
      <c r="G160" s="549">
        <f t="shared" ref="G160:G163" si="19">F160-E160</f>
        <v>86</v>
      </c>
      <c r="N160" s="800"/>
    </row>
    <row r="161" spans="1:14">
      <c r="A161" s="867" t="s">
        <v>264</v>
      </c>
      <c r="B161" s="868"/>
      <c r="C161" s="868"/>
      <c r="D161" s="587" t="s">
        <v>187</v>
      </c>
      <c r="E161" s="561">
        <f>'10'!F161</f>
        <v>59649</v>
      </c>
      <c r="F161" s="739">
        <v>60111</v>
      </c>
      <c r="G161" s="549">
        <f t="shared" si="19"/>
        <v>462</v>
      </c>
      <c r="N161" s="800"/>
    </row>
    <row r="162" spans="1:14">
      <c r="A162" s="867" t="s">
        <v>265</v>
      </c>
      <c r="B162" s="868"/>
      <c r="C162" s="868"/>
      <c r="D162" s="587" t="s">
        <v>187</v>
      </c>
      <c r="E162" s="561">
        <f>'10'!F162</f>
        <v>23381</v>
      </c>
      <c r="F162" s="739">
        <v>23660</v>
      </c>
      <c r="G162" s="549">
        <f t="shared" si="19"/>
        <v>279</v>
      </c>
      <c r="N162" s="800"/>
    </row>
    <row r="163" spans="1:14">
      <c r="A163" s="867" t="s">
        <v>266</v>
      </c>
      <c r="B163" s="868"/>
      <c r="C163" s="868"/>
      <c r="D163" s="587" t="s">
        <v>187</v>
      </c>
      <c r="E163" s="561">
        <f>'10'!F163</f>
        <v>5545</v>
      </c>
      <c r="F163" s="739">
        <v>5555.55</v>
      </c>
      <c r="G163" s="549">
        <f t="shared" si="19"/>
        <v>10.550000000000182</v>
      </c>
      <c r="N163" s="800"/>
    </row>
    <row r="164" spans="1:14" ht="37.5" customHeight="1">
      <c r="A164" s="869" t="s">
        <v>98</v>
      </c>
      <c r="B164" s="681"/>
      <c r="C164" s="681"/>
      <c r="D164" s="587" t="s">
        <v>187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00"/>
    </row>
    <row r="165" spans="1:14">
      <c r="A165" s="869" t="s">
        <v>188</v>
      </c>
      <c r="B165" s="681"/>
      <c r="C165" s="681"/>
      <c r="D165" s="587" t="s">
        <v>187</v>
      </c>
      <c r="E165" s="823">
        <f>E63</f>
        <v>1839</v>
      </c>
      <c r="F165" s="590">
        <f>F63</f>
        <v>1853</v>
      </c>
      <c r="G165" s="549">
        <f t="shared" si="20"/>
        <v>14</v>
      </c>
      <c r="N165" s="800"/>
    </row>
    <row r="166" spans="1:14" ht="35.25" customHeight="1">
      <c r="A166" s="1482" t="s">
        <v>99</v>
      </c>
      <c r="B166" s="1482"/>
      <c r="C166" s="1482"/>
      <c r="D166" s="599" t="s">
        <v>187</v>
      </c>
      <c r="E166" s="823">
        <f t="shared" ref="E166:E171" si="21">E64</f>
        <v>128841</v>
      </c>
      <c r="F166" s="590">
        <f t="shared" ref="F166:F171" si="22">F64</f>
        <v>129348</v>
      </c>
      <c r="G166" s="549">
        <f t="shared" si="20"/>
        <v>507</v>
      </c>
      <c r="N166" s="800"/>
    </row>
    <row r="167" spans="1:14" ht="33" customHeight="1">
      <c r="A167" s="1482" t="s">
        <v>100</v>
      </c>
      <c r="B167" s="1482"/>
      <c r="C167" s="1482"/>
      <c r="D167" s="599" t="s">
        <v>187</v>
      </c>
      <c r="E167" s="823">
        <f t="shared" si="21"/>
        <v>136358</v>
      </c>
      <c r="F167" s="590">
        <f t="shared" si="22"/>
        <v>136712</v>
      </c>
      <c r="G167" s="549">
        <f t="shared" si="20"/>
        <v>354</v>
      </c>
      <c r="N167" s="800"/>
    </row>
    <row r="168" spans="1:14" ht="40.5" customHeight="1">
      <c r="A168" s="1482" t="s">
        <v>101</v>
      </c>
      <c r="B168" s="1482"/>
      <c r="C168" s="1482"/>
      <c r="D168" s="599" t="s">
        <v>187</v>
      </c>
      <c r="E168" s="823">
        <f t="shared" si="21"/>
        <v>29078</v>
      </c>
      <c r="F168" s="590">
        <f t="shared" si="22"/>
        <v>29424</v>
      </c>
      <c r="G168" s="549">
        <f t="shared" si="20"/>
        <v>346</v>
      </c>
      <c r="N168" s="800"/>
    </row>
    <row r="169" spans="1:14" ht="30.75" customHeight="1">
      <c r="A169" s="1482" t="s">
        <v>102</v>
      </c>
      <c r="B169" s="1482"/>
      <c r="C169" s="1482"/>
      <c r="D169" s="599" t="s">
        <v>187</v>
      </c>
      <c r="E169" s="823">
        <f t="shared" si="21"/>
        <v>214635</v>
      </c>
      <c r="F169" s="590">
        <f t="shared" si="22"/>
        <v>215299</v>
      </c>
      <c r="G169" s="549">
        <f t="shared" si="20"/>
        <v>664</v>
      </c>
      <c r="N169" s="800"/>
    </row>
    <row r="170" spans="1:14" ht="30.75" customHeight="1">
      <c r="A170" s="1482" t="s">
        <v>103</v>
      </c>
      <c r="B170" s="1482"/>
      <c r="C170" s="1482"/>
      <c r="D170" s="599" t="s">
        <v>187</v>
      </c>
      <c r="E170" s="823">
        <f t="shared" si="21"/>
        <v>76079</v>
      </c>
      <c r="F170" s="590">
        <f t="shared" si="22"/>
        <v>76381</v>
      </c>
      <c r="G170" s="549">
        <f t="shared" si="20"/>
        <v>302</v>
      </c>
      <c r="N170" s="800"/>
    </row>
    <row r="171" spans="1:14" ht="28.5" customHeight="1">
      <c r="A171" s="1482" t="s">
        <v>104</v>
      </c>
      <c r="B171" s="1482"/>
      <c r="C171" s="1482"/>
      <c r="D171" s="599" t="s">
        <v>187</v>
      </c>
      <c r="E171" s="823">
        <f t="shared" si="21"/>
        <v>67712</v>
      </c>
      <c r="F171" s="590">
        <f t="shared" si="22"/>
        <v>68042</v>
      </c>
      <c r="G171" s="549">
        <f t="shared" si="20"/>
        <v>330</v>
      </c>
      <c r="N171" s="800"/>
    </row>
    <row r="172" spans="1:14">
      <c r="G172" s="616">
        <f>SUM(G160:G171)</f>
        <v>3354.55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44.25" customHeight="1">
      <c r="N177" s="800"/>
    </row>
    <row r="178" spans="14:14" ht="21.75" customHeight="1">
      <c r="N178" s="800"/>
    </row>
    <row r="179" spans="14:14" ht="21.75" customHeight="1">
      <c r="N179" s="800">
        <v>0</v>
      </c>
    </row>
    <row r="180" spans="14:14" ht="21.75" customHeight="1">
      <c r="N180" s="800">
        <v>0</v>
      </c>
    </row>
    <row r="181" spans="14:14" ht="21.75" customHeight="1">
      <c r="N181" s="800">
        <v>11</v>
      </c>
    </row>
    <row r="182" spans="14:14" ht="21.75" customHeight="1">
      <c r="N182" s="800">
        <v>11</v>
      </c>
    </row>
    <row r="183" spans="14:14" ht="21.75" customHeight="1">
      <c r="N183" s="800"/>
    </row>
    <row r="184" spans="14:14" ht="21.75" customHeight="1">
      <c r="N184" s="800">
        <v>51</v>
      </c>
    </row>
    <row r="185" spans="14:14" ht="21.75" customHeight="1">
      <c r="N185" s="800">
        <v>0</v>
      </c>
    </row>
    <row r="186" spans="14:14" ht="21.75" customHeight="1">
      <c r="N186" s="800">
        <v>0</v>
      </c>
    </row>
    <row r="187" spans="14:14" ht="21.75" customHeight="1">
      <c r="N187" s="800">
        <v>51</v>
      </c>
    </row>
    <row r="188" spans="14:14" ht="21.75" customHeight="1">
      <c r="N188" s="800"/>
    </row>
    <row r="189" spans="14:14" ht="21.75" customHeight="1">
      <c r="N189" s="800">
        <v>4</v>
      </c>
    </row>
    <row r="190" spans="14:14" ht="21.75" customHeight="1">
      <c r="N190" s="800">
        <v>3</v>
      </c>
    </row>
    <row r="191" spans="14:14" ht="21.75" customHeight="1">
      <c r="N191" s="800">
        <v>0</v>
      </c>
    </row>
    <row r="192" spans="14:14" ht="21.75" customHeight="1">
      <c r="N192" s="800"/>
    </row>
    <row r="193" spans="14:14" ht="36.75" customHeight="1">
      <c r="N193" s="800">
        <v>7</v>
      </c>
    </row>
    <row r="194" spans="14:14">
      <c r="N194" s="800">
        <v>61</v>
      </c>
    </row>
    <row r="195" spans="14:14">
      <c r="N195" s="800"/>
    </row>
    <row r="196" spans="14:14">
      <c r="N196" s="800">
        <v>55</v>
      </c>
    </row>
    <row r="197" spans="14:14">
      <c r="N197" s="800"/>
    </row>
    <row r="198" spans="14:14">
      <c r="N198" s="798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73" zoomScale="55" zoomScaleNormal="75" zoomScaleSheetLayoutView="55" workbookViewId="0">
      <selection activeCell="G110" sqref="G110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1270"/>
    <col min="16" max="17" width="22.33203125" style="480"/>
    <col min="18" max="16384" width="22.33203125" style="407"/>
  </cols>
  <sheetData>
    <row r="1" spans="1:17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7" s="281" customFormat="1" ht="27">
      <c r="A2" s="652" t="s">
        <v>273</v>
      </c>
      <c r="B2" s="1117">
        <v>44267</v>
      </c>
      <c r="C2" s="1231" t="s">
        <v>69</v>
      </c>
      <c r="D2" s="688">
        <v>0.42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1271"/>
      <c r="P2" s="792"/>
      <c r="Q2" s="792"/>
    </row>
    <row r="3" spans="1:17" s="281" customFormat="1" ht="27">
      <c r="A3" s="647"/>
      <c r="B3" s="691"/>
      <c r="C3" s="1231" t="s">
        <v>120</v>
      </c>
      <c r="D3" s="689">
        <v>32</v>
      </c>
      <c r="E3" s="1454" t="s">
        <v>121</v>
      </c>
      <c r="F3" s="1455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799"/>
      <c r="O3" s="1271"/>
      <c r="P3" s="792"/>
      <c r="Q3" s="792"/>
    </row>
    <row r="4" spans="1:17" s="281" customFormat="1" ht="27">
      <c r="A4" s="653"/>
      <c r="B4" s="693"/>
      <c r="C4" s="1231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  <c r="O4" s="1271"/>
      <c r="P4" s="792"/>
      <c r="Q4" s="792"/>
    </row>
    <row r="5" spans="1:17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7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131</v>
      </c>
      <c r="B7" s="758"/>
      <c r="C7" s="758"/>
      <c r="D7" s="715" t="s">
        <v>132</v>
      </c>
      <c r="E7" s="710">
        <f>'11'!F7</f>
        <v>4681166</v>
      </c>
      <c r="F7" s="531">
        <v>4702348</v>
      </c>
      <c r="G7" s="759">
        <f>F7-E7</f>
        <v>21182</v>
      </c>
      <c r="H7" s="760">
        <f>G7+'11'!H7</f>
        <v>257271</v>
      </c>
      <c r="I7" s="761">
        <f>'1'!I7</f>
        <v>12000</v>
      </c>
      <c r="J7" s="762">
        <f>H7/DAY(B2)</f>
        <v>21439.25</v>
      </c>
      <c r="K7" s="626"/>
      <c r="L7" s="408"/>
      <c r="N7" s="800"/>
      <c r="O7" s="809"/>
      <c r="P7" s="793"/>
    </row>
    <row r="8" spans="1:17" ht="27.75" thickBot="1">
      <c r="A8" s="763" t="s">
        <v>133</v>
      </c>
      <c r="B8" s="764"/>
      <c r="C8" s="765"/>
      <c r="D8" s="766" t="s">
        <v>25</v>
      </c>
      <c r="E8" s="710">
        <f>'11'!F8</f>
        <v>4710747</v>
      </c>
      <c r="F8" s="551">
        <v>4732018</v>
      </c>
      <c r="G8" s="770">
        <f>F8-E8</f>
        <v>21271</v>
      </c>
      <c r="H8" s="760">
        <f>G8+'11'!H8</f>
        <v>258862</v>
      </c>
      <c r="I8" s="767">
        <f>'1'!I8</f>
        <v>12000</v>
      </c>
      <c r="J8" s="762">
        <f>H8/DAY(B2)</f>
        <v>21571.833333333332</v>
      </c>
      <c r="K8" s="626"/>
      <c r="L8" s="464"/>
      <c r="M8" s="479"/>
      <c r="N8" s="800"/>
      <c r="O8" s="809"/>
      <c r="P8" s="795"/>
    </row>
    <row r="9" spans="1:17">
      <c r="A9" s="768" t="s">
        <v>134</v>
      </c>
      <c r="B9" s="769"/>
      <c r="C9" s="769"/>
      <c r="D9" s="715" t="s">
        <v>132</v>
      </c>
      <c r="E9" s="710">
        <f>'11'!F9</f>
        <v>124354</v>
      </c>
      <c r="F9" s="554">
        <v>124354</v>
      </c>
      <c r="G9" s="783">
        <f t="shared" ref="G9:G12" si="0">F9-E9</f>
        <v>0</v>
      </c>
      <c r="H9" s="760">
        <f>G9+'11'!H9</f>
        <v>37444.990000000005</v>
      </c>
      <c r="I9" s="771">
        <f>I7-J7</f>
        <v>-9439.25</v>
      </c>
      <c r="J9" s="762">
        <f>H9/DAY(B2)</f>
        <v>3120.4158333333339</v>
      </c>
      <c r="K9" s="467"/>
      <c r="L9" s="408"/>
      <c r="N9" s="800"/>
      <c r="O9" s="809"/>
      <c r="P9" s="795"/>
    </row>
    <row r="10" spans="1:17">
      <c r="A10" s="757" t="s">
        <v>135</v>
      </c>
      <c r="B10" s="758"/>
      <c r="C10" s="758"/>
      <c r="D10" s="715" t="s">
        <v>132</v>
      </c>
      <c r="E10" s="710">
        <f>'11'!F10</f>
        <v>216161</v>
      </c>
      <c r="F10" s="554">
        <v>236581</v>
      </c>
      <c r="G10" s="770">
        <f t="shared" si="0"/>
        <v>20420</v>
      </c>
      <c r="H10" s="760">
        <f>G10+'11'!H10</f>
        <v>210885.44</v>
      </c>
      <c r="I10" s="772"/>
      <c r="J10" s="762">
        <f>H10/DAY(B2)</f>
        <v>17573.786666666667</v>
      </c>
      <c r="K10" s="467"/>
      <c r="L10" s="408"/>
      <c r="N10" s="800"/>
      <c r="O10" s="809"/>
      <c r="P10" s="795"/>
    </row>
    <row r="11" spans="1:17">
      <c r="A11" s="757" t="s">
        <v>136</v>
      </c>
      <c r="B11" s="758"/>
      <c r="C11" s="758"/>
      <c r="D11" s="715" t="s">
        <v>132</v>
      </c>
      <c r="E11" s="710">
        <f>'11'!F11</f>
        <v>37000</v>
      </c>
      <c r="F11" s="531">
        <v>37000</v>
      </c>
      <c r="G11" s="770">
        <f t="shared" si="0"/>
        <v>0</v>
      </c>
      <c r="H11" s="760">
        <f>G11+'11'!H11</f>
        <v>-2000</v>
      </c>
      <c r="I11" s="772"/>
      <c r="J11" s="762">
        <f>H11/DAY(B2)</f>
        <v>-166.66666666666666</v>
      </c>
      <c r="K11" s="467"/>
      <c r="L11" s="408"/>
      <c r="N11" s="800"/>
      <c r="O11" s="809"/>
      <c r="P11" s="795"/>
    </row>
    <row r="12" spans="1:17">
      <c r="A12" s="757" t="s">
        <v>137</v>
      </c>
      <c r="B12" s="758"/>
      <c r="C12" s="758"/>
      <c r="D12" s="715" t="s">
        <v>132</v>
      </c>
      <c r="E12" s="710">
        <f>'11'!F12</f>
        <v>40010</v>
      </c>
      <c r="F12" s="554">
        <v>40010</v>
      </c>
      <c r="G12" s="770">
        <f t="shared" si="0"/>
        <v>0</v>
      </c>
      <c r="H12" s="760">
        <f>G12+'11'!H12</f>
        <v>-2000</v>
      </c>
      <c r="I12" s="772"/>
      <c r="J12" s="762">
        <f>H12/DAY(B2)</f>
        <v>-166.66666666666666</v>
      </c>
      <c r="K12" s="467"/>
      <c r="L12" s="408"/>
      <c r="N12" s="800"/>
      <c r="O12" s="809"/>
      <c r="P12" s="795"/>
    </row>
    <row r="13" spans="1:17">
      <c r="A13" s="773" t="s">
        <v>138</v>
      </c>
      <c r="B13" s="774"/>
      <c r="C13" s="774"/>
      <c r="D13" s="715"/>
      <c r="E13" s="710"/>
      <c r="F13" s="531"/>
      <c r="G13" s="775">
        <f>G9+G10+G11+G12</f>
        <v>20420</v>
      </c>
      <c r="H13" s="760">
        <f>G13+'11'!H13</f>
        <v>223336.43</v>
      </c>
      <c r="I13" s="776">
        <f>G7-G13</f>
        <v>762</v>
      </c>
      <c r="J13" s="762">
        <f>H13/DAY(B2)</f>
        <v>18611.369166666667</v>
      </c>
      <c r="K13" s="467"/>
      <c r="L13" s="408"/>
      <c r="N13" s="800"/>
      <c r="O13" s="809"/>
      <c r="P13" s="795"/>
    </row>
    <row r="14" spans="1:17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9"/>
      <c r="P14" s="795"/>
    </row>
    <row r="15" spans="1:17">
      <c r="A15" s="875" t="s">
        <v>140</v>
      </c>
      <c r="B15" s="876"/>
      <c r="C15" s="876"/>
      <c r="D15" s="600" t="s">
        <v>141</v>
      </c>
      <c r="E15" s="561">
        <f>'11'!F15</f>
        <v>1629574</v>
      </c>
      <c r="F15" s="561">
        <v>1630378.77</v>
      </c>
      <c r="G15" s="745">
        <f>(F15-E15)</f>
        <v>804.77000000001863</v>
      </c>
      <c r="H15" s="562">
        <f>G15+'11'!H15</f>
        <v>10500.159999999916</v>
      </c>
      <c r="I15" s="550">
        <v>800</v>
      </c>
      <c r="J15" s="630">
        <f>H15/DAY(B2)</f>
        <v>875.01333333332639</v>
      </c>
      <c r="K15" s="467"/>
      <c r="L15" s="408"/>
      <c r="N15" s="800"/>
      <c r="O15" s="809"/>
      <c r="P15" s="795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-75.013333333326386</v>
      </c>
      <c r="J16" s="630"/>
      <c r="K16" s="467"/>
      <c r="L16" s="408"/>
      <c r="N16" s="800"/>
      <c r="O16" s="809"/>
      <c r="P16" s="795"/>
    </row>
    <row r="17" spans="1:17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9"/>
      <c r="P17" s="795"/>
    </row>
    <row r="18" spans="1:17" ht="27.75">
      <c r="A18" s="1486" t="s">
        <v>143</v>
      </c>
      <c r="B18" s="1487"/>
      <c r="C18" s="1488"/>
      <c r="D18" s="715" t="s">
        <v>144</v>
      </c>
      <c r="E18" s="712">
        <f>'11'!F18</f>
        <v>12</v>
      </c>
      <c r="F18" s="554">
        <v>10</v>
      </c>
      <c r="G18" s="775">
        <f>F18*10</f>
        <v>100</v>
      </c>
      <c r="H18" s="760">
        <f>G18+'11'!H18</f>
        <v>1660</v>
      </c>
      <c r="I18" s="761">
        <f>'1'!I18</f>
        <v>65</v>
      </c>
      <c r="J18" s="762">
        <f>H18/DAY(B2)</f>
        <v>138.33333333333334</v>
      </c>
      <c r="K18" s="467"/>
      <c r="L18" s="408"/>
      <c r="N18" s="800"/>
      <c r="O18" s="809"/>
      <c r="P18" s="795"/>
    </row>
    <row r="19" spans="1:17" ht="27.75">
      <c r="A19" s="1486" t="s">
        <v>71</v>
      </c>
      <c r="B19" s="1487"/>
      <c r="C19" s="1488"/>
      <c r="D19" s="715" t="s">
        <v>144</v>
      </c>
      <c r="E19" s="712">
        <f>'11'!F19</f>
        <v>135033</v>
      </c>
      <c r="F19" s="554">
        <v>135087</v>
      </c>
      <c r="G19" s="770">
        <f t="shared" ref="G19" si="1">F19-E19</f>
        <v>54</v>
      </c>
      <c r="H19" s="760">
        <f>G19+'11'!H19</f>
        <v>619</v>
      </c>
      <c r="I19" s="777"/>
      <c r="J19" s="762">
        <f>H19/DAY(B2)</f>
        <v>51.583333333333336</v>
      </c>
      <c r="K19" s="467"/>
      <c r="L19" s="408"/>
      <c r="N19" s="800"/>
      <c r="O19" s="809"/>
      <c r="P19" s="795"/>
    </row>
    <row r="20" spans="1:17">
      <c r="A20" s="773" t="s">
        <v>145</v>
      </c>
      <c r="B20" s="774"/>
      <c r="C20" s="774"/>
      <c r="D20" s="715"/>
      <c r="E20" s="715"/>
      <c r="F20" s="791"/>
      <c r="G20" s="778">
        <f>G18+G19</f>
        <v>154</v>
      </c>
      <c r="H20" s="760">
        <f>G20+'11'!H20</f>
        <v>2279</v>
      </c>
      <c r="I20" s="779">
        <f>I18-J20</f>
        <v>-124.91666666666666</v>
      </c>
      <c r="J20" s="762">
        <f>H20/DAY(B2)</f>
        <v>189.91666666666666</v>
      </c>
      <c r="K20" s="467"/>
      <c r="L20" s="408"/>
      <c r="N20" s="800"/>
      <c r="O20" s="809"/>
      <c r="P20" s="795"/>
    </row>
    <row r="21" spans="1:17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9"/>
      <c r="P21" s="795"/>
    </row>
    <row r="22" spans="1:17">
      <c r="A22" s="1229" t="s">
        <v>147</v>
      </c>
      <c r="B22" s="666"/>
      <c r="C22" s="666"/>
      <c r="D22" s="599" t="s">
        <v>148</v>
      </c>
      <c r="E22" s="712">
        <f>'11'!F22</f>
        <v>2970</v>
      </c>
      <c r="F22" s="554">
        <v>2970</v>
      </c>
      <c r="G22" s="557">
        <f t="shared" ref="G22" si="2">(F22-E22)</f>
        <v>0</v>
      </c>
      <c r="H22" s="536">
        <f>G22+'11'!H22</f>
        <v>0</v>
      </c>
      <c r="I22" s="556"/>
      <c r="J22" s="629">
        <f>H22/DAY(B2)</f>
        <v>0</v>
      </c>
      <c r="K22" s="467"/>
      <c r="L22" s="408"/>
      <c r="N22" s="800"/>
      <c r="O22" s="809"/>
      <c r="P22" s="795"/>
    </row>
    <row r="23" spans="1:17">
      <c r="A23" s="1229" t="s">
        <v>149</v>
      </c>
      <c r="B23" s="666"/>
      <c r="C23" s="666"/>
      <c r="D23" s="599" t="s">
        <v>148</v>
      </c>
      <c r="E23" s="712">
        <f>'11'!F23</f>
        <v>2900</v>
      </c>
      <c r="F23" s="554">
        <v>2900</v>
      </c>
      <c r="G23" s="557">
        <v>0</v>
      </c>
      <c r="H23" s="536">
        <f>G23+'11'!H23</f>
        <v>0</v>
      </c>
      <c r="I23" s="556"/>
      <c r="J23" s="629">
        <f>H23/DAY(B2)</f>
        <v>0</v>
      </c>
      <c r="K23" s="467"/>
      <c r="L23" s="408"/>
      <c r="N23" s="800"/>
      <c r="O23" s="809"/>
      <c r="P23" s="795"/>
    </row>
    <row r="24" spans="1:17">
      <c r="A24" s="667" t="s">
        <v>150</v>
      </c>
      <c r="B24" s="668"/>
      <c r="C24" s="668"/>
      <c r="D24" s="587" t="s">
        <v>148</v>
      </c>
      <c r="E24" s="569">
        <f>'11'!F24</f>
        <v>4250</v>
      </c>
      <c r="F24" s="561">
        <v>4250</v>
      </c>
      <c r="G24" s="557">
        <v>0</v>
      </c>
      <c r="H24" s="536">
        <f>G24+'11'!H24</f>
        <v>0</v>
      </c>
      <c r="I24" s="556"/>
      <c r="J24" s="629">
        <f>H24/DAY(B2)</f>
        <v>0</v>
      </c>
      <c r="K24" s="467"/>
      <c r="L24" s="408"/>
      <c r="N24" s="800"/>
      <c r="O24" s="809"/>
      <c r="P24" s="795"/>
    </row>
    <row r="25" spans="1:17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9"/>
      <c r="P25" s="795"/>
      <c r="Q25" s="494"/>
    </row>
    <row r="26" spans="1:17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9"/>
      <c r="P26" s="795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21271</v>
      </c>
      <c r="F27" s="577">
        <v>9</v>
      </c>
      <c r="G27" s="578">
        <f>E27*F27</f>
        <v>191439</v>
      </c>
      <c r="H27" s="536">
        <f>G27+'11'!H27</f>
        <v>2329758</v>
      </c>
      <c r="I27" s="579"/>
      <c r="J27" s="629">
        <f>H27/DAY(B2)</f>
        <v>194146.5</v>
      </c>
      <c r="K27" s="404"/>
      <c r="L27" s="484"/>
      <c r="N27" s="800"/>
      <c r="O27" s="809"/>
      <c r="P27" s="795"/>
      <c r="Q27" s="494"/>
    </row>
    <row r="28" spans="1:17" s="481" customFormat="1" ht="27.75">
      <c r="A28" s="669" t="s">
        <v>154</v>
      </c>
      <c r="B28" s="670"/>
      <c r="C28" s="671"/>
      <c r="D28" s="696" t="s">
        <v>155</v>
      </c>
      <c r="E28" s="780">
        <f>G15</f>
        <v>804.77000000001863</v>
      </c>
      <c r="F28" s="577">
        <v>43.5</v>
      </c>
      <c r="G28" s="578">
        <f>E28*F28</f>
        <v>35007.49500000081</v>
      </c>
      <c r="H28" s="536">
        <f>G28+'11'!H28</f>
        <v>476062.49819999584</v>
      </c>
      <c r="I28" s="581"/>
      <c r="J28" s="629">
        <f>H28/DAY(B2)</f>
        <v>39671.874849999651</v>
      </c>
      <c r="K28" s="404"/>
      <c r="L28" s="484"/>
      <c r="N28" s="800"/>
      <c r="O28" s="809"/>
      <c r="P28" s="795"/>
      <c r="Q28" s="494"/>
    </row>
    <row r="29" spans="1:17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0</v>
      </c>
      <c r="I29" s="581"/>
      <c r="J29" s="629">
        <f>H29/DAY(B2)</f>
        <v>0</v>
      </c>
      <c r="K29" s="404"/>
      <c r="L29" s="484"/>
      <c r="N29" s="800"/>
      <c r="O29" s="809"/>
      <c r="P29" s="795"/>
      <c r="Q29" s="494"/>
    </row>
    <row r="30" spans="1:17" s="481" customFormat="1" ht="27.75">
      <c r="A30" s="669" t="s">
        <v>158</v>
      </c>
      <c r="B30" s="670"/>
      <c r="C30" s="671"/>
      <c r="D30" s="696" t="s">
        <v>159</v>
      </c>
      <c r="E30" s="780">
        <f>G19</f>
        <v>54</v>
      </c>
      <c r="F30" s="577">
        <v>134</v>
      </c>
      <c r="G30" s="578">
        <f>E30*F30</f>
        <v>7236</v>
      </c>
      <c r="H30" s="536">
        <f>G30+'11'!H30</f>
        <v>100634</v>
      </c>
      <c r="I30" s="581"/>
      <c r="J30" s="629">
        <f>H30/DAY(B2)</f>
        <v>8386.1666666666661</v>
      </c>
      <c r="K30" s="404"/>
      <c r="L30" s="484"/>
      <c r="N30" s="800"/>
      <c r="O30" s="809"/>
      <c r="P30" s="795"/>
      <c r="Q30" s="494"/>
    </row>
    <row r="31" spans="1:17" s="481" customFormat="1" ht="27.75">
      <c r="A31" s="669" t="s">
        <v>160</v>
      </c>
      <c r="B31" s="670"/>
      <c r="C31" s="671"/>
      <c r="D31" s="696" t="s">
        <v>144</v>
      </c>
      <c r="E31" s="780">
        <f>G18</f>
        <v>100</v>
      </c>
      <c r="F31" s="577">
        <v>80</v>
      </c>
      <c r="G31" s="578">
        <f>E31*F31</f>
        <v>8000</v>
      </c>
      <c r="H31" s="536">
        <f>G31+'11'!H31</f>
        <v>122240</v>
      </c>
      <c r="I31" s="581"/>
      <c r="J31" s="629"/>
      <c r="K31" s="404"/>
      <c r="L31" s="484"/>
      <c r="N31" s="800"/>
      <c r="O31" s="809"/>
      <c r="P31" s="795"/>
      <c r="Q31" s="494"/>
    </row>
    <row r="32" spans="1:17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241682.49500000081</v>
      </c>
      <c r="H32" s="536">
        <f>G32+'11'!H32</f>
        <v>3028694.4981999956</v>
      </c>
      <c r="I32" s="585"/>
      <c r="J32" s="629">
        <f>H32/DAY(B2)</f>
        <v>252391.20818333296</v>
      </c>
      <c r="K32" s="404"/>
      <c r="L32" s="484"/>
      <c r="N32" s="800"/>
      <c r="O32" s="809"/>
      <c r="P32" s="795"/>
      <c r="Q32" s="494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800"/>
      <c r="O33" s="809"/>
      <c r="P33" s="795"/>
    </row>
    <row r="34" spans="1:16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9"/>
      <c r="P34" s="795"/>
    </row>
    <row r="35" spans="1:16">
      <c r="A35" s="655" t="s">
        <v>164</v>
      </c>
      <c r="B35" s="656"/>
      <c r="C35" s="656"/>
      <c r="D35" s="599" t="s">
        <v>132</v>
      </c>
      <c r="E35" s="586">
        <f>'11'!F35</f>
        <v>730715</v>
      </c>
      <c r="F35" s="586">
        <v>734498</v>
      </c>
      <c r="G35" s="549">
        <f t="shared" ref="G35:G46" si="3">F35-E35</f>
        <v>3783</v>
      </c>
      <c r="H35" s="536">
        <f>G35+'11'!H35</f>
        <v>41410.410000000033</v>
      </c>
      <c r="I35" s="531"/>
      <c r="J35" s="629">
        <f>H35/DAY(B2)</f>
        <v>3450.8675000000026</v>
      </c>
      <c r="K35" s="467"/>
      <c r="L35" s="408"/>
      <c r="N35" s="800"/>
      <c r="O35" s="809"/>
      <c r="P35" s="795"/>
    </row>
    <row r="36" spans="1:16">
      <c r="A36" s="655" t="s">
        <v>165</v>
      </c>
      <c r="B36" s="656"/>
      <c r="C36" s="656"/>
      <c r="D36" s="599" t="s">
        <v>132</v>
      </c>
      <c r="E36" s="586">
        <f>'11'!F36</f>
        <v>303578</v>
      </c>
      <c r="F36" s="586">
        <v>304207</v>
      </c>
      <c r="G36" s="549">
        <f t="shared" si="3"/>
        <v>629</v>
      </c>
      <c r="H36" s="536">
        <f>G36+'11'!H36</f>
        <v>7761.429999999993</v>
      </c>
      <c r="I36" s="531"/>
      <c r="J36" s="629">
        <f>H36/DAY(B2)</f>
        <v>646.78583333333279</v>
      </c>
      <c r="K36" s="467"/>
      <c r="L36" s="408"/>
      <c r="N36" s="801"/>
      <c r="O36" s="809"/>
      <c r="P36" s="795"/>
    </row>
    <row r="37" spans="1:16">
      <c r="A37" s="655" t="s">
        <v>166</v>
      </c>
      <c r="B37" s="656"/>
      <c r="C37" s="656"/>
      <c r="D37" s="599" t="s">
        <v>132</v>
      </c>
      <c r="E37" s="586">
        <f>'11'!F37</f>
        <v>35167</v>
      </c>
      <c r="F37" s="586">
        <v>35167</v>
      </c>
      <c r="G37" s="549">
        <f t="shared" si="3"/>
        <v>0</v>
      </c>
      <c r="H37" s="536">
        <f>G37+'11'!H37</f>
        <v>38272.080000000002</v>
      </c>
      <c r="I37" s="531"/>
      <c r="J37" s="629">
        <f>H37/DAY(B2)</f>
        <v>3189.34</v>
      </c>
      <c r="K37" s="467"/>
      <c r="L37" s="408"/>
      <c r="N37" s="801"/>
      <c r="O37" s="809"/>
      <c r="P37" s="795"/>
    </row>
    <row r="38" spans="1:16">
      <c r="A38" s="655" t="s">
        <v>167</v>
      </c>
      <c r="B38" s="656"/>
      <c r="C38" s="656"/>
      <c r="D38" s="599" t="s">
        <v>132</v>
      </c>
      <c r="E38" s="586">
        <f>'11'!F38</f>
        <v>48333</v>
      </c>
      <c r="F38" s="545">
        <v>48333</v>
      </c>
      <c r="G38" s="549">
        <f t="shared" si="3"/>
        <v>0</v>
      </c>
      <c r="H38" s="536">
        <f>G38+'11'!H38</f>
        <v>4519.510000000002</v>
      </c>
      <c r="I38" s="531"/>
      <c r="J38" s="629">
        <f>H38/DAY(B2)</f>
        <v>376.6258333333335</v>
      </c>
      <c r="K38" s="467"/>
      <c r="L38" s="408"/>
      <c r="N38" s="800"/>
      <c r="O38" s="809"/>
      <c r="P38" s="795"/>
    </row>
    <row r="39" spans="1:16">
      <c r="A39" s="655" t="s">
        <v>168</v>
      </c>
      <c r="B39" s="656"/>
      <c r="C39" s="656"/>
      <c r="D39" s="599" t="s">
        <v>132</v>
      </c>
      <c r="E39" s="586">
        <f>'11'!F39</f>
        <v>100066</v>
      </c>
      <c r="F39" s="586">
        <v>100066</v>
      </c>
      <c r="G39" s="549">
        <f t="shared" si="3"/>
        <v>0</v>
      </c>
      <c r="H39" s="536">
        <f>G39+'11'!H39</f>
        <v>109458.89</v>
      </c>
      <c r="I39" s="531"/>
      <c r="J39" s="629">
        <f>H39/DAY(B2)</f>
        <v>9121.5741666666672</v>
      </c>
      <c r="K39" s="467"/>
      <c r="L39" s="408"/>
      <c r="N39" s="800"/>
      <c r="O39" s="809"/>
      <c r="P39" s="795"/>
    </row>
    <row r="40" spans="1:16">
      <c r="A40" s="676" t="s">
        <v>169</v>
      </c>
      <c r="B40" s="677"/>
      <c r="C40" s="677"/>
      <c r="D40" s="599" t="s">
        <v>132</v>
      </c>
      <c r="E40" s="586">
        <f>'11'!F40</f>
        <v>0.23</v>
      </c>
      <c r="F40" s="586">
        <v>0.23</v>
      </c>
      <c r="G40" s="549">
        <f t="shared" si="3"/>
        <v>0</v>
      </c>
      <c r="H40" s="536">
        <f>G40+'11'!H40</f>
        <v>0</v>
      </c>
      <c r="I40" s="531"/>
      <c r="J40" s="629">
        <f>H40/DAY(B2)</f>
        <v>0</v>
      </c>
      <c r="K40" s="468"/>
      <c r="L40" s="408"/>
      <c r="N40" s="800"/>
      <c r="O40" s="809"/>
      <c r="P40" s="795"/>
    </row>
    <row r="41" spans="1:16">
      <c r="A41" s="655" t="s">
        <v>170</v>
      </c>
      <c r="B41" s="656"/>
      <c r="C41" s="656"/>
      <c r="D41" s="599" t="s">
        <v>132</v>
      </c>
      <c r="E41" s="586">
        <f>'11'!F41</f>
        <v>64767</v>
      </c>
      <c r="F41" s="586">
        <v>64767</v>
      </c>
      <c r="G41" s="549">
        <f>F41-E41</f>
        <v>0</v>
      </c>
      <c r="H41" s="536">
        <f>G41+'11'!H41</f>
        <v>884.62999999999738</v>
      </c>
      <c r="I41" s="531"/>
      <c r="J41" s="629">
        <f>H41/DAY(B2)</f>
        <v>73.719166666666453</v>
      </c>
      <c r="K41" s="467"/>
      <c r="L41" s="408"/>
      <c r="N41" s="800"/>
      <c r="O41" s="809"/>
      <c r="P41" s="795"/>
    </row>
    <row r="42" spans="1:16">
      <c r="A42" s="655" t="s">
        <v>171</v>
      </c>
      <c r="B42" s="656"/>
      <c r="C42" s="656"/>
      <c r="D42" s="599" t="s">
        <v>132</v>
      </c>
      <c r="E42" s="586">
        <f>'11'!F42</f>
        <v>59128</v>
      </c>
      <c r="F42" s="586">
        <v>59128</v>
      </c>
      <c r="G42" s="549">
        <f t="shared" si="3"/>
        <v>0</v>
      </c>
      <c r="H42" s="536">
        <f>G42+'11'!H42</f>
        <v>-0.84999999999854481</v>
      </c>
      <c r="I42" s="531"/>
      <c r="J42" s="629">
        <f>H42/DAY(B2)</f>
        <v>-7.0833333333212067E-2</v>
      </c>
      <c r="K42" s="467"/>
      <c r="L42" s="408"/>
      <c r="N42" s="800"/>
      <c r="O42" s="809"/>
      <c r="P42" s="795"/>
    </row>
    <row r="43" spans="1:16">
      <c r="A43" s="655" t="s">
        <v>172</v>
      </c>
      <c r="B43" s="656"/>
      <c r="C43" s="656"/>
      <c r="D43" s="599" t="s">
        <v>132</v>
      </c>
      <c r="E43" s="586">
        <f>'11'!F43</f>
        <v>852799</v>
      </c>
      <c r="F43" s="586">
        <v>855191</v>
      </c>
      <c r="G43" s="549">
        <f t="shared" si="3"/>
        <v>2392</v>
      </c>
      <c r="H43" s="536">
        <f>G43+'11'!H43</f>
        <v>29293.170000000042</v>
      </c>
      <c r="I43" s="531"/>
      <c r="J43" s="629">
        <f>H43/DAY(B2)</f>
        <v>2441.0975000000035</v>
      </c>
      <c r="K43" s="467"/>
      <c r="L43" s="408"/>
      <c r="N43" s="800"/>
      <c r="O43" s="809"/>
      <c r="P43" s="795"/>
    </row>
    <row r="44" spans="1:16">
      <c r="A44" s="655" t="s">
        <v>173</v>
      </c>
      <c r="B44" s="656"/>
      <c r="C44" s="656"/>
      <c r="D44" s="599" t="s">
        <v>132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00"/>
      <c r="O44" s="809"/>
      <c r="P44" s="795"/>
    </row>
    <row r="45" spans="1:16">
      <c r="A45" s="655" t="s">
        <v>174</v>
      </c>
      <c r="B45" s="656"/>
      <c r="C45" s="656"/>
      <c r="D45" s="599" t="s">
        <v>132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0</v>
      </c>
      <c r="I45" s="531"/>
      <c r="J45" s="629">
        <f>H45/DAY(B2)</f>
        <v>0</v>
      </c>
      <c r="K45" s="467"/>
      <c r="L45" s="408"/>
      <c r="N45" s="800"/>
      <c r="O45" s="809"/>
      <c r="P45" s="795"/>
    </row>
    <row r="46" spans="1:16">
      <c r="A46" s="655" t="s">
        <v>175</v>
      </c>
      <c r="B46" s="656"/>
      <c r="C46" s="656"/>
      <c r="D46" s="599" t="s">
        <v>132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0.49000000000000909</v>
      </c>
      <c r="I46" s="531"/>
      <c r="J46" s="629">
        <f>H46/DAY(B2)</f>
        <v>4.0833333333334089E-2</v>
      </c>
      <c r="K46" s="467"/>
      <c r="L46" s="408"/>
      <c r="N46" s="800"/>
      <c r="O46" s="809"/>
      <c r="P46" s="795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6804</v>
      </c>
      <c r="H47" s="536">
        <f>G47+'11'!H47</f>
        <v>231599.76000000007</v>
      </c>
      <c r="I47" s="531"/>
      <c r="J47" s="629">
        <f>H47/DAY(B2)</f>
        <v>19299.980000000007</v>
      </c>
      <c r="K47" s="467"/>
      <c r="L47" s="408"/>
      <c r="N47" s="800"/>
      <c r="O47" s="809"/>
      <c r="P47" s="795"/>
    </row>
    <row r="48" spans="1:16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9"/>
      <c r="P48" s="795"/>
    </row>
    <row r="49" spans="1:16">
      <c r="A49" s="655" t="s">
        <v>164</v>
      </c>
      <c r="B49" s="678"/>
      <c r="C49" s="678"/>
      <c r="D49" s="599" t="s">
        <v>132</v>
      </c>
      <c r="E49" s="586">
        <f>'11'!F49</f>
        <v>260732</v>
      </c>
      <c r="F49" s="586">
        <v>260732</v>
      </c>
      <c r="G49" s="549">
        <f t="shared" ref="G49:G58" si="4">F49-E49</f>
        <v>0</v>
      </c>
      <c r="H49" s="536">
        <f>G49+'11'!H49</f>
        <v>-0.13000000000465661</v>
      </c>
      <c r="I49" s="531"/>
      <c r="J49" s="629">
        <f>H49/DAY(B2)</f>
        <v>-1.0833333333721384E-2</v>
      </c>
      <c r="K49" s="467"/>
      <c r="L49" s="408"/>
      <c r="N49" s="800"/>
      <c r="O49" s="809"/>
      <c r="P49" s="795"/>
    </row>
    <row r="50" spans="1:16">
      <c r="A50" s="655" t="s">
        <v>178</v>
      </c>
      <c r="B50" s="678"/>
      <c r="C50" s="678"/>
      <c r="D50" s="599" t="s">
        <v>132</v>
      </c>
      <c r="E50" s="586">
        <f>'11'!F50</f>
        <v>415973</v>
      </c>
      <c r="F50" s="586">
        <v>417152</v>
      </c>
      <c r="G50" s="549">
        <f t="shared" si="4"/>
        <v>1179</v>
      </c>
      <c r="H50" s="536">
        <f>G50+'11'!H50</f>
        <v>13494.969999999972</v>
      </c>
      <c r="I50" s="531"/>
      <c r="J50" s="629">
        <f>H50/DAY(B2)</f>
        <v>1124.5808333333309</v>
      </c>
      <c r="K50" s="467"/>
      <c r="L50" s="408"/>
      <c r="N50" s="800"/>
      <c r="O50" s="809"/>
      <c r="P50" s="795"/>
    </row>
    <row r="51" spans="1:16">
      <c r="A51" s="655" t="s">
        <v>166</v>
      </c>
      <c r="B51" s="678"/>
      <c r="C51" s="678"/>
      <c r="D51" s="599" t="s">
        <v>132</v>
      </c>
      <c r="E51" s="586">
        <f>'11'!F51</f>
        <v>133395</v>
      </c>
      <c r="F51" s="586">
        <v>134964</v>
      </c>
      <c r="G51" s="549">
        <f t="shared" si="4"/>
        <v>1569</v>
      </c>
      <c r="H51" s="536">
        <f>G51+'11'!H51</f>
        <v>13364.080000000002</v>
      </c>
      <c r="I51" s="531"/>
      <c r="J51" s="629">
        <f>H51/DAY(B2)</f>
        <v>1113.6733333333334</v>
      </c>
      <c r="K51" s="467"/>
      <c r="L51" s="408"/>
      <c r="N51" s="800"/>
      <c r="O51" s="809"/>
      <c r="P51" s="795"/>
    </row>
    <row r="52" spans="1:16">
      <c r="A52" s="655" t="s">
        <v>179</v>
      </c>
      <c r="B52" s="678"/>
      <c r="C52" s="678"/>
      <c r="D52" s="599" t="s">
        <v>132</v>
      </c>
      <c r="E52" s="586">
        <f>'11'!F52</f>
        <v>526494</v>
      </c>
      <c r="F52" s="586">
        <v>528314</v>
      </c>
      <c r="G52" s="549">
        <f t="shared" si="4"/>
        <v>1820</v>
      </c>
      <c r="H52" s="536">
        <f>G52+'11'!H52</f>
        <v>18355.289999999979</v>
      </c>
      <c r="I52" s="531"/>
      <c r="J52" s="629">
        <f>H52/DAY(B2)</f>
        <v>1529.6074999999983</v>
      </c>
      <c r="K52" s="467"/>
      <c r="L52" s="408"/>
      <c r="N52" s="800"/>
      <c r="O52" s="809"/>
      <c r="P52" s="795"/>
    </row>
    <row r="53" spans="1:16">
      <c r="A53" s="655" t="s">
        <v>168</v>
      </c>
      <c r="B53" s="678"/>
      <c r="C53" s="678"/>
      <c r="D53" s="599" t="s">
        <v>132</v>
      </c>
      <c r="E53" s="586">
        <f>'11'!F53</f>
        <v>369168</v>
      </c>
      <c r="F53" s="586">
        <v>373333</v>
      </c>
      <c r="G53" s="549">
        <f t="shared" si="4"/>
        <v>4165</v>
      </c>
      <c r="H53" s="536">
        <f>G53+'11'!H53</f>
        <v>37293.489999999991</v>
      </c>
      <c r="I53" s="531"/>
      <c r="J53" s="629">
        <f>H53/DAY(B2)</f>
        <v>3107.7908333333326</v>
      </c>
      <c r="K53" s="467"/>
      <c r="L53" s="408"/>
      <c r="N53" s="800"/>
      <c r="O53" s="809"/>
      <c r="P53" s="795"/>
    </row>
    <row r="54" spans="1:16">
      <c r="A54" s="655" t="s">
        <v>180</v>
      </c>
      <c r="B54" s="678"/>
      <c r="C54" s="678"/>
      <c r="D54" s="599" t="s">
        <v>132</v>
      </c>
      <c r="E54" s="586">
        <f>'11'!F54</f>
        <v>8200</v>
      </c>
      <c r="F54" s="586">
        <v>8200</v>
      </c>
      <c r="G54" s="549">
        <f t="shared" si="4"/>
        <v>0</v>
      </c>
      <c r="H54" s="536">
        <f>G54+'11'!H54</f>
        <v>104.36999999999989</v>
      </c>
      <c r="I54" s="531"/>
      <c r="J54" s="629">
        <f>H54/DAY(B2)</f>
        <v>8.6974999999999909</v>
      </c>
      <c r="K54" s="467"/>
      <c r="L54" s="408"/>
      <c r="N54" s="800"/>
      <c r="O54" s="809"/>
      <c r="P54" s="795"/>
    </row>
    <row r="55" spans="1:16">
      <c r="A55" s="655" t="s">
        <v>181</v>
      </c>
      <c r="B55" s="678"/>
      <c r="C55" s="678"/>
      <c r="D55" s="599" t="s">
        <v>132</v>
      </c>
      <c r="E55" s="586">
        <f>'11'!F55</f>
        <v>171852</v>
      </c>
      <c r="F55" s="734">
        <v>176974</v>
      </c>
      <c r="G55" s="733">
        <f t="shared" si="4"/>
        <v>5122</v>
      </c>
      <c r="H55" s="787">
        <f>G55+'11'!H55</f>
        <v>54389.31</v>
      </c>
      <c r="I55" s="788"/>
      <c r="J55" s="789">
        <f>H55/DAY(B2)</f>
        <v>4532.4425000000001</v>
      </c>
      <c r="K55" s="467"/>
      <c r="L55" s="408"/>
      <c r="N55" s="800"/>
      <c r="O55" s="809"/>
      <c r="P55" s="795"/>
    </row>
    <row r="56" spans="1:16">
      <c r="A56" s="655" t="s">
        <v>182</v>
      </c>
      <c r="B56" s="678"/>
      <c r="C56" s="678"/>
      <c r="D56" s="599" t="s">
        <v>183</v>
      </c>
      <c r="E56" s="586">
        <f>'11'!F56</f>
        <v>588761</v>
      </c>
      <c r="F56" s="734">
        <v>588761</v>
      </c>
      <c r="G56" s="549">
        <f t="shared" si="4"/>
        <v>0</v>
      </c>
      <c r="H56" s="536">
        <f>G56+'11'!H56</f>
        <v>2709.9699999999721</v>
      </c>
      <c r="I56" s="531"/>
      <c r="J56" s="629">
        <f>H56/DAY(B2)</f>
        <v>225.83083333333101</v>
      </c>
      <c r="K56" s="466"/>
      <c r="L56" s="408"/>
      <c r="N56" s="800"/>
      <c r="O56" s="809"/>
      <c r="P56" s="795"/>
    </row>
    <row r="57" spans="1:16">
      <c r="A57" s="655" t="s">
        <v>172</v>
      </c>
      <c r="B57" s="678"/>
      <c r="C57" s="678"/>
      <c r="D57" s="599" t="s">
        <v>132</v>
      </c>
      <c r="E57" s="586">
        <f>'11'!F57</f>
        <v>7711</v>
      </c>
      <c r="F57" s="586">
        <v>7711</v>
      </c>
      <c r="G57" s="549">
        <f t="shared" si="4"/>
        <v>0</v>
      </c>
      <c r="H57" s="536">
        <f>G57+'11'!H57</f>
        <v>-0.32999999999992724</v>
      </c>
      <c r="I57" s="531"/>
      <c r="J57" s="629">
        <f>H57/DAY(B2)</f>
        <v>-2.7499999999993936E-2</v>
      </c>
      <c r="K57" s="467"/>
      <c r="L57" s="408"/>
      <c r="N57" s="800"/>
      <c r="O57" s="809"/>
      <c r="P57" s="795"/>
    </row>
    <row r="58" spans="1:16">
      <c r="A58" s="655" t="s">
        <v>184</v>
      </c>
      <c r="B58" s="678"/>
      <c r="C58" s="678"/>
      <c r="D58" s="599" t="s">
        <v>132</v>
      </c>
      <c r="E58" s="586">
        <f>'11'!F58</f>
        <v>38003</v>
      </c>
      <c r="F58" s="734">
        <v>38176</v>
      </c>
      <c r="G58" s="549">
        <f t="shared" si="4"/>
        <v>173</v>
      </c>
      <c r="H58" s="536">
        <f>G58+'11'!H58</f>
        <v>2111.3000000000029</v>
      </c>
      <c r="I58" s="531"/>
      <c r="J58" s="629">
        <f>H58/DAY(B2)</f>
        <v>175.94166666666692</v>
      </c>
      <c r="K58" s="467"/>
      <c r="L58" s="408"/>
      <c r="N58" s="800"/>
      <c r="O58" s="809"/>
      <c r="P58" s="795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14028</v>
      </c>
      <c r="H59" s="536">
        <f>G59+'11'!H59</f>
        <v>141822.31999999992</v>
      </c>
      <c r="I59" s="531">
        <f>G7-G60</f>
        <v>350</v>
      </c>
      <c r="J59" s="629">
        <f>H59/DAY(B2)</f>
        <v>11818.526666666659</v>
      </c>
      <c r="K59" s="467"/>
      <c r="L59" s="408"/>
      <c r="N59" s="800"/>
      <c r="O59" s="809"/>
      <c r="P59" s="795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20832</v>
      </c>
      <c r="H60" s="536">
        <f>G60+'11'!H60</f>
        <v>387591.07999999996</v>
      </c>
      <c r="I60" s="531">
        <f>G13-G60</f>
        <v>-412</v>
      </c>
      <c r="J60" s="629">
        <f>H60/DAY(B2)</f>
        <v>32299.256666666664</v>
      </c>
      <c r="K60" s="467"/>
      <c r="L60" s="408"/>
      <c r="N60" s="800"/>
      <c r="O60" s="809"/>
      <c r="P60" s="795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9"/>
      <c r="P61" s="795"/>
    </row>
    <row r="62" spans="1:16">
      <c r="A62" s="680" t="s">
        <v>98</v>
      </c>
      <c r="B62" s="681"/>
      <c r="C62" s="681"/>
      <c r="D62" s="587" t="s">
        <v>187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-0.18700000000171713</v>
      </c>
      <c r="I62" s="591"/>
      <c r="J62" s="629">
        <f>H62/DAY(B2)</f>
        <v>-1.5583333333476427E-2</v>
      </c>
      <c r="K62" s="467"/>
      <c r="L62" s="408"/>
      <c r="N62" s="800"/>
      <c r="O62" s="809"/>
      <c r="P62" s="795"/>
    </row>
    <row r="63" spans="1:16">
      <c r="A63" s="680" t="s">
        <v>188</v>
      </c>
      <c r="B63" s="681"/>
      <c r="C63" s="681"/>
      <c r="D63" s="587" t="s">
        <v>187</v>
      </c>
      <c r="E63" s="590">
        <f>'11'!F63</f>
        <v>1853</v>
      </c>
      <c r="F63" s="590">
        <v>1865</v>
      </c>
      <c r="G63" s="549">
        <f t="shared" si="5"/>
        <v>12</v>
      </c>
      <c r="H63" s="536">
        <f>G63+'11'!H63</f>
        <v>157.6400000000001</v>
      </c>
      <c r="I63" s="591"/>
      <c r="J63" s="629">
        <f>H63/DAY(B2)</f>
        <v>13.136666666666676</v>
      </c>
      <c r="K63" s="467"/>
      <c r="L63" s="408"/>
      <c r="N63" s="800"/>
      <c r="O63" s="809"/>
      <c r="P63" s="795"/>
    </row>
    <row r="64" spans="1:16" ht="27.75">
      <c r="A64" s="1430" t="s">
        <v>99</v>
      </c>
      <c r="B64" s="1431"/>
      <c r="C64" s="1432"/>
      <c r="D64" s="599" t="s">
        <v>187</v>
      </c>
      <c r="E64" s="590">
        <f>'11'!F64</f>
        <v>129348</v>
      </c>
      <c r="F64" s="554">
        <v>129862</v>
      </c>
      <c r="G64" s="549">
        <f t="shared" si="5"/>
        <v>514</v>
      </c>
      <c r="H64" s="536">
        <f>G64+'11'!H64</f>
        <v>6234.6999999999971</v>
      </c>
      <c r="I64" s="556"/>
      <c r="J64" s="629">
        <f>H64/DAY(B2)</f>
        <v>519.55833333333305</v>
      </c>
      <c r="K64" s="467"/>
      <c r="L64" s="408"/>
      <c r="N64" s="800"/>
      <c r="O64" s="809"/>
      <c r="P64" s="795"/>
    </row>
    <row r="65" spans="1:16" ht="27.75">
      <c r="A65" s="1430" t="s">
        <v>100</v>
      </c>
      <c r="B65" s="1431"/>
      <c r="C65" s="1432"/>
      <c r="D65" s="599" t="s">
        <v>187</v>
      </c>
      <c r="E65" s="590">
        <f>'11'!F65</f>
        <v>136712</v>
      </c>
      <c r="F65" s="732">
        <v>137064</v>
      </c>
      <c r="G65" s="549">
        <f t="shared" si="5"/>
        <v>352</v>
      </c>
      <c r="H65" s="536">
        <f>G65+'11'!H65</f>
        <v>4466.7000000000116</v>
      </c>
      <c r="I65" s="565"/>
      <c r="J65" s="629">
        <f>H65/DAY(B2)</f>
        <v>372.22500000000099</v>
      </c>
      <c r="K65" s="467"/>
      <c r="L65" s="408"/>
      <c r="N65" s="800"/>
      <c r="O65" s="809"/>
      <c r="P65" s="795"/>
    </row>
    <row r="66" spans="1:16" ht="27.75">
      <c r="A66" s="1430" t="s">
        <v>101</v>
      </c>
      <c r="B66" s="1431"/>
      <c r="C66" s="1432"/>
      <c r="D66" s="599" t="s">
        <v>187</v>
      </c>
      <c r="E66" s="590">
        <f>'11'!F66</f>
        <v>29424</v>
      </c>
      <c r="F66" s="554">
        <v>29790</v>
      </c>
      <c r="G66" s="549">
        <f t="shared" si="5"/>
        <v>366</v>
      </c>
      <c r="H66" s="536">
        <f>G66+'11'!H66</f>
        <v>4630.25</v>
      </c>
      <c r="I66" s="556"/>
      <c r="J66" s="629">
        <f>H66/DAY(B2)</f>
        <v>385.85416666666669</v>
      </c>
      <c r="K66" s="467"/>
      <c r="L66" s="408"/>
      <c r="N66" s="800"/>
      <c r="O66" s="809"/>
      <c r="P66" s="795"/>
    </row>
    <row r="67" spans="1:16" ht="27.75">
      <c r="A67" s="1430" t="s">
        <v>102</v>
      </c>
      <c r="B67" s="1431"/>
      <c r="C67" s="1432"/>
      <c r="D67" s="599" t="s">
        <v>187</v>
      </c>
      <c r="E67" s="590">
        <f>'11'!F67</f>
        <v>215299</v>
      </c>
      <c r="F67" s="554">
        <v>215974</v>
      </c>
      <c r="G67" s="549">
        <f t="shared" si="5"/>
        <v>675</v>
      </c>
      <c r="H67" s="536">
        <f>G67+'11'!H67</f>
        <v>8132.1700000000128</v>
      </c>
      <c r="I67" s="565"/>
      <c r="J67" s="629">
        <f>H67/DAY(B2)</f>
        <v>677.68083333333436</v>
      </c>
      <c r="K67" s="468"/>
      <c r="L67" s="408"/>
      <c r="N67" s="800"/>
      <c r="O67" s="809"/>
      <c r="P67" s="795"/>
    </row>
    <row r="68" spans="1:16" ht="27.75">
      <c r="A68" s="1430" t="s">
        <v>103</v>
      </c>
      <c r="B68" s="1431"/>
      <c r="C68" s="1432"/>
      <c r="D68" s="599" t="s">
        <v>187</v>
      </c>
      <c r="E68" s="590">
        <f>'11'!F68</f>
        <v>76381</v>
      </c>
      <c r="F68" s="554">
        <v>76714</v>
      </c>
      <c r="G68" s="549">
        <f t="shared" si="5"/>
        <v>333</v>
      </c>
      <c r="H68" s="536">
        <f>G68+'11'!H68</f>
        <v>4035.4799999999959</v>
      </c>
      <c r="I68" s="592"/>
      <c r="J68" s="629">
        <f>H68/DAY(B2)</f>
        <v>336.28999999999968</v>
      </c>
      <c r="K68" s="469"/>
      <c r="L68" s="408"/>
      <c r="N68" s="800"/>
      <c r="O68" s="809"/>
      <c r="P68" s="795"/>
    </row>
    <row r="69" spans="1:16" ht="27.75">
      <c r="A69" s="1430" t="s">
        <v>104</v>
      </c>
      <c r="B69" s="1431"/>
      <c r="C69" s="1432"/>
      <c r="D69" s="599" t="s">
        <v>187</v>
      </c>
      <c r="E69" s="590">
        <f>'11'!F69</f>
        <v>68042</v>
      </c>
      <c r="F69" s="554">
        <v>68370</v>
      </c>
      <c r="G69" s="549">
        <f t="shared" si="5"/>
        <v>328</v>
      </c>
      <c r="H69" s="536">
        <f>G69+'11'!H69</f>
        <v>3917.9100000000035</v>
      </c>
      <c r="I69" s="592"/>
      <c r="J69" s="629">
        <f>H69/DAY(B2)</f>
        <v>326.49250000000029</v>
      </c>
      <c r="K69" s="470"/>
      <c r="L69" s="408"/>
      <c r="N69" s="800"/>
      <c r="O69" s="809"/>
      <c r="P69" s="795"/>
    </row>
    <row r="70" spans="1:16" ht="27.75">
      <c r="A70" s="1462" t="s">
        <v>189</v>
      </c>
      <c r="B70" s="1463"/>
      <c r="C70" s="1464"/>
      <c r="D70" s="599" t="s">
        <v>187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00"/>
      <c r="O70" s="809"/>
      <c r="P70" s="795"/>
    </row>
    <row r="71" spans="1:16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800"/>
      <c r="O71" s="809"/>
      <c r="P71" s="795"/>
    </row>
    <row r="72" spans="1:16" ht="27.75">
      <c r="A72" s="1430" t="s">
        <v>191</v>
      </c>
      <c r="B72" s="1431"/>
      <c r="C72" s="1432"/>
      <c r="D72" s="599" t="s">
        <v>187</v>
      </c>
      <c r="E72" s="595">
        <f>'11'!F72</f>
        <v>851533</v>
      </c>
      <c r="F72" s="735">
        <v>851620</v>
      </c>
      <c r="G72" s="549">
        <f t="shared" ref="G72:G84" si="6">F72-E72</f>
        <v>87</v>
      </c>
      <c r="H72" s="536">
        <f>G72+'11'!H72</f>
        <v>1028</v>
      </c>
      <c r="I72" s="556"/>
      <c r="J72" s="629">
        <f>H72/DAY(B2)</f>
        <v>85.666666666666671</v>
      </c>
      <c r="K72" s="470"/>
      <c r="L72" s="408"/>
      <c r="N72" s="800"/>
      <c r="O72" s="809"/>
      <c r="P72" s="795"/>
    </row>
    <row r="73" spans="1:16" ht="27.75">
      <c r="A73" s="1430" t="s">
        <v>192</v>
      </c>
      <c r="B73" s="1431"/>
      <c r="C73" s="1432"/>
      <c r="D73" s="599" t="s">
        <v>187</v>
      </c>
      <c r="E73" s="595">
        <f>'11'!F73</f>
        <v>885775</v>
      </c>
      <c r="F73" s="736">
        <v>885776</v>
      </c>
      <c r="G73" s="733">
        <f t="shared" si="6"/>
        <v>1</v>
      </c>
      <c r="H73" s="536">
        <f>G73+'11'!H73</f>
        <v>4</v>
      </c>
      <c r="I73" s="556"/>
      <c r="J73" s="629">
        <f>H73/DAY(B2)</f>
        <v>0.33333333333333331</v>
      </c>
      <c r="K73" s="469"/>
      <c r="L73" s="408"/>
      <c r="N73" s="800"/>
      <c r="O73" s="809"/>
      <c r="P73" s="795"/>
    </row>
    <row r="74" spans="1:16" ht="27.75">
      <c r="A74" s="1430" t="s">
        <v>193</v>
      </c>
      <c r="B74" s="1431"/>
      <c r="C74" s="1432"/>
      <c r="D74" s="599" t="s">
        <v>187</v>
      </c>
      <c r="E74" s="595">
        <f>'11'!F74</f>
        <v>898</v>
      </c>
      <c r="F74" s="736">
        <v>922</v>
      </c>
      <c r="G74" s="549">
        <f t="shared" si="6"/>
        <v>24</v>
      </c>
      <c r="H74" s="536">
        <f>G74+'11'!H74</f>
        <v>335.83000000000004</v>
      </c>
      <c r="I74" s="556"/>
      <c r="J74" s="629">
        <f>H74/DAY(B2)</f>
        <v>27.985833333333336</v>
      </c>
      <c r="K74" s="470"/>
      <c r="L74" s="408"/>
      <c r="N74" s="800"/>
      <c r="O74" s="809"/>
      <c r="P74" s="795"/>
    </row>
    <row r="75" spans="1:16" ht="27.75">
      <c r="A75" s="1479" t="s">
        <v>194</v>
      </c>
      <c r="B75" s="1480"/>
      <c r="C75" s="1481"/>
      <c r="D75" s="599" t="s">
        <v>187</v>
      </c>
      <c r="E75" s="595">
        <f>'11'!F75</f>
        <v>5314</v>
      </c>
      <c r="F75" s="736">
        <v>5482</v>
      </c>
      <c r="G75" s="549">
        <f t="shared" si="6"/>
        <v>168</v>
      </c>
      <c r="H75" s="536">
        <f>G75+'11'!H75</f>
        <v>1962.7800000000002</v>
      </c>
      <c r="I75" s="556"/>
      <c r="J75" s="629">
        <f>H75/DAY(B2)</f>
        <v>163.56500000000003</v>
      </c>
      <c r="K75" s="469"/>
      <c r="L75" s="408"/>
      <c r="N75" s="800"/>
      <c r="O75" s="809"/>
      <c r="P75" s="795"/>
    </row>
    <row r="76" spans="1:16" ht="27.75">
      <c r="A76" s="1479" t="s">
        <v>195</v>
      </c>
      <c r="B76" s="1480"/>
      <c r="C76" s="1481"/>
      <c r="D76" s="599" t="s">
        <v>187</v>
      </c>
      <c r="E76" s="595">
        <f>'11'!F76</f>
        <v>2444</v>
      </c>
      <c r="F76" s="736">
        <v>2531</v>
      </c>
      <c r="G76" s="549">
        <f t="shared" si="6"/>
        <v>87</v>
      </c>
      <c r="H76" s="536">
        <f>G76+'11'!H76</f>
        <v>1016.6600000000001</v>
      </c>
      <c r="I76" s="581"/>
      <c r="J76" s="629">
        <f>H76/DAY(B2)</f>
        <v>84.721666666666678</v>
      </c>
      <c r="K76" s="469"/>
      <c r="L76" s="408"/>
      <c r="N76" s="800"/>
      <c r="O76" s="809"/>
      <c r="P76" s="795"/>
    </row>
    <row r="77" spans="1:16" ht="27.75">
      <c r="A77" s="1430" t="s">
        <v>196</v>
      </c>
      <c r="B77" s="1431"/>
      <c r="C77" s="1432"/>
      <c r="D77" s="599" t="s">
        <v>187</v>
      </c>
      <c r="E77" s="595">
        <f>'11'!F77</f>
        <v>699169</v>
      </c>
      <c r="F77" s="736">
        <v>699222</v>
      </c>
      <c r="G77" s="733">
        <f t="shared" si="6"/>
        <v>53</v>
      </c>
      <c r="H77" s="536">
        <f>G77+'11'!H77</f>
        <v>634</v>
      </c>
      <c r="I77" s="581"/>
      <c r="J77" s="629">
        <f>H77/DAY(B2)</f>
        <v>52.833333333333336</v>
      </c>
      <c r="K77" s="469"/>
      <c r="L77" s="408"/>
      <c r="N77" s="800"/>
      <c r="O77" s="809"/>
      <c r="P77" s="795"/>
    </row>
    <row r="78" spans="1:16" ht="27.75">
      <c r="A78" s="1232" t="s">
        <v>197</v>
      </c>
      <c r="B78" s="1203"/>
      <c r="C78" s="1203"/>
      <c r="D78" s="599" t="s">
        <v>187</v>
      </c>
      <c r="E78" s="595">
        <f>'11'!F78</f>
        <v>657185</v>
      </c>
      <c r="F78" s="737">
        <v>657592</v>
      </c>
      <c r="G78" s="549">
        <f t="shared" si="6"/>
        <v>407</v>
      </c>
      <c r="H78" s="536">
        <f>G78+'11'!H78</f>
        <v>4729</v>
      </c>
      <c r="I78" s="581"/>
      <c r="J78" s="629">
        <f>H78/DAY(B2)</f>
        <v>394.08333333333331</v>
      </c>
      <c r="K78" s="469"/>
      <c r="L78" s="408"/>
      <c r="N78" s="800"/>
      <c r="O78" s="809"/>
      <c r="P78" s="795"/>
    </row>
    <row r="79" spans="1:16" ht="27.75">
      <c r="A79" s="1479" t="s">
        <v>92</v>
      </c>
      <c r="B79" s="1480"/>
      <c r="C79" s="1481"/>
      <c r="D79" s="600" t="s">
        <v>187</v>
      </c>
      <c r="E79" s="595">
        <f>'11'!F79</f>
        <v>817412</v>
      </c>
      <c r="F79" s="737">
        <v>817602</v>
      </c>
      <c r="G79" s="549">
        <f t="shared" si="6"/>
        <v>190</v>
      </c>
      <c r="H79" s="536">
        <f>G79+'11'!H79</f>
        <v>2493</v>
      </c>
      <c r="I79" s="581"/>
      <c r="J79" s="629">
        <f>H79/DAY(B2)</f>
        <v>207.75</v>
      </c>
      <c r="K79" s="469"/>
      <c r="L79" s="408"/>
      <c r="N79" s="800"/>
      <c r="O79" s="809"/>
      <c r="P79" s="795"/>
    </row>
    <row r="80" spans="1:16" ht="27.75">
      <c r="A80" s="1479" t="s">
        <v>198</v>
      </c>
      <c r="B80" s="1480"/>
      <c r="C80" s="1481"/>
      <c r="D80" s="600" t="s">
        <v>187</v>
      </c>
      <c r="E80" s="595">
        <f>'11'!F80</f>
        <v>498367</v>
      </c>
      <c r="F80" s="736">
        <v>498943</v>
      </c>
      <c r="G80" s="549">
        <f t="shared" si="6"/>
        <v>576</v>
      </c>
      <c r="H80" s="536">
        <f>G80+'11'!H80</f>
        <v>4269.359999999986</v>
      </c>
      <c r="I80" s="581"/>
      <c r="J80" s="629">
        <f>H80/DAY(B2)</f>
        <v>355.77999999999884</v>
      </c>
      <c r="K80" s="469"/>
      <c r="L80" s="408"/>
      <c r="N80" s="800"/>
      <c r="O80" s="809"/>
      <c r="P80" s="795"/>
    </row>
    <row r="81" spans="1:17" ht="27.75">
      <c r="A81" s="1479" t="s">
        <v>199</v>
      </c>
      <c r="B81" s="1480"/>
      <c r="C81" s="1481"/>
      <c r="D81" s="600" t="s">
        <v>187</v>
      </c>
      <c r="E81" s="595">
        <f>'11'!F81</f>
        <v>627101</v>
      </c>
      <c r="F81" s="736">
        <v>627189</v>
      </c>
      <c r="G81" s="549">
        <f t="shared" si="6"/>
        <v>88</v>
      </c>
      <c r="H81" s="536">
        <f>G81+'11'!H81</f>
        <v>1245.1600000000326</v>
      </c>
      <c r="I81" s="581"/>
      <c r="J81" s="629">
        <f>H81/DAY(B2)</f>
        <v>103.76333333333605</v>
      </c>
      <c r="K81" s="469"/>
      <c r="L81" s="408"/>
      <c r="N81" s="800"/>
      <c r="O81" s="809"/>
      <c r="P81" s="795"/>
    </row>
    <row r="82" spans="1:17" ht="27.75">
      <c r="A82" s="1479" t="s">
        <v>93</v>
      </c>
      <c r="B82" s="1480"/>
      <c r="C82" s="1481"/>
      <c r="D82" s="561" t="s">
        <v>132</v>
      </c>
      <c r="E82" s="595">
        <f>'11'!F82</f>
        <v>106445</v>
      </c>
      <c r="F82" s="732">
        <v>106468</v>
      </c>
      <c r="G82" s="549">
        <f t="shared" si="6"/>
        <v>23</v>
      </c>
      <c r="H82" s="536">
        <f>G82+'11'!H82</f>
        <v>265.52000000000407</v>
      </c>
      <c r="I82" s="562"/>
      <c r="J82" s="629">
        <f>H82/DAY(B2)</f>
        <v>22.126666666667006</v>
      </c>
      <c r="K82" s="469"/>
      <c r="L82" s="408"/>
      <c r="N82" s="800"/>
      <c r="O82" s="809"/>
      <c r="P82" s="795"/>
    </row>
    <row r="83" spans="1:17" ht="27.75">
      <c r="A83" s="1479" t="s">
        <v>200</v>
      </c>
      <c r="B83" s="1480"/>
      <c r="C83" s="1481"/>
      <c r="D83" s="697" t="s">
        <v>132</v>
      </c>
      <c r="E83" s="595">
        <f>'11'!F83</f>
        <v>1681</v>
      </c>
      <c r="F83" s="587">
        <v>1892</v>
      </c>
      <c r="G83" s="549">
        <f t="shared" si="6"/>
        <v>211</v>
      </c>
      <c r="H83" s="536">
        <f>G83+'11'!H83</f>
        <v>5295</v>
      </c>
      <c r="I83" s="557"/>
      <c r="J83" s="629">
        <f>H83/DAY(B2)</f>
        <v>441.25</v>
      </c>
      <c r="K83" s="468"/>
      <c r="L83" s="408"/>
      <c r="N83" s="800"/>
      <c r="O83" s="809"/>
      <c r="P83" s="795"/>
    </row>
    <row r="84" spans="1:17">
      <c r="A84" s="1233" t="s">
        <v>201</v>
      </c>
      <c r="B84" s="648"/>
      <c r="C84" s="648"/>
      <c r="D84" s="554" t="s">
        <v>132</v>
      </c>
      <c r="E84" s="595">
        <f>'11'!F84</f>
        <v>439458</v>
      </c>
      <c r="F84" s="704">
        <v>440449</v>
      </c>
      <c r="G84" s="549">
        <f t="shared" si="6"/>
        <v>991</v>
      </c>
      <c r="H84" s="536">
        <f>G84+'11'!H84</f>
        <v>9651</v>
      </c>
      <c r="I84" s="557"/>
      <c r="J84" s="629">
        <f>H84/DAY(B2)</f>
        <v>804.25</v>
      </c>
      <c r="K84" s="411"/>
      <c r="L84" s="408"/>
      <c r="N84" s="800"/>
      <c r="O84" s="809"/>
      <c r="P84" s="795"/>
    </row>
    <row r="85" spans="1:17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2906</v>
      </c>
      <c r="H85" s="536">
        <f>G85+'11'!H85</f>
        <v>30903.929999999968</v>
      </c>
      <c r="I85" s="557"/>
      <c r="J85" s="629">
        <f>H85/DAY(B2)</f>
        <v>2575.3274999999971</v>
      </c>
      <c r="K85" s="411"/>
      <c r="L85" s="409"/>
      <c r="N85" s="800"/>
      <c r="O85" s="809"/>
      <c r="P85" s="795"/>
      <c r="Q85" s="817"/>
    </row>
    <row r="86" spans="1:17" s="817" customFormat="1">
      <c r="A86" s="812" t="s">
        <v>94</v>
      </c>
      <c r="B86" s="813"/>
      <c r="C86" s="813"/>
      <c r="D86" s="814" t="s">
        <v>183</v>
      </c>
      <c r="E86" s="704">
        <f>'11'!F86</f>
        <v>451722</v>
      </c>
      <c r="F86" s="728">
        <v>451971</v>
      </c>
      <c r="G86" s="787">
        <f t="shared" ref="G86:G90" si="7">F86-E86</f>
        <v>249</v>
      </c>
      <c r="H86" s="787">
        <f t="shared" ref="H86:H88" si="8">G86</f>
        <v>249</v>
      </c>
      <c r="I86" s="733"/>
      <c r="J86" s="789">
        <f>H86/DAY(B2)</f>
        <v>20.75</v>
      </c>
      <c r="K86" s="815"/>
      <c r="L86" s="816"/>
      <c r="O86" s="795"/>
    </row>
    <row r="87" spans="1:17" s="817" customFormat="1">
      <c r="A87" s="812" t="s">
        <v>95</v>
      </c>
      <c r="B87" s="813"/>
      <c r="C87" s="813"/>
      <c r="D87" s="814" t="s">
        <v>183</v>
      </c>
      <c r="E87" s="704">
        <f>'11'!F87</f>
        <v>79543</v>
      </c>
      <c r="F87" s="728">
        <v>79571</v>
      </c>
      <c r="G87" s="787">
        <f t="shared" si="7"/>
        <v>28</v>
      </c>
      <c r="H87" s="787">
        <f t="shared" si="8"/>
        <v>28</v>
      </c>
      <c r="I87" s="733"/>
      <c r="J87" s="789">
        <f>H87/DAY(B2)</f>
        <v>2.3333333333333335</v>
      </c>
      <c r="K87" s="815"/>
      <c r="L87" s="816"/>
      <c r="O87" s="795"/>
    </row>
    <row r="88" spans="1:17" s="817" customFormat="1">
      <c r="A88" s="812" t="s">
        <v>96</v>
      </c>
      <c r="B88" s="813"/>
      <c r="C88" s="813"/>
      <c r="D88" s="814" t="s">
        <v>183</v>
      </c>
      <c r="E88" s="704">
        <f>'11'!F88</f>
        <v>149095</v>
      </c>
      <c r="F88" s="728">
        <v>149169</v>
      </c>
      <c r="G88" s="787">
        <f t="shared" si="7"/>
        <v>74</v>
      </c>
      <c r="H88" s="787">
        <f t="shared" si="8"/>
        <v>74</v>
      </c>
      <c r="I88" s="733"/>
      <c r="J88" s="789">
        <f>H88/DAY(B2)</f>
        <v>6.166666666666667</v>
      </c>
      <c r="K88" s="815"/>
      <c r="L88" s="816"/>
      <c r="O88" s="795"/>
    </row>
    <row r="89" spans="1:17" s="817" customFormat="1">
      <c r="A89" s="812" t="s">
        <v>204</v>
      </c>
      <c r="B89" s="813"/>
      <c r="C89" s="813"/>
      <c r="D89" s="814" t="s">
        <v>183</v>
      </c>
      <c r="E89" s="704">
        <f>'11'!F89</f>
        <v>62495</v>
      </c>
      <c r="F89" s="728">
        <v>62558</v>
      </c>
      <c r="G89" s="787">
        <f t="shared" si="7"/>
        <v>63</v>
      </c>
      <c r="H89" s="787">
        <f>G89</f>
        <v>63</v>
      </c>
      <c r="I89" s="733"/>
      <c r="J89" s="789">
        <f>H89/DAY(B2)</f>
        <v>5.25</v>
      </c>
      <c r="K89" s="815"/>
      <c r="L89" s="816"/>
      <c r="N89" s="860"/>
      <c r="O89" s="795"/>
    </row>
    <row r="90" spans="1:17" s="817" customFormat="1">
      <c r="A90" s="812" t="s">
        <v>204</v>
      </c>
      <c r="B90" s="813"/>
      <c r="C90" s="813"/>
      <c r="D90" s="814" t="s">
        <v>183</v>
      </c>
      <c r="E90" s="704">
        <f>'11'!F90</f>
        <v>3214</v>
      </c>
      <c r="F90" s="728">
        <v>3218</v>
      </c>
      <c r="G90" s="787">
        <f t="shared" si="7"/>
        <v>4</v>
      </c>
      <c r="H90" s="787">
        <f>G90</f>
        <v>4</v>
      </c>
      <c r="I90" s="733"/>
      <c r="J90" s="789">
        <f>H90/DAY(B2)</f>
        <v>0.33333333333333331</v>
      </c>
      <c r="K90" s="815"/>
      <c r="L90" s="816"/>
      <c r="N90" s="860"/>
      <c r="O90" s="795"/>
    </row>
    <row r="91" spans="1:17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9"/>
      <c r="P91" s="795"/>
      <c r="Q91" s="817"/>
    </row>
    <row r="92" spans="1:17" ht="27.75">
      <c r="A92" s="1433" t="s">
        <v>206</v>
      </c>
      <c r="B92" s="1434"/>
      <c r="C92" s="1435"/>
      <c r="D92" s="599" t="s">
        <v>144</v>
      </c>
      <c r="E92" s="560">
        <f>'11'!F92</f>
        <v>240759</v>
      </c>
      <c r="F92" s="554">
        <v>240827</v>
      </c>
      <c r="G92" s="549">
        <f t="shared" ref="G92:G93" si="9">F92-E92</f>
        <v>68</v>
      </c>
      <c r="H92" s="536">
        <f>G92+'11'!H92</f>
        <v>1132</v>
      </c>
      <c r="I92" s="556"/>
      <c r="J92" s="629">
        <f>H92/DAY(B2)</f>
        <v>94.333333333333329</v>
      </c>
      <c r="K92" s="468"/>
      <c r="L92" s="408"/>
      <c r="N92" s="800"/>
      <c r="O92" s="809"/>
      <c r="P92" s="795"/>
    </row>
    <row r="93" spans="1:17" ht="27.75">
      <c r="A93" s="1433" t="s">
        <v>207</v>
      </c>
      <c r="B93" s="1434"/>
      <c r="C93" s="1435"/>
      <c r="D93" s="599" t="s">
        <v>144</v>
      </c>
      <c r="E93" s="560">
        <f>'11'!F93</f>
        <v>177092</v>
      </c>
      <c r="F93" s="554">
        <v>177199</v>
      </c>
      <c r="G93" s="549">
        <f t="shared" si="9"/>
        <v>107</v>
      </c>
      <c r="H93" s="536">
        <f>G93+'11'!H93</f>
        <v>1538</v>
      </c>
      <c r="I93" s="556"/>
      <c r="J93" s="629">
        <f>H93/DAY(B2)</f>
        <v>128.16666666666666</v>
      </c>
      <c r="K93" s="411"/>
      <c r="L93" s="408"/>
      <c r="N93" s="800"/>
      <c r="O93" s="809"/>
      <c r="P93" s="795"/>
    </row>
    <row r="94" spans="1:17">
      <c r="A94" s="1427" t="s">
        <v>208</v>
      </c>
      <c r="B94" s="1428"/>
      <c r="C94" s="1429"/>
      <c r="D94" s="599"/>
      <c r="E94" s="560">
        <f>'11'!F94</f>
        <v>0</v>
      </c>
      <c r="F94" s="554"/>
      <c r="G94" s="549">
        <f>G92+G93</f>
        <v>175</v>
      </c>
      <c r="H94" s="536">
        <f>G94+'11'!H94</f>
        <v>2404</v>
      </c>
      <c r="I94" s="556"/>
      <c r="J94" s="629">
        <f>H94/DAY(B2)</f>
        <v>200.33333333333334</v>
      </c>
      <c r="K94" s="411"/>
      <c r="L94" s="408"/>
      <c r="N94" s="800"/>
      <c r="O94" s="809"/>
      <c r="P94" s="795"/>
    </row>
    <row r="95" spans="1:17" ht="27.75">
      <c r="A95" s="1433" t="s">
        <v>209</v>
      </c>
      <c r="B95" s="1434"/>
      <c r="C95" s="1435"/>
      <c r="D95" s="599" t="s">
        <v>144</v>
      </c>
      <c r="E95" s="560">
        <f>'11'!F95</f>
        <v>409123</v>
      </c>
      <c r="F95" s="554">
        <v>409194</v>
      </c>
      <c r="G95" s="549">
        <f t="shared" ref="G95:G100" si="10">F95-E95</f>
        <v>71</v>
      </c>
      <c r="H95" s="536">
        <f>G95+'11'!H95</f>
        <v>1038</v>
      </c>
      <c r="I95" s="556"/>
      <c r="J95" s="629">
        <f>H95/DAY(B2)</f>
        <v>86.5</v>
      </c>
      <c r="K95" s="411"/>
      <c r="L95" s="408"/>
      <c r="N95" s="800"/>
      <c r="O95" s="809"/>
      <c r="P95" s="795"/>
    </row>
    <row r="96" spans="1:17" ht="27.75">
      <c r="A96" s="1229" t="s">
        <v>210</v>
      </c>
      <c r="B96" s="1230"/>
      <c r="C96" s="1230"/>
      <c r="D96" s="599" t="s">
        <v>144</v>
      </c>
      <c r="E96" s="560">
        <f>'11'!F96</f>
        <v>101500</v>
      </c>
      <c r="F96" s="554">
        <v>101508</v>
      </c>
      <c r="G96" s="549">
        <f t="shared" si="10"/>
        <v>8</v>
      </c>
      <c r="H96" s="536">
        <f>G96+'11'!H96</f>
        <v>176</v>
      </c>
      <c r="I96" s="556"/>
      <c r="J96" s="629">
        <f>H96/DAY(B2)</f>
        <v>14.666666666666666</v>
      </c>
      <c r="K96" s="466"/>
      <c r="L96" s="408"/>
      <c r="N96" s="800"/>
      <c r="O96" s="809"/>
      <c r="P96" s="795"/>
    </row>
    <row r="97" spans="1:17" ht="27.75">
      <c r="A97" s="1229" t="s">
        <v>211</v>
      </c>
      <c r="B97" s="1230"/>
      <c r="C97" s="1230"/>
      <c r="D97" s="599" t="s">
        <v>144</v>
      </c>
      <c r="E97" s="560">
        <f>'11'!F97</f>
        <v>96658</v>
      </c>
      <c r="F97" s="554">
        <v>96676</v>
      </c>
      <c r="G97" s="549">
        <f t="shared" si="10"/>
        <v>18</v>
      </c>
      <c r="H97" s="536">
        <f>G97+'11'!H97</f>
        <v>227</v>
      </c>
      <c r="I97" s="556"/>
      <c r="J97" s="629">
        <f>H97/DAY(B2)</f>
        <v>18.916666666666668</v>
      </c>
      <c r="K97" s="471"/>
      <c r="L97" s="408"/>
      <c r="N97" s="800"/>
      <c r="O97" s="809"/>
      <c r="P97" s="795"/>
    </row>
    <row r="98" spans="1:17" ht="27.75">
      <c r="A98" s="1229" t="s">
        <v>212</v>
      </c>
      <c r="B98" s="1230"/>
      <c r="C98" s="1230"/>
      <c r="D98" s="599" t="s">
        <v>144</v>
      </c>
      <c r="E98" s="560">
        <f>'11'!F98</f>
        <v>148232</v>
      </c>
      <c r="F98" s="554">
        <v>148299</v>
      </c>
      <c r="G98" s="549">
        <f t="shared" si="10"/>
        <v>67</v>
      </c>
      <c r="H98" s="536">
        <f>G98+'11'!H98</f>
        <v>691</v>
      </c>
      <c r="I98" s="556"/>
      <c r="J98" s="629">
        <f>H98/DAY(B2)</f>
        <v>57.583333333333336</v>
      </c>
      <c r="K98" s="411"/>
      <c r="L98" s="408"/>
      <c r="N98" s="802"/>
      <c r="O98" s="809"/>
      <c r="P98" s="795"/>
    </row>
    <row r="99" spans="1:17" ht="27.75">
      <c r="A99" s="1229" t="s">
        <v>213</v>
      </c>
      <c r="B99" s="1230"/>
      <c r="C99" s="1230"/>
      <c r="D99" s="599" t="s">
        <v>144</v>
      </c>
      <c r="E99" s="560">
        <f>'11'!F99</f>
        <v>6556</v>
      </c>
      <c r="F99" s="554">
        <v>6571</v>
      </c>
      <c r="G99" s="549">
        <f t="shared" si="10"/>
        <v>15</v>
      </c>
      <c r="H99" s="536">
        <f>G99+'11'!H99</f>
        <v>163</v>
      </c>
      <c r="I99" s="556"/>
      <c r="J99" s="629">
        <f>H99/DAY(B2)</f>
        <v>13.583333333333334</v>
      </c>
      <c r="K99" s="411"/>
      <c r="L99" s="408"/>
      <c r="N99" s="800"/>
      <c r="O99" s="809"/>
      <c r="P99" s="795"/>
    </row>
    <row r="100" spans="1:17" ht="27.75">
      <c r="A100" s="1229" t="s">
        <v>214</v>
      </c>
      <c r="B100" s="1230"/>
      <c r="C100" s="1230"/>
      <c r="D100" s="599" t="s">
        <v>144</v>
      </c>
      <c r="E100" s="560">
        <f>'11'!F100</f>
        <v>4661</v>
      </c>
      <c r="F100" s="554">
        <v>4671</v>
      </c>
      <c r="G100" s="549">
        <f t="shared" si="10"/>
        <v>10</v>
      </c>
      <c r="H100" s="536">
        <f>G100+'11'!H100</f>
        <v>128</v>
      </c>
      <c r="I100" s="556"/>
      <c r="J100" s="629">
        <f>H100/DAY(B2)</f>
        <v>10.666666666666666</v>
      </c>
      <c r="K100" s="411"/>
      <c r="L100" s="408"/>
      <c r="N100" s="800"/>
      <c r="O100" s="809"/>
      <c r="P100" s="795"/>
    </row>
    <row r="101" spans="1:17">
      <c r="A101" s="1427" t="s">
        <v>216</v>
      </c>
      <c r="B101" s="1428"/>
      <c r="C101" s="1429"/>
      <c r="D101" s="600"/>
      <c r="E101" s="560"/>
      <c r="F101" s="600"/>
      <c r="G101" s="601">
        <f>SUM(G95:G100)</f>
        <v>189</v>
      </c>
      <c r="H101" s="536">
        <f>G101+'11'!H101</f>
        <v>2423</v>
      </c>
      <c r="I101" s="602"/>
      <c r="J101" s="629">
        <f>H101/DAY(B2)</f>
        <v>201.91666666666666</v>
      </c>
      <c r="K101" s="411"/>
      <c r="L101" s="408"/>
      <c r="N101" s="800"/>
      <c r="O101" s="809"/>
      <c r="P101" s="795"/>
    </row>
    <row r="102" spans="1:17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9"/>
      <c r="P102" s="795"/>
      <c r="Q102" s="494"/>
    </row>
    <row r="103" spans="1:17" s="481" customFormat="1" ht="27.75">
      <c r="A103" s="1436" t="s">
        <v>218</v>
      </c>
      <c r="B103" s="1437"/>
      <c r="C103" s="650"/>
      <c r="D103" s="699"/>
      <c r="E103" s="560"/>
      <c r="F103" s="739"/>
      <c r="G103" s="608"/>
      <c r="H103" s="609"/>
      <c r="I103" s="608"/>
      <c r="J103" s="635"/>
      <c r="N103" s="800"/>
      <c r="O103" s="809"/>
      <c r="P103" s="795"/>
      <c r="Q103" s="494"/>
    </row>
    <row r="104" spans="1:17" s="481" customFormat="1" ht="27.75">
      <c r="A104" s="1438" t="s">
        <v>219</v>
      </c>
      <c r="B104" s="1439"/>
      <c r="C104" s="1228"/>
      <c r="D104" s="699" t="s">
        <v>144</v>
      </c>
      <c r="E104" s="560">
        <f>'11'!F104</f>
        <v>7233</v>
      </c>
      <c r="F104" s="739">
        <v>7233</v>
      </c>
      <c r="G104" s="608">
        <f>F104-E104</f>
        <v>0</v>
      </c>
      <c r="H104" s="609">
        <f>SUM(G104+'1'!G76)</f>
        <v>79.150000000000091</v>
      </c>
      <c r="I104" s="608"/>
      <c r="J104" s="635">
        <f>H104/DAY(B2)</f>
        <v>6.5958333333333412</v>
      </c>
      <c r="N104" s="800"/>
      <c r="O104" s="809"/>
      <c r="P104" s="795"/>
      <c r="Q104" s="494"/>
    </row>
    <row r="105" spans="1:17" s="481" customFormat="1" ht="27.75">
      <c r="A105" s="1438" t="s">
        <v>77</v>
      </c>
      <c r="B105" s="1439"/>
      <c r="C105" s="1228"/>
      <c r="D105" s="699" t="s">
        <v>144</v>
      </c>
      <c r="E105" s="560">
        <f>'11'!F105</f>
        <v>35494</v>
      </c>
      <c r="F105" s="740">
        <v>35500</v>
      </c>
      <c r="G105" s="608">
        <f t="shared" ref="G105:G106" si="11">F105-E105</f>
        <v>6</v>
      </c>
      <c r="H105" s="609">
        <f>SUM(G105+'1'!G77)</f>
        <v>51</v>
      </c>
      <c r="I105" s="608"/>
      <c r="J105" s="635">
        <f>H105/DAY(B2)</f>
        <v>4.25</v>
      </c>
      <c r="N105" s="800"/>
      <c r="O105" s="809"/>
      <c r="P105" s="795"/>
      <c r="Q105" s="494"/>
    </row>
    <row r="106" spans="1:17" s="481" customFormat="1" ht="27.75">
      <c r="A106" s="1438" t="s">
        <v>78</v>
      </c>
      <c r="B106" s="1440"/>
      <c r="C106" s="1439"/>
      <c r="D106" s="699" t="s">
        <v>144</v>
      </c>
      <c r="E106" s="560">
        <f>'11'!F106</f>
        <v>19308</v>
      </c>
      <c r="F106" s="740">
        <v>19312</v>
      </c>
      <c r="G106" s="608">
        <f t="shared" si="11"/>
        <v>4</v>
      </c>
      <c r="H106" s="609">
        <f>SUM(G106+'1'!G78)</f>
        <v>394</v>
      </c>
      <c r="I106" s="608"/>
      <c r="J106" s="635">
        <f>H106/DAY(B2)</f>
        <v>32.833333333333336</v>
      </c>
      <c r="N106" s="800"/>
      <c r="O106" s="809"/>
      <c r="P106" s="795"/>
      <c r="Q106" s="494"/>
    </row>
    <row r="107" spans="1:17" s="481" customFormat="1" ht="27.75">
      <c r="A107" s="1441" t="s">
        <v>202</v>
      </c>
      <c r="B107" s="1442"/>
      <c r="C107" s="1228"/>
      <c r="D107" s="699"/>
      <c r="E107" s="560"/>
      <c r="F107" s="740"/>
      <c r="G107" s="608">
        <f>SUM(G104:G106)</f>
        <v>10</v>
      </c>
      <c r="H107" s="609">
        <f>SUM(G107+'1'!G79)</f>
        <v>202</v>
      </c>
      <c r="I107" s="608"/>
      <c r="J107" s="635">
        <f>H107/DAY(B2)</f>
        <v>16.833333333333332</v>
      </c>
      <c r="N107" s="800"/>
      <c r="O107" s="809"/>
      <c r="P107" s="795"/>
      <c r="Q107" s="494"/>
    </row>
    <row r="108" spans="1:17" s="481" customFormat="1" ht="27.75">
      <c r="A108" s="1443" t="s">
        <v>79</v>
      </c>
      <c r="B108" s="1444"/>
      <c r="C108" s="1228"/>
      <c r="D108" s="699" t="s">
        <v>144</v>
      </c>
      <c r="E108" s="560"/>
      <c r="F108" s="740"/>
      <c r="G108" s="608"/>
      <c r="H108" s="609"/>
      <c r="I108" s="608"/>
      <c r="J108" s="635"/>
      <c r="N108" s="800"/>
      <c r="O108" s="809"/>
      <c r="P108" s="795"/>
      <c r="Q108" s="494"/>
    </row>
    <row r="109" spans="1:17" s="481" customFormat="1" ht="27.75">
      <c r="A109" s="1438" t="s">
        <v>220</v>
      </c>
      <c r="B109" s="1439"/>
      <c r="C109" s="1228"/>
      <c r="D109" s="699" t="s">
        <v>144</v>
      </c>
      <c r="E109" s="560">
        <f>'11'!F109</f>
        <v>57226</v>
      </c>
      <c r="F109" s="740">
        <v>57267</v>
      </c>
      <c r="G109" s="608">
        <f>F109-E109</f>
        <v>41</v>
      </c>
      <c r="H109" s="609">
        <f>SUM(G109+'1'!G81)</f>
        <v>153.56000000005588</v>
      </c>
      <c r="I109" s="608"/>
      <c r="J109" s="635">
        <f>H109/DAY(B2)</f>
        <v>12.796666666671323</v>
      </c>
      <c r="N109" s="800"/>
      <c r="O109" s="809"/>
      <c r="P109" s="795"/>
      <c r="Q109" s="494"/>
    </row>
    <row r="110" spans="1:17" s="481" customFormat="1" ht="27.75">
      <c r="A110" s="1438" t="s">
        <v>221</v>
      </c>
      <c r="B110" s="1439"/>
      <c r="C110" s="1228"/>
      <c r="D110" s="699" t="s">
        <v>144</v>
      </c>
      <c r="E110" s="560">
        <f>'11'!F110</f>
        <v>31156</v>
      </c>
      <c r="F110" s="740">
        <v>31156</v>
      </c>
      <c r="G110" s="608">
        <f t="shared" ref="G110:G111" si="12">F110-E110</f>
        <v>0</v>
      </c>
      <c r="H110" s="609">
        <f>SUM(G110+'1'!G82)</f>
        <v>18.169999999998254</v>
      </c>
      <c r="I110" s="608"/>
      <c r="J110" s="635">
        <f>H110/DAY(B2)</f>
        <v>1.5141666666665212</v>
      </c>
      <c r="N110" s="800"/>
      <c r="O110" s="809"/>
      <c r="P110" s="795"/>
      <c r="Q110" s="494"/>
    </row>
    <row r="111" spans="1:17" s="481" customFormat="1" ht="27.75">
      <c r="A111" s="1438" t="s">
        <v>222</v>
      </c>
      <c r="B111" s="1439"/>
      <c r="C111" s="1228"/>
      <c r="D111" s="699" t="s">
        <v>144</v>
      </c>
      <c r="E111" s="560">
        <f>'11'!F111</f>
        <v>4047</v>
      </c>
      <c r="F111" s="740">
        <v>4054</v>
      </c>
      <c r="G111" s="608">
        <f t="shared" si="12"/>
        <v>7</v>
      </c>
      <c r="H111" s="609">
        <f>SUM(G111+'1'!G83)</f>
        <v>527</v>
      </c>
      <c r="I111" s="608"/>
      <c r="J111" s="635">
        <f>H111/DAY(B2)</f>
        <v>43.916666666666664</v>
      </c>
      <c r="N111" s="800"/>
      <c r="O111" s="809"/>
      <c r="P111" s="795"/>
      <c r="Q111" s="494"/>
    </row>
    <row r="112" spans="1:17" s="481" customFormat="1" ht="27.75">
      <c r="A112" s="1441" t="s">
        <v>110</v>
      </c>
      <c r="B112" s="1442"/>
      <c r="C112" s="1228"/>
      <c r="D112" s="699"/>
      <c r="E112" s="560"/>
      <c r="F112" s="740"/>
      <c r="G112" s="608">
        <f>SUM(G109:G111)</f>
        <v>48</v>
      </c>
      <c r="H112" s="609">
        <f>SUM(G112+'1'!G84)</f>
        <v>738</v>
      </c>
      <c r="I112" s="608"/>
      <c r="J112" s="635">
        <f>H112/DAY(B2)</f>
        <v>61.5</v>
      </c>
      <c r="N112" s="800"/>
      <c r="O112" s="809"/>
      <c r="P112" s="795"/>
      <c r="Q112" s="494"/>
    </row>
    <row r="113" spans="1:17" s="481" customFormat="1" ht="27.75">
      <c r="A113" s="1443" t="s">
        <v>223</v>
      </c>
      <c r="B113" s="1444"/>
      <c r="C113" s="1228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9"/>
      <c r="P113" s="795"/>
      <c r="Q113" s="494"/>
    </row>
    <row r="114" spans="1:17" s="481" customFormat="1" ht="27.75">
      <c r="A114" s="1438" t="s">
        <v>224</v>
      </c>
      <c r="B114" s="1439"/>
      <c r="C114" s="651"/>
      <c r="D114" s="699" t="s">
        <v>144</v>
      </c>
      <c r="E114" s="560">
        <f>'11'!F114</f>
        <v>10502</v>
      </c>
      <c r="F114" s="740">
        <v>10519</v>
      </c>
      <c r="G114" s="610">
        <f>F114-E114</f>
        <v>17</v>
      </c>
      <c r="H114" s="609">
        <f>SUM(G114+'1'!G91)</f>
        <v>17</v>
      </c>
      <c r="I114" s="608"/>
      <c r="J114" s="635">
        <f>H114/DAY(B2)</f>
        <v>1.4166666666666667</v>
      </c>
      <c r="N114" s="800"/>
      <c r="O114" s="809"/>
      <c r="P114" s="795"/>
      <c r="Q114" s="494"/>
    </row>
    <row r="115" spans="1:17" s="481" customFormat="1" ht="27.75">
      <c r="A115" s="1438" t="s">
        <v>225</v>
      </c>
      <c r="B115" s="1439"/>
      <c r="C115" s="651"/>
      <c r="D115" s="699" t="s">
        <v>144</v>
      </c>
      <c r="E115" s="560">
        <f>'11'!F115</f>
        <v>7762</v>
      </c>
      <c r="F115" s="740">
        <v>7770</v>
      </c>
      <c r="G115" s="610">
        <f t="shared" ref="G115:G116" si="13">F115-E115</f>
        <v>8</v>
      </c>
      <c r="H115" s="609">
        <f>SUM(G115+'1'!G92)</f>
        <v>130</v>
      </c>
      <c r="I115" s="608"/>
      <c r="J115" s="635">
        <f>H115/DAY(B2)</f>
        <v>10.833333333333334</v>
      </c>
      <c r="N115" s="800"/>
      <c r="O115" s="809"/>
      <c r="P115" s="795"/>
      <c r="Q115" s="494"/>
    </row>
    <row r="116" spans="1:17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144</v>
      </c>
      <c r="I116" s="608"/>
      <c r="J116" s="635">
        <f>H116/DAY(B2)</f>
        <v>12</v>
      </c>
      <c r="N116" s="800"/>
      <c r="O116" s="809"/>
      <c r="P116" s="795"/>
      <c r="Q116" s="494"/>
    </row>
    <row r="117" spans="1:17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25</v>
      </c>
      <c r="H117" s="609">
        <f>SUM(G117+'1'!G95)</f>
        <v>101</v>
      </c>
      <c r="I117" s="610"/>
      <c r="J117" s="635">
        <f>H117/DAY(B2)</f>
        <v>8.4166666666666661</v>
      </c>
      <c r="N117" s="800"/>
      <c r="O117" s="809"/>
      <c r="P117" s="795"/>
    </row>
    <row r="118" spans="1:17" s="495" customFormat="1" ht="27.75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122</v>
      </c>
      <c r="G118" s="612">
        <f>SUM(G19+G92)</f>
        <v>122</v>
      </c>
      <c r="H118" s="609">
        <f>SUM(G118+'1'!G96)</f>
        <v>135</v>
      </c>
      <c r="I118" s="611"/>
      <c r="J118" s="636">
        <f>H118/DAY(B2)</f>
        <v>11.25</v>
      </c>
      <c r="N118" s="800"/>
      <c r="O118" s="809"/>
      <c r="P118" s="795"/>
    </row>
    <row r="119" spans="1:17" s="495" customFormat="1" ht="27.75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122</v>
      </c>
      <c r="G119" s="612">
        <f>SUM(G95,G96,G97,G99,G100)</f>
        <v>122</v>
      </c>
      <c r="H119" s="609">
        <f>SUM(G119+'1'!G98)</f>
        <v>192</v>
      </c>
      <c r="I119" s="611"/>
      <c r="J119" s="636">
        <f>H119/DAY(B2)</f>
        <v>16</v>
      </c>
      <c r="N119" s="800"/>
      <c r="O119" s="809"/>
      <c r="P119" s="795"/>
    </row>
    <row r="120" spans="1:17" s="495" customFormat="1" ht="27.75">
      <c r="A120" s="1472" t="s">
        <v>229</v>
      </c>
      <c r="B120" s="1473"/>
      <c r="C120" s="1226"/>
      <c r="D120" s="701" t="s">
        <v>144</v>
      </c>
      <c r="E120" s="610"/>
      <c r="F120" s="740">
        <f>SUM(G112)</f>
        <v>48</v>
      </c>
      <c r="G120" s="610">
        <f>SUM(G112)</f>
        <v>48</v>
      </c>
      <c r="H120" s="609">
        <f>SUM(G120+'1'!G100)</f>
        <v>62</v>
      </c>
      <c r="I120" s="611"/>
      <c r="J120" s="636">
        <f>H120/DAY(B2)</f>
        <v>5.166666666666667</v>
      </c>
      <c r="N120" s="800"/>
      <c r="O120" s="809"/>
      <c r="P120" s="795"/>
    </row>
    <row r="121" spans="1:17" s="481" customFormat="1" ht="27.75">
      <c r="A121" s="1474"/>
      <c r="B121" s="1475"/>
      <c r="C121" s="1227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9"/>
      <c r="P121" s="795"/>
      <c r="Q121" s="494"/>
    </row>
    <row r="122" spans="1:17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9"/>
      <c r="P122" s="795"/>
    </row>
    <row r="123" spans="1:17" ht="27.75">
      <c r="A123" s="1229" t="s">
        <v>231</v>
      </c>
      <c r="B123" s="1230"/>
      <c r="C123" s="1230"/>
      <c r="D123" s="599" t="s">
        <v>141</v>
      </c>
      <c r="E123" s="554">
        <f>'11'!F123</f>
        <v>813800</v>
      </c>
      <c r="F123" s="554">
        <v>814045</v>
      </c>
      <c r="G123" s="549">
        <f t="shared" ref="G123:G127" si="14">F123-E123</f>
        <v>245</v>
      </c>
      <c r="H123" s="536">
        <f>G123+'11'!H123</f>
        <v>3038.1600000000326</v>
      </c>
      <c r="I123" s="602"/>
      <c r="J123" s="629">
        <f>H123/DAY(B2)</f>
        <v>253.18000000000271</v>
      </c>
      <c r="K123" s="411"/>
      <c r="L123" s="408"/>
      <c r="N123" s="800"/>
      <c r="O123" s="809"/>
      <c r="P123" s="795"/>
    </row>
    <row r="124" spans="1:17" ht="27.75">
      <c r="A124" s="1229" t="s">
        <v>232</v>
      </c>
      <c r="B124" s="1230"/>
      <c r="C124" s="1230"/>
      <c r="D124" s="599" t="s">
        <v>141</v>
      </c>
      <c r="E124" s="703">
        <f>'11'!F124</f>
        <v>73583</v>
      </c>
      <c r="F124" s="703">
        <v>73583</v>
      </c>
      <c r="G124" s="549">
        <f t="shared" si="14"/>
        <v>0</v>
      </c>
      <c r="H124" s="536">
        <f>G124+'11'!H124</f>
        <v>-0.39999999999417923</v>
      </c>
      <c r="I124" s="602"/>
      <c r="J124" s="629">
        <f>H124/DAY(B2)</f>
        <v>-3.3333333332848269E-2</v>
      </c>
      <c r="K124" s="411"/>
      <c r="L124" s="408"/>
      <c r="N124" s="800"/>
      <c r="O124" s="809"/>
      <c r="P124" s="795"/>
    </row>
    <row r="125" spans="1:17" ht="27.75">
      <c r="A125" s="1430" t="s">
        <v>233</v>
      </c>
      <c r="B125" s="1431"/>
      <c r="C125" s="1432"/>
      <c r="D125" s="599" t="s">
        <v>141</v>
      </c>
      <c r="E125" s="554">
        <f>'11'!F125</f>
        <v>140714</v>
      </c>
      <c r="F125" s="554">
        <v>140774</v>
      </c>
      <c r="G125" s="549">
        <f t="shared" si="14"/>
        <v>60</v>
      </c>
      <c r="H125" s="536">
        <f>G125+'11'!H125</f>
        <v>794.66000000000349</v>
      </c>
      <c r="I125" s="602"/>
      <c r="J125" s="629">
        <f>H125/DAY(B2)</f>
        <v>66.221666666666962</v>
      </c>
      <c r="K125" s="411"/>
      <c r="L125" s="408"/>
      <c r="N125" s="800"/>
      <c r="O125" s="809"/>
      <c r="P125" s="795"/>
    </row>
    <row r="126" spans="1:17" ht="27.75">
      <c r="A126" s="686" t="s">
        <v>234</v>
      </c>
      <c r="B126" s="1230"/>
      <c r="C126" s="1230"/>
      <c r="D126" s="599" t="s">
        <v>141</v>
      </c>
      <c r="E126" s="703">
        <f>'11'!F126</f>
        <v>59667</v>
      </c>
      <c r="F126" s="703">
        <v>59687</v>
      </c>
      <c r="G126" s="549">
        <f t="shared" si="14"/>
        <v>20</v>
      </c>
      <c r="H126" s="536">
        <f>G126+'11'!H126</f>
        <v>380.09999999999854</v>
      </c>
      <c r="I126" s="602"/>
      <c r="J126" s="629">
        <f>H126/DAY(B2)</f>
        <v>31.67499999999988</v>
      </c>
      <c r="K126" s="411"/>
      <c r="L126" s="408"/>
      <c r="N126" s="800"/>
      <c r="O126" s="809"/>
      <c r="P126" s="795"/>
    </row>
    <row r="127" spans="1:17" ht="27.75">
      <c r="A127" s="686" t="s">
        <v>235</v>
      </c>
      <c r="B127" s="1230"/>
      <c r="C127" s="1230"/>
      <c r="D127" s="599" t="s">
        <v>141</v>
      </c>
      <c r="E127" s="703">
        <f>'11'!F127</f>
        <v>8914</v>
      </c>
      <c r="F127" s="703">
        <v>8917</v>
      </c>
      <c r="G127" s="549">
        <f t="shared" si="14"/>
        <v>3</v>
      </c>
      <c r="H127" s="536">
        <f>G127+'11'!H127</f>
        <v>29.200000000000728</v>
      </c>
      <c r="I127" s="556"/>
      <c r="J127" s="629">
        <f>H127/DAY(B2)</f>
        <v>2.433333333333394</v>
      </c>
      <c r="K127" s="411"/>
      <c r="L127" s="408"/>
      <c r="N127" s="800"/>
      <c r="O127" s="809"/>
      <c r="P127" s="795"/>
    </row>
    <row r="128" spans="1:17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476.77000000001863</v>
      </c>
      <c r="H128" s="536">
        <f>H15-SUM(H123:H127)</f>
        <v>6258.439999999875</v>
      </c>
      <c r="I128" s="556"/>
      <c r="J128" s="629"/>
      <c r="K128" s="391"/>
      <c r="L128" s="293"/>
      <c r="N128" s="800"/>
      <c r="O128" s="809"/>
      <c r="P128" s="795"/>
      <c r="Q128" s="792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9"/>
      <c r="P129" s="795"/>
    </row>
    <row r="130" spans="1:16" ht="27.75">
      <c r="A130" s="1229" t="s">
        <v>238</v>
      </c>
      <c r="B130" s="1230"/>
      <c r="C130" s="1230"/>
      <c r="D130" s="599" t="s">
        <v>239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00"/>
      <c r="O130" s="809"/>
      <c r="P130" s="795"/>
    </row>
    <row r="131" spans="1:16" ht="27.75">
      <c r="A131" s="1229" t="s">
        <v>240</v>
      </c>
      <c r="B131" s="1230"/>
      <c r="C131" s="1230"/>
      <c r="D131" s="599" t="s">
        <v>239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00"/>
      <c r="O131" s="809"/>
      <c r="P131" s="795"/>
    </row>
    <row r="132" spans="1:16" ht="27.75">
      <c r="A132" s="1229" t="s">
        <v>241</v>
      </c>
      <c r="B132" s="1230"/>
      <c r="C132" s="1230"/>
      <c r="D132" s="599" t="s">
        <v>239</v>
      </c>
      <c r="E132" s="618">
        <f>'11'!F132</f>
        <v>39219.35</v>
      </c>
      <c r="F132" s="732">
        <v>39219.35</v>
      </c>
      <c r="G132" s="549">
        <f t="shared" si="15"/>
        <v>0</v>
      </c>
      <c r="H132" s="536">
        <f>G132+'11'!H132</f>
        <v>390.34999999999854</v>
      </c>
      <c r="I132" s="556"/>
      <c r="J132" s="629">
        <f>H132/DAY(B2)</f>
        <v>32.529166666666548</v>
      </c>
      <c r="N132" s="800"/>
      <c r="O132" s="809"/>
      <c r="P132" s="795"/>
    </row>
    <row r="133" spans="1:16" ht="27.75">
      <c r="A133" s="1229" t="s">
        <v>242</v>
      </c>
      <c r="B133" s="1230"/>
      <c r="C133" s="1230"/>
      <c r="D133" s="599" t="s">
        <v>239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-1</v>
      </c>
      <c r="I133" s="556">
        <f>G130+G131+G132+G133</f>
        <v>0</v>
      </c>
      <c r="J133" s="629">
        <f>H133/DAY(B2)</f>
        <v>-8.3333333333333329E-2</v>
      </c>
      <c r="N133" s="800"/>
      <c r="O133" s="809"/>
      <c r="P133" s="795"/>
    </row>
    <row r="134" spans="1:16" ht="27.75">
      <c r="A134" s="1229" t="s">
        <v>243</v>
      </c>
      <c r="B134" s="1230"/>
      <c r="C134" s="1230"/>
      <c r="D134" s="599" t="s">
        <v>239</v>
      </c>
      <c r="E134" s="782">
        <f>'11'!F134</f>
        <v>40626.51</v>
      </c>
      <c r="F134" s="703">
        <v>40650.57</v>
      </c>
      <c r="G134" s="549">
        <f t="shared" si="15"/>
        <v>24.059999999997672</v>
      </c>
      <c r="H134" s="536">
        <f>G134+'11'!H134</f>
        <v>283.43000000000029</v>
      </c>
      <c r="I134" s="556"/>
      <c r="J134" s="629">
        <f>H134/DAY(B2)</f>
        <v>23.61916666666669</v>
      </c>
      <c r="N134" s="800"/>
      <c r="O134" s="809"/>
      <c r="P134" s="795"/>
    </row>
    <row r="135" spans="1:16" ht="27.75">
      <c r="A135" s="1229" t="s">
        <v>244</v>
      </c>
      <c r="B135" s="1230"/>
      <c r="C135" s="1230"/>
      <c r="D135" s="599" t="s">
        <v>239</v>
      </c>
      <c r="E135" s="598">
        <f>'11'!F135</f>
        <v>32582.560000000001</v>
      </c>
      <c r="F135" s="732">
        <v>32582.560000000001</v>
      </c>
      <c r="G135" s="549">
        <f t="shared" si="15"/>
        <v>0</v>
      </c>
      <c r="H135" s="536">
        <f>G135+'11'!H135</f>
        <v>11.56000000000131</v>
      </c>
      <c r="I135" s="556"/>
      <c r="J135" s="629">
        <f>H135/DAY(B2)</f>
        <v>0.96333333333344251</v>
      </c>
      <c r="N135" s="800"/>
      <c r="O135" s="809"/>
      <c r="P135" s="795"/>
    </row>
    <row r="136" spans="1:16" ht="27.75">
      <c r="A136" s="1229" t="s">
        <v>245</v>
      </c>
      <c r="B136" s="1230"/>
      <c r="C136" s="1230"/>
      <c r="D136" s="599" t="s">
        <v>239</v>
      </c>
      <c r="E136" s="618">
        <f>'11'!F136</f>
        <v>22318</v>
      </c>
      <c r="F136" s="732">
        <v>22326</v>
      </c>
      <c r="G136" s="549">
        <f t="shared" si="15"/>
        <v>8</v>
      </c>
      <c r="H136" s="536">
        <f>G136+'11'!H136</f>
        <v>103.79000000000087</v>
      </c>
      <c r="I136" s="556">
        <f>G134+G135+G136</f>
        <v>32.059999999997672</v>
      </c>
      <c r="J136" s="629">
        <f>H136/DAY(B2)</f>
        <v>8.6491666666667388</v>
      </c>
      <c r="N136" s="800"/>
      <c r="O136" s="809"/>
      <c r="P136" s="795"/>
    </row>
    <row r="137" spans="1:16" ht="27.75">
      <c r="A137" s="1229" t="s">
        <v>246</v>
      </c>
      <c r="B137" s="1230"/>
      <c r="C137" s="1230"/>
      <c r="D137" s="599" t="s">
        <v>239</v>
      </c>
      <c r="E137" s="618">
        <f>'11'!F137</f>
        <v>25044.31</v>
      </c>
      <c r="F137" s="732">
        <v>25044.31</v>
      </c>
      <c r="G137" s="549">
        <f t="shared" si="15"/>
        <v>0</v>
      </c>
      <c r="H137" s="536">
        <f>G137+'11'!H137</f>
        <v>0</v>
      </c>
      <c r="I137" s="556"/>
      <c r="J137" s="629">
        <f>H137/DAY(B2)</f>
        <v>0</v>
      </c>
      <c r="N137" s="800"/>
      <c r="O137" s="809"/>
      <c r="P137" s="795"/>
    </row>
    <row r="138" spans="1:16" ht="27.75">
      <c r="A138" s="1229" t="s">
        <v>247</v>
      </c>
      <c r="B138" s="1230"/>
      <c r="C138" s="1230"/>
      <c r="D138" s="599" t="s">
        <v>239</v>
      </c>
      <c r="E138" s="618">
        <f>'11'!F138</f>
        <v>70196</v>
      </c>
      <c r="F138" s="732">
        <v>70199.86</v>
      </c>
      <c r="G138" s="549">
        <f t="shared" si="15"/>
        <v>3.8600000000005821</v>
      </c>
      <c r="H138" s="536">
        <f>G138+'11'!H138</f>
        <v>52.520000000004075</v>
      </c>
      <c r="I138" s="556">
        <f>G137+G138</f>
        <v>3.8600000000005821</v>
      </c>
      <c r="J138" s="629">
        <f>H138/DAY(B2)</f>
        <v>4.3766666666670062</v>
      </c>
      <c r="N138" s="800"/>
      <c r="O138" s="809"/>
      <c r="P138" s="795"/>
    </row>
    <row r="139" spans="1:16" ht="27.75">
      <c r="A139" s="1229" t="s">
        <v>248</v>
      </c>
      <c r="B139" s="1230"/>
      <c r="C139" s="1230"/>
      <c r="D139" s="599" t="s">
        <v>239</v>
      </c>
      <c r="E139" s="782">
        <f>'11'!F139</f>
        <v>1504</v>
      </c>
      <c r="F139" s="703">
        <v>1511</v>
      </c>
      <c r="G139" s="549">
        <f t="shared" si="15"/>
        <v>7</v>
      </c>
      <c r="H139" s="536">
        <f>G139+'11'!H139</f>
        <v>87.8599999999999</v>
      </c>
      <c r="I139" s="619"/>
      <c r="J139" s="629">
        <f>H139/DAY(B2)</f>
        <v>7.3216666666666583</v>
      </c>
      <c r="N139" s="800"/>
      <c r="O139" s="809"/>
      <c r="P139" s="795"/>
    </row>
    <row r="140" spans="1:16" ht="27.75">
      <c r="A140" s="1229" t="s">
        <v>249</v>
      </c>
      <c r="B140" s="1230"/>
      <c r="C140" s="1230"/>
      <c r="D140" s="599" t="s">
        <v>239</v>
      </c>
      <c r="E140" s="560">
        <f>'11'!F140</f>
        <v>4334</v>
      </c>
      <c r="F140" s="554">
        <v>4334</v>
      </c>
      <c r="G140" s="549">
        <f t="shared" si="15"/>
        <v>0</v>
      </c>
      <c r="H140" s="536">
        <f>G140+'11'!H140</f>
        <v>0</v>
      </c>
      <c r="I140" s="619"/>
      <c r="J140" s="629">
        <f>H140/DAY(B2)</f>
        <v>0</v>
      </c>
      <c r="N140" s="800"/>
      <c r="O140" s="809"/>
      <c r="P140" s="795"/>
    </row>
    <row r="141" spans="1:16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9"/>
      <c r="P141" s="795"/>
    </row>
    <row r="142" spans="1:16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6175</v>
      </c>
      <c r="H142" s="536">
        <f>G142+'11'!H142</f>
        <v>70703.120000000068</v>
      </c>
      <c r="I142" s="556"/>
      <c r="J142" s="629">
        <f>H142/DAY(B2)</f>
        <v>5891.9266666666726</v>
      </c>
      <c r="K142" s="411"/>
      <c r="L142" s="408"/>
      <c r="N142" s="800"/>
      <c r="O142" s="809"/>
      <c r="P142" s="795"/>
    </row>
    <row r="143" spans="1:16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0.29152110282315175</v>
      </c>
      <c r="H143" s="536">
        <f>G143+'11'!H143</f>
        <v>3.1143747613795218</v>
      </c>
      <c r="I143" s="621"/>
      <c r="J143" s="629">
        <f>H143/DAY(B2)</f>
        <v>0.25953123011496015</v>
      </c>
      <c r="K143" s="411"/>
      <c r="L143" s="408"/>
      <c r="N143" s="800"/>
      <c r="O143" s="809"/>
      <c r="P143" s="795"/>
    </row>
    <row r="144" spans="1:16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5122</v>
      </c>
      <c r="H144" s="536">
        <f>G144+'11'!H144</f>
        <v>62982.059999999969</v>
      </c>
      <c r="I144" s="556"/>
      <c r="J144" s="629">
        <f>H144/DAY(B2)</f>
        <v>5248.5049999999974</v>
      </c>
      <c r="K144" s="411"/>
      <c r="L144" s="408"/>
      <c r="N144" s="800"/>
      <c r="O144" s="809"/>
      <c r="P144" s="795"/>
    </row>
    <row r="145" spans="1:16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0.24180908318383534</v>
      </c>
      <c r="H145" s="536">
        <f>G145+'11'!H145</f>
        <v>2.9329322397651167</v>
      </c>
      <c r="I145" s="621"/>
      <c r="J145" s="629">
        <f>H145/DAY(B2)</f>
        <v>0.24441101998042639</v>
      </c>
      <c r="K145" s="411"/>
      <c r="L145" s="408"/>
      <c r="N145" s="800"/>
      <c r="O145" s="809"/>
      <c r="P145" s="795"/>
    </row>
    <row r="146" spans="1:16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4165</v>
      </c>
      <c r="H146" s="536">
        <f>G146+'11'!H146</f>
        <v>150937.38</v>
      </c>
      <c r="I146" s="622"/>
      <c r="J146" s="629">
        <f>H146/DAY(B2)</f>
        <v>12578.115</v>
      </c>
      <c r="K146" s="411"/>
      <c r="L146" s="408"/>
      <c r="N146" s="800"/>
      <c r="O146" s="809"/>
      <c r="P146" s="795"/>
    </row>
    <row r="147" spans="1:16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0.19662921348314608</v>
      </c>
      <c r="H147" s="536">
        <f>G147+'11'!H147</f>
        <v>7.2827697181545119</v>
      </c>
      <c r="I147" s="622"/>
      <c r="J147" s="629">
        <f>H147/DAY(B2)</f>
        <v>0.60689747651287596</v>
      </c>
      <c r="N147" s="800"/>
      <c r="O147" s="809"/>
      <c r="P147" s="795"/>
    </row>
    <row r="148" spans="1:16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1820</v>
      </c>
      <c r="H148" s="536">
        <f>G148+'11'!H148</f>
        <v>24920.799999999981</v>
      </c>
      <c r="I148" s="556"/>
      <c r="J148" s="629">
        <f>H148/DAY(B2)</f>
        <v>2076.7333333333318</v>
      </c>
      <c r="K148" s="412"/>
      <c r="N148" s="800"/>
      <c r="O148" s="809"/>
      <c r="P148" s="795"/>
    </row>
    <row r="149" spans="1:16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8.5922009253139461E-2</v>
      </c>
      <c r="H149" s="536">
        <f>G149+'11'!H149</f>
        <v>1.1626826822052141</v>
      </c>
      <c r="I149" s="622"/>
      <c r="J149" s="629">
        <f>H149/DAY(B2)</f>
        <v>9.6890223517101179E-2</v>
      </c>
      <c r="N149" s="800"/>
      <c r="O149" s="809"/>
      <c r="P149" s="795"/>
    </row>
    <row r="150" spans="1:16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1808</v>
      </c>
      <c r="H150" s="536">
        <f>G150+'11'!H150</f>
        <v>22450.399999999965</v>
      </c>
      <c r="I150" s="622"/>
      <c r="J150" s="629">
        <f>H150/DAY(B2)</f>
        <v>1870.8666666666638</v>
      </c>
      <c r="N150" s="800"/>
      <c r="O150" s="809"/>
      <c r="P150" s="795"/>
    </row>
    <row r="151" spans="1:16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8.5355490510811066E-2</v>
      </c>
      <c r="H151" s="536">
        <f>G151+'11'!H151</f>
        <v>1.0442790816030287</v>
      </c>
      <c r="I151" s="556"/>
      <c r="J151" s="629">
        <f>H151/DAY(B2)</f>
        <v>8.7023256800252399E-2</v>
      </c>
      <c r="N151" s="800"/>
      <c r="O151" s="809"/>
      <c r="P151" s="795"/>
    </row>
    <row r="152" spans="1:16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1569</v>
      </c>
      <c r="H152" s="536">
        <f>G152+'11'!H152</f>
        <v>53185.16</v>
      </c>
      <c r="I152" s="556"/>
      <c r="J152" s="629">
        <f>H152/DAY(B2)</f>
        <v>4432.0966666666673</v>
      </c>
      <c r="N152" s="800"/>
      <c r="O152" s="809"/>
      <c r="P152" s="795"/>
    </row>
    <row r="153" spans="1:16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7.4072325559437255E-2</v>
      </c>
      <c r="H153" s="536">
        <f>G153+'11'!H153</f>
        <v>2.5663645879982564</v>
      </c>
      <c r="I153" s="645"/>
      <c r="J153" s="646">
        <f>H153/DAY(B2)</f>
        <v>0.21386371566652138</v>
      </c>
      <c r="N153" s="800"/>
      <c r="O153" s="809"/>
      <c r="P153" s="795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7" t="s">
        <v>263</v>
      </c>
      <c r="B160" s="868"/>
      <c r="C160" s="868"/>
      <c r="D160" s="587" t="s">
        <v>187</v>
      </c>
      <c r="E160" s="618">
        <f>'11'!F160</f>
        <v>31736</v>
      </c>
      <c r="F160" s="739">
        <v>31821</v>
      </c>
      <c r="G160" s="549">
        <f t="shared" ref="G160:G163" si="16">F160-E160</f>
        <v>85</v>
      </c>
      <c r="N160" s="800"/>
    </row>
    <row r="161" spans="1:14">
      <c r="A161" s="867" t="s">
        <v>264</v>
      </c>
      <c r="B161" s="868"/>
      <c r="C161" s="868"/>
      <c r="D161" s="587" t="s">
        <v>187</v>
      </c>
      <c r="E161" s="618">
        <f>'11'!F161</f>
        <v>60111</v>
      </c>
      <c r="F161" s="739">
        <v>60577</v>
      </c>
      <c r="G161" s="549">
        <f t="shared" si="16"/>
        <v>466</v>
      </c>
      <c r="N161" s="800"/>
    </row>
    <row r="162" spans="1:14">
      <c r="A162" s="867" t="s">
        <v>265</v>
      </c>
      <c r="B162" s="868"/>
      <c r="C162" s="868"/>
      <c r="D162" s="587" t="s">
        <v>187</v>
      </c>
      <c r="E162" s="618">
        <f>'11'!F162</f>
        <v>23660</v>
      </c>
      <c r="F162" s="739">
        <v>23940</v>
      </c>
      <c r="G162" s="549">
        <f t="shared" si="16"/>
        <v>280</v>
      </c>
      <c r="N162" s="800"/>
    </row>
    <row r="163" spans="1:14">
      <c r="A163" s="867" t="s">
        <v>266</v>
      </c>
      <c r="B163" s="868"/>
      <c r="C163" s="868"/>
      <c r="D163" s="587" t="s">
        <v>187</v>
      </c>
      <c r="E163" s="618">
        <f>'11'!F163</f>
        <v>5555.55</v>
      </c>
      <c r="F163" s="739">
        <v>5566</v>
      </c>
      <c r="G163" s="549">
        <f t="shared" si="16"/>
        <v>10.449999999999818</v>
      </c>
      <c r="N163" s="800"/>
    </row>
    <row r="164" spans="1:14">
      <c r="A164" s="869" t="s">
        <v>98</v>
      </c>
      <c r="B164" s="681"/>
      <c r="C164" s="681"/>
      <c r="D164" s="587" t="s">
        <v>187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00"/>
    </row>
    <row r="165" spans="1:14">
      <c r="A165" s="869" t="s">
        <v>188</v>
      </c>
      <c r="B165" s="681"/>
      <c r="C165" s="681"/>
      <c r="D165" s="587" t="s">
        <v>187</v>
      </c>
      <c r="E165" s="590">
        <f t="shared" ref="E165:E171" si="18">E63</f>
        <v>1853</v>
      </c>
      <c r="F165" s="590">
        <f t="shared" ref="F165:F171" si="19">F63</f>
        <v>1865</v>
      </c>
      <c r="G165" s="549">
        <f t="shared" si="17"/>
        <v>12</v>
      </c>
      <c r="N165" s="800"/>
    </row>
    <row r="166" spans="1:14" ht="33" customHeight="1">
      <c r="A166" s="1482" t="s">
        <v>99</v>
      </c>
      <c r="B166" s="1482"/>
      <c r="C166" s="1482"/>
      <c r="D166" s="599" t="s">
        <v>187</v>
      </c>
      <c r="E166" s="590">
        <f t="shared" si="18"/>
        <v>129348</v>
      </c>
      <c r="F166" s="590">
        <f t="shared" si="19"/>
        <v>129862</v>
      </c>
      <c r="G166" s="549">
        <f t="shared" si="17"/>
        <v>514</v>
      </c>
      <c r="N166" s="800"/>
    </row>
    <row r="167" spans="1:14" ht="33" customHeight="1">
      <c r="A167" s="1482" t="s">
        <v>100</v>
      </c>
      <c r="B167" s="1482"/>
      <c r="C167" s="1482"/>
      <c r="D167" s="599" t="s">
        <v>187</v>
      </c>
      <c r="E167" s="590">
        <f t="shared" si="18"/>
        <v>136712</v>
      </c>
      <c r="F167" s="590">
        <f t="shared" si="19"/>
        <v>137064</v>
      </c>
      <c r="G167" s="549">
        <f t="shared" si="17"/>
        <v>352</v>
      </c>
      <c r="N167" s="800"/>
    </row>
    <row r="168" spans="1:14" ht="41.25" customHeight="1">
      <c r="A168" s="1482" t="s">
        <v>101</v>
      </c>
      <c r="B168" s="1482"/>
      <c r="C168" s="1482"/>
      <c r="D168" s="599" t="s">
        <v>187</v>
      </c>
      <c r="E168" s="590">
        <f t="shared" si="18"/>
        <v>29424</v>
      </c>
      <c r="F168" s="590">
        <f t="shared" si="19"/>
        <v>29790</v>
      </c>
      <c r="G168" s="549">
        <f t="shared" si="17"/>
        <v>366</v>
      </c>
      <c r="N168" s="800"/>
    </row>
    <row r="169" spans="1:14" ht="26.25" customHeight="1">
      <c r="A169" s="1482" t="s">
        <v>102</v>
      </c>
      <c r="B169" s="1482"/>
      <c r="C169" s="1482"/>
      <c r="D169" s="599" t="s">
        <v>187</v>
      </c>
      <c r="E169" s="590">
        <f t="shared" si="18"/>
        <v>215299</v>
      </c>
      <c r="F169" s="590">
        <f t="shared" si="19"/>
        <v>215974</v>
      </c>
      <c r="G169" s="549">
        <f t="shared" si="17"/>
        <v>675</v>
      </c>
      <c r="N169" s="800"/>
    </row>
    <row r="170" spans="1:14" ht="24" customHeight="1">
      <c r="A170" s="1482" t="s">
        <v>103</v>
      </c>
      <c r="B170" s="1482"/>
      <c r="C170" s="1482"/>
      <c r="D170" s="599" t="s">
        <v>187</v>
      </c>
      <c r="E170" s="590">
        <f t="shared" si="18"/>
        <v>76381</v>
      </c>
      <c r="F170" s="590">
        <f t="shared" si="19"/>
        <v>76714</v>
      </c>
      <c r="G170" s="549">
        <f t="shared" si="17"/>
        <v>333</v>
      </c>
      <c r="N170" s="800"/>
    </row>
    <row r="171" spans="1:14" ht="27.75">
      <c r="A171" s="1482" t="s">
        <v>104</v>
      </c>
      <c r="B171" s="1482"/>
      <c r="C171" s="1482"/>
      <c r="D171" s="599" t="s">
        <v>187</v>
      </c>
      <c r="E171" s="590">
        <f t="shared" si="18"/>
        <v>68042</v>
      </c>
      <c r="F171" s="590">
        <f t="shared" si="19"/>
        <v>68370</v>
      </c>
      <c r="G171" s="549">
        <f t="shared" si="17"/>
        <v>328</v>
      </c>
      <c r="N171" s="800"/>
    </row>
    <row r="172" spans="1:14">
      <c r="G172" s="616">
        <f>SUM(G160:G171)</f>
        <v>3421.45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652" t="s">
        <v>276</v>
      </c>
      <c r="B2" s="1117">
        <v>44240</v>
      </c>
      <c r="C2" s="1231" t="s">
        <v>69</v>
      </c>
      <c r="D2" s="688">
        <v>0.71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231" t="s">
        <v>120</v>
      </c>
      <c r="D3" s="689">
        <v>26</v>
      </c>
      <c r="E3" s="1454" t="s">
        <v>121</v>
      </c>
      <c r="F3" s="1455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31" t="s">
        <v>122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'12'!F7</f>
        <v>4702348</v>
      </c>
      <c r="F7" s="531">
        <v>4131415</v>
      </c>
      <c r="G7" s="759">
        <f>F7-E7</f>
        <v>-570933</v>
      </c>
      <c r="H7" s="760">
        <f>G7+'12'!H7</f>
        <v>-313662</v>
      </c>
      <c r="I7" s="761">
        <f>'1'!I7</f>
        <v>12000</v>
      </c>
      <c r="J7" s="762">
        <f>H7/DAY(B2)</f>
        <v>-24127.846153846152</v>
      </c>
      <c r="K7" s="626"/>
      <c r="L7" s="408"/>
      <c r="N7" s="811">
        <f>G7/G8</f>
        <v>0.99431207647522901</v>
      </c>
      <c r="O7" s="807">
        <f>F7+200</f>
        <v>4131615</v>
      </c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'12'!F8</f>
        <v>4732018</v>
      </c>
      <c r="F8" s="551">
        <v>4157819</v>
      </c>
      <c r="G8" s="770">
        <f>F8-E8</f>
        <v>-574199</v>
      </c>
      <c r="H8" s="760">
        <f>G8+'12'!H8</f>
        <v>-315337</v>
      </c>
      <c r="I8" s="767">
        <f>'1'!I8</f>
        <v>12000</v>
      </c>
      <c r="J8" s="762">
        <f>H8/DAY(B2)</f>
        <v>-24256.692307692309</v>
      </c>
      <c r="K8" s="626"/>
      <c r="L8" s="464"/>
      <c r="M8" s="479"/>
      <c r="N8" s="800"/>
      <c r="O8" s="807">
        <f>F8+200</f>
        <v>4158019</v>
      </c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'12'!F9</f>
        <v>124354</v>
      </c>
      <c r="F9" s="554">
        <v>71968</v>
      </c>
      <c r="G9" s="783">
        <f t="shared" ref="G9:G12" si="0">F9-E9</f>
        <v>-52386</v>
      </c>
      <c r="H9" s="760">
        <f>G9+'12'!H9</f>
        <v>-14941.009999999995</v>
      </c>
      <c r="I9" s="771">
        <f>I7-J7</f>
        <v>36127.846153846156</v>
      </c>
      <c r="J9" s="762">
        <f>H9/DAY(B2)</f>
        <v>-1149.3084615384612</v>
      </c>
      <c r="K9" s="467"/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'12'!F10</f>
        <v>236581</v>
      </c>
      <c r="F10" s="554">
        <v>1325624.3999999999</v>
      </c>
      <c r="G10" s="770">
        <f t="shared" si="0"/>
        <v>1089043.3999999999</v>
      </c>
      <c r="H10" s="760">
        <f>G10+'12'!H10</f>
        <v>1299928.8399999999</v>
      </c>
      <c r="I10" s="772"/>
      <c r="J10" s="762">
        <f>H10/DAY(B2)</f>
        <v>99994.526153846149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'12'!F11</f>
        <v>37000</v>
      </c>
      <c r="F11" s="531">
        <v>37000</v>
      </c>
      <c r="G11" s="770">
        <f t="shared" si="0"/>
        <v>0</v>
      </c>
      <c r="H11" s="760">
        <f>G11+'12'!H11</f>
        <v>-2000</v>
      </c>
      <c r="I11" s="772"/>
      <c r="J11" s="762">
        <f>H11/DAY(B2)</f>
        <v>-153.84615384615384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'12'!F12</f>
        <v>40010</v>
      </c>
      <c r="F12" s="554">
        <v>40010</v>
      </c>
      <c r="G12" s="770">
        <f t="shared" si="0"/>
        <v>0</v>
      </c>
      <c r="H12" s="760">
        <f>G12+'12'!H12</f>
        <v>-2000</v>
      </c>
      <c r="I12" s="772"/>
      <c r="J12" s="762">
        <f>H12/DAY(B2)</f>
        <v>-153.84615384615384</v>
      </c>
      <c r="K12" s="467"/>
      <c r="L12" s="408"/>
      <c r="N12" s="800"/>
      <c r="O12" s="807"/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1036657.3999999999</v>
      </c>
      <c r="H13" s="760">
        <f>G13+'12'!H13</f>
        <v>1259993.8299999998</v>
      </c>
      <c r="I13" s="776">
        <f>G7-G13</f>
        <v>-1607590.4</v>
      </c>
      <c r="J13" s="762">
        <f>H13/DAY(B2)</f>
        <v>96922.602307692301</v>
      </c>
      <c r="K13" s="467"/>
      <c r="L13" s="408"/>
      <c r="N13" s="800"/>
      <c r="O13" s="807"/>
      <c r="P13" s="413"/>
    </row>
    <row r="14" spans="1:16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5" t="s">
        <v>140</v>
      </c>
      <c r="B15" s="876"/>
      <c r="C15" s="876"/>
      <c r="D15" s="600" t="s">
        <v>141</v>
      </c>
      <c r="E15" s="561">
        <f>'12'!F15</f>
        <v>1630378.77</v>
      </c>
      <c r="F15" s="561">
        <v>1605399.588</v>
      </c>
      <c r="G15" s="745">
        <f>(F15-E15)</f>
        <v>-24979.18200000003</v>
      </c>
      <c r="H15" s="562">
        <f>G15+'12'!H15</f>
        <v>-14479.022000000114</v>
      </c>
      <c r="I15" s="550">
        <v>800</v>
      </c>
      <c r="J15" s="630">
        <f>H15/DAY(B2)</f>
        <v>-1113.7709230769319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1913.7709230769319</v>
      </c>
      <c r="J16" s="630"/>
      <c r="K16" s="467"/>
      <c r="L16" s="408"/>
      <c r="N16" s="800"/>
      <c r="O16" s="807"/>
      <c r="P16" s="413"/>
    </row>
    <row r="17" spans="1:16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86" t="s">
        <v>143</v>
      </c>
      <c r="B18" s="1487"/>
      <c r="C18" s="1488"/>
      <c r="D18" s="715" t="s">
        <v>144</v>
      </c>
      <c r="E18" s="712">
        <f>'12'!F18</f>
        <v>10</v>
      </c>
      <c r="F18" s="554">
        <v>22</v>
      </c>
      <c r="G18" s="775">
        <f>F18*10</f>
        <v>220</v>
      </c>
      <c r="H18" s="760">
        <f>G18+'12'!H18</f>
        <v>1880</v>
      </c>
      <c r="I18" s="761">
        <f>'1'!I18</f>
        <v>65</v>
      </c>
      <c r="J18" s="762">
        <f>H18/DAY(B2)</f>
        <v>144.61538461538461</v>
      </c>
      <c r="K18" s="467"/>
      <c r="L18" s="408"/>
      <c r="N18" s="800"/>
      <c r="O18" s="807"/>
      <c r="P18" s="413"/>
    </row>
    <row r="19" spans="1:16" ht="27.75">
      <c r="A19" s="1486" t="s">
        <v>71</v>
      </c>
      <c r="B19" s="1487"/>
      <c r="C19" s="1488"/>
      <c r="D19" s="715" t="s">
        <v>144</v>
      </c>
      <c r="E19" s="712">
        <f>'12'!F19</f>
        <v>135087</v>
      </c>
      <c r="F19" s="554">
        <v>133702</v>
      </c>
      <c r="G19" s="770">
        <f t="shared" ref="G19" si="1">F19-E19</f>
        <v>-1385</v>
      </c>
      <c r="H19" s="760">
        <f>G19+'12'!H19</f>
        <v>-766</v>
      </c>
      <c r="I19" s="777"/>
      <c r="J19" s="762">
        <f>H19/DAY(B2)</f>
        <v>-58.92307692307692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-1165</v>
      </c>
      <c r="H20" s="760">
        <f>G20+'12'!H20</f>
        <v>1114</v>
      </c>
      <c r="I20" s="779">
        <f>I18-J20</f>
        <v>-20.692307692307693</v>
      </c>
      <c r="J20" s="762">
        <f>H20/DAY(B2)</f>
        <v>85.692307692307693</v>
      </c>
      <c r="K20" s="467"/>
      <c r="L20" s="408"/>
      <c r="N20" s="800"/>
      <c r="O20" s="807"/>
      <c r="P20" s="413"/>
    </row>
    <row r="21" spans="1:16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29" t="s">
        <v>147</v>
      </c>
      <c r="B22" s="666"/>
      <c r="C22" s="666"/>
      <c r="D22" s="599" t="s">
        <v>148</v>
      </c>
      <c r="E22" s="712">
        <f>'7'!F22</f>
        <v>2970</v>
      </c>
      <c r="F22" s="554">
        <v>2250</v>
      </c>
      <c r="G22" s="557">
        <f t="shared" ref="G22" si="2">(F22-E22)</f>
        <v>-720</v>
      </c>
      <c r="H22" s="536"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29" t="s">
        <v>149</v>
      </c>
      <c r="B23" s="666"/>
      <c r="C23" s="666"/>
      <c r="D23" s="599" t="s">
        <v>148</v>
      </c>
      <c r="E23" s="712">
        <f>'7'!F23</f>
        <v>2900</v>
      </c>
      <c r="F23" s="554">
        <v>2000</v>
      </c>
      <c r="G23" s="557">
        <v>0</v>
      </c>
      <c r="H23" s="536">
        <f>G23+'12'!H23</f>
        <v>0</v>
      </c>
      <c r="I23" s="556"/>
      <c r="J23" s="629">
        <f>H23/DAY(B2)</f>
        <v>0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'7'!F24</f>
        <v>4250</v>
      </c>
      <c r="F24" s="561">
        <v>4250</v>
      </c>
      <c r="G24" s="557">
        <v>0</v>
      </c>
      <c r="H24" s="536">
        <f>G24+'12'!H24</f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-574199</v>
      </c>
      <c r="F27" s="577">
        <v>9</v>
      </c>
      <c r="G27" s="578">
        <f>E27*F27</f>
        <v>-5167791</v>
      </c>
      <c r="H27" s="536">
        <f>G27+'12'!H27</f>
        <v>-2838033</v>
      </c>
      <c r="I27" s="579"/>
      <c r="J27" s="629">
        <f>H27/DAY(B2)</f>
        <v>-218310.23076923078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-24979.18200000003</v>
      </c>
      <c r="F28" s="577">
        <v>43.5</v>
      </c>
      <c r="G28" s="578">
        <f>E28*F28</f>
        <v>-1086594.4170000013</v>
      </c>
      <c r="H28" s="536">
        <f>G28+'12'!H28</f>
        <v>-610531.91880000546</v>
      </c>
      <c r="I28" s="581"/>
      <c r="J28" s="629">
        <f>H28/DAY(B2)</f>
        <v>-46963.993753846575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0</v>
      </c>
      <c r="I29" s="581"/>
      <c r="J29" s="629">
        <f>H29/DAY(B2)</f>
        <v>0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-1385</v>
      </c>
      <c r="F30" s="577">
        <v>134</v>
      </c>
      <c r="G30" s="578">
        <f>E30*F30</f>
        <v>-185590</v>
      </c>
      <c r="H30" s="536">
        <f>G30+'12'!H30</f>
        <v>-84956</v>
      </c>
      <c r="I30" s="581"/>
      <c r="J30" s="629">
        <f>H30/DAY(B2)</f>
        <v>-6535.0769230769229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220</v>
      </c>
      <c r="F31" s="577">
        <v>80</v>
      </c>
      <c r="G31" s="578">
        <f>E31*F31</f>
        <v>17600</v>
      </c>
      <c r="H31" s="536">
        <f>G31+'12'!H31</f>
        <v>139840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-6422375.4170000013</v>
      </c>
      <c r="H32" s="536">
        <f>G32+'12'!H32</f>
        <v>-3393680.9188000057</v>
      </c>
      <c r="I32" s="585"/>
      <c r="J32" s="629">
        <f>H32/DAY(B2)</f>
        <v>-261052.37836923121</v>
      </c>
      <c r="K32" s="404"/>
      <c r="L32" s="484"/>
      <c r="N32" s="800"/>
      <c r="O32" s="807"/>
      <c r="P32" s="413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800"/>
      <c r="O33" s="807"/>
      <c r="P33" s="413"/>
    </row>
    <row r="34" spans="1:16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'12'!F35</f>
        <v>734498</v>
      </c>
      <c r="F35" s="586">
        <v>648397.67000000004</v>
      </c>
      <c r="G35" s="549">
        <f t="shared" ref="G35:G46" si="3">F35-E35</f>
        <v>-86100.329999999958</v>
      </c>
      <c r="H35" s="536">
        <f>G35+'12'!H35</f>
        <v>-44689.919999999925</v>
      </c>
      <c r="I35" s="531"/>
      <c r="J35" s="629">
        <f>H35/DAY(B2)</f>
        <v>-3437.686153846148</v>
      </c>
      <c r="K35" s="467"/>
      <c r="L35" s="408"/>
      <c r="N35" s="800"/>
      <c r="O35" s="808"/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'12'!F36</f>
        <v>304207</v>
      </c>
      <c r="F36" s="586">
        <v>284799.33</v>
      </c>
      <c r="G36" s="549">
        <f t="shared" si="3"/>
        <v>-19407.669999999984</v>
      </c>
      <c r="H36" s="536">
        <f>G36+'12'!H36</f>
        <v>-11646.239999999991</v>
      </c>
      <c r="I36" s="531"/>
      <c r="J36" s="629">
        <f>H36/DAY(B2)</f>
        <v>-895.86461538461469</v>
      </c>
      <c r="K36" s="467"/>
      <c r="L36" s="408"/>
      <c r="N36" s="801"/>
      <c r="O36" s="808"/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'12'!F37</f>
        <v>35167</v>
      </c>
      <c r="F37" s="586">
        <v>9603.93</v>
      </c>
      <c r="G37" s="549">
        <f t="shared" si="3"/>
        <v>-25563.07</v>
      </c>
      <c r="H37" s="536">
        <f>G37+'12'!H37</f>
        <v>12709.010000000002</v>
      </c>
      <c r="I37" s="531"/>
      <c r="J37" s="629">
        <f>H37/DAY(B2)</f>
        <v>977.61615384615402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'12'!F38</f>
        <v>48333</v>
      </c>
      <c r="F38" s="545">
        <v>12063.86</v>
      </c>
      <c r="G38" s="549">
        <f t="shared" si="3"/>
        <v>-36269.14</v>
      </c>
      <c r="H38" s="536">
        <f>G38+'12'!H38</f>
        <v>-31749.629999999997</v>
      </c>
      <c r="I38" s="531"/>
      <c r="J38" s="629">
        <f>H38/DAY(B2)</f>
        <v>-2442.2792307692307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'12'!F39</f>
        <v>100066</v>
      </c>
      <c r="F39" s="586">
        <v>26707.7</v>
      </c>
      <c r="G39" s="549">
        <f t="shared" si="3"/>
        <v>-73358.3</v>
      </c>
      <c r="H39" s="536">
        <f>G39+'12'!H39</f>
        <v>36100.589999999997</v>
      </c>
      <c r="I39" s="531"/>
      <c r="J39" s="629">
        <f>H39/DAY(B2)</f>
        <v>2776.9684615384613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'12'!F40</f>
        <v>0.23</v>
      </c>
      <c r="F40" s="586">
        <v>0.17</v>
      </c>
      <c r="G40" s="549">
        <f t="shared" si="3"/>
        <v>-0.06</v>
      </c>
      <c r="H40" s="536">
        <f>G40+'12'!H40</f>
        <v>-0.06</v>
      </c>
      <c r="I40" s="531"/>
      <c r="J40" s="629">
        <f>H40/DAY(B2)</f>
        <v>-4.6153846153846149E-3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/>
      <c r="D41" s="599" t="s">
        <v>132</v>
      </c>
      <c r="E41" s="586">
        <f>'12'!F41</f>
        <v>64767</v>
      </c>
      <c r="F41" s="586">
        <v>59259.87</v>
      </c>
      <c r="G41" s="549">
        <f t="shared" si="3"/>
        <v>-5507.1299999999974</v>
      </c>
      <c r="H41" s="536">
        <f>G41+'12'!H41</f>
        <v>-4622.5</v>
      </c>
      <c r="I41" s="531"/>
      <c r="J41" s="629">
        <f>H41/DAY(B2)</f>
        <v>-355.57692307692309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'12'!F42</f>
        <v>59128</v>
      </c>
      <c r="F42" s="586">
        <v>58926.099000000002</v>
      </c>
      <c r="G42" s="549">
        <f t="shared" si="3"/>
        <v>-201.90099999999802</v>
      </c>
      <c r="H42" s="536">
        <f>G42+'12'!H42</f>
        <v>-202.75099999999657</v>
      </c>
      <c r="I42" s="531"/>
      <c r="J42" s="629">
        <f>H42/DAY(B2)</f>
        <v>-15.596230769230505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'12'!F43</f>
        <v>855191</v>
      </c>
      <c r="F43" s="586">
        <v>790789.19</v>
      </c>
      <c r="G43" s="549">
        <f t="shared" si="3"/>
        <v>-64401.810000000056</v>
      </c>
      <c r="H43" s="536">
        <f>G43+'12'!H43</f>
        <v>-35108.640000000014</v>
      </c>
      <c r="I43" s="531"/>
      <c r="J43" s="629">
        <f>H43/DAY(B2)</f>
        <v>-2700.6646153846164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0</v>
      </c>
      <c r="I45" s="531"/>
      <c r="J45" s="629">
        <f>H45/DAY(B2)</f>
        <v>0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0.49000000000000909</v>
      </c>
      <c r="I46" s="531"/>
      <c r="J46" s="629">
        <f>H46/DAY(B2)</f>
        <v>3.7692307692308392E-2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 t="s">
        <v>269</v>
      </c>
      <c r="G47" s="557">
        <f>G35+G36+G37+G38+G39+G40+G41+G42+G43+G44+G45+G46</f>
        <v>-310809.41100000002</v>
      </c>
      <c r="H47" s="536">
        <f>G47+'12'!H47</f>
        <v>-79209.650999999954</v>
      </c>
      <c r="I47" s="531"/>
      <c r="J47" s="629">
        <f>H47/DAY(B2)</f>
        <v>-6093.050076923073</v>
      </c>
      <c r="K47" s="467"/>
      <c r="L47" s="408"/>
      <c r="N47" s="800"/>
      <c r="O47" s="807"/>
      <c r="P47" s="413"/>
    </row>
    <row r="48" spans="1:16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'12'!F49</f>
        <v>260732</v>
      </c>
      <c r="F49" s="586">
        <v>260732.13</v>
      </c>
      <c r="G49" s="549">
        <f t="shared" ref="G49:G58" si="4">F49-E49</f>
        <v>0.13000000000465661</v>
      </c>
      <c r="H49" s="536">
        <f>G49+'12'!H49</f>
        <v>0</v>
      </c>
      <c r="I49" s="531"/>
      <c r="J49" s="629">
        <f>H49/DAY(B2)</f>
        <v>0</v>
      </c>
      <c r="K49" s="467"/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'12'!F50</f>
        <v>417152</v>
      </c>
      <c r="F50" s="586">
        <v>383353.91</v>
      </c>
      <c r="G50" s="549">
        <f t="shared" si="4"/>
        <v>-33798.090000000026</v>
      </c>
      <c r="H50" s="536">
        <f>G50+'12'!H50</f>
        <v>-20303.120000000054</v>
      </c>
      <c r="I50" s="531"/>
      <c r="J50" s="629">
        <f>H50/DAY(B2)</f>
        <v>-1561.7784615384658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'12'!F51</f>
        <v>134964</v>
      </c>
      <c r="F51" s="586">
        <v>120050.92</v>
      </c>
      <c r="G51" s="549">
        <f t="shared" si="4"/>
        <v>-14913.080000000002</v>
      </c>
      <c r="H51" s="536">
        <f>G51+'12'!H51</f>
        <v>-1549</v>
      </c>
      <c r="I51" s="531"/>
      <c r="J51" s="629">
        <f>H51/DAY(B2)</f>
        <v>-119.15384615384616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'12'!F52</f>
        <v>528314</v>
      </c>
      <c r="F52" s="586">
        <v>507912.71</v>
      </c>
      <c r="G52" s="549">
        <f t="shared" si="4"/>
        <v>-20401.289999999979</v>
      </c>
      <c r="H52" s="536">
        <f>G52+'12'!H52</f>
        <v>-2046</v>
      </c>
      <c r="I52" s="531"/>
      <c r="J52" s="629">
        <f>H52/DAY(B2)</f>
        <v>-157.38461538461539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'12'!F53</f>
        <v>373333</v>
      </c>
      <c r="F53" s="586">
        <v>331854.51</v>
      </c>
      <c r="G53" s="549">
        <f t="shared" si="4"/>
        <v>-41478.489999999991</v>
      </c>
      <c r="H53" s="536">
        <f>G53+'12'!H53</f>
        <v>-4185</v>
      </c>
      <c r="I53" s="531"/>
      <c r="J53" s="629">
        <f>H53/DAY(B2)</f>
        <v>-321.92307692307691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'12'!F54</f>
        <v>8200</v>
      </c>
      <c r="F54" s="586">
        <v>7049.48</v>
      </c>
      <c r="G54" s="549">
        <f t="shared" si="4"/>
        <v>-1150.5200000000004</v>
      </c>
      <c r="H54" s="536">
        <f>G54+'12'!H54</f>
        <v>-1046.1500000000005</v>
      </c>
      <c r="I54" s="531"/>
      <c r="J54" s="629">
        <f>H54/DAY(B2)</f>
        <v>-80.47307692307696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'12'!F55</f>
        <v>176974</v>
      </c>
      <c r="F55" s="734">
        <v>76422.934999999998</v>
      </c>
      <c r="G55" s="733">
        <f t="shared" si="4"/>
        <v>-100551.065</v>
      </c>
      <c r="H55" s="787">
        <f>G55+'12'!H55</f>
        <v>-46161.755000000005</v>
      </c>
      <c r="I55" s="788"/>
      <c r="J55" s="789">
        <f>H55/DAY(B2)</f>
        <v>-3550.9042307692312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'12'!F56</f>
        <v>588761</v>
      </c>
      <c r="F56" s="734">
        <v>557739</v>
      </c>
      <c r="G56" s="549">
        <f t="shared" si="4"/>
        <v>-31022</v>
      </c>
      <c r="H56" s="536">
        <f>G56+'12'!H56</f>
        <v>-28312.030000000028</v>
      </c>
      <c r="I56" s="531"/>
      <c r="J56" s="629">
        <f>H56/DAY(B2)</f>
        <v>-2177.8484615384637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'12'!F57</f>
        <v>7711</v>
      </c>
      <c r="F57" s="586">
        <v>7711.33</v>
      </c>
      <c r="G57" s="549">
        <f t="shared" si="4"/>
        <v>0.32999999999992724</v>
      </c>
      <c r="H57" s="536">
        <f>G57+'12'!H57</f>
        <v>0</v>
      </c>
      <c r="I57" s="531"/>
      <c r="J57" s="629">
        <f>H57/DAY(B2)</f>
        <v>0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'12'!F58</f>
        <v>38176</v>
      </c>
      <c r="F58" s="734">
        <v>32719.97</v>
      </c>
      <c r="G58" s="549">
        <f t="shared" si="4"/>
        <v>-5456.0299999999988</v>
      </c>
      <c r="H58" s="536">
        <f>G58+'12'!H58</f>
        <v>-3344.7299999999959</v>
      </c>
      <c r="I58" s="531"/>
      <c r="J58" s="629">
        <f>H58/DAY(B2)</f>
        <v>-257.28692307692279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-248770.10500000001</v>
      </c>
      <c r="H59" s="536">
        <f>G59+'12'!H59</f>
        <v>-106947.78500000009</v>
      </c>
      <c r="I59" s="531">
        <f>G7-G60</f>
        <v>-11353.483999999939</v>
      </c>
      <c r="J59" s="629">
        <f>H59/DAY(B2)</f>
        <v>-8226.7526923076985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-559579.51600000006</v>
      </c>
      <c r="H60" s="536">
        <f>G60+'12'!H60</f>
        <v>-171988.4360000001</v>
      </c>
      <c r="I60" s="531">
        <f>G13-G60</f>
        <v>1596236.916</v>
      </c>
      <c r="J60" s="629">
        <f>H60/DAY(B2)</f>
        <v>-13229.879692307701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-7.0000000014260877E-3</v>
      </c>
      <c r="I62" s="591"/>
      <c r="J62" s="629">
        <f>H62/DAY(B2)</f>
        <v>-5.3846153857123747E-4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'12'!F63</f>
        <v>1865</v>
      </c>
      <c r="F63" s="590">
        <v>1507.25</v>
      </c>
      <c r="G63" s="549">
        <f t="shared" si="5"/>
        <v>-357.75</v>
      </c>
      <c r="H63" s="536">
        <f>G63+'12'!H63</f>
        <v>-200.1099999999999</v>
      </c>
      <c r="I63" s="591"/>
      <c r="J63" s="629">
        <f>H63/DAY(B2)</f>
        <v>-15.393076923076915</v>
      </c>
      <c r="K63" s="467"/>
      <c r="L63" s="408"/>
      <c r="N63" s="800"/>
      <c r="O63" s="807"/>
      <c r="P63" s="413"/>
    </row>
    <row r="64" spans="1:16" ht="27.75">
      <c r="A64" s="1430" t="s">
        <v>99</v>
      </c>
      <c r="B64" s="1431"/>
      <c r="C64" s="1432"/>
      <c r="D64" s="599" t="s">
        <v>187</v>
      </c>
      <c r="E64" s="590">
        <f>'12'!F64</f>
        <v>129862</v>
      </c>
      <c r="F64" s="554">
        <v>116718.44</v>
      </c>
      <c r="G64" s="549">
        <f t="shared" si="5"/>
        <v>-13143.559999999998</v>
      </c>
      <c r="H64" s="536">
        <f>G64+'12'!H64</f>
        <v>-6908.8600000000006</v>
      </c>
      <c r="I64" s="556"/>
      <c r="J64" s="629">
        <f>H64/DAY(B2)</f>
        <v>-531.45076923076931</v>
      </c>
      <c r="K64" s="467"/>
      <c r="L64" s="408"/>
      <c r="N64" s="800"/>
      <c r="O64" s="807"/>
      <c r="P64" s="413"/>
    </row>
    <row r="65" spans="1:16" ht="27.75">
      <c r="A65" s="1430" t="s">
        <v>100</v>
      </c>
      <c r="B65" s="1431"/>
      <c r="C65" s="1432"/>
      <c r="D65" s="599" t="s">
        <v>187</v>
      </c>
      <c r="E65" s="590">
        <f>'12'!F65</f>
        <v>137064</v>
      </c>
      <c r="F65" s="732">
        <v>126633.84</v>
      </c>
      <c r="G65" s="549">
        <f t="shared" si="5"/>
        <v>-10430.160000000003</v>
      </c>
      <c r="H65" s="536">
        <f>G65+'12'!H65</f>
        <v>-5963.4599999999919</v>
      </c>
      <c r="I65" s="565"/>
      <c r="J65" s="629">
        <f>H65/DAY(B2)</f>
        <v>-458.72769230769165</v>
      </c>
      <c r="K65" s="467"/>
      <c r="L65" s="408"/>
      <c r="N65" s="800"/>
      <c r="O65" s="808"/>
      <c r="P65" s="413"/>
    </row>
    <row r="66" spans="1:16" ht="27.75">
      <c r="A66" s="1430" t="s">
        <v>101</v>
      </c>
      <c r="B66" s="1431"/>
      <c r="C66" s="1432"/>
      <c r="D66" s="599" t="s">
        <v>187</v>
      </c>
      <c r="E66" s="590">
        <f>'12'!F66</f>
        <v>29790</v>
      </c>
      <c r="F66" s="554">
        <v>19244.102999999999</v>
      </c>
      <c r="G66" s="549">
        <f t="shared" si="5"/>
        <v>-10545.897000000001</v>
      </c>
      <c r="H66" s="536">
        <f>G66+'12'!H66</f>
        <v>-5915.6470000000008</v>
      </c>
      <c r="I66" s="556"/>
      <c r="J66" s="629">
        <f>H66/DAY(B2)</f>
        <v>-455.0497692307693</v>
      </c>
      <c r="K66" s="467"/>
      <c r="L66" s="408"/>
      <c r="N66" s="800"/>
      <c r="O66" s="807"/>
      <c r="P66" s="413"/>
    </row>
    <row r="67" spans="1:16" ht="27.75">
      <c r="A67" s="1430" t="s">
        <v>102</v>
      </c>
      <c r="B67" s="1431"/>
      <c r="C67" s="1432"/>
      <c r="D67" s="599" t="s">
        <v>187</v>
      </c>
      <c r="E67" s="590">
        <f>'12'!F67</f>
        <v>215974</v>
      </c>
      <c r="F67" s="554">
        <v>197786.33</v>
      </c>
      <c r="G67" s="549">
        <f t="shared" si="5"/>
        <v>-18187.670000000013</v>
      </c>
      <c r="H67" s="536">
        <f>G67+'12'!H67</f>
        <v>-10055.5</v>
      </c>
      <c r="I67" s="565"/>
      <c r="J67" s="629">
        <f>H67/DAY(B2)</f>
        <v>-773.5</v>
      </c>
      <c r="K67" s="468"/>
      <c r="L67" s="408"/>
      <c r="N67" s="800"/>
      <c r="O67" s="807"/>
      <c r="P67" s="413"/>
    </row>
    <row r="68" spans="1:16" ht="27.75">
      <c r="A68" s="1430" t="s">
        <v>103</v>
      </c>
      <c r="B68" s="1431"/>
      <c r="C68" s="1432"/>
      <c r="D68" s="599" t="s">
        <v>187</v>
      </c>
      <c r="E68" s="590">
        <f>'12'!F68</f>
        <v>76714</v>
      </c>
      <c r="F68" s="554">
        <v>67742.77</v>
      </c>
      <c r="G68" s="549">
        <f t="shared" si="5"/>
        <v>-8971.2299999999959</v>
      </c>
      <c r="H68" s="536">
        <f>G68+'12'!H68</f>
        <v>-4935.75</v>
      </c>
      <c r="I68" s="592"/>
      <c r="J68" s="629">
        <f>H68/DAY(B2)</f>
        <v>-379.67307692307691</v>
      </c>
      <c r="K68" s="469"/>
      <c r="L68" s="408"/>
      <c r="N68" s="800"/>
      <c r="O68" s="807"/>
      <c r="P68" s="413"/>
    </row>
    <row r="69" spans="1:16" ht="27.75">
      <c r="A69" s="1430" t="s">
        <v>104</v>
      </c>
      <c r="B69" s="1431"/>
      <c r="C69" s="1432"/>
      <c r="D69" s="599" t="s">
        <v>187</v>
      </c>
      <c r="E69" s="590">
        <f>'12'!F69</f>
        <v>68370</v>
      </c>
      <c r="F69" s="554">
        <v>59644.04</v>
      </c>
      <c r="G69" s="549">
        <f t="shared" si="5"/>
        <v>-8725.9599999999991</v>
      </c>
      <c r="H69" s="536">
        <f>G69+'12'!H69</f>
        <v>-4808.0499999999956</v>
      </c>
      <c r="I69" s="592"/>
      <c r="J69" s="629">
        <f>H69/DAY(B2)</f>
        <v>-369.84999999999968</v>
      </c>
      <c r="K69" s="470"/>
      <c r="L69" s="408"/>
      <c r="N69" s="800"/>
      <c r="O69" s="807"/>
      <c r="P69" s="413"/>
    </row>
    <row r="70" spans="1:16" ht="27.75">
      <c r="A70" s="1462" t="s">
        <v>189</v>
      </c>
      <c r="B70" s="1463"/>
      <c r="C70" s="1464"/>
      <c r="D70" s="599" t="s">
        <v>187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00"/>
      <c r="O70" s="807"/>
      <c r="P70" s="413"/>
    </row>
    <row r="71" spans="1:16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800"/>
      <c r="O71" s="807"/>
      <c r="P71" s="413"/>
    </row>
    <row r="72" spans="1:16" ht="27.75">
      <c r="A72" s="1430" t="s">
        <v>191</v>
      </c>
      <c r="B72" s="1431"/>
      <c r="C72" s="1432"/>
      <c r="D72" s="599" t="s">
        <v>187</v>
      </c>
      <c r="E72" s="595">
        <f>'12'!F72</f>
        <v>851620</v>
      </c>
      <c r="F72" s="735">
        <v>849421</v>
      </c>
      <c r="G72" s="549">
        <f t="shared" ref="G72:G84" si="6">F72-E72</f>
        <v>-2199</v>
      </c>
      <c r="H72" s="536">
        <f>G72+'12'!H72</f>
        <v>-1171</v>
      </c>
      <c r="I72" s="556"/>
      <c r="J72" s="629">
        <f>H72/DAY(B2)</f>
        <v>-90.07692307692308</v>
      </c>
      <c r="K72" s="470"/>
      <c r="L72" s="408"/>
      <c r="N72" s="800"/>
      <c r="O72" s="807"/>
      <c r="P72" s="413"/>
    </row>
    <row r="73" spans="1:16" ht="27.75">
      <c r="A73" s="1430" t="s">
        <v>192</v>
      </c>
      <c r="B73" s="1431"/>
      <c r="C73" s="1432"/>
      <c r="D73" s="599" t="s">
        <v>187</v>
      </c>
      <c r="E73" s="595">
        <f>'12'!F73</f>
        <v>885776</v>
      </c>
      <c r="F73" s="736">
        <v>885737</v>
      </c>
      <c r="G73" s="733">
        <f t="shared" si="6"/>
        <v>-39</v>
      </c>
      <c r="H73" s="536">
        <f>G73+'12'!H73</f>
        <v>-35</v>
      </c>
      <c r="I73" s="556"/>
      <c r="J73" s="629">
        <f>H73/DAY(B2)</f>
        <v>-2.6923076923076925</v>
      </c>
      <c r="K73" s="469"/>
      <c r="L73" s="408"/>
      <c r="N73" s="800"/>
      <c r="O73" s="807"/>
      <c r="P73" s="413"/>
    </row>
    <row r="74" spans="1:16" ht="27.75">
      <c r="A74" s="1430" t="s">
        <v>193</v>
      </c>
      <c r="B74" s="1431"/>
      <c r="C74" s="1432"/>
      <c r="D74" s="599" t="s">
        <v>187</v>
      </c>
      <c r="E74" s="595">
        <f>'12'!F74</f>
        <v>922</v>
      </c>
      <c r="F74" s="736">
        <v>74.944999999999993</v>
      </c>
      <c r="G74" s="549">
        <f t="shared" si="6"/>
        <v>-847.05500000000006</v>
      </c>
      <c r="H74" s="536">
        <f>G74+'12'!H74</f>
        <v>-511.22500000000002</v>
      </c>
      <c r="I74" s="556"/>
      <c r="J74" s="629">
        <f>H74/DAY(B2)</f>
        <v>-39.325000000000003</v>
      </c>
      <c r="K74" s="470"/>
      <c r="L74" s="408"/>
      <c r="N74" s="800"/>
      <c r="O74" s="807"/>
      <c r="P74" s="413"/>
    </row>
    <row r="75" spans="1:16" ht="27.75">
      <c r="A75" s="1479" t="s">
        <v>194</v>
      </c>
      <c r="B75" s="1480"/>
      <c r="C75" s="1481"/>
      <c r="D75" s="599" t="s">
        <v>187</v>
      </c>
      <c r="E75" s="595">
        <f>'12'!F75</f>
        <v>5482</v>
      </c>
      <c r="F75" s="736">
        <v>799.68</v>
      </c>
      <c r="G75" s="549">
        <f t="shared" si="6"/>
        <v>-4682.32</v>
      </c>
      <c r="H75" s="536">
        <f>G75+'12'!H75</f>
        <v>-2719.5399999999995</v>
      </c>
      <c r="I75" s="556"/>
      <c r="J75" s="629">
        <f>H75/DAY(B2)</f>
        <v>-209.19538461538457</v>
      </c>
      <c r="K75" s="469"/>
      <c r="L75" s="408"/>
      <c r="N75" s="800"/>
      <c r="O75" s="807"/>
      <c r="P75" s="413"/>
    </row>
    <row r="76" spans="1:16" ht="27.75">
      <c r="A76" s="1479" t="s">
        <v>195</v>
      </c>
      <c r="B76" s="1480"/>
      <c r="C76" s="1481"/>
      <c r="D76" s="599" t="s">
        <v>187</v>
      </c>
      <c r="E76" s="595">
        <f>'12'!F76</f>
        <v>2531</v>
      </c>
      <c r="F76" s="736">
        <v>338.88</v>
      </c>
      <c r="G76" s="549">
        <f t="shared" si="6"/>
        <v>-2192.12</v>
      </c>
      <c r="H76" s="536">
        <f>G76+'12'!H76</f>
        <v>-1175.4599999999998</v>
      </c>
      <c r="I76" s="581"/>
      <c r="J76" s="629">
        <f>H76/DAY(B2)</f>
        <v>-90.419999999999987</v>
      </c>
      <c r="K76" s="469"/>
      <c r="L76" s="408"/>
      <c r="N76" s="800"/>
      <c r="O76" s="807"/>
      <c r="P76" s="413"/>
    </row>
    <row r="77" spans="1:16" ht="27.75">
      <c r="A77" s="1430" t="s">
        <v>196</v>
      </c>
      <c r="B77" s="1431"/>
      <c r="C77" s="1432"/>
      <c r="D77" s="599" t="s">
        <v>187</v>
      </c>
      <c r="E77" s="595">
        <f>'12'!F77</f>
        <v>699222</v>
      </c>
      <c r="F77" s="736">
        <v>697837</v>
      </c>
      <c r="G77" s="733">
        <f t="shared" si="6"/>
        <v>-1385</v>
      </c>
      <c r="H77" s="536">
        <f>G77+'12'!H77</f>
        <v>-751</v>
      </c>
      <c r="I77" s="581"/>
      <c r="J77" s="629">
        <f>H77/DAY(B2)</f>
        <v>-57.769230769230766</v>
      </c>
      <c r="K77" s="469"/>
      <c r="L77" s="408"/>
      <c r="N77" s="800"/>
      <c r="O77" s="807"/>
      <c r="P77" s="413"/>
    </row>
    <row r="78" spans="1:16" ht="27.75">
      <c r="A78" s="1232" t="s">
        <v>197</v>
      </c>
      <c r="B78" s="1203"/>
      <c r="C78" s="1203"/>
      <c r="D78" s="599" t="s">
        <v>187</v>
      </c>
      <c r="E78" s="595">
        <f>'12'!F78</f>
        <v>657592</v>
      </c>
      <c r="F78" s="737">
        <v>647325</v>
      </c>
      <c r="G78" s="549">
        <f t="shared" si="6"/>
        <v>-10267</v>
      </c>
      <c r="H78" s="536">
        <f>G78+'12'!H78</f>
        <v>-5538</v>
      </c>
      <c r="I78" s="581"/>
      <c r="J78" s="629">
        <f>H78/DAY(B2)</f>
        <v>-426</v>
      </c>
      <c r="K78" s="469"/>
      <c r="L78" s="408"/>
      <c r="N78" s="800"/>
      <c r="O78" s="807"/>
      <c r="P78" s="413"/>
    </row>
    <row r="79" spans="1:16" ht="27.75">
      <c r="A79" s="1479" t="s">
        <v>92</v>
      </c>
      <c r="B79" s="1480"/>
      <c r="C79" s="1481"/>
      <c r="D79" s="600" t="s">
        <v>187</v>
      </c>
      <c r="E79" s="595">
        <f>'12'!F79</f>
        <v>817602</v>
      </c>
      <c r="F79" s="737">
        <v>812198</v>
      </c>
      <c r="G79" s="549">
        <f t="shared" si="6"/>
        <v>-5404</v>
      </c>
      <c r="H79" s="536">
        <f>G79+'12'!H79</f>
        <v>-2911</v>
      </c>
      <c r="I79" s="581"/>
      <c r="J79" s="629">
        <f>H79/DAY(B2)</f>
        <v>-223.92307692307693</v>
      </c>
      <c r="K79" s="469"/>
      <c r="L79" s="408"/>
      <c r="N79" s="800"/>
      <c r="O79" s="807"/>
      <c r="P79" s="413"/>
    </row>
    <row r="80" spans="1:16" ht="27.75">
      <c r="A80" s="1479" t="s">
        <v>198</v>
      </c>
      <c r="B80" s="1480"/>
      <c r="C80" s="1481"/>
      <c r="D80" s="600" t="s">
        <v>187</v>
      </c>
      <c r="E80" s="595">
        <f>'12'!F80</f>
        <v>498943</v>
      </c>
      <c r="F80" s="736">
        <v>489088.68</v>
      </c>
      <c r="G80" s="549">
        <f t="shared" si="6"/>
        <v>-9854.320000000007</v>
      </c>
      <c r="H80" s="536">
        <f>G80+'12'!H80</f>
        <v>-5584.960000000021</v>
      </c>
      <c r="I80" s="581"/>
      <c r="J80" s="629">
        <f>H80/DAY(B2)</f>
        <v>-429.61230769230929</v>
      </c>
      <c r="K80" s="469"/>
      <c r="L80" s="408"/>
      <c r="N80" s="800"/>
      <c r="O80" s="807"/>
      <c r="P80" s="413"/>
    </row>
    <row r="81" spans="1:16" ht="27.75">
      <c r="A81" s="1479" t="s">
        <v>199</v>
      </c>
      <c r="B81" s="1480"/>
      <c r="C81" s="1481"/>
      <c r="D81" s="600" t="s">
        <v>187</v>
      </c>
      <c r="E81" s="595">
        <f>'12'!F81</f>
        <v>627189</v>
      </c>
      <c r="F81" s="736">
        <v>624108.12</v>
      </c>
      <c r="G81" s="549">
        <f t="shared" si="6"/>
        <v>-3080.8800000000047</v>
      </c>
      <c r="H81" s="536">
        <f>G81+'12'!H81</f>
        <v>-1835.7199999999721</v>
      </c>
      <c r="I81" s="581"/>
      <c r="J81" s="629">
        <f>H81/DAY(B2)</f>
        <v>-141.20923076922861</v>
      </c>
      <c r="K81" s="469"/>
      <c r="L81" s="408"/>
      <c r="N81" s="800"/>
      <c r="O81" s="807"/>
      <c r="P81" s="413"/>
    </row>
    <row r="82" spans="1:16" ht="27.75">
      <c r="A82" s="1479" t="s">
        <v>93</v>
      </c>
      <c r="B82" s="1480"/>
      <c r="C82" s="1481"/>
      <c r="D82" s="561" t="s">
        <v>132</v>
      </c>
      <c r="E82" s="595">
        <f>'12'!F82</f>
        <v>106468</v>
      </c>
      <c r="F82" s="732">
        <v>105834.02</v>
      </c>
      <c r="G82" s="549">
        <f t="shared" si="6"/>
        <v>-633.97999999999593</v>
      </c>
      <c r="H82" s="536">
        <f>G82+'12'!H82</f>
        <v>-368.45999999999185</v>
      </c>
      <c r="I82" s="562"/>
      <c r="J82" s="629">
        <f>H82/DAY(B2)</f>
        <v>-28.343076923076296</v>
      </c>
      <c r="K82" s="469"/>
      <c r="L82" s="408"/>
      <c r="N82" s="800"/>
      <c r="O82" s="807"/>
      <c r="P82" s="413"/>
    </row>
    <row r="83" spans="1:16" ht="27.75">
      <c r="A83" s="1479" t="s">
        <v>200</v>
      </c>
      <c r="B83" s="1480"/>
      <c r="C83" s="1481"/>
      <c r="D83" s="697" t="s">
        <v>132</v>
      </c>
      <c r="E83" s="595">
        <f>'12'!F83</f>
        <v>1892</v>
      </c>
      <c r="F83" s="587">
        <v>989212</v>
      </c>
      <c r="G83" s="549">
        <f t="shared" si="6"/>
        <v>987320</v>
      </c>
      <c r="H83" s="536">
        <f>G83+'12'!H83</f>
        <v>992615</v>
      </c>
      <c r="I83" s="557"/>
      <c r="J83" s="629">
        <f>H83/DAY(B2)</f>
        <v>76355</v>
      </c>
      <c r="K83" s="468"/>
      <c r="L83" s="408"/>
      <c r="N83" s="800"/>
      <c r="O83" s="807"/>
      <c r="P83" s="413"/>
    </row>
    <row r="84" spans="1:16">
      <c r="A84" s="1233" t="s">
        <v>201</v>
      </c>
      <c r="B84" s="648"/>
      <c r="C84" s="648"/>
      <c r="D84" s="554" t="s">
        <v>132</v>
      </c>
      <c r="E84" s="595">
        <f>'12'!F84</f>
        <v>440449</v>
      </c>
      <c r="F84" s="704">
        <v>422230</v>
      </c>
      <c r="G84" s="549">
        <f t="shared" si="6"/>
        <v>-18219</v>
      </c>
      <c r="H84" s="536">
        <f>G84+'12'!H84</f>
        <v>-8568</v>
      </c>
      <c r="I84" s="557"/>
      <c r="J84" s="629">
        <f>H84/DAY(B2)</f>
        <v>-659.07692307692309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928516.32499999995</v>
      </c>
      <c r="H85" s="536">
        <f>G85+'12'!H85</f>
        <v>959420.25499999989</v>
      </c>
      <c r="I85" s="557"/>
      <c r="J85" s="629">
        <f>H85/DAY(B2)</f>
        <v>73801.558076923073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'12'!F86</f>
        <v>451971</v>
      </c>
      <c r="F86" s="728">
        <v>448790.44</v>
      </c>
      <c r="G86" s="787">
        <f t="shared" ref="G86:G90" si="7">F86-E86</f>
        <v>-3180.5599999999977</v>
      </c>
      <c r="H86" s="787">
        <f t="shared" ref="H86:H88" si="8">G86</f>
        <v>-3180.5599999999977</v>
      </c>
      <c r="I86" s="733"/>
      <c r="J86" s="789">
        <f>H86/DAY(B2)</f>
        <v>-244.65846153846135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'12'!F87</f>
        <v>79571</v>
      </c>
      <c r="F87" s="728">
        <v>78813</v>
      </c>
      <c r="G87" s="787">
        <f t="shared" si="7"/>
        <v>-758</v>
      </c>
      <c r="H87" s="787">
        <f t="shared" si="8"/>
        <v>-758</v>
      </c>
      <c r="I87" s="733"/>
      <c r="J87" s="789">
        <f>H87/DAY(B2)</f>
        <v>-58.307692307692307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'12'!F88</f>
        <v>149169</v>
      </c>
      <c r="F88" s="728">
        <v>147355.99</v>
      </c>
      <c r="G88" s="787">
        <f t="shared" si="7"/>
        <v>-1813.0100000000093</v>
      </c>
      <c r="H88" s="787">
        <f t="shared" si="8"/>
        <v>-1813.0100000000093</v>
      </c>
      <c r="I88" s="733"/>
      <c r="J88" s="789">
        <f>H88/DAY(B2)</f>
        <v>-139.4623076923084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'12'!F89</f>
        <v>62558</v>
      </c>
      <c r="F89" s="728">
        <v>60681</v>
      </c>
      <c r="G89" s="787">
        <f t="shared" si="7"/>
        <v>-1877</v>
      </c>
      <c r="H89" s="787">
        <f>G89</f>
        <v>-1877</v>
      </c>
      <c r="I89" s="733"/>
      <c r="J89" s="789">
        <f>H89/DAY(B2)</f>
        <v>-144.38461538461539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'12'!F90</f>
        <v>3218</v>
      </c>
      <c r="F90" s="728">
        <v>3112.1</v>
      </c>
      <c r="G90" s="787">
        <f t="shared" si="7"/>
        <v>-105.90000000000009</v>
      </c>
      <c r="H90" s="787">
        <f>G90</f>
        <v>-105.90000000000009</v>
      </c>
      <c r="I90" s="733"/>
      <c r="J90" s="789">
        <f>H90/DAY(B2)</f>
        <v>-8.1461538461538527</v>
      </c>
      <c r="K90" s="815"/>
      <c r="L90" s="816"/>
      <c r="N90" s="860"/>
      <c r="O90" s="413"/>
    </row>
    <row r="91" spans="1:16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33" t="s">
        <v>206</v>
      </c>
      <c r="B92" s="1434"/>
      <c r="C92" s="1435"/>
      <c r="D92" s="599" t="s">
        <v>144</v>
      </c>
      <c r="E92" s="560">
        <f>'12'!F92</f>
        <v>240827</v>
      </c>
      <c r="F92" s="554">
        <v>237940</v>
      </c>
      <c r="G92" s="549">
        <f t="shared" ref="G92:G93" si="9">F92-E92</f>
        <v>-2887</v>
      </c>
      <c r="H92" s="536">
        <f>G92+'12'!H92</f>
        <v>-1755</v>
      </c>
      <c r="I92" s="556"/>
      <c r="J92" s="629">
        <f>H92/DAY(B2)</f>
        <v>-135</v>
      </c>
      <c r="K92" s="468"/>
      <c r="L92" s="408"/>
      <c r="N92" s="800"/>
      <c r="O92" s="807"/>
      <c r="P92" s="413"/>
    </row>
    <row r="93" spans="1:16" ht="27.75">
      <c r="A93" s="1433" t="s">
        <v>207</v>
      </c>
      <c r="B93" s="1434"/>
      <c r="C93" s="1435"/>
      <c r="D93" s="599" t="s">
        <v>144</v>
      </c>
      <c r="E93" s="560">
        <f>'12'!F93</f>
        <v>177199</v>
      </c>
      <c r="F93" s="554">
        <v>173275</v>
      </c>
      <c r="G93" s="549">
        <f t="shared" si="9"/>
        <v>-3924</v>
      </c>
      <c r="H93" s="536">
        <f>G93+'12'!H93</f>
        <v>-2386</v>
      </c>
      <c r="I93" s="556"/>
      <c r="J93" s="629">
        <f>H93/DAY(B2)</f>
        <v>-183.53846153846155</v>
      </c>
      <c r="K93" s="411"/>
      <c r="L93" s="408"/>
      <c r="N93" s="800"/>
      <c r="O93" s="807"/>
      <c r="P93" s="413"/>
    </row>
    <row r="94" spans="1:16">
      <c r="A94" s="1427" t="s">
        <v>208</v>
      </c>
      <c r="B94" s="1428"/>
      <c r="C94" s="1429"/>
      <c r="D94" s="599"/>
      <c r="E94" s="560">
        <f>'12'!F94</f>
        <v>0</v>
      </c>
      <c r="F94" s="554"/>
      <c r="G94" s="549">
        <f>G92+G93</f>
        <v>-6811</v>
      </c>
      <c r="H94" s="536">
        <f>G94+'12'!H94</f>
        <v>-4407</v>
      </c>
      <c r="I94" s="556"/>
      <c r="J94" s="629">
        <f>H94/DAY(B2)</f>
        <v>-339</v>
      </c>
      <c r="K94" s="411"/>
      <c r="L94" s="408"/>
      <c r="N94" s="800"/>
      <c r="O94" s="807"/>
      <c r="P94" s="413"/>
    </row>
    <row r="95" spans="1:16" ht="27.75">
      <c r="A95" s="1433" t="s">
        <v>209</v>
      </c>
      <c r="B95" s="1434"/>
      <c r="C95" s="1435"/>
      <c r="D95" s="599" t="s">
        <v>144</v>
      </c>
      <c r="E95" s="560">
        <f>'12'!F95</f>
        <v>409194</v>
      </c>
      <c r="F95" s="554">
        <v>406788</v>
      </c>
      <c r="G95" s="549">
        <f t="shared" ref="G95:G100" si="10">F95-E95</f>
        <v>-2406</v>
      </c>
      <c r="H95" s="536">
        <f>G95+'12'!H95</f>
        <v>-1368</v>
      </c>
      <c r="I95" s="556"/>
      <c r="J95" s="629">
        <f>H95/DAY(B2)</f>
        <v>-105.23076923076923</v>
      </c>
      <c r="K95" s="411"/>
      <c r="L95" s="408"/>
      <c r="N95" s="800"/>
      <c r="O95" s="807"/>
      <c r="P95" s="413"/>
    </row>
    <row r="96" spans="1:16" ht="27.75">
      <c r="A96" s="1229" t="s">
        <v>210</v>
      </c>
      <c r="B96" s="1230"/>
      <c r="C96" s="1230"/>
      <c r="D96" s="599" t="s">
        <v>144</v>
      </c>
      <c r="E96" s="560">
        <f>'12'!F96</f>
        <v>101508</v>
      </c>
      <c r="F96" s="554">
        <v>101019</v>
      </c>
      <c r="G96" s="549">
        <f t="shared" si="10"/>
        <v>-489</v>
      </c>
      <c r="H96" s="536">
        <f>G96+'12'!H96</f>
        <v>-313</v>
      </c>
      <c r="I96" s="556"/>
      <c r="J96" s="629">
        <f>H96/DAY(B2)</f>
        <v>-24.076923076923077</v>
      </c>
      <c r="K96" s="466"/>
      <c r="L96" s="408"/>
      <c r="N96" s="800"/>
      <c r="O96" s="807"/>
      <c r="P96" s="413"/>
    </row>
    <row r="97" spans="1:16" ht="27.75">
      <c r="A97" s="1229" t="s">
        <v>211</v>
      </c>
      <c r="B97" s="1230"/>
      <c r="C97" s="1230"/>
      <c r="D97" s="599" t="s">
        <v>144</v>
      </c>
      <c r="E97" s="560">
        <f>'12'!F97</f>
        <v>96676</v>
      </c>
      <c r="F97" s="554">
        <v>96072</v>
      </c>
      <c r="G97" s="549">
        <f t="shared" si="10"/>
        <v>-604</v>
      </c>
      <c r="H97" s="536">
        <f>G97+'12'!H97</f>
        <v>-377</v>
      </c>
      <c r="I97" s="556"/>
      <c r="J97" s="629">
        <f>H97/DAY(B2)</f>
        <v>-29</v>
      </c>
      <c r="K97" s="471"/>
      <c r="L97" s="408"/>
      <c r="N97" s="800"/>
      <c r="O97" s="807"/>
      <c r="P97" s="413"/>
    </row>
    <row r="98" spans="1:16" ht="27.75">
      <c r="A98" s="1229" t="s">
        <v>212</v>
      </c>
      <c r="B98" s="1230"/>
      <c r="C98" s="1230"/>
      <c r="D98" s="599" t="s">
        <v>144</v>
      </c>
      <c r="E98" s="560">
        <f>'12'!F98</f>
        <v>148299</v>
      </c>
      <c r="F98" s="554">
        <v>146459</v>
      </c>
      <c r="G98" s="549">
        <f t="shared" si="10"/>
        <v>-1840</v>
      </c>
      <c r="H98" s="536">
        <f>G98+'12'!H98</f>
        <v>-1149</v>
      </c>
      <c r="I98" s="556"/>
      <c r="J98" s="629">
        <f>H98/DAY(B2)</f>
        <v>-88.384615384615387</v>
      </c>
      <c r="K98" s="411"/>
      <c r="L98" s="408"/>
      <c r="N98" s="802"/>
      <c r="O98" s="807"/>
      <c r="P98" s="413"/>
    </row>
    <row r="99" spans="1:16" ht="27.75">
      <c r="A99" s="1229" t="s">
        <v>213</v>
      </c>
      <c r="B99" s="1230"/>
      <c r="C99" s="1230"/>
      <c r="D99" s="599" t="s">
        <v>144</v>
      </c>
      <c r="E99" s="560">
        <f>'12'!F99</f>
        <v>6571</v>
      </c>
      <c r="F99" s="554">
        <v>6118</v>
      </c>
      <c r="G99" s="549">
        <f t="shared" si="10"/>
        <v>-453</v>
      </c>
      <c r="H99" s="536">
        <f>G99+'12'!H99</f>
        <v>-290</v>
      </c>
      <c r="I99" s="556"/>
      <c r="J99" s="629">
        <f>H99/DAY(B2)</f>
        <v>-22.307692307692307</v>
      </c>
      <c r="K99" s="411"/>
      <c r="L99" s="408"/>
      <c r="N99" s="800"/>
      <c r="O99" s="807"/>
      <c r="P99" s="413"/>
    </row>
    <row r="100" spans="1:16" ht="27.75">
      <c r="A100" s="1229" t="s">
        <v>214</v>
      </c>
      <c r="B100" s="1230"/>
      <c r="C100" s="1230"/>
      <c r="D100" s="599" t="s">
        <v>144</v>
      </c>
      <c r="E100" s="560">
        <f>'12'!F100</f>
        <v>4671</v>
      </c>
      <c r="F100" s="554">
        <v>4342</v>
      </c>
      <c r="G100" s="549">
        <f t="shared" si="10"/>
        <v>-329</v>
      </c>
      <c r="H100" s="536">
        <f>G100+'12'!H100</f>
        <v>-201</v>
      </c>
      <c r="I100" s="556"/>
      <c r="J100" s="629">
        <f>H100/DAY(B2)</f>
        <v>-15.461538461538462</v>
      </c>
      <c r="K100" s="411"/>
      <c r="L100" s="408"/>
      <c r="N100" s="800"/>
      <c r="O100" s="807"/>
      <c r="P100" s="413"/>
    </row>
    <row r="101" spans="1:16">
      <c r="A101" s="1427" t="s">
        <v>216</v>
      </c>
      <c r="B101" s="1428"/>
      <c r="C101" s="1429"/>
      <c r="D101" s="600"/>
      <c r="E101" s="560"/>
      <c r="F101" s="600"/>
      <c r="G101" s="601">
        <f>SUM(G95:G100)</f>
        <v>-6121</v>
      </c>
      <c r="H101" s="536">
        <f>G101+'12'!H101</f>
        <v>-3698</v>
      </c>
      <c r="I101" s="602"/>
      <c r="J101" s="629">
        <f>H101/DAY(B2)</f>
        <v>-284.46153846153845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6" t="s">
        <v>218</v>
      </c>
      <c r="B103" s="1437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38" t="s">
        <v>219</v>
      </c>
      <c r="B104" s="1439"/>
      <c r="C104" s="1228"/>
      <c r="D104" s="699" t="s">
        <v>144</v>
      </c>
      <c r="E104" s="560">
        <f>'12'!F104</f>
        <v>7233</v>
      </c>
      <c r="F104" s="740">
        <v>7010</v>
      </c>
      <c r="G104" s="608">
        <f>F104-E104</f>
        <v>-223</v>
      </c>
      <c r="H104" s="609">
        <f>SUM(G104+'1'!G76)</f>
        <v>-143.84999999999991</v>
      </c>
      <c r="I104" s="608"/>
      <c r="J104" s="635">
        <f>H104/DAY(B2)</f>
        <v>-11.065384615384609</v>
      </c>
      <c r="N104" s="800"/>
      <c r="O104" s="807"/>
      <c r="P104" s="413"/>
    </row>
    <row r="105" spans="1:16" s="481" customFormat="1" ht="27.75">
      <c r="A105" s="1438" t="s">
        <v>77</v>
      </c>
      <c r="B105" s="1439"/>
      <c r="C105" s="1228"/>
      <c r="D105" s="699" t="s">
        <v>144</v>
      </c>
      <c r="E105" s="560">
        <f>'12'!F105</f>
        <v>35500</v>
      </c>
      <c r="F105" s="740">
        <v>35257</v>
      </c>
      <c r="G105" s="608">
        <f t="shared" ref="G105:G106" si="11">F105-E105</f>
        <v>-243</v>
      </c>
      <c r="H105" s="609">
        <f>SUM(G105+'1'!G77)</f>
        <v>-198</v>
      </c>
      <c r="I105" s="608"/>
      <c r="J105" s="635">
        <f>H105/DAY(B2)</f>
        <v>-15.23076923076923</v>
      </c>
      <c r="N105" s="800"/>
      <c r="O105" s="807"/>
      <c r="P105" s="413"/>
    </row>
    <row r="106" spans="1:16" s="481" customFormat="1" ht="27.75">
      <c r="A106" s="1438" t="s">
        <v>78</v>
      </c>
      <c r="B106" s="1440"/>
      <c r="C106" s="1439"/>
      <c r="D106" s="699" t="s">
        <v>144</v>
      </c>
      <c r="E106" s="560">
        <f>'12'!F106</f>
        <v>19312</v>
      </c>
      <c r="F106" s="740">
        <v>19152</v>
      </c>
      <c r="G106" s="608">
        <f t="shared" si="11"/>
        <v>-160</v>
      </c>
      <c r="H106" s="609">
        <f>SUM(G106+'1'!G78)</f>
        <v>230</v>
      </c>
      <c r="I106" s="608"/>
      <c r="J106" s="635">
        <f>H106/DAY(B2)</f>
        <v>17.692307692307693</v>
      </c>
      <c r="N106" s="800"/>
      <c r="O106" s="807"/>
      <c r="P106" s="413"/>
    </row>
    <row r="107" spans="1:16" s="481" customFormat="1" ht="27.75">
      <c r="A107" s="1441" t="s">
        <v>202</v>
      </c>
      <c r="B107" s="1442"/>
      <c r="C107" s="1228"/>
      <c r="D107" s="699"/>
      <c r="E107" s="560"/>
      <c r="F107" s="740"/>
      <c r="G107" s="608">
        <f>SUM(G104:G106)</f>
        <v>-626</v>
      </c>
      <c r="H107" s="609">
        <f>SUM(G107+'1'!G79)</f>
        <v>-434</v>
      </c>
      <c r="I107" s="608"/>
      <c r="J107" s="635">
        <f>H107/DAY(B2)</f>
        <v>-33.384615384615387</v>
      </c>
      <c r="N107" s="800"/>
      <c r="O107" s="807"/>
      <c r="P107" s="413"/>
    </row>
    <row r="108" spans="1:16" s="481" customFormat="1" ht="27.75">
      <c r="A108" s="1443" t="s">
        <v>79</v>
      </c>
      <c r="B108" s="1444"/>
      <c r="C108" s="1228"/>
      <c r="D108" s="699" t="s">
        <v>144</v>
      </c>
      <c r="E108" s="560"/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38" t="s">
        <v>220</v>
      </c>
      <c r="B109" s="1439"/>
      <c r="C109" s="1228"/>
      <c r="D109" s="699" t="s">
        <v>144</v>
      </c>
      <c r="E109" s="560">
        <f>'12'!F109</f>
        <v>57267</v>
      </c>
      <c r="F109" s="740">
        <v>55445</v>
      </c>
      <c r="G109" s="608">
        <f>F109-E109</f>
        <v>-1822</v>
      </c>
      <c r="H109" s="609">
        <f>SUM(G109+'1'!G81)</f>
        <v>-1709.4399999999441</v>
      </c>
      <c r="I109" s="608"/>
      <c r="J109" s="635">
        <f>H109/DAY(B2)</f>
        <v>-131.49538461538032</v>
      </c>
      <c r="N109" s="800"/>
      <c r="O109" s="807"/>
      <c r="P109" s="413"/>
    </row>
    <row r="110" spans="1:16" s="481" customFormat="1" ht="27.75">
      <c r="A110" s="1438" t="s">
        <v>221</v>
      </c>
      <c r="B110" s="1439"/>
      <c r="C110" s="1228"/>
      <c r="D110" s="699" t="s">
        <v>144</v>
      </c>
      <c r="E110" s="560">
        <f>'12'!F110</f>
        <v>31156</v>
      </c>
      <c r="F110" s="740">
        <v>29391</v>
      </c>
      <c r="G110" s="608">
        <f t="shared" ref="G110:G111" si="12">F110-E110</f>
        <v>-1765</v>
      </c>
      <c r="H110" s="609">
        <f>SUM(G110+'1'!G82)</f>
        <v>-1746.8300000000017</v>
      </c>
      <c r="I110" s="608"/>
      <c r="J110" s="635">
        <f>H110/DAY(B2)</f>
        <v>-134.37153846153859</v>
      </c>
      <c r="N110" s="800"/>
      <c r="O110" s="807"/>
      <c r="P110" s="413"/>
    </row>
    <row r="111" spans="1:16" s="481" customFormat="1" ht="27.75">
      <c r="A111" s="1438" t="s">
        <v>222</v>
      </c>
      <c r="B111" s="1439"/>
      <c r="C111" s="1228"/>
      <c r="D111" s="699" t="s">
        <v>144</v>
      </c>
      <c r="E111" s="560">
        <f>'12'!F111</f>
        <v>4054</v>
      </c>
      <c r="F111" s="740">
        <v>3870</v>
      </c>
      <c r="G111" s="608">
        <f t="shared" si="12"/>
        <v>-184</v>
      </c>
      <c r="H111" s="609">
        <f>SUM(G111+'1'!G83)</f>
        <v>336</v>
      </c>
      <c r="I111" s="608"/>
      <c r="J111" s="635">
        <f>H111/DAY(B2)</f>
        <v>25.846153846153847</v>
      </c>
      <c r="N111" s="800"/>
      <c r="O111" s="807"/>
      <c r="P111" s="413"/>
    </row>
    <row r="112" spans="1:16" s="481" customFormat="1" ht="27.75">
      <c r="A112" s="1441" t="s">
        <v>110</v>
      </c>
      <c r="B112" s="1442"/>
      <c r="C112" s="1228"/>
      <c r="D112" s="699"/>
      <c r="E112" s="560"/>
      <c r="F112" s="740"/>
      <c r="G112" s="608">
        <f>SUM(G109:G111)</f>
        <v>-3771</v>
      </c>
      <c r="H112" s="609">
        <f>SUM(G112+'1'!G84)</f>
        <v>-3081</v>
      </c>
      <c r="I112" s="608"/>
      <c r="J112" s="635">
        <f>H112/DAY(B2)</f>
        <v>-237</v>
      </c>
      <c r="N112" s="800"/>
      <c r="O112" s="807"/>
      <c r="P112" s="413"/>
    </row>
    <row r="113" spans="1:16" s="481" customFormat="1" ht="27.75">
      <c r="A113" s="1443" t="s">
        <v>223</v>
      </c>
      <c r="B113" s="1444"/>
      <c r="C113" s="1228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38" t="s">
        <v>224</v>
      </c>
      <c r="B114" s="1439"/>
      <c r="C114" s="651"/>
      <c r="D114" s="699" t="s">
        <v>144</v>
      </c>
      <c r="E114" s="560">
        <f>'12'!F114</f>
        <v>10519</v>
      </c>
      <c r="F114" s="740">
        <v>9979</v>
      </c>
      <c r="G114" s="610">
        <f>F114-E114</f>
        <v>-540</v>
      </c>
      <c r="H114" s="609">
        <f>SUM(G114+'1'!G91)</f>
        <v>-540</v>
      </c>
      <c r="I114" s="608"/>
      <c r="J114" s="635">
        <f>H114/DAY(B2)</f>
        <v>-41.53846153846154</v>
      </c>
      <c r="N114" s="800"/>
      <c r="O114" s="807"/>
      <c r="P114" s="413"/>
    </row>
    <row r="115" spans="1:16" s="481" customFormat="1" ht="27.75">
      <c r="A115" s="1438" t="s">
        <v>225</v>
      </c>
      <c r="B115" s="1439"/>
      <c r="C115" s="651"/>
      <c r="D115" s="699" t="s">
        <v>144</v>
      </c>
      <c r="E115" s="560">
        <f>'12'!F115</f>
        <v>7770</v>
      </c>
      <c r="F115" s="740">
        <v>7509</v>
      </c>
      <c r="G115" s="610">
        <f t="shared" ref="G115:G116" si="13">F115-E115</f>
        <v>-261</v>
      </c>
      <c r="H115" s="609">
        <f>SUM(G115+'1'!G92)</f>
        <v>-139</v>
      </c>
      <c r="I115" s="608"/>
      <c r="J115" s="635">
        <f>H115/DAY(B2)</f>
        <v>-10.692307692307692</v>
      </c>
      <c r="N115" s="800"/>
      <c r="O115" s="807"/>
      <c r="P115" s="413"/>
    </row>
    <row r="116" spans="1:16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144</v>
      </c>
      <c r="I116" s="608"/>
      <c r="J116" s="635">
        <f>H116/DAY(B2)</f>
        <v>11.076923076923077</v>
      </c>
      <c r="N116" s="800"/>
      <c r="O116" s="807"/>
      <c r="P116" s="413"/>
    </row>
    <row r="117" spans="1:16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-801</v>
      </c>
      <c r="H117" s="609">
        <f>SUM(G117+'1'!G95)</f>
        <v>-725</v>
      </c>
      <c r="I117" s="610"/>
      <c r="J117" s="635">
        <f>H117/DAY(B2)</f>
        <v>-55.769230769230766</v>
      </c>
      <c r="N117" s="800"/>
      <c r="O117" s="807"/>
      <c r="P117" s="413"/>
    </row>
    <row r="118" spans="1:16" s="495" customFormat="1" ht="27.75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-4272</v>
      </c>
      <c r="G118" s="612">
        <f>SUM(G19+G92)</f>
        <v>-4272</v>
      </c>
      <c r="H118" s="609">
        <f>SUM(G118+'1'!G96)</f>
        <v>-4259</v>
      </c>
      <c r="I118" s="611"/>
      <c r="J118" s="636">
        <f>H118/DAY(B2)</f>
        <v>-327.61538461538464</v>
      </c>
      <c r="N118" s="800"/>
      <c r="O118" s="807"/>
      <c r="P118" s="413"/>
    </row>
    <row r="119" spans="1:16" s="495" customFormat="1" ht="27.75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-4281</v>
      </c>
      <c r="G119" s="612">
        <f>SUM(G95,G96,G97,G99,G100)</f>
        <v>-4281</v>
      </c>
      <c r="H119" s="609">
        <f>SUM(G119+'1'!G98)</f>
        <v>-4211</v>
      </c>
      <c r="I119" s="611"/>
      <c r="J119" s="636">
        <f>H119/DAY(B2)</f>
        <v>-323.92307692307691</v>
      </c>
      <c r="N119" s="800"/>
      <c r="O119" s="807"/>
      <c r="P119" s="413"/>
    </row>
    <row r="120" spans="1:16" s="495" customFormat="1" ht="27.75">
      <c r="A120" s="1472" t="s">
        <v>229</v>
      </c>
      <c r="B120" s="1473"/>
      <c r="C120" s="1226"/>
      <c r="D120" s="701" t="s">
        <v>144</v>
      </c>
      <c r="E120" s="610"/>
      <c r="F120" s="740">
        <f>SUM(G112)</f>
        <v>-3771</v>
      </c>
      <c r="G120" s="610">
        <f>SUM(G112)</f>
        <v>-3771</v>
      </c>
      <c r="H120" s="609">
        <f>SUM(G120+'1'!G100)</f>
        <v>-3757</v>
      </c>
      <c r="I120" s="611"/>
      <c r="J120" s="636">
        <f>H120/DAY(B2)</f>
        <v>-289</v>
      </c>
      <c r="N120" s="800"/>
      <c r="O120" s="807"/>
      <c r="P120" s="413"/>
    </row>
    <row r="121" spans="1:16" s="481" customFormat="1" ht="27.75">
      <c r="A121" s="1474"/>
      <c r="B121" s="1475"/>
      <c r="C121" s="1227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29" t="s">
        <v>231</v>
      </c>
      <c r="B123" s="1230"/>
      <c r="C123" s="1230"/>
      <c r="D123" s="599" t="s">
        <v>141</v>
      </c>
      <c r="E123" s="554">
        <f>'12'!F123</f>
        <v>814045</v>
      </c>
      <c r="F123" s="554">
        <v>806998.4</v>
      </c>
      <c r="G123" s="549">
        <f t="shared" ref="G123:G127" si="14">F123-E123</f>
        <v>-7046.5999999999767</v>
      </c>
      <c r="H123" s="536">
        <f>G123+'12'!H123</f>
        <v>-4008.4399999999441</v>
      </c>
      <c r="I123" s="602"/>
      <c r="J123" s="629">
        <f>H123/DAY(B2)</f>
        <v>-308.34153846153418</v>
      </c>
      <c r="K123" s="411"/>
      <c r="L123" s="408"/>
      <c r="N123" s="800"/>
      <c r="O123" s="807"/>
      <c r="P123" s="413"/>
    </row>
    <row r="124" spans="1:16" ht="27.75">
      <c r="A124" s="1229" t="s">
        <v>232</v>
      </c>
      <c r="B124" s="1230"/>
      <c r="C124" s="1230"/>
      <c r="D124" s="599" t="s">
        <v>141</v>
      </c>
      <c r="E124" s="703">
        <f>'12'!F124</f>
        <v>73583</v>
      </c>
      <c r="F124" s="703">
        <v>73583.399999999994</v>
      </c>
      <c r="G124" s="549">
        <f t="shared" si="14"/>
        <v>0.39999999999417923</v>
      </c>
      <c r="H124" s="536">
        <f>G124+'12'!H124</f>
        <v>0</v>
      </c>
      <c r="I124" s="602"/>
      <c r="J124" s="629">
        <f>H124/DAY(B2)</f>
        <v>0</v>
      </c>
      <c r="K124" s="411"/>
      <c r="L124" s="408"/>
      <c r="N124" s="800"/>
      <c r="O124" s="807"/>
      <c r="P124" s="413"/>
    </row>
    <row r="125" spans="1:16" ht="27.75">
      <c r="A125" s="1430" t="s">
        <v>233</v>
      </c>
      <c r="B125" s="1431"/>
      <c r="C125" s="1432"/>
      <c r="D125" s="599" t="s">
        <v>141</v>
      </c>
      <c r="E125" s="554">
        <f>'12'!F125</f>
        <v>140774</v>
      </c>
      <c r="F125" s="554">
        <v>138746.25</v>
      </c>
      <c r="G125" s="549">
        <f t="shared" si="14"/>
        <v>-2027.75</v>
      </c>
      <c r="H125" s="536">
        <f>G125+'12'!H125</f>
        <v>-1233.0899999999965</v>
      </c>
      <c r="I125" s="602"/>
      <c r="J125" s="629">
        <f>H125/DAY(B2)</f>
        <v>-94.853076923076657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230"/>
      <c r="C126" s="1230"/>
      <c r="D126" s="599" t="s">
        <v>141</v>
      </c>
      <c r="E126" s="703">
        <f>'12'!F126</f>
        <v>59687</v>
      </c>
      <c r="F126" s="703">
        <v>58895.3</v>
      </c>
      <c r="G126" s="549">
        <f t="shared" si="14"/>
        <v>-791.69999999999709</v>
      </c>
      <c r="H126" s="536">
        <f>G126+'12'!H126</f>
        <v>-411.59999999999854</v>
      </c>
      <c r="I126" s="602"/>
      <c r="J126" s="629">
        <f>H126/DAY(B2)</f>
        <v>-31.661538461538349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230"/>
      <c r="C127" s="1230"/>
      <c r="D127" s="599" t="s">
        <v>141</v>
      </c>
      <c r="E127" s="703">
        <f>'12'!F127</f>
        <v>8917</v>
      </c>
      <c r="F127" s="703">
        <v>8847.2999999999993</v>
      </c>
      <c r="G127" s="549">
        <f t="shared" si="14"/>
        <v>-69.700000000000728</v>
      </c>
      <c r="H127" s="536">
        <f>G127+'12'!H127</f>
        <v>-40.5</v>
      </c>
      <c r="I127" s="556"/>
      <c r="J127" s="629">
        <f>H127/DAY(B2)</f>
        <v>-3.1153846153846154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-15043.832000000049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29" t="s">
        <v>238</v>
      </c>
      <c r="B130" s="1230"/>
      <c r="C130" s="1230"/>
      <c r="D130" s="599" t="s">
        <v>239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29" t="s">
        <v>240</v>
      </c>
      <c r="B131" s="1230"/>
      <c r="C131" s="1230"/>
      <c r="D131" s="599" t="s">
        <v>239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29" t="s">
        <v>241</v>
      </c>
      <c r="B132" s="1230"/>
      <c r="C132" s="1230"/>
      <c r="D132" s="599" t="s">
        <v>239</v>
      </c>
      <c r="E132" s="618">
        <f>'12'!F132</f>
        <v>39219.35</v>
      </c>
      <c r="F132" s="732">
        <v>39191.29</v>
      </c>
      <c r="G132" s="549">
        <f t="shared" si="15"/>
        <v>-28.059999999997672</v>
      </c>
      <c r="H132" s="536">
        <f>G132+'12'!H132</f>
        <v>362.29000000000087</v>
      </c>
      <c r="I132" s="556"/>
      <c r="J132" s="629">
        <f>H132/DAY(B2)</f>
        <v>27.868461538461606</v>
      </c>
      <c r="N132" s="800"/>
      <c r="O132" s="807"/>
      <c r="P132" s="413"/>
    </row>
    <row r="133" spans="1:16" ht="27.75">
      <c r="A133" s="1229" t="s">
        <v>242</v>
      </c>
      <c r="B133" s="1230"/>
      <c r="C133" s="1230"/>
      <c r="D133" s="599" t="s">
        <v>239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-1</v>
      </c>
      <c r="I133" s="556">
        <f>G130+G131+G132+G133</f>
        <v>-28.059999999997672</v>
      </c>
      <c r="J133" s="629">
        <f>H133/DAY(B2)</f>
        <v>-7.6923076923076927E-2</v>
      </c>
      <c r="N133" s="800"/>
      <c r="O133" s="807"/>
      <c r="P133" s="413"/>
    </row>
    <row r="134" spans="1:16" ht="27.75">
      <c r="A134" s="1229" t="s">
        <v>243</v>
      </c>
      <c r="B134" s="1230"/>
      <c r="C134" s="1230"/>
      <c r="D134" s="599" t="s">
        <v>239</v>
      </c>
      <c r="E134" s="782">
        <f>'12'!F134</f>
        <v>40650.57</v>
      </c>
      <c r="F134" s="703">
        <v>40176.080000000002</v>
      </c>
      <c r="G134" s="549">
        <f t="shared" si="15"/>
        <v>-474.48999999999796</v>
      </c>
      <c r="H134" s="536">
        <f>G134+'12'!H134</f>
        <v>-191.05999999999767</v>
      </c>
      <c r="I134" s="556"/>
      <c r="J134" s="629">
        <f>H134/DAY(B2)</f>
        <v>-14.696923076922898</v>
      </c>
      <c r="N134" s="800"/>
      <c r="O134" s="807"/>
      <c r="P134" s="413"/>
    </row>
    <row r="135" spans="1:16" ht="27.75">
      <c r="A135" s="1229" t="s">
        <v>244</v>
      </c>
      <c r="B135" s="1230"/>
      <c r="C135" s="1230"/>
      <c r="D135" s="599" t="s">
        <v>239</v>
      </c>
      <c r="E135" s="618">
        <f>'12'!F135</f>
        <v>32582.560000000001</v>
      </c>
      <c r="F135" s="732">
        <v>32423</v>
      </c>
      <c r="G135" s="549">
        <f t="shared" si="15"/>
        <v>-159.56000000000131</v>
      </c>
      <c r="H135" s="536">
        <f>G135+'12'!H135</f>
        <v>-148</v>
      </c>
      <c r="I135" s="556"/>
      <c r="J135" s="629">
        <f>H135/DAY(B2)</f>
        <v>-11.384615384615385</v>
      </c>
      <c r="N135" s="800"/>
      <c r="O135" s="807"/>
      <c r="P135" s="413"/>
    </row>
    <row r="136" spans="1:16" ht="27.75">
      <c r="A136" s="1229" t="s">
        <v>245</v>
      </c>
      <c r="B136" s="1230"/>
      <c r="C136" s="1230"/>
      <c r="D136" s="599" t="s">
        <v>239</v>
      </c>
      <c r="E136" s="618">
        <f>'12'!F136</f>
        <v>22326</v>
      </c>
      <c r="F136" s="732">
        <v>22089.439999999999</v>
      </c>
      <c r="G136" s="549">
        <f t="shared" si="15"/>
        <v>-236.56000000000131</v>
      </c>
      <c r="H136" s="536">
        <f>G136+'12'!H136</f>
        <v>-132.77000000000044</v>
      </c>
      <c r="I136" s="556">
        <f>G134+G135+G136</f>
        <v>-870.61000000000058</v>
      </c>
      <c r="J136" s="629">
        <f>H136/DAY(B2)</f>
        <v>-10.213076923076956</v>
      </c>
      <c r="N136" s="800"/>
      <c r="O136" s="807"/>
      <c r="P136" s="413"/>
    </row>
    <row r="137" spans="1:16" ht="27.75">
      <c r="A137" s="1229" t="s">
        <v>246</v>
      </c>
      <c r="B137" s="1230"/>
      <c r="C137" s="1230"/>
      <c r="D137" s="599" t="s">
        <v>239</v>
      </c>
      <c r="E137" s="618">
        <f>'12'!F137</f>
        <v>25044.31</v>
      </c>
      <c r="F137" s="732">
        <v>25030.03</v>
      </c>
      <c r="G137" s="549">
        <f t="shared" si="15"/>
        <v>-14.280000000002474</v>
      </c>
      <c r="H137" s="536">
        <f>G137+'12'!H137</f>
        <v>-14.280000000002474</v>
      </c>
      <c r="I137" s="556"/>
      <c r="J137" s="629">
        <f>H137/DAY(B2)</f>
        <v>-1.0984615384617287</v>
      </c>
      <c r="N137" s="800"/>
      <c r="O137" s="807"/>
      <c r="P137" s="413"/>
    </row>
    <row r="138" spans="1:16" ht="27.75">
      <c r="A138" s="1229" t="s">
        <v>247</v>
      </c>
      <c r="B138" s="1230"/>
      <c r="C138" s="1230"/>
      <c r="D138" s="599" t="s">
        <v>239</v>
      </c>
      <c r="E138" s="618">
        <f>'12'!F138</f>
        <v>70199.86</v>
      </c>
      <c r="F138" s="732">
        <v>70086.490000000005</v>
      </c>
      <c r="G138" s="549">
        <f t="shared" si="15"/>
        <v>-113.36999999999534</v>
      </c>
      <c r="H138" s="536">
        <f>G138+'12'!H138</f>
        <v>-60.849999999991269</v>
      </c>
      <c r="I138" s="556">
        <f>G137+G138</f>
        <v>-127.64999999999782</v>
      </c>
      <c r="J138" s="629">
        <f>H138/DAY(B2)</f>
        <v>-4.6807692307685596</v>
      </c>
      <c r="N138" s="800"/>
      <c r="O138" s="807"/>
      <c r="P138" s="413"/>
    </row>
    <row r="139" spans="1:16" ht="27.75">
      <c r="A139" s="1229" t="s">
        <v>248</v>
      </c>
      <c r="B139" s="1230"/>
      <c r="C139" s="1230"/>
      <c r="D139" s="599" t="s">
        <v>239</v>
      </c>
      <c r="E139" s="782">
        <f>'12'!F139</f>
        <v>1511</v>
      </c>
      <c r="F139" s="703">
        <v>1307.58</v>
      </c>
      <c r="G139" s="549">
        <f t="shared" si="15"/>
        <v>-203.42000000000007</v>
      </c>
      <c r="H139" s="536">
        <f>G139+'12'!H139</f>
        <v>-115.56000000000017</v>
      </c>
      <c r="I139" s="619"/>
      <c r="J139" s="629">
        <f>H139/DAY(B2)</f>
        <v>-8.8892307692307817</v>
      </c>
      <c r="N139" s="800"/>
      <c r="O139" s="807"/>
      <c r="P139" s="413"/>
    </row>
    <row r="140" spans="1:16" ht="27.75">
      <c r="A140" s="1229" t="s">
        <v>249</v>
      </c>
      <c r="B140" s="1230"/>
      <c r="C140" s="1230"/>
      <c r="D140" s="599" t="s">
        <v>239</v>
      </c>
      <c r="E140" s="560">
        <f>'12'!F140</f>
        <v>4334</v>
      </c>
      <c r="F140" s="554">
        <v>4333.53</v>
      </c>
      <c r="G140" s="549">
        <f t="shared" si="15"/>
        <v>-0.47000000000025466</v>
      </c>
      <c r="H140" s="536">
        <f>G140+'12'!H140</f>
        <v>-0.47000000000025466</v>
      </c>
      <c r="I140" s="619"/>
      <c r="J140" s="629">
        <f>H140/DAY(B2)</f>
        <v>-3.6153846153865743E-2</v>
      </c>
      <c r="N140" s="800"/>
      <c r="O140" s="807"/>
      <c r="P140" s="413"/>
    </row>
    <row r="141" spans="1:16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-150501.68000000002</v>
      </c>
      <c r="H142" s="536">
        <f>G142+'12'!H142</f>
        <v>-79798.559999999954</v>
      </c>
      <c r="I142" s="556"/>
      <c r="J142" s="629">
        <f>H142/DAY(B2)</f>
        <v>-6138.3507692307658</v>
      </c>
      <c r="K142" s="411"/>
      <c r="L142" s="408"/>
      <c r="N142" s="800"/>
      <c r="O142" s="807"/>
      <c r="P142" s="413"/>
    </row>
    <row r="143" spans="1:16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0.26360655278290102</v>
      </c>
      <c r="H143" s="536">
        <f>G143+'12'!H143</f>
        <v>3.3779813141624229</v>
      </c>
      <c r="I143" s="621"/>
      <c r="J143" s="629">
        <f>H143/DAY(B2)</f>
        <v>0.25984471647403251</v>
      </c>
      <c r="K143" s="411"/>
      <c r="L143" s="408"/>
      <c r="N143" s="800"/>
      <c r="O143" s="807"/>
      <c r="P143" s="413"/>
    </row>
    <row r="144" spans="1:16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-137282.09599999999</v>
      </c>
      <c r="H144" s="536">
        <f>G144+'12'!H144</f>
        <v>-74300.036000000022</v>
      </c>
      <c r="I144" s="556"/>
      <c r="J144" s="629">
        <f>H144/DAY(B2)</f>
        <v>-5715.3873846153865</v>
      </c>
      <c r="K144" s="411"/>
      <c r="L144" s="408"/>
      <c r="N144" s="800"/>
      <c r="O144" s="807"/>
      <c r="P144" s="413"/>
    </row>
    <row r="145" spans="1:16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0.24045220017059793</v>
      </c>
      <c r="H145" s="536">
        <f>G145+'12'!H145</f>
        <v>3.1733844399357145</v>
      </c>
      <c r="I145" s="621"/>
      <c r="J145" s="629">
        <f>H145/DAY(B2)</f>
        <v>0.24410649537967036</v>
      </c>
      <c r="K145" s="411"/>
      <c r="L145" s="408"/>
      <c r="N145" s="800"/>
      <c r="O145" s="807"/>
      <c r="P145" s="413"/>
    </row>
    <row r="146" spans="1:16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-114836.79</v>
      </c>
      <c r="H146" s="536">
        <f>G146+'12'!H146</f>
        <v>36100.590000000011</v>
      </c>
      <c r="I146" s="622"/>
      <c r="J146" s="629">
        <f>H146/DAY(B2)</f>
        <v>2776.9684615384622</v>
      </c>
      <c r="K146" s="411"/>
      <c r="L146" s="408"/>
      <c r="N146" s="800"/>
      <c r="O146" s="807"/>
      <c r="P146" s="413"/>
    </row>
    <row r="147" spans="1:16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0.20113882014176793</v>
      </c>
      <c r="H147" s="536">
        <f>G147+'12'!H147</f>
        <v>7.48390853829628</v>
      </c>
      <c r="I147" s="622"/>
      <c r="J147" s="629">
        <f>H147/DAY(B2)</f>
        <v>0.5756852721766369</v>
      </c>
      <c r="N147" s="800"/>
      <c r="O147" s="807"/>
      <c r="P147" s="413"/>
    </row>
    <row r="148" spans="1:16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-56670.429999999978</v>
      </c>
      <c r="H148" s="536">
        <f>G148+'12'!H148</f>
        <v>-31749.629999999997</v>
      </c>
      <c r="I148" s="556"/>
      <c r="J148" s="629">
        <f>H148/DAY(B2)</f>
        <v>-2442.2792307692307</v>
      </c>
      <c r="K148" s="412"/>
      <c r="N148" s="800"/>
      <c r="O148" s="807"/>
      <c r="P148" s="413"/>
    </row>
    <row r="149" spans="1:16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9.9259335158416104E-2</v>
      </c>
      <c r="H149" s="536">
        <f>G149+'12'!H149</f>
        <v>1.2619420173636302</v>
      </c>
      <c r="I149" s="622"/>
      <c r="J149" s="629">
        <f>H149/DAY(B2)</f>
        <v>9.7072462874125395E-2</v>
      </c>
      <c r="N149" s="800"/>
      <c r="O149" s="807"/>
      <c r="P149" s="413"/>
    </row>
    <row r="150" spans="1:16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-53205.760000000009</v>
      </c>
      <c r="H150" s="536">
        <f>G150+'12'!H150</f>
        <v>-30755.360000000044</v>
      </c>
      <c r="I150" s="622"/>
      <c r="J150" s="629">
        <f>H150/DAY(B2)</f>
        <v>-2365.7969230769263</v>
      </c>
      <c r="N150" s="800"/>
      <c r="O150" s="807"/>
      <c r="P150" s="413"/>
    </row>
    <row r="151" spans="1:16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9.3190899807858385E-2</v>
      </c>
      <c r="H151" s="536">
        <f>G151+'12'!H151</f>
        <v>1.1374699814108871</v>
      </c>
      <c r="I151" s="556"/>
      <c r="J151" s="629">
        <f>H151/DAY(B2)</f>
        <v>8.7497690877760548E-2</v>
      </c>
      <c r="N151" s="800"/>
      <c r="O151" s="807"/>
      <c r="P151" s="413"/>
    </row>
    <row r="152" spans="1:16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-40476.15</v>
      </c>
      <c r="H152" s="536">
        <f>G152+'12'!H152</f>
        <v>12709.010000000002</v>
      </c>
      <c r="I152" s="556"/>
      <c r="J152" s="629">
        <f>H152/DAY(B2)</f>
        <v>977.61615384615402</v>
      </c>
      <c r="N152" s="800"/>
      <c r="O152" s="807"/>
      <c r="P152" s="413"/>
    </row>
    <row r="153" spans="1:16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7.0894745968441128E-2</v>
      </c>
      <c r="H153" s="536">
        <f>G153+'12'!H153</f>
        <v>2.6372593339666976</v>
      </c>
      <c r="I153" s="645"/>
      <c r="J153" s="646">
        <f>H153/DAY(B2)</f>
        <v>0.2028661026128229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7" t="s">
        <v>263</v>
      </c>
      <c r="B160" s="878"/>
      <c r="C160" s="878"/>
      <c r="D160" s="697" t="s">
        <v>187</v>
      </c>
      <c r="E160" s="598">
        <f>'12'!F160</f>
        <v>31821</v>
      </c>
      <c r="F160" s="886">
        <v>29515.62</v>
      </c>
      <c r="G160" s="549">
        <f t="shared" ref="G160:G163" si="16">F160-E160</f>
        <v>-2305.380000000001</v>
      </c>
      <c r="N160" s="800"/>
    </row>
    <row r="161" spans="1:14">
      <c r="A161" s="877" t="s">
        <v>264</v>
      </c>
      <c r="B161" s="878"/>
      <c r="C161" s="878"/>
      <c r="D161" s="697" t="s">
        <v>187</v>
      </c>
      <c r="E161" s="598">
        <f>'12'!F161</f>
        <v>60577</v>
      </c>
      <c r="F161" s="886">
        <v>48426.707999999999</v>
      </c>
      <c r="G161" s="549">
        <f t="shared" si="16"/>
        <v>-12150.292000000001</v>
      </c>
      <c r="N161" s="800"/>
    </row>
    <row r="162" spans="1:14">
      <c r="A162" s="877" t="s">
        <v>265</v>
      </c>
      <c r="B162" s="878"/>
      <c r="C162" s="878"/>
      <c r="D162" s="697" t="s">
        <v>187</v>
      </c>
      <c r="E162" s="598">
        <f>'12'!F162</f>
        <v>23940</v>
      </c>
      <c r="F162" s="886">
        <v>15992.409</v>
      </c>
      <c r="G162" s="549">
        <f t="shared" si="16"/>
        <v>-7947.5910000000003</v>
      </c>
      <c r="N162" s="800"/>
    </row>
    <row r="163" spans="1:14">
      <c r="A163" s="877" t="s">
        <v>266</v>
      </c>
      <c r="B163" s="878"/>
      <c r="C163" s="878"/>
      <c r="D163" s="697" t="s">
        <v>187</v>
      </c>
      <c r="E163" s="598">
        <f>'12'!F163</f>
        <v>5566</v>
      </c>
      <c r="F163" s="886">
        <v>5190.32</v>
      </c>
      <c r="G163" s="549">
        <f t="shared" si="16"/>
        <v>-375.68000000000029</v>
      </c>
      <c r="N163" s="800"/>
    </row>
    <row r="164" spans="1:14">
      <c r="A164" s="879" t="s">
        <v>98</v>
      </c>
      <c r="B164" s="880"/>
      <c r="C164" s="880"/>
      <c r="D164" s="697" t="s">
        <v>187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00"/>
    </row>
    <row r="165" spans="1:14">
      <c r="A165" s="879" t="s">
        <v>188</v>
      </c>
      <c r="B165" s="880"/>
      <c r="C165" s="880"/>
      <c r="D165" s="697" t="s">
        <v>187</v>
      </c>
      <c r="E165" s="590">
        <f t="shared" ref="E165:E171" si="18">E63</f>
        <v>1865</v>
      </c>
      <c r="F165" s="590">
        <f t="shared" ref="F165:F171" si="19">F63</f>
        <v>1507.25</v>
      </c>
      <c r="G165" s="549">
        <f t="shared" si="17"/>
        <v>-357.75</v>
      </c>
      <c r="N165" s="800"/>
    </row>
    <row r="166" spans="1:14" ht="21.75" customHeight="1">
      <c r="A166" s="1492" t="s">
        <v>99</v>
      </c>
      <c r="B166" s="1492"/>
      <c r="C166" s="1492"/>
      <c r="D166" s="600" t="s">
        <v>187</v>
      </c>
      <c r="E166" s="590">
        <f t="shared" si="18"/>
        <v>129862</v>
      </c>
      <c r="F166" s="590">
        <f t="shared" si="19"/>
        <v>116718.44</v>
      </c>
      <c r="G166" s="549">
        <f t="shared" si="17"/>
        <v>-13143.559999999998</v>
      </c>
      <c r="N166" s="800"/>
    </row>
    <row r="167" spans="1:14" ht="21.75" customHeight="1">
      <c r="A167" s="1492" t="s">
        <v>100</v>
      </c>
      <c r="B167" s="1492"/>
      <c r="C167" s="1492"/>
      <c r="D167" s="600" t="s">
        <v>187</v>
      </c>
      <c r="E167" s="590">
        <f t="shared" si="18"/>
        <v>137064</v>
      </c>
      <c r="F167" s="590">
        <f t="shared" si="19"/>
        <v>126633.84</v>
      </c>
      <c r="G167" s="549">
        <f t="shared" si="17"/>
        <v>-10430.160000000003</v>
      </c>
      <c r="N167" s="800"/>
    </row>
    <row r="168" spans="1:14" ht="21.75" customHeight="1">
      <c r="A168" s="1492" t="s">
        <v>101</v>
      </c>
      <c r="B168" s="1492"/>
      <c r="C168" s="1492"/>
      <c r="D168" s="600" t="s">
        <v>187</v>
      </c>
      <c r="E168" s="590">
        <f t="shared" si="18"/>
        <v>29790</v>
      </c>
      <c r="F168" s="590">
        <f t="shared" si="19"/>
        <v>19244.102999999999</v>
      </c>
      <c r="G168" s="549">
        <f t="shared" si="17"/>
        <v>-10545.897000000001</v>
      </c>
      <c r="N168" s="800"/>
    </row>
    <row r="169" spans="1:14" ht="26.25" customHeight="1">
      <c r="A169" s="1492" t="s">
        <v>102</v>
      </c>
      <c r="B169" s="1492"/>
      <c r="C169" s="1492"/>
      <c r="D169" s="600" t="s">
        <v>187</v>
      </c>
      <c r="E169" s="590">
        <f t="shared" si="18"/>
        <v>215974</v>
      </c>
      <c r="F169" s="590">
        <f t="shared" si="19"/>
        <v>197786.33</v>
      </c>
      <c r="G169" s="549">
        <f t="shared" si="17"/>
        <v>-18187.670000000013</v>
      </c>
      <c r="N169" s="800"/>
    </row>
    <row r="170" spans="1:14" ht="24" customHeight="1">
      <c r="A170" s="1492" t="s">
        <v>103</v>
      </c>
      <c r="B170" s="1492"/>
      <c r="C170" s="1492"/>
      <c r="D170" s="600" t="s">
        <v>187</v>
      </c>
      <c r="E170" s="590">
        <f t="shared" si="18"/>
        <v>76714</v>
      </c>
      <c r="F170" s="590">
        <f t="shared" si="19"/>
        <v>67742.77</v>
      </c>
      <c r="G170" s="549">
        <f t="shared" si="17"/>
        <v>-8971.2299999999959</v>
      </c>
      <c r="N170" s="800"/>
    </row>
    <row r="171" spans="1:14" ht="27.75">
      <c r="A171" s="1492" t="s">
        <v>104</v>
      </c>
      <c r="B171" s="1492"/>
      <c r="C171" s="1492"/>
      <c r="D171" s="600" t="s">
        <v>187</v>
      </c>
      <c r="E171" s="590">
        <f t="shared" si="18"/>
        <v>68370</v>
      </c>
      <c r="F171" s="590">
        <f t="shared" si="19"/>
        <v>59644.04</v>
      </c>
      <c r="G171" s="549">
        <f t="shared" si="17"/>
        <v>-8725.9599999999991</v>
      </c>
      <c r="N171" s="800"/>
    </row>
    <row r="172" spans="1:14">
      <c r="A172" s="881"/>
      <c r="B172" s="882"/>
      <c r="C172" s="882"/>
      <c r="D172" s="883"/>
      <c r="E172" s="883"/>
      <c r="F172" s="884"/>
      <c r="G172" s="885">
        <f>SUM(G160:G171)</f>
        <v>-93140.99000000002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9" zoomScale="55" zoomScaleSheetLayoutView="55" workbookViewId="0">
      <selection activeCell="F163" sqref="F163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45" t="s">
        <v>272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652" t="s">
        <v>279</v>
      </c>
      <c r="B2" s="1117">
        <v>44241</v>
      </c>
      <c r="C2" s="1280" t="s">
        <v>69</v>
      </c>
      <c r="D2" s="688">
        <v>0.66830000000000001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280" t="s">
        <v>120</v>
      </c>
      <c r="D3" s="689">
        <v>24</v>
      </c>
      <c r="E3" s="1454" t="s">
        <v>121</v>
      </c>
      <c r="F3" s="1455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80" t="s">
        <v>122</v>
      </c>
      <c r="D4" s="688">
        <v>0.64</v>
      </c>
      <c r="E4" s="540"/>
      <c r="F4" s="540"/>
      <c r="G4" s="540"/>
      <c r="H4" s="540"/>
      <c r="I4" s="541"/>
      <c r="J4" s="692" t="s">
        <v>215</v>
      </c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'13'!F7</f>
        <v>4131415</v>
      </c>
      <c r="F7" s="531">
        <v>4153992</v>
      </c>
      <c r="G7" s="759">
        <f>F7-E7</f>
        <v>22577</v>
      </c>
      <c r="H7" s="760">
        <f>G7+'13'!H7</f>
        <v>-291085</v>
      </c>
      <c r="I7" s="761">
        <f>'1'!I7</f>
        <v>12000</v>
      </c>
      <c r="J7" s="762">
        <f>H7/DAY(B2)</f>
        <v>-20791.785714285714</v>
      </c>
      <c r="K7" s="626"/>
      <c r="L7" s="408"/>
      <c r="N7" s="811"/>
      <c r="O7" s="807"/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'13'!F8</f>
        <v>4157819</v>
      </c>
      <c r="F8" s="551">
        <v>4180498</v>
      </c>
      <c r="G8" s="770">
        <f>F8-E8</f>
        <v>22679</v>
      </c>
      <c r="H8" s="760">
        <f>G8+'13'!H8</f>
        <v>-292658</v>
      </c>
      <c r="I8" s="767">
        <f>'1'!I8</f>
        <v>12000</v>
      </c>
      <c r="J8" s="762">
        <f>H8/DAY(B2)</f>
        <v>-20904.142857142859</v>
      </c>
      <c r="K8" s="626"/>
      <c r="L8" s="464"/>
      <c r="M8" s="479"/>
      <c r="N8" s="800"/>
      <c r="O8" s="807"/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'13'!F9</f>
        <v>71968</v>
      </c>
      <c r="F9" s="554">
        <v>86884</v>
      </c>
      <c r="G9" s="783">
        <f t="shared" ref="G9:G12" si="0">F9-E9</f>
        <v>14916</v>
      </c>
      <c r="H9" s="760">
        <f>G9+'13'!H9</f>
        <v>-25.009999999994761</v>
      </c>
      <c r="I9" s="771">
        <f>I7-J7</f>
        <v>32791.78571428571</v>
      </c>
      <c r="J9" s="762">
        <f>H9/DAY(B2)</f>
        <v>-1.7864285714281973</v>
      </c>
      <c r="K9" s="467"/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'13'!F10</f>
        <v>1325624.3999999999</v>
      </c>
      <c r="F10" s="554">
        <v>1332635.8999999999</v>
      </c>
      <c r="G10" s="770">
        <f t="shared" si="0"/>
        <v>7011.5</v>
      </c>
      <c r="H10" s="760">
        <f>G10+'13'!H10</f>
        <v>1306940.3399999999</v>
      </c>
      <c r="I10" s="772"/>
      <c r="J10" s="762">
        <f>H10/DAY(B2)</f>
        <v>93352.881428571418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'13'!F11</f>
        <v>37000</v>
      </c>
      <c r="F11" s="531">
        <v>37000</v>
      </c>
      <c r="G11" s="770">
        <f t="shared" si="0"/>
        <v>0</v>
      </c>
      <c r="H11" s="760">
        <f>G11+'13'!H11</f>
        <v>-2000</v>
      </c>
      <c r="I11" s="772"/>
      <c r="J11" s="762">
        <f>H11/DAY(B2)</f>
        <v>-142.85714285714286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'13'!F12</f>
        <v>40010</v>
      </c>
      <c r="F12" s="554">
        <v>40010</v>
      </c>
      <c r="G12" s="770">
        <f t="shared" si="0"/>
        <v>0</v>
      </c>
      <c r="H12" s="760">
        <f>G12+'13'!H12</f>
        <v>-2000</v>
      </c>
      <c r="I12" s="772"/>
      <c r="J12" s="762">
        <f>H12/DAY(B2)</f>
        <v>-142.85714285714286</v>
      </c>
      <c r="K12" s="467"/>
      <c r="L12" s="408" t="s">
        <v>269</v>
      </c>
      <c r="N12" s="800"/>
      <c r="O12" s="807">
        <v>0</v>
      </c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21927.5</v>
      </c>
      <c r="H13" s="760">
        <f>G13+'13'!H13</f>
        <v>1281921.3299999998</v>
      </c>
      <c r="I13" s="776">
        <f>G7-G13</f>
        <v>649.5</v>
      </c>
      <c r="J13" s="762">
        <f>H13/DAY(B2)</f>
        <v>91565.809285714276</v>
      </c>
      <c r="K13" s="467"/>
      <c r="L13" s="408"/>
      <c r="N13" s="800"/>
      <c r="O13" s="807"/>
      <c r="P13" s="413"/>
    </row>
    <row r="14" spans="1:16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5" t="s">
        <v>140</v>
      </c>
      <c r="B15" s="876"/>
      <c r="C15" s="876"/>
      <c r="D15" s="600" t="s">
        <v>141</v>
      </c>
      <c r="E15" s="561">
        <f>'13'!F15</f>
        <v>1605399.588</v>
      </c>
      <c r="F15" s="561">
        <v>1606535.081</v>
      </c>
      <c r="G15" s="745">
        <f>(F15-E15)</f>
        <v>1135.4930000000168</v>
      </c>
      <c r="H15" s="562">
        <f>G15+'13'!H15</f>
        <v>-13343.529000000097</v>
      </c>
      <c r="I15" s="550">
        <v>800</v>
      </c>
      <c r="J15" s="630">
        <f>H15/DAY(B2)</f>
        <v>-953.10921428572124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1753.1092142857212</v>
      </c>
      <c r="J16" s="630"/>
      <c r="K16" s="467"/>
      <c r="L16" s="408"/>
      <c r="N16" s="800"/>
      <c r="O16" s="807"/>
      <c r="P16" s="413"/>
    </row>
    <row r="17" spans="1:16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86" t="s">
        <v>143</v>
      </c>
      <c r="B18" s="1487"/>
      <c r="C18" s="1488"/>
      <c r="D18" s="715" t="s">
        <v>144</v>
      </c>
      <c r="E18" s="712">
        <f>'13'!F18</f>
        <v>22</v>
      </c>
      <c r="F18" s="554">
        <v>19</v>
      </c>
      <c r="G18" s="775">
        <f>F18*10</f>
        <v>190</v>
      </c>
      <c r="H18" s="760">
        <f>G18+'13'!H18</f>
        <v>2070</v>
      </c>
      <c r="I18" s="761">
        <f>'1'!I18</f>
        <v>65</v>
      </c>
      <c r="J18" s="762">
        <f>H18/DAY(B2)</f>
        <v>147.85714285714286</v>
      </c>
      <c r="K18" s="467"/>
      <c r="L18" s="408"/>
      <c r="N18" s="800"/>
      <c r="O18" s="807"/>
      <c r="P18" s="413"/>
    </row>
    <row r="19" spans="1:16" ht="27.75">
      <c r="A19" s="1486" t="s">
        <v>71</v>
      </c>
      <c r="B19" s="1487"/>
      <c r="C19" s="1488"/>
      <c r="D19" s="715" t="s">
        <v>144</v>
      </c>
      <c r="E19" s="712">
        <f>'13'!F19</f>
        <v>133702</v>
      </c>
      <c r="F19" s="554">
        <v>133753</v>
      </c>
      <c r="G19" s="770">
        <f t="shared" ref="G19" si="1">F19-E19</f>
        <v>51</v>
      </c>
      <c r="H19" s="760">
        <f>G19+'13'!H19</f>
        <v>-715</v>
      </c>
      <c r="I19" s="777"/>
      <c r="J19" s="762">
        <f>H19/DAY(B2)</f>
        <v>-51.071428571428569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241</v>
      </c>
      <c r="H20" s="760">
        <f>G20+'13'!H20</f>
        <v>1355</v>
      </c>
      <c r="I20" s="779">
        <f>I18-J20</f>
        <v>-31.785714285714292</v>
      </c>
      <c r="J20" s="762">
        <f>H20/DAY(B2)</f>
        <v>96.785714285714292</v>
      </c>
      <c r="K20" s="467"/>
      <c r="L20" s="408"/>
      <c r="N20" s="800"/>
      <c r="O20" s="807"/>
      <c r="P20" s="413"/>
    </row>
    <row r="21" spans="1:16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73" t="s">
        <v>147</v>
      </c>
      <c r="B22" s="666"/>
      <c r="C22" s="666"/>
      <c r="D22" s="599" t="s">
        <v>148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73" t="s">
        <v>149</v>
      </c>
      <c r="B23" s="666"/>
      <c r="C23" s="666"/>
      <c r="D23" s="599" t="s">
        <v>148</v>
      </c>
      <c r="E23" s="712">
        <f>'13'!F23</f>
        <v>2000</v>
      </c>
      <c r="F23" s="554">
        <v>2000</v>
      </c>
      <c r="G23" s="557">
        <v>0</v>
      </c>
      <c r="H23" s="536">
        <f>G23+'13'!H23</f>
        <v>0</v>
      </c>
      <c r="I23" s="556"/>
      <c r="J23" s="629">
        <f>H23/DAY(B2)</f>
        <v>0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'13'!F24</f>
        <v>4250</v>
      </c>
      <c r="F24" s="561">
        <v>4250</v>
      </c>
      <c r="G24" s="557">
        <v>0</v>
      </c>
      <c r="H24" s="536">
        <f>G24+'13'!H24</f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22679</v>
      </c>
      <c r="F27" s="577">
        <v>9</v>
      </c>
      <c r="G27" s="578">
        <f>E27*F27</f>
        <v>204111</v>
      </c>
      <c r="H27" s="536">
        <f>G27+'13'!H27</f>
        <v>-2633922</v>
      </c>
      <c r="I27" s="579"/>
      <c r="J27" s="629">
        <f>H27/DAY(B2)</f>
        <v>-188137.28571428571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1135.4930000000168</v>
      </c>
      <c r="F28" s="577">
        <v>43.5</v>
      </c>
      <c r="G28" s="578">
        <f>E28*F28</f>
        <v>49393.945500000729</v>
      </c>
      <c r="H28" s="536">
        <f>G28+'13'!H28</f>
        <v>-561137.97330000473</v>
      </c>
      <c r="I28" s="581"/>
      <c r="J28" s="629">
        <f>H28/DAY(B2)</f>
        <v>-40081.283807143198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0</v>
      </c>
      <c r="I29" s="581"/>
      <c r="J29" s="629">
        <f>H29/DAY(B2)</f>
        <v>0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-78122</v>
      </c>
      <c r="I30" s="581"/>
      <c r="J30" s="629">
        <f>H30/DAY(B2)</f>
        <v>-5580.1428571428569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190</v>
      </c>
      <c r="F31" s="577">
        <v>80</v>
      </c>
      <c r="G31" s="578">
        <f>E31*F31</f>
        <v>15200</v>
      </c>
      <c r="H31" s="536">
        <f>G31+'13'!H31</f>
        <v>155040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275538.94550000073</v>
      </c>
      <c r="H32" s="536">
        <f>G32+'13'!H32</f>
        <v>-3118141.9733000048</v>
      </c>
      <c r="I32" s="585"/>
      <c r="J32" s="629">
        <f>H32/DAY(B2)</f>
        <v>-222724.42666428606</v>
      </c>
      <c r="K32" s="404"/>
      <c r="L32" s="484"/>
      <c r="N32" s="800"/>
      <c r="O32" s="807"/>
      <c r="P32" s="413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800"/>
      <c r="O33" s="807"/>
      <c r="P33" s="413"/>
    </row>
    <row r="34" spans="1:16">
      <c r="A34" s="675" t="s">
        <v>163</v>
      </c>
      <c r="B34" s="1275"/>
      <c r="C34" s="127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'13'!F35</f>
        <v>648397.67000000004</v>
      </c>
      <c r="F35" s="586">
        <v>651365.87</v>
      </c>
      <c r="G35" s="549">
        <f t="shared" ref="G35:G46" si="3">F35-E35</f>
        <v>2968.1999999999534</v>
      </c>
      <c r="H35" s="536">
        <f>G35+'13'!H35</f>
        <v>-41721.719999999972</v>
      </c>
      <c r="I35" s="531"/>
      <c r="J35" s="629">
        <f>H35/DAY(B2)</f>
        <v>-2980.1228571428551</v>
      </c>
      <c r="K35" s="467"/>
      <c r="L35" s="408"/>
      <c r="N35" s="800"/>
      <c r="O35" s="808" t="s">
        <v>269</v>
      </c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'13'!F36</f>
        <v>284799.33</v>
      </c>
      <c r="F36" s="586">
        <v>285663.95</v>
      </c>
      <c r="G36" s="549">
        <f t="shared" si="3"/>
        <v>864.61999999999534</v>
      </c>
      <c r="H36" s="536">
        <f>G36+'13'!H36</f>
        <v>-10781.619999999995</v>
      </c>
      <c r="I36" s="531"/>
      <c r="J36" s="629">
        <f>H36/DAY(B2)</f>
        <v>-770.11571428571392</v>
      </c>
      <c r="K36" s="467"/>
      <c r="L36" s="408"/>
      <c r="N36" s="801"/>
      <c r="O36" s="808" t="s">
        <v>274</v>
      </c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'13'!F37</f>
        <v>9603.93</v>
      </c>
      <c r="F37" s="586">
        <v>11184.16</v>
      </c>
      <c r="G37" s="549">
        <f t="shared" si="3"/>
        <v>1580.2299999999996</v>
      </c>
      <c r="H37" s="536">
        <f>G37+'13'!H37</f>
        <v>14289.240000000002</v>
      </c>
      <c r="I37" s="531"/>
      <c r="J37" s="629">
        <f>H37/DAY(B2)</f>
        <v>1020.6600000000001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'13'!F38</f>
        <v>12063.86</v>
      </c>
      <c r="F38" s="545">
        <v>14504.92</v>
      </c>
      <c r="G38" s="549">
        <f t="shared" si="3"/>
        <v>2441.0599999999995</v>
      </c>
      <c r="H38" s="536">
        <f>G38+'13'!H38</f>
        <v>-29308.57</v>
      </c>
      <c r="I38" s="531"/>
      <c r="J38" s="629">
        <f>H38/DAY(B2)</f>
        <v>-2093.4692857142859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'13'!F39</f>
        <v>26707.7</v>
      </c>
      <c r="F39" s="586">
        <v>31362.84</v>
      </c>
      <c r="G39" s="549">
        <f t="shared" si="3"/>
        <v>4655.1399999999994</v>
      </c>
      <c r="H39" s="536">
        <f>G39+'13'!H39</f>
        <v>40755.729999999996</v>
      </c>
      <c r="I39" s="531"/>
      <c r="J39" s="629">
        <f>H39/DAY(B2)</f>
        <v>2911.1235714285713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-0.06</v>
      </c>
      <c r="I40" s="531"/>
      <c r="J40" s="629">
        <f>H40/DAY(B2)</f>
        <v>-4.2857142857142859E-3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 t="s">
        <v>215</v>
      </c>
      <c r="D41" s="599" t="s">
        <v>132</v>
      </c>
      <c r="E41" s="586">
        <f>'13'!F41</f>
        <v>59259.87</v>
      </c>
      <c r="F41" s="586">
        <v>59259.87</v>
      </c>
      <c r="G41" s="549">
        <f t="shared" si="3"/>
        <v>0</v>
      </c>
      <c r="H41" s="536">
        <f>G41+'13'!H41</f>
        <v>-4622.5</v>
      </c>
      <c r="I41" s="531"/>
      <c r="J41" s="629">
        <f>H41/DAY(B2)</f>
        <v>-330.17857142857144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-202.75099999999657</v>
      </c>
      <c r="I42" s="531"/>
      <c r="J42" s="629">
        <f>H42/DAY(B2)</f>
        <v>-14.48221428571404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'13'!F43</f>
        <v>790789.19</v>
      </c>
      <c r="F43" s="586">
        <v>793149.27</v>
      </c>
      <c r="G43" s="549">
        <f t="shared" si="3"/>
        <v>2360.0800000000745</v>
      </c>
      <c r="H43" s="536">
        <f>G43+'13'!H43</f>
        <v>-32748.559999999939</v>
      </c>
      <c r="I43" s="531"/>
      <c r="J43" s="629">
        <f>H43/DAY(B2)</f>
        <v>-2339.1828571428528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0</v>
      </c>
      <c r="I45" s="531"/>
      <c r="J45" s="629">
        <f>H45/DAY(B2)</f>
        <v>0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0.49000000000000909</v>
      </c>
      <c r="I46" s="531"/>
      <c r="J46" s="629">
        <f>H46/DAY(B2)</f>
        <v>3.5000000000000649E-2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14869.330000000022</v>
      </c>
      <c r="H47" s="536">
        <f>G47+'13'!H47</f>
        <v>-64340.320999999931</v>
      </c>
      <c r="I47" s="531"/>
      <c r="J47" s="629">
        <f>H47/DAY(B2)</f>
        <v>-4595.7372142857093</v>
      </c>
      <c r="K47" s="467"/>
      <c r="L47" s="408"/>
      <c r="N47" s="800"/>
      <c r="O47" s="807"/>
      <c r="P47" s="413"/>
    </row>
    <row r="48" spans="1:16">
      <c r="A48" s="675" t="s">
        <v>177</v>
      </c>
      <c r="B48" s="1275"/>
      <c r="C48" s="127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'13'!F49</f>
        <v>260732.13</v>
      </c>
      <c r="F49" s="586">
        <v>260732.13</v>
      </c>
      <c r="G49" s="549">
        <f t="shared" ref="G49:G58" si="4">F49-E49</f>
        <v>0</v>
      </c>
      <c r="H49" s="536">
        <f>G49+'13'!H49</f>
        <v>0</v>
      </c>
      <c r="I49" s="531"/>
      <c r="J49" s="629">
        <f>H49/DAY(B2)</f>
        <v>0</v>
      </c>
      <c r="K49" s="467"/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'13'!F50</f>
        <v>383353.91</v>
      </c>
      <c r="F50" s="586">
        <v>384723.19</v>
      </c>
      <c r="G50" s="549">
        <f t="shared" si="4"/>
        <v>1369.2800000000279</v>
      </c>
      <c r="H50" s="536">
        <f>G50+'13'!H50</f>
        <v>-18933.840000000026</v>
      </c>
      <c r="I50" s="531"/>
      <c r="J50" s="629">
        <f>H50/DAY(B2)</f>
        <v>-1352.4171428571447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'13'!F51</f>
        <v>120050.92</v>
      </c>
      <c r="F51" s="586">
        <v>120050.92</v>
      </c>
      <c r="G51" s="549">
        <f t="shared" si="4"/>
        <v>0</v>
      </c>
      <c r="H51" s="536">
        <f>G51+'13'!H51</f>
        <v>-1549</v>
      </c>
      <c r="I51" s="531"/>
      <c r="J51" s="629">
        <f>H51/DAY(B2)</f>
        <v>-110.64285714285714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'13'!F52</f>
        <v>507912.71</v>
      </c>
      <c r="F52" s="586">
        <v>507912.71</v>
      </c>
      <c r="G52" s="549">
        <f t="shared" si="4"/>
        <v>0</v>
      </c>
      <c r="H52" s="536">
        <f>G52+'13'!H52</f>
        <v>-2046</v>
      </c>
      <c r="I52" s="531"/>
      <c r="J52" s="629">
        <f>H52/DAY(B2)</f>
        <v>-146.14285714285714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'13'!F53</f>
        <v>331854.51</v>
      </c>
      <c r="F53" s="586">
        <v>331854.51</v>
      </c>
      <c r="G53" s="549">
        <f t="shared" si="4"/>
        <v>0</v>
      </c>
      <c r="H53" s="536">
        <f>G53+'13'!H53</f>
        <v>-4185</v>
      </c>
      <c r="I53" s="531"/>
      <c r="J53" s="629">
        <f>H53/DAY(B2)</f>
        <v>-298.92857142857144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'13'!F54</f>
        <v>7049.48</v>
      </c>
      <c r="F54" s="586">
        <v>7120.84</v>
      </c>
      <c r="G54" s="549">
        <f t="shared" si="4"/>
        <v>71.360000000000582</v>
      </c>
      <c r="H54" s="536">
        <f>G54+'13'!H54</f>
        <v>-974.79</v>
      </c>
      <c r="I54" s="531"/>
      <c r="J54" s="629">
        <f>H54/DAY(B2)</f>
        <v>-69.627857142857138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'13'!F55</f>
        <v>76422.934999999998</v>
      </c>
      <c r="F55" s="734">
        <v>82061.69</v>
      </c>
      <c r="G55" s="733">
        <f t="shared" si="4"/>
        <v>5638.7550000000047</v>
      </c>
      <c r="H55" s="787">
        <f>G55+'13'!H55</f>
        <v>-40523</v>
      </c>
      <c r="I55" s="788"/>
      <c r="J55" s="789">
        <f>H55/DAY(B2)</f>
        <v>-2894.5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'13'!F56</f>
        <v>557739</v>
      </c>
      <c r="F56" s="734">
        <v>557739</v>
      </c>
      <c r="G56" s="549">
        <f t="shared" si="4"/>
        <v>0</v>
      </c>
      <c r="H56" s="536">
        <f>G56+'13'!H56</f>
        <v>-28312.030000000028</v>
      </c>
      <c r="I56" s="531"/>
      <c r="J56" s="629">
        <f>H56/DAY(B2)</f>
        <v>-2022.2878571428591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'13'!F57</f>
        <v>7711.33</v>
      </c>
      <c r="F57" s="586">
        <v>7711.33</v>
      </c>
      <c r="G57" s="549">
        <f t="shared" si="4"/>
        <v>0</v>
      </c>
      <c r="H57" s="536">
        <f>G57+'13'!H57</f>
        <v>0</v>
      </c>
      <c r="I57" s="531"/>
      <c r="J57" s="629">
        <f>H57/DAY(B2)</f>
        <v>0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'13'!F58</f>
        <v>32719.97</v>
      </c>
      <c r="F58" s="734">
        <v>32945.339999999997</v>
      </c>
      <c r="G58" s="549">
        <f t="shared" si="4"/>
        <v>225.36999999999534</v>
      </c>
      <c r="H58" s="536">
        <f>G58+'13'!H58</f>
        <v>-3119.3600000000006</v>
      </c>
      <c r="I58" s="531"/>
      <c r="J58" s="629">
        <f>H58/DAY(B2)</f>
        <v>-222.81142857142862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7304.7650000000285</v>
      </c>
      <c r="H59" s="536">
        <f>G59+'13'!H59</f>
        <v>-99643.020000000062</v>
      </c>
      <c r="I59" s="531">
        <f>G7-G60</f>
        <v>402.9049999999479</v>
      </c>
      <c r="J59" s="629">
        <f>H59/DAY(B2)</f>
        <v>-7117.3585714285755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22174.095000000052</v>
      </c>
      <c r="H60" s="536">
        <f>G60+'13'!H60</f>
        <v>-149814.34100000004</v>
      </c>
      <c r="I60" s="531">
        <f>G13-G60</f>
        <v>-246.5950000000521</v>
      </c>
      <c r="J60" s="629">
        <f>H60/DAY(B2)</f>
        <v>-10701.02435714286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-7.0000000014260877E-3</v>
      </c>
      <c r="I62" s="591"/>
      <c r="J62" s="629">
        <f>H62/DAY(B2)</f>
        <v>-5.0000000010186341E-4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'13'!F63</f>
        <v>1507.25</v>
      </c>
      <c r="F63" s="590">
        <v>1520.48</v>
      </c>
      <c r="G63" s="549">
        <f t="shared" si="5"/>
        <v>13.230000000000018</v>
      </c>
      <c r="H63" s="536">
        <f>G63+'13'!H63</f>
        <v>-186.87999999999988</v>
      </c>
      <c r="I63" s="591"/>
      <c r="J63" s="629">
        <f>H63/DAY(B2)</f>
        <v>-13.34857142857142</v>
      </c>
      <c r="K63" s="467"/>
      <c r="L63" s="408"/>
      <c r="N63" s="800"/>
      <c r="O63" s="807"/>
      <c r="P63" s="413"/>
    </row>
    <row r="64" spans="1:16" ht="27.75">
      <c r="A64" s="1430" t="s">
        <v>99</v>
      </c>
      <c r="B64" s="1431"/>
      <c r="C64" s="1432"/>
      <c r="D64" s="599" t="s">
        <v>187</v>
      </c>
      <c r="E64" s="590">
        <f>'13'!F64</f>
        <v>116718.44</v>
      </c>
      <c r="F64" s="554">
        <v>117109.7</v>
      </c>
      <c r="G64" s="549">
        <f t="shared" si="5"/>
        <v>391.25999999999476</v>
      </c>
      <c r="H64" s="536">
        <f>G64+'13'!H64</f>
        <v>-6517.6000000000058</v>
      </c>
      <c r="I64" s="556"/>
      <c r="J64" s="629">
        <f>H64/DAY(B2)</f>
        <v>-465.54285714285754</v>
      </c>
      <c r="K64" s="467"/>
      <c r="L64" s="408"/>
      <c r="N64" s="800"/>
      <c r="O64" s="807"/>
      <c r="P64" s="413"/>
    </row>
    <row r="65" spans="1:16" ht="27.75">
      <c r="A65" s="1430" t="s">
        <v>100</v>
      </c>
      <c r="B65" s="1431"/>
      <c r="C65" s="1432"/>
      <c r="D65" s="599" t="s">
        <v>187</v>
      </c>
      <c r="E65" s="590">
        <f>'13'!F65</f>
        <v>126633.84</v>
      </c>
      <c r="F65" s="732">
        <v>127037.93</v>
      </c>
      <c r="G65" s="549">
        <f t="shared" si="5"/>
        <v>404.08999999999651</v>
      </c>
      <c r="H65" s="536">
        <f>G65+'13'!H65</f>
        <v>-5559.3699999999953</v>
      </c>
      <c r="I65" s="565"/>
      <c r="J65" s="629">
        <f>H65/DAY(B2)</f>
        <v>-397.09785714285681</v>
      </c>
      <c r="K65" s="467"/>
      <c r="L65" s="408"/>
      <c r="N65" s="800"/>
      <c r="O65" s="808"/>
      <c r="P65" s="413"/>
    </row>
    <row r="66" spans="1:16" ht="27.75">
      <c r="A66" s="1430" t="s">
        <v>101</v>
      </c>
      <c r="B66" s="1431"/>
      <c r="C66" s="1432"/>
      <c r="D66" s="599" t="s">
        <v>187</v>
      </c>
      <c r="E66" s="590">
        <f>'13'!F66</f>
        <v>19244.102999999999</v>
      </c>
      <c r="F66" s="554">
        <v>19646.939999999999</v>
      </c>
      <c r="G66" s="549">
        <f t="shared" si="5"/>
        <v>402.83699999999953</v>
      </c>
      <c r="H66" s="536">
        <f>G66+'13'!H66</f>
        <v>-5512.8100000000013</v>
      </c>
      <c r="I66" s="556"/>
      <c r="J66" s="629">
        <f>H66/DAY(B2)</f>
        <v>-393.77214285714297</v>
      </c>
      <c r="K66" s="467"/>
      <c r="L66" s="408"/>
      <c r="N66" s="800"/>
      <c r="O66" s="807"/>
      <c r="P66" s="413"/>
    </row>
    <row r="67" spans="1:16" ht="27.75">
      <c r="A67" s="1430" t="s">
        <v>102</v>
      </c>
      <c r="B67" s="1431"/>
      <c r="C67" s="1432"/>
      <c r="D67" s="599" t="s">
        <v>187</v>
      </c>
      <c r="E67" s="590">
        <f>'13'!F67</f>
        <v>197786.33</v>
      </c>
      <c r="F67" s="554">
        <v>198524.69</v>
      </c>
      <c r="G67" s="549">
        <f t="shared" si="5"/>
        <v>738.36000000001513</v>
      </c>
      <c r="H67" s="536">
        <f>G67+'13'!H67</f>
        <v>-9317.1399999999849</v>
      </c>
      <c r="I67" s="565"/>
      <c r="J67" s="629">
        <f>H67/DAY(B2)</f>
        <v>-665.50999999999897</v>
      </c>
      <c r="K67" s="468"/>
      <c r="L67" s="408"/>
      <c r="N67" s="800"/>
      <c r="O67" s="807"/>
      <c r="P67" s="413"/>
    </row>
    <row r="68" spans="1:16" ht="27.75">
      <c r="A68" s="1430" t="s">
        <v>103</v>
      </c>
      <c r="B68" s="1431"/>
      <c r="C68" s="1432"/>
      <c r="D68" s="599" t="s">
        <v>187</v>
      </c>
      <c r="E68" s="590">
        <f>'13'!F68</f>
        <v>67742.77</v>
      </c>
      <c r="F68" s="554">
        <v>68100.536999999997</v>
      </c>
      <c r="G68" s="549">
        <f t="shared" si="5"/>
        <v>357.76699999999255</v>
      </c>
      <c r="H68" s="536">
        <f>G68+'13'!H68</f>
        <v>-4577.9830000000075</v>
      </c>
      <c r="I68" s="592"/>
      <c r="J68" s="629">
        <f>H68/DAY(B2)</f>
        <v>-326.99878571428627</v>
      </c>
      <c r="K68" s="469"/>
      <c r="L68" s="408"/>
      <c r="N68" s="800"/>
      <c r="O68" s="807"/>
      <c r="P68" s="413"/>
    </row>
    <row r="69" spans="1:16" ht="27.75">
      <c r="A69" s="1430" t="s">
        <v>104</v>
      </c>
      <c r="B69" s="1431"/>
      <c r="C69" s="1432"/>
      <c r="D69" s="599" t="s">
        <v>187</v>
      </c>
      <c r="E69" s="590">
        <f>'13'!F69</f>
        <v>59644.04</v>
      </c>
      <c r="F69" s="554">
        <v>59956.39</v>
      </c>
      <c r="G69" s="549">
        <f t="shared" si="5"/>
        <v>312.34999999999854</v>
      </c>
      <c r="H69" s="536">
        <f>G69+'13'!H69</f>
        <v>-4495.6999999999971</v>
      </c>
      <c r="I69" s="592"/>
      <c r="J69" s="629">
        <f>H69/DAY(B2)</f>
        <v>-321.12142857142834</v>
      </c>
      <c r="K69" s="470"/>
      <c r="L69" s="408"/>
      <c r="N69" s="800"/>
      <c r="O69" s="807"/>
      <c r="P69" s="413"/>
    </row>
    <row r="70" spans="1:16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800"/>
      <c r="O71" s="807"/>
      <c r="P71" s="413"/>
    </row>
    <row r="72" spans="1:16" ht="27.75">
      <c r="A72" s="1430" t="s">
        <v>191</v>
      </c>
      <c r="B72" s="1431"/>
      <c r="C72" s="1432"/>
      <c r="D72" s="599" t="s">
        <v>187</v>
      </c>
      <c r="E72" s="595">
        <f>'13'!F72</f>
        <v>849421</v>
      </c>
      <c r="F72" s="735">
        <v>849524</v>
      </c>
      <c r="G72" s="549">
        <f t="shared" ref="G72" si="6">F72-E72</f>
        <v>103</v>
      </c>
      <c r="H72" s="536">
        <f>G72+'12'!H72</f>
        <v>1131</v>
      </c>
      <c r="I72" s="556"/>
      <c r="J72" s="629">
        <f>H72/DAY(B2)</f>
        <v>80.785714285714292</v>
      </c>
      <c r="K72" s="470"/>
      <c r="L72" s="408"/>
      <c r="N72" s="800"/>
      <c r="O72" s="807"/>
      <c r="P72" s="413"/>
    </row>
    <row r="73" spans="1:16" ht="27.75">
      <c r="A73" s="1430" t="s">
        <v>192</v>
      </c>
      <c r="B73" s="1431"/>
      <c r="C73" s="1432"/>
      <c r="D73" s="599" t="s">
        <v>187</v>
      </c>
      <c r="E73" s="595">
        <f>'13'!F73</f>
        <v>885737</v>
      </c>
      <c r="F73" s="736">
        <v>885738</v>
      </c>
      <c r="G73" s="733">
        <f t="shared" ref="G73:G84" si="7">F73-E73</f>
        <v>1</v>
      </c>
      <c r="H73" s="536">
        <f>G73+'13'!H72</f>
        <v>-1170</v>
      </c>
      <c r="I73" s="556"/>
      <c r="J73" s="629">
        <f>H73/DAY(B2)</f>
        <v>-83.571428571428569</v>
      </c>
      <c r="K73" s="469"/>
      <c r="L73" s="408"/>
      <c r="N73" s="800"/>
      <c r="O73" s="807"/>
      <c r="P73" s="413"/>
    </row>
    <row r="74" spans="1:16" ht="27.75">
      <c r="A74" s="1430" t="s">
        <v>193</v>
      </c>
      <c r="B74" s="1431"/>
      <c r="C74" s="1432"/>
      <c r="D74" s="599" t="s">
        <v>187</v>
      </c>
      <c r="E74" s="595">
        <f>'13'!F74</f>
        <v>74.944999999999993</v>
      </c>
      <c r="F74" s="736">
        <v>136.44</v>
      </c>
      <c r="G74" s="549">
        <f t="shared" si="7"/>
        <v>61.495000000000005</v>
      </c>
      <c r="H74" s="536">
        <f>G74+'13'!H74</f>
        <v>-449.73</v>
      </c>
      <c r="I74" s="556"/>
      <c r="J74" s="629">
        <f>H74/DAY(B2)</f>
        <v>-32.123571428571431</v>
      </c>
      <c r="K74" s="470"/>
      <c r="L74" s="408"/>
      <c r="N74" s="800"/>
      <c r="O74" s="807"/>
      <c r="P74" s="413"/>
    </row>
    <row r="75" spans="1:16" ht="27.75">
      <c r="A75" s="1479" t="s">
        <v>194</v>
      </c>
      <c r="B75" s="1480"/>
      <c r="C75" s="1481"/>
      <c r="D75" s="599" t="s">
        <v>187</v>
      </c>
      <c r="E75" s="595">
        <f>'13'!F75</f>
        <v>799.68</v>
      </c>
      <c r="F75" s="736">
        <v>1007.36</v>
      </c>
      <c r="G75" s="549">
        <f t="shared" si="7"/>
        <v>207.68000000000006</v>
      </c>
      <c r="H75" s="536">
        <f>G75+'13'!H75</f>
        <v>-2511.8599999999997</v>
      </c>
      <c r="I75" s="556"/>
      <c r="J75" s="629">
        <f>H75/DAY(B2)</f>
        <v>-179.4185714285714</v>
      </c>
      <c r="K75" s="469"/>
      <c r="L75" s="408"/>
      <c r="N75" s="800"/>
      <c r="O75" s="807"/>
      <c r="P75" s="413"/>
    </row>
    <row r="76" spans="1:16" ht="27.75">
      <c r="A76" s="1479" t="s">
        <v>195</v>
      </c>
      <c r="B76" s="1480"/>
      <c r="C76" s="1481"/>
      <c r="D76" s="599" t="s">
        <v>187</v>
      </c>
      <c r="E76" s="595">
        <f>'13'!F76</f>
        <v>338.88</v>
      </c>
      <c r="F76" s="736">
        <v>429.39</v>
      </c>
      <c r="G76" s="549">
        <f t="shared" si="7"/>
        <v>90.509999999999991</v>
      </c>
      <c r="H76" s="536">
        <f>G76+'13'!H75</f>
        <v>-2629.0299999999997</v>
      </c>
      <c r="I76" s="581"/>
      <c r="J76" s="629">
        <f>H76/DAY(B2)</f>
        <v>-187.78785714285712</v>
      </c>
      <c r="K76" s="469"/>
      <c r="L76" s="408"/>
      <c r="N76" s="800"/>
      <c r="O76" s="807"/>
      <c r="P76" s="413"/>
    </row>
    <row r="77" spans="1:16" ht="27.75">
      <c r="A77" s="1430" t="s">
        <v>196</v>
      </c>
      <c r="B77" s="1431"/>
      <c r="C77" s="1432"/>
      <c r="D77" s="599" t="s">
        <v>187</v>
      </c>
      <c r="E77" s="595">
        <f>'13'!F77</f>
        <v>697837</v>
      </c>
      <c r="F77" s="736">
        <v>697891</v>
      </c>
      <c r="G77" s="733">
        <f t="shared" si="7"/>
        <v>54</v>
      </c>
      <c r="H77" s="536">
        <f>G77+'13'!H77</f>
        <v>-697</v>
      </c>
      <c r="I77" s="581"/>
      <c r="J77" s="629">
        <f>H77/DAY(B2)</f>
        <v>-49.785714285714285</v>
      </c>
      <c r="K77" s="469"/>
      <c r="L77" s="408"/>
      <c r="N77" s="800"/>
      <c r="O77" s="807"/>
      <c r="P77" s="413"/>
    </row>
    <row r="78" spans="1:16" ht="27.75">
      <c r="A78" s="1276" t="s">
        <v>197</v>
      </c>
      <c r="B78" s="1272"/>
      <c r="C78" s="1272"/>
      <c r="D78" s="599" t="s">
        <v>187</v>
      </c>
      <c r="E78" s="595">
        <f>'13'!F78</f>
        <v>647325</v>
      </c>
      <c r="F78" s="737">
        <v>647779</v>
      </c>
      <c r="G78" s="549">
        <f t="shared" si="7"/>
        <v>454</v>
      </c>
      <c r="H78" s="536">
        <f>G78+'13'!H78</f>
        <v>-5084</v>
      </c>
      <c r="I78" s="581"/>
      <c r="J78" s="629">
        <f>H78/DAY(B2)</f>
        <v>-363.14285714285717</v>
      </c>
      <c r="K78" s="469"/>
      <c r="L78" s="408"/>
      <c r="N78" s="800"/>
      <c r="O78" s="807"/>
      <c r="P78" s="413"/>
    </row>
    <row r="79" spans="1:16" ht="27.75">
      <c r="A79" s="1479" t="s">
        <v>92</v>
      </c>
      <c r="B79" s="1480"/>
      <c r="C79" s="1481"/>
      <c r="D79" s="600" t="s">
        <v>187</v>
      </c>
      <c r="E79" s="595">
        <f>'13'!F79</f>
        <v>812198</v>
      </c>
      <c r="F79" s="737">
        <v>812390</v>
      </c>
      <c r="G79" s="549">
        <f t="shared" si="7"/>
        <v>192</v>
      </c>
      <c r="H79" s="536">
        <f>G79+'13'!H78</f>
        <v>-5346</v>
      </c>
      <c r="I79" s="581"/>
      <c r="J79" s="629">
        <f>H79/DAY(B2)</f>
        <v>-381.85714285714283</v>
      </c>
      <c r="K79" s="469"/>
      <c r="L79" s="408"/>
      <c r="N79" s="800"/>
      <c r="O79" s="807"/>
      <c r="P79" s="413"/>
    </row>
    <row r="80" spans="1:16" ht="27.75">
      <c r="A80" s="1479" t="s">
        <v>198</v>
      </c>
      <c r="B80" s="1480"/>
      <c r="C80" s="1481"/>
      <c r="D80" s="600" t="s">
        <v>187</v>
      </c>
      <c r="E80" s="595">
        <f>'13'!F80</f>
        <v>489088.68</v>
      </c>
      <c r="F80" s="736">
        <v>489475.56</v>
      </c>
      <c r="G80" s="549">
        <f t="shared" si="7"/>
        <v>386.88000000000466</v>
      </c>
      <c r="H80" s="536">
        <f>G80+'13'!H79</f>
        <v>-2524.1199999999953</v>
      </c>
      <c r="I80" s="581"/>
      <c r="J80" s="629">
        <f>H80/DAY(B2)</f>
        <v>-180.29428571428539</v>
      </c>
      <c r="K80" s="469"/>
      <c r="L80" s="408"/>
      <c r="N80" s="800"/>
      <c r="O80" s="807"/>
      <c r="P80" s="413"/>
    </row>
    <row r="81" spans="1:16" ht="27.75">
      <c r="A81" s="1479" t="s">
        <v>199</v>
      </c>
      <c r="B81" s="1480"/>
      <c r="C81" s="1481"/>
      <c r="D81" s="600" t="s">
        <v>187</v>
      </c>
      <c r="E81" s="595">
        <f>'13'!F81</f>
        <v>624108.12</v>
      </c>
      <c r="F81" s="736">
        <v>624243.31999999995</v>
      </c>
      <c r="G81" s="549">
        <f t="shared" si="7"/>
        <v>135.19999999995343</v>
      </c>
      <c r="H81" s="536">
        <f>G81+'13'!H81</f>
        <v>-1700.5200000000186</v>
      </c>
      <c r="I81" s="581"/>
      <c r="J81" s="629">
        <f>H81/DAY(B2)</f>
        <v>-121.46571428571562</v>
      </c>
      <c r="K81" s="469"/>
      <c r="L81" s="408"/>
      <c r="N81" s="800"/>
      <c r="O81" s="807"/>
      <c r="P81" s="413"/>
    </row>
    <row r="82" spans="1:16" ht="27.75">
      <c r="A82" s="1479" t="s">
        <v>93</v>
      </c>
      <c r="B82" s="1480"/>
      <c r="C82" s="1481"/>
      <c r="D82" s="561" t="s">
        <v>132</v>
      </c>
      <c r="E82" s="595">
        <f>'13'!F82</f>
        <v>105834.02</v>
      </c>
      <c r="F82" s="732">
        <v>105860.95</v>
      </c>
      <c r="G82" s="549">
        <f t="shared" si="7"/>
        <v>26.929999999993015</v>
      </c>
      <c r="H82" s="536">
        <f>G82+'13'!H82</f>
        <v>-341.52999999999884</v>
      </c>
      <c r="I82" s="562"/>
      <c r="J82" s="629">
        <f>H82/DAY(B2)</f>
        <v>-24.394999999999918</v>
      </c>
      <c r="K82" s="469"/>
      <c r="L82" s="408"/>
      <c r="N82" s="800"/>
      <c r="O82" s="807"/>
      <c r="P82" s="413"/>
    </row>
    <row r="83" spans="1:16" ht="27.75">
      <c r="A83" s="1479" t="s">
        <v>200</v>
      </c>
      <c r="B83" s="1480"/>
      <c r="C83" s="1481"/>
      <c r="D83" s="697" t="s">
        <v>132</v>
      </c>
      <c r="E83" s="595">
        <f>'13'!F83</f>
        <v>989212</v>
      </c>
      <c r="F83" s="587">
        <v>989702</v>
      </c>
      <c r="G83" s="549">
        <f t="shared" si="7"/>
        <v>490</v>
      </c>
      <c r="H83" s="536">
        <f>G83+'13'!H83</f>
        <v>993105</v>
      </c>
      <c r="I83" s="557"/>
      <c r="J83" s="629">
        <f>H83/DAY(B2)</f>
        <v>70936.071428571435</v>
      </c>
      <c r="K83" s="468"/>
      <c r="L83" s="408"/>
      <c r="N83" s="800"/>
      <c r="O83" s="807"/>
      <c r="P83" s="413"/>
    </row>
    <row r="84" spans="1:16">
      <c r="A84" s="1279" t="s">
        <v>201</v>
      </c>
      <c r="B84" s="648"/>
      <c r="C84" s="648"/>
      <c r="D84" s="554" t="s">
        <v>132</v>
      </c>
      <c r="E84" s="595">
        <f>'13'!F84</f>
        <v>422230</v>
      </c>
      <c r="F84" s="704">
        <v>422728</v>
      </c>
      <c r="G84" s="549">
        <f t="shared" si="7"/>
        <v>498</v>
      </c>
      <c r="H84" s="536">
        <f>G84+'13'!H84</f>
        <v>-8070</v>
      </c>
      <c r="I84" s="557"/>
      <c r="J84" s="629">
        <f>H84/DAY(B2)</f>
        <v>-576.42857142857144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2700.6949999999511</v>
      </c>
      <c r="H85" s="536">
        <f>G85+'13'!H85</f>
        <v>962120.94999999984</v>
      </c>
      <c r="I85" s="557"/>
      <c r="J85" s="629">
        <f>H85/DAY(B2)</f>
        <v>68722.924999999988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'13'!F86</f>
        <v>448790.44</v>
      </c>
      <c r="F86" s="728">
        <v>448812.44</v>
      </c>
      <c r="G86" s="787">
        <f t="shared" ref="G86:G90" si="8">F86-E86</f>
        <v>22</v>
      </c>
      <c r="H86" s="787">
        <f t="shared" ref="H86:H88" si="9">G86</f>
        <v>22</v>
      </c>
      <c r="I86" s="733"/>
      <c r="J86" s="789">
        <f>H86/DAY(B2)</f>
        <v>1.5714285714285714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'13'!F87</f>
        <v>78813</v>
      </c>
      <c r="F87" s="728">
        <v>78823.5</v>
      </c>
      <c r="G87" s="787">
        <f t="shared" si="8"/>
        <v>10.5</v>
      </c>
      <c r="H87" s="787">
        <f t="shared" si="9"/>
        <v>10.5</v>
      </c>
      <c r="I87" s="733"/>
      <c r="J87" s="789">
        <f>H87/DAY(B2)</f>
        <v>0.75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'13'!F88</f>
        <v>147355.99</v>
      </c>
      <c r="F88" s="728">
        <v>147397.81</v>
      </c>
      <c r="G88" s="787">
        <f t="shared" si="8"/>
        <v>41.820000000006985</v>
      </c>
      <c r="H88" s="787">
        <f t="shared" si="9"/>
        <v>41.820000000006985</v>
      </c>
      <c r="I88" s="733"/>
      <c r="J88" s="789">
        <f>H88/DAY(B2)</f>
        <v>2.9871428571433563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'13'!F89</f>
        <v>60681</v>
      </c>
      <c r="F89" s="728">
        <v>60730.1</v>
      </c>
      <c r="G89" s="787">
        <f t="shared" si="8"/>
        <v>49.099999999998545</v>
      </c>
      <c r="H89" s="787">
        <f>G89</f>
        <v>49.099999999998545</v>
      </c>
      <c r="I89" s="733"/>
      <c r="J89" s="789">
        <f>H89/DAY(B2)</f>
        <v>3.5071428571427532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'13'!F90</f>
        <v>3112.1</v>
      </c>
      <c r="F90" s="728">
        <v>3113.1</v>
      </c>
      <c r="G90" s="787">
        <f t="shared" si="8"/>
        <v>1</v>
      </c>
      <c r="H90" s="787">
        <f>G90</f>
        <v>1</v>
      </c>
      <c r="I90" s="733"/>
      <c r="J90" s="789">
        <f>H90/DAY(B2)</f>
        <v>7.1428571428571425E-2</v>
      </c>
      <c r="K90" s="815"/>
      <c r="L90" s="816"/>
      <c r="N90" s="860"/>
      <c r="O90" s="413"/>
    </row>
    <row r="91" spans="1:16" s="410" customFormat="1">
      <c r="A91" s="683" t="s">
        <v>205</v>
      </c>
      <c r="B91" s="1277"/>
      <c r="C91" s="1277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33" t="s">
        <v>206</v>
      </c>
      <c r="B92" s="1434"/>
      <c r="C92" s="1435"/>
      <c r="D92" s="599" t="s">
        <v>144</v>
      </c>
      <c r="E92" s="560">
        <f>'13'!F92</f>
        <v>237940</v>
      </c>
      <c r="F92" s="554">
        <v>238106</v>
      </c>
      <c r="G92" s="549">
        <f t="shared" ref="G92:G93" si="10">F92-E92</f>
        <v>166</v>
      </c>
      <c r="H92" s="536">
        <f>G92+'13'!H92</f>
        <v>-1589</v>
      </c>
      <c r="I92" s="556"/>
      <c r="J92" s="629">
        <f>H92/DAY(B2)</f>
        <v>-113.5</v>
      </c>
      <c r="K92" s="468"/>
      <c r="L92" s="408"/>
      <c r="N92" s="800"/>
      <c r="O92" s="807"/>
      <c r="P92" s="413"/>
    </row>
    <row r="93" spans="1:16" ht="27.75">
      <c r="A93" s="1433" t="s">
        <v>207</v>
      </c>
      <c r="B93" s="1434"/>
      <c r="C93" s="1435"/>
      <c r="D93" s="599" t="s">
        <v>144</v>
      </c>
      <c r="E93" s="560">
        <f>'13'!F93</f>
        <v>173275</v>
      </c>
      <c r="F93" s="554">
        <v>173449</v>
      </c>
      <c r="G93" s="549">
        <f t="shared" si="10"/>
        <v>174</v>
      </c>
      <c r="H93" s="536">
        <f>G93+'13'!H93</f>
        <v>-2212</v>
      </c>
      <c r="I93" s="556"/>
      <c r="J93" s="629">
        <f>H93/DAY(B2)</f>
        <v>-158</v>
      </c>
      <c r="K93" s="411"/>
      <c r="L93" s="408"/>
      <c r="N93" s="800"/>
      <c r="O93" s="807"/>
      <c r="P93" s="413"/>
    </row>
    <row r="94" spans="1:16">
      <c r="A94" s="1427" t="s">
        <v>208</v>
      </c>
      <c r="B94" s="1428"/>
      <c r="C94" s="1429"/>
      <c r="D94" s="599"/>
      <c r="E94" s="560">
        <f>'13'!F94</f>
        <v>0</v>
      </c>
      <c r="F94" s="554"/>
      <c r="G94" s="549">
        <f>G92+G93</f>
        <v>340</v>
      </c>
      <c r="H94" s="536">
        <f>G94+'13'!H94</f>
        <v>-4067</v>
      </c>
      <c r="I94" s="556"/>
      <c r="J94" s="629">
        <f>H94/DAY(B2)</f>
        <v>-290.5</v>
      </c>
      <c r="K94" s="411"/>
      <c r="L94" s="408"/>
      <c r="N94" s="800"/>
      <c r="O94" s="807"/>
      <c r="P94" s="413"/>
    </row>
    <row r="95" spans="1:16" ht="27.75">
      <c r="A95" s="1433" t="s">
        <v>209</v>
      </c>
      <c r="B95" s="1434"/>
      <c r="C95" s="1435"/>
      <c r="D95" s="599" t="s">
        <v>144</v>
      </c>
      <c r="E95" s="560">
        <f>'13'!F95</f>
        <v>406788</v>
      </c>
      <c r="F95" s="554">
        <v>406909</v>
      </c>
      <c r="G95" s="549">
        <f t="shared" ref="G95:G100" si="11">F95-E95</f>
        <v>121</v>
      </c>
      <c r="H95" s="536">
        <f>G95+'13'!H95</f>
        <v>-1247</v>
      </c>
      <c r="I95" s="556"/>
      <c r="J95" s="629">
        <f>H95/DAY(B2)</f>
        <v>-89.071428571428569</v>
      </c>
      <c r="K95" s="411"/>
      <c r="L95" s="408"/>
      <c r="N95" s="800"/>
      <c r="O95" s="807"/>
      <c r="P95" s="413"/>
    </row>
    <row r="96" spans="1:16" ht="27.75">
      <c r="A96" s="1273" t="s">
        <v>210</v>
      </c>
      <c r="B96" s="1274"/>
      <c r="C96" s="1274"/>
      <c r="D96" s="599" t="s">
        <v>144</v>
      </c>
      <c r="E96" s="560">
        <f>'13'!F96</f>
        <v>101019</v>
      </c>
      <c r="F96" s="554">
        <v>101066</v>
      </c>
      <c r="G96" s="549">
        <f t="shared" si="11"/>
        <v>47</v>
      </c>
      <c r="H96" s="536">
        <f>G96+'13'!H96</f>
        <v>-266</v>
      </c>
      <c r="I96" s="556"/>
      <c r="J96" s="629">
        <f>H96/DAY(B2)</f>
        <v>-19</v>
      </c>
      <c r="K96" s="466"/>
      <c r="L96" s="408"/>
      <c r="N96" s="800"/>
      <c r="O96" s="807"/>
      <c r="P96" s="413"/>
    </row>
    <row r="97" spans="1:16" ht="27.75">
      <c r="A97" s="1273" t="s">
        <v>211</v>
      </c>
      <c r="B97" s="1274"/>
      <c r="C97" s="1274"/>
      <c r="D97" s="599" t="s">
        <v>144</v>
      </c>
      <c r="E97" s="560">
        <f>'13'!F97</f>
        <v>96072</v>
      </c>
      <c r="F97" s="554">
        <v>96118</v>
      </c>
      <c r="G97" s="549">
        <f t="shared" si="11"/>
        <v>46</v>
      </c>
      <c r="H97" s="536">
        <f>G97+'13'!H97</f>
        <v>-331</v>
      </c>
      <c r="I97" s="556"/>
      <c r="J97" s="629">
        <f>H97/DAY(B2)</f>
        <v>-23.642857142857142</v>
      </c>
      <c r="K97" s="471"/>
      <c r="L97" s="408"/>
      <c r="N97" s="800"/>
      <c r="O97" s="807"/>
      <c r="P97" s="413"/>
    </row>
    <row r="98" spans="1:16" ht="27.75">
      <c r="A98" s="1273" t="s">
        <v>212</v>
      </c>
      <c r="B98" s="1274"/>
      <c r="C98" s="1274"/>
      <c r="D98" s="599" t="s">
        <v>144</v>
      </c>
      <c r="E98" s="560">
        <f>'13'!F98</f>
        <v>146459</v>
      </c>
      <c r="F98" s="554">
        <v>146530</v>
      </c>
      <c r="G98" s="549">
        <f t="shared" si="11"/>
        <v>71</v>
      </c>
      <c r="H98" s="536">
        <f>G98+'13'!H98</f>
        <v>-1078</v>
      </c>
      <c r="I98" s="556"/>
      <c r="J98" s="629">
        <f>H98/DAY(B2)</f>
        <v>-77</v>
      </c>
      <c r="K98" s="411"/>
      <c r="L98" s="408"/>
      <c r="N98" s="802"/>
      <c r="O98" s="807"/>
      <c r="P98" s="413"/>
    </row>
    <row r="99" spans="1:16" ht="27.75">
      <c r="A99" s="1273" t="s">
        <v>213</v>
      </c>
      <c r="B99" s="1274"/>
      <c r="C99" s="1274"/>
      <c r="D99" s="599" t="s">
        <v>144</v>
      </c>
      <c r="E99" s="560">
        <f>'13'!F99</f>
        <v>6118</v>
      </c>
      <c r="F99" s="554">
        <v>6137</v>
      </c>
      <c r="G99" s="549">
        <f t="shared" si="11"/>
        <v>19</v>
      </c>
      <c r="H99" s="536">
        <f>G99+'13'!H99</f>
        <v>-271</v>
      </c>
      <c r="I99" s="556"/>
      <c r="J99" s="629">
        <f>H99/DAY(B2)</f>
        <v>-19.357142857142858</v>
      </c>
      <c r="K99" s="411"/>
      <c r="L99" s="408"/>
      <c r="N99" s="800"/>
      <c r="O99" s="807"/>
      <c r="P99" s="413"/>
    </row>
    <row r="100" spans="1:16" ht="27.75">
      <c r="A100" s="1273" t="s">
        <v>214</v>
      </c>
      <c r="B100" s="1274"/>
      <c r="C100" s="1274"/>
      <c r="D100" s="599" t="s">
        <v>144</v>
      </c>
      <c r="E100" s="560">
        <f>'13'!F100</f>
        <v>4342</v>
      </c>
      <c r="F100" s="554">
        <v>4366</v>
      </c>
      <c r="G100" s="549">
        <f t="shared" si="11"/>
        <v>24</v>
      </c>
      <c r="H100" s="536">
        <f>G100+'13'!H100</f>
        <v>-177</v>
      </c>
      <c r="I100" s="556"/>
      <c r="J100" s="629">
        <f>H100/DAY(B2)</f>
        <v>-12.642857142857142</v>
      </c>
      <c r="K100" s="411"/>
      <c r="L100" s="408"/>
      <c r="N100" s="800"/>
      <c r="O100" s="807"/>
      <c r="P100" s="413"/>
    </row>
    <row r="101" spans="1:16">
      <c r="A101" s="1427" t="s">
        <v>216</v>
      </c>
      <c r="B101" s="1428"/>
      <c r="C101" s="1429"/>
      <c r="D101" s="600"/>
      <c r="E101" s="560"/>
      <c r="F101" s="600"/>
      <c r="G101" s="601">
        <f>SUM(G95:G100)</f>
        <v>328</v>
      </c>
      <c r="H101" s="536">
        <f>G101+'13'!H101</f>
        <v>-3370</v>
      </c>
      <c r="I101" s="602"/>
      <c r="J101" s="629">
        <f>H101/DAY(B2)</f>
        <v>-240.71428571428572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6" t="s">
        <v>218</v>
      </c>
      <c r="B103" s="1437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38" t="s">
        <v>219</v>
      </c>
      <c r="B104" s="1439"/>
      <c r="C104" s="1278"/>
      <c r="D104" s="699" t="s">
        <v>144</v>
      </c>
      <c r="E104" s="560">
        <f>'13'!F104</f>
        <v>7010</v>
      </c>
      <c r="F104" s="739">
        <v>7097</v>
      </c>
      <c r="G104" s="608">
        <f>F104-E104</f>
        <v>87</v>
      </c>
      <c r="H104" s="609">
        <f>SUM(G104+'1'!G76)</f>
        <v>166.15000000000009</v>
      </c>
      <c r="I104" s="608"/>
      <c r="J104" s="635">
        <f>H104/DAY(B2)</f>
        <v>11.867857142857149</v>
      </c>
      <c r="N104" s="800"/>
      <c r="O104" s="807"/>
      <c r="P104" s="413"/>
    </row>
    <row r="105" spans="1:16" s="481" customFormat="1" ht="27.75">
      <c r="A105" s="1438" t="s">
        <v>77</v>
      </c>
      <c r="B105" s="1439"/>
      <c r="C105" s="1278"/>
      <c r="D105" s="699" t="s">
        <v>144</v>
      </c>
      <c r="E105" s="560">
        <f>'13'!F105</f>
        <v>35257</v>
      </c>
      <c r="F105" s="740">
        <v>35268</v>
      </c>
      <c r="G105" s="608">
        <f t="shared" ref="G105:G106" si="12">F105-E105</f>
        <v>11</v>
      </c>
      <c r="H105" s="609">
        <f>SUM(G105+'1'!G77)</f>
        <v>56</v>
      </c>
      <c r="I105" s="608"/>
      <c r="J105" s="635">
        <f>H105/DAY(B2)</f>
        <v>4</v>
      </c>
      <c r="N105" s="800"/>
      <c r="O105" s="807"/>
      <c r="P105" s="413"/>
    </row>
    <row r="106" spans="1:16" s="481" customFormat="1" ht="27.75">
      <c r="A106" s="1438" t="s">
        <v>78</v>
      </c>
      <c r="B106" s="1440"/>
      <c r="C106" s="1439"/>
      <c r="D106" s="699" t="s">
        <v>144</v>
      </c>
      <c r="E106" s="560">
        <f>'13'!F106</f>
        <v>19152</v>
      </c>
      <c r="F106" s="740">
        <v>19157</v>
      </c>
      <c r="G106" s="608">
        <f t="shared" si="12"/>
        <v>5</v>
      </c>
      <c r="H106" s="609">
        <f>SUM(G106+'1'!G78)</f>
        <v>395</v>
      </c>
      <c r="I106" s="608"/>
      <c r="J106" s="635">
        <f>H106/DAY(B2)</f>
        <v>28.214285714285715</v>
      </c>
      <c r="N106" s="800"/>
      <c r="O106" s="807"/>
      <c r="P106" s="413"/>
    </row>
    <row r="107" spans="1:16" s="481" customFormat="1" ht="27.75">
      <c r="A107" s="1441" t="s">
        <v>202</v>
      </c>
      <c r="B107" s="1442"/>
      <c r="C107" s="1278"/>
      <c r="D107" s="699"/>
      <c r="E107" s="560">
        <f>'13'!F107</f>
        <v>0</v>
      </c>
      <c r="F107" s="740"/>
      <c r="G107" s="608">
        <f>SUM(G104:G106)</f>
        <v>103</v>
      </c>
      <c r="H107" s="609">
        <f>SUM(G107+'1'!G79)</f>
        <v>295</v>
      </c>
      <c r="I107" s="608"/>
      <c r="J107" s="635">
        <f>H107/DAY(B2)</f>
        <v>21.071428571428573</v>
      </c>
      <c r="N107" s="800"/>
      <c r="O107" s="807"/>
      <c r="P107" s="413"/>
    </row>
    <row r="108" spans="1:16" s="481" customFormat="1" ht="27.75">
      <c r="A108" s="1443" t="s">
        <v>79</v>
      </c>
      <c r="B108" s="1444"/>
      <c r="C108" s="1278"/>
      <c r="D108" s="699" t="s">
        <v>144</v>
      </c>
      <c r="E108" s="560">
        <f>'13'!F108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38" t="s">
        <v>220</v>
      </c>
      <c r="B109" s="1439"/>
      <c r="C109" s="1278"/>
      <c r="D109" s="699" t="s">
        <v>144</v>
      </c>
      <c r="E109" s="560">
        <f>'13'!F109</f>
        <v>55445</v>
      </c>
      <c r="F109" s="740">
        <v>55505</v>
      </c>
      <c r="G109" s="608">
        <f>F109-E109</f>
        <v>60</v>
      </c>
      <c r="H109" s="609">
        <f>SUM(G109+'1'!G81)</f>
        <v>172.56000000005588</v>
      </c>
      <c r="I109" s="608"/>
      <c r="J109" s="635">
        <f>H109/DAY(B2)</f>
        <v>12.325714285718277</v>
      </c>
      <c r="N109" s="800"/>
      <c r="O109" s="807"/>
      <c r="P109" s="413"/>
    </row>
    <row r="110" spans="1:16" s="481" customFormat="1" ht="27.75">
      <c r="A110" s="1438" t="s">
        <v>221</v>
      </c>
      <c r="B110" s="1439"/>
      <c r="C110" s="1278"/>
      <c r="D110" s="699" t="s">
        <v>144</v>
      </c>
      <c r="E110" s="560">
        <f>'13'!F110</f>
        <v>29391</v>
      </c>
      <c r="F110" s="740">
        <v>29433</v>
      </c>
      <c r="G110" s="608">
        <f t="shared" ref="G110:G111" si="13">F110-E110</f>
        <v>42</v>
      </c>
      <c r="H110" s="609">
        <f>SUM(G110+'1'!G82)</f>
        <v>60.169999999998254</v>
      </c>
      <c r="I110" s="608"/>
      <c r="J110" s="635">
        <f>H110/DAY(B2)</f>
        <v>4.2978571428570183</v>
      </c>
      <c r="N110" s="800"/>
      <c r="O110" s="807"/>
      <c r="P110" s="413"/>
    </row>
    <row r="111" spans="1:16" s="481" customFormat="1" ht="27.75">
      <c r="A111" s="1438" t="s">
        <v>222</v>
      </c>
      <c r="B111" s="1439"/>
      <c r="C111" s="1278"/>
      <c r="D111" s="699" t="s">
        <v>144</v>
      </c>
      <c r="E111" s="560">
        <f>'13'!F111</f>
        <v>3870</v>
      </c>
      <c r="F111" s="740">
        <v>3870</v>
      </c>
      <c r="G111" s="608">
        <f t="shared" si="13"/>
        <v>0</v>
      </c>
      <c r="H111" s="609">
        <f>SUM(G111+'1'!G83)</f>
        <v>520</v>
      </c>
      <c r="I111" s="608"/>
      <c r="J111" s="635">
        <f>H111/DAY(B2)</f>
        <v>37.142857142857146</v>
      </c>
      <c r="N111" s="800"/>
      <c r="O111" s="807"/>
      <c r="P111" s="413"/>
    </row>
    <row r="112" spans="1:16" s="481" customFormat="1" ht="27.75">
      <c r="A112" s="1441" t="s">
        <v>110</v>
      </c>
      <c r="B112" s="1442"/>
      <c r="C112" s="1278"/>
      <c r="D112" s="699"/>
      <c r="E112" s="560">
        <f>'13'!F112</f>
        <v>0</v>
      </c>
      <c r="F112" s="740"/>
      <c r="G112" s="608">
        <f>SUM(G109:G111)</f>
        <v>102</v>
      </c>
      <c r="H112" s="609">
        <f>SUM(G112+'1'!G84)</f>
        <v>792</v>
      </c>
      <c r="I112" s="608"/>
      <c r="J112" s="635">
        <f>H112/DAY(B2)</f>
        <v>56.571428571428569</v>
      </c>
      <c r="N112" s="800"/>
      <c r="O112" s="807"/>
      <c r="P112" s="413"/>
    </row>
    <row r="113" spans="1:16" s="481" customFormat="1" ht="27.75">
      <c r="A113" s="1443" t="s">
        <v>223</v>
      </c>
      <c r="B113" s="1444"/>
      <c r="C113" s="1278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38" t="s">
        <v>224</v>
      </c>
      <c r="B114" s="1439"/>
      <c r="C114" s="651"/>
      <c r="D114" s="699" t="s">
        <v>144</v>
      </c>
      <c r="E114" s="560">
        <f>'13'!F114</f>
        <v>9979</v>
      </c>
      <c r="F114" s="740">
        <v>10001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1.5714285714285714</v>
      </c>
      <c r="N114" s="800"/>
      <c r="O114" s="807"/>
      <c r="P114" s="413"/>
    </row>
    <row r="115" spans="1:16" s="481" customFormat="1" ht="27.75">
      <c r="A115" s="1438" t="s">
        <v>225</v>
      </c>
      <c r="B115" s="1439"/>
      <c r="C115" s="651"/>
      <c r="D115" s="699" t="s">
        <v>144</v>
      </c>
      <c r="E115" s="560">
        <f>'13'!F115</f>
        <v>7509</v>
      </c>
      <c r="F115" s="740">
        <v>7529</v>
      </c>
      <c r="G115" s="610">
        <f t="shared" ref="G115:G116" si="14">F115-E115</f>
        <v>20</v>
      </c>
      <c r="H115" s="609">
        <f>SUM(G115+'1'!G92)</f>
        <v>142</v>
      </c>
      <c r="I115" s="608"/>
      <c r="J115" s="635">
        <f>H115/DAY(B2)</f>
        <v>10.142857142857142</v>
      </c>
      <c r="N115" s="800"/>
      <c r="O115" s="807"/>
      <c r="P115" s="413"/>
    </row>
    <row r="116" spans="1:16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4"/>
        <v>0</v>
      </c>
      <c r="H116" s="609">
        <f>SUM(G116+'1'!G93)</f>
        <v>144</v>
      </c>
      <c r="I116" s="608"/>
      <c r="J116" s="635">
        <f>H116/DAY(B2)</f>
        <v>10.285714285714286</v>
      </c>
      <c r="N116" s="800"/>
      <c r="O116" s="807"/>
      <c r="P116" s="413"/>
    </row>
    <row r="117" spans="1:16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42</v>
      </c>
      <c r="H117" s="609">
        <f>SUM(G117+'1'!G95)</f>
        <v>118</v>
      </c>
      <c r="I117" s="610"/>
      <c r="J117" s="635">
        <f>H117/DAY(B2)</f>
        <v>8.4285714285714288</v>
      </c>
      <c r="N117" s="800"/>
      <c r="O117" s="807"/>
      <c r="P117" s="413"/>
    </row>
    <row r="118" spans="1:16" s="495" customFormat="1" ht="27.75">
      <c r="A118" s="1472" t="s">
        <v>227</v>
      </c>
      <c r="B118" s="1473"/>
      <c r="C118" s="1281"/>
      <c r="D118" s="701" t="s">
        <v>144</v>
      </c>
      <c r="E118" s="612"/>
      <c r="F118" s="741"/>
      <c r="G118" s="612">
        <f>SUM(G19+G92)</f>
        <v>217</v>
      </c>
      <c r="H118" s="609">
        <f>SUM(G118+'1'!G96)</f>
        <v>230</v>
      </c>
      <c r="I118" s="611"/>
      <c r="J118" s="636">
        <f>H118/DAY(B2)</f>
        <v>16.428571428571427</v>
      </c>
      <c r="N118" s="800"/>
      <c r="O118" s="807"/>
      <c r="P118" s="413"/>
    </row>
    <row r="119" spans="1:16" s="495" customFormat="1" ht="27.75">
      <c r="A119" s="1472" t="s">
        <v>228</v>
      </c>
      <c r="B119" s="1473"/>
      <c r="C119" s="1281"/>
      <c r="D119" s="701" t="s">
        <v>144</v>
      </c>
      <c r="E119" s="612"/>
      <c r="F119" s="741">
        <f>SUM(G95,G96,G97,G99,G100)</f>
        <v>257</v>
      </c>
      <c r="G119" s="612">
        <f>SUM(G95,G96,G97,G99,G100)</f>
        <v>257</v>
      </c>
      <c r="H119" s="609">
        <f>SUM(G119+'1'!G98)</f>
        <v>327</v>
      </c>
      <c r="I119" s="611"/>
      <c r="J119" s="636">
        <f>H119/DAY(B2)</f>
        <v>23.357142857142858</v>
      </c>
      <c r="N119" s="800"/>
      <c r="O119" s="807"/>
      <c r="P119" s="413"/>
    </row>
    <row r="120" spans="1:16" s="495" customFormat="1" ht="27.75">
      <c r="A120" s="1472" t="s">
        <v>229</v>
      </c>
      <c r="B120" s="1473"/>
      <c r="C120" s="1281"/>
      <c r="D120" s="701" t="s">
        <v>144</v>
      </c>
      <c r="E120" s="610"/>
      <c r="F120" s="740">
        <f>SUM(G112)</f>
        <v>102</v>
      </c>
      <c r="G120" s="610">
        <f>SUM(G112)</f>
        <v>102</v>
      </c>
      <c r="H120" s="609">
        <f>SUM(G120+'1'!G100)</f>
        <v>116</v>
      </c>
      <c r="I120" s="611"/>
      <c r="J120" s="636">
        <f>H120/DAY(B2)</f>
        <v>8.2857142857142865</v>
      </c>
      <c r="N120" s="800"/>
      <c r="O120" s="807"/>
      <c r="P120" s="413"/>
    </row>
    <row r="121" spans="1:16" s="481" customFormat="1" ht="27.75">
      <c r="A121" s="1474"/>
      <c r="B121" s="1475"/>
      <c r="C121" s="1282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73" t="s">
        <v>231</v>
      </c>
      <c r="B123" s="1274"/>
      <c r="C123" s="1274"/>
      <c r="D123" s="599" t="s">
        <v>141</v>
      </c>
      <c r="E123" s="554">
        <f>'13'!F123</f>
        <v>806998.4</v>
      </c>
      <c r="F123" s="554">
        <v>807305.93</v>
      </c>
      <c r="G123" s="549">
        <f t="shared" ref="G123:G127" si="15">F123-E123</f>
        <v>307.53000000002794</v>
      </c>
      <c r="H123" s="536">
        <f>G123+'13'!H123</f>
        <v>-3700.9099999999162</v>
      </c>
      <c r="I123" s="602"/>
      <c r="J123" s="629">
        <f>H123/DAY(B2)</f>
        <v>-264.35071428570831</v>
      </c>
      <c r="K123" s="411"/>
      <c r="L123" s="408"/>
      <c r="N123" s="800"/>
      <c r="O123" s="807"/>
      <c r="P123" s="413"/>
    </row>
    <row r="124" spans="1:16" ht="27.75">
      <c r="A124" s="1273" t="s">
        <v>232</v>
      </c>
      <c r="B124" s="1274"/>
      <c r="C124" s="1274"/>
      <c r="D124" s="599" t="s">
        <v>141</v>
      </c>
      <c r="E124" s="703">
        <f>'13'!F124</f>
        <v>73583.399999999994</v>
      </c>
      <c r="F124" s="703">
        <v>73583.399999999994</v>
      </c>
      <c r="G124" s="549">
        <f t="shared" si="15"/>
        <v>0</v>
      </c>
      <c r="H124" s="536">
        <f>G124+'13'!H124</f>
        <v>0</v>
      </c>
      <c r="I124" s="602"/>
      <c r="J124" s="629">
        <f>H124/DAY(B2)</f>
        <v>0</v>
      </c>
      <c r="K124" s="411"/>
      <c r="L124" s="408"/>
      <c r="N124" s="800"/>
      <c r="O124" s="807"/>
      <c r="P124" s="413"/>
    </row>
    <row r="125" spans="1:16" ht="27.75">
      <c r="A125" s="1430" t="s">
        <v>233</v>
      </c>
      <c r="B125" s="1431"/>
      <c r="C125" s="1432"/>
      <c r="D125" s="599" t="s">
        <v>141</v>
      </c>
      <c r="E125" s="554">
        <f>'13'!F125</f>
        <v>138746.25</v>
      </c>
      <c r="F125" s="554">
        <v>138858.59</v>
      </c>
      <c r="G125" s="549">
        <f t="shared" si="15"/>
        <v>112.33999999999651</v>
      </c>
      <c r="H125" s="536">
        <f>G125+'13'!H125</f>
        <v>-1120.75</v>
      </c>
      <c r="I125" s="602"/>
      <c r="J125" s="629">
        <f>H125/DAY(B2)</f>
        <v>-80.053571428571431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274"/>
      <c r="C126" s="1274"/>
      <c r="D126" s="599" t="s">
        <v>141</v>
      </c>
      <c r="E126" s="703">
        <f>'13'!F126</f>
        <v>58895.3</v>
      </c>
      <c r="F126" s="703">
        <v>58947.4</v>
      </c>
      <c r="G126" s="549">
        <f t="shared" si="15"/>
        <v>52.099999999998545</v>
      </c>
      <c r="H126" s="536">
        <f>G126+'13'!H126</f>
        <v>-359.5</v>
      </c>
      <c r="I126" s="602"/>
      <c r="J126" s="629">
        <f>H126/DAY(B2)</f>
        <v>-25.678571428571427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274"/>
      <c r="C127" s="1274"/>
      <c r="D127" s="599" t="s">
        <v>141</v>
      </c>
      <c r="E127" s="703">
        <f>'13'!F127</f>
        <v>8847.2999999999993</v>
      </c>
      <c r="F127" s="703">
        <v>8855.7999999999993</v>
      </c>
      <c r="G127" s="549">
        <f t="shared" si="15"/>
        <v>8.5</v>
      </c>
      <c r="H127" s="536">
        <f>G127+'13'!H127</f>
        <v>-32</v>
      </c>
      <c r="I127" s="556"/>
      <c r="J127" s="629">
        <f>H127/DAY(B2)</f>
        <v>-2.2857142857142856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274"/>
      <c r="C128" s="1274"/>
      <c r="D128" s="599"/>
      <c r="E128" s="554"/>
      <c r="F128" s="554"/>
      <c r="G128" s="549">
        <f>G15-SUM(G123:G127)</f>
        <v>655.02299999999377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73" t="s">
        <v>238</v>
      </c>
      <c r="B130" s="1274"/>
      <c r="C130" s="1274"/>
      <c r="D130" s="599" t="s">
        <v>239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73" t="s">
        <v>240</v>
      </c>
      <c r="B131" s="1274"/>
      <c r="C131" s="1274"/>
      <c r="D131" s="599" t="s">
        <v>239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73" t="s">
        <v>241</v>
      </c>
      <c r="B132" s="1274"/>
      <c r="C132" s="1274"/>
      <c r="D132" s="599" t="s">
        <v>239</v>
      </c>
      <c r="E132" s="618">
        <f>'13'!F132</f>
        <v>39191.29</v>
      </c>
      <c r="F132" s="732">
        <v>39191.29</v>
      </c>
      <c r="G132" s="549">
        <f t="shared" si="16"/>
        <v>0</v>
      </c>
      <c r="H132" s="536">
        <f>G132+'13'!H132</f>
        <v>362.29000000000087</v>
      </c>
      <c r="I132" s="556"/>
      <c r="J132" s="629">
        <f>H132/DAY(B2)</f>
        <v>25.877857142857206</v>
      </c>
      <c r="N132" s="800"/>
      <c r="O132" s="807"/>
      <c r="P132" s="413"/>
    </row>
    <row r="133" spans="1:16" ht="27.75">
      <c r="A133" s="1273" t="s">
        <v>242</v>
      </c>
      <c r="B133" s="1274"/>
      <c r="C133" s="1274"/>
      <c r="D133" s="599" t="s">
        <v>239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-1</v>
      </c>
      <c r="I133" s="556">
        <f>G130+G131+G132+G133</f>
        <v>0</v>
      </c>
      <c r="J133" s="629">
        <f>H133/DAY(B2)</f>
        <v>-7.1428571428571425E-2</v>
      </c>
      <c r="N133" s="800"/>
      <c r="O133" s="807"/>
      <c r="P133" s="413"/>
    </row>
    <row r="134" spans="1:16" ht="27.75">
      <c r="A134" s="1273" t="s">
        <v>243</v>
      </c>
      <c r="B134" s="1274"/>
      <c r="C134" s="1274"/>
      <c r="D134" s="599" t="s">
        <v>239</v>
      </c>
      <c r="E134" s="782">
        <f>'13'!F134</f>
        <v>40176.080000000002</v>
      </c>
      <c r="F134" s="703">
        <v>40200.25</v>
      </c>
      <c r="G134" s="549">
        <f t="shared" si="16"/>
        <v>24.169999999998254</v>
      </c>
      <c r="H134" s="536">
        <f>G134+'13'!H134</f>
        <v>-166.88999999999942</v>
      </c>
      <c r="I134" s="556"/>
      <c r="J134" s="629">
        <f>H134/DAY(B2)</f>
        <v>-11.920714285714244</v>
      </c>
      <c r="N134" s="800"/>
      <c r="O134" s="807"/>
      <c r="P134" s="413"/>
    </row>
    <row r="135" spans="1:16" ht="27.75">
      <c r="A135" s="1273" t="s">
        <v>244</v>
      </c>
      <c r="B135" s="1274"/>
      <c r="C135" s="1274"/>
      <c r="D135" s="599" t="s">
        <v>239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-148</v>
      </c>
      <c r="I135" s="556"/>
      <c r="J135" s="629">
        <f>H135/DAY(B2)</f>
        <v>-10.571428571428571</v>
      </c>
      <c r="N135" s="800"/>
      <c r="O135" s="807"/>
      <c r="P135" s="413"/>
    </row>
    <row r="136" spans="1:16" ht="27.75">
      <c r="A136" s="1273" t="s">
        <v>245</v>
      </c>
      <c r="B136" s="1274"/>
      <c r="C136" s="1274"/>
      <c r="D136" s="599" t="s">
        <v>239</v>
      </c>
      <c r="E136" s="618">
        <f>'13'!F136</f>
        <v>22089.439999999999</v>
      </c>
      <c r="F136" s="732">
        <v>22099.41</v>
      </c>
      <c r="G136" s="549">
        <f t="shared" si="16"/>
        <v>9.9700000000011642</v>
      </c>
      <c r="H136" s="536">
        <f>G136+'13'!H136</f>
        <v>-122.79999999999927</v>
      </c>
      <c r="I136" s="556">
        <f>G134+G135+G136</f>
        <v>34.139999999999418</v>
      </c>
      <c r="J136" s="629">
        <f>H136/DAY(B2)</f>
        <v>-8.7714285714285189</v>
      </c>
      <c r="N136" s="800"/>
      <c r="O136" s="807"/>
      <c r="P136" s="413"/>
    </row>
    <row r="137" spans="1:16" ht="27.75">
      <c r="A137" s="1273" t="s">
        <v>246</v>
      </c>
      <c r="B137" s="1274"/>
      <c r="C137" s="1274"/>
      <c r="D137" s="599" t="s">
        <v>239</v>
      </c>
      <c r="E137" s="618">
        <f>'13'!F137</f>
        <v>25030.03</v>
      </c>
      <c r="F137" s="732">
        <v>25030.03</v>
      </c>
      <c r="G137" s="549">
        <f t="shared" si="16"/>
        <v>0</v>
      </c>
      <c r="H137" s="536">
        <f>G137+'13'!H137</f>
        <v>-14.280000000002474</v>
      </c>
      <c r="I137" s="556"/>
      <c r="J137" s="629">
        <f>H137/DAY(B2)</f>
        <v>-1.0200000000001768</v>
      </c>
      <c r="N137" s="800"/>
      <c r="O137" s="807"/>
      <c r="P137" s="413"/>
    </row>
    <row r="138" spans="1:16" ht="27.75">
      <c r="A138" s="1273" t="s">
        <v>247</v>
      </c>
      <c r="B138" s="1274"/>
      <c r="C138" s="1274"/>
      <c r="D138" s="599" t="s">
        <v>239</v>
      </c>
      <c r="E138" s="618">
        <f>'13'!F138</f>
        <v>70086.490000000005</v>
      </c>
      <c r="F138" s="732">
        <v>70093.899999999994</v>
      </c>
      <c r="G138" s="549">
        <f t="shared" si="16"/>
        <v>7.4099999999889405</v>
      </c>
      <c r="H138" s="536">
        <f>G138+'13'!H138</f>
        <v>-53.440000000002328</v>
      </c>
      <c r="I138" s="556">
        <f>G137+G138</f>
        <v>7.4099999999889405</v>
      </c>
      <c r="J138" s="629">
        <f>H138/DAY(B2)</f>
        <v>-3.8171428571430233</v>
      </c>
      <c r="N138" s="800"/>
      <c r="O138" s="807"/>
      <c r="P138" s="413"/>
    </row>
    <row r="139" spans="1:16" ht="27.75">
      <c r="A139" s="1273" t="s">
        <v>248</v>
      </c>
      <c r="B139" s="1274"/>
      <c r="C139" s="1274"/>
      <c r="D139" s="599" t="s">
        <v>239</v>
      </c>
      <c r="E139" s="782">
        <f>'13'!F139</f>
        <v>1307.58</v>
      </c>
      <c r="F139" s="703">
        <v>1316.53</v>
      </c>
      <c r="G139" s="549">
        <f t="shared" si="16"/>
        <v>8.9500000000000455</v>
      </c>
      <c r="H139" s="536">
        <f>G139+'13'!H139</f>
        <v>-106.61000000000013</v>
      </c>
      <c r="I139" s="619"/>
      <c r="J139" s="629">
        <f>H139/DAY(B2)</f>
        <v>-7.6150000000000091</v>
      </c>
      <c r="N139" s="800"/>
      <c r="O139" s="807"/>
      <c r="P139" s="413"/>
    </row>
    <row r="140" spans="1:16" ht="27.75">
      <c r="A140" s="1273" t="s">
        <v>249</v>
      </c>
      <c r="B140" s="1274"/>
      <c r="C140" s="1274"/>
      <c r="D140" s="599" t="s">
        <v>239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-0.47000000000025466</v>
      </c>
      <c r="I140" s="619"/>
      <c r="J140" s="629">
        <f>H140/DAY(B2)</f>
        <v>-3.3571428571446758E-2</v>
      </c>
      <c r="N140" s="800"/>
      <c r="O140" s="807"/>
      <c r="P140" s="413"/>
    </row>
    <row r="141" spans="1:16">
      <c r="A141" s="1468" t="s">
        <v>250</v>
      </c>
      <c r="B141" s="1469"/>
      <c r="C141" s="1277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5328.2800000000279</v>
      </c>
      <c r="H142" s="536">
        <f>G142+'13'!H142</f>
        <v>-74470.279999999926</v>
      </c>
      <c r="I142" s="556"/>
      <c r="J142" s="629">
        <f>H142/DAY(B2)</f>
        <v>-5319.3057142857087</v>
      </c>
      <c r="K142" s="411"/>
      <c r="L142" s="408"/>
      <c r="N142" s="800"/>
      <c r="O142" s="807"/>
      <c r="P142" s="413"/>
    </row>
    <row r="143" spans="1:16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0.23600478362935856</v>
      </c>
      <c r="H143" s="536">
        <f>G143+'13'!H143</f>
        <v>3.6139860977917815</v>
      </c>
      <c r="I143" s="621"/>
      <c r="J143" s="629">
        <f>H143/DAY(B2)</f>
        <v>0.2581418641279844</v>
      </c>
      <c r="K143" s="411"/>
      <c r="L143" s="408"/>
      <c r="N143" s="800"/>
      <c r="O143" s="807"/>
      <c r="P143" s="413"/>
    </row>
    <row r="144" spans="1:16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5638.7550000000047</v>
      </c>
      <c r="H144" s="536">
        <f>G144+'13'!H144</f>
        <v>-68661.281000000017</v>
      </c>
      <c r="I144" s="556"/>
      <c r="J144" s="629">
        <f>H144/DAY(B2)</f>
        <v>-4904.3772142857151</v>
      </c>
      <c r="K144" s="411"/>
      <c r="L144" s="408"/>
      <c r="N144" s="800"/>
      <c r="O144" s="807"/>
      <c r="P144" s="413"/>
    </row>
    <row r="145" spans="1:16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0.24975661071001481</v>
      </c>
      <c r="H145" s="536">
        <f>G145+'13'!H145</f>
        <v>3.4231410506457292</v>
      </c>
      <c r="I145" s="621"/>
      <c r="J145" s="629">
        <f>H145/DAY(B2)</f>
        <v>0.24451007504612352</v>
      </c>
      <c r="K145" s="411"/>
      <c r="L145" s="408"/>
      <c r="N145" s="800"/>
      <c r="O145" s="807"/>
      <c r="P145" s="413"/>
    </row>
    <row r="146" spans="1:16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4655.1399999999994</v>
      </c>
      <c r="H146" s="536">
        <f>G146+'13'!H146</f>
        <v>40755.73000000001</v>
      </c>
      <c r="I146" s="622"/>
      <c r="J146" s="629">
        <f>H146/DAY(B2)</f>
        <v>2911.1235714285722</v>
      </c>
      <c r="K146" s="411"/>
      <c r="L146" s="408"/>
      <c r="N146" s="800"/>
      <c r="O146" s="807"/>
      <c r="P146" s="413"/>
    </row>
    <row r="147" spans="1:16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0.20618948487398678</v>
      </c>
      <c r="H147" s="536">
        <f>G147+'13'!H147</f>
        <v>7.6900980231702665</v>
      </c>
      <c r="I147" s="622"/>
      <c r="J147" s="629">
        <f>H147/DAY(B2)</f>
        <v>0.54929271594073337</v>
      </c>
      <c r="N147" s="800"/>
      <c r="O147" s="807"/>
      <c r="P147" s="413"/>
    </row>
    <row r="148" spans="1:16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2441.0599999999995</v>
      </c>
      <c r="H148" s="536">
        <f>G148+'13'!H148</f>
        <v>-29308.57</v>
      </c>
      <c r="I148" s="556"/>
      <c r="J148" s="629">
        <f>H148/DAY(B2)</f>
        <v>-2093.4692857142859</v>
      </c>
      <c r="K148" s="412"/>
      <c r="N148" s="800"/>
      <c r="O148" s="807"/>
      <c r="P148" s="413"/>
    </row>
    <row r="149" spans="1:16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0.10812153961996721</v>
      </c>
      <c r="H149" s="536">
        <f>G149+'13'!H149</f>
        <v>1.3700635569835975</v>
      </c>
      <c r="I149" s="622"/>
      <c r="J149" s="629">
        <f>H149/DAY(B2)</f>
        <v>9.786168264168553E-2</v>
      </c>
      <c r="N149" s="800"/>
      <c r="O149" s="807"/>
      <c r="P149" s="413"/>
    </row>
    <row r="150" spans="1:16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2233.9000000000233</v>
      </c>
      <c r="H150" s="536">
        <f>G150+'13'!H150</f>
        <v>-28521.460000000021</v>
      </c>
      <c r="I150" s="622"/>
      <c r="J150" s="629">
        <f>H150/DAY(B2)</f>
        <v>-2037.2471428571444</v>
      </c>
      <c r="N150" s="800"/>
      <c r="O150" s="807"/>
      <c r="P150" s="413"/>
    </row>
    <row r="151" spans="1:16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9.8945829826815934E-2</v>
      </c>
      <c r="H151" s="536">
        <f>G151+'13'!H151</f>
        <v>1.2364158112377031</v>
      </c>
      <c r="I151" s="556"/>
      <c r="J151" s="629">
        <f>H151/DAY(B2)</f>
        <v>8.8315415088407359E-2</v>
      </c>
      <c r="N151" s="800"/>
      <c r="O151" s="807"/>
      <c r="P151" s="413"/>
    </row>
    <row r="152" spans="1:16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1580.2299999999996</v>
      </c>
      <c r="H152" s="536">
        <f>G152+'13'!H152</f>
        <v>14289.240000000002</v>
      </c>
      <c r="I152" s="556"/>
      <c r="J152" s="629">
        <f>H152/DAY(B2)</f>
        <v>1020.6600000000001</v>
      </c>
      <c r="N152" s="800"/>
      <c r="O152" s="807"/>
      <c r="P152" s="413"/>
    </row>
    <row r="153" spans="1:16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6.9992913141692856E-2</v>
      </c>
      <c r="H153" s="536">
        <f>G153+'13'!H153</f>
        <v>2.7072522471083906</v>
      </c>
      <c r="I153" s="645"/>
      <c r="J153" s="646">
        <f>H153/DAY(B2)</f>
        <v>0.1933751605077422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7" t="s">
        <v>263</v>
      </c>
      <c r="B160" s="878"/>
      <c r="C160" s="878"/>
      <c r="D160" s="697" t="s">
        <v>187</v>
      </c>
      <c r="E160" s="598">
        <f>'13'!F160</f>
        <v>29515.62</v>
      </c>
      <c r="F160" s="886">
        <v>29602.005000000001</v>
      </c>
      <c r="G160" s="549">
        <f t="shared" ref="G160:G163" si="17">F160-E160</f>
        <v>86.385000000002037</v>
      </c>
      <c r="N160" s="800"/>
    </row>
    <row r="161" spans="1:14" ht="21.75" customHeight="1">
      <c r="A161" s="877" t="s">
        <v>264</v>
      </c>
      <c r="B161" s="878"/>
      <c r="C161" s="878"/>
      <c r="D161" s="697" t="s">
        <v>187</v>
      </c>
      <c r="E161" s="598">
        <f>'13'!F161</f>
        <v>48426.707999999999</v>
      </c>
      <c r="F161" s="886">
        <v>48871.898999999998</v>
      </c>
      <c r="G161" s="549">
        <f t="shared" si="17"/>
        <v>445.19099999999889</v>
      </c>
      <c r="N161" s="800"/>
    </row>
    <row r="162" spans="1:14" ht="21.75" customHeight="1">
      <c r="A162" s="877" t="s">
        <v>265</v>
      </c>
      <c r="B162" s="878"/>
      <c r="C162" s="878"/>
      <c r="D162" s="697" t="s">
        <v>187</v>
      </c>
      <c r="E162" s="598">
        <f>'13'!F162</f>
        <v>15992.409</v>
      </c>
      <c r="F162" s="886">
        <v>16517.762999999999</v>
      </c>
      <c r="G162" s="549">
        <f t="shared" si="17"/>
        <v>525.35399999999936</v>
      </c>
      <c r="N162" s="800"/>
    </row>
    <row r="163" spans="1:14" ht="21.75" customHeight="1">
      <c r="A163" s="877" t="s">
        <v>266</v>
      </c>
      <c r="B163" s="878"/>
      <c r="C163" s="878"/>
      <c r="D163" s="697" t="s">
        <v>187</v>
      </c>
      <c r="E163" s="598">
        <f>'13'!F163</f>
        <v>5190.32</v>
      </c>
      <c r="F163" s="886">
        <v>5198.2700000000004</v>
      </c>
      <c r="G163" s="549">
        <f t="shared" si="17"/>
        <v>7.9500000000007276</v>
      </c>
      <c r="N163" s="800"/>
    </row>
    <row r="164" spans="1:14" ht="21.75" customHeight="1">
      <c r="A164" s="879" t="s">
        <v>98</v>
      </c>
      <c r="B164" s="880"/>
      <c r="C164" s="880"/>
      <c r="D164" s="697" t="s">
        <v>187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00"/>
    </row>
    <row r="165" spans="1:14" ht="21.75" customHeight="1">
      <c r="A165" s="879" t="s">
        <v>188</v>
      </c>
      <c r="B165" s="880"/>
      <c r="C165" s="880"/>
      <c r="D165" s="697" t="s">
        <v>187</v>
      </c>
      <c r="E165" s="590">
        <f t="shared" ref="E165:E171" si="19">E63</f>
        <v>1507.25</v>
      </c>
      <c r="F165" s="590">
        <f t="shared" ref="F165:F171" si="20">F63</f>
        <v>1520.48</v>
      </c>
      <c r="G165" s="549">
        <f t="shared" si="18"/>
        <v>13.230000000000018</v>
      </c>
      <c r="N165" s="800"/>
    </row>
    <row r="166" spans="1:14" ht="21.75" customHeight="1">
      <c r="A166" s="1492" t="s">
        <v>99</v>
      </c>
      <c r="B166" s="1492"/>
      <c r="C166" s="1492"/>
      <c r="D166" s="600" t="s">
        <v>187</v>
      </c>
      <c r="E166" s="590">
        <f t="shared" si="19"/>
        <v>116718.44</v>
      </c>
      <c r="F166" s="590">
        <f t="shared" si="20"/>
        <v>117109.7</v>
      </c>
      <c r="G166" s="549">
        <f t="shared" si="18"/>
        <v>391.25999999999476</v>
      </c>
      <c r="N166" s="800"/>
    </row>
    <row r="167" spans="1:14" ht="21.75" customHeight="1">
      <c r="A167" s="1492" t="s">
        <v>100</v>
      </c>
      <c r="B167" s="1492"/>
      <c r="C167" s="1492"/>
      <c r="D167" s="600" t="s">
        <v>187</v>
      </c>
      <c r="E167" s="590">
        <f t="shared" si="19"/>
        <v>126633.84</v>
      </c>
      <c r="F167" s="590">
        <f t="shared" si="20"/>
        <v>127037.93</v>
      </c>
      <c r="G167" s="549">
        <f t="shared" si="18"/>
        <v>404.08999999999651</v>
      </c>
      <c r="N167" s="800"/>
    </row>
    <row r="168" spans="1:14" ht="21.75" customHeight="1">
      <c r="A168" s="1492" t="s">
        <v>101</v>
      </c>
      <c r="B168" s="1492"/>
      <c r="C168" s="1492"/>
      <c r="D168" s="600" t="s">
        <v>187</v>
      </c>
      <c r="E168" s="590">
        <f t="shared" si="19"/>
        <v>19244.102999999999</v>
      </c>
      <c r="F168" s="590">
        <f t="shared" si="20"/>
        <v>19646.939999999999</v>
      </c>
      <c r="G168" s="549">
        <f t="shared" si="18"/>
        <v>402.83699999999953</v>
      </c>
      <c r="N168" s="800"/>
    </row>
    <row r="169" spans="1:14" ht="21.75" customHeight="1">
      <c r="A169" s="1492" t="s">
        <v>102</v>
      </c>
      <c r="B169" s="1492"/>
      <c r="C169" s="1492"/>
      <c r="D169" s="600" t="s">
        <v>187</v>
      </c>
      <c r="E169" s="590">
        <f t="shared" si="19"/>
        <v>197786.33</v>
      </c>
      <c r="F169" s="590">
        <f t="shared" si="20"/>
        <v>198524.69</v>
      </c>
      <c r="G169" s="549">
        <f t="shared" si="18"/>
        <v>738.36000000001513</v>
      </c>
      <c r="N169" s="800"/>
    </row>
    <row r="170" spans="1:14" ht="24" customHeight="1">
      <c r="A170" s="1492" t="s">
        <v>103</v>
      </c>
      <c r="B170" s="1492"/>
      <c r="C170" s="1492"/>
      <c r="D170" s="600" t="s">
        <v>187</v>
      </c>
      <c r="E170" s="590">
        <f t="shared" si="19"/>
        <v>67742.77</v>
      </c>
      <c r="F170" s="590">
        <f t="shared" si="20"/>
        <v>68100.536999999997</v>
      </c>
      <c r="G170" s="549">
        <f t="shared" si="18"/>
        <v>357.76699999999255</v>
      </c>
      <c r="N170" s="800"/>
    </row>
    <row r="171" spans="1:14" ht="27.75">
      <c r="A171" s="1492" t="s">
        <v>104</v>
      </c>
      <c r="B171" s="1492"/>
      <c r="C171" s="1492"/>
      <c r="D171" s="600" t="s">
        <v>187</v>
      </c>
      <c r="E171" s="590">
        <f t="shared" si="19"/>
        <v>59644.04</v>
      </c>
      <c r="F171" s="590">
        <f t="shared" si="20"/>
        <v>59956.39</v>
      </c>
      <c r="G171" s="549">
        <f t="shared" si="18"/>
        <v>312.34999999999854</v>
      </c>
      <c r="N171" s="800"/>
    </row>
    <row r="172" spans="1:14">
      <c r="A172" s="881"/>
      <c r="B172" s="882"/>
      <c r="C172" s="882"/>
      <c r="D172" s="883"/>
      <c r="E172" s="883"/>
      <c r="F172" s="884"/>
      <c r="G172" s="885">
        <f>SUM(G160:G171)</f>
        <v>3684.7739999999981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2.5" customHeight="1">
      <c r="N177" s="800"/>
    </row>
    <row r="178" spans="14:14" ht="22.5" customHeight="1">
      <c r="N178" s="800"/>
    </row>
    <row r="179" spans="14:14" ht="22.5" customHeight="1">
      <c r="N179" s="800"/>
    </row>
    <row r="180" spans="14:14" ht="22.5" customHeight="1">
      <c r="N180" s="800"/>
    </row>
    <row r="181" spans="14:14" ht="22.5" customHeight="1">
      <c r="N181" s="800"/>
    </row>
    <row r="182" spans="14:14" ht="22.5" customHeight="1">
      <c r="N182" s="800"/>
    </row>
    <row r="183" spans="14:14" ht="22.5" customHeight="1">
      <c r="N183" s="800"/>
    </row>
    <row r="184" spans="14:14" ht="22.5" customHeight="1">
      <c r="N184" s="800"/>
    </row>
    <row r="185" spans="14:14" ht="22.5" customHeight="1">
      <c r="N185" s="800"/>
    </row>
    <row r="186" spans="14:14" ht="22.5" customHeight="1">
      <c r="N186" s="800"/>
    </row>
    <row r="187" spans="14:14" ht="22.5" customHeight="1">
      <c r="N187" s="800"/>
    </row>
    <row r="188" spans="14:14" ht="22.5" customHeight="1">
      <c r="N188" s="800"/>
    </row>
    <row r="189" spans="14:14" ht="22.5" customHeight="1">
      <c r="N189" s="800"/>
    </row>
    <row r="190" spans="14:14" ht="22.5" customHeight="1">
      <c r="N190" s="800"/>
    </row>
    <row r="191" spans="14:14" ht="22.5" customHeight="1">
      <c r="N191" s="800"/>
    </row>
    <row r="192" spans="14:14" ht="22.5" customHeight="1">
      <c r="N192" s="800"/>
    </row>
    <row r="193" spans="14:14" ht="22.5" customHeight="1">
      <c r="N193" s="800"/>
    </row>
    <row r="194" spans="14:14" ht="22.5" customHeight="1">
      <c r="N194" s="800"/>
    </row>
    <row r="195" spans="14:14" ht="22.5" customHeight="1">
      <c r="N195" s="800"/>
    </row>
    <row r="196" spans="14:14" ht="22.5" customHeight="1">
      <c r="N196" s="800"/>
    </row>
    <row r="197" spans="14:14" ht="22.5" customHeight="1">
      <c r="N197" s="800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42" zoomScale="55" zoomScaleNormal="80" zoomScaleSheetLayoutView="55" workbookViewId="0">
      <selection activeCell="F162" sqref="F162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652" t="s">
        <v>317</v>
      </c>
      <c r="B2" s="1117">
        <v>44242</v>
      </c>
      <c r="C2" s="1289" t="s">
        <v>69</v>
      </c>
      <c r="D2" s="688">
        <v>0.67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289" t="s">
        <v>120</v>
      </c>
      <c r="D3" s="689">
        <v>24</v>
      </c>
      <c r="E3" s="1454" t="s">
        <v>121</v>
      </c>
      <c r="F3" s="1455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89" t="s">
        <v>122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'14'!F7</f>
        <v>4153992</v>
      </c>
      <c r="F7" s="531">
        <v>4177199</v>
      </c>
      <c r="G7" s="759">
        <f t="shared" ref="G7:G12" si="0">F7-E7</f>
        <v>23207</v>
      </c>
      <c r="H7" s="760">
        <f>G7+'14'!H7</f>
        <v>-267878</v>
      </c>
      <c r="I7" s="761">
        <f>'1'!I7</f>
        <v>12000</v>
      </c>
      <c r="J7" s="762">
        <f>H7/DAY(B2)</f>
        <v>-17858.533333333333</v>
      </c>
      <c r="K7" s="626"/>
      <c r="L7" s="408"/>
      <c r="N7" s="811"/>
      <c r="O7" s="807"/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'14'!F8</f>
        <v>4180498</v>
      </c>
      <c r="F8" s="551">
        <v>4203853</v>
      </c>
      <c r="G8" s="770">
        <f t="shared" si="0"/>
        <v>23355</v>
      </c>
      <c r="H8" s="760">
        <f>G8+'14'!H8</f>
        <v>-269303</v>
      </c>
      <c r="I8" s="767">
        <f>'1'!I8</f>
        <v>12000</v>
      </c>
      <c r="J8" s="762">
        <f>H8/DAY(B2)</f>
        <v>-17953.533333333333</v>
      </c>
      <c r="K8" s="626"/>
      <c r="L8" s="464"/>
      <c r="M8" s="479"/>
      <c r="N8" s="800"/>
      <c r="O8" s="807"/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'14'!F9</f>
        <v>86884</v>
      </c>
      <c r="F9" s="554">
        <v>101861</v>
      </c>
      <c r="G9" s="783">
        <f t="shared" si="0"/>
        <v>14977</v>
      </c>
      <c r="H9" s="760">
        <f>G9+'14'!H9</f>
        <v>14951.990000000005</v>
      </c>
      <c r="I9" s="771">
        <f>I7-J7</f>
        <v>29858.533333333333</v>
      </c>
      <c r="J9" s="762">
        <f>H9/DAY(B2)</f>
        <v>996.79933333333372</v>
      </c>
      <c r="K9" s="467"/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'14'!F10</f>
        <v>1332635.8999999999</v>
      </c>
      <c r="F10" s="554">
        <v>1340215.3999999999</v>
      </c>
      <c r="G10" s="770">
        <f t="shared" si="0"/>
        <v>7579.5</v>
      </c>
      <c r="H10" s="760">
        <f>G10+'14'!H10</f>
        <v>1314519.8399999999</v>
      </c>
      <c r="I10" s="772"/>
      <c r="J10" s="762">
        <f>H10/DAY(B2)</f>
        <v>87634.655999999988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'14'!F11</f>
        <v>37000</v>
      </c>
      <c r="F11" s="531">
        <v>37000</v>
      </c>
      <c r="G11" s="770">
        <f t="shared" si="0"/>
        <v>0</v>
      </c>
      <c r="H11" s="760">
        <f>G11+'14'!H11</f>
        <v>-2000</v>
      </c>
      <c r="I11" s="772"/>
      <c r="J11" s="762">
        <f>H11/DAY(B2)</f>
        <v>-133.33333333333334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'14'!F12</f>
        <v>40010</v>
      </c>
      <c r="F12" s="554">
        <v>40010</v>
      </c>
      <c r="G12" s="770">
        <f t="shared" si="0"/>
        <v>0</v>
      </c>
      <c r="H12" s="760">
        <f>G12+'14'!H12</f>
        <v>-2000</v>
      </c>
      <c r="I12" s="772"/>
      <c r="J12" s="762">
        <f>H12/DAY(B2)</f>
        <v>-133.33333333333334</v>
      </c>
      <c r="K12" s="467"/>
      <c r="L12" s="408"/>
      <c r="N12" s="800"/>
      <c r="O12" s="807"/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22556.5</v>
      </c>
      <c r="H13" s="760">
        <f>G13+'14'!H13</f>
        <v>1304477.8299999998</v>
      </c>
      <c r="I13" s="776">
        <f>G7-G13</f>
        <v>650.5</v>
      </c>
      <c r="J13" s="762">
        <f>H13/DAY(B2)</f>
        <v>86965.188666666654</v>
      </c>
      <c r="K13" s="467"/>
      <c r="L13" s="408"/>
      <c r="N13" s="800"/>
      <c r="O13" s="807"/>
      <c r="P13" s="413"/>
    </row>
    <row r="14" spans="1:16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1307"/>
      <c r="K14" s="468"/>
      <c r="L14" s="408"/>
      <c r="N14" s="800"/>
      <c r="O14" s="807"/>
      <c r="P14" s="413"/>
    </row>
    <row r="15" spans="1:16">
      <c r="A15" s="875" t="s">
        <v>140</v>
      </c>
      <c r="B15" s="876"/>
      <c r="C15" s="876"/>
      <c r="D15" s="600" t="s">
        <v>141</v>
      </c>
      <c r="E15" s="561">
        <f>'14'!F15</f>
        <v>1606535.081</v>
      </c>
      <c r="F15" s="561">
        <v>1607770.37</v>
      </c>
      <c r="G15" s="745">
        <f>(F15-E15)</f>
        <v>1235.2890000001062</v>
      </c>
      <c r="H15" s="562">
        <f>G15+'14'!H15</f>
        <v>-12108.239999999991</v>
      </c>
      <c r="I15" s="550">
        <v>800</v>
      </c>
      <c r="J15" s="630">
        <f>H15/DAY(B2)</f>
        <v>-807.21599999999933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1607.2159999999994</v>
      </c>
      <c r="J16" s="630"/>
      <c r="K16" s="467"/>
      <c r="L16" s="408"/>
      <c r="N16" s="800"/>
      <c r="O16" s="807"/>
      <c r="P16" s="413"/>
    </row>
    <row r="17" spans="1:16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86" t="s">
        <v>143</v>
      </c>
      <c r="B18" s="1487"/>
      <c r="C18" s="1488"/>
      <c r="D18" s="715" t="s">
        <v>144</v>
      </c>
      <c r="E18" s="712">
        <f>'14'!F18</f>
        <v>19</v>
      </c>
      <c r="F18" s="554">
        <v>32</v>
      </c>
      <c r="G18" s="775">
        <f>F18*10</f>
        <v>320</v>
      </c>
      <c r="H18" s="760">
        <f>G18+'14'!H18</f>
        <v>2390</v>
      </c>
      <c r="I18" s="761">
        <f>'1'!I18</f>
        <v>65</v>
      </c>
      <c r="J18" s="762">
        <f>H18/DAY(B2)</f>
        <v>159.33333333333334</v>
      </c>
      <c r="K18" s="467"/>
      <c r="L18" s="408"/>
      <c r="N18" s="800"/>
      <c r="O18" s="807"/>
      <c r="P18" s="413"/>
    </row>
    <row r="19" spans="1:16" ht="27.75">
      <c r="A19" s="1486" t="s">
        <v>71</v>
      </c>
      <c r="B19" s="1487"/>
      <c r="C19" s="1488"/>
      <c r="D19" s="715" t="s">
        <v>144</v>
      </c>
      <c r="E19" s="712">
        <f>'14'!F19</f>
        <v>133753</v>
      </c>
      <c r="F19" s="554">
        <v>133805</v>
      </c>
      <c r="G19" s="770">
        <f t="shared" ref="G19" si="1">F19-E19</f>
        <v>52</v>
      </c>
      <c r="H19" s="760">
        <f>G19+'14'!H19</f>
        <v>-663</v>
      </c>
      <c r="I19" s="777"/>
      <c r="J19" s="762">
        <f>H19/DAY(B2)</f>
        <v>-44.2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372</v>
      </c>
      <c r="H20" s="760">
        <f>G20+'14'!H20</f>
        <v>1727</v>
      </c>
      <c r="I20" s="779">
        <f>I18-J20</f>
        <v>-50.13333333333334</v>
      </c>
      <c r="J20" s="762">
        <f>H20/DAY(B2)</f>
        <v>115.13333333333334</v>
      </c>
      <c r="K20" s="467"/>
      <c r="L20" s="408"/>
      <c r="N20" s="800"/>
      <c r="O20" s="807"/>
      <c r="P20" s="413"/>
    </row>
    <row r="21" spans="1:16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87" t="s">
        <v>147</v>
      </c>
      <c r="B22" s="666"/>
      <c r="C22" s="666"/>
      <c r="D22" s="599" t="s">
        <v>148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87" t="s">
        <v>149</v>
      </c>
      <c r="B23" s="666"/>
      <c r="C23" s="666"/>
      <c r="D23" s="599" t="s">
        <v>148</v>
      </c>
      <c r="E23" s="712">
        <f>'14'!F23</f>
        <v>2000</v>
      </c>
      <c r="F23" s="554">
        <v>2000</v>
      </c>
      <c r="G23" s="557">
        <v>0</v>
      </c>
      <c r="H23" s="536">
        <f>G23+'14'!H23</f>
        <v>0</v>
      </c>
      <c r="I23" s="556"/>
      <c r="J23" s="629">
        <f>H23/DAY(B2)</f>
        <v>0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'14'!F24</f>
        <v>4250</v>
      </c>
      <c r="F24" s="561">
        <v>4250</v>
      </c>
      <c r="G24" s="557">
        <v>0</v>
      </c>
      <c r="H24" s="536">
        <f>G24+'14'!H24</f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23355</v>
      </c>
      <c r="F27" s="577">
        <v>9</v>
      </c>
      <c r="G27" s="578">
        <f>E27*F27</f>
        <v>210195</v>
      </c>
      <c r="H27" s="536">
        <f>G27+'14'!H27</f>
        <v>-2423727</v>
      </c>
      <c r="I27" s="579"/>
      <c r="J27" s="629">
        <f>H27/DAY(B2)</f>
        <v>-161581.79999999999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1235.2890000001062</v>
      </c>
      <c r="F28" s="577">
        <v>43.5</v>
      </c>
      <c r="G28" s="578">
        <f>E28*F28</f>
        <v>53735.071500004618</v>
      </c>
      <c r="H28" s="536">
        <f>G28+'14'!H28</f>
        <v>-507402.90180000011</v>
      </c>
      <c r="I28" s="581"/>
      <c r="J28" s="629">
        <f>H28/DAY(B2)</f>
        <v>-33826.860120000005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0</v>
      </c>
      <c r="I29" s="581"/>
      <c r="J29" s="629">
        <f>H29/DAY(B2)</f>
        <v>0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G30+'14'!H30</f>
        <v>-71154</v>
      </c>
      <c r="I30" s="581"/>
      <c r="J30" s="629">
        <f>H30/DAY(B2)</f>
        <v>-4743.6000000000004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320</v>
      </c>
      <c r="F31" s="577">
        <v>80</v>
      </c>
      <c r="G31" s="578">
        <f>E31*F31</f>
        <v>25600</v>
      </c>
      <c r="H31" s="536">
        <f>G31+'14'!H31</f>
        <v>180640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296498.07150000462</v>
      </c>
      <c r="H32" s="536">
        <f>G32+'14'!H32</f>
        <v>-2821643.9018000001</v>
      </c>
      <c r="I32" s="585"/>
      <c r="J32" s="629">
        <f>H32/DAY(B2)</f>
        <v>-188109.59345333333</v>
      </c>
      <c r="K32" s="404"/>
      <c r="L32" s="484"/>
      <c r="N32" s="800"/>
      <c r="O32" s="807"/>
      <c r="P32" s="413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800"/>
      <c r="O33" s="807"/>
      <c r="P33" s="413"/>
    </row>
    <row r="34" spans="1:16">
      <c r="A34" s="675" t="s">
        <v>163</v>
      </c>
      <c r="B34" s="1292"/>
      <c r="C34" s="1292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'14'!F35</f>
        <v>651365.87</v>
      </c>
      <c r="F35" s="586">
        <v>654285.63</v>
      </c>
      <c r="G35" s="549">
        <f t="shared" ref="G35:G46" si="3">F35-E35</f>
        <v>2919.7600000000093</v>
      </c>
      <c r="H35" s="536">
        <f>G35+'14'!H35</f>
        <v>-38801.959999999963</v>
      </c>
      <c r="I35" s="531"/>
      <c r="J35" s="629">
        <f>H35/DAY(B2)</f>
        <v>-2586.7973333333307</v>
      </c>
      <c r="K35" s="467"/>
      <c r="L35" s="408"/>
      <c r="N35" s="800"/>
      <c r="O35" s="808"/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'14'!F36</f>
        <v>285663.95</v>
      </c>
      <c r="F36" s="586">
        <v>286605.46999999997</v>
      </c>
      <c r="G36" s="549">
        <f t="shared" si="3"/>
        <v>941.51999999996042</v>
      </c>
      <c r="H36" s="536">
        <f>G36+'14'!H36</f>
        <v>-9840.1000000000349</v>
      </c>
      <c r="I36" s="531"/>
      <c r="J36" s="629">
        <f>H36/DAY(B2)</f>
        <v>-656.00666666666905</v>
      </c>
      <c r="K36" s="467"/>
      <c r="L36" s="408"/>
      <c r="N36" s="801"/>
      <c r="O36" s="808"/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'14'!F37</f>
        <v>11184.16</v>
      </c>
      <c r="F37" s="586">
        <v>12764.25</v>
      </c>
      <c r="G37" s="549">
        <f t="shared" si="3"/>
        <v>1580.0900000000001</v>
      </c>
      <c r="H37" s="536">
        <f>G37+'14'!H37</f>
        <v>15869.330000000002</v>
      </c>
      <c r="I37" s="531"/>
      <c r="J37" s="629">
        <f>H37/DAY(B2)</f>
        <v>1057.9553333333336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'14'!F38</f>
        <v>14504.92</v>
      </c>
      <c r="F38" s="545">
        <v>16973.82</v>
      </c>
      <c r="G38" s="549">
        <f t="shared" si="3"/>
        <v>2468.8999999999996</v>
      </c>
      <c r="H38" s="536">
        <f>G38+'14'!H38</f>
        <v>-26839.67</v>
      </c>
      <c r="I38" s="531"/>
      <c r="J38" s="629">
        <f>H38/DAY(B2)</f>
        <v>-1789.3113333333333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'14'!F39</f>
        <v>31362.84</v>
      </c>
      <c r="F39" s="586">
        <v>36017.43</v>
      </c>
      <c r="G39" s="549">
        <f t="shared" si="3"/>
        <v>4654.59</v>
      </c>
      <c r="H39" s="536">
        <f>G39+'14'!H39</f>
        <v>45410.319999999992</v>
      </c>
      <c r="I39" s="531"/>
      <c r="J39" s="629">
        <f>H39/DAY(B2)</f>
        <v>3027.3546666666662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-0.06</v>
      </c>
      <c r="I40" s="531"/>
      <c r="J40" s="629">
        <f>H40/DAY(B2)</f>
        <v>-4.0000000000000001E-3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/>
      <c r="D41" s="599" t="s">
        <v>132</v>
      </c>
      <c r="E41" s="586">
        <f>'14'!F41</f>
        <v>59259.87</v>
      </c>
      <c r="F41" s="586">
        <v>59259.87</v>
      </c>
      <c r="G41" s="549">
        <f t="shared" si="3"/>
        <v>0</v>
      </c>
      <c r="H41" s="536">
        <f>G41+'14'!H41</f>
        <v>-4622.5</v>
      </c>
      <c r="I41" s="531"/>
      <c r="J41" s="629">
        <f>H41/DAY(B2)</f>
        <v>-308.16666666666669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'14'!F42</f>
        <v>58926.099000000002</v>
      </c>
      <c r="F42" s="586">
        <v>58926</v>
      </c>
      <c r="G42" s="549">
        <f t="shared" si="3"/>
        <v>-9.900000000197906E-2</v>
      </c>
      <c r="H42" s="536">
        <f>G42+'14'!H42</f>
        <v>-202.84999999999854</v>
      </c>
      <c r="I42" s="531"/>
      <c r="J42" s="629">
        <f>H42/DAY(B2)</f>
        <v>-13.523333333333236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'14'!F43</f>
        <v>793149.27</v>
      </c>
      <c r="F43" s="586">
        <v>795495.43</v>
      </c>
      <c r="G43" s="549">
        <f t="shared" si="3"/>
        <v>2346.1600000000326</v>
      </c>
      <c r="H43" s="536">
        <f>G43+'14'!H43</f>
        <v>-30402.399999999907</v>
      </c>
      <c r="I43" s="531"/>
      <c r="J43" s="629">
        <f>H43/DAY(B2)</f>
        <v>-2026.8266666666605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0</v>
      </c>
      <c r="I45" s="531"/>
      <c r="J45" s="629">
        <f>H45/DAY(B2)</f>
        <v>0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0.49000000000000909</v>
      </c>
      <c r="I46" s="531"/>
      <c r="J46" s="629">
        <f>H46/DAY(B2)</f>
        <v>3.2666666666667274E-2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14910.921</v>
      </c>
      <c r="H47" s="536">
        <f>G47+'14'!H47</f>
        <v>-49429.399999999929</v>
      </c>
      <c r="I47" s="531"/>
      <c r="J47" s="629">
        <f>H47/DAY(B2)</f>
        <v>-3295.2933333333285</v>
      </c>
      <c r="K47" s="467"/>
      <c r="L47" s="408"/>
      <c r="N47" s="800"/>
      <c r="O47" s="807"/>
      <c r="P47" s="413"/>
    </row>
    <row r="48" spans="1:16">
      <c r="A48" s="675" t="s">
        <v>177</v>
      </c>
      <c r="B48" s="1292"/>
      <c r="C48" s="1292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'14'!F49</f>
        <v>260732.13</v>
      </c>
      <c r="F49" s="586">
        <v>260732.13</v>
      </c>
      <c r="G49" s="549">
        <f t="shared" ref="G49:G58" si="4">F49-E49</f>
        <v>0</v>
      </c>
      <c r="H49" s="536">
        <f>G49+'14'!H49</f>
        <v>0</v>
      </c>
      <c r="I49" s="531"/>
      <c r="J49" s="629">
        <f>H49/DAY(B2)</f>
        <v>0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'14'!F50</f>
        <v>384723.19</v>
      </c>
      <c r="F50" s="586">
        <v>386713.19</v>
      </c>
      <c r="G50" s="549">
        <f t="shared" si="4"/>
        <v>1990</v>
      </c>
      <c r="H50" s="536">
        <f>G50+'14'!H50</f>
        <v>-16943.840000000026</v>
      </c>
      <c r="I50" s="531"/>
      <c r="J50" s="629">
        <f>H50/DAY(B2)</f>
        <v>-1129.5893333333349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'14'!F51</f>
        <v>120050.92</v>
      </c>
      <c r="F51" s="586">
        <v>120050.92</v>
      </c>
      <c r="G51" s="549">
        <f t="shared" si="4"/>
        <v>0</v>
      </c>
      <c r="H51" s="536">
        <f>G51+'14'!H51</f>
        <v>-1549</v>
      </c>
      <c r="I51" s="531"/>
      <c r="J51" s="629">
        <f>H51/DAY(B2)</f>
        <v>-103.26666666666667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'14'!F52</f>
        <v>507912.71</v>
      </c>
      <c r="F52" s="586">
        <v>507912.71</v>
      </c>
      <c r="G52" s="549">
        <f t="shared" si="4"/>
        <v>0</v>
      </c>
      <c r="H52" s="536">
        <f>G52+'14'!H52</f>
        <v>-2046</v>
      </c>
      <c r="I52" s="531"/>
      <c r="J52" s="629">
        <f>H52/DAY(B2)</f>
        <v>-136.4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'14'!F53</f>
        <v>331854.51</v>
      </c>
      <c r="F53" s="586">
        <v>331854.51</v>
      </c>
      <c r="G53" s="549">
        <f t="shared" si="4"/>
        <v>0</v>
      </c>
      <c r="H53" s="536">
        <f>G53+'14'!H53</f>
        <v>-4185</v>
      </c>
      <c r="I53" s="531"/>
      <c r="J53" s="629">
        <f>H53/DAY(B2)</f>
        <v>-279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'14'!F54</f>
        <v>7120.84</v>
      </c>
      <c r="F54" s="586">
        <v>7189.82</v>
      </c>
      <c r="G54" s="549">
        <f t="shared" si="4"/>
        <v>68.979999999999563</v>
      </c>
      <c r="H54" s="536">
        <f>G54+'14'!H54</f>
        <v>-905.8100000000004</v>
      </c>
      <c r="I54" s="531"/>
      <c r="J54" s="629">
        <f>H54/DAY(B2)</f>
        <v>-60.387333333333359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'14'!F55</f>
        <v>82061.69</v>
      </c>
      <c r="F55" s="734">
        <v>87594.01</v>
      </c>
      <c r="G55" s="733">
        <f t="shared" si="4"/>
        <v>5532.3199999999924</v>
      </c>
      <c r="H55" s="787">
        <f>G55+'14'!H55</f>
        <v>-34990.680000000008</v>
      </c>
      <c r="I55" s="788"/>
      <c r="J55" s="789">
        <f>H55/DAY(B2)</f>
        <v>-2332.7120000000004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'14'!F56</f>
        <v>557739</v>
      </c>
      <c r="F56" s="734">
        <v>557789.75</v>
      </c>
      <c r="G56" s="549">
        <f t="shared" si="4"/>
        <v>50.75</v>
      </c>
      <c r="H56" s="536">
        <f>G56+'14'!H56</f>
        <v>-28261.280000000028</v>
      </c>
      <c r="I56" s="531"/>
      <c r="J56" s="629">
        <f>H56/DAY(B2)</f>
        <v>-1884.0853333333353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'14'!F57</f>
        <v>7711.33</v>
      </c>
      <c r="F57" s="586">
        <v>7711.33</v>
      </c>
      <c r="G57" s="549">
        <f t="shared" si="4"/>
        <v>0</v>
      </c>
      <c r="H57" s="536">
        <f>G57+'14'!H57</f>
        <v>0</v>
      </c>
      <c r="I57" s="531"/>
      <c r="J57" s="629">
        <f>H57/DAY(B2)</f>
        <v>0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'14'!F58</f>
        <v>32945.339999999997</v>
      </c>
      <c r="F58" s="734">
        <v>33231.67</v>
      </c>
      <c r="G58" s="549">
        <f t="shared" si="4"/>
        <v>286.33000000000175</v>
      </c>
      <c r="H58" s="536">
        <f>G58+'14'!H58</f>
        <v>-2833.0299999999988</v>
      </c>
      <c r="I58" s="531"/>
      <c r="J58" s="629">
        <f>H58/DAY(B2)</f>
        <v>-188.8686666666666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7928.3799999999937</v>
      </c>
      <c r="H59" s="536">
        <f>G59+'14'!H59</f>
        <v>-91714.640000000072</v>
      </c>
      <c r="I59" s="531">
        <f>G7-G60</f>
        <v>367.6990000000078</v>
      </c>
      <c r="J59" s="629">
        <f>H59/DAY(B2)</f>
        <v>-6114.3093333333381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22839.300999999992</v>
      </c>
      <c r="H60" s="536">
        <f>G60+'14'!H60</f>
        <v>-126975.04000000005</v>
      </c>
      <c r="I60" s="531">
        <f>G13-G60</f>
        <v>-282.8009999999922</v>
      </c>
      <c r="J60" s="629">
        <f>H60/DAY(B2)</f>
        <v>-8465.0026666666708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-7.0000000014260877E-3</v>
      </c>
      <c r="I62" s="591"/>
      <c r="J62" s="629">
        <f>H62/DAY(B2)</f>
        <v>-4.6666666676173916E-4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'14'!F63</f>
        <v>1520.48</v>
      </c>
      <c r="F63" s="590">
        <v>1532.7</v>
      </c>
      <c r="G63" s="549">
        <f t="shared" si="5"/>
        <v>12.220000000000027</v>
      </c>
      <c r="H63" s="536">
        <f>G63+'14'!H63</f>
        <v>-174.65999999999985</v>
      </c>
      <c r="I63" s="591"/>
      <c r="J63" s="629">
        <f>H63/DAY(B2)</f>
        <v>-11.643999999999989</v>
      </c>
      <c r="K63" s="467"/>
      <c r="L63" s="408"/>
      <c r="N63" s="800"/>
      <c r="O63" s="807"/>
      <c r="P63" s="413"/>
    </row>
    <row r="64" spans="1:16" ht="27.75">
      <c r="A64" s="1430" t="s">
        <v>99</v>
      </c>
      <c r="B64" s="1431"/>
      <c r="C64" s="1432"/>
      <c r="D64" s="599" t="s">
        <v>187</v>
      </c>
      <c r="E64" s="590">
        <f>'14'!F64</f>
        <v>117109.7</v>
      </c>
      <c r="F64" s="554">
        <v>117536.58</v>
      </c>
      <c r="G64" s="549">
        <f t="shared" si="5"/>
        <v>426.88000000000466</v>
      </c>
      <c r="H64" s="536">
        <f>G64+'14'!H64</f>
        <v>-6090.7200000000012</v>
      </c>
      <c r="I64" s="556"/>
      <c r="J64" s="629">
        <f>H64/DAY(B2)</f>
        <v>-406.04800000000006</v>
      </c>
      <c r="K64" s="467"/>
      <c r="L64" s="408"/>
      <c r="N64" s="800"/>
      <c r="O64" s="807"/>
      <c r="P64" s="413"/>
    </row>
    <row r="65" spans="1:16" ht="27.75">
      <c r="A65" s="1430" t="s">
        <v>100</v>
      </c>
      <c r="B65" s="1431"/>
      <c r="C65" s="1432"/>
      <c r="D65" s="599" t="s">
        <v>187</v>
      </c>
      <c r="E65" s="590">
        <f>'14'!F65</f>
        <v>127037.93</v>
      </c>
      <c r="F65" s="732">
        <v>127442.35</v>
      </c>
      <c r="G65" s="549">
        <f t="shared" si="5"/>
        <v>404.42000000001281</v>
      </c>
      <c r="H65" s="536">
        <f>G65+'14'!H65</f>
        <v>-5154.9499999999825</v>
      </c>
      <c r="I65" s="565"/>
      <c r="J65" s="629">
        <f>H65/DAY(B2)</f>
        <v>-343.66333333333216</v>
      </c>
      <c r="K65" s="467"/>
      <c r="L65" s="408"/>
      <c r="N65" s="800"/>
      <c r="O65" s="808"/>
      <c r="P65" s="413"/>
    </row>
    <row r="66" spans="1:16" ht="27.75">
      <c r="A66" s="1430" t="s">
        <v>101</v>
      </c>
      <c r="B66" s="1431"/>
      <c r="C66" s="1432"/>
      <c r="D66" s="599" t="s">
        <v>187</v>
      </c>
      <c r="E66" s="590">
        <f>'14'!F66</f>
        <v>19646.939999999999</v>
      </c>
      <c r="F66" s="554">
        <v>20047.63</v>
      </c>
      <c r="G66" s="549">
        <f t="shared" si="5"/>
        <v>400.69000000000233</v>
      </c>
      <c r="H66" s="536">
        <f>G66+'14'!H66</f>
        <v>-5112.119999999999</v>
      </c>
      <c r="I66" s="556"/>
      <c r="J66" s="629">
        <f>H66/DAY(B2)</f>
        <v>-340.80799999999994</v>
      </c>
      <c r="K66" s="467"/>
      <c r="L66" s="408"/>
      <c r="N66" s="800"/>
      <c r="O66" s="807"/>
      <c r="P66" s="413"/>
    </row>
    <row r="67" spans="1:16" ht="27.75">
      <c r="A67" s="1430" t="s">
        <v>102</v>
      </c>
      <c r="B67" s="1431"/>
      <c r="C67" s="1432"/>
      <c r="D67" s="599" t="s">
        <v>187</v>
      </c>
      <c r="E67" s="590">
        <f>'14'!F67</f>
        <v>198524.69</v>
      </c>
      <c r="F67" s="554">
        <v>199239.17</v>
      </c>
      <c r="G67" s="549">
        <f t="shared" si="5"/>
        <v>714.48000000001048</v>
      </c>
      <c r="H67" s="536">
        <f>G67+'14'!H67</f>
        <v>-8602.6599999999744</v>
      </c>
      <c r="I67" s="565"/>
      <c r="J67" s="629">
        <f>H67/DAY(B2)</f>
        <v>-573.51066666666497</v>
      </c>
      <c r="K67" s="468"/>
      <c r="L67" s="408"/>
      <c r="N67" s="800"/>
      <c r="O67" s="807"/>
      <c r="P67" s="413"/>
    </row>
    <row r="68" spans="1:16" ht="27.75">
      <c r="A68" s="1430" t="s">
        <v>103</v>
      </c>
      <c r="B68" s="1431"/>
      <c r="C68" s="1432"/>
      <c r="D68" s="599" t="s">
        <v>187</v>
      </c>
      <c r="E68" s="590">
        <f>'14'!F68</f>
        <v>68100.536999999997</v>
      </c>
      <c r="F68" s="554">
        <v>68438.38</v>
      </c>
      <c r="G68" s="549">
        <f t="shared" si="5"/>
        <v>337.84300000000803</v>
      </c>
      <c r="H68" s="536">
        <f>G68+'14'!H68</f>
        <v>-4240.1399999999994</v>
      </c>
      <c r="I68" s="592"/>
      <c r="J68" s="629">
        <f>H68/DAY(B2)</f>
        <v>-282.67599999999999</v>
      </c>
      <c r="K68" s="469"/>
      <c r="L68" s="408"/>
      <c r="N68" s="800"/>
      <c r="O68" s="807"/>
      <c r="P68" s="413"/>
    </row>
    <row r="69" spans="1:16" ht="27.75">
      <c r="A69" s="1430" t="s">
        <v>104</v>
      </c>
      <c r="B69" s="1431"/>
      <c r="C69" s="1432"/>
      <c r="D69" s="599" t="s">
        <v>187</v>
      </c>
      <c r="E69" s="590">
        <f>'14'!F69</f>
        <v>59956.39</v>
      </c>
      <c r="F69" s="554">
        <v>60262.21</v>
      </c>
      <c r="G69" s="549">
        <f t="shared" si="5"/>
        <v>305.81999999999971</v>
      </c>
      <c r="H69" s="536">
        <f>G69+'14'!H69</f>
        <v>-4189.8799999999974</v>
      </c>
      <c r="I69" s="592"/>
      <c r="J69" s="629">
        <f>H69/DAY(B2)</f>
        <v>-279.32533333333316</v>
      </c>
      <c r="K69" s="470"/>
      <c r="L69" s="408"/>
      <c r="N69" s="800"/>
      <c r="O69" s="807"/>
      <c r="P69" s="413"/>
    </row>
    <row r="70" spans="1:16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800"/>
      <c r="O71" s="807"/>
      <c r="P71" s="413"/>
    </row>
    <row r="72" spans="1:16" ht="27.75">
      <c r="A72" s="1430" t="s">
        <v>191</v>
      </c>
      <c r="B72" s="1431"/>
      <c r="C72" s="1432"/>
      <c r="D72" s="599" t="s">
        <v>187</v>
      </c>
      <c r="E72" s="595">
        <f>'14'!F72</f>
        <v>849524</v>
      </c>
      <c r="F72" s="735">
        <v>849617</v>
      </c>
      <c r="G72" s="549">
        <f t="shared" ref="G72:G84" si="6">F72-E72</f>
        <v>93</v>
      </c>
      <c r="H72" s="536">
        <f>G72+'14'!H72</f>
        <v>1224</v>
      </c>
      <c r="I72" s="556"/>
      <c r="J72" s="629">
        <f>H72/DAY(B2)</f>
        <v>81.599999999999994</v>
      </c>
      <c r="K72" s="470"/>
      <c r="L72" s="408"/>
      <c r="N72" s="800"/>
      <c r="O72" s="807"/>
      <c r="P72" s="413"/>
    </row>
    <row r="73" spans="1:16" ht="27.75">
      <c r="A73" s="1430" t="s">
        <v>192</v>
      </c>
      <c r="B73" s="1431"/>
      <c r="C73" s="1432"/>
      <c r="D73" s="599" t="s">
        <v>187</v>
      </c>
      <c r="E73" s="595">
        <f>'14'!F73</f>
        <v>885738</v>
      </c>
      <c r="F73" s="736">
        <v>885739</v>
      </c>
      <c r="G73" s="733">
        <f t="shared" si="6"/>
        <v>1</v>
      </c>
      <c r="H73" s="536">
        <f>G73+'14'!H73</f>
        <v>-1169</v>
      </c>
      <c r="I73" s="556"/>
      <c r="J73" s="629">
        <f>H73/DAY(B2)</f>
        <v>-77.933333333333337</v>
      </c>
      <c r="K73" s="469"/>
      <c r="L73" s="408"/>
      <c r="N73" s="800"/>
      <c r="O73" s="807"/>
      <c r="P73" s="413"/>
    </row>
    <row r="74" spans="1:16" ht="27.75">
      <c r="A74" s="1430" t="s">
        <v>193</v>
      </c>
      <c r="B74" s="1431"/>
      <c r="C74" s="1432"/>
      <c r="D74" s="599" t="s">
        <v>187</v>
      </c>
      <c r="E74" s="595">
        <f>'14'!F74</f>
        <v>136.44</v>
      </c>
      <c r="F74" s="736">
        <v>199.82</v>
      </c>
      <c r="G74" s="549">
        <f t="shared" si="6"/>
        <v>63.379999999999995</v>
      </c>
      <c r="H74" s="536">
        <f>G74+'14'!H74</f>
        <v>-386.35</v>
      </c>
      <c r="I74" s="556"/>
      <c r="J74" s="629">
        <f>H74/DAY(B2)</f>
        <v>-25.756666666666668</v>
      </c>
      <c r="K74" s="470"/>
      <c r="L74" s="408"/>
      <c r="N74" s="800"/>
      <c r="O74" s="807"/>
      <c r="P74" s="413"/>
    </row>
    <row r="75" spans="1:16" ht="27.75">
      <c r="A75" s="1479" t="s">
        <v>194</v>
      </c>
      <c r="B75" s="1480"/>
      <c r="C75" s="1481"/>
      <c r="D75" s="599" t="s">
        <v>187</v>
      </c>
      <c r="E75" s="595">
        <f>'14'!F75</f>
        <v>1007.36</v>
      </c>
      <c r="F75" s="736">
        <v>1216.72</v>
      </c>
      <c r="G75" s="549">
        <f t="shared" si="6"/>
        <v>209.36</v>
      </c>
      <c r="H75" s="536">
        <f>G75+'14'!H75</f>
        <v>-2302.4999999999995</v>
      </c>
      <c r="I75" s="556"/>
      <c r="J75" s="629">
        <f>H75/DAY(B2)</f>
        <v>-153.49999999999997</v>
      </c>
      <c r="K75" s="469"/>
      <c r="L75" s="408"/>
      <c r="N75" s="800"/>
      <c r="O75" s="807"/>
      <c r="P75" s="413"/>
    </row>
    <row r="76" spans="1:16" ht="27.75">
      <c r="A76" s="1479" t="s">
        <v>195</v>
      </c>
      <c r="B76" s="1480"/>
      <c r="C76" s="1481"/>
      <c r="D76" s="599" t="s">
        <v>187</v>
      </c>
      <c r="E76" s="595">
        <f>'14'!F76</f>
        <v>429.39</v>
      </c>
      <c r="F76" s="736">
        <v>508.4</v>
      </c>
      <c r="G76" s="549">
        <f t="shared" si="6"/>
        <v>79.009999999999991</v>
      </c>
      <c r="H76" s="536">
        <f>G76+'14'!H76</f>
        <v>-2550.0199999999995</v>
      </c>
      <c r="I76" s="581"/>
      <c r="J76" s="629">
        <f>H76/DAY(B2)</f>
        <v>-170.00133333333329</v>
      </c>
      <c r="K76" s="469"/>
      <c r="L76" s="408"/>
      <c r="N76" s="800"/>
      <c r="O76" s="807"/>
      <c r="P76" s="413"/>
    </row>
    <row r="77" spans="1:16" ht="27.75">
      <c r="A77" s="1430" t="s">
        <v>196</v>
      </c>
      <c r="B77" s="1431"/>
      <c r="C77" s="1432"/>
      <c r="D77" s="599" t="s">
        <v>187</v>
      </c>
      <c r="E77" s="595">
        <f>'14'!F77</f>
        <v>697891</v>
      </c>
      <c r="F77" s="736">
        <v>697945</v>
      </c>
      <c r="G77" s="733">
        <f t="shared" si="6"/>
        <v>54</v>
      </c>
      <c r="H77" s="536">
        <f>G77+'14'!H77</f>
        <v>-643</v>
      </c>
      <c r="I77" s="581"/>
      <c r="J77" s="629">
        <f>H77/DAY(B2)</f>
        <v>-42.866666666666667</v>
      </c>
      <c r="K77" s="469"/>
      <c r="L77" s="408"/>
      <c r="N77" s="800"/>
      <c r="O77" s="807"/>
      <c r="P77" s="413"/>
    </row>
    <row r="78" spans="1:16" ht="27.75">
      <c r="A78" s="1290" t="s">
        <v>197</v>
      </c>
      <c r="B78" s="1283"/>
      <c r="C78" s="1283"/>
      <c r="D78" s="599" t="s">
        <v>187</v>
      </c>
      <c r="E78" s="595">
        <f>'14'!F78</f>
        <v>647779</v>
      </c>
      <c r="F78" s="737">
        <v>648180</v>
      </c>
      <c r="G78" s="549">
        <f t="shared" si="6"/>
        <v>401</v>
      </c>
      <c r="H78" s="536">
        <f>G78+'14'!H78</f>
        <v>-4683</v>
      </c>
      <c r="I78" s="581"/>
      <c r="J78" s="629">
        <f>H78/DAY(B2)</f>
        <v>-312.2</v>
      </c>
      <c r="K78" s="469"/>
      <c r="L78" s="408"/>
      <c r="N78" s="800"/>
      <c r="O78" s="807"/>
      <c r="P78" s="413"/>
    </row>
    <row r="79" spans="1:16" ht="27.75">
      <c r="A79" s="1479" t="s">
        <v>92</v>
      </c>
      <c r="B79" s="1480"/>
      <c r="C79" s="1481"/>
      <c r="D79" s="600" t="s">
        <v>187</v>
      </c>
      <c r="E79" s="595">
        <f>'14'!F79</f>
        <v>812390</v>
      </c>
      <c r="F79" s="737">
        <v>812601</v>
      </c>
      <c r="G79" s="549">
        <f t="shared" si="6"/>
        <v>211</v>
      </c>
      <c r="H79" s="536">
        <f>G79+'14'!H79</f>
        <v>-5135</v>
      </c>
      <c r="I79" s="581"/>
      <c r="J79" s="629">
        <f>H79/DAY(B2)</f>
        <v>-342.33333333333331</v>
      </c>
      <c r="K79" s="469"/>
      <c r="L79" s="408"/>
      <c r="N79" s="800"/>
      <c r="O79" s="807"/>
      <c r="P79" s="413"/>
    </row>
    <row r="80" spans="1:16" ht="27.75">
      <c r="A80" s="1479" t="s">
        <v>198</v>
      </c>
      <c r="B80" s="1480"/>
      <c r="C80" s="1481"/>
      <c r="D80" s="600" t="s">
        <v>187</v>
      </c>
      <c r="E80" s="595">
        <f>'14'!F80</f>
        <v>489475.56</v>
      </c>
      <c r="F80" s="736">
        <v>489888.52</v>
      </c>
      <c r="G80" s="549">
        <f t="shared" si="6"/>
        <v>412.96000000002095</v>
      </c>
      <c r="H80" s="536">
        <f>G80+'14'!H80</f>
        <v>-2111.1599999999744</v>
      </c>
      <c r="I80" s="581"/>
      <c r="J80" s="629">
        <f>H80/DAY(B2)</f>
        <v>-140.74399999999829</v>
      </c>
      <c r="K80" s="469"/>
      <c r="L80" s="408"/>
      <c r="N80" s="800"/>
      <c r="O80" s="807"/>
      <c r="P80" s="413"/>
    </row>
    <row r="81" spans="1:16" ht="27.75">
      <c r="A81" s="1479" t="s">
        <v>199</v>
      </c>
      <c r="B81" s="1480"/>
      <c r="C81" s="1481"/>
      <c r="D81" s="600" t="s">
        <v>187</v>
      </c>
      <c r="E81" s="595">
        <f>'14'!F81</f>
        <v>624243.31999999995</v>
      </c>
      <c r="F81" s="736">
        <v>624383.04</v>
      </c>
      <c r="G81" s="549">
        <f t="shared" si="6"/>
        <v>139.72000000008848</v>
      </c>
      <c r="H81" s="536">
        <f>G81+'14'!H81</f>
        <v>-1560.7999999999302</v>
      </c>
      <c r="I81" s="581"/>
      <c r="J81" s="629">
        <f>H81/DAY(B2)</f>
        <v>-104.05333333332868</v>
      </c>
      <c r="K81" s="469"/>
      <c r="L81" s="408"/>
      <c r="N81" s="800"/>
      <c r="O81" s="807"/>
      <c r="P81" s="413"/>
    </row>
    <row r="82" spans="1:16" s="858" customFormat="1" ht="27.75">
      <c r="A82" s="1493" t="s">
        <v>93</v>
      </c>
      <c r="B82" s="1494"/>
      <c r="C82" s="1495"/>
      <c r="D82" s="561" t="s">
        <v>132</v>
      </c>
      <c r="E82" s="595">
        <f>'14'!F82</f>
        <v>105860.95</v>
      </c>
      <c r="F82" s="561">
        <v>105889.01</v>
      </c>
      <c r="G82" s="549">
        <f t="shared" si="6"/>
        <v>28.059999999997672</v>
      </c>
      <c r="H82" s="562">
        <f>G82+'14'!H82</f>
        <v>-313.47000000000116</v>
      </c>
      <c r="I82" s="562"/>
      <c r="J82" s="630">
        <f>H82/DAY(B2)</f>
        <v>-20.898000000000078</v>
      </c>
      <c r="K82" s="1305"/>
      <c r="L82" s="1306"/>
      <c r="N82" s="804"/>
      <c r="O82" s="808"/>
      <c r="P82" s="803"/>
    </row>
    <row r="83" spans="1:16" ht="27.75">
      <c r="A83" s="1479" t="s">
        <v>200</v>
      </c>
      <c r="B83" s="1480"/>
      <c r="C83" s="1481"/>
      <c r="D83" s="697" t="s">
        <v>132</v>
      </c>
      <c r="E83" s="595">
        <f>'14'!F83</f>
        <v>989702</v>
      </c>
      <c r="F83" s="587">
        <v>990240</v>
      </c>
      <c r="G83" s="549">
        <f t="shared" si="6"/>
        <v>538</v>
      </c>
      <c r="H83" s="536">
        <f>G83+'14'!H83</f>
        <v>993643</v>
      </c>
      <c r="I83" s="557"/>
      <c r="J83" s="629">
        <f>H83/DAY(B2)</f>
        <v>66242.866666666669</v>
      </c>
      <c r="K83" s="468"/>
      <c r="L83" s="408"/>
      <c r="N83" s="800"/>
      <c r="O83" s="807"/>
      <c r="P83" s="413"/>
    </row>
    <row r="84" spans="1:16">
      <c r="A84" s="1291" t="s">
        <v>201</v>
      </c>
      <c r="B84" s="648"/>
      <c r="C84" s="648"/>
      <c r="D84" s="554" t="s">
        <v>132</v>
      </c>
      <c r="E84" s="595">
        <f>'14'!F84</f>
        <v>422728</v>
      </c>
      <c r="F84" s="704">
        <v>423264</v>
      </c>
      <c r="G84" s="549">
        <f t="shared" si="6"/>
        <v>536</v>
      </c>
      <c r="H84" s="536">
        <f>G84+'14'!H84</f>
        <v>-7534</v>
      </c>
      <c r="I84" s="557"/>
      <c r="J84" s="629">
        <f>H84/DAY(B2)</f>
        <v>-502.26666666666665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2766.4900000001071</v>
      </c>
      <c r="H85" s="536">
        <f>G85+'14'!H85</f>
        <v>964887.44</v>
      </c>
      <c r="I85" s="557"/>
      <c r="J85" s="629">
        <f>H85/DAY(B2)</f>
        <v>64325.829333333328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'14'!F86</f>
        <v>448812.44</v>
      </c>
      <c r="F86" s="728">
        <v>448916.84</v>
      </c>
      <c r="G86" s="787">
        <f t="shared" ref="G86:G90" si="7">F86-E86</f>
        <v>104.40000000002328</v>
      </c>
      <c r="H86" s="787">
        <f t="shared" ref="H86:H88" si="8">G86</f>
        <v>104.40000000002328</v>
      </c>
      <c r="I86" s="733"/>
      <c r="J86" s="789">
        <f>H86/DAY(B2)</f>
        <v>6.9600000000015525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'14'!F87</f>
        <v>78823.5</v>
      </c>
      <c r="F87" s="728">
        <v>78857.8</v>
      </c>
      <c r="G87" s="787">
        <f t="shared" si="7"/>
        <v>34.30000000000291</v>
      </c>
      <c r="H87" s="787">
        <f t="shared" si="8"/>
        <v>34.30000000000291</v>
      </c>
      <c r="I87" s="733"/>
      <c r="J87" s="789">
        <f>H87/DAY(B2)</f>
        <v>2.2866666666668607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'14'!F88</f>
        <v>147397.81</v>
      </c>
      <c r="F88" s="728">
        <v>147474.89000000001</v>
      </c>
      <c r="G88" s="787">
        <f t="shared" si="7"/>
        <v>77.080000000016298</v>
      </c>
      <c r="H88" s="787">
        <f t="shared" si="8"/>
        <v>77.080000000016298</v>
      </c>
      <c r="I88" s="733"/>
      <c r="J88" s="789">
        <f>H88/DAY(B2)</f>
        <v>5.1386666666677536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'14'!F89</f>
        <v>60730.1</v>
      </c>
      <c r="F89" s="728">
        <v>60789.9</v>
      </c>
      <c r="G89" s="787">
        <f t="shared" si="7"/>
        <v>59.80000000000291</v>
      </c>
      <c r="H89" s="787">
        <f>G89</f>
        <v>59.80000000000291</v>
      </c>
      <c r="I89" s="733"/>
      <c r="J89" s="789">
        <f>H89/DAY(B2)</f>
        <v>3.9866666666668609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'14'!F90</f>
        <v>3113.1</v>
      </c>
      <c r="F90" s="728">
        <v>3117.1</v>
      </c>
      <c r="G90" s="787">
        <f t="shared" si="7"/>
        <v>4</v>
      </c>
      <c r="H90" s="787">
        <f>G90</f>
        <v>4</v>
      </c>
      <c r="I90" s="733"/>
      <c r="J90" s="789">
        <f>H90/DAY(B2)</f>
        <v>0.26666666666666666</v>
      </c>
      <c r="K90" s="815"/>
      <c r="L90" s="816"/>
      <c r="N90" s="860"/>
      <c r="O90" s="413"/>
    </row>
    <row r="91" spans="1:16" s="410" customFormat="1">
      <c r="A91" s="683" t="s">
        <v>205</v>
      </c>
      <c r="B91" s="1293"/>
      <c r="C91" s="1293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33" t="s">
        <v>206</v>
      </c>
      <c r="B92" s="1434"/>
      <c r="C92" s="1435"/>
      <c r="D92" s="599" t="s">
        <v>144</v>
      </c>
      <c r="E92" s="560">
        <f>'14'!F92</f>
        <v>238106</v>
      </c>
      <c r="F92" s="554">
        <v>238298</v>
      </c>
      <c r="G92" s="549">
        <f t="shared" ref="G92:G93" si="9">F92-E92</f>
        <v>192</v>
      </c>
      <c r="H92" s="536">
        <f>G92+'14'!H92</f>
        <v>-1397</v>
      </c>
      <c r="I92" s="556"/>
      <c r="J92" s="629">
        <f>H92/DAY(B2)</f>
        <v>-93.13333333333334</v>
      </c>
      <c r="K92" s="468"/>
      <c r="L92" s="408"/>
      <c r="N92" s="800"/>
      <c r="O92" s="807"/>
      <c r="P92" s="413"/>
    </row>
    <row r="93" spans="1:16" ht="27.75">
      <c r="A93" s="1433" t="s">
        <v>207</v>
      </c>
      <c r="B93" s="1434"/>
      <c r="C93" s="1435"/>
      <c r="D93" s="599" t="s">
        <v>144</v>
      </c>
      <c r="E93" s="560">
        <f>'14'!F93</f>
        <v>173449</v>
      </c>
      <c r="F93" s="554">
        <v>173643</v>
      </c>
      <c r="G93" s="549">
        <f t="shared" si="9"/>
        <v>194</v>
      </c>
      <c r="H93" s="536">
        <f>G93+'14'!H93</f>
        <v>-2018</v>
      </c>
      <c r="I93" s="556"/>
      <c r="J93" s="629">
        <f>H93/DAY(B2)</f>
        <v>-134.53333333333333</v>
      </c>
      <c r="K93" s="411"/>
      <c r="L93" s="408"/>
      <c r="N93" s="800"/>
      <c r="O93" s="807"/>
      <c r="P93" s="413"/>
    </row>
    <row r="94" spans="1:16">
      <c r="A94" s="1427" t="s">
        <v>208</v>
      </c>
      <c r="B94" s="1428"/>
      <c r="C94" s="1429"/>
      <c r="D94" s="599"/>
      <c r="E94" s="560"/>
      <c r="F94" s="554"/>
      <c r="G94" s="549">
        <f>G92+G93</f>
        <v>386</v>
      </c>
      <c r="H94" s="536">
        <f>G94+'14'!H94</f>
        <v>-3681</v>
      </c>
      <c r="I94" s="556"/>
      <c r="J94" s="629">
        <f>H94/DAY(B2)</f>
        <v>-245.4</v>
      </c>
      <c r="K94" s="411"/>
      <c r="L94" s="408"/>
      <c r="N94" s="800"/>
      <c r="O94" s="807"/>
      <c r="P94" s="413"/>
    </row>
    <row r="95" spans="1:16" ht="27.75">
      <c r="A95" s="1433" t="s">
        <v>209</v>
      </c>
      <c r="B95" s="1434"/>
      <c r="C95" s="1435"/>
      <c r="D95" s="599" t="s">
        <v>144</v>
      </c>
      <c r="E95" s="560">
        <f>'14'!F95</f>
        <v>406909</v>
      </c>
      <c r="F95" s="554">
        <v>407040</v>
      </c>
      <c r="G95" s="549">
        <f t="shared" ref="G95:G100" si="10">F95-E95</f>
        <v>131</v>
      </c>
      <c r="H95" s="536">
        <f>G95+'14'!H95</f>
        <v>-1116</v>
      </c>
      <c r="I95" s="556"/>
      <c r="J95" s="629">
        <f>H95/DAY(B2)</f>
        <v>-74.400000000000006</v>
      </c>
      <c r="K95" s="411"/>
      <c r="L95" s="408"/>
      <c r="N95" s="800"/>
      <c r="O95" s="807"/>
      <c r="P95" s="413"/>
    </row>
    <row r="96" spans="1:16" ht="27.75">
      <c r="A96" s="1287" t="s">
        <v>210</v>
      </c>
      <c r="B96" s="1288"/>
      <c r="C96" s="1288"/>
      <c r="D96" s="599" t="s">
        <v>144</v>
      </c>
      <c r="E96" s="560">
        <f>'14'!F96</f>
        <v>101066</v>
      </c>
      <c r="F96" s="554">
        <v>101091</v>
      </c>
      <c r="G96" s="549">
        <f t="shared" si="10"/>
        <v>25</v>
      </c>
      <c r="H96" s="536">
        <f>G96+'14'!H96</f>
        <v>-241</v>
      </c>
      <c r="I96" s="556"/>
      <c r="J96" s="629">
        <f>H96/DAY(B2)</f>
        <v>-16.066666666666666</v>
      </c>
      <c r="K96" s="466"/>
      <c r="L96" s="408"/>
      <c r="N96" s="800"/>
      <c r="O96" s="807"/>
      <c r="P96" s="413"/>
    </row>
    <row r="97" spans="1:16" ht="27.75">
      <c r="A97" s="1287" t="s">
        <v>211</v>
      </c>
      <c r="B97" s="1288"/>
      <c r="C97" s="1288"/>
      <c r="D97" s="599" t="s">
        <v>144</v>
      </c>
      <c r="E97" s="560">
        <f>'14'!F97</f>
        <v>96118</v>
      </c>
      <c r="F97" s="554">
        <v>96153</v>
      </c>
      <c r="G97" s="549">
        <f t="shared" si="10"/>
        <v>35</v>
      </c>
      <c r="H97" s="536">
        <f>G97+'14'!H97</f>
        <v>-296</v>
      </c>
      <c r="I97" s="556"/>
      <c r="J97" s="629">
        <f>H97/DAY(B2)</f>
        <v>-19.733333333333334</v>
      </c>
      <c r="K97" s="471"/>
      <c r="L97" s="408"/>
      <c r="N97" s="800"/>
      <c r="O97" s="807"/>
      <c r="P97" s="413"/>
    </row>
    <row r="98" spans="1:16" ht="27.75">
      <c r="A98" s="1287" t="s">
        <v>212</v>
      </c>
      <c r="B98" s="1288"/>
      <c r="C98" s="1288"/>
      <c r="D98" s="599" t="s">
        <v>144</v>
      </c>
      <c r="E98" s="560">
        <f>'14'!F98</f>
        <v>146530</v>
      </c>
      <c r="F98" s="554">
        <v>146606</v>
      </c>
      <c r="G98" s="549">
        <f t="shared" si="10"/>
        <v>76</v>
      </c>
      <c r="H98" s="536">
        <f>G98+'14'!H98</f>
        <v>-1002</v>
      </c>
      <c r="I98" s="556"/>
      <c r="J98" s="629">
        <f>H98/DAY(B2)</f>
        <v>-66.8</v>
      </c>
      <c r="K98" s="411"/>
      <c r="L98" s="408"/>
      <c r="N98" s="802"/>
      <c r="O98" s="807"/>
      <c r="P98" s="413"/>
    </row>
    <row r="99" spans="1:16" ht="27.75">
      <c r="A99" s="1287" t="s">
        <v>213</v>
      </c>
      <c r="B99" s="1288"/>
      <c r="C99" s="1288"/>
      <c r="D99" s="599" t="s">
        <v>144</v>
      </c>
      <c r="E99" s="560">
        <f>'14'!F99</f>
        <v>6137</v>
      </c>
      <c r="F99" s="554">
        <v>6167</v>
      </c>
      <c r="G99" s="549">
        <f t="shared" si="10"/>
        <v>30</v>
      </c>
      <c r="H99" s="536">
        <f>G99+'14'!H99</f>
        <v>-241</v>
      </c>
      <c r="I99" s="556"/>
      <c r="J99" s="629">
        <f>H99/DAY(B2)</f>
        <v>-16.066666666666666</v>
      </c>
      <c r="K99" s="411"/>
      <c r="L99" s="408"/>
      <c r="N99" s="800"/>
      <c r="O99" s="807"/>
      <c r="P99" s="413"/>
    </row>
    <row r="100" spans="1:16" ht="27.75">
      <c r="A100" s="1287" t="s">
        <v>214</v>
      </c>
      <c r="B100" s="1288"/>
      <c r="C100" s="1288"/>
      <c r="D100" s="599" t="s">
        <v>144</v>
      </c>
      <c r="E100" s="560">
        <f>'14'!F100</f>
        <v>4366</v>
      </c>
      <c r="F100" s="554">
        <v>4389</v>
      </c>
      <c r="G100" s="549">
        <f t="shared" si="10"/>
        <v>23</v>
      </c>
      <c r="H100" s="536">
        <f>G100+'14'!H100</f>
        <v>-154</v>
      </c>
      <c r="I100" s="556"/>
      <c r="J100" s="629">
        <f>H100/DAY(B2)</f>
        <v>-10.266666666666667</v>
      </c>
      <c r="K100" s="411"/>
      <c r="L100" s="408"/>
      <c r="N100" s="800"/>
      <c r="O100" s="807"/>
      <c r="P100" s="413"/>
    </row>
    <row r="101" spans="1:16">
      <c r="A101" s="1427" t="s">
        <v>216</v>
      </c>
      <c r="B101" s="1428"/>
      <c r="C101" s="1429"/>
      <c r="D101" s="600"/>
      <c r="E101" s="560"/>
      <c r="F101" s="600"/>
      <c r="G101" s="601">
        <f>SUM(G95:G100)</f>
        <v>320</v>
      </c>
      <c r="H101" s="536">
        <f>G101+'14'!H101</f>
        <v>-3050</v>
      </c>
      <c r="I101" s="602"/>
      <c r="J101" s="629">
        <f>H101/DAY(B2)</f>
        <v>-203.33333333333334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6" t="s">
        <v>218</v>
      </c>
      <c r="B103" s="1437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38" t="s">
        <v>219</v>
      </c>
      <c r="B104" s="1439"/>
      <c r="C104" s="1286"/>
      <c r="D104" s="699" t="s">
        <v>144</v>
      </c>
      <c r="E104" s="560">
        <f>'14'!F104</f>
        <v>7097</v>
      </c>
      <c r="F104" s="739">
        <v>7097</v>
      </c>
      <c r="G104" s="608">
        <f>F104-E104</f>
        <v>0</v>
      </c>
      <c r="H104" s="609">
        <f>SUM(G104+'1'!G76)</f>
        <v>79.150000000000091</v>
      </c>
      <c r="I104" s="608"/>
      <c r="J104" s="635">
        <f>H104/DAY(B2)</f>
        <v>5.2766666666666726</v>
      </c>
      <c r="N104" s="800"/>
      <c r="O104" s="807"/>
      <c r="P104" s="413"/>
    </row>
    <row r="105" spans="1:16" s="481" customFormat="1" ht="27.75">
      <c r="A105" s="1438" t="s">
        <v>77</v>
      </c>
      <c r="B105" s="1439"/>
      <c r="C105" s="1286"/>
      <c r="D105" s="699" t="s">
        <v>144</v>
      </c>
      <c r="E105" s="560">
        <f>'14'!F105</f>
        <v>35268</v>
      </c>
      <c r="F105" s="740">
        <v>35285</v>
      </c>
      <c r="G105" s="608">
        <f t="shared" ref="G105:G106" si="11">F105-E105</f>
        <v>17</v>
      </c>
      <c r="H105" s="609">
        <f>SUM(G105+'1'!G77)</f>
        <v>62</v>
      </c>
      <c r="I105" s="608"/>
      <c r="J105" s="635">
        <f>H105/DAY(B2)</f>
        <v>4.1333333333333337</v>
      </c>
      <c r="N105" s="800"/>
      <c r="O105" s="807"/>
      <c r="P105" s="413"/>
    </row>
    <row r="106" spans="1:16" s="481" customFormat="1" ht="27.75">
      <c r="A106" s="1438" t="s">
        <v>78</v>
      </c>
      <c r="B106" s="1440"/>
      <c r="C106" s="1439"/>
      <c r="D106" s="699" t="s">
        <v>144</v>
      </c>
      <c r="E106" s="560">
        <f>'14'!F106</f>
        <v>19157</v>
      </c>
      <c r="F106" s="740">
        <v>19168</v>
      </c>
      <c r="G106" s="608">
        <f t="shared" si="11"/>
        <v>11</v>
      </c>
      <c r="H106" s="609">
        <f>SUM(G106+'1'!G78)</f>
        <v>401</v>
      </c>
      <c r="I106" s="608"/>
      <c r="J106" s="635">
        <f>H106/DAY(B2)</f>
        <v>26.733333333333334</v>
      </c>
      <c r="N106" s="800"/>
      <c r="O106" s="807"/>
      <c r="P106" s="413"/>
    </row>
    <row r="107" spans="1:16" s="481" customFormat="1" ht="27.75">
      <c r="A107" s="1441" t="s">
        <v>202</v>
      </c>
      <c r="B107" s="1442"/>
      <c r="C107" s="1286"/>
      <c r="D107" s="699"/>
      <c r="E107" s="560">
        <f>'14'!F107</f>
        <v>0</v>
      </c>
      <c r="F107" s="740"/>
      <c r="G107" s="608">
        <f>SUM(G104:G106)</f>
        <v>28</v>
      </c>
      <c r="H107" s="609">
        <f>SUM(G107+'1'!G79)</f>
        <v>220</v>
      </c>
      <c r="I107" s="608"/>
      <c r="J107" s="635">
        <f>H107/DAY(B2)</f>
        <v>14.666666666666666</v>
      </c>
      <c r="N107" s="800"/>
      <c r="O107" s="807"/>
      <c r="P107" s="413"/>
    </row>
    <row r="108" spans="1:16" s="481" customFormat="1" ht="27.75">
      <c r="A108" s="1443" t="s">
        <v>79</v>
      </c>
      <c r="B108" s="1444"/>
      <c r="C108" s="1286"/>
      <c r="D108" s="699" t="s">
        <v>144</v>
      </c>
      <c r="E108" s="560">
        <f>'14'!F108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38" t="s">
        <v>220</v>
      </c>
      <c r="B109" s="1439"/>
      <c r="C109" s="1286"/>
      <c r="D109" s="699" t="s">
        <v>144</v>
      </c>
      <c r="E109" s="560">
        <f>'14'!F109</f>
        <v>55505</v>
      </c>
      <c r="F109" s="740">
        <v>55588</v>
      </c>
      <c r="G109" s="608">
        <f>F109-E109</f>
        <v>83</v>
      </c>
      <c r="H109" s="609">
        <f>SUM(G109+'1'!G81)</f>
        <v>195.56000000005588</v>
      </c>
      <c r="I109" s="608"/>
      <c r="J109" s="635">
        <f>H109/DAY(B2)</f>
        <v>13.037333333337058</v>
      </c>
      <c r="N109" s="800"/>
      <c r="O109" s="807"/>
      <c r="P109" s="413"/>
    </row>
    <row r="110" spans="1:16" s="481" customFormat="1" ht="27.75">
      <c r="A110" s="1438" t="s">
        <v>221</v>
      </c>
      <c r="B110" s="1439"/>
      <c r="C110" s="1286"/>
      <c r="D110" s="699" t="s">
        <v>144</v>
      </c>
      <c r="E110" s="560">
        <f>'14'!F110</f>
        <v>29433</v>
      </c>
      <c r="F110" s="740">
        <v>29519</v>
      </c>
      <c r="G110" s="608">
        <f t="shared" ref="G110:G111" si="12">F110-E110</f>
        <v>86</v>
      </c>
      <c r="H110" s="609">
        <f>SUM(G110+'1'!G82)</f>
        <v>104.16999999999825</v>
      </c>
      <c r="I110" s="608"/>
      <c r="J110" s="635">
        <f>H110/DAY(B2)</f>
        <v>6.9446666666665502</v>
      </c>
      <c r="N110" s="800"/>
      <c r="O110" s="807"/>
      <c r="P110" s="413"/>
    </row>
    <row r="111" spans="1:16" s="481" customFormat="1" ht="27.75">
      <c r="A111" s="1438" t="s">
        <v>222</v>
      </c>
      <c r="B111" s="1439"/>
      <c r="C111" s="1286"/>
      <c r="D111" s="699" t="s">
        <v>144</v>
      </c>
      <c r="E111" s="560">
        <f>'14'!F111</f>
        <v>3870</v>
      </c>
      <c r="F111" s="740">
        <v>3883</v>
      </c>
      <c r="G111" s="608">
        <f t="shared" si="12"/>
        <v>13</v>
      </c>
      <c r="H111" s="609">
        <f>SUM(G111+'1'!G83)</f>
        <v>533</v>
      </c>
      <c r="I111" s="608"/>
      <c r="J111" s="635">
        <f>H111/DAY(B2)</f>
        <v>35.533333333333331</v>
      </c>
      <c r="N111" s="800"/>
      <c r="O111" s="807"/>
      <c r="P111" s="413"/>
    </row>
    <row r="112" spans="1:16" s="481" customFormat="1" ht="27.75">
      <c r="A112" s="1441" t="s">
        <v>110</v>
      </c>
      <c r="B112" s="1442"/>
      <c r="C112" s="1286"/>
      <c r="D112" s="699"/>
      <c r="E112" s="560">
        <f>'14'!F112</f>
        <v>0</v>
      </c>
      <c r="F112" s="740"/>
      <c r="G112" s="608">
        <f>SUM(G109:G111)</f>
        <v>182</v>
      </c>
      <c r="H112" s="609">
        <f>SUM(G112+'1'!G84)</f>
        <v>872</v>
      </c>
      <c r="I112" s="608"/>
      <c r="J112" s="635">
        <f>H112/DAY(B2)</f>
        <v>58.133333333333333</v>
      </c>
      <c r="N112" s="800"/>
      <c r="O112" s="807"/>
      <c r="P112" s="413"/>
    </row>
    <row r="113" spans="1:16" s="481" customFormat="1" ht="27.75">
      <c r="A113" s="1443" t="s">
        <v>223</v>
      </c>
      <c r="B113" s="1444"/>
      <c r="C113" s="1286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38" t="s">
        <v>224</v>
      </c>
      <c r="B114" s="1439"/>
      <c r="C114" s="651"/>
      <c r="D114" s="699" t="s">
        <v>144</v>
      </c>
      <c r="E114" s="560">
        <f>'14'!F114</f>
        <v>10001</v>
      </c>
      <c r="F114" s="740">
        <v>10036</v>
      </c>
      <c r="G114" s="610">
        <f>F114-E114</f>
        <v>35</v>
      </c>
      <c r="H114" s="609">
        <f>SUM(G114+'1'!G91)</f>
        <v>35</v>
      </c>
      <c r="I114" s="608"/>
      <c r="J114" s="635">
        <f>H114/DAY(B2)</f>
        <v>2.3333333333333335</v>
      </c>
      <c r="N114" s="800"/>
      <c r="O114" s="807"/>
      <c r="P114" s="413"/>
    </row>
    <row r="115" spans="1:16" s="481" customFormat="1" ht="27.75">
      <c r="A115" s="1438" t="s">
        <v>225</v>
      </c>
      <c r="B115" s="1439"/>
      <c r="C115" s="651"/>
      <c r="D115" s="699" t="s">
        <v>144</v>
      </c>
      <c r="E115" s="560">
        <f>'14'!F115</f>
        <v>7529</v>
      </c>
      <c r="F115" s="740">
        <v>7542</v>
      </c>
      <c r="G115" s="610">
        <f t="shared" ref="G115:G116" si="13">F115-E115</f>
        <v>13</v>
      </c>
      <c r="H115" s="609">
        <f>SUM(G115+'1'!G92)</f>
        <v>135</v>
      </c>
      <c r="I115" s="608"/>
      <c r="J115" s="635">
        <f>H115/DAY(B2)</f>
        <v>9</v>
      </c>
      <c r="N115" s="800"/>
      <c r="O115" s="807"/>
      <c r="P115" s="413"/>
    </row>
    <row r="116" spans="1:16" s="481" customFormat="1" ht="27.75">
      <c r="A116" s="1438" t="s">
        <v>226</v>
      </c>
      <c r="B116" s="1439"/>
      <c r="C116" s="651"/>
      <c r="D116" s="699" t="s">
        <v>144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144</v>
      </c>
      <c r="I116" s="608"/>
      <c r="J116" s="635">
        <f>H116/DAY(B2)</f>
        <v>9.6</v>
      </c>
      <c r="N116" s="800"/>
      <c r="O116" s="807"/>
      <c r="P116" s="413"/>
    </row>
    <row r="117" spans="1:16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48</v>
      </c>
      <c r="H117" s="609">
        <f>SUM(G117+'1'!G95)</f>
        <v>124</v>
      </c>
      <c r="I117" s="610"/>
      <c r="J117" s="635">
        <f>H117/DAY(B2)</f>
        <v>8.2666666666666675</v>
      </c>
      <c r="N117" s="800"/>
      <c r="O117" s="807"/>
      <c r="P117" s="413"/>
    </row>
    <row r="118" spans="1:16" s="495" customFormat="1" ht="27.75">
      <c r="A118" s="1472" t="s">
        <v>227</v>
      </c>
      <c r="B118" s="1473"/>
      <c r="C118" s="1284"/>
      <c r="D118" s="701" t="s">
        <v>144</v>
      </c>
      <c r="E118" s="612"/>
      <c r="F118" s="741">
        <f>SUM(G19+G92)</f>
        <v>244</v>
      </c>
      <c r="G118" s="612">
        <f>SUM(G19+G92)</f>
        <v>244</v>
      </c>
      <c r="H118" s="609">
        <f>SUM(G118+'1'!G96)</f>
        <v>257</v>
      </c>
      <c r="I118" s="611"/>
      <c r="J118" s="636">
        <f>H118/DAY(B2)</f>
        <v>17.133333333333333</v>
      </c>
      <c r="N118" s="800"/>
      <c r="O118" s="807"/>
      <c r="P118" s="413"/>
    </row>
    <row r="119" spans="1:16" s="495" customFormat="1" ht="27.75">
      <c r="A119" s="1472" t="s">
        <v>228</v>
      </c>
      <c r="B119" s="1473"/>
      <c r="C119" s="1284"/>
      <c r="D119" s="701" t="s">
        <v>144</v>
      </c>
      <c r="E119" s="612"/>
      <c r="F119" s="741">
        <f>SUM(G95,G96,G97,G99,G100)</f>
        <v>244</v>
      </c>
      <c r="G119" s="612">
        <f>SUM(G95,G96,G97,G99,G100)</f>
        <v>244</v>
      </c>
      <c r="H119" s="609">
        <f>SUM(G119+'1'!G98)</f>
        <v>314</v>
      </c>
      <c r="I119" s="611"/>
      <c r="J119" s="636">
        <f>H119/DAY(B2)</f>
        <v>20.933333333333334</v>
      </c>
      <c r="N119" s="800"/>
      <c r="O119" s="807"/>
      <c r="P119" s="413"/>
    </row>
    <row r="120" spans="1:16" s="495" customFormat="1" ht="27.75">
      <c r="A120" s="1472" t="s">
        <v>229</v>
      </c>
      <c r="B120" s="1473"/>
      <c r="C120" s="1284"/>
      <c r="D120" s="701" t="s">
        <v>144</v>
      </c>
      <c r="E120" s="610"/>
      <c r="F120" s="740">
        <f>SUM(G112)</f>
        <v>182</v>
      </c>
      <c r="G120" s="610">
        <f>SUM(G112)</f>
        <v>182</v>
      </c>
      <c r="H120" s="609">
        <f>SUM(G120+'1'!G100)</f>
        <v>196</v>
      </c>
      <c r="I120" s="611"/>
      <c r="J120" s="636">
        <f>H120/DAY(B2)</f>
        <v>13.066666666666666</v>
      </c>
      <c r="N120" s="800"/>
      <c r="O120" s="807"/>
      <c r="P120" s="413"/>
    </row>
    <row r="121" spans="1:16" s="481" customFormat="1" ht="27.75">
      <c r="A121" s="1474"/>
      <c r="B121" s="1475"/>
      <c r="C121" s="1285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87" t="s">
        <v>231</v>
      </c>
      <c r="B123" s="1288"/>
      <c r="C123" s="1288"/>
      <c r="D123" s="599" t="s">
        <v>141</v>
      </c>
      <c r="E123" s="554">
        <f>'14'!F123</f>
        <v>807305.93</v>
      </c>
      <c r="F123" s="554">
        <v>807582.34</v>
      </c>
      <c r="G123" s="549">
        <f>F123-E123</f>
        <v>276.40999999991618</v>
      </c>
      <c r="H123" s="536">
        <f>G123+'14'!H123</f>
        <v>-3424.5</v>
      </c>
      <c r="I123" s="602"/>
      <c r="J123" s="629">
        <f>H123/DAY(B2)</f>
        <v>-228.3</v>
      </c>
      <c r="K123" s="411"/>
      <c r="L123" s="408"/>
      <c r="N123" s="800"/>
      <c r="O123" s="807"/>
      <c r="P123" s="413"/>
    </row>
    <row r="124" spans="1:16" ht="27.75">
      <c r="A124" s="1287" t="s">
        <v>232</v>
      </c>
      <c r="B124" s="1288"/>
      <c r="C124" s="1288"/>
      <c r="D124" s="599" t="s">
        <v>141</v>
      </c>
      <c r="E124" s="703">
        <f>'14'!F124</f>
        <v>73583.399999999994</v>
      </c>
      <c r="F124" s="703">
        <v>73583.399999999994</v>
      </c>
      <c r="G124" s="549">
        <f t="shared" ref="G124:G127" si="14">F124-E124</f>
        <v>0</v>
      </c>
      <c r="H124" s="536">
        <f>G124+'14'!H124</f>
        <v>0</v>
      </c>
      <c r="I124" s="602"/>
      <c r="J124" s="629">
        <f>H124/DAY(B2)</f>
        <v>0</v>
      </c>
      <c r="K124" s="411"/>
      <c r="L124" s="408"/>
      <c r="N124" s="800"/>
      <c r="O124" s="807"/>
      <c r="P124" s="413"/>
    </row>
    <row r="125" spans="1:16" ht="27.75">
      <c r="A125" s="1430" t="s">
        <v>233</v>
      </c>
      <c r="B125" s="1431"/>
      <c r="C125" s="1432"/>
      <c r="D125" s="599" t="s">
        <v>141</v>
      </c>
      <c r="E125" s="554">
        <f>'14'!F125</f>
        <v>138858.59</v>
      </c>
      <c r="F125" s="554">
        <v>138993.94</v>
      </c>
      <c r="G125" s="549">
        <f t="shared" si="14"/>
        <v>135.35000000000582</v>
      </c>
      <c r="H125" s="536">
        <f>G125+'14'!H125</f>
        <v>-985.39999999999418</v>
      </c>
      <c r="I125" s="602"/>
      <c r="J125" s="629">
        <f>H125/DAY(B2)</f>
        <v>-65.693333333332944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288"/>
      <c r="C126" s="1288"/>
      <c r="D126" s="599" t="s">
        <v>141</v>
      </c>
      <c r="E126" s="703">
        <f>'14'!F126</f>
        <v>58947.4</v>
      </c>
      <c r="F126" s="703">
        <v>58988.9</v>
      </c>
      <c r="G126" s="549">
        <f t="shared" si="14"/>
        <v>41.5</v>
      </c>
      <c r="H126" s="536">
        <f>G126+'14'!H126</f>
        <v>-318</v>
      </c>
      <c r="I126" s="602"/>
      <c r="J126" s="629">
        <f>H126/DAY(B2)</f>
        <v>-21.2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288"/>
      <c r="C127" s="1288"/>
      <c r="D127" s="599" t="s">
        <v>141</v>
      </c>
      <c r="E127" s="703">
        <f>'14'!F127</f>
        <v>8855.7999999999993</v>
      </c>
      <c r="F127" s="703">
        <v>8861.2999999999993</v>
      </c>
      <c r="G127" s="549">
        <f t="shared" si="14"/>
        <v>5.5</v>
      </c>
      <c r="H127" s="536">
        <f>G127+'14'!H127</f>
        <v>-26.5</v>
      </c>
      <c r="I127" s="556"/>
      <c r="J127" s="629">
        <f>H127/DAY(B2)</f>
        <v>-1.7666666666666666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288"/>
      <c r="C128" s="1288"/>
      <c r="D128" s="599"/>
      <c r="E128" s="554"/>
      <c r="F128" s="554"/>
      <c r="G128" s="549">
        <f>G15-SUM(G123:G127)</f>
        <v>776.52900000018417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87" t="s">
        <v>238</v>
      </c>
      <c r="B130" s="1288"/>
      <c r="C130" s="1288"/>
      <c r="D130" s="599" t="s">
        <v>239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87" t="s">
        <v>240</v>
      </c>
      <c r="B131" s="1288"/>
      <c r="C131" s="1288"/>
      <c r="D131" s="599" t="s">
        <v>239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87" t="s">
        <v>241</v>
      </c>
      <c r="B132" s="1288"/>
      <c r="C132" s="1288"/>
      <c r="D132" s="599" t="s">
        <v>239</v>
      </c>
      <c r="E132" s="618">
        <f>'14'!F132</f>
        <v>39191.29</v>
      </c>
      <c r="F132" s="732">
        <v>39191.29</v>
      </c>
      <c r="G132" s="549">
        <f t="shared" si="15"/>
        <v>0</v>
      </c>
      <c r="H132" s="536">
        <f>G132+'14'!H132</f>
        <v>362.29000000000087</v>
      </c>
      <c r="I132" s="556"/>
      <c r="J132" s="629">
        <f>H132/DAY(B2)</f>
        <v>24.152666666666725</v>
      </c>
      <c r="N132" s="800"/>
      <c r="O132" s="807"/>
      <c r="P132" s="413"/>
    </row>
    <row r="133" spans="1:16" ht="27.75">
      <c r="A133" s="1287" t="s">
        <v>242</v>
      </c>
      <c r="B133" s="1288"/>
      <c r="C133" s="1288"/>
      <c r="D133" s="599" t="s">
        <v>239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-1</v>
      </c>
      <c r="I133" s="556">
        <f>G130+G131+G132+G133</f>
        <v>0</v>
      </c>
      <c r="J133" s="629">
        <f>H133/DAY(B2)</f>
        <v>-6.6666666666666666E-2</v>
      </c>
      <c r="N133" s="800"/>
      <c r="O133" s="807"/>
      <c r="P133" s="413"/>
    </row>
    <row r="134" spans="1:16" ht="27.75">
      <c r="A134" s="1287" t="s">
        <v>243</v>
      </c>
      <c r="B134" s="1288"/>
      <c r="C134" s="1288"/>
      <c r="D134" s="599" t="s">
        <v>239</v>
      </c>
      <c r="E134" s="782">
        <f>'14'!F134</f>
        <v>40200.25</v>
      </c>
      <c r="F134" s="703">
        <v>40224.239999999998</v>
      </c>
      <c r="G134" s="549">
        <f t="shared" si="15"/>
        <v>23.989999999997963</v>
      </c>
      <c r="H134" s="536">
        <f>G134+'14'!H134</f>
        <v>-142.90000000000146</v>
      </c>
      <c r="I134" s="556"/>
      <c r="J134" s="629">
        <f>H134/DAY(B2)</f>
        <v>-9.5266666666667632</v>
      </c>
      <c r="N134" s="800"/>
      <c r="O134" s="807"/>
      <c r="P134" s="413"/>
    </row>
    <row r="135" spans="1:16" ht="27.75">
      <c r="A135" s="1287" t="s">
        <v>244</v>
      </c>
      <c r="B135" s="1288"/>
      <c r="C135" s="1288"/>
      <c r="D135" s="599" t="s">
        <v>239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-148</v>
      </c>
      <c r="I135" s="556"/>
      <c r="J135" s="629">
        <f>H135/DAY(B2)</f>
        <v>-9.8666666666666671</v>
      </c>
      <c r="N135" s="800"/>
      <c r="O135" s="807"/>
      <c r="P135" s="413"/>
    </row>
    <row r="136" spans="1:16" ht="27.75">
      <c r="A136" s="1287" t="s">
        <v>245</v>
      </c>
      <c r="B136" s="1288"/>
      <c r="C136" s="1288"/>
      <c r="D136" s="599" t="s">
        <v>239</v>
      </c>
      <c r="E136" s="618">
        <f>'14'!F136</f>
        <v>22099.41</v>
      </c>
      <c r="F136" s="732">
        <v>22109.91</v>
      </c>
      <c r="G136" s="549">
        <f t="shared" si="15"/>
        <v>10.5</v>
      </c>
      <c r="H136" s="536">
        <f>G136+'14'!H136</f>
        <v>-112.29999999999927</v>
      </c>
      <c r="I136" s="556">
        <f>G134+G135+G136</f>
        <v>34.489999999997963</v>
      </c>
      <c r="J136" s="629">
        <f>H136/DAY(B2)</f>
        <v>-7.4866666666666184</v>
      </c>
      <c r="N136" s="800"/>
      <c r="O136" s="807"/>
      <c r="P136" s="413"/>
    </row>
    <row r="137" spans="1:16" ht="27.75">
      <c r="A137" s="1287" t="s">
        <v>246</v>
      </c>
      <c r="B137" s="1288"/>
      <c r="C137" s="1288"/>
      <c r="D137" s="599" t="s">
        <v>239</v>
      </c>
      <c r="E137" s="618">
        <f>'14'!F137</f>
        <v>25030.03</v>
      </c>
      <c r="F137" s="732">
        <v>25034.29</v>
      </c>
      <c r="G137" s="549">
        <f t="shared" si="15"/>
        <v>4.2600000000020373</v>
      </c>
      <c r="H137" s="536">
        <f>G137+'14'!H137</f>
        <v>-10.020000000000437</v>
      </c>
      <c r="I137" s="556"/>
      <c r="J137" s="629">
        <f>H137/DAY(B2)</f>
        <v>-0.66800000000002913</v>
      </c>
      <c r="N137" s="800"/>
      <c r="O137" s="807"/>
      <c r="P137" s="413"/>
    </row>
    <row r="138" spans="1:16" ht="27.75">
      <c r="A138" s="1287" t="s">
        <v>247</v>
      </c>
      <c r="B138" s="1288"/>
      <c r="C138" s="1288"/>
      <c r="D138" s="599" t="s">
        <v>239</v>
      </c>
      <c r="E138" s="618">
        <f>'14'!F138</f>
        <v>70093.899999999994</v>
      </c>
      <c r="F138" s="732">
        <v>70094.59</v>
      </c>
      <c r="G138" s="549">
        <f t="shared" si="15"/>
        <v>0.69000000000232831</v>
      </c>
      <c r="H138" s="536">
        <f>G138+'14'!H138</f>
        <v>-52.75</v>
      </c>
      <c r="I138" s="556">
        <f>G137+G138</f>
        <v>4.9500000000043656</v>
      </c>
      <c r="J138" s="629">
        <f>H138/DAY(B2)</f>
        <v>-3.5166666666666666</v>
      </c>
      <c r="N138" s="800"/>
      <c r="O138" s="807"/>
      <c r="P138" s="413"/>
    </row>
    <row r="139" spans="1:16" ht="27.75">
      <c r="A139" s="1287" t="s">
        <v>248</v>
      </c>
      <c r="B139" s="1288"/>
      <c r="C139" s="1288"/>
      <c r="D139" s="599" t="s">
        <v>239</v>
      </c>
      <c r="E139" s="782">
        <f>'14'!F139</f>
        <v>1316.53</v>
      </c>
      <c r="F139" s="703">
        <v>1324.32</v>
      </c>
      <c r="G139" s="549">
        <f t="shared" si="15"/>
        <v>7.7899999999999636</v>
      </c>
      <c r="H139" s="536">
        <f>G139+'14'!H139</f>
        <v>-98.820000000000164</v>
      </c>
      <c r="I139" s="619"/>
      <c r="J139" s="629">
        <f>H139/DAY(B2)</f>
        <v>-6.5880000000000107</v>
      </c>
      <c r="N139" s="800"/>
      <c r="O139" s="807"/>
      <c r="P139" s="413"/>
    </row>
    <row r="140" spans="1:16" ht="27.75">
      <c r="A140" s="1287" t="s">
        <v>249</v>
      </c>
      <c r="B140" s="1288"/>
      <c r="C140" s="1288"/>
      <c r="D140" s="599" t="s">
        <v>239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-0.47000000000025466</v>
      </c>
      <c r="I140" s="619"/>
      <c r="J140" s="629">
        <f>H140/DAY(B2)</f>
        <v>-3.1333333333350311E-2</v>
      </c>
      <c r="N140" s="800"/>
      <c r="O140" s="807"/>
      <c r="P140" s="413"/>
    </row>
    <row r="141" spans="1:16">
      <c r="A141" s="1468" t="s">
        <v>250</v>
      </c>
      <c r="B141" s="1469"/>
      <c r="C141" s="1293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5265.9200000000419</v>
      </c>
      <c r="H142" s="536">
        <f>G142+'14'!H142</f>
        <v>-69204.359999999884</v>
      </c>
      <c r="I142" s="556"/>
      <c r="J142" s="629">
        <f>H142/DAY(B2)</f>
        <v>-4613.6239999999925</v>
      </c>
      <c r="K142" s="411"/>
      <c r="L142" s="408"/>
      <c r="N142" s="800"/>
      <c r="O142" s="807"/>
      <c r="P142" s="413"/>
    </row>
    <row r="143" spans="1:16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0.22691084586547344</v>
      </c>
      <c r="H143" s="536">
        <f>G143+'14'!H143</f>
        <v>3.8408969436572549</v>
      </c>
      <c r="I143" s="621"/>
      <c r="J143" s="629">
        <f>H143/DAY(B2)</f>
        <v>0.25605979624381697</v>
      </c>
      <c r="K143" s="411"/>
      <c r="L143" s="408"/>
      <c r="N143" s="800"/>
      <c r="O143" s="807"/>
      <c r="P143" s="413"/>
    </row>
    <row r="144" spans="1:16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5582.9709999999905</v>
      </c>
      <c r="H144" s="536">
        <f>G144+'14'!H144</f>
        <v>-63078.310000000027</v>
      </c>
      <c r="I144" s="556"/>
      <c r="J144" s="629">
        <f>H144/DAY(B2)</f>
        <v>-4205.2206666666689</v>
      </c>
      <c r="K144" s="411"/>
      <c r="L144" s="408"/>
      <c r="N144" s="800"/>
      <c r="O144" s="807"/>
      <c r="P144" s="413"/>
    </row>
    <row r="145" spans="1:16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0.24057271512905548</v>
      </c>
      <c r="H145" s="536">
        <f>G145+'14'!H145</f>
        <v>3.6637137657747845</v>
      </c>
      <c r="I145" s="621"/>
      <c r="J145" s="629">
        <f>H145/DAY(B2)</f>
        <v>0.24424758438498564</v>
      </c>
      <c r="K145" s="411"/>
      <c r="L145" s="408"/>
      <c r="N145" s="800"/>
      <c r="O145" s="807"/>
      <c r="P145" s="413"/>
    </row>
    <row r="146" spans="1:16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4654.59</v>
      </c>
      <c r="H146" s="536">
        <f>G146+'14'!H146</f>
        <v>45410.320000000007</v>
      </c>
      <c r="I146" s="622"/>
      <c r="J146" s="629">
        <f>H146/DAY(B2)</f>
        <v>3027.3546666666671</v>
      </c>
      <c r="K146" s="411"/>
      <c r="L146" s="408"/>
      <c r="N146" s="800"/>
      <c r="O146" s="807"/>
      <c r="P146" s="413"/>
    </row>
    <row r="147" spans="1:16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0.20056836299392425</v>
      </c>
      <c r="H147" s="536">
        <f>G147+'14'!H147</f>
        <v>7.8906663861641908</v>
      </c>
      <c r="I147" s="622"/>
      <c r="J147" s="629">
        <f>H147/DAY(B2)</f>
        <v>0.52604442574427934</v>
      </c>
      <c r="N147" s="800"/>
      <c r="O147" s="807"/>
      <c r="P147" s="413"/>
    </row>
    <row r="148" spans="1:16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2468.8999999999996</v>
      </c>
      <c r="H148" s="536">
        <f>G148+'14'!H148</f>
        <v>-26839.67</v>
      </c>
      <c r="I148" s="556"/>
      <c r="J148" s="629">
        <f>H148/DAY(B2)</f>
        <v>-1789.3113333333333</v>
      </c>
      <c r="K148" s="412"/>
      <c r="N148" s="800"/>
      <c r="O148" s="807"/>
      <c r="P148" s="413"/>
    </row>
    <row r="149" spans="1:16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0.10638600422286378</v>
      </c>
      <c r="H149" s="536">
        <f>G149+'14'!H149</f>
        <v>1.4764495612064612</v>
      </c>
      <c r="I149" s="622"/>
      <c r="J149" s="629">
        <f>H149/DAY(B2)</f>
        <v>9.8429970747097417E-2</v>
      </c>
      <c r="N149" s="800"/>
      <c r="O149" s="807"/>
      <c r="P149" s="413"/>
    </row>
    <row r="150" spans="1:16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2931.5199999999604</v>
      </c>
      <c r="H150" s="536">
        <f>G150+'14'!H150</f>
        <v>-25589.940000000061</v>
      </c>
      <c r="I150" s="622"/>
      <c r="J150" s="629">
        <f>H150/DAY(B2)</f>
        <v>-1705.996000000004</v>
      </c>
      <c r="N150" s="800"/>
      <c r="O150" s="807"/>
      <c r="P150" s="413"/>
    </row>
    <row r="151" spans="1:16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0.12632050674365322</v>
      </c>
      <c r="H151" s="536">
        <f>G151+'14'!H151</f>
        <v>1.3627363179813563</v>
      </c>
      <c r="I151" s="556"/>
      <c r="J151" s="629">
        <f>H151/DAY(B2)</f>
        <v>9.0849087865423755E-2</v>
      </c>
      <c r="N151" s="800"/>
      <c r="O151" s="807"/>
      <c r="P151" s="413"/>
    </row>
    <row r="152" spans="1:16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1580.0900000000001</v>
      </c>
      <c r="H152" s="536">
        <f>G152+'14'!H152</f>
        <v>15869.330000000002</v>
      </c>
      <c r="I152" s="556"/>
      <c r="J152" s="629">
        <f>H152/DAY(B2)</f>
        <v>1057.9553333333336</v>
      </c>
      <c r="N152" s="800"/>
      <c r="O152" s="807"/>
      <c r="P152" s="413"/>
    </row>
    <row r="153" spans="1:16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6.8086784159951744E-2</v>
      </c>
      <c r="H153" s="536">
        <f>G153+'14'!H153</f>
        <v>2.7753390312683424</v>
      </c>
      <c r="I153" s="645"/>
      <c r="J153" s="646">
        <f>H153/DAY(B2)</f>
        <v>0.18502260208455615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7" t="s">
        <v>263</v>
      </c>
      <c r="B160" s="878"/>
      <c r="C160" s="878"/>
      <c r="D160" s="697" t="s">
        <v>187</v>
      </c>
      <c r="E160" s="598">
        <f>'14'!F160</f>
        <v>29602.005000000001</v>
      </c>
      <c r="F160" s="886">
        <v>29687.06</v>
      </c>
      <c r="G160" s="549">
        <f t="shared" ref="G160:G163" si="16">F160-E160</f>
        <v>85.055000000000291</v>
      </c>
      <c r="N160" s="800"/>
    </row>
    <row r="161" spans="1:14" ht="21.75" customHeight="1">
      <c r="A161" s="877" t="s">
        <v>264</v>
      </c>
      <c r="B161" s="878"/>
      <c r="C161" s="878"/>
      <c r="D161" s="697" t="s">
        <v>187</v>
      </c>
      <c r="E161" s="598">
        <f>'14'!F161</f>
        <v>48871.898999999998</v>
      </c>
      <c r="F161" s="886">
        <v>49334.61</v>
      </c>
      <c r="G161" s="549">
        <f t="shared" si="16"/>
        <v>462.71100000000297</v>
      </c>
      <c r="N161" s="800"/>
    </row>
    <row r="162" spans="1:14" ht="21.75" customHeight="1">
      <c r="A162" s="877" t="s">
        <v>265</v>
      </c>
      <c r="B162" s="878"/>
      <c r="C162" s="878"/>
      <c r="D162" s="697" t="s">
        <v>187</v>
      </c>
      <c r="E162" s="598">
        <f>'14'!F162</f>
        <v>16517.762999999999</v>
      </c>
      <c r="F162" s="886">
        <v>17070.150000000001</v>
      </c>
      <c r="G162" s="549">
        <f t="shared" si="16"/>
        <v>552.38700000000244</v>
      </c>
      <c r="N162" s="800"/>
    </row>
    <row r="163" spans="1:14" ht="21.75" customHeight="1">
      <c r="A163" s="877" t="s">
        <v>266</v>
      </c>
      <c r="B163" s="878"/>
      <c r="C163" s="878"/>
      <c r="D163" s="697" t="s">
        <v>187</v>
      </c>
      <c r="E163" s="598">
        <f>'14'!F163</f>
        <v>5198.2700000000004</v>
      </c>
      <c r="F163" s="886">
        <v>5204.53</v>
      </c>
      <c r="G163" s="549">
        <f t="shared" si="16"/>
        <v>6.2599999999993088</v>
      </c>
      <c r="N163" s="800"/>
    </row>
    <row r="164" spans="1:14" ht="21.75" customHeight="1">
      <c r="A164" s="879" t="s">
        <v>98</v>
      </c>
      <c r="B164" s="880"/>
      <c r="C164" s="880"/>
      <c r="D164" s="697" t="s">
        <v>187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79" t="s">
        <v>188</v>
      </c>
      <c r="B165" s="880"/>
      <c r="C165" s="880"/>
      <c r="D165" s="697" t="s">
        <v>187</v>
      </c>
      <c r="E165" s="590">
        <f t="shared" ref="E165:E171" si="18">E63</f>
        <v>1520.48</v>
      </c>
      <c r="F165" s="590">
        <f t="shared" ref="F165:F171" si="19">F63</f>
        <v>1532.7</v>
      </c>
      <c r="G165" s="549">
        <f t="shared" si="17"/>
        <v>12.220000000000027</v>
      </c>
      <c r="N165" s="800"/>
    </row>
    <row r="166" spans="1:14" ht="21.75" customHeight="1">
      <c r="A166" s="1492" t="s">
        <v>99</v>
      </c>
      <c r="B166" s="1492"/>
      <c r="C166" s="1492"/>
      <c r="D166" s="600" t="s">
        <v>187</v>
      </c>
      <c r="E166" s="590">
        <f t="shared" si="18"/>
        <v>117109.7</v>
      </c>
      <c r="F166" s="590">
        <f t="shared" si="19"/>
        <v>117536.58</v>
      </c>
      <c r="G166" s="549">
        <f t="shared" si="17"/>
        <v>426.88000000000466</v>
      </c>
      <c r="N166" s="800"/>
    </row>
    <row r="167" spans="1:14" ht="21.75" customHeight="1">
      <c r="A167" s="1492" t="s">
        <v>100</v>
      </c>
      <c r="B167" s="1492"/>
      <c r="C167" s="1492"/>
      <c r="D167" s="600" t="s">
        <v>187</v>
      </c>
      <c r="E167" s="590">
        <f t="shared" si="18"/>
        <v>127037.93</v>
      </c>
      <c r="F167" s="590">
        <f t="shared" si="19"/>
        <v>127442.35</v>
      </c>
      <c r="G167" s="549">
        <f t="shared" si="17"/>
        <v>404.42000000001281</v>
      </c>
      <c r="N167" s="800"/>
    </row>
    <row r="168" spans="1:14" ht="21.75" customHeight="1">
      <c r="A168" s="1492" t="s">
        <v>101</v>
      </c>
      <c r="B168" s="1492"/>
      <c r="C168" s="1492"/>
      <c r="D168" s="600" t="s">
        <v>187</v>
      </c>
      <c r="E168" s="590">
        <f t="shared" si="18"/>
        <v>19646.939999999999</v>
      </c>
      <c r="F168" s="590">
        <f t="shared" si="19"/>
        <v>20047.63</v>
      </c>
      <c r="G168" s="549">
        <f t="shared" si="17"/>
        <v>400.69000000000233</v>
      </c>
      <c r="N168" s="800"/>
    </row>
    <row r="169" spans="1:14" ht="23.25" customHeight="1">
      <c r="A169" s="1492" t="s">
        <v>102</v>
      </c>
      <c r="B169" s="1492"/>
      <c r="C169" s="1492"/>
      <c r="D169" s="600" t="s">
        <v>187</v>
      </c>
      <c r="E169" s="590">
        <f t="shared" si="18"/>
        <v>198524.69</v>
      </c>
      <c r="F169" s="590">
        <f t="shared" si="19"/>
        <v>199239.17</v>
      </c>
      <c r="G169" s="549">
        <f t="shared" si="17"/>
        <v>714.48000000001048</v>
      </c>
      <c r="N169" s="800"/>
    </row>
    <row r="170" spans="1:14" ht="24" customHeight="1">
      <c r="A170" s="1492" t="s">
        <v>103</v>
      </c>
      <c r="B170" s="1492"/>
      <c r="C170" s="1492"/>
      <c r="D170" s="600" t="s">
        <v>187</v>
      </c>
      <c r="E170" s="590">
        <f t="shared" si="18"/>
        <v>68100.536999999997</v>
      </c>
      <c r="F170" s="590">
        <f t="shared" si="19"/>
        <v>68438.38</v>
      </c>
      <c r="G170" s="549">
        <f t="shared" si="17"/>
        <v>337.84300000000803</v>
      </c>
      <c r="N170" s="800"/>
    </row>
    <row r="171" spans="1:14" ht="27.75">
      <c r="A171" s="1492" t="s">
        <v>104</v>
      </c>
      <c r="B171" s="1492"/>
      <c r="C171" s="1492"/>
      <c r="D171" s="600" t="s">
        <v>187</v>
      </c>
      <c r="E171" s="590">
        <f t="shared" si="18"/>
        <v>59956.39</v>
      </c>
      <c r="F171" s="590">
        <f t="shared" si="19"/>
        <v>60262.21</v>
      </c>
      <c r="G171" s="549">
        <f t="shared" si="17"/>
        <v>305.81999999999971</v>
      </c>
      <c r="N171" s="800"/>
    </row>
    <row r="172" spans="1:14">
      <c r="A172" s="881"/>
      <c r="B172" s="882"/>
      <c r="C172" s="882"/>
      <c r="D172" s="883"/>
      <c r="E172" s="883"/>
      <c r="F172" s="884"/>
      <c r="G172" s="885">
        <f>SUM(G160:G171)</f>
        <v>3708.7660000000433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7" customHeight="1">
      <c r="N177" s="800"/>
    </row>
    <row r="178" spans="14:14" ht="27" customHeight="1">
      <c r="N178" s="800"/>
    </row>
    <row r="179" spans="14:14" ht="27" customHeight="1">
      <c r="N179" s="800"/>
    </row>
    <row r="180" spans="14:14" ht="27" customHeight="1">
      <c r="N180" s="800"/>
    </row>
    <row r="181" spans="14:14" ht="27" customHeight="1">
      <c r="N181" s="800"/>
    </row>
    <row r="182" spans="14:14" ht="27" customHeight="1">
      <c r="N182" s="800"/>
    </row>
    <row r="183" spans="14:14" ht="27" customHeight="1">
      <c r="N183" s="800"/>
    </row>
    <row r="184" spans="14:14" ht="27" customHeight="1">
      <c r="N184" s="800"/>
    </row>
    <row r="185" spans="14:14" ht="27" customHeight="1">
      <c r="N185" s="800"/>
    </row>
    <row r="186" spans="14:14" ht="27" customHeight="1">
      <c r="N186" s="800"/>
    </row>
    <row r="187" spans="14:14" ht="27" customHeight="1">
      <c r="N187" s="800"/>
    </row>
    <row r="188" spans="14:14" ht="27" customHeight="1">
      <c r="N188" s="800"/>
    </row>
    <row r="189" spans="14:14" ht="27" customHeight="1">
      <c r="N189" s="800"/>
    </row>
    <row r="190" spans="14:14" ht="27" customHeight="1">
      <c r="N190" s="800"/>
    </row>
    <row r="191" spans="14:14" ht="27" customHeight="1">
      <c r="N191" s="800"/>
    </row>
    <row r="192" spans="14:14" ht="27" customHeight="1">
      <c r="N192" s="800"/>
    </row>
    <row r="193" spans="14:14" ht="27" customHeight="1">
      <c r="N193" s="800"/>
    </row>
    <row r="194" spans="14:14" ht="27" customHeight="1">
      <c r="N194" s="800"/>
    </row>
    <row r="195" spans="14:14" ht="27" customHeight="1">
      <c r="N195" s="800"/>
    </row>
    <row r="196" spans="14:14" ht="27" customHeight="1">
      <c r="N196" s="800"/>
    </row>
    <row r="197" spans="14:14" ht="27" customHeight="1">
      <c r="N197" s="800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6" zoomScale="55" zoomScaleNormal="90" zoomScaleSheetLayoutView="55" workbookViewId="0">
      <selection activeCell="F164" sqref="F164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8.1093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652" t="s">
        <v>327</v>
      </c>
      <c r="B2" s="1117">
        <v>44243</v>
      </c>
      <c r="C2" s="1302" t="s">
        <v>69</v>
      </c>
      <c r="D2" s="688">
        <v>0.63449999999999995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302" t="s">
        <v>120</v>
      </c>
      <c r="D3" s="689">
        <v>24</v>
      </c>
      <c r="E3" s="1454" t="s">
        <v>121</v>
      </c>
      <c r="F3" s="1455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02" t="s">
        <v>122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'15'!F7</f>
        <v>4177199</v>
      </c>
      <c r="F7" s="531">
        <v>4198174</v>
      </c>
      <c r="G7" s="759">
        <f>F7-E7</f>
        <v>20975</v>
      </c>
      <c r="H7" s="760">
        <f>G7+'15'!H7</f>
        <v>-246903</v>
      </c>
      <c r="I7" s="761">
        <f>'1'!I7</f>
        <v>12000</v>
      </c>
      <c r="J7" s="762">
        <f>H7/DAY(B2)</f>
        <v>-15431.4375</v>
      </c>
      <c r="K7" s="626">
        <f>'1'!E7-'16'!F7</f>
        <v>246903</v>
      </c>
      <c r="L7" s="408"/>
      <c r="N7" s="811"/>
      <c r="O7" s="807"/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'15'!F8</f>
        <v>4203853</v>
      </c>
      <c r="F8" s="551">
        <v>4224940</v>
      </c>
      <c r="G8" s="770">
        <f>F8-E8</f>
        <v>21087</v>
      </c>
      <c r="H8" s="760">
        <f>G8+'15'!H8</f>
        <v>-248216</v>
      </c>
      <c r="I8" s="767">
        <f>'1'!I8</f>
        <v>12000</v>
      </c>
      <c r="J8" s="762">
        <f>H8/DAY(B2)</f>
        <v>-15513.5</v>
      </c>
      <c r="K8" s="626">
        <f>'1'!E8-'16'!F8</f>
        <v>248216</v>
      </c>
      <c r="L8" s="464"/>
      <c r="M8" s="479"/>
      <c r="N8" s="800"/>
      <c r="O8" s="807"/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'15'!F9</f>
        <v>101861</v>
      </c>
      <c r="F9" s="554">
        <v>116207</v>
      </c>
      <c r="G9" s="783">
        <f t="shared" ref="G9:G12" si="0">F9-E9</f>
        <v>14346</v>
      </c>
      <c r="H9" s="760">
        <f>G9+'15'!H9</f>
        <v>29297.990000000005</v>
      </c>
      <c r="I9" s="771">
        <f>I7-J7</f>
        <v>27431.4375</v>
      </c>
      <c r="J9" s="762">
        <f>H9/DAY(B2)</f>
        <v>1831.1243750000003</v>
      </c>
      <c r="K9" s="467">
        <f>'1'!E9-'16'!F9</f>
        <v>-29297.990000000005</v>
      </c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'15'!F10</f>
        <v>1340215.3999999999</v>
      </c>
      <c r="F10" s="554">
        <v>1346214.9</v>
      </c>
      <c r="G10" s="770">
        <f t="shared" si="0"/>
        <v>5999.5</v>
      </c>
      <c r="H10" s="760">
        <f>G10+'15'!H10</f>
        <v>1320519.3399999999</v>
      </c>
      <c r="I10" s="772"/>
      <c r="J10" s="762">
        <f>H10/DAY(B2)</f>
        <v>82532.458749999991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'15'!F11</f>
        <v>37000</v>
      </c>
      <c r="F11" s="531">
        <v>37000</v>
      </c>
      <c r="G11" s="770">
        <f t="shared" si="0"/>
        <v>0</v>
      </c>
      <c r="H11" s="760">
        <f>G11+'15'!H11</f>
        <v>-2000</v>
      </c>
      <c r="I11" s="772"/>
      <c r="J11" s="762">
        <f>H11/DAY(B2)</f>
        <v>-125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'15'!F12</f>
        <v>40010</v>
      </c>
      <c r="F12" s="554">
        <v>40010</v>
      </c>
      <c r="G12" s="770">
        <f t="shared" si="0"/>
        <v>0</v>
      </c>
      <c r="H12" s="760">
        <f>G12+'15'!H12</f>
        <v>-2000</v>
      </c>
      <c r="I12" s="772"/>
      <c r="J12" s="762">
        <f>H12/DAY(B2)</f>
        <v>-125</v>
      </c>
      <c r="K12" s="467"/>
      <c r="L12" s="408"/>
      <c r="N12" s="800"/>
      <c r="O12" s="807"/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20345.5</v>
      </c>
      <c r="H13" s="760">
        <f>G13+'15'!H13</f>
        <v>1324823.3299999998</v>
      </c>
      <c r="I13" s="776">
        <f>G7-G13</f>
        <v>629.5</v>
      </c>
      <c r="J13" s="762">
        <f>H13/DAY(B2)</f>
        <v>82801.45812499999</v>
      </c>
      <c r="K13" s="467"/>
      <c r="L13" s="408"/>
      <c r="N13" s="800"/>
      <c r="O13" s="807"/>
      <c r="P13" s="413"/>
    </row>
    <row r="14" spans="1:16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1307"/>
      <c r="K14" s="468"/>
      <c r="L14" s="408"/>
      <c r="N14" s="800"/>
      <c r="O14" s="807"/>
      <c r="P14" s="413"/>
    </row>
    <row r="15" spans="1:16">
      <c r="A15" s="875" t="s">
        <v>140</v>
      </c>
      <c r="B15" s="876"/>
      <c r="C15" s="876"/>
      <c r="D15" s="600" t="s">
        <v>141</v>
      </c>
      <c r="E15" s="561">
        <f>'15'!F15</f>
        <v>1607770.37</v>
      </c>
      <c r="F15" s="561">
        <v>1608782.94</v>
      </c>
      <c r="G15" s="745">
        <f>(F15-E15)</f>
        <v>1012.5699999998324</v>
      </c>
      <c r="H15" s="562">
        <f>G15+'15'!H15</f>
        <v>-11095.670000000158</v>
      </c>
      <c r="I15" s="550">
        <f>'1'!I15</f>
        <v>800</v>
      </c>
      <c r="J15" s="630">
        <f>H15/DAY(B2)</f>
        <v>-693.4793750000099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 t="s">
        <v>275</v>
      </c>
      <c r="G16" s="750"/>
      <c r="H16" s="562"/>
      <c r="I16" s="558">
        <f>I15-J15</f>
        <v>1493.4793750000099</v>
      </c>
      <c r="J16" s="630"/>
      <c r="K16" s="467"/>
      <c r="L16" s="408"/>
      <c r="N16" s="800"/>
      <c r="O16" s="807"/>
      <c r="P16" s="413"/>
    </row>
    <row r="17" spans="1:16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86" t="s">
        <v>143</v>
      </c>
      <c r="B18" s="1487"/>
      <c r="C18" s="1488"/>
      <c r="D18" s="715" t="s">
        <v>144</v>
      </c>
      <c r="E18" s="712">
        <f>'15'!F18</f>
        <v>32</v>
      </c>
      <c r="F18" s="554">
        <v>20</v>
      </c>
      <c r="G18" s="775">
        <f>F18*10</f>
        <v>200</v>
      </c>
      <c r="H18" s="760">
        <f>G18+'15'!H18</f>
        <v>2590</v>
      </c>
      <c r="I18" s="761">
        <f>'1'!I18</f>
        <v>65</v>
      </c>
      <c r="J18" s="762">
        <f>H18/DAY(B2)</f>
        <v>161.875</v>
      </c>
      <c r="K18" s="467"/>
      <c r="L18" s="408"/>
      <c r="N18" s="800"/>
      <c r="O18" s="807"/>
      <c r="P18" s="413"/>
    </row>
    <row r="19" spans="1:16" ht="27.75">
      <c r="A19" s="1486" t="s">
        <v>71</v>
      </c>
      <c r="B19" s="1487"/>
      <c r="C19" s="1488"/>
      <c r="D19" s="715" t="s">
        <v>144</v>
      </c>
      <c r="E19" s="712">
        <f>'15'!F19</f>
        <v>133805</v>
      </c>
      <c r="F19" s="554">
        <v>133855</v>
      </c>
      <c r="G19" s="770">
        <f t="shared" ref="G19" si="1">F19-E19</f>
        <v>50</v>
      </c>
      <c r="H19" s="760">
        <f>G19+'15'!H19</f>
        <v>-613</v>
      </c>
      <c r="I19" s="777"/>
      <c r="J19" s="762">
        <f>H19/DAY(B2)</f>
        <v>-38.3125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250</v>
      </c>
      <c r="H20" s="760">
        <f>G20+'15'!H20</f>
        <v>1977</v>
      </c>
      <c r="I20" s="779">
        <f>I18-J20</f>
        <v>-58.5625</v>
      </c>
      <c r="J20" s="762">
        <f>H20/DAY(B2)</f>
        <v>123.5625</v>
      </c>
      <c r="K20" s="467"/>
      <c r="L20" s="408"/>
      <c r="N20" s="800"/>
      <c r="O20" s="807"/>
      <c r="P20" s="413"/>
    </row>
    <row r="21" spans="1:16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95" t="s">
        <v>147</v>
      </c>
      <c r="B22" s="666"/>
      <c r="C22" s="666"/>
      <c r="D22" s="599" t="s">
        <v>148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95" t="s">
        <v>149</v>
      </c>
      <c r="B23" s="666"/>
      <c r="C23" s="666"/>
      <c r="D23" s="599" t="s">
        <v>148</v>
      </c>
      <c r="E23" s="712">
        <f>'15'!F23</f>
        <v>2000</v>
      </c>
      <c r="F23" s="554">
        <v>2000</v>
      </c>
      <c r="G23" s="557">
        <v>0</v>
      </c>
      <c r="H23" s="536">
        <f>G23+'15'!H23</f>
        <v>0</v>
      </c>
      <c r="I23" s="556"/>
      <c r="J23" s="629">
        <f>H23/DAY(B2)</f>
        <v>0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'15'!F24</f>
        <v>4250</v>
      </c>
      <c r="F24" s="561">
        <v>4250</v>
      </c>
      <c r="G24" s="557">
        <v>0</v>
      </c>
      <c r="H24" s="536">
        <f>G24+'15'!H24</f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21087</v>
      </c>
      <c r="F27" s="577">
        <v>9</v>
      </c>
      <c r="G27" s="578">
        <f>E27*F27</f>
        <v>189783</v>
      </c>
      <c r="H27" s="536">
        <f>G27+'15'!H27</f>
        <v>-2233944</v>
      </c>
      <c r="I27" s="579"/>
      <c r="J27" s="629">
        <f>H27/DAY(B2)</f>
        <v>-139621.5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1012.5699999998324</v>
      </c>
      <c r="F28" s="577">
        <v>43.5</v>
      </c>
      <c r="G28" s="578">
        <f>E28*F28</f>
        <v>44046.794999992708</v>
      </c>
      <c r="H28" s="536">
        <f>G28+'15'!H28</f>
        <v>-463356.1068000074</v>
      </c>
      <c r="I28" s="581"/>
      <c r="J28" s="629">
        <f>H28/DAY(B2)</f>
        <v>-28959.756675000463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0</v>
      </c>
      <c r="I29" s="581"/>
      <c r="J29" s="629">
        <f>H29/DAY(B2)</f>
        <v>0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50</v>
      </c>
      <c r="F30" s="577">
        <v>134</v>
      </c>
      <c r="G30" s="578">
        <f>E30*F30</f>
        <v>6700</v>
      </c>
      <c r="H30" s="536">
        <f>G30+'15'!H30</f>
        <v>-64454</v>
      </c>
      <c r="I30" s="581"/>
      <c r="J30" s="629">
        <f>H30/DAY(B2)</f>
        <v>-4028.375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196640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256529.79499999271</v>
      </c>
      <c r="H32" s="536">
        <f>G32+'15'!H32</f>
        <v>-2565114.1068000076</v>
      </c>
      <c r="I32" s="585"/>
      <c r="J32" s="629">
        <f>H32/DAY(B2)</f>
        <v>-160319.63167500048</v>
      </c>
      <c r="K32" s="404"/>
      <c r="L32" s="484"/>
      <c r="N32" s="800"/>
      <c r="O32" s="807"/>
      <c r="P32" s="413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800"/>
      <c r="O33" s="807"/>
      <c r="P33" s="413"/>
    </row>
    <row r="34" spans="1:16">
      <c r="A34" s="675" t="s">
        <v>163</v>
      </c>
      <c r="B34" s="1297"/>
      <c r="C34" s="1297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'15'!F35</f>
        <v>654285.63</v>
      </c>
      <c r="F35" s="586">
        <v>657324.15</v>
      </c>
      <c r="G35" s="549">
        <f t="shared" ref="G35:G46" si="3">F35-E35</f>
        <v>3038.5200000000186</v>
      </c>
      <c r="H35" s="536">
        <f>G35+'15'!H35</f>
        <v>-35763.439999999944</v>
      </c>
      <c r="I35" s="531"/>
      <c r="J35" s="629">
        <f>H35/DAY(B2)</f>
        <v>-2235.2149999999965</v>
      </c>
      <c r="K35" s="467"/>
      <c r="L35" s="408"/>
      <c r="N35" s="800"/>
      <c r="O35" s="808"/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'15'!F36</f>
        <v>286605.46999999997</v>
      </c>
      <c r="F36" s="586">
        <v>287562.75</v>
      </c>
      <c r="G36" s="549">
        <f t="shared" si="3"/>
        <v>957.28000000002794</v>
      </c>
      <c r="H36" s="536">
        <f>G36+'15'!H36</f>
        <v>-8882.820000000007</v>
      </c>
      <c r="I36" s="531"/>
      <c r="J36" s="629">
        <f>H36/DAY(B2)</f>
        <v>-555.17625000000044</v>
      </c>
      <c r="K36" s="467"/>
      <c r="L36" s="408"/>
      <c r="N36" s="801"/>
      <c r="O36" s="808"/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'15'!F37</f>
        <v>12764.25</v>
      </c>
      <c r="F37" s="586">
        <v>14281.36</v>
      </c>
      <c r="G37" s="549">
        <f t="shared" si="3"/>
        <v>1517.1100000000006</v>
      </c>
      <c r="H37" s="536">
        <f>G37+'15'!H37</f>
        <v>17386.440000000002</v>
      </c>
      <c r="I37" s="531"/>
      <c r="J37" s="629">
        <f>H37/DAY(B2)</f>
        <v>1086.6525000000001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'15'!F38</f>
        <v>16973.82</v>
      </c>
      <c r="F38" s="545">
        <v>19207.47</v>
      </c>
      <c r="G38" s="549">
        <f t="shared" si="3"/>
        <v>2233.6500000000015</v>
      </c>
      <c r="H38" s="536">
        <f>G38+'15'!H38</f>
        <v>-24606.019999999997</v>
      </c>
      <c r="I38" s="531"/>
      <c r="J38" s="629">
        <f>H38/DAY(B2)</f>
        <v>-1537.8762499999998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'15'!F39</f>
        <v>36017.43</v>
      </c>
      <c r="F39" s="586">
        <v>40245.550000000003</v>
      </c>
      <c r="G39" s="549">
        <f t="shared" si="3"/>
        <v>4228.1200000000026</v>
      </c>
      <c r="H39" s="536">
        <f>G39+'15'!H39</f>
        <v>49638.439999999995</v>
      </c>
      <c r="I39" s="531"/>
      <c r="J39" s="629">
        <f>H39/DAY(B2)</f>
        <v>3102.4024999999997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-0.06</v>
      </c>
      <c r="I40" s="531"/>
      <c r="J40" s="629">
        <f>H40/DAY(B2)</f>
        <v>-3.7499999999999999E-3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/>
      <c r="D41" s="599" t="s">
        <v>132</v>
      </c>
      <c r="E41" s="586">
        <f>'15'!F41</f>
        <v>59259.87</v>
      </c>
      <c r="F41" s="586">
        <v>59259.87</v>
      </c>
      <c r="G41" s="549">
        <f t="shared" si="3"/>
        <v>0</v>
      </c>
      <c r="H41" s="536">
        <f>G41+'15'!H41</f>
        <v>-4622.5</v>
      </c>
      <c r="I41" s="531"/>
      <c r="J41" s="629">
        <f>H41/DAY(B2)</f>
        <v>-288.90625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'15'!F42</f>
        <v>58926</v>
      </c>
      <c r="F42" s="586">
        <v>58926</v>
      </c>
      <c r="G42" s="549">
        <f>F42-E42</f>
        <v>0</v>
      </c>
      <c r="H42" s="536">
        <f>G42+'15'!H42</f>
        <v>-202.84999999999854</v>
      </c>
      <c r="I42" s="531"/>
      <c r="J42" s="629">
        <f>H42/DAY(B2)</f>
        <v>-12.678124999999909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'15'!F43</f>
        <v>795495.43</v>
      </c>
      <c r="F43" s="586">
        <v>797856.79</v>
      </c>
      <c r="G43" s="549">
        <f t="shared" si="3"/>
        <v>2361.359999999986</v>
      </c>
      <c r="H43" s="536">
        <f>G43+'15'!H43</f>
        <v>-28041.039999999921</v>
      </c>
      <c r="I43" s="531"/>
      <c r="J43" s="629">
        <f>H43/DAY(B2)</f>
        <v>-1752.5649999999951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0</v>
      </c>
      <c r="I45" s="531"/>
      <c r="J45" s="629">
        <f>H45/DAY(B2)</f>
        <v>0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0.49000000000000909</v>
      </c>
      <c r="I46" s="531"/>
      <c r="J46" s="629">
        <f>H46/DAY(B2)</f>
        <v>3.0625000000000568E-2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14336.040000000037</v>
      </c>
      <c r="H47" s="536">
        <f>G47+'15'!H47</f>
        <v>-35093.359999999891</v>
      </c>
      <c r="I47" s="531"/>
      <c r="J47" s="629">
        <f>H47/DAY(B2)</f>
        <v>-2193.3349999999932</v>
      </c>
      <c r="K47" s="467"/>
      <c r="L47" s="408"/>
      <c r="N47" s="800"/>
      <c r="O47" s="807"/>
      <c r="P47" s="413"/>
    </row>
    <row r="48" spans="1:16">
      <c r="A48" s="675" t="s">
        <v>177</v>
      </c>
      <c r="B48" s="1297"/>
      <c r="C48" s="1297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'15'!F49</f>
        <v>260732.13</v>
      </c>
      <c r="F49" s="586">
        <v>260732.13</v>
      </c>
      <c r="G49" s="549">
        <f t="shared" ref="G49:G58" si="4">F49-E49</f>
        <v>0</v>
      </c>
      <c r="H49" s="536">
        <f>G49+'15'!H49</f>
        <v>0</v>
      </c>
      <c r="I49" s="531"/>
      <c r="J49" s="629">
        <f>H49/DAY(B2)</f>
        <v>0</v>
      </c>
      <c r="K49" s="467">
        <f>E49+244</f>
        <v>260976.13</v>
      </c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'15'!F50</f>
        <v>386713.19</v>
      </c>
      <c r="F50" s="586">
        <v>387968.19</v>
      </c>
      <c r="G50" s="549">
        <f t="shared" si="4"/>
        <v>1255</v>
      </c>
      <c r="H50" s="536">
        <f>G50+'15'!H50</f>
        <v>-15688.840000000026</v>
      </c>
      <c r="I50" s="531"/>
      <c r="J50" s="629">
        <f>H50/DAY(B2)</f>
        <v>-980.5525000000016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'15'!F51</f>
        <v>120050.92</v>
      </c>
      <c r="F51" s="586">
        <v>120050.92</v>
      </c>
      <c r="G51" s="549">
        <f t="shared" si="4"/>
        <v>0</v>
      </c>
      <c r="H51" s="536">
        <f>G51+'15'!H51</f>
        <v>-1549</v>
      </c>
      <c r="I51" s="531"/>
      <c r="J51" s="629">
        <f>H51/DAY(B2)</f>
        <v>-96.8125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'15'!F52</f>
        <v>507912.71</v>
      </c>
      <c r="F52" s="586">
        <v>507912.71</v>
      </c>
      <c r="G52" s="549">
        <f t="shared" si="4"/>
        <v>0</v>
      </c>
      <c r="H52" s="536">
        <f>G52+'15'!H52</f>
        <v>-2046</v>
      </c>
      <c r="I52" s="531"/>
      <c r="J52" s="629">
        <f>H52/DAY(B2)</f>
        <v>-127.875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'15'!F53</f>
        <v>331854.51</v>
      </c>
      <c r="F53" s="586">
        <v>331854.51</v>
      </c>
      <c r="G53" s="549">
        <f t="shared" si="4"/>
        <v>0</v>
      </c>
      <c r="H53" s="536">
        <f>G53+'15'!H53</f>
        <v>-4185</v>
      </c>
      <c r="I53" s="531"/>
      <c r="J53" s="629">
        <f>H53/DAY(B2)</f>
        <v>-261.5625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'15'!F54</f>
        <v>7189.82</v>
      </c>
      <c r="F54" s="586">
        <v>7259.6</v>
      </c>
      <c r="G54" s="549">
        <f t="shared" si="4"/>
        <v>69.780000000000655</v>
      </c>
      <c r="H54" s="536">
        <f>G54+'15'!H54</f>
        <v>-836.02999999999975</v>
      </c>
      <c r="I54" s="531"/>
      <c r="J54" s="629">
        <f>H54/DAY(B2)</f>
        <v>-52.251874999999984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'15'!F55</f>
        <v>87594.01</v>
      </c>
      <c r="F55" s="734">
        <v>92296.67</v>
      </c>
      <c r="G55" s="733">
        <f t="shared" si="4"/>
        <v>4702.6600000000035</v>
      </c>
      <c r="H55" s="787">
        <f>G55+'15'!H55</f>
        <v>-30288.020000000004</v>
      </c>
      <c r="I55" s="788"/>
      <c r="J55" s="789">
        <f>H55/DAY(B2)</f>
        <v>-1893.0012500000003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'15'!F56</f>
        <v>557789.75</v>
      </c>
      <c r="F56" s="734">
        <v>557796.11</v>
      </c>
      <c r="G56" s="549">
        <f t="shared" si="4"/>
        <v>6.3599999999860302</v>
      </c>
      <c r="H56" s="536">
        <f>G56+'15'!H56</f>
        <v>-28254.920000000042</v>
      </c>
      <c r="I56" s="531"/>
      <c r="J56" s="629">
        <f>H56/DAY(B2)</f>
        <v>-1765.9325000000026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'15'!F57</f>
        <v>7711.33</v>
      </c>
      <c r="F57" s="586">
        <v>7711.33</v>
      </c>
      <c r="G57" s="549">
        <f t="shared" si="4"/>
        <v>0</v>
      </c>
      <c r="H57" s="536">
        <f>G57+'15'!H57</f>
        <v>0</v>
      </c>
      <c r="I57" s="531"/>
      <c r="J57" s="629">
        <f>H57/DAY(B2)</f>
        <v>0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'15'!F58</f>
        <v>33231.67</v>
      </c>
      <c r="F58" s="734">
        <v>33442.199999999997</v>
      </c>
      <c r="G58" s="549">
        <f t="shared" si="4"/>
        <v>210.52999999999884</v>
      </c>
      <c r="H58" s="536">
        <f>G58+'15'!H58</f>
        <v>-2622.5</v>
      </c>
      <c r="I58" s="531"/>
      <c r="J58" s="629">
        <f>H58/DAY(B2)</f>
        <v>-163.90625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6244.329999999989</v>
      </c>
      <c r="H59" s="536">
        <f>G59+'15'!H59</f>
        <v>-85470.310000000085</v>
      </c>
      <c r="I59" s="531">
        <f>G7-G60</f>
        <v>394.62999999997555</v>
      </c>
      <c r="J59" s="629">
        <f>H59/DAY(B2)</f>
        <v>-5341.8943750000053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20580.370000000024</v>
      </c>
      <c r="H60" s="536">
        <f>G60+'15'!H60</f>
        <v>-106394.67000000003</v>
      </c>
      <c r="I60" s="531">
        <f>G13-G60</f>
        <v>-234.87000000002445</v>
      </c>
      <c r="J60" s="629">
        <f>H60/DAY(B2)</f>
        <v>-6649.6668750000017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-7.0000000014260877E-3</v>
      </c>
      <c r="I62" s="591"/>
      <c r="J62" s="629">
        <f>H62/DAY(B2)</f>
        <v>-4.3750000008913048E-4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'15'!F63</f>
        <v>1532.7</v>
      </c>
      <c r="F63" s="590">
        <v>1544.63</v>
      </c>
      <c r="G63" s="549">
        <f t="shared" si="5"/>
        <v>11.930000000000064</v>
      </c>
      <c r="H63" s="536">
        <f>G63+'15'!H63</f>
        <v>-162.72999999999979</v>
      </c>
      <c r="I63" s="591"/>
      <c r="J63" s="629">
        <f>H63/DAY(B2)</f>
        <v>-10.170624999999987</v>
      </c>
      <c r="K63" s="467"/>
      <c r="L63" s="408"/>
      <c r="N63" s="800"/>
      <c r="O63" s="807"/>
      <c r="P63" s="413"/>
    </row>
    <row r="64" spans="1:16" ht="27.75">
      <c r="A64" s="1430" t="s">
        <v>99</v>
      </c>
      <c r="B64" s="1431"/>
      <c r="C64" s="1432"/>
      <c r="D64" s="599" t="s">
        <v>187</v>
      </c>
      <c r="E64" s="1319">
        <f>'15'!F64</f>
        <v>117536.58</v>
      </c>
      <c r="F64" s="703">
        <v>117968.85</v>
      </c>
      <c r="G64" s="856">
        <f t="shared" si="5"/>
        <v>432.27000000000407</v>
      </c>
      <c r="H64" s="536">
        <f>G64+'15'!H64</f>
        <v>-5658.4499999999971</v>
      </c>
      <c r="I64" s="556"/>
      <c r="J64" s="629">
        <f>H64/DAY(B2)</f>
        <v>-353.65312499999982</v>
      </c>
      <c r="K64" s="467"/>
      <c r="L64" s="408"/>
      <c r="N64" s="800"/>
      <c r="O64" s="807"/>
      <c r="P64" s="413"/>
    </row>
    <row r="65" spans="1:16" ht="27.75">
      <c r="A65" s="1430" t="s">
        <v>100</v>
      </c>
      <c r="B65" s="1431"/>
      <c r="C65" s="1432"/>
      <c r="D65" s="599" t="s">
        <v>187</v>
      </c>
      <c r="E65" s="590">
        <f>'15'!F65</f>
        <v>127442.35</v>
      </c>
      <c r="F65" s="732">
        <v>127843.92</v>
      </c>
      <c r="G65" s="549">
        <f t="shared" si="5"/>
        <v>401.56999999999243</v>
      </c>
      <c r="H65" s="536">
        <f>G65+'15'!H65</f>
        <v>-4753.3799999999901</v>
      </c>
      <c r="I65" s="565"/>
      <c r="J65" s="629">
        <f>H65/DAY(B2)</f>
        <v>-297.08624999999938</v>
      </c>
      <c r="K65" s="467"/>
      <c r="L65" s="408"/>
      <c r="N65" s="800"/>
      <c r="O65" s="808"/>
      <c r="P65" s="413"/>
    </row>
    <row r="66" spans="1:16" ht="27.75">
      <c r="A66" s="1430" t="s">
        <v>101</v>
      </c>
      <c r="B66" s="1431"/>
      <c r="C66" s="1432"/>
      <c r="D66" s="599" t="s">
        <v>187</v>
      </c>
      <c r="E66" s="590">
        <f>'15'!F66</f>
        <v>20047.63</v>
      </c>
      <c r="F66" s="554">
        <v>20457.39</v>
      </c>
      <c r="G66" s="549">
        <f t="shared" si="5"/>
        <v>409.7599999999984</v>
      </c>
      <c r="H66" s="536">
        <f>G66+'15'!H66</f>
        <v>-4702.3600000000006</v>
      </c>
      <c r="I66" s="556"/>
      <c r="J66" s="629">
        <f>H66/DAY(B2)</f>
        <v>-293.89750000000004</v>
      </c>
      <c r="K66" s="467"/>
      <c r="L66" s="408"/>
      <c r="N66" s="800"/>
      <c r="O66" s="807"/>
      <c r="P66" s="413"/>
    </row>
    <row r="67" spans="1:16" ht="27.75">
      <c r="A67" s="1430" t="s">
        <v>102</v>
      </c>
      <c r="B67" s="1431"/>
      <c r="C67" s="1432"/>
      <c r="D67" s="599" t="s">
        <v>187</v>
      </c>
      <c r="E67" s="590">
        <f>'15'!F67</f>
        <v>199239.17</v>
      </c>
      <c r="F67" s="554">
        <v>199917.25</v>
      </c>
      <c r="G67" s="549">
        <f t="shared" si="5"/>
        <v>678.07999999998719</v>
      </c>
      <c r="H67" s="536">
        <f>G67+'15'!H67</f>
        <v>-7924.5799999999872</v>
      </c>
      <c r="I67" s="565"/>
      <c r="J67" s="629">
        <f>H67/DAY(B2)</f>
        <v>-495.2862499999992</v>
      </c>
      <c r="K67" s="468"/>
      <c r="L67" s="408"/>
      <c r="N67" s="800"/>
      <c r="O67" s="807"/>
      <c r="P67" s="413"/>
    </row>
    <row r="68" spans="1:16" ht="27.75">
      <c r="A68" s="1430" t="s">
        <v>103</v>
      </c>
      <c r="B68" s="1431"/>
      <c r="C68" s="1432"/>
      <c r="D68" s="599" t="s">
        <v>187</v>
      </c>
      <c r="E68" s="590">
        <f>'15'!F68</f>
        <v>68438.38</v>
      </c>
      <c r="F68" s="554">
        <v>68753.179999999993</v>
      </c>
      <c r="G68" s="549">
        <f t="shared" si="5"/>
        <v>314.79999999998836</v>
      </c>
      <c r="H68" s="536">
        <f>G68+'15'!H68</f>
        <v>-3925.3400000000111</v>
      </c>
      <c r="I68" s="592"/>
      <c r="J68" s="629">
        <f>H68/DAY(B2)</f>
        <v>-245.33375000000069</v>
      </c>
      <c r="K68" s="469"/>
      <c r="L68" s="408"/>
      <c r="N68" s="800"/>
      <c r="O68" s="807"/>
      <c r="P68" s="413"/>
    </row>
    <row r="69" spans="1:16" ht="27.75">
      <c r="A69" s="1430" t="s">
        <v>104</v>
      </c>
      <c r="B69" s="1431"/>
      <c r="C69" s="1432"/>
      <c r="D69" s="599" t="s">
        <v>187</v>
      </c>
      <c r="E69" s="590">
        <f>'15'!F69</f>
        <v>60262.21</v>
      </c>
      <c r="F69" s="554">
        <v>60564.56</v>
      </c>
      <c r="G69" s="549">
        <f t="shared" si="5"/>
        <v>302.34999999999854</v>
      </c>
      <c r="H69" s="536">
        <f>G69+'15'!H69</f>
        <v>-3887.5299999999988</v>
      </c>
      <c r="I69" s="592"/>
      <c r="J69" s="629">
        <f>H69/DAY(B2)</f>
        <v>-242.97062499999993</v>
      </c>
      <c r="K69" s="470"/>
      <c r="L69" s="408"/>
      <c r="N69" s="800"/>
      <c r="O69" s="807"/>
      <c r="P69" s="413"/>
    </row>
    <row r="70" spans="1:16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800"/>
      <c r="O71" s="807"/>
      <c r="P71" s="413"/>
    </row>
    <row r="72" spans="1:16" ht="27.75">
      <c r="A72" s="1430" t="s">
        <v>191</v>
      </c>
      <c r="B72" s="1431"/>
      <c r="C72" s="1432"/>
      <c r="D72" s="599" t="s">
        <v>187</v>
      </c>
      <c r="E72" s="595">
        <f>'15'!F72</f>
        <v>849617</v>
      </c>
      <c r="F72" s="735">
        <v>849713</v>
      </c>
      <c r="G72" s="549">
        <f t="shared" ref="G72:G84" si="6">F72-E72</f>
        <v>96</v>
      </c>
      <c r="H72" s="536">
        <f>G72+'15'!H72</f>
        <v>1320</v>
      </c>
      <c r="I72" s="556"/>
      <c r="J72" s="629">
        <f>H72/DAY(B2)</f>
        <v>82.5</v>
      </c>
      <c r="K72" s="470"/>
      <c r="L72" s="408"/>
      <c r="N72" s="800"/>
      <c r="O72" s="807"/>
      <c r="P72" s="413"/>
    </row>
    <row r="73" spans="1:16" ht="27.75">
      <c r="A73" s="1430" t="s">
        <v>192</v>
      </c>
      <c r="B73" s="1431"/>
      <c r="C73" s="1432"/>
      <c r="D73" s="599" t="s">
        <v>187</v>
      </c>
      <c r="E73" s="595">
        <f>'15'!F73</f>
        <v>885739</v>
      </c>
      <c r="F73" s="736">
        <v>885740</v>
      </c>
      <c r="G73" s="733">
        <f t="shared" si="6"/>
        <v>1</v>
      </c>
      <c r="H73" s="536">
        <f>G73+'15'!H73</f>
        <v>-1168</v>
      </c>
      <c r="I73" s="556"/>
      <c r="J73" s="629">
        <f>H73/DAY(B2)</f>
        <v>-73</v>
      </c>
      <c r="K73" s="469"/>
      <c r="L73" s="408"/>
      <c r="N73" s="800"/>
      <c r="O73" s="807"/>
      <c r="P73" s="413"/>
    </row>
    <row r="74" spans="1:16" ht="27.75">
      <c r="A74" s="1430" t="s">
        <v>193</v>
      </c>
      <c r="B74" s="1431"/>
      <c r="C74" s="1432"/>
      <c r="D74" s="599" t="s">
        <v>187</v>
      </c>
      <c r="E74" s="595">
        <f>'15'!F74</f>
        <v>199.82</v>
      </c>
      <c r="F74" s="736">
        <v>249.34</v>
      </c>
      <c r="G74" s="549">
        <f t="shared" si="6"/>
        <v>49.52000000000001</v>
      </c>
      <c r="H74" s="536">
        <f>G74+'15'!H74</f>
        <v>-336.83000000000004</v>
      </c>
      <c r="I74" s="556"/>
      <c r="J74" s="629">
        <f>H74/DAY(B2)</f>
        <v>-21.051875000000003</v>
      </c>
      <c r="K74" s="470"/>
      <c r="L74" s="408"/>
      <c r="N74" s="800"/>
      <c r="O74" s="807"/>
      <c r="P74" s="413"/>
    </row>
    <row r="75" spans="1:16" ht="27.75">
      <c r="A75" s="1479" t="s">
        <v>194</v>
      </c>
      <c r="B75" s="1480"/>
      <c r="C75" s="1481"/>
      <c r="D75" s="599" t="s">
        <v>187</v>
      </c>
      <c r="E75" s="595">
        <f>'15'!F75</f>
        <v>1216.72</v>
      </c>
      <c r="F75" s="736">
        <v>1419.33</v>
      </c>
      <c r="G75" s="549">
        <f t="shared" si="6"/>
        <v>202.6099999999999</v>
      </c>
      <c r="H75" s="536">
        <f>G75+'15'!H75</f>
        <v>-2099.8899999999994</v>
      </c>
      <c r="I75" s="556"/>
      <c r="J75" s="629">
        <f>H75/DAY(B2)</f>
        <v>-131.24312499999996</v>
      </c>
      <c r="K75" s="469"/>
      <c r="L75" s="408"/>
      <c r="N75" s="800"/>
      <c r="O75" s="807"/>
      <c r="P75" s="413"/>
    </row>
    <row r="76" spans="1:16" ht="27.75">
      <c r="A76" s="1479" t="s">
        <v>195</v>
      </c>
      <c r="B76" s="1480"/>
      <c r="C76" s="1481"/>
      <c r="D76" s="599" t="s">
        <v>187</v>
      </c>
      <c r="E76" s="595">
        <f>'15'!F76</f>
        <v>508.4</v>
      </c>
      <c r="F76" s="736">
        <v>581</v>
      </c>
      <c r="G76" s="549">
        <f t="shared" si="6"/>
        <v>72.600000000000023</v>
      </c>
      <c r="H76" s="536">
        <f>G76+'15'!H76</f>
        <v>-2477.4199999999996</v>
      </c>
      <c r="I76" s="581"/>
      <c r="J76" s="629">
        <f>H76/DAY(B2)</f>
        <v>-154.83874999999998</v>
      </c>
      <c r="K76" s="469"/>
      <c r="L76" s="408"/>
      <c r="N76" s="800"/>
      <c r="O76" s="807"/>
      <c r="P76" s="413"/>
    </row>
    <row r="77" spans="1:16" ht="27.75">
      <c r="A77" s="1430" t="s">
        <v>196</v>
      </c>
      <c r="B77" s="1431"/>
      <c r="C77" s="1432"/>
      <c r="D77" s="599" t="s">
        <v>187</v>
      </c>
      <c r="E77" s="595">
        <f>'15'!F77</f>
        <v>697945</v>
      </c>
      <c r="F77" s="736">
        <v>697999</v>
      </c>
      <c r="G77" s="733">
        <f t="shared" si="6"/>
        <v>54</v>
      </c>
      <c r="H77" s="536">
        <f>G77+'15'!H77</f>
        <v>-589</v>
      </c>
      <c r="I77" s="581"/>
      <c r="J77" s="629">
        <f>H77/DAY(B2)</f>
        <v>-36.8125</v>
      </c>
      <c r="K77" s="469"/>
      <c r="L77" s="408"/>
      <c r="N77" s="800"/>
      <c r="O77" s="807"/>
      <c r="P77" s="413"/>
    </row>
    <row r="78" spans="1:16" ht="27.75">
      <c r="A78" s="1298" t="s">
        <v>197</v>
      </c>
      <c r="B78" s="1294"/>
      <c r="C78" s="1294"/>
      <c r="D78" s="599" t="s">
        <v>187</v>
      </c>
      <c r="E78" s="595">
        <f>'15'!F78</f>
        <v>648180</v>
      </c>
      <c r="F78" s="737">
        <v>648563</v>
      </c>
      <c r="G78" s="549">
        <f t="shared" si="6"/>
        <v>383</v>
      </c>
      <c r="H78" s="536">
        <f>G78+'15'!H78</f>
        <v>-4300</v>
      </c>
      <c r="I78" s="581"/>
      <c r="J78" s="629">
        <f>H78/DAY(B2)</f>
        <v>-268.75</v>
      </c>
      <c r="K78" s="469"/>
      <c r="L78" s="408"/>
      <c r="N78" s="800"/>
      <c r="O78" s="807"/>
      <c r="P78" s="413"/>
    </row>
    <row r="79" spans="1:16" ht="27.75">
      <c r="A79" s="1479" t="s">
        <v>92</v>
      </c>
      <c r="B79" s="1480"/>
      <c r="C79" s="1481"/>
      <c r="D79" s="600" t="s">
        <v>187</v>
      </c>
      <c r="E79" s="595">
        <f>'15'!F79</f>
        <v>812601</v>
      </c>
      <c r="F79" s="737">
        <v>812813</v>
      </c>
      <c r="G79" s="549">
        <f t="shared" si="6"/>
        <v>212</v>
      </c>
      <c r="H79" s="536">
        <f>G79+'15'!H79</f>
        <v>-4923</v>
      </c>
      <c r="I79" s="581"/>
      <c r="J79" s="629">
        <f>H79/DAY(B2)</f>
        <v>-307.6875</v>
      </c>
      <c r="K79" s="469"/>
      <c r="L79" s="408"/>
      <c r="N79" s="800"/>
      <c r="O79" s="807"/>
      <c r="P79" s="413"/>
    </row>
    <row r="80" spans="1:16" ht="27.75">
      <c r="A80" s="1479" t="s">
        <v>198</v>
      </c>
      <c r="B80" s="1480"/>
      <c r="C80" s="1481"/>
      <c r="D80" s="600" t="s">
        <v>187</v>
      </c>
      <c r="E80" s="595">
        <f>'15'!F80</f>
        <v>489888.52</v>
      </c>
      <c r="F80" s="736">
        <v>490280</v>
      </c>
      <c r="G80" s="549">
        <f t="shared" si="6"/>
        <v>391.47999999998137</v>
      </c>
      <c r="H80" s="536">
        <f>G80+'15'!H80</f>
        <v>-1719.679999999993</v>
      </c>
      <c r="I80" s="581"/>
      <c r="J80" s="629">
        <f>H80/DAY(B2)</f>
        <v>-107.47999999999956</v>
      </c>
      <c r="K80" s="469"/>
      <c r="L80" s="408"/>
      <c r="N80" s="800"/>
      <c r="O80" s="807"/>
      <c r="P80" s="413"/>
    </row>
    <row r="81" spans="1:16" ht="27.75">
      <c r="A81" s="1479" t="s">
        <v>199</v>
      </c>
      <c r="B81" s="1480"/>
      <c r="C81" s="1481"/>
      <c r="D81" s="600" t="s">
        <v>187</v>
      </c>
      <c r="E81" s="595">
        <f>'15'!F81</f>
        <v>624383.04</v>
      </c>
      <c r="F81" s="736">
        <v>624504</v>
      </c>
      <c r="G81" s="549">
        <f t="shared" si="6"/>
        <v>120.95999999996275</v>
      </c>
      <c r="H81" s="536">
        <f>G81+'15'!H81</f>
        <v>-1439.8399999999674</v>
      </c>
      <c r="I81" s="581"/>
      <c r="J81" s="629">
        <f>H81/DAY(B2)</f>
        <v>-89.989999999997963</v>
      </c>
      <c r="K81" s="469"/>
      <c r="L81" s="408"/>
      <c r="N81" s="800"/>
      <c r="O81" s="807"/>
      <c r="P81" s="413"/>
    </row>
    <row r="82" spans="1:16" s="858" customFormat="1" ht="27.75">
      <c r="A82" s="1496" t="s">
        <v>93</v>
      </c>
      <c r="B82" s="1497"/>
      <c r="C82" s="1498"/>
      <c r="D82" s="703" t="s">
        <v>132</v>
      </c>
      <c r="E82" s="865">
        <f>'15'!F82</f>
        <v>105889.01</v>
      </c>
      <c r="F82" s="703">
        <v>105915.44</v>
      </c>
      <c r="G82" s="856">
        <f t="shared" si="6"/>
        <v>26.430000000007567</v>
      </c>
      <c r="H82" s="555">
        <f>G82+'15'!H82</f>
        <v>-287.0399999999936</v>
      </c>
      <c r="I82" s="555"/>
      <c r="J82" s="857">
        <f>H82/DAY(B2)</f>
        <v>-17.9399999999996</v>
      </c>
      <c r="K82" s="1305"/>
      <c r="L82" s="1306"/>
      <c r="N82" s="804"/>
      <c r="O82" s="808"/>
      <c r="P82" s="803"/>
    </row>
    <row r="83" spans="1:16" ht="27.75">
      <c r="A83" s="1479" t="s">
        <v>200</v>
      </c>
      <c r="B83" s="1480"/>
      <c r="C83" s="1481"/>
      <c r="D83" s="697" t="s">
        <v>132</v>
      </c>
      <c r="E83" s="595">
        <f>'15'!F83</f>
        <v>990240</v>
      </c>
      <c r="F83" s="587">
        <v>990737</v>
      </c>
      <c r="G83" s="549">
        <f t="shared" si="6"/>
        <v>497</v>
      </c>
      <c r="H83" s="536">
        <f>G83+'15'!H83</f>
        <v>994140</v>
      </c>
      <c r="I83" s="557"/>
      <c r="J83" s="629">
        <f>H83/DAY(B2)</f>
        <v>62133.75</v>
      </c>
      <c r="K83" s="468"/>
      <c r="L83" s="408"/>
      <c r="N83" s="800"/>
      <c r="O83" s="807"/>
      <c r="P83" s="413"/>
    </row>
    <row r="84" spans="1:16">
      <c r="A84" s="1301" t="s">
        <v>201</v>
      </c>
      <c r="B84" s="648"/>
      <c r="C84" s="648"/>
      <c r="D84" s="554" t="s">
        <v>132</v>
      </c>
      <c r="E84" s="595">
        <f>'15'!F84</f>
        <v>423264</v>
      </c>
      <c r="F84" s="704">
        <v>423923</v>
      </c>
      <c r="G84" s="549">
        <f t="shared" si="6"/>
        <v>659</v>
      </c>
      <c r="H84" s="536">
        <f>G84+'15'!H84</f>
        <v>-6875</v>
      </c>
      <c r="I84" s="557"/>
      <c r="J84" s="629">
        <f>H84/DAY(B2)</f>
        <v>-429.6875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2765.5999999999517</v>
      </c>
      <c r="H85" s="536">
        <f>G85+'15'!H85</f>
        <v>967653.03999999992</v>
      </c>
      <c r="I85" s="557"/>
      <c r="J85" s="629">
        <f>H85/DAY(B2)</f>
        <v>60478.314999999995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'15'!F86</f>
        <v>448916.84</v>
      </c>
      <c r="F86" s="728">
        <v>449025.04</v>
      </c>
      <c r="G86" s="787">
        <f t="shared" ref="G86:G90" si="7">F86-E86</f>
        <v>108.19999999995343</v>
      </c>
      <c r="H86" s="787">
        <f t="shared" ref="H86:H88" si="8">G86</f>
        <v>108.19999999995343</v>
      </c>
      <c r="I86" s="733"/>
      <c r="J86" s="789">
        <f>H86/DAY(B2)</f>
        <v>6.7624999999970896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'15'!F87</f>
        <v>78857.8</v>
      </c>
      <c r="F87" s="728">
        <v>78878</v>
      </c>
      <c r="G87" s="787">
        <f t="shared" si="7"/>
        <v>20.19999999999709</v>
      </c>
      <c r="H87" s="787">
        <f t="shared" si="8"/>
        <v>20.19999999999709</v>
      </c>
      <c r="I87" s="733"/>
      <c r="J87" s="789">
        <f>H87/DAY(B2)</f>
        <v>1.2624999999998181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'15'!F88</f>
        <v>147474.89000000001</v>
      </c>
      <c r="F88" s="728">
        <v>147554.91</v>
      </c>
      <c r="G88" s="787">
        <f t="shared" si="7"/>
        <v>80.019999999989523</v>
      </c>
      <c r="H88" s="787">
        <f t="shared" si="8"/>
        <v>80.019999999989523</v>
      </c>
      <c r="I88" s="733"/>
      <c r="J88" s="789">
        <f>H88/DAY(B2)</f>
        <v>5.0012499999993452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'15'!F89</f>
        <v>60789.9</v>
      </c>
      <c r="F89" s="728">
        <v>60854.400000000001</v>
      </c>
      <c r="G89" s="787">
        <f t="shared" si="7"/>
        <v>64.5</v>
      </c>
      <c r="H89" s="787">
        <f>G89</f>
        <v>64.5</v>
      </c>
      <c r="I89" s="733"/>
      <c r="J89" s="789">
        <f>H89/DAY(B2)</f>
        <v>4.03125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'15'!F90</f>
        <v>3117.1</v>
      </c>
      <c r="F90" s="728">
        <v>3121.9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0.30000000000001137</v>
      </c>
      <c r="K90" s="815"/>
      <c r="L90" s="816"/>
      <c r="N90" s="860"/>
      <c r="O90" s="413"/>
    </row>
    <row r="91" spans="1:16" s="410" customFormat="1">
      <c r="A91" s="683" t="s">
        <v>205</v>
      </c>
      <c r="B91" s="1299"/>
      <c r="C91" s="1299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33" t="s">
        <v>206</v>
      </c>
      <c r="B92" s="1434"/>
      <c r="C92" s="1435"/>
      <c r="D92" s="599" t="s">
        <v>144</v>
      </c>
      <c r="E92" s="560">
        <f>'15'!F92</f>
        <v>238298</v>
      </c>
      <c r="F92" s="554">
        <v>238430</v>
      </c>
      <c r="G92" s="549">
        <f t="shared" ref="G92:G93" si="9">F92-E92</f>
        <v>132</v>
      </c>
      <c r="H92" s="536">
        <f>G92+'15'!H92</f>
        <v>-1265</v>
      </c>
      <c r="I92" s="556"/>
      <c r="J92" s="629">
        <f>H92/DAY(B2)</f>
        <v>-79.0625</v>
      </c>
      <c r="K92" s="468"/>
      <c r="L92" s="408"/>
      <c r="N92" s="800"/>
      <c r="O92" s="807"/>
      <c r="P92" s="413"/>
    </row>
    <row r="93" spans="1:16" ht="27.75">
      <c r="A93" s="1433" t="s">
        <v>207</v>
      </c>
      <c r="B93" s="1434"/>
      <c r="C93" s="1435"/>
      <c r="D93" s="599" t="s">
        <v>144</v>
      </c>
      <c r="E93" s="560">
        <f>'15'!F93</f>
        <v>173643</v>
      </c>
      <c r="F93" s="554">
        <v>173797</v>
      </c>
      <c r="G93" s="549">
        <f t="shared" si="9"/>
        <v>154</v>
      </c>
      <c r="H93" s="536">
        <f>G93+'15'!H93</f>
        <v>-1864</v>
      </c>
      <c r="I93" s="556"/>
      <c r="J93" s="629">
        <f>H93/DAY(B2)</f>
        <v>-116.5</v>
      </c>
      <c r="K93" s="411"/>
      <c r="L93" s="408"/>
      <c r="N93" s="800"/>
      <c r="O93" s="807"/>
      <c r="P93" s="413"/>
    </row>
    <row r="94" spans="1:16">
      <c r="A94" s="1427" t="s">
        <v>208</v>
      </c>
      <c r="B94" s="1428"/>
      <c r="C94" s="1429"/>
      <c r="D94" s="599"/>
      <c r="E94" s="560">
        <f>'15'!F94</f>
        <v>0</v>
      </c>
      <c r="F94" s="554">
        <v>0</v>
      </c>
      <c r="G94" s="549">
        <f>G92+G93</f>
        <v>286</v>
      </c>
      <c r="H94" s="536">
        <f>G94+'15'!H94</f>
        <v>-3395</v>
      </c>
      <c r="I94" s="556"/>
      <c r="J94" s="629">
        <f>H94/DAY(B2)</f>
        <v>-212.1875</v>
      </c>
      <c r="K94" s="411"/>
      <c r="L94" s="408"/>
      <c r="N94" s="800"/>
      <c r="O94" s="807"/>
      <c r="P94" s="413"/>
    </row>
    <row r="95" spans="1:16" ht="27.75">
      <c r="A95" s="1433" t="s">
        <v>209</v>
      </c>
      <c r="B95" s="1434"/>
      <c r="C95" s="1435"/>
      <c r="D95" s="599" t="s">
        <v>144</v>
      </c>
      <c r="E95" s="560">
        <f>'15'!F95</f>
        <v>407040</v>
      </c>
      <c r="F95" s="554">
        <v>407137</v>
      </c>
      <c r="G95" s="549">
        <f t="shared" ref="G95:G100" si="10">F95-E95</f>
        <v>97</v>
      </c>
      <c r="H95" s="536">
        <f>G95+'15'!H95</f>
        <v>-1019</v>
      </c>
      <c r="I95" s="556"/>
      <c r="J95" s="629">
        <f>H95/DAY(B2)</f>
        <v>-63.6875</v>
      </c>
      <c r="K95" s="411"/>
      <c r="L95" s="408"/>
      <c r="N95" s="800"/>
      <c r="O95" s="807"/>
      <c r="P95" s="413"/>
    </row>
    <row r="96" spans="1:16" ht="27.75">
      <c r="A96" s="1295" t="s">
        <v>210</v>
      </c>
      <c r="B96" s="1296"/>
      <c r="C96" s="1296"/>
      <c r="D96" s="599" t="s">
        <v>144</v>
      </c>
      <c r="E96" s="560">
        <f>'15'!F96</f>
        <v>101091</v>
      </c>
      <c r="F96" s="554">
        <v>101109</v>
      </c>
      <c r="G96" s="549">
        <f t="shared" si="10"/>
        <v>18</v>
      </c>
      <c r="H96" s="536">
        <f>G96+'15'!H96</f>
        <v>-223</v>
      </c>
      <c r="I96" s="556"/>
      <c r="J96" s="629">
        <f>H96/DAY(B2)</f>
        <v>-13.9375</v>
      </c>
      <c r="K96" s="466"/>
      <c r="L96" s="408"/>
      <c r="N96" s="800"/>
      <c r="O96" s="807"/>
      <c r="P96" s="413"/>
    </row>
    <row r="97" spans="1:16" ht="27.75">
      <c r="A97" s="1295" t="s">
        <v>211</v>
      </c>
      <c r="B97" s="1296"/>
      <c r="C97" s="1296"/>
      <c r="D97" s="599" t="s">
        <v>144</v>
      </c>
      <c r="E97" s="560">
        <f>'15'!F97</f>
        <v>96153</v>
      </c>
      <c r="F97" s="554">
        <v>96177</v>
      </c>
      <c r="G97" s="549">
        <f t="shared" si="10"/>
        <v>24</v>
      </c>
      <c r="H97" s="536">
        <f>G97+'15'!H97</f>
        <v>-272</v>
      </c>
      <c r="I97" s="556"/>
      <c r="J97" s="629">
        <f>H97/DAY(B2)</f>
        <v>-17</v>
      </c>
      <c r="K97" s="471"/>
      <c r="L97" s="408"/>
      <c r="N97" s="800"/>
      <c r="O97" s="807"/>
      <c r="P97" s="413"/>
    </row>
    <row r="98" spans="1:16" ht="27.75">
      <c r="A98" s="1295" t="s">
        <v>212</v>
      </c>
      <c r="B98" s="1296"/>
      <c r="C98" s="1296"/>
      <c r="D98" s="599" t="s">
        <v>144</v>
      </c>
      <c r="E98" s="560">
        <f>'15'!F98</f>
        <v>146606</v>
      </c>
      <c r="F98" s="554">
        <v>146662</v>
      </c>
      <c r="G98" s="549">
        <f t="shared" si="10"/>
        <v>56</v>
      </c>
      <c r="H98" s="536">
        <f>G98+'15'!H98</f>
        <v>-946</v>
      </c>
      <c r="I98" s="556"/>
      <c r="J98" s="629">
        <f>H98/DAY(B2)</f>
        <v>-59.125</v>
      </c>
      <c r="K98" s="411"/>
      <c r="L98" s="408"/>
      <c r="N98" s="802"/>
      <c r="O98" s="807"/>
      <c r="P98" s="413"/>
    </row>
    <row r="99" spans="1:16" ht="27.75">
      <c r="A99" s="1295" t="s">
        <v>213</v>
      </c>
      <c r="B99" s="1296"/>
      <c r="C99" s="1296"/>
      <c r="D99" s="599" t="s">
        <v>144</v>
      </c>
      <c r="E99" s="560">
        <f>'15'!F99</f>
        <v>6167</v>
      </c>
      <c r="F99" s="554">
        <v>6184</v>
      </c>
      <c r="G99" s="549">
        <f t="shared" si="10"/>
        <v>17</v>
      </c>
      <c r="H99" s="536">
        <f>G99+'15'!H99</f>
        <v>-224</v>
      </c>
      <c r="I99" s="556"/>
      <c r="J99" s="629">
        <f>H99/DAY(B2)</f>
        <v>-14</v>
      </c>
      <c r="K99" s="411"/>
      <c r="L99" s="408"/>
      <c r="N99" s="800"/>
      <c r="O99" s="807"/>
      <c r="P99" s="413"/>
    </row>
    <row r="100" spans="1:16" ht="27.75">
      <c r="A100" s="1295" t="s">
        <v>214</v>
      </c>
      <c r="B100" s="1296"/>
      <c r="C100" s="1296"/>
      <c r="D100" s="599" t="s">
        <v>144</v>
      </c>
      <c r="E100" s="560">
        <f>'15'!F100</f>
        <v>4389</v>
      </c>
      <c r="F100" s="554">
        <v>4395</v>
      </c>
      <c r="G100" s="549">
        <f t="shared" si="10"/>
        <v>6</v>
      </c>
      <c r="H100" s="536">
        <f>G100+'15'!H100</f>
        <v>-148</v>
      </c>
      <c r="I100" s="556"/>
      <c r="J100" s="629">
        <f>H100/DAY(B2)</f>
        <v>-9.25</v>
      </c>
      <c r="K100" s="411"/>
      <c r="L100" s="408"/>
      <c r="N100" s="800"/>
      <c r="O100" s="807"/>
      <c r="P100" s="413"/>
    </row>
    <row r="101" spans="1:16">
      <c r="A101" s="1427" t="s">
        <v>216</v>
      </c>
      <c r="B101" s="1428"/>
      <c r="C101" s="1429"/>
      <c r="D101" s="600"/>
      <c r="E101" s="560"/>
      <c r="F101" s="600"/>
      <c r="G101" s="601">
        <f>SUM(G95:G100)</f>
        <v>218</v>
      </c>
      <c r="H101" s="536">
        <f>G101+'15'!H101</f>
        <v>-2832</v>
      </c>
      <c r="I101" s="602"/>
      <c r="J101" s="629">
        <f>H101/DAY(B2)</f>
        <v>-177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6" t="s">
        <v>218</v>
      </c>
      <c r="B103" s="1437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38" t="s">
        <v>219</v>
      </c>
      <c r="B104" s="1439"/>
      <c r="C104" s="1300"/>
      <c r="D104" s="699" t="s">
        <v>144</v>
      </c>
      <c r="E104" s="560">
        <f>'15'!F104</f>
        <v>7097</v>
      </c>
      <c r="F104" s="739">
        <v>7097</v>
      </c>
      <c r="G104" s="608">
        <f>F104-E104</f>
        <v>0</v>
      </c>
      <c r="H104" s="609">
        <f>SUM(G104+'1'!G76)</f>
        <v>79.150000000000091</v>
      </c>
      <c r="I104" s="608"/>
      <c r="J104" s="635">
        <f>H104/DAY(B2)</f>
        <v>4.9468750000000057</v>
      </c>
      <c r="N104" s="800"/>
      <c r="O104" s="807"/>
      <c r="P104" s="413"/>
    </row>
    <row r="105" spans="1:16" s="481" customFormat="1" ht="27.75">
      <c r="A105" s="1438" t="s">
        <v>77</v>
      </c>
      <c r="B105" s="1439"/>
      <c r="C105" s="1300"/>
      <c r="D105" s="699" t="s">
        <v>144</v>
      </c>
      <c r="E105" s="560">
        <f>'15'!F105</f>
        <v>35285</v>
      </c>
      <c r="F105" s="740">
        <v>35297</v>
      </c>
      <c r="G105" s="608">
        <f t="shared" ref="G105:G106" si="11">F105-E105</f>
        <v>12</v>
      </c>
      <c r="H105" s="609">
        <f>SUM(G105+'1'!G77)</f>
        <v>57</v>
      </c>
      <c r="I105" s="608"/>
      <c r="J105" s="635">
        <f>H105/DAY(B2)</f>
        <v>3.5625</v>
      </c>
      <c r="N105" s="800"/>
      <c r="O105" s="807"/>
      <c r="P105" s="413"/>
    </row>
    <row r="106" spans="1:16" s="481" customFormat="1" ht="27.75">
      <c r="A106" s="1438" t="s">
        <v>78</v>
      </c>
      <c r="B106" s="1440"/>
      <c r="C106" s="1439"/>
      <c r="D106" s="699" t="s">
        <v>144</v>
      </c>
      <c r="E106" s="560">
        <f>'15'!F106</f>
        <v>19168</v>
      </c>
      <c r="F106" s="740">
        <v>19174</v>
      </c>
      <c r="G106" s="608">
        <f t="shared" si="11"/>
        <v>6</v>
      </c>
      <c r="H106" s="609">
        <f>SUM(G106+'1'!G78)</f>
        <v>396</v>
      </c>
      <c r="I106" s="608"/>
      <c r="J106" s="635">
        <f>H106/DAY(B2)</f>
        <v>24.75</v>
      </c>
      <c r="N106" s="800"/>
      <c r="O106" s="807"/>
      <c r="P106" s="413"/>
    </row>
    <row r="107" spans="1:16" s="481" customFormat="1" ht="27.75">
      <c r="A107" s="1441" t="s">
        <v>202</v>
      </c>
      <c r="B107" s="1442"/>
      <c r="C107" s="1300"/>
      <c r="D107" s="699"/>
      <c r="E107" s="560">
        <f>'15'!F107</f>
        <v>0</v>
      </c>
      <c r="F107" s="740"/>
      <c r="G107" s="608">
        <f>SUM(G104:G106)</f>
        <v>18</v>
      </c>
      <c r="H107" s="609">
        <f>SUM(G107+'1'!G79)</f>
        <v>210</v>
      </c>
      <c r="I107" s="608"/>
      <c r="J107" s="635">
        <f>H107/DAY(B2)</f>
        <v>13.125</v>
      </c>
      <c r="N107" s="800"/>
      <c r="O107" s="807"/>
      <c r="P107" s="413"/>
    </row>
    <row r="108" spans="1:16" s="481" customFormat="1" ht="27.75">
      <c r="A108" s="1443" t="s">
        <v>79</v>
      </c>
      <c r="B108" s="1444"/>
      <c r="C108" s="1300"/>
      <c r="D108" s="699" t="s">
        <v>144</v>
      </c>
      <c r="E108" s="560">
        <f>'15'!F108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38" t="s">
        <v>220</v>
      </c>
      <c r="B109" s="1439"/>
      <c r="C109" s="1300"/>
      <c r="D109" s="699" t="s">
        <v>144</v>
      </c>
      <c r="E109" s="560">
        <f>'15'!F109</f>
        <v>55588</v>
      </c>
      <c r="F109" s="740">
        <v>55648</v>
      </c>
      <c r="G109" s="608">
        <f>F109-E109</f>
        <v>60</v>
      </c>
      <c r="H109" s="609">
        <f>SUM(G109+'1'!G81)</f>
        <v>172.56000000005588</v>
      </c>
      <c r="I109" s="608"/>
      <c r="J109" s="635">
        <f>H109/DAY(B2)</f>
        <v>10.785000000003492</v>
      </c>
      <c r="N109" s="800"/>
      <c r="O109" s="807"/>
      <c r="P109" s="413"/>
    </row>
    <row r="110" spans="1:16" s="481" customFormat="1" ht="27.75">
      <c r="A110" s="1438" t="s">
        <v>221</v>
      </c>
      <c r="B110" s="1439"/>
      <c r="C110" s="1300"/>
      <c r="D110" s="699" t="s">
        <v>144</v>
      </c>
      <c r="E110" s="560">
        <f>'15'!F110</f>
        <v>29519</v>
      </c>
      <c r="F110" s="740">
        <v>29577</v>
      </c>
      <c r="G110" s="608">
        <f t="shared" ref="G110:G111" si="12">F110-E110</f>
        <v>58</v>
      </c>
      <c r="H110" s="609">
        <f>SUM(G110+'1'!G82)</f>
        <v>76.169999999998254</v>
      </c>
      <c r="I110" s="608"/>
      <c r="J110" s="635">
        <f>H110/DAY(B2)</f>
        <v>4.7606249999998909</v>
      </c>
      <c r="N110" s="800"/>
      <c r="O110" s="807"/>
      <c r="P110" s="413"/>
    </row>
    <row r="111" spans="1:16" s="481" customFormat="1" ht="27.75">
      <c r="A111" s="1438" t="s">
        <v>222</v>
      </c>
      <c r="B111" s="1439"/>
      <c r="C111" s="1300"/>
      <c r="D111" s="699" t="s">
        <v>144</v>
      </c>
      <c r="E111" s="560">
        <f>'15'!F111</f>
        <v>3883</v>
      </c>
      <c r="F111" s="740">
        <v>3883</v>
      </c>
      <c r="G111" s="608">
        <f t="shared" si="12"/>
        <v>0</v>
      </c>
      <c r="H111" s="609">
        <f>SUM(G111+'1'!G83)</f>
        <v>520</v>
      </c>
      <c r="I111" s="608"/>
      <c r="J111" s="635">
        <f>H111/DAY(B2)</f>
        <v>32.5</v>
      </c>
      <c r="N111" s="800"/>
      <c r="O111" s="807"/>
      <c r="P111" s="413"/>
    </row>
    <row r="112" spans="1:16" s="481" customFormat="1" ht="27.75">
      <c r="A112" s="1441" t="s">
        <v>110</v>
      </c>
      <c r="B112" s="1442"/>
      <c r="C112" s="1300"/>
      <c r="D112" s="699"/>
      <c r="E112" s="560">
        <f>'15'!F112</f>
        <v>0</v>
      </c>
      <c r="F112" s="740"/>
      <c r="G112" s="608">
        <f>SUM(G109:G111)</f>
        <v>118</v>
      </c>
      <c r="H112" s="609">
        <f>SUM(G112+'1'!G84)</f>
        <v>808</v>
      </c>
      <c r="I112" s="608"/>
      <c r="J112" s="635">
        <f>H112/DAY(B2)</f>
        <v>50.5</v>
      </c>
      <c r="N112" s="800"/>
      <c r="O112" s="807"/>
      <c r="P112" s="413"/>
    </row>
    <row r="113" spans="1:16" s="481" customFormat="1" ht="27.75">
      <c r="A113" s="1443" t="s">
        <v>223</v>
      </c>
      <c r="B113" s="1444"/>
      <c r="C113" s="1300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38" t="s">
        <v>224</v>
      </c>
      <c r="B114" s="1439"/>
      <c r="C114" s="651"/>
      <c r="D114" s="699" t="s">
        <v>144</v>
      </c>
      <c r="E114" s="560">
        <f>'15'!F114</f>
        <v>10036</v>
      </c>
      <c r="F114" s="740">
        <v>10057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1.3125</v>
      </c>
      <c r="N114" s="800"/>
      <c r="O114" s="807"/>
      <c r="P114" s="413"/>
    </row>
    <row r="115" spans="1:16" s="481" customFormat="1" ht="27.75">
      <c r="A115" s="1438" t="s">
        <v>225</v>
      </c>
      <c r="B115" s="1439"/>
      <c r="C115" s="651"/>
      <c r="D115" s="699" t="s">
        <v>144</v>
      </c>
      <c r="E115" s="560">
        <f>'15'!F115</f>
        <v>7542</v>
      </c>
      <c r="F115" s="740">
        <v>7555</v>
      </c>
      <c r="G115" s="610">
        <f t="shared" ref="G115:G116" si="13">F115-E115</f>
        <v>13</v>
      </c>
      <c r="H115" s="609">
        <f>SUM(G115+'1'!G92)</f>
        <v>135</v>
      </c>
      <c r="I115" s="608"/>
      <c r="J115" s="635">
        <f>H115/DAY(B2)</f>
        <v>8.4375</v>
      </c>
      <c r="N115" s="800"/>
      <c r="O115" s="807"/>
      <c r="P115" s="413"/>
    </row>
    <row r="116" spans="1:16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144</v>
      </c>
      <c r="I116" s="608"/>
      <c r="J116" s="635">
        <f>H116/DAY(B2)</f>
        <v>9</v>
      </c>
      <c r="N116" s="800"/>
      <c r="O116" s="807"/>
      <c r="P116" s="413"/>
    </row>
    <row r="117" spans="1:16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34</v>
      </c>
      <c r="H117" s="609">
        <f>SUM(G117+'1'!G95)</f>
        <v>110</v>
      </c>
      <c r="I117" s="610"/>
      <c r="J117" s="635">
        <f>H117/DAY(B2)</f>
        <v>6.875</v>
      </c>
      <c r="N117" s="800"/>
      <c r="O117" s="807"/>
      <c r="P117" s="413"/>
    </row>
    <row r="118" spans="1:16" s="495" customFormat="1" ht="27.75">
      <c r="A118" s="1472" t="s">
        <v>227</v>
      </c>
      <c r="B118" s="1473"/>
      <c r="C118" s="1303"/>
      <c r="D118" s="701" t="s">
        <v>144</v>
      </c>
      <c r="E118" s="612"/>
      <c r="F118" s="741">
        <f>SUM(G19+G92)</f>
        <v>182</v>
      </c>
      <c r="G118" s="612">
        <f>SUM(G19+G92)</f>
        <v>182</v>
      </c>
      <c r="H118" s="609">
        <f>SUM(G118+'1'!G96)</f>
        <v>195</v>
      </c>
      <c r="I118" s="611"/>
      <c r="J118" s="636">
        <f>H118/DAY(B2)</f>
        <v>12.1875</v>
      </c>
      <c r="N118" s="800"/>
      <c r="O118" s="807"/>
      <c r="P118" s="413"/>
    </row>
    <row r="119" spans="1:16" s="495" customFormat="1" ht="27.75">
      <c r="A119" s="1472" t="s">
        <v>228</v>
      </c>
      <c r="B119" s="1473"/>
      <c r="C119" s="1303"/>
      <c r="D119" s="701" t="s">
        <v>144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232</v>
      </c>
      <c r="I119" s="611"/>
      <c r="J119" s="636">
        <f>H119/DAY(B2)</f>
        <v>14.5</v>
      </c>
      <c r="N119" s="800"/>
      <c r="O119" s="807"/>
      <c r="P119" s="413"/>
    </row>
    <row r="120" spans="1:16" s="495" customFormat="1" ht="27.75">
      <c r="A120" s="1472" t="s">
        <v>229</v>
      </c>
      <c r="B120" s="1473"/>
      <c r="C120" s="1303"/>
      <c r="D120" s="701" t="s">
        <v>144</v>
      </c>
      <c r="E120" s="610"/>
      <c r="F120" s="740">
        <f>SUM(G112)</f>
        <v>118</v>
      </c>
      <c r="G120" s="610">
        <f>SUM(G112)</f>
        <v>118</v>
      </c>
      <c r="H120" s="609">
        <f>SUM(G120+'1'!G100)</f>
        <v>132</v>
      </c>
      <c r="I120" s="611"/>
      <c r="J120" s="636">
        <f>H120/DAY(B2)</f>
        <v>8.25</v>
      </c>
      <c r="N120" s="800"/>
      <c r="O120" s="807"/>
      <c r="P120" s="413"/>
    </row>
    <row r="121" spans="1:16" s="481" customFormat="1" ht="27.75">
      <c r="A121" s="1474"/>
      <c r="B121" s="1475"/>
      <c r="C121" s="1304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95" t="s">
        <v>231</v>
      </c>
      <c r="B123" s="1296"/>
      <c r="C123" s="1296"/>
      <c r="D123" s="599" t="s">
        <v>141</v>
      </c>
      <c r="E123" s="554">
        <f>'15'!F123</f>
        <v>807582.34</v>
      </c>
      <c r="F123" s="554">
        <v>807856.78</v>
      </c>
      <c r="G123" s="549">
        <f t="shared" ref="G123:G127" si="14">F123-E123</f>
        <v>274.44000000006054</v>
      </c>
      <c r="H123" s="536">
        <f>G123+'15'!H123</f>
        <v>-3150.0599999999395</v>
      </c>
      <c r="I123" s="602"/>
      <c r="J123" s="629">
        <f>H123/DAY(B2)</f>
        <v>-196.87874999999622</v>
      </c>
      <c r="K123" s="411"/>
      <c r="L123" s="408"/>
      <c r="N123" s="800"/>
      <c r="O123" s="807"/>
      <c r="P123" s="413"/>
    </row>
    <row r="124" spans="1:16" ht="27.75">
      <c r="A124" s="1295" t="s">
        <v>232</v>
      </c>
      <c r="B124" s="1296"/>
      <c r="C124" s="1296"/>
      <c r="D124" s="599" t="s">
        <v>141</v>
      </c>
      <c r="E124" s="703">
        <f>'15'!F124</f>
        <v>73583.399999999994</v>
      </c>
      <c r="F124" s="703">
        <v>73583.399999999994</v>
      </c>
      <c r="G124" s="549">
        <f t="shared" si="14"/>
        <v>0</v>
      </c>
      <c r="H124" s="536">
        <f>G124+'15'!H124</f>
        <v>0</v>
      </c>
      <c r="I124" s="602"/>
      <c r="J124" s="629">
        <f>H124/DAY(B2)</f>
        <v>0</v>
      </c>
      <c r="K124" s="411"/>
      <c r="L124" s="408"/>
      <c r="N124" s="800"/>
      <c r="O124" s="807"/>
      <c r="P124" s="413"/>
    </row>
    <row r="125" spans="1:16" ht="27.75">
      <c r="A125" s="1430" t="s">
        <v>233</v>
      </c>
      <c r="B125" s="1431"/>
      <c r="C125" s="1432"/>
      <c r="D125" s="599" t="s">
        <v>141</v>
      </c>
      <c r="E125" s="554">
        <f>'15'!F125</f>
        <v>138993.94</v>
      </c>
      <c r="F125" s="554">
        <v>139081.88</v>
      </c>
      <c r="G125" s="549">
        <f t="shared" si="14"/>
        <v>87.940000000002328</v>
      </c>
      <c r="H125" s="536">
        <f>G125+'15'!H125</f>
        <v>-897.45999999999185</v>
      </c>
      <c r="I125" s="602"/>
      <c r="J125" s="629">
        <f>H125/DAY(B2)</f>
        <v>-56.091249999999491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296"/>
      <c r="C126" s="1296"/>
      <c r="D126" s="599" t="s">
        <v>141</v>
      </c>
      <c r="E126" s="703">
        <f>'15'!F126</f>
        <v>58988.9</v>
      </c>
      <c r="F126" s="703">
        <v>59013.7</v>
      </c>
      <c r="G126" s="549">
        <f t="shared" si="14"/>
        <v>24.799999999995634</v>
      </c>
      <c r="H126" s="536">
        <f>G126+'15'!H126</f>
        <v>-293.20000000000437</v>
      </c>
      <c r="I126" s="602"/>
      <c r="J126" s="629">
        <f>H126/DAY(B2)</f>
        <v>-18.325000000000273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296"/>
      <c r="C127" s="1296"/>
      <c r="D127" s="599" t="s">
        <v>141</v>
      </c>
      <c r="E127" s="703">
        <f>'15'!F127</f>
        <v>8861.2999999999993</v>
      </c>
      <c r="F127" s="703">
        <v>8863.4</v>
      </c>
      <c r="G127" s="549">
        <f t="shared" si="14"/>
        <v>2.1000000000003638</v>
      </c>
      <c r="H127" s="536">
        <f>G127+'15'!H127</f>
        <v>-24.399999999999636</v>
      </c>
      <c r="I127" s="556"/>
      <c r="J127" s="629">
        <f>H127/DAY(B2)</f>
        <v>-1.5249999999999773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296"/>
      <c r="C128" s="1296"/>
      <c r="D128" s="599"/>
      <c r="E128" s="554"/>
      <c r="F128" s="554"/>
      <c r="G128" s="549">
        <f>G15-SUM(G123:G127)</f>
        <v>623.2899999997735</v>
      </c>
      <c r="H128" s="536">
        <f>G128+'15'!H128</f>
        <v>623.2899999997735</v>
      </c>
      <c r="I128" s="556"/>
      <c r="J128" s="629">
        <f>H128/DAY(B2)</f>
        <v>38.955624999985844</v>
      </c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95" t="s">
        <v>238</v>
      </c>
      <c r="B130" s="1296"/>
      <c r="C130" s="1296"/>
      <c r="D130" s="599" t="s">
        <v>239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95" t="s">
        <v>240</v>
      </c>
      <c r="B131" s="1296"/>
      <c r="C131" s="1296"/>
      <c r="D131" s="599" t="s">
        <v>239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95" t="s">
        <v>241</v>
      </c>
      <c r="B132" s="1296"/>
      <c r="C132" s="1296"/>
      <c r="D132" s="599" t="s">
        <v>239</v>
      </c>
      <c r="E132" s="618">
        <f>'15'!F132</f>
        <v>39191.29</v>
      </c>
      <c r="F132" s="732">
        <v>39191.29</v>
      </c>
      <c r="G132" s="549">
        <f t="shared" si="15"/>
        <v>0</v>
      </c>
      <c r="H132" s="536">
        <f>G132+'15'!H132</f>
        <v>362.29000000000087</v>
      </c>
      <c r="I132" s="556"/>
      <c r="J132" s="629">
        <f>H132/DAY(B2)</f>
        <v>22.643125000000055</v>
      </c>
      <c r="N132" s="800"/>
      <c r="O132" s="807"/>
      <c r="P132" s="413"/>
    </row>
    <row r="133" spans="1:16" ht="27.75">
      <c r="A133" s="1295" t="s">
        <v>242</v>
      </c>
      <c r="B133" s="1296"/>
      <c r="C133" s="1296"/>
      <c r="D133" s="599" t="s">
        <v>239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-1</v>
      </c>
      <c r="I133" s="556">
        <f>G130+G131+G132+G133</f>
        <v>0</v>
      </c>
      <c r="J133" s="629">
        <f>H133/DAY(B2)</f>
        <v>-6.25E-2</v>
      </c>
      <c r="N133" s="800"/>
      <c r="O133" s="807"/>
      <c r="P133" s="413"/>
    </row>
    <row r="134" spans="1:16" ht="27.75">
      <c r="A134" s="1295" t="s">
        <v>243</v>
      </c>
      <c r="B134" s="1296"/>
      <c r="C134" s="1296"/>
      <c r="D134" s="599" t="s">
        <v>239</v>
      </c>
      <c r="E134" s="782">
        <f>'15'!F134</f>
        <v>40224.239999999998</v>
      </c>
      <c r="F134" s="703">
        <v>40248.31</v>
      </c>
      <c r="G134" s="549">
        <f t="shared" si="15"/>
        <v>24.069999999999709</v>
      </c>
      <c r="H134" s="536">
        <f>G134+'15'!H134</f>
        <v>-118.83000000000175</v>
      </c>
      <c r="I134" s="556"/>
      <c r="J134" s="629">
        <f>H134/DAY(B2)</f>
        <v>-7.4268750000001091</v>
      </c>
      <c r="N134" s="800"/>
      <c r="O134" s="807"/>
      <c r="P134" s="413"/>
    </row>
    <row r="135" spans="1:16" ht="27.75">
      <c r="A135" s="1295" t="s">
        <v>244</v>
      </c>
      <c r="B135" s="1296"/>
      <c r="C135" s="1296"/>
      <c r="D135" s="599" t="s">
        <v>239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-148</v>
      </c>
      <c r="I135" s="556"/>
      <c r="J135" s="629">
        <f>H135/DAY(B2)</f>
        <v>-9.25</v>
      </c>
      <c r="N135" s="800"/>
      <c r="O135" s="807"/>
      <c r="P135" s="413"/>
    </row>
    <row r="136" spans="1:16" ht="27.75">
      <c r="A136" s="1295" t="s">
        <v>245</v>
      </c>
      <c r="B136" s="1296"/>
      <c r="C136" s="1296"/>
      <c r="D136" s="599" t="s">
        <v>239</v>
      </c>
      <c r="E136" s="618">
        <f>'15'!F136</f>
        <v>22109.91</v>
      </c>
      <c r="F136" s="732">
        <v>22120.25</v>
      </c>
      <c r="G136" s="549">
        <f t="shared" si="15"/>
        <v>10.340000000000146</v>
      </c>
      <c r="H136" s="536">
        <f>G136+'15'!H136</f>
        <v>-101.95999999999913</v>
      </c>
      <c r="I136" s="556">
        <f>G134+G135+G136</f>
        <v>34.409999999999854</v>
      </c>
      <c r="J136" s="629">
        <f>H136/DAY(B2)</f>
        <v>-6.3724999999999454</v>
      </c>
      <c r="N136" s="800"/>
      <c r="O136" s="807"/>
      <c r="P136" s="413"/>
    </row>
    <row r="137" spans="1:16" ht="27.75">
      <c r="A137" s="1295" t="s">
        <v>246</v>
      </c>
      <c r="B137" s="1296"/>
      <c r="C137" s="1296"/>
      <c r="D137" s="599" t="s">
        <v>239</v>
      </c>
      <c r="E137" s="618">
        <f>'15'!F137</f>
        <v>25034.29</v>
      </c>
      <c r="F137" s="732">
        <v>25034.29</v>
      </c>
      <c r="G137" s="549">
        <f t="shared" si="15"/>
        <v>0</v>
      </c>
      <c r="H137" s="536">
        <f>G137+'15'!H137</f>
        <v>-10.020000000000437</v>
      </c>
      <c r="I137" s="556"/>
      <c r="J137" s="629">
        <f>H137/DAY(B2)</f>
        <v>-0.62625000000002728</v>
      </c>
      <c r="N137" s="800"/>
      <c r="O137" s="807"/>
      <c r="P137" s="413"/>
    </row>
    <row r="138" spans="1:16" ht="27.75">
      <c r="A138" s="1295" t="s">
        <v>247</v>
      </c>
      <c r="B138" s="1296"/>
      <c r="C138" s="1296"/>
      <c r="D138" s="599" t="s">
        <v>239</v>
      </c>
      <c r="E138" s="618">
        <f>'15'!F138</f>
        <v>70094.59</v>
      </c>
      <c r="F138" s="732">
        <v>70099.179999999993</v>
      </c>
      <c r="G138" s="549">
        <f t="shared" si="15"/>
        <v>4.5899999999965075</v>
      </c>
      <c r="H138" s="536">
        <f>G138+'15'!H138</f>
        <v>-48.160000000003492</v>
      </c>
      <c r="I138" s="556">
        <f>G137+G138</f>
        <v>4.5899999999965075</v>
      </c>
      <c r="J138" s="629">
        <f>H138/DAY(B2)</f>
        <v>-3.0100000000002183</v>
      </c>
      <c r="N138" s="800"/>
      <c r="O138" s="807"/>
      <c r="P138" s="413"/>
    </row>
    <row r="139" spans="1:16" ht="27.75">
      <c r="A139" s="1295" t="s">
        <v>248</v>
      </c>
      <c r="B139" s="1296"/>
      <c r="C139" s="1296"/>
      <c r="D139" s="599" t="s">
        <v>239</v>
      </c>
      <c r="E139" s="782">
        <f>'15'!F139</f>
        <v>1324.32</v>
      </c>
      <c r="F139" s="703">
        <v>1332.21</v>
      </c>
      <c r="G139" s="549">
        <f t="shared" si="15"/>
        <v>7.8900000000001</v>
      </c>
      <c r="H139" s="536">
        <f>G139+'15'!H139</f>
        <v>-90.930000000000064</v>
      </c>
      <c r="I139" s="619"/>
      <c r="J139" s="629">
        <f>H139/DAY(B2)</f>
        <v>-5.683125000000004</v>
      </c>
      <c r="N139" s="800"/>
      <c r="O139" s="807"/>
      <c r="P139" s="413"/>
    </row>
    <row r="140" spans="1:16" ht="27.75">
      <c r="A140" s="1295" t="s">
        <v>249</v>
      </c>
      <c r="B140" s="1296"/>
      <c r="C140" s="1296"/>
      <c r="D140" s="599" t="s">
        <v>239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-0.47000000000025466</v>
      </c>
      <c r="I140" s="619"/>
      <c r="J140" s="629">
        <f>H140/DAY(B2)</f>
        <v>-2.9375000000015916E-2</v>
      </c>
      <c r="N140" s="800"/>
      <c r="O140" s="807"/>
      <c r="P140" s="413"/>
    </row>
    <row r="141" spans="1:16">
      <c r="A141" s="1468" t="s">
        <v>315</v>
      </c>
      <c r="B141" s="1469"/>
      <c r="C141" s="1299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5399.8800000000047</v>
      </c>
      <c r="H142" s="536">
        <f>G142+'15'!H142</f>
        <v>-63804.47999999988</v>
      </c>
      <c r="I142" s="556"/>
      <c r="J142" s="629">
        <f>H142/DAY(B2)</f>
        <v>-3987.7799999999925</v>
      </c>
      <c r="K142" s="411"/>
      <c r="L142" s="408"/>
      <c r="N142" s="800"/>
      <c r="O142" s="807"/>
      <c r="P142" s="413"/>
    </row>
    <row r="143" spans="1:16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0.25744362336114446</v>
      </c>
      <c r="H143" s="536">
        <f>G143+'15'!H143</f>
        <v>4.0983405670183997</v>
      </c>
      <c r="I143" s="621"/>
      <c r="J143" s="629">
        <f>H143/DAY(B2)</f>
        <v>0.25614628543864998</v>
      </c>
      <c r="K143" s="411"/>
      <c r="L143" s="408"/>
      <c r="N143" s="800"/>
      <c r="O143" s="807"/>
      <c r="P143" s="413"/>
    </row>
    <row r="144" spans="1:16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4709.0199999999895</v>
      </c>
      <c r="H144" s="536">
        <f>G144+'15'!H144</f>
        <v>-58369.290000000037</v>
      </c>
      <c r="I144" s="556"/>
      <c r="J144" s="629">
        <f>H144/DAY(B2)</f>
        <v>-3648.0806250000023</v>
      </c>
      <c r="K144" s="411"/>
      <c r="L144" s="408"/>
      <c r="N144" s="800"/>
      <c r="O144" s="807"/>
      <c r="P144" s="413"/>
    </row>
    <row r="145" spans="1:16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0.22450631704409962</v>
      </c>
      <c r="H145" s="536">
        <f>G145+'15'!H145</f>
        <v>3.8882200828188842</v>
      </c>
      <c r="I145" s="621"/>
      <c r="J145" s="629">
        <f>H145/DAY(B2)</f>
        <v>0.24301375517618026</v>
      </c>
      <c r="K145" s="411"/>
      <c r="L145" s="408"/>
      <c r="N145" s="800"/>
      <c r="O145" s="807"/>
      <c r="P145" s="413"/>
    </row>
    <row r="146" spans="1:16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4228.1200000000026</v>
      </c>
      <c r="H146" s="536">
        <f>G146+'15'!H146</f>
        <v>49638.44000000001</v>
      </c>
      <c r="I146" s="622"/>
      <c r="J146" s="629">
        <f>H146/DAY(B2)</f>
        <v>3102.4025000000006</v>
      </c>
      <c r="K146" s="411"/>
      <c r="L146" s="408"/>
      <c r="N146" s="800"/>
      <c r="O146" s="807"/>
      <c r="P146" s="413"/>
    </row>
    <row r="147" spans="1:16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0.20157902264600727</v>
      </c>
      <c r="H147" s="536">
        <f>G147+'15'!H147</f>
        <v>8.0922454088101983</v>
      </c>
      <c r="I147" s="622"/>
      <c r="J147" s="629">
        <f>H147/DAY(B2)</f>
        <v>0.50576533805063739</v>
      </c>
      <c r="N147" s="800"/>
      <c r="O147" s="807"/>
      <c r="P147" s="413"/>
    </row>
    <row r="148" spans="1:16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2233.6500000000015</v>
      </c>
      <c r="H148" s="536">
        <f>G148+'15'!H148</f>
        <v>-24606.019999999997</v>
      </c>
      <c r="I148" s="556"/>
      <c r="J148" s="629">
        <f>H148/DAY(B2)</f>
        <v>-1537.8762499999998</v>
      </c>
      <c r="K148" s="412"/>
      <c r="N148" s="800"/>
      <c r="O148" s="807"/>
      <c r="P148" s="413"/>
    </row>
    <row r="149" spans="1:16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0.10649106078665084</v>
      </c>
      <c r="H149" s="536">
        <f>G149+'15'!H149</f>
        <v>1.5829406219931121</v>
      </c>
      <c r="I149" s="622"/>
      <c r="J149" s="629">
        <f>H149/DAY(B2)</f>
        <v>9.8933788874569509E-2</v>
      </c>
      <c r="N149" s="800"/>
      <c r="O149" s="807"/>
      <c r="P149" s="413"/>
    </row>
    <row r="150" spans="1:16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2212.2800000000279</v>
      </c>
      <c r="H150" s="536">
        <f>G150+'15'!H150</f>
        <v>-23377.660000000033</v>
      </c>
      <c r="I150" s="622"/>
      <c r="J150" s="629">
        <f>H150/DAY(B2)</f>
        <v>-1461.103750000002</v>
      </c>
      <c r="N150" s="800"/>
      <c r="O150" s="807"/>
      <c r="P150" s="413"/>
    </row>
    <row r="151" spans="1:16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0.10547222884386308</v>
      </c>
      <c r="H151" s="536">
        <f>G151+'15'!H151</f>
        <v>1.4682085468252193</v>
      </c>
      <c r="I151" s="556"/>
      <c r="J151" s="629">
        <f>H151/DAY(B2)</f>
        <v>9.1763034176576205E-2</v>
      </c>
      <c r="N151" s="800"/>
      <c r="O151" s="807"/>
      <c r="P151" s="413"/>
    </row>
    <row r="152" spans="1:16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1517.1100000000006</v>
      </c>
      <c r="H152" s="536">
        <f>G152+'15'!H152</f>
        <v>17386.440000000002</v>
      </c>
      <c r="I152" s="556"/>
      <c r="J152" s="629">
        <f>H152/DAY(B2)</f>
        <v>1086.6525000000001</v>
      </c>
      <c r="N152" s="800"/>
      <c r="O152" s="807"/>
      <c r="P152" s="413"/>
    </row>
    <row r="153" spans="1:16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7.2329439809296805E-2</v>
      </c>
      <c r="H153" s="536">
        <f>G153+'15'!H153</f>
        <v>2.8476684710776392</v>
      </c>
      <c r="I153" s="645"/>
      <c r="J153" s="646">
        <f>H153/DAY(B2)</f>
        <v>0.17797927944235245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7" t="s">
        <v>263</v>
      </c>
      <c r="B160" s="878"/>
      <c r="C160" s="878"/>
      <c r="D160" s="697" t="s">
        <v>187</v>
      </c>
      <c r="E160" s="598">
        <f>'15'!F160</f>
        <v>29687.06</v>
      </c>
      <c r="F160" s="886">
        <v>29772.27</v>
      </c>
      <c r="G160" s="549">
        <f t="shared" ref="G160:G163" si="16">F160-E160</f>
        <v>85.209999999999127</v>
      </c>
      <c r="N160" s="800"/>
    </row>
    <row r="161" spans="1:14" ht="21.75" customHeight="1">
      <c r="A161" s="877" t="s">
        <v>264</v>
      </c>
      <c r="B161" s="878"/>
      <c r="C161" s="878"/>
      <c r="D161" s="697" t="s">
        <v>187</v>
      </c>
      <c r="E161" s="598">
        <f>'15'!F161</f>
        <v>49334.61</v>
      </c>
      <c r="F161" s="886">
        <v>49786.33</v>
      </c>
      <c r="G161" s="549">
        <f t="shared" si="16"/>
        <v>451.72000000000116</v>
      </c>
      <c r="N161" s="800"/>
    </row>
    <row r="162" spans="1:14" ht="21.75" customHeight="1">
      <c r="A162" s="877" t="s">
        <v>265</v>
      </c>
      <c r="B162" s="878"/>
      <c r="C162" s="878"/>
      <c r="D162" s="697" t="s">
        <v>187</v>
      </c>
      <c r="E162" s="598">
        <f>'15'!F162</f>
        <v>17070.150000000001</v>
      </c>
      <c r="F162" s="866">
        <v>17557</v>
      </c>
      <c r="G162" s="549">
        <f t="shared" si="16"/>
        <v>486.84999999999854</v>
      </c>
      <c r="N162" s="800"/>
    </row>
    <row r="163" spans="1:14" ht="21.75" customHeight="1">
      <c r="A163" s="877" t="s">
        <v>266</v>
      </c>
      <c r="B163" s="878"/>
      <c r="C163" s="878"/>
      <c r="D163" s="697" t="s">
        <v>187</v>
      </c>
      <c r="E163" s="598">
        <f>'15'!F163</f>
        <v>5204.53</v>
      </c>
      <c r="F163" s="886">
        <v>5212</v>
      </c>
      <c r="G163" s="549">
        <f t="shared" si="16"/>
        <v>7.4700000000002547</v>
      </c>
      <c r="N163" s="800"/>
    </row>
    <row r="164" spans="1:14" ht="21.75" customHeight="1">
      <c r="A164" s="879" t="s">
        <v>98</v>
      </c>
      <c r="B164" s="880"/>
      <c r="C164" s="880"/>
      <c r="D164" s="697" t="s">
        <v>187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79" t="s">
        <v>188</v>
      </c>
      <c r="B165" s="880"/>
      <c r="C165" s="880"/>
      <c r="D165" s="697" t="s">
        <v>187</v>
      </c>
      <c r="E165" s="598">
        <f>'15'!F165</f>
        <v>1532.7</v>
      </c>
      <c r="F165" s="590">
        <f t="shared" ref="F165:F171" si="18">F63</f>
        <v>1544.63</v>
      </c>
      <c r="G165" s="549">
        <f t="shared" si="17"/>
        <v>11.930000000000064</v>
      </c>
      <c r="N165" s="800"/>
    </row>
    <row r="166" spans="1:14" ht="21.75" customHeight="1">
      <c r="A166" s="1492" t="s">
        <v>99</v>
      </c>
      <c r="B166" s="1492"/>
      <c r="C166" s="1492"/>
      <c r="D166" s="600" t="s">
        <v>187</v>
      </c>
      <c r="E166" s="598">
        <f>'15'!F166</f>
        <v>117536.58</v>
      </c>
      <c r="F166" s="590">
        <f t="shared" si="18"/>
        <v>117968.85</v>
      </c>
      <c r="G166" s="549">
        <f t="shared" si="17"/>
        <v>432.27000000000407</v>
      </c>
      <c r="N166" s="800"/>
    </row>
    <row r="167" spans="1:14" ht="21.75" customHeight="1">
      <c r="A167" s="1492" t="s">
        <v>100</v>
      </c>
      <c r="B167" s="1492"/>
      <c r="C167" s="1492"/>
      <c r="D167" s="600" t="s">
        <v>187</v>
      </c>
      <c r="E167" s="598">
        <f>'15'!F167</f>
        <v>127442.35</v>
      </c>
      <c r="F167" s="590">
        <f t="shared" si="18"/>
        <v>127843.92</v>
      </c>
      <c r="G167" s="549">
        <f t="shared" si="17"/>
        <v>401.56999999999243</v>
      </c>
      <c r="N167" s="800"/>
    </row>
    <row r="168" spans="1:14" ht="21.75" customHeight="1">
      <c r="A168" s="1492" t="s">
        <v>101</v>
      </c>
      <c r="B168" s="1492"/>
      <c r="C168" s="1492"/>
      <c r="D168" s="600" t="s">
        <v>187</v>
      </c>
      <c r="E168" s="598">
        <f>'15'!F168</f>
        <v>20047.63</v>
      </c>
      <c r="F168" s="590">
        <f t="shared" si="18"/>
        <v>20457.39</v>
      </c>
      <c r="G168" s="549">
        <f t="shared" si="17"/>
        <v>409.7599999999984</v>
      </c>
      <c r="N168" s="800"/>
    </row>
    <row r="169" spans="1:14" ht="22.5" customHeight="1">
      <c r="A169" s="1492" t="s">
        <v>102</v>
      </c>
      <c r="B169" s="1492"/>
      <c r="C169" s="1492"/>
      <c r="D169" s="600" t="s">
        <v>187</v>
      </c>
      <c r="E169" s="598">
        <f>'15'!F169</f>
        <v>199239.17</v>
      </c>
      <c r="F169" s="590">
        <f t="shared" si="18"/>
        <v>199917.25</v>
      </c>
      <c r="G169" s="549">
        <f t="shared" si="17"/>
        <v>678.07999999998719</v>
      </c>
      <c r="N169" s="800"/>
    </row>
    <row r="170" spans="1:14" ht="24" customHeight="1">
      <c r="A170" s="1492" t="s">
        <v>103</v>
      </c>
      <c r="B170" s="1492"/>
      <c r="C170" s="1492"/>
      <c r="D170" s="600" t="s">
        <v>187</v>
      </c>
      <c r="E170" s="598">
        <f>'15'!F170</f>
        <v>68438.38</v>
      </c>
      <c r="F170" s="590">
        <f t="shared" si="18"/>
        <v>68753.179999999993</v>
      </c>
      <c r="G170" s="549">
        <f t="shared" si="17"/>
        <v>314.79999999998836</v>
      </c>
      <c r="N170" s="800"/>
    </row>
    <row r="171" spans="1:14" ht="27.75">
      <c r="A171" s="1492" t="s">
        <v>104</v>
      </c>
      <c r="B171" s="1492"/>
      <c r="C171" s="1492"/>
      <c r="D171" s="600" t="s">
        <v>187</v>
      </c>
      <c r="E171" s="598">
        <f>'15'!F171</f>
        <v>60262.21</v>
      </c>
      <c r="F171" s="590">
        <f t="shared" si="18"/>
        <v>60564.56</v>
      </c>
      <c r="G171" s="549">
        <f t="shared" si="17"/>
        <v>302.34999999999854</v>
      </c>
      <c r="N171" s="800"/>
    </row>
    <row r="172" spans="1:14">
      <c r="A172" s="881"/>
      <c r="B172" s="882"/>
      <c r="C172" s="882"/>
      <c r="D172" s="883"/>
      <c r="E172" s="883"/>
      <c r="F172" s="884"/>
      <c r="G172" s="885">
        <f>SUM(G160:G171)</f>
        <v>3582.0099999999684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3.25" customHeight="1">
      <c r="N177" s="800"/>
    </row>
    <row r="178" spans="14:14" ht="23.25" customHeight="1">
      <c r="N178" s="800"/>
    </row>
    <row r="179" spans="14:14" ht="23.25" customHeight="1">
      <c r="N179" s="800"/>
    </row>
    <row r="180" spans="14:14" ht="23.25" customHeight="1">
      <c r="N180" s="800"/>
    </row>
    <row r="181" spans="14:14" ht="23.25" customHeight="1">
      <c r="N181" s="800"/>
    </row>
    <row r="182" spans="14:14" ht="23.25" customHeight="1">
      <c r="N182" s="800"/>
    </row>
    <row r="183" spans="14:14" ht="23.25" customHeight="1">
      <c r="N183" s="800"/>
    </row>
    <row r="184" spans="14:14" ht="23.25" customHeight="1">
      <c r="N184" s="800"/>
    </row>
    <row r="185" spans="14:14" ht="23.25" customHeight="1">
      <c r="N185" s="800"/>
    </row>
    <row r="186" spans="14:14" ht="23.25" customHeight="1">
      <c r="N186" s="800"/>
    </row>
    <row r="187" spans="14:14" ht="23.25" customHeight="1">
      <c r="N187" s="800"/>
    </row>
    <row r="188" spans="14:14" ht="23.25" customHeight="1">
      <c r="N188" s="800"/>
    </row>
    <row r="189" spans="14:14" ht="23.25" customHeight="1">
      <c r="N189" s="800"/>
    </row>
    <row r="190" spans="14:14" ht="23.25" customHeight="1">
      <c r="N190" s="800"/>
    </row>
    <row r="191" spans="14:14" ht="23.25" customHeight="1">
      <c r="N191" s="800"/>
    </row>
    <row r="192" spans="14:14" ht="23.25" customHeight="1">
      <c r="N192" s="800"/>
    </row>
    <row r="193" spans="14:14" ht="23.25" customHeight="1">
      <c r="N193" s="800"/>
    </row>
    <row r="194" spans="14:14" ht="23.25" customHeight="1">
      <c r="N194" s="800"/>
    </row>
    <row r="195" spans="14:14" ht="23.25" customHeight="1">
      <c r="N195" s="800"/>
    </row>
    <row r="196" spans="14:14" ht="23.25" customHeight="1">
      <c r="N196" s="800"/>
    </row>
    <row r="197" spans="14:14" ht="23.25" customHeight="1">
      <c r="N197" s="800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F164" sqref="F164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6" s="281" customFormat="1" ht="27">
      <c r="A2" s="652" t="s">
        <v>317</v>
      </c>
      <c r="B2" s="1117">
        <v>44244</v>
      </c>
      <c r="C2" s="1314" t="s">
        <v>69</v>
      </c>
      <c r="D2" s="688">
        <v>0.49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>
      <c r="A3" s="647"/>
      <c r="B3" s="691"/>
      <c r="C3" s="1314" t="s">
        <v>120</v>
      </c>
      <c r="D3" s="689">
        <v>28</v>
      </c>
      <c r="E3" s="1454" t="s">
        <v>121</v>
      </c>
      <c r="F3" s="1455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14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131</v>
      </c>
      <c r="B7" s="758"/>
      <c r="C7" s="758"/>
      <c r="D7" s="715" t="s">
        <v>132</v>
      </c>
      <c r="E7" s="710">
        <f>'16'!F7</f>
        <v>4198174</v>
      </c>
      <c r="F7" s="531">
        <v>4217745</v>
      </c>
      <c r="G7" s="759">
        <f>F7-E7</f>
        <v>19571</v>
      </c>
      <c r="H7" s="760">
        <f>G7+'16'!H7</f>
        <v>-227332</v>
      </c>
      <c r="I7" s="761">
        <f>'1'!I7</f>
        <v>12000</v>
      </c>
      <c r="J7" s="762">
        <f>H7/DAY(B2)</f>
        <v>-13372.470588235294</v>
      </c>
      <c r="K7" s="626"/>
      <c r="L7" s="408"/>
      <c r="N7" s="811"/>
      <c r="O7" s="807"/>
      <c r="P7" s="810"/>
    </row>
    <row r="8" spans="1:16" ht="27.75" thickBot="1">
      <c r="A8" s="763" t="s">
        <v>133</v>
      </c>
      <c r="B8" s="764"/>
      <c r="C8" s="765"/>
      <c r="D8" s="766" t="s">
        <v>25</v>
      </c>
      <c r="E8" s="710">
        <f>'16'!F8</f>
        <v>4224940</v>
      </c>
      <c r="F8" s="551">
        <v>4244632</v>
      </c>
      <c r="G8" s="770">
        <f>F8-E8</f>
        <v>19692</v>
      </c>
      <c r="H8" s="760">
        <f>G8+'16'!H8</f>
        <v>-228524</v>
      </c>
      <c r="I8" s="767">
        <f>'1'!I8</f>
        <v>12000</v>
      </c>
      <c r="J8" s="762">
        <f>H8/DAY(B2)</f>
        <v>-13442.588235294117</v>
      </c>
      <c r="K8" s="626"/>
      <c r="L8" s="464"/>
      <c r="M8" s="479"/>
      <c r="N8" s="800"/>
      <c r="O8" s="807"/>
      <c r="P8" s="413"/>
    </row>
    <row r="9" spans="1:16">
      <c r="A9" s="768" t="s">
        <v>134</v>
      </c>
      <c r="B9" s="769"/>
      <c r="C9" s="769"/>
      <c r="D9" s="715" t="s">
        <v>132</v>
      </c>
      <c r="E9" s="710">
        <f>'16'!F9</f>
        <v>116207</v>
      </c>
      <c r="F9" s="554">
        <v>132071</v>
      </c>
      <c r="G9" s="783">
        <f t="shared" ref="G9:G12" si="0">F9-E9</f>
        <v>15864</v>
      </c>
      <c r="H9" s="760">
        <f>G9+'16'!H9</f>
        <v>45161.990000000005</v>
      </c>
      <c r="I9" s="771">
        <f>I7-J7</f>
        <v>25372.470588235294</v>
      </c>
      <c r="J9" s="762">
        <f>H9/DAY(B2)</f>
        <v>2656.5876470588237</v>
      </c>
      <c r="K9" s="467"/>
      <c r="L9" s="408"/>
      <c r="N9" s="800"/>
      <c r="O9" s="807"/>
      <c r="P9" s="413"/>
    </row>
    <row r="10" spans="1:16">
      <c r="A10" s="757" t="s">
        <v>135</v>
      </c>
      <c r="B10" s="758"/>
      <c r="C10" s="758"/>
      <c r="D10" s="715" t="s">
        <v>132</v>
      </c>
      <c r="E10" s="710">
        <f>'16'!F10</f>
        <v>1346214.9</v>
      </c>
      <c r="F10" s="554">
        <v>1349339.6</v>
      </c>
      <c r="G10" s="770">
        <f t="shared" si="0"/>
        <v>3124.7000000001863</v>
      </c>
      <c r="H10" s="760">
        <f>G10+'16'!H10</f>
        <v>1323644.04</v>
      </c>
      <c r="I10" s="772"/>
      <c r="J10" s="762">
        <f>H10/DAY(B2)</f>
        <v>77861.414117647058</v>
      </c>
      <c r="K10" s="467"/>
      <c r="L10" s="408"/>
      <c r="N10" s="800"/>
      <c r="O10" s="807"/>
      <c r="P10" s="413"/>
    </row>
    <row r="11" spans="1:16">
      <c r="A11" s="757" t="s">
        <v>136</v>
      </c>
      <c r="B11" s="758"/>
      <c r="C11" s="758"/>
      <c r="D11" s="715" t="s">
        <v>132</v>
      </c>
      <c r="E11" s="710">
        <f>'16'!F11</f>
        <v>37000</v>
      </c>
      <c r="F11" s="531">
        <v>37000</v>
      </c>
      <c r="G11" s="770">
        <f t="shared" si="0"/>
        <v>0</v>
      </c>
      <c r="H11" s="760">
        <f>G11+'16'!H11</f>
        <v>-2000</v>
      </c>
      <c r="I11" s="772"/>
      <c r="J11" s="762">
        <f>H11/DAY(B2)</f>
        <v>-117.64705882352941</v>
      </c>
      <c r="K11" s="467"/>
      <c r="L11" s="408"/>
      <c r="N11" s="800"/>
      <c r="O11" s="807"/>
      <c r="P11" s="413"/>
    </row>
    <row r="12" spans="1:16">
      <c r="A12" s="757" t="s">
        <v>137</v>
      </c>
      <c r="B12" s="758"/>
      <c r="C12" s="758"/>
      <c r="D12" s="715" t="s">
        <v>132</v>
      </c>
      <c r="E12" s="710">
        <f>'16'!F12</f>
        <v>40010</v>
      </c>
      <c r="F12" s="554">
        <v>40010</v>
      </c>
      <c r="G12" s="770">
        <f t="shared" si="0"/>
        <v>0</v>
      </c>
      <c r="H12" s="760">
        <f>G12+'16'!H12</f>
        <v>-2000</v>
      </c>
      <c r="I12" s="772"/>
      <c r="J12" s="762">
        <f>H12/DAY(B2)</f>
        <v>-117.64705882352941</v>
      </c>
      <c r="K12" s="467"/>
      <c r="L12" s="408"/>
      <c r="N12" s="800"/>
      <c r="O12" s="807"/>
      <c r="P12" s="413"/>
    </row>
    <row r="13" spans="1:16">
      <c r="A13" s="773" t="s">
        <v>138</v>
      </c>
      <c r="B13" s="774"/>
      <c r="C13" s="774"/>
      <c r="D13" s="715"/>
      <c r="E13" s="710"/>
      <c r="F13" s="531"/>
      <c r="G13" s="775">
        <f>G9+G10+G11+G12</f>
        <v>18988.700000000186</v>
      </c>
      <c r="H13" s="760">
        <f>G13+'16'!H13</f>
        <v>1343812.03</v>
      </c>
      <c r="I13" s="776">
        <f>G7-G13</f>
        <v>582.29999999981374</v>
      </c>
      <c r="J13" s="762">
        <f>H13/DAY(B2)</f>
        <v>79047.766470588234</v>
      </c>
      <c r="K13" s="467"/>
      <c r="L13" s="408"/>
      <c r="N13" s="800"/>
      <c r="O13" s="807"/>
      <c r="P13" s="413"/>
    </row>
    <row r="14" spans="1:16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1307"/>
      <c r="K14" s="468"/>
      <c r="L14" s="408"/>
      <c r="N14" s="800"/>
      <c r="O14" s="807"/>
      <c r="P14" s="413"/>
    </row>
    <row r="15" spans="1:16">
      <c r="A15" s="875" t="s">
        <v>140</v>
      </c>
      <c r="B15" s="876"/>
      <c r="C15" s="876"/>
      <c r="D15" s="600" t="s">
        <v>141</v>
      </c>
      <c r="E15" s="561">
        <f>'16'!F15</f>
        <v>1608782.94</v>
      </c>
      <c r="F15" s="561">
        <v>1609713.45</v>
      </c>
      <c r="G15" s="745">
        <f>(F15-E15)</f>
        <v>930.51000000000931</v>
      </c>
      <c r="H15" s="562">
        <f>G15+'16'!H15</f>
        <v>-10165.160000000149</v>
      </c>
      <c r="I15" s="550">
        <f>'1'!I15</f>
        <v>800</v>
      </c>
      <c r="J15" s="630">
        <f>H15/DAY(B2)</f>
        <v>-597.95058823530292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1397.9505882353028</v>
      </c>
      <c r="J16" s="630"/>
      <c r="K16" s="467"/>
      <c r="L16" s="408"/>
      <c r="N16" s="800"/>
      <c r="O16" s="807"/>
      <c r="P16" s="413"/>
    </row>
    <row r="17" spans="1:16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86" t="s">
        <v>143</v>
      </c>
      <c r="B18" s="1487"/>
      <c r="C18" s="1488"/>
      <c r="D18" s="715" t="s">
        <v>144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2730</v>
      </c>
      <c r="I18" s="761">
        <f>'1'!I18</f>
        <v>65</v>
      </c>
      <c r="J18" s="762">
        <f>H18/DAY(B2)</f>
        <v>160.58823529411765</v>
      </c>
      <c r="K18" s="467"/>
      <c r="L18" s="408"/>
      <c r="N18" s="800"/>
      <c r="O18" s="807"/>
      <c r="P18" s="413"/>
    </row>
    <row r="19" spans="1:16" ht="27.75">
      <c r="A19" s="1486" t="s">
        <v>71</v>
      </c>
      <c r="B19" s="1487"/>
      <c r="C19" s="1488"/>
      <c r="D19" s="715" t="s">
        <v>144</v>
      </c>
      <c r="E19" s="712">
        <f>'16'!F19</f>
        <v>133855</v>
      </c>
      <c r="F19" s="554">
        <v>133906</v>
      </c>
      <c r="G19" s="770">
        <f>F19-E19</f>
        <v>51</v>
      </c>
      <c r="H19" s="760">
        <f>G19+'16'!H19</f>
        <v>-562</v>
      </c>
      <c r="I19" s="777"/>
      <c r="J19" s="762">
        <f>H19/DAY(B2)</f>
        <v>-33.058823529411768</v>
      </c>
      <c r="K19" s="467"/>
      <c r="L19" s="408"/>
      <c r="N19" s="800"/>
      <c r="O19" s="807"/>
      <c r="P19" s="413"/>
    </row>
    <row r="20" spans="1:16">
      <c r="A20" s="773" t="s">
        <v>145</v>
      </c>
      <c r="B20" s="774"/>
      <c r="C20" s="774"/>
      <c r="D20" s="715"/>
      <c r="E20" s="715"/>
      <c r="F20" s="791"/>
      <c r="G20" s="778">
        <f>G18+G19</f>
        <v>191</v>
      </c>
      <c r="H20" s="760">
        <f>G20+'16'!H20</f>
        <v>2168</v>
      </c>
      <c r="I20" s="779">
        <f>I18-J20</f>
        <v>-62.529411764705884</v>
      </c>
      <c r="J20" s="762">
        <f>H20/DAY(B2)</f>
        <v>127.52941176470588</v>
      </c>
      <c r="K20" s="467"/>
      <c r="L20" s="408"/>
      <c r="N20" s="800"/>
      <c r="O20" s="807"/>
      <c r="P20" s="413"/>
    </row>
    <row r="21" spans="1:16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312" t="s">
        <v>147</v>
      </c>
      <c r="B22" s="666"/>
      <c r="C22" s="666"/>
      <c r="D22" s="599" t="s">
        <v>148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312" t="s">
        <v>149</v>
      </c>
      <c r="B23" s="666"/>
      <c r="C23" s="666"/>
      <c r="D23" s="599" t="s">
        <v>148</v>
      </c>
      <c r="E23" s="712">
        <f>'16'!F23</f>
        <v>2000</v>
      </c>
      <c r="F23" s="554">
        <v>2000</v>
      </c>
      <c r="G23" s="557">
        <v>0</v>
      </c>
      <c r="H23" s="536">
        <f>G23+'16'!H23</f>
        <v>0</v>
      </c>
      <c r="I23" s="556"/>
      <c r="J23" s="629">
        <f>H23/DAY(B2)</f>
        <v>0</v>
      </c>
      <c r="K23" s="467"/>
      <c r="L23" s="408"/>
      <c r="N23" s="800"/>
      <c r="O23" s="807"/>
      <c r="P23" s="413"/>
    </row>
    <row r="24" spans="1:16">
      <c r="A24" s="667" t="s">
        <v>150</v>
      </c>
      <c r="B24" s="668"/>
      <c r="C24" s="668"/>
      <c r="D24" s="587" t="s">
        <v>148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19692</v>
      </c>
      <c r="F27" s="577">
        <v>9</v>
      </c>
      <c r="G27" s="578">
        <f>E27*F27</f>
        <v>177228</v>
      </c>
      <c r="H27" s="536">
        <f>G27+'16'!H27</f>
        <v>-2056716</v>
      </c>
      <c r="I27" s="579"/>
      <c r="J27" s="629">
        <f>H27/DAY(B2)</f>
        <v>-120983.29411764706</v>
      </c>
      <c r="K27" s="404"/>
      <c r="L27" s="484"/>
      <c r="N27" s="800"/>
      <c r="O27" s="807"/>
      <c r="P27" s="413"/>
    </row>
    <row r="28" spans="1:16" s="481" customFormat="1" ht="27.75">
      <c r="A28" s="669" t="s">
        <v>154</v>
      </c>
      <c r="B28" s="670"/>
      <c r="C28" s="671"/>
      <c r="D28" s="696" t="s">
        <v>155</v>
      </c>
      <c r="E28" s="780">
        <f>G15</f>
        <v>930.51000000000931</v>
      </c>
      <c r="F28" s="577">
        <v>43.5</v>
      </c>
      <c r="G28" s="578">
        <f>E28*F28</f>
        <v>40477.185000000405</v>
      </c>
      <c r="H28" s="536">
        <f>G28+'16'!H28</f>
        <v>-422878.921800007</v>
      </c>
      <c r="I28" s="581"/>
      <c r="J28" s="629">
        <f>H28/DAY(B2)</f>
        <v>-24875.230694118058</v>
      </c>
      <c r="K28" s="404"/>
      <c r="L28" s="484"/>
      <c r="N28" s="800"/>
      <c r="O28" s="807"/>
      <c r="P28" s="413"/>
    </row>
    <row r="29" spans="1:16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0</v>
      </c>
      <c r="I29" s="581"/>
      <c r="J29" s="629">
        <f>H29/DAY(B2)</f>
        <v>0</v>
      </c>
      <c r="K29" s="404"/>
      <c r="L29" s="484"/>
      <c r="N29" s="800"/>
      <c r="O29" s="807"/>
      <c r="P29" s="413"/>
    </row>
    <row r="30" spans="1:16" s="481" customFormat="1" ht="27.7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G30+'16'!H30</f>
        <v>-57620</v>
      </c>
      <c r="I30" s="581"/>
      <c r="J30" s="629">
        <f>H30/DAY(B2)</f>
        <v>-3389.4117647058824</v>
      </c>
      <c r="K30" s="404"/>
      <c r="L30" s="484"/>
      <c r="N30" s="800"/>
      <c r="O30" s="807"/>
      <c r="P30" s="413"/>
    </row>
    <row r="31" spans="1:16" s="481" customFormat="1" ht="27.75">
      <c r="A31" s="669" t="s">
        <v>160</v>
      </c>
      <c r="B31" s="670"/>
      <c r="C31" s="671"/>
      <c r="D31" s="696" t="s">
        <v>144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207840</v>
      </c>
      <c r="I31" s="581"/>
      <c r="J31" s="629"/>
      <c r="K31" s="404">
        <f>E31*80%</f>
        <v>112</v>
      </c>
      <c r="L31" s="484"/>
      <c r="N31" s="800"/>
      <c r="O31" s="807"/>
      <c r="P31" s="413"/>
    </row>
    <row r="32" spans="1:16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235739.18500000041</v>
      </c>
      <c r="H32" s="536">
        <f>G32+'16'!H32</f>
        <v>-2329374.9218000071</v>
      </c>
      <c r="I32" s="585"/>
      <c r="J32" s="629">
        <f>H32/DAY(B2)</f>
        <v>-137022.05422352982</v>
      </c>
      <c r="K32" s="404"/>
      <c r="L32" s="484"/>
      <c r="N32" s="800"/>
      <c r="O32" s="807"/>
      <c r="P32" s="413"/>
    </row>
    <row r="33" spans="1:16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800"/>
      <c r="O33" s="807"/>
      <c r="P33" s="413"/>
    </row>
    <row r="34" spans="1:16">
      <c r="A34" s="675" t="s">
        <v>163</v>
      </c>
      <c r="B34" s="1317"/>
      <c r="C34" s="1317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164</v>
      </c>
      <c r="B35" s="656"/>
      <c r="C35" s="656"/>
      <c r="D35" s="599" t="s">
        <v>132</v>
      </c>
      <c r="E35" s="586">
        <f>'16'!F35</f>
        <v>657324.15</v>
      </c>
      <c r="F35" s="586">
        <v>660035.79</v>
      </c>
      <c r="G35" s="549">
        <f t="shared" ref="G35:G46" si="1">F35-E35</f>
        <v>2711.640000000014</v>
      </c>
      <c r="H35" s="536">
        <f>G35+'16'!H35</f>
        <v>-33051.79999999993</v>
      </c>
      <c r="I35" s="531"/>
      <c r="J35" s="629">
        <f>H35/DAY(B2)</f>
        <v>-1944.2235294117606</v>
      </c>
      <c r="K35" s="467"/>
      <c r="L35" s="408"/>
      <c r="N35" s="800"/>
      <c r="O35" s="808"/>
      <c r="P35" s="413"/>
    </row>
    <row r="36" spans="1:16">
      <c r="A36" s="655" t="s">
        <v>165</v>
      </c>
      <c r="B36" s="656"/>
      <c r="C36" s="656"/>
      <c r="D36" s="599" t="s">
        <v>132</v>
      </c>
      <c r="E36" s="586">
        <f>'16'!F36</f>
        <v>287562.75</v>
      </c>
      <c r="F36" s="586">
        <v>288225.75</v>
      </c>
      <c r="G36" s="549">
        <f t="shared" si="1"/>
        <v>663</v>
      </c>
      <c r="H36" s="536">
        <f>G36+'16'!H36</f>
        <v>-8219.820000000007</v>
      </c>
      <c r="I36" s="531"/>
      <c r="J36" s="629">
        <f>H36/DAY(B2)</f>
        <v>-483.5188235294122</v>
      </c>
      <c r="K36" s="467"/>
      <c r="L36" s="408"/>
      <c r="N36" s="801"/>
      <c r="O36" s="808"/>
      <c r="P36" s="413"/>
    </row>
    <row r="37" spans="1:16">
      <c r="A37" s="655" t="s">
        <v>166</v>
      </c>
      <c r="B37" s="656"/>
      <c r="C37" s="656"/>
      <c r="D37" s="599" t="s">
        <v>132</v>
      </c>
      <c r="E37" s="586">
        <f>'16'!F37</f>
        <v>14281.36</v>
      </c>
      <c r="F37" s="586">
        <v>15757.98</v>
      </c>
      <c r="G37" s="549">
        <f t="shared" si="1"/>
        <v>1476.619999999999</v>
      </c>
      <c r="H37" s="536">
        <f>G37+'16'!H37</f>
        <v>18863.060000000001</v>
      </c>
      <c r="I37" s="531"/>
      <c r="J37" s="629">
        <f>H37/DAY(B2)</f>
        <v>1109.5917647058825</v>
      </c>
      <c r="K37" s="467"/>
      <c r="L37" s="408"/>
      <c r="N37" s="801"/>
      <c r="O37" s="808"/>
      <c r="P37" s="413"/>
    </row>
    <row r="38" spans="1:16">
      <c r="A38" s="655" t="s">
        <v>167</v>
      </c>
      <c r="B38" s="656"/>
      <c r="C38" s="656"/>
      <c r="D38" s="599" t="s">
        <v>132</v>
      </c>
      <c r="E38" s="586">
        <f>'16'!F38</f>
        <v>19207.47</v>
      </c>
      <c r="F38" s="545">
        <v>21208.86</v>
      </c>
      <c r="G38" s="549">
        <f t="shared" si="1"/>
        <v>2001.3899999999994</v>
      </c>
      <c r="H38" s="536">
        <f>G38+'16'!H38</f>
        <v>-22604.629999999997</v>
      </c>
      <c r="I38" s="531"/>
      <c r="J38" s="629">
        <f>H38/DAY(B2)</f>
        <v>-1329.6841176470587</v>
      </c>
      <c r="K38" s="467"/>
      <c r="L38" s="408"/>
      <c r="N38" s="800"/>
      <c r="O38" s="807"/>
      <c r="P38" s="413"/>
    </row>
    <row r="39" spans="1:16">
      <c r="A39" s="655" t="s">
        <v>168</v>
      </c>
      <c r="B39" s="656"/>
      <c r="C39" s="656"/>
      <c r="D39" s="599" t="s">
        <v>132</v>
      </c>
      <c r="E39" s="586">
        <f>'16'!F39</f>
        <v>40245.550000000003</v>
      </c>
      <c r="F39" s="586">
        <v>44433.18</v>
      </c>
      <c r="G39" s="549">
        <f>F39-E39</f>
        <v>4187.6299999999974</v>
      </c>
      <c r="H39" s="536">
        <f>G39+'16'!H39</f>
        <v>53826.069999999992</v>
      </c>
      <c r="I39" s="531"/>
      <c r="J39" s="629">
        <f>H39/DAY(B2)</f>
        <v>3166.2394117647054</v>
      </c>
      <c r="K39" s="467"/>
      <c r="L39" s="408"/>
      <c r="N39" s="800"/>
      <c r="O39" s="808"/>
      <c r="P39" s="413"/>
    </row>
    <row r="40" spans="1:16">
      <c r="A40" s="676" t="s">
        <v>169</v>
      </c>
      <c r="B40" s="677"/>
      <c r="C40" s="677"/>
      <c r="D40" s="599" t="s">
        <v>132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-0.06</v>
      </c>
      <c r="I40" s="531"/>
      <c r="J40" s="629">
        <f>H40/DAY(B2)</f>
        <v>-3.529411764705882E-3</v>
      </c>
      <c r="K40" s="468"/>
      <c r="L40" s="408"/>
      <c r="N40" s="800"/>
      <c r="O40" s="807"/>
      <c r="P40" s="413"/>
    </row>
    <row r="41" spans="1:16">
      <c r="A41" s="655" t="s">
        <v>170</v>
      </c>
      <c r="B41" s="656"/>
      <c r="C41" s="656"/>
      <c r="D41" s="599" t="s">
        <v>132</v>
      </c>
      <c r="E41" s="586">
        <f>'16'!F41</f>
        <v>59259.87</v>
      </c>
      <c r="F41" s="586">
        <v>61860.89</v>
      </c>
      <c r="G41" s="549">
        <f t="shared" si="1"/>
        <v>2601.0199999999968</v>
      </c>
      <c r="H41" s="536">
        <f>G41+'16'!H41</f>
        <v>-2021.4800000000032</v>
      </c>
      <c r="I41" s="531"/>
      <c r="J41" s="629">
        <f>H41/DAY(B2)</f>
        <v>-118.91058823529431</v>
      </c>
      <c r="K41" s="467"/>
      <c r="L41" s="408"/>
      <c r="N41" s="800"/>
      <c r="O41" s="809"/>
      <c r="P41" s="803"/>
    </row>
    <row r="42" spans="1:16">
      <c r="A42" s="655" t="s">
        <v>171</v>
      </c>
      <c r="B42" s="656"/>
      <c r="C42" s="656"/>
      <c r="D42" s="599" t="s">
        <v>132</v>
      </c>
      <c r="E42" s="586">
        <f>'16'!F42</f>
        <v>58926</v>
      </c>
      <c r="F42" s="586">
        <v>58926</v>
      </c>
      <c r="G42" s="549">
        <f>F42-E42</f>
        <v>0</v>
      </c>
      <c r="H42" s="536">
        <f>G42+'16'!H42</f>
        <v>-202.84999999999854</v>
      </c>
      <c r="I42" s="531"/>
      <c r="J42" s="629">
        <f>H42/DAY(B2)</f>
        <v>-11.932352941176385</v>
      </c>
      <c r="K42" s="467"/>
      <c r="L42" s="408"/>
      <c r="N42" s="800"/>
      <c r="O42" s="807"/>
      <c r="P42" s="413"/>
    </row>
    <row r="43" spans="1:16">
      <c r="A43" s="655" t="s">
        <v>172</v>
      </c>
      <c r="B43" s="656"/>
      <c r="C43" s="656"/>
      <c r="D43" s="599" t="s">
        <v>132</v>
      </c>
      <c r="E43" s="586">
        <f>'16'!F43</f>
        <v>797856.79</v>
      </c>
      <c r="F43" s="586">
        <v>800191.59</v>
      </c>
      <c r="G43" s="549">
        <f t="shared" si="1"/>
        <v>2334.7999999999302</v>
      </c>
      <c r="H43" s="536">
        <f>G43+'16'!H43</f>
        <v>-25706.239999999991</v>
      </c>
      <c r="I43" s="531"/>
      <c r="J43" s="629">
        <f>H43/DAY(B2)</f>
        <v>-1512.1317647058818</v>
      </c>
      <c r="K43" s="467"/>
      <c r="L43" s="408"/>
      <c r="N43" s="800"/>
      <c r="O43" s="808"/>
      <c r="P43" s="413"/>
    </row>
    <row r="44" spans="1:16">
      <c r="A44" s="655" t="s">
        <v>173</v>
      </c>
      <c r="B44" s="656"/>
      <c r="C44" s="656"/>
      <c r="D44" s="599" t="s">
        <v>132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174</v>
      </c>
      <c r="B45" s="656"/>
      <c r="C45" s="656"/>
      <c r="D45" s="599" t="s">
        <v>132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0</v>
      </c>
      <c r="I45" s="531"/>
      <c r="J45" s="629">
        <f>H45/DAY(B2)</f>
        <v>0</v>
      </c>
      <c r="K45" s="467"/>
      <c r="L45" s="408"/>
      <c r="N45" s="804"/>
      <c r="O45" s="807"/>
      <c r="P45" s="413"/>
    </row>
    <row r="46" spans="1:16">
      <c r="A46" s="655" t="s">
        <v>175</v>
      </c>
      <c r="B46" s="656"/>
      <c r="C46" s="656"/>
      <c r="D46" s="599" t="s">
        <v>132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0.49000000000000909</v>
      </c>
      <c r="I46" s="531"/>
      <c r="J46" s="629">
        <f>H46/DAY(B2)</f>
        <v>2.882352941176524E-2</v>
      </c>
      <c r="K46" s="467"/>
      <c r="L46" s="408"/>
      <c r="N46" s="800"/>
      <c r="O46" s="807"/>
      <c r="P46" s="413"/>
    </row>
    <row r="47" spans="1:16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15976.099999999937</v>
      </c>
      <c r="H47" s="536">
        <f>G47+'16'!H47</f>
        <v>-19117.259999999955</v>
      </c>
      <c r="I47" s="531"/>
      <c r="J47" s="629">
        <f>H47/DAY(B2)</f>
        <v>-1124.5447058823502</v>
      </c>
      <c r="K47" s="467"/>
      <c r="L47" s="408"/>
      <c r="N47" s="800"/>
      <c r="O47" s="807"/>
      <c r="P47" s="413"/>
    </row>
    <row r="48" spans="1:16">
      <c r="A48" s="675" t="s">
        <v>177</v>
      </c>
      <c r="B48" s="1317"/>
      <c r="C48" s="1317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164</v>
      </c>
      <c r="B49" s="678"/>
      <c r="C49" s="678"/>
      <c r="D49" s="599" t="s">
        <v>132</v>
      </c>
      <c r="E49" s="586">
        <f>'16'!F49</f>
        <v>260732.13</v>
      </c>
      <c r="F49" s="586">
        <v>260732.13</v>
      </c>
      <c r="G49" s="549">
        <f t="shared" ref="G49:G58" si="2">F49-E49</f>
        <v>0</v>
      </c>
      <c r="H49" s="536">
        <f>G49+'16'!H49</f>
        <v>0</v>
      </c>
      <c r="I49" s="531"/>
      <c r="J49" s="629">
        <f>H49/DAY(B2)</f>
        <v>0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178</v>
      </c>
      <c r="B50" s="678"/>
      <c r="C50" s="678"/>
      <c r="D50" s="599" t="s">
        <v>132</v>
      </c>
      <c r="E50" s="586">
        <f>'16'!F50</f>
        <v>387968.19</v>
      </c>
      <c r="F50" s="586">
        <v>389033.47</v>
      </c>
      <c r="G50" s="549">
        <f t="shared" si="2"/>
        <v>1065.2799999999697</v>
      </c>
      <c r="H50" s="536">
        <f>G50+'16'!H50</f>
        <v>-14623.560000000056</v>
      </c>
      <c r="I50" s="531"/>
      <c r="J50" s="629">
        <f>H50/DAY(B2)</f>
        <v>-860.20941176470922</v>
      </c>
      <c r="K50" s="467"/>
      <c r="L50" s="408"/>
      <c r="N50" s="800"/>
      <c r="O50" s="808"/>
      <c r="P50" s="413"/>
    </row>
    <row r="51" spans="1:16">
      <c r="A51" s="655" t="s">
        <v>166</v>
      </c>
      <c r="B51" s="678"/>
      <c r="C51" s="678"/>
      <c r="D51" s="599" t="s">
        <v>132</v>
      </c>
      <c r="E51" s="586">
        <f>'16'!F51</f>
        <v>120050.92</v>
      </c>
      <c r="F51" s="586">
        <v>120050.92</v>
      </c>
      <c r="G51" s="549">
        <f t="shared" si="2"/>
        <v>0</v>
      </c>
      <c r="H51" s="536">
        <f>G51+'16'!H51</f>
        <v>-1549</v>
      </c>
      <c r="I51" s="531"/>
      <c r="J51" s="629">
        <f>H51/DAY(B2)</f>
        <v>-91.117647058823536</v>
      </c>
      <c r="K51" s="467"/>
      <c r="L51" s="408"/>
      <c r="N51" s="800"/>
      <c r="O51" s="807"/>
      <c r="P51" s="413"/>
    </row>
    <row r="52" spans="1:16">
      <c r="A52" s="655" t="s">
        <v>179</v>
      </c>
      <c r="B52" s="678"/>
      <c r="C52" s="678"/>
      <c r="D52" s="599" t="s">
        <v>132</v>
      </c>
      <c r="E52" s="586">
        <f>'16'!F52</f>
        <v>507912.71</v>
      </c>
      <c r="F52" s="586">
        <v>507912.71</v>
      </c>
      <c r="G52" s="549">
        <f t="shared" si="2"/>
        <v>0</v>
      </c>
      <c r="H52" s="536">
        <f>G52+'16'!H52</f>
        <v>-2046</v>
      </c>
      <c r="I52" s="531"/>
      <c r="J52" s="629">
        <f>H52/DAY(B2)</f>
        <v>-120.35294117647059</v>
      </c>
      <c r="K52" s="467"/>
      <c r="L52" s="408"/>
      <c r="N52" s="800"/>
      <c r="O52" s="807"/>
      <c r="P52" s="413"/>
    </row>
    <row r="53" spans="1:16">
      <c r="A53" s="655" t="s">
        <v>168</v>
      </c>
      <c r="B53" s="678"/>
      <c r="C53" s="678"/>
      <c r="D53" s="599" t="s">
        <v>132</v>
      </c>
      <c r="E53" s="586">
        <f>'16'!F53</f>
        <v>331854.51</v>
      </c>
      <c r="F53" s="586">
        <v>331854.51</v>
      </c>
      <c r="G53" s="549">
        <f t="shared" si="2"/>
        <v>0</v>
      </c>
      <c r="H53" s="536">
        <f>G53+'16'!H53</f>
        <v>-4185</v>
      </c>
      <c r="I53" s="531"/>
      <c r="J53" s="629">
        <f>H53/DAY(B2)</f>
        <v>-246.1764705882353</v>
      </c>
      <c r="K53" s="467"/>
      <c r="L53" s="408"/>
      <c r="N53" s="800"/>
      <c r="O53" s="807"/>
      <c r="P53" s="413"/>
    </row>
    <row r="54" spans="1:16">
      <c r="A54" s="655" t="s">
        <v>180</v>
      </c>
      <c r="B54" s="678"/>
      <c r="C54" s="678"/>
      <c r="D54" s="599" t="s">
        <v>132</v>
      </c>
      <c r="E54" s="586">
        <f>'16'!F54</f>
        <v>7259.6</v>
      </c>
      <c r="F54" s="586">
        <v>7329.37</v>
      </c>
      <c r="G54" s="549">
        <f t="shared" si="2"/>
        <v>69.769999999999527</v>
      </c>
      <c r="H54" s="536">
        <f>G54+'16'!H54</f>
        <v>-766.26000000000022</v>
      </c>
      <c r="I54" s="531"/>
      <c r="J54" s="629">
        <f>H54/DAY(B2)</f>
        <v>-45.074117647058834</v>
      </c>
      <c r="K54" s="467"/>
      <c r="L54" s="408"/>
      <c r="N54" s="800"/>
      <c r="O54" s="807"/>
      <c r="P54" s="413"/>
    </row>
    <row r="55" spans="1:16">
      <c r="A55" s="655" t="s">
        <v>181</v>
      </c>
      <c r="B55" s="678"/>
      <c r="C55" s="678"/>
      <c r="D55" s="599" t="s">
        <v>132</v>
      </c>
      <c r="E55" s="586">
        <f>'16'!F55</f>
        <v>92296.67</v>
      </c>
      <c r="F55" s="734">
        <v>94218.42</v>
      </c>
      <c r="G55" s="733">
        <f t="shared" si="2"/>
        <v>1921.75</v>
      </c>
      <c r="H55" s="787">
        <f>G55+'16'!H55</f>
        <v>-28366.270000000004</v>
      </c>
      <c r="I55" s="788"/>
      <c r="J55" s="789">
        <f>H55/DAY(B2)</f>
        <v>-1668.604117647059</v>
      </c>
      <c r="K55" s="467"/>
      <c r="L55" s="408"/>
      <c r="N55" s="800"/>
      <c r="O55" s="807"/>
      <c r="P55" s="413"/>
    </row>
    <row r="56" spans="1:16">
      <c r="A56" s="655" t="s">
        <v>182</v>
      </c>
      <c r="B56" s="678"/>
      <c r="C56" s="678"/>
      <c r="D56" s="599" t="s">
        <v>183</v>
      </c>
      <c r="E56" s="586">
        <f>'16'!F56</f>
        <v>557796.11</v>
      </c>
      <c r="F56" s="734">
        <v>557802.51</v>
      </c>
      <c r="G56" s="549">
        <f>F56-E56</f>
        <v>6.4000000000232831</v>
      </c>
      <c r="H56" s="536">
        <f>G56+'16'!H56</f>
        <v>-28248.520000000019</v>
      </c>
      <c r="I56" s="531"/>
      <c r="J56" s="629">
        <f>H56/DAY(B2)</f>
        <v>-1661.6776470588247</v>
      </c>
      <c r="K56" s="466"/>
      <c r="L56" s="408"/>
      <c r="N56" s="800"/>
      <c r="O56" s="809"/>
      <c r="P56" s="413"/>
    </row>
    <row r="57" spans="1:16">
      <c r="A57" s="655" t="s">
        <v>172</v>
      </c>
      <c r="B57" s="678"/>
      <c r="C57" s="678"/>
      <c r="D57" s="599" t="s">
        <v>132</v>
      </c>
      <c r="E57" s="586">
        <f>'16'!F57</f>
        <v>7711.33</v>
      </c>
      <c r="F57" s="586">
        <v>7711.33</v>
      </c>
      <c r="G57" s="549">
        <f>F57-E57</f>
        <v>0</v>
      </c>
      <c r="H57" s="536">
        <f>G57+'16'!H57</f>
        <v>0</v>
      </c>
      <c r="I57" s="531"/>
      <c r="J57" s="629">
        <f>H57/DAY(B2)</f>
        <v>0</v>
      </c>
      <c r="K57" s="467"/>
      <c r="L57" s="408"/>
      <c r="N57" s="800"/>
      <c r="O57" s="807"/>
      <c r="P57" s="413"/>
    </row>
    <row r="58" spans="1:16">
      <c r="A58" s="655" t="s">
        <v>184</v>
      </c>
      <c r="B58" s="678"/>
      <c r="C58" s="678"/>
      <c r="D58" s="599" t="s">
        <v>132</v>
      </c>
      <c r="E58" s="586">
        <f>'16'!F58</f>
        <v>33442.199999999997</v>
      </c>
      <c r="F58" s="734">
        <v>33643.31</v>
      </c>
      <c r="G58" s="549">
        <f t="shared" si="2"/>
        <v>201.11000000000058</v>
      </c>
      <c r="H58" s="536">
        <f>G58+'16'!H58</f>
        <v>-2421.3899999999994</v>
      </c>
      <c r="I58" s="531"/>
      <c r="J58" s="629">
        <f>H58/DAY(B2)</f>
        <v>-142.43470588235292</v>
      </c>
      <c r="K58" s="467"/>
      <c r="L58" s="408"/>
      <c r="N58" s="800"/>
      <c r="O58" s="807"/>
      <c r="P58" s="413"/>
    </row>
    <row r="59" spans="1:16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3264.3099999999931</v>
      </c>
      <c r="H59" s="536">
        <f>G59+'16'!H59</f>
        <v>-82206.000000000087</v>
      </c>
      <c r="I59" s="531">
        <f>G7-G60</f>
        <v>330.59000000006927</v>
      </c>
      <c r="J59" s="629">
        <f>H59/DAY(B2)</f>
        <v>-4835.6470588235343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185</v>
      </c>
      <c r="E60" s="587"/>
      <c r="F60" s="587"/>
      <c r="G60" s="557">
        <f>G47+G59</f>
        <v>19240.409999999931</v>
      </c>
      <c r="H60" s="536">
        <f>G60+'16'!H60</f>
        <v>-87154.260000000097</v>
      </c>
      <c r="I60" s="531">
        <f>G13-G60</f>
        <v>-251.70999999974447</v>
      </c>
      <c r="J60" s="629">
        <f>H60/DAY(B2)</f>
        <v>-5126.7211764705935</v>
      </c>
      <c r="K60" s="467"/>
      <c r="L60" s="408"/>
      <c r="N60" s="800"/>
      <c r="O60" s="807"/>
      <c r="P60" s="413"/>
    </row>
    <row r="61" spans="1:16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98</v>
      </c>
      <c r="B62" s="681"/>
      <c r="C62" s="681"/>
      <c r="D62" s="587" t="s">
        <v>187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-7.0000000014260877E-3</v>
      </c>
      <c r="I62" s="591"/>
      <c r="J62" s="629">
        <f>H62/DAY(B2)</f>
        <v>-4.1176470596624045E-4</v>
      </c>
      <c r="K62" s="467"/>
      <c r="L62" s="408"/>
      <c r="N62" s="800"/>
      <c r="O62" s="807"/>
      <c r="P62" s="413"/>
    </row>
    <row r="63" spans="1:16">
      <c r="A63" s="680" t="s">
        <v>188</v>
      </c>
      <c r="B63" s="681"/>
      <c r="C63" s="681"/>
      <c r="D63" s="587" t="s">
        <v>187</v>
      </c>
      <c r="E63" s="590">
        <f>'16'!F63</f>
        <v>1544.63</v>
      </c>
      <c r="F63" s="590">
        <v>1558.35</v>
      </c>
      <c r="G63" s="549">
        <f t="shared" si="3"/>
        <v>13.7199999999998</v>
      </c>
      <c r="H63" s="536">
        <f>G63+'16'!H63</f>
        <v>-149.01</v>
      </c>
      <c r="I63" s="591"/>
      <c r="J63" s="629">
        <f>H63/DAY(B2)</f>
        <v>-8.7652941176470591</v>
      </c>
      <c r="K63" s="467"/>
      <c r="L63" s="408"/>
      <c r="N63" s="800"/>
      <c r="O63" s="807"/>
      <c r="P63" s="413"/>
    </row>
    <row r="64" spans="1:16" ht="27.75">
      <c r="A64" s="1430" t="s">
        <v>99</v>
      </c>
      <c r="B64" s="1431"/>
      <c r="C64" s="1432"/>
      <c r="D64" s="599" t="s">
        <v>187</v>
      </c>
      <c r="E64" s="1319">
        <f>'16'!F64</f>
        <v>117968.85</v>
      </c>
      <c r="F64" s="703">
        <v>118398.78</v>
      </c>
      <c r="G64" s="856">
        <f t="shared" si="3"/>
        <v>429.92999999999302</v>
      </c>
      <c r="H64" s="536">
        <f>G64+'16'!H64</f>
        <v>-5228.5200000000041</v>
      </c>
      <c r="I64" s="556"/>
      <c r="J64" s="629">
        <f>H64/DAY(B2)</f>
        <v>-307.56000000000023</v>
      </c>
      <c r="K64" s="467"/>
      <c r="L64" s="408"/>
      <c r="N64" s="800"/>
      <c r="O64" s="807"/>
      <c r="P64" s="413"/>
    </row>
    <row r="65" spans="1:16" ht="27.75">
      <c r="A65" s="1430" t="s">
        <v>100</v>
      </c>
      <c r="B65" s="1431"/>
      <c r="C65" s="1432"/>
      <c r="D65" s="599" t="s">
        <v>187</v>
      </c>
      <c r="E65" s="590">
        <f>'16'!F65</f>
        <v>127843.92</v>
      </c>
      <c r="F65" s="732">
        <v>128247.81</v>
      </c>
      <c r="G65" s="549">
        <f t="shared" si="3"/>
        <v>403.88999999999942</v>
      </c>
      <c r="H65" s="536">
        <f>G65+'16'!H65</f>
        <v>-4349.4899999999907</v>
      </c>
      <c r="I65" s="565"/>
      <c r="J65" s="629">
        <f>H65/DAY(B2)</f>
        <v>-255.85235294117592</v>
      </c>
      <c r="K65" s="467"/>
      <c r="L65" s="408"/>
      <c r="N65" s="800"/>
      <c r="O65" s="808"/>
      <c r="P65" s="413"/>
    </row>
    <row r="66" spans="1:16" ht="27.75">
      <c r="A66" s="1430" t="s">
        <v>101</v>
      </c>
      <c r="B66" s="1431"/>
      <c r="C66" s="1432"/>
      <c r="D66" s="599" t="s">
        <v>187</v>
      </c>
      <c r="E66" s="590">
        <f>'16'!F66</f>
        <v>20457.39</v>
      </c>
      <c r="F66" s="554">
        <v>20852.34</v>
      </c>
      <c r="G66" s="549">
        <f t="shared" si="3"/>
        <v>394.95000000000073</v>
      </c>
      <c r="H66" s="536">
        <f>G66+'16'!H66</f>
        <v>-4307.41</v>
      </c>
      <c r="I66" s="556"/>
      <c r="J66" s="629">
        <f>H66/DAY(B2)</f>
        <v>-253.37705882352941</v>
      </c>
      <c r="K66" s="467"/>
      <c r="L66" s="408"/>
      <c r="N66" s="800"/>
      <c r="O66" s="807"/>
      <c r="P66" s="413"/>
    </row>
    <row r="67" spans="1:16" ht="27.75">
      <c r="A67" s="1430" t="s">
        <v>102</v>
      </c>
      <c r="B67" s="1431"/>
      <c r="C67" s="1432"/>
      <c r="D67" s="599" t="s">
        <v>187</v>
      </c>
      <c r="E67" s="590">
        <f>'16'!F67</f>
        <v>199917.25</v>
      </c>
      <c r="F67" s="554">
        <v>200595.89</v>
      </c>
      <c r="G67" s="549">
        <f t="shared" si="3"/>
        <v>678.64000000001397</v>
      </c>
      <c r="H67" s="536">
        <f>G67+'16'!H67</f>
        <v>-7245.9399999999732</v>
      </c>
      <c r="I67" s="565"/>
      <c r="J67" s="629">
        <f>H67/DAY(B2)</f>
        <v>-426.23176470588078</v>
      </c>
      <c r="K67" s="468"/>
      <c r="L67" s="408"/>
      <c r="N67" s="800"/>
      <c r="O67" s="807"/>
      <c r="P67" s="413"/>
    </row>
    <row r="68" spans="1:16" ht="27.75">
      <c r="A68" s="1430" t="s">
        <v>103</v>
      </c>
      <c r="B68" s="1431"/>
      <c r="C68" s="1432"/>
      <c r="D68" s="599" t="s">
        <v>187</v>
      </c>
      <c r="E68" s="590">
        <f>'16'!F68</f>
        <v>68753.179999999993</v>
      </c>
      <c r="F68" s="554">
        <v>69092.17</v>
      </c>
      <c r="G68" s="549">
        <f t="shared" si="3"/>
        <v>338.99000000000524</v>
      </c>
      <c r="H68" s="536">
        <f>G68+'16'!H68</f>
        <v>-3586.3500000000058</v>
      </c>
      <c r="I68" s="592"/>
      <c r="J68" s="629">
        <f>H68/DAY(B2)</f>
        <v>-210.9617647058827</v>
      </c>
      <c r="K68" s="469"/>
      <c r="L68" s="408"/>
      <c r="N68" s="800"/>
      <c r="O68" s="807"/>
      <c r="P68" s="413"/>
    </row>
    <row r="69" spans="1:16" ht="27.75">
      <c r="A69" s="1430" t="s">
        <v>104</v>
      </c>
      <c r="B69" s="1431"/>
      <c r="C69" s="1432"/>
      <c r="D69" s="599" t="s">
        <v>187</v>
      </c>
      <c r="E69" s="590">
        <f>'16'!F69</f>
        <v>60564.56</v>
      </c>
      <c r="F69" s="554">
        <v>60872.25</v>
      </c>
      <c r="G69" s="549">
        <f t="shared" si="3"/>
        <v>307.69000000000233</v>
      </c>
      <c r="H69" s="536">
        <f>G69+'16'!H69</f>
        <v>-3579.8399999999965</v>
      </c>
      <c r="I69" s="592"/>
      <c r="J69" s="629">
        <f>H69/DAY(B2)</f>
        <v>-210.57882352941155</v>
      </c>
      <c r="K69" s="470"/>
      <c r="L69" s="408"/>
      <c r="N69" s="800"/>
      <c r="O69" s="807"/>
      <c r="P69" s="413"/>
    </row>
    <row r="70" spans="1:16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800"/>
      <c r="O71" s="807"/>
      <c r="P71" s="413"/>
    </row>
    <row r="72" spans="1:16" ht="27.75">
      <c r="A72" s="1430" t="s">
        <v>191</v>
      </c>
      <c r="B72" s="1431"/>
      <c r="C72" s="1432"/>
      <c r="D72" s="599" t="s">
        <v>187</v>
      </c>
      <c r="E72" s="595">
        <f>'16'!F72</f>
        <v>849713</v>
      </c>
      <c r="F72" s="735">
        <v>849784</v>
      </c>
      <c r="G72" s="549">
        <f t="shared" ref="G72:G84" si="4">F72-E72</f>
        <v>71</v>
      </c>
      <c r="H72" s="536">
        <f>G72+'16'!H72</f>
        <v>1391</v>
      </c>
      <c r="I72" s="556"/>
      <c r="J72" s="629">
        <f>H72/DAY(B2)</f>
        <v>81.82352941176471</v>
      </c>
      <c r="K72" s="470"/>
      <c r="L72" s="408"/>
      <c r="N72" s="800"/>
      <c r="O72" s="807"/>
      <c r="P72" s="413"/>
    </row>
    <row r="73" spans="1:16" ht="27.75">
      <c r="A73" s="1430" t="s">
        <v>192</v>
      </c>
      <c r="B73" s="1431"/>
      <c r="C73" s="1432"/>
      <c r="D73" s="599" t="s">
        <v>187</v>
      </c>
      <c r="E73" s="595">
        <f>'16'!F73</f>
        <v>885740</v>
      </c>
      <c r="F73" s="736">
        <v>885740</v>
      </c>
      <c r="G73" s="733">
        <f t="shared" si="4"/>
        <v>0</v>
      </c>
      <c r="H73" s="536">
        <f>G73+'16'!H73</f>
        <v>-1168</v>
      </c>
      <c r="I73" s="556"/>
      <c r="J73" s="629">
        <f>H73/DAY(B2)</f>
        <v>-68.705882352941174</v>
      </c>
      <c r="K73" s="469"/>
      <c r="L73" s="408"/>
      <c r="N73" s="800"/>
      <c r="O73" s="807"/>
      <c r="P73" s="413"/>
    </row>
    <row r="74" spans="1:16" ht="27.75">
      <c r="A74" s="1430" t="s">
        <v>193</v>
      </c>
      <c r="B74" s="1431"/>
      <c r="C74" s="1432"/>
      <c r="D74" s="599" t="s">
        <v>187</v>
      </c>
      <c r="E74" s="595">
        <f>'16'!F74</f>
        <v>249.34</v>
      </c>
      <c r="F74" s="736">
        <v>301.76</v>
      </c>
      <c r="G74" s="549">
        <f t="shared" si="4"/>
        <v>52.419999999999987</v>
      </c>
      <c r="H74" s="536">
        <f>G74+'16'!H74</f>
        <v>-284.41000000000008</v>
      </c>
      <c r="I74" s="556"/>
      <c r="J74" s="629">
        <f>H74/DAY(B2)</f>
        <v>-16.730000000000004</v>
      </c>
      <c r="K74" s="470"/>
      <c r="L74" s="408"/>
      <c r="N74" s="800"/>
      <c r="O74" s="807"/>
      <c r="P74" s="413"/>
    </row>
    <row r="75" spans="1:16" ht="27.75">
      <c r="A75" s="1479" t="s">
        <v>194</v>
      </c>
      <c r="B75" s="1480"/>
      <c r="C75" s="1481"/>
      <c r="D75" s="599" t="s">
        <v>187</v>
      </c>
      <c r="E75" s="595">
        <f>'16'!F75</f>
        <v>1419.33</v>
      </c>
      <c r="F75" s="736">
        <v>1609.55</v>
      </c>
      <c r="G75" s="549">
        <f t="shared" si="4"/>
        <v>190.22000000000003</v>
      </c>
      <c r="H75" s="536">
        <f>G75+'16'!H75</f>
        <v>-1909.6699999999994</v>
      </c>
      <c r="I75" s="556"/>
      <c r="J75" s="629">
        <f>H75/DAY(B2)</f>
        <v>-112.33352941176467</v>
      </c>
      <c r="K75" s="469"/>
      <c r="L75" s="408"/>
      <c r="N75" s="800"/>
      <c r="O75" s="807"/>
      <c r="P75" s="413"/>
    </row>
    <row r="76" spans="1:16" ht="27.75">
      <c r="A76" s="1479" t="s">
        <v>195</v>
      </c>
      <c r="B76" s="1480"/>
      <c r="C76" s="1481"/>
      <c r="D76" s="599" t="s">
        <v>187</v>
      </c>
      <c r="E76" s="595">
        <f>'16'!F76</f>
        <v>581</v>
      </c>
      <c r="F76" s="736">
        <v>658.5</v>
      </c>
      <c r="G76" s="549">
        <f t="shared" si="4"/>
        <v>77.5</v>
      </c>
      <c r="H76" s="536">
        <f>G76+'16'!H76</f>
        <v>-2399.9199999999996</v>
      </c>
      <c r="I76" s="581"/>
      <c r="J76" s="629">
        <f>H76/DAY(B2)</f>
        <v>-141.17176470588234</v>
      </c>
      <c r="K76" s="469"/>
      <c r="L76" s="408"/>
      <c r="N76" s="800"/>
      <c r="O76" s="807"/>
      <c r="P76" s="413"/>
    </row>
    <row r="77" spans="1:16" ht="27.75">
      <c r="A77" s="1430" t="s">
        <v>196</v>
      </c>
      <c r="B77" s="1431"/>
      <c r="C77" s="1432"/>
      <c r="D77" s="599" t="s">
        <v>187</v>
      </c>
      <c r="E77" s="595">
        <f>'16'!F77</f>
        <v>697999</v>
      </c>
      <c r="F77" s="736">
        <v>698053</v>
      </c>
      <c r="G77" s="733">
        <f t="shared" si="4"/>
        <v>54</v>
      </c>
      <c r="H77" s="536">
        <f>G77+'16'!H77</f>
        <v>-535</v>
      </c>
      <c r="I77" s="581"/>
      <c r="J77" s="629">
        <f>H77/DAY(B2)</f>
        <v>-31.470588235294116</v>
      </c>
      <c r="K77" s="469"/>
      <c r="L77" s="408"/>
      <c r="N77" s="800"/>
      <c r="O77" s="807"/>
      <c r="P77" s="413"/>
    </row>
    <row r="78" spans="1:16" ht="27.75">
      <c r="A78" s="1315" t="s">
        <v>197</v>
      </c>
      <c r="B78" s="1308"/>
      <c r="C78" s="1308"/>
      <c r="D78" s="599" t="s">
        <v>187</v>
      </c>
      <c r="E78" s="595">
        <f>'16'!F78</f>
        <v>648563</v>
      </c>
      <c r="F78" s="737">
        <v>648925</v>
      </c>
      <c r="G78" s="549">
        <f t="shared" si="4"/>
        <v>362</v>
      </c>
      <c r="H78" s="536">
        <f>G78+'16'!H78</f>
        <v>-3938</v>
      </c>
      <c r="I78" s="581"/>
      <c r="J78" s="629">
        <f>H78/DAY(B2)</f>
        <v>-231.64705882352942</v>
      </c>
      <c r="K78" s="469"/>
      <c r="L78" s="408"/>
      <c r="N78" s="800"/>
      <c r="O78" s="807"/>
      <c r="P78" s="413"/>
    </row>
    <row r="79" spans="1:16" ht="27.75">
      <c r="A79" s="1479" t="s">
        <v>92</v>
      </c>
      <c r="B79" s="1480"/>
      <c r="C79" s="1481"/>
      <c r="D79" s="600" t="s">
        <v>187</v>
      </c>
      <c r="E79" s="595">
        <f>'16'!F79</f>
        <v>812813</v>
      </c>
      <c r="F79" s="737">
        <v>813005</v>
      </c>
      <c r="G79" s="549">
        <f t="shared" si="4"/>
        <v>192</v>
      </c>
      <c r="H79" s="536">
        <f>G79+'16'!H79</f>
        <v>-4731</v>
      </c>
      <c r="I79" s="581"/>
      <c r="J79" s="629">
        <f>H79/DAY(B2)</f>
        <v>-278.29411764705884</v>
      </c>
      <c r="K79" s="469"/>
      <c r="L79" s="408"/>
      <c r="N79" s="800"/>
      <c r="O79" s="807"/>
      <c r="P79" s="413"/>
    </row>
    <row r="80" spans="1:16" ht="27.75">
      <c r="A80" s="1479" t="s">
        <v>198</v>
      </c>
      <c r="B80" s="1480"/>
      <c r="C80" s="1481"/>
      <c r="D80" s="600" t="s">
        <v>187</v>
      </c>
      <c r="E80" s="595">
        <f>'16'!F80</f>
        <v>490280</v>
      </c>
      <c r="F80" s="736">
        <v>490621.96</v>
      </c>
      <c r="G80" s="549">
        <f t="shared" si="4"/>
        <v>341.96000000002095</v>
      </c>
      <c r="H80" s="536">
        <f>G80+'16'!H80</f>
        <v>-1377.7199999999721</v>
      </c>
      <c r="I80" s="581"/>
      <c r="J80" s="629">
        <f>H80/DAY(B2)</f>
        <v>-81.042352941174826</v>
      </c>
      <c r="K80" s="469"/>
      <c r="L80" s="408"/>
      <c r="N80" s="800"/>
      <c r="O80" s="807"/>
      <c r="P80" s="413"/>
    </row>
    <row r="81" spans="1:16" ht="27.75">
      <c r="A81" s="1479" t="s">
        <v>199</v>
      </c>
      <c r="B81" s="1480"/>
      <c r="C81" s="1481"/>
      <c r="D81" s="600" t="s">
        <v>187</v>
      </c>
      <c r="E81" s="595">
        <f>'16'!F81</f>
        <v>624504</v>
      </c>
      <c r="F81" s="736">
        <v>624595.16</v>
      </c>
      <c r="G81" s="549">
        <f t="shared" si="4"/>
        <v>91.160000000032596</v>
      </c>
      <c r="H81" s="536">
        <f>G81+'16'!H81</f>
        <v>-1348.6799999999348</v>
      </c>
      <c r="I81" s="581"/>
      <c r="J81" s="629">
        <f>H81/DAY(B2)</f>
        <v>-79.334117647054995</v>
      </c>
      <c r="K81" s="469"/>
      <c r="L81" s="408"/>
      <c r="N81" s="800"/>
      <c r="O81" s="807"/>
      <c r="P81" s="413"/>
    </row>
    <row r="82" spans="1:16" s="858" customFormat="1" ht="27.75">
      <c r="A82" s="1496" t="s">
        <v>93</v>
      </c>
      <c r="B82" s="1497"/>
      <c r="C82" s="1498"/>
      <c r="D82" s="703" t="s">
        <v>132</v>
      </c>
      <c r="E82" s="865">
        <f>'16'!F82</f>
        <v>105915.44</v>
      </c>
      <c r="F82" s="703">
        <v>105944.32000000001</v>
      </c>
      <c r="G82" s="856">
        <f t="shared" si="4"/>
        <v>28.880000000004657</v>
      </c>
      <c r="H82" s="555">
        <f>G82+'16'!H82</f>
        <v>-258.15999999998894</v>
      </c>
      <c r="I82" s="555"/>
      <c r="J82" s="857">
        <f>H82/DAY(B2)</f>
        <v>-15.185882352940526</v>
      </c>
      <c r="K82" s="1305"/>
      <c r="L82" s="1306"/>
      <c r="N82" s="804"/>
      <c r="O82" s="808"/>
      <c r="P82" s="803"/>
    </row>
    <row r="83" spans="1:16" ht="27.75">
      <c r="A83" s="1479" t="s">
        <v>200</v>
      </c>
      <c r="B83" s="1480"/>
      <c r="C83" s="1481"/>
      <c r="D83" s="697" t="s">
        <v>132</v>
      </c>
      <c r="E83" s="595">
        <f>'16'!F83</f>
        <v>990737</v>
      </c>
      <c r="F83" s="587">
        <v>991187</v>
      </c>
      <c r="G83" s="549">
        <f t="shared" si="4"/>
        <v>450</v>
      </c>
      <c r="H83" s="536">
        <f>G83+'16'!H83</f>
        <v>994590</v>
      </c>
      <c r="I83" s="557"/>
      <c r="J83" s="629">
        <f>H83/DAY(B2)</f>
        <v>58505.294117647056</v>
      </c>
      <c r="K83" s="468"/>
      <c r="L83" s="408"/>
      <c r="N83" s="800"/>
      <c r="O83" s="807"/>
      <c r="P83" s="413"/>
    </row>
    <row r="84" spans="1:16">
      <c r="A84" s="1316" t="s">
        <v>201</v>
      </c>
      <c r="B84" s="648"/>
      <c r="C84" s="648"/>
      <c r="D84" s="554" t="s">
        <v>132</v>
      </c>
      <c r="E84" s="595">
        <f>'16'!F84</f>
        <v>423923</v>
      </c>
      <c r="F84" s="704">
        <v>424405</v>
      </c>
      <c r="G84" s="549">
        <f t="shared" si="4"/>
        <v>482</v>
      </c>
      <c r="H84" s="536">
        <f>G84+'16'!H84</f>
        <v>-6393</v>
      </c>
      <c r="I84" s="557"/>
      <c r="J84" s="629">
        <f>H84/DAY(B2)</f>
        <v>-376.05882352941177</v>
      </c>
      <c r="K84" s="411"/>
      <c r="L84" s="408"/>
      <c r="N84" s="800"/>
      <c r="O84" s="807"/>
      <c r="P84" s="413"/>
    </row>
    <row r="85" spans="1:16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2393.1400000000581</v>
      </c>
      <c r="H85" s="536">
        <f>G85+'16'!H85</f>
        <v>970046.17999999993</v>
      </c>
      <c r="I85" s="557"/>
      <c r="J85" s="629">
        <f>H85/DAY(B2)</f>
        <v>57061.539999999994</v>
      </c>
      <c r="K85" s="411"/>
      <c r="L85" s="409"/>
      <c r="N85" s="800"/>
      <c r="O85" s="807"/>
      <c r="P85" s="413"/>
    </row>
    <row r="86" spans="1:16" s="817" customFormat="1">
      <c r="A86" s="812" t="s">
        <v>94</v>
      </c>
      <c r="B86" s="813"/>
      <c r="C86" s="813"/>
      <c r="D86" s="814" t="s">
        <v>183</v>
      </c>
      <c r="E86" s="704">
        <f>'16'!F86</f>
        <v>449025.04</v>
      </c>
      <c r="F86" s="728">
        <v>449084</v>
      </c>
      <c r="G86" s="787">
        <f t="shared" ref="G86:G90" si="5">F86-E86</f>
        <v>58.960000000020955</v>
      </c>
      <c r="H86" s="787">
        <f t="shared" ref="H86:H88" si="6">G86</f>
        <v>58.960000000020955</v>
      </c>
      <c r="I86" s="733"/>
      <c r="J86" s="789">
        <f>H86/DAY(B2)</f>
        <v>3.4682352941188799</v>
      </c>
      <c r="K86" s="815"/>
      <c r="L86" s="816"/>
      <c r="O86" s="795"/>
    </row>
    <row r="87" spans="1:16" s="817" customFormat="1">
      <c r="A87" s="812" t="s">
        <v>95</v>
      </c>
      <c r="B87" s="813"/>
      <c r="C87" s="813"/>
      <c r="D87" s="814" t="s">
        <v>183</v>
      </c>
      <c r="E87" s="704">
        <f>'16'!F87</f>
        <v>78878</v>
      </c>
      <c r="F87" s="728">
        <v>78908.7</v>
      </c>
      <c r="G87" s="787">
        <f t="shared" si="5"/>
        <v>30.69999999999709</v>
      </c>
      <c r="H87" s="787">
        <f t="shared" si="6"/>
        <v>30.69999999999709</v>
      </c>
      <c r="I87" s="733"/>
      <c r="J87" s="789">
        <f>H87/DAY(B2)</f>
        <v>1.8058823529410053</v>
      </c>
      <c r="K87" s="815"/>
      <c r="L87" s="816"/>
      <c r="O87" s="795"/>
    </row>
    <row r="88" spans="1:16" s="817" customFormat="1">
      <c r="A88" s="812" t="s">
        <v>96</v>
      </c>
      <c r="B88" s="813"/>
      <c r="C88" s="813"/>
      <c r="D88" s="814" t="s">
        <v>183</v>
      </c>
      <c r="E88" s="704">
        <f>'16'!F88</f>
        <v>147554.91</v>
      </c>
      <c r="F88" s="728">
        <v>147637.9</v>
      </c>
      <c r="G88" s="787">
        <f t="shared" si="5"/>
        <v>82.989999999990687</v>
      </c>
      <c r="H88" s="787">
        <f t="shared" si="6"/>
        <v>82.989999999990687</v>
      </c>
      <c r="I88" s="733"/>
      <c r="J88" s="789">
        <f>H88/DAY(B2)</f>
        <v>4.881764705881805</v>
      </c>
      <c r="K88" s="815"/>
      <c r="L88" s="816"/>
      <c r="O88" s="795"/>
    </row>
    <row r="89" spans="1:16" s="817" customFormat="1">
      <c r="A89" s="812" t="s">
        <v>204</v>
      </c>
      <c r="B89" s="813"/>
      <c r="C89" s="813"/>
      <c r="D89" s="814" t="s">
        <v>183</v>
      </c>
      <c r="E89" s="704">
        <f>'16'!F89</f>
        <v>60854.400000000001</v>
      </c>
      <c r="F89" s="728">
        <v>60932.5</v>
      </c>
      <c r="G89" s="787">
        <f t="shared" si="5"/>
        <v>78.099999999998545</v>
      </c>
      <c r="H89" s="787">
        <f>G89</f>
        <v>78.099999999998545</v>
      </c>
      <c r="I89" s="733"/>
      <c r="J89" s="789">
        <f>H89/DAY(B2)</f>
        <v>4.5941176470587379</v>
      </c>
      <c r="K89" s="815"/>
      <c r="L89" s="816"/>
      <c r="N89" s="860"/>
      <c r="O89" s="413"/>
    </row>
    <row r="90" spans="1:16" s="817" customFormat="1">
      <c r="A90" s="812" t="s">
        <v>204</v>
      </c>
      <c r="B90" s="813"/>
      <c r="C90" s="813"/>
      <c r="D90" s="814" t="s">
        <v>183</v>
      </c>
      <c r="E90" s="704">
        <f>'16'!F90</f>
        <v>3121.9</v>
      </c>
      <c r="F90" s="728">
        <v>3125.4</v>
      </c>
      <c r="G90" s="787">
        <f t="shared" si="5"/>
        <v>3.5</v>
      </c>
      <c r="H90" s="787">
        <f>G90</f>
        <v>3.5</v>
      </c>
      <c r="I90" s="733"/>
      <c r="J90" s="789">
        <f>H90/DAY(B2)</f>
        <v>0.20588235294117646</v>
      </c>
      <c r="K90" s="815"/>
      <c r="L90" s="816"/>
      <c r="N90" s="860"/>
      <c r="O90" s="413"/>
    </row>
    <row r="91" spans="1:16" s="410" customFormat="1">
      <c r="A91" s="683" t="s">
        <v>205</v>
      </c>
      <c r="B91" s="1318"/>
      <c r="C91" s="1318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33" t="s">
        <v>206</v>
      </c>
      <c r="B92" s="1434"/>
      <c r="C92" s="1435"/>
      <c r="D92" s="599" t="s">
        <v>144</v>
      </c>
      <c r="E92" s="560">
        <f>'16'!F92</f>
        <v>238430</v>
      </c>
      <c r="F92" s="554">
        <v>238514</v>
      </c>
      <c r="G92" s="549">
        <f t="shared" ref="G92:G93" si="7">F92-E92</f>
        <v>84</v>
      </c>
      <c r="H92" s="536">
        <f>G92+'16'!H92</f>
        <v>-1181</v>
      </c>
      <c r="I92" s="556"/>
      <c r="J92" s="629">
        <f>H92/DAY(B2)</f>
        <v>-69.470588235294116</v>
      </c>
      <c r="K92" s="468"/>
      <c r="L92" s="408"/>
      <c r="N92" s="800"/>
      <c r="O92" s="807"/>
      <c r="P92" s="413"/>
    </row>
    <row r="93" spans="1:16" ht="27.75">
      <c r="A93" s="1433" t="s">
        <v>207</v>
      </c>
      <c r="B93" s="1434"/>
      <c r="C93" s="1435"/>
      <c r="D93" s="599" t="s">
        <v>144</v>
      </c>
      <c r="E93" s="560">
        <f>'16'!F93</f>
        <v>173797</v>
      </c>
      <c r="F93" s="554">
        <v>173931</v>
      </c>
      <c r="G93" s="549">
        <f t="shared" si="7"/>
        <v>134</v>
      </c>
      <c r="H93" s="536">
        <f>G93+'16'!H93</f>
        <v>-1730</v>
      </c>
      <c r="I93" s="556"/>
      <c r="J93" s="629">
        <f>H93/DAY(B2)</f>
        <v>-101.76470588235294</v>
      </c>
      <c r="K93" s="411"/>
      <c r="L93" s="408"/>
      <c r="N93" s="800"/>
      <c r="O93" s="807"/>
      <c r="P93" s="413"/>
    </row>
    <row r="94" spans="1:16">
      <c r="A94" s="1427" t="s">
        <v>208</v>
      </c>
      <c r="B94" s="1428"/>
      <c r="C94" s="1429"/>
      <c r="D94" s="599"/>
      <c r="E94" s="560">
        <f>'16'!F94</f>
        <v>0</v>
      </c>
      <c r="F94" s="554"/>
      <c r="G94" s="549">
        <f>G92+G93</f>
        <v>218</v>
      </c>
      <c r="H94" s="536">
        <f>G94+'16'!H94</f>
        <v>-3177</v>
      </c>
      <c r="I94" s="556"/>
      <c r="J94" s="629">
        <f>H94/DAY(B2)</f>
        <v>-186.88235294117646</v>
      </c>
      <c r="K94" s="411"/>
      <c r="L94" s="408"/>
      <c r="N94" s="800"/>
      <c r="O94" s="807"/>
      <c r="P94" s="413"/>
    </row>
    <row r="95" spans="1:16" ht="27.75">
      <c r="A95" s="1433" t="s">
        <v>209</v>
      </c>
      <c r="B95" s="1434"/>
      <c r="C95" s="1435"/>
      <c r="D95" s="599" t="s">
        <v>144</v>
      </c>
      <c r="E95" s="560">
        <f>'16'!F95</f>
        <v>407137</v>
      </c>
      <c r="F95" s="554">
        <v>407209</v>
      </c>
      <c r="G95" s="549">
        <f t="shared" ref="G95:G100" si="8">F95-E95</f>
        <v>72</v>
      </c>
      <c r="H95" s="536">
        <f>G95+'16'!H95</f>
        <v>-947</v>
      </c>
      <c r="I95" s="556"/>
      <c r="J95" s="629">
        <f>H95/DAY(B2)</f>
        <v>-55.705882352941174</v>
      </c>
      <c r="K95" s="411"/>
      <c r="L95" s="408"/>
      <c r="N95" s="800"/>
      <c r="O95" s="807"/>
      <c r="P95" s="413"/>
    </row>
    <row r="96" spans="1:16" ht="27.75">
      <c r="A96" s="1312" t="s">
        <v>210</v>
      </c>
      <c r="B96" s="1313"/>
      <c r="C96" s="1313"/>
      <c r="D96" s="599" t="s">
        <v>144</v>
      </c>
      <c r="E96" s="560">
        <f>'16'!F96</f>
        <v>101109</v>
      </c>
      <c r="F96" s="554">
        <v>101124</v>
      </c>
      <c r="G96" s="549">
        <f t="shared" si="8"/>
        <v>15</v>
      </c>
      <c r="H96" s="536">
        <f>G96+'16'!H96</f>
        <v>-208</v>
      </c>
      <c r="I96" s="556"/>
      <c r="J96" s="629">
        <f>H96/DAY(B2)</f>
        <v>-12.235294117647058</v>
      </c>
      <c r="K96" s="466"/>
      <c r="L96" s="408"/>
      <c r="N96" s="800"/>
      <c r="O96" s="807"/>
      <c r="P96" s="413"/>
    </row>
    <row r="97" spans="1:16" ht="27.75">
      <c r="A97" s="1312" t="s">
        <v>211</v>
      </c>
      <c r="B97" s="1313"/>
      <c r="C97" s="1313"/>
      <c r="D97" s="599" t="s">
        <v>144</v>
      </c>
      <c r="E97" s="560">
        <f>'16'!F97</f>
        <v>96177</v>
      </c>
      <c r="F97" s="554">
        <v>96197</v>
      </c>
      <c r="G97" s="549">
        <f t="shared" si="8"/>
        <v>20</v>
      </c>
      <c r="H97" s="536">
        <f>G97+'16'!H97</f>
        <v>-252</v>
      </c>
      <c r="I97" s="556"/>
      <c r="J97" s="629">
        <f>H97/DAY(B2)</f>
        <v>-14.823529411764707</v>
      </c>
      <c r="K97" s="471"/>
      <c r="L97" s="408"/>
      <c r="N97" s="800"/>
      <c r="O97" s="807"/>
      <c r="P97" s="413"/>
    </row>
    <row r="98" spans="1:16" ht="27.75">
      <c r="A98" s="1312" t="s">
        <v>212</v>
      </c>
      <c r="B98" s="1313"/>
      <c r="C98" s="1313"/>
      <c r="D98" s="599" t="s">
        <v>144</v>
      </c>
      <c r="E98" s="560">
        <f>'16'!F98</f>
        <v>146662</v>
      </c>
      <c r="F98" s="554">
        <v>146697</v>
      </c>
      <c r="G98" s="549">
        <f t="shared" si="8"/>
        <v>35</v>
      </c>
      <c r="H98" s="536">
        <f>G98+'16'!H98</f>
        <v>-911</v>
      </c>
      <c r="I98" s="556"/>
      <c r="J98" s="629">
        <f>H98/DAY(B2)</f>
        <v>-53.588235294117645</v>
      </c>
      <c r="K98" s="411"/>
      <c r="L98" s="408"/>
      <c r="N98" s="802"/>
      <c r="O98" s="807"/>
      <c r="P98" s="413"/>
    </row>
    <row r="99" spans="1:16" ht="27.75">
      <c r="A99" s="1312" t="s">
        <v>213</v>
      </c>
      <c r="B99" s="1313"/>
      <c r="C99" s="1313"/>
      <c r="D99" s="599" t="s">
        <v>144</v>
      </c>
      <c r="E99" s="560">
        <f>'16'!F99</f>
        <v>6184</v>
      </c>
      <c r="F99" s="554">
        <v>6198</v>
      </c>
      <c r="G99" s="549">
        <f t="shared" si="8"/>
        <v>14</v>
      </c>
      <c r="H99" s="536">
        <f>G99+'16'!H99</f>
        <v>-210</v>
      </c>
      <c r="I99" s="556"/>
      <c r="J99" s="629">
        <f>H99/DAY(B2)</f>
        <v>-12.352941176470589</v>
      </c>
      <c r="K99" s="411"/>
      <c r="L99" s="408"/>
      <c r="N99" s="800"/>
      <c r="O99" s="807"/>
      <c r="P99" s="413"/>
    </row>
    <row r="100" spans="1:16" ht="27.75">
      <c r="A100" s="1312" t="s">
        <v>214</v>
      </c>
      <c r="B100" s="1313"/>
      <c r="C100" s="1313"/>
      <c r="D100" s="599" t="s">
        <v>144</v>
      </c>
      <c r="E100" s="560">
        <f>'16'!F100</f>
        <v>4395</v>
      </c>
      <c r="F100" s="554">
        <v>4401</v>
      </c>
      <c r="G100" s="549">
        <f t="shared" si="8"/>
        <v>6</v>
      </c>
      <c r="H100" s="536">
        <f>G100+'16'!H100</f>
        <v>-142</v>
      </c>
      <c r="I100" s="556"/>
      <c r="J100" s="629">
        <f>H100/DAY(B2)</f>
        <v>-8.3529411764705888</v>
      </c>
      <c r="K100" s="411"/>
      <c r="L100" s="408"/>
      <c r="N100" s="800"/>
      <c r="O100" s="807"/>
      <c r="P100" s="413"/>
    </row>
    <row r="101" spans="1:16">
      <c r="A101" s="1427" t="s">
        <v>216</v>
      </c>
      <c r="B101" s="1428"/>
      <c r="C101" s="1429"/>
      <c r="D101" s="600"/>
      <c r="E101" s="560"/>
      <c r="F101" s="600"/>
      <c r="G101" s="601">
        <f>SUM(G95:G100)</f>
        <v>162</v>
      </c>
      <c r="H101" s="536">
        <f>G101+'16'!H101</f>
        <v>-2670</v>
      </c>
      <c r="I101" s="602"/>
      <c r="J101" s="629">
        <f>H101/DAY(B2)</f>
        <v>-157.05882352941177</v>
      </c>
      <c r="K101" s="411"/>
      <c r="L101" s="408"/>
      <c r="N101" s="800"/>
      <c r="O101" s="807"/>
      <c r="P101" s="413"/>
    </row>
    <row r="102" spans="1:16" s="481" customFormat="1" ht="27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36" t="s">
        <v>218</v>
      </c>
      <c r="B103" s="1437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38" t="s">
        <v>219</v>
      </c>
      <c r="B104" s="1439"/>
      <c r="C104" s="1311"/>
      <c r="D104" s="699" t="s">
        <v>144</v>
      </c>
      <c r="E104" s="560">
        <f>'16'!F104</f>
        <v>7097</v>
      </c>
      <c r="F104" s="739">
        <v>7097</v>
      </c>
      <c r="G104" s="608">
        <f>F104-E104</f>
        <v>0</v>
      </c>
      <c r="H104" s="609">
        <f>SUM(G104+'1'!G76)</f>
        <v>79.150000000000091</v>
      </c>
      <c r="I104" s="608"/>
      <c r="J104" s="635">
        <f>H104/DAY(B2)</f>
        <v>4.6558823529411821</v>
      </c>
      <c r="N104" s="800"/>
      <c r="O104" s="807"/>
      <c r="P104" s="413"/>
    </row>
    <row r="105" spans="1:16" s="481" customFormat="1" ht="27.75">
      <c r="A105" s="1438" t="s">
        <v>77</v>
      </c>
      <c r="B105" s="1439"/>
      <c r="C105" s="1311"/>
      <c r="D105" s="699" t="s">
        <v>144</v>
      </c>
      <c r="E105" s="560">
        <f>'16'!F105</f>
        <v>35297</v>
      </c>
      <c r="F105" s="740">
        <v>35306</v>
      </c>
      <c r="G105" s="608">
        <f t="shared" ref="G105:G106" si="9">F105-E105</f>
        <v>9</v>
      </c>
      <c r="H105" s="609">
        <f>SUM(G105+'1'!G77)</f>
        <v>54</v>
      </c>
      <c r="I105" s="608"/>
      <c r="J105" s="635">
        <f>H105/DAY(B2)</f>
        <v>3.1764705882352939</v>
      </c>
      <c r="N105" s="800"/>
      <c r="O105" s="807"/>
      <c r="P105" s="413"/>
    </row>
    <row r="106" spans="1:16" s="481" customFormat="1" ht="27.75">
      <c r="A106" s="1438" t="s">
        <v>78</v>
      </c>
      <c r="B106" s="1440"/>
      <c r="C106" s="1439"/>
      <c r="D106" s="699" t="s">
        <v>144</v>
      </c>
      <c r="E106" s="560">
        <f>'16'!F106</f>
        <v>19174</v>
      </c>
      <c r="F106" s="740">
        <v>19179</v>
      </c>
      <c r="G106" s="608">
        <f t="shared" si="9"/>
        <v>5</v>
      </c>
      <c r="H106" s="609">
        <f>SUM(G106+'1'!G78)</f>
        <v>395</v>
      </c>
      <c r="I106" s="608"/>
      <c r="J106" s="635">
        <f>H106/DAY(B2)</f>
        <v>23.235294117647058</v>
      </c>
      <c r="N106" s="800"/>
      <c r="O106" s="807"/>
      <c r="P106" s="413"/>
    </row>
    <row r="107" spans="1:16" s="481" customFormat="1" ht="27.75">
      <c r="A107" s="1441" t="s">
        <v>202</v>
      </c>
      <c r="B107" s="1442"/>
      <c r="C107" s="1311"/>
      <c r="D107" s="699"/>
      <c r="E107" s="560">
        <f>'16'!F107</f>
        <v>0</v>
      </c>
      <c r="F107" s="740"/>
      <c r="G107" s="608">
        <f>SUM(G104:G106)</f>
        <v>14</v>
      </c>
      <c r="H107" s="609">
        <f>SUM(G107+'1'!G79)</f>
        <v>206</v>
      </c>
      <c r="I107" s="608"/>
      <c r="J107" s="635">
        <f>H107/DAY(B2)</f>
        <v>12.117647058823529</v>
      </c>
      <c r="N107" s="800"/>
      <c r="O107" s="807"/>
      <c r="P107" s="413"/>
    </row>
    <row r="108" spans="1:16" s="481" customFormat="1" ht="27.75">
      <c r="A108" s="1443" t="s">
        <v>79</v>
      </c>
      <c r="B108" s="1444"/>
      <c r="C108" s="1311"/>
      <c r="D108" s="699" t="s">
        <v>144</v>
      </c>
      <c r="E108" s="560">
        <f>'16'!F108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38" t="s">
        <v>220</v>
      </c>
      <c r="B109" s="1439"/>
      <c r="C109" s="1311"/>
      <c r="D109" s="699" t="s">
        <v>144</v>
      </c>
      <c r="E109" s="560">
        <f>'16'!F109</f>
        <v>55648</v>
      </c>
      <c r="F109" s="740">
        <v>55688</v>
      </c>
      <c r="G109" s="608">
        <f>F109-E109</f>
        <v>40</v>
      </c>
      <c r="H109" s="609">
        <f>SUM(G109+'1'!G81)</f>
        <v>152.56000000005588</v>
      </c>
      <c r="I109" s="608"/>
      <c r="J109" s="635">
        <f>H109/DAY(B2)</f>
        <v>8.9741176470621102</v>
      </c>
      <c r="N109" s="800"/>
      <c r="O109" s="807"/>
      <c r="P109" s="413"/>
    </row>
    <row r="110" spans="1:16" s="481" customFormat="1" ht="27.75">
      <c r="A110" s="1438" t="s">
        <v>221</v>
      </c>
      <c r="B110" s="1439"/>
      <c r="C110" s="1311"/>
      <c r="D110" s="699" t="s">
        <v>144</v>
      </c>
      <c r="E110" s="560">
        <f>'16'!F110</f>
        <v>29577</v>
      </c>
      <c r="F110" s="740">
        <v>29614</v>
      </c>
      <c r="G110" s="608">
        <f t="shared" ref="G110:G111" si="10">F110-E110</f>
        <v>37</v>
      </c>
      <c r="H110" s="609">
        <f>SUM(G110+'1'!G82)</f>
        <v>55.169999999998254</v>
      </c>
      <c r="I110" s="608"/>
      <c r="J110" s="635">
        <f>H110/DAY(B2)</f>
        <v>3.2452941176469561</v>
      </c>
      <c r="N110" s="800"/>
      <c r="O110" s="807"/>
      <c r="P110" s="413"/>
    </row>
    <row r="111" spans="1:16" s="481" customFormat="1" ht="27.75">
      <c r="A111" s="1438" t="s">
        <v>222</v>
      </c>
      <c r="B111" s="1439"/>
      <c r="C111" s="1311"/>
      <c r="D111" s="699" t="s">
        <v>144</v>
      </c>
      <c r="E111" s="560">
        <f>'16'!F111</f>
        <v>3883</v>
      </c>
      <c r="F111" s="740">
        <v>3905</v>
      </c>
      <c r="G111" s="608">
        <f t="shared" si="10"/>
        <v>22</v>
      </c>
      <c r="H111" s="609">
        <f>SUM(G111+'1'!G83)</f>
        <v>542</v>
      </c>
      <c r="I111" s="608"/>
      <c r="J111" s="635">
        <f>H111/DAY(B2)</f>
        <v>31.882352941176471</v>
      </c>
      <c r="N111" s="800"/>
      <c r="O111" s="807"/>
      <c r="P111" s="413"/>
    </row>
    <row r="112" spans="1:16" s="481" customFormat="1" ht="27.75">
      <c r="A112" s="1441" t="s">
        <v>110</v>
      </c>
      <c r="B112" s="1442"/>
      <c r="C112" s="1311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789</v>
      </c>
      <c r="I112" s="608"/>
      <c r="J112" s="635">
        <f>H112/DAY(B2)</f>
        <v>46.411764705882355</v>
      </c>
      <c r="N112" s="800"/>
      <c r="O112" s="807"/>
      <c r="P112" s="413"/>
    </row>
    <row r="113" spans="1:16" s="481" customFormat="1" ht="27.75">
      <c r="A113" s="1443" t="s">
        <v>223</v>
      </c>
      <c r="B113" s="1444"/>
      <c r="C113" s="1311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38" t="s">
        <v>224</v>
      </c>
      <c r="B114" s="1439"/>
      <c r="C114" s="651"/>
      <c r="D114" s="699" t="s">
        <v>144</v>
      </c>
      <c r="E114" s="560">
        <f>'16'!F114</f>
        <v>10057</v>
      </c>
      <c r="F114" s="740">
        <v>10074</v>
      </c>
      <c r="G114" s="610">
        <f>F114-E114</f>
        <v>17</v>
      </c>
      <c r="H114" s="609">
        <f>SUM(G114+'1'!G91)</f>
        <v>17</v>
      </c>
      <c r="I114" s="608"/>
      <c r="J114" s="635">
        <f>H114/DAY(B2)</f>
        <v>1</v>
      </c>
      <c r="N114" s="800"/>
      <c r="O114" s="807"/>
      <c r="P114" s="413"/>
    </row>
    <row r="115" spans="1:16" s="481" customFormat="1" ht="27.75">
      <c r="A115" s="1438" t="s">
        <v>225</v>
      </c>
      <c r="B115" s="1439"/>
      <c r="C115" s="651"/>
      <c r="D115" s="699" t="s">
        <v>144</v>
      </c>
      <c r="E115" s="560">
        <f>'16'!F115</f>
        <v>7555</v>
      </c>
      <c r="F115" s="740">
        <v>7561</v>
      </c>
      <c r="G115" s="610">
        <f t="shared" ref="G115:G116" si="11">F115-E115</f>
        <v>6</v>
      </c>
      <c r="H115" s="609">
        <f>SUM(G115+'1'!G92)</f>
        <v>128</v>
      </c>
      <c r="I115" s="608"/>
      <c r="J115" s="635">
        <f>H115/DAY(B2)</f>
        <v>7.5294117647058822</v>
      </c>
      <c r="N115" s="800"/>
      <c r="O115" s="807"/>
      <c r="P115" s="413"/>
    </row>
    <row r="116" spans="1:16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1"/>
        <v>0</v>
      </c>
      <c r="H116" s="609">
        <f>SUM(G116+'1'!G93)</f>
        <v>144</v>
      </c>
      <c r="I116" s="608"/>
      <c r="J116" s="635">
        <f>H116/DAY(B2)</f>
        <v>8.4705882352941178</v>
      </c>
      <c r="N116" s="800"/>
      <c r="O116" s="807"/>
      <c r="P116" s="413"/>
    </row>
    <row r="117" spans="1:16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23</v>
      </c>
      <c r="H117" s="609">
        <f>SUM(G117+'1'!G95)</f>
        <v>99</v>
      </c>
      <c r="I117" s="610"/>
      <c r="J117" s="635">
        <f>H117/DAY(B2)</f>
        <v>5.8235294117647056</v>
      </c>
      <c r="N117" s="800"/>
      <c r="O117" s="807"/>
      <c r="P117" s="413"/>
    </row>
    <row r="118" spans="1:16" s="495" customFormat="1" ht="27.75">
      <c r="A118" s="1472" t="s">
        <v>227</v>
      </c>
      <c r="B118" s="1473"/>
      <c r="C118" s="1309"/>
      <c r="D118" s="701" t="s">
        <v>144</v>
      </c>
      <c r="E118" s="612"/>
      <c r="F118" s="741">
        <f>SUM(G19+G92)</f>
        <v>135</v>
      </c>
      <c r="G118" s="612">
        <f>SUM(G19+G92)</f>
        <v>135</v>
      </c>
      <c r="H118" s="609">
        <f>SUM(G118+'1'!G96)</f>
        <v>148</v>
      </c>
      <c r="I118" s="611"/>
      <c r="J118" s="636">
        <f>H118/DAY(B2)</f>
        <v>8.7058823529411757</v>
      </c>
      <c r="N118" s="800"/>
      <c r="O118" s="807"/>
      <c r="P118" s="413"/>
    </row>
    <row r="119" spans="1:16" s="495" customFormat="1" ht="27.75">
      <c r="A119" s="1472" t="s">
        <v>228</v>
      </c>
      <c r="B119" s="1473"/>
      <c r="C119" s="1309"/>
      <c r="D119" s="701" t="s">
        <v>144</v>
      </c>
      <c r="E119" s="612"/>
      <c r="F119" s="741">
        <f>SUM(G95,G96,G97,G99,G100)</f>
        <v>127</v>
      </c>
      <c r="G119" s="612">
        <f>SUM(G95,G96,G97,G99,G100)</f>
        <v>127</v>
      </c>
      <c r="H119" s="609">
        <f>SUM(G119+'1'!G98)</f>
        <v>197</v>
      </c>
      <c r="I119" s="611"/>
      <c r="J119" s="636">
        <f>H119/DAY(B2)</f>
        <v>11.588235294117647</v>
      </c>
      <c r="N119" s="800"/>
      <c r="O119" s="807"/>
      <c r="P119" s="413"/>
    </row>
    <row r="120" spans="1:16" s="495" customFormat="1" ht="27.75">
      <c r="A120" s="1472" t="s">
        <v>229</v>
      </c>
      <c r="B120" s="1473"/>
      <c r="C120" s="1309"/>
      <c r="D120" s="701" t="s">
        <v>144</v>
      </c>
      <c r="E120" s="610"/>
      <c r="F120" s="740">
        <f>SUM(G112)</f>
        <v>99</v>
      </c>
      <c r="G120" s="610">
        <f>SUM(G112)</f>
        <v>99</v>
      </c>
      <c r="H120" s="609">
        <f>SUM(G120+'1'!G100)</f>
        <v>113</v>
      </c>
      <c r="I120" s="611"/>
      <c r="J120" s="636">
        <f>H120/DAY(B2)</f>
        <v>6.6470588235294121</v>
      </c>
      <c r="N120" s="800"/>
      <c r="O120" s="807"/>
      <c r="P120" s="413"/>
    </row>
    <row r="121" spans="1:16" s="481" customFormat="1" ht="27.75">
      <c r="A121" s="1474"/>
      <c r="B121" s="1475"/>
      <c r="C121" s="1310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312" t="s">
        <v>231</v>
      </c>
      <c r="B123" s="1313"/>
      <c r="C123" s="1313"/>
      <c r="D123" s="599" t="s">
        <v>141</v>
      </c>
      <c r="E123" s="554">
        <f>'16'!F123</f>
        <v>807856.78</v>
      </c>
      <c r="F123" s="554">
        <v>808115.93</v>
      </c>
      <c r="G123" s="549">
        <f t="shared" ref="G123:G127" si="12">F123-E123</f>
        <v>259.15000000002328</v>
      </c>
      <c r="H123" s="536">
        <f>G123+'16'!H123</f>
        <v>-2890.9099999999162</v>
      </c>
      <c r="I123" s="602"/>
      <c r="J123" s="629">
        <f>H123/DAY(B2)</f>
        <v>-170.05352941175977</v>
      </c>
      <c r="K123" s="411"/>
      <c r="L123" s="408"/>
      <c r="N123" s="800"/>
      <c r="O123" s="807"/>
      <c r="P123" s="413"/>
    </row>
    <row r="124" spans="1:16" ht="27.75">
      <c r="A124" s="1312" t="s">
        <v>232</v>
      </c>
      <c r="B124" s="1313"/>
      <c r="C124" s="1313"/>
      <c r="D124" s="599" t="s">
        <v>141</v>
      </c>
      <c r="E124" s="703">
        <f>'16'!F124</f>
        <v>73583.399999999994</v>
      </c>
      <c r="F124" s="703">
        <v>73583.399999999994</v>
      </c>
      <c r="G124" s="549">
        <f t="shared" si="12"/>
        <v>0</v>
      </c>
      <c r="H124" s="536">
        <f>G124+'16'!H124</f>
        <v>0</v>
      </c>
      <c r="I124" s="602"/>
      <c r="J124" s="629">
        <f>H124/DAY(B2)</f>
        <v>0</v>
      </c>
      <c r="K124" s="411"/>
      <c r="L124" s="408"/>
      <c r="N124" s="800"/>
      <c r="O124" s="807"/>
      <c r="P124" s="413"/>
    </row>
    <row r="125" spans="1:16" ht="27.75">
      <c r="A125" s="1430" t="s">
        <v>233</v>
      </c>
      <c r="B125" s="1431"/>
      <c r="C125" s="1432"/>
      <c r="D125" s="599" t="s">
        <v>141</v>
      </c>
      <c r="E125" s="554">
        <f>'16'!F125</f>
        <v>139081.88</v>
      </c>
      <c r="F125" s="554">
        <v>139149.48000000001</v>
      </c>
      <c r="G125" s="549">
        <f t="shared" si="12"/>
        <v>67.600000000005821</v>
      </c>
      <c r="H125" s="536">
        <f>G125+'16'!H125</f>
        <v>-829.85999999998603</v>
      </c>
      <c r="I125" s="602"/>
      <c r="J125" s="629">
        <f>H125/DAY(B2)</f>
        <v>-48.815294117646239</v>
      </c>
      <c r="K125" s="411"/>
      <c r="L125" s="408"/>
      <c r="N125" s="800"/>
      <c r="O125" s="807"/>
      <c r="P125" s="413"/>
    </row>
    <row r="126" spans="1:16" ht="27.75">
      <c r="A126" s="686" t="s">
        <v>234</v>
      </c>
      <c r="B126" s="1313"/>
      <c r="C126" s="1313"/>
      <c r="D126" s="599" t="s">
        <v>141</v>
      </c>
      <c r="E126" s="703">
        <f>'16'!F126</f>
        <v>59013.7</v>
      </c>
      <c r="F126" s="703">
        <v>59029.8</v>
      </c>
      <c r="G126" s="549">
        <f t="shared" si="12"/>
        <v>16.100000000005821</v>
      </c>
      <c r="H126" s="536">
        <f>G126+'16'!H126</f>
        <v>-277.09999999999854</v>
      </c>
      <c r="I126" s="602"/>
      <c r="J126" s="629">
        <f>H126/DAY(B2)</f>
        <v>-16.299999999999915</v>
      </c>
      <c r="K126" s="411"/>
      <c r="L126" s="408"/>
      <c r="N126" s="800"/>
      <c r="O126" s="807"/>
      <c r="P126" s="413"/>
    </row>
    <row r="127" spans="1:16" ht="27.75">
      <c r="A127" s="686" t="s">
        <v>235</v>
      </c>
      <c r="B127" s="1313"/>
      <c r="C127" s="1313"/>
      <c r="D127" s="599" t="s">
        <v>141</v>
      </c>
      <c r="E127" s="703">
        <f>'16'!F127</f>
        <v>8863.4</v>
      </c>
      <c r="F127" s="703">
        <v>8868.1</v>
      </c>
      <c r="G127" s="549">
        <f t="shared" si="12"/>
        <v>4.7000000000007276</v>
      </c>
      <c r="H127" s="536">
        <f>G127+'16'!H127</f>
        <v>-19.699999999998909</v>
      </c>
      <c r="I127" s="556"/>
      <c r="J127" s="629">
        <f>H127/DAY(B2)</f>
        <v>-1.1588235294117004</v>
      </c>
      <c r="K127" s="411"/>
      <c r="L127" s="408"/>
      <c r="N127" s="800"/>
      <c r="O127" s="807"/>
      <c r="P127" s="413"/>
    </row>
    <row r="128" spans="1:16" s="281" customFormat="1" ht="27.75">
      <c r="A128" s="686" t="s">
        <v>236</v>
      </c>
      <c r="B128" s="1313"/>
      <c r="C128" s="1313"/>
      <c r="D128" s="599"/>
      <c r="E128" s="554"/>
      <c r="F128" s="554"/>
      <c r="G128" s="549">
        <f>G15-SUM(G123:G127)</f>
        <v>582.95999999997366</v>
      </c>
      <c r="H128" s="536">
        <f>G128+'16'!H128</f>
        <v>1206.2499999997472</v>
      </c>
      <c r="I128" s="556"/>
      <c r="J128" s="629">
        <f>H128/DAY(B2)</f>
        <v>70.955882352926309</v>
      </c>
      <c r="K128" s="391"/>
      <c r="L128" s="293"/>
      <c r="N128" s="800"/>
      <c r="O128" s="807"/>
      <c r="P128" s="413"/>
    </row>
    <row r="129" spans="1:16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312" t="s">
        <v>238</v>
      </c>
      <c r="B130" s="1313"/>
      <c r="C130" s="1313"/>
      <c r="D130" s="599" t="s">
        <v>239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312" t="s">
        <v>240</v>
      </c>
      <c r="B131" s="1313"/>
      <c r="C131" s="1313"/>
      <c r="D131" s="599" t="s">
        <v>239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312" t="s">
        <v>241</v>
      </c>
      <c r="B132" s="1313"/>
      <c r="C132" s="1313"/>
      <c r="D132" s="599" t="s">
        <v>239</v>
      </c>
      <c r="E132" s="618">
        <f>'16'!F132</f>
        <v>39191.29</v>
      </c>
      <c r="F132" s="732">
        <v>39203.39</v>
      </c>
      <c r="G132" s="549">
        <f t="shared" si="13"/>
        <v>12.099999999998545</v>
      </c>
      <c r="H132" s="536">
        <f>G132+'16'!H132</f>
        <v>374.38999999999942</v>
      </c>
      <c r="I132" s="556"/>
      <c r="J132" s="629">
        <f>H132/DAY(B2)</f>
        <v>22.022941176470553</v>
      </c>
      <c r="N132" s="800"/>
      <c r="O132" s="807"/>
      <c r="P132" s="413"/>
    </row>
    <row r="133" spans="1:16" ht="27.75">
      <c r="A133" s="1312" t="s">
        <v>242</v>
      </c>
      <c r="B133" s="1313"/>
      <c r="C133" s="1313"/>
      <c r="D133" s="599" t="s">
        <v>239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-1</v>
      </c>
      <c r="I133" s="556">
        <f>G130+G131+G132+G133</f>
        <v>12.099999999998545</v>
      </c>
      <c r="J133" s="629">
        <f>H133/DAY(B2)</f>
        <v>-5.8823529411764705E-2</v>
      </c>
      <c r="N133" s="800"/>
      <c r="O133" s="807"/>
      <c r="P133" s="413"/>
    </row>
    <row r="134" spans="1:16" ht="27.75">
      <c r="A134" s="1312" t="s">
        <v>243</v>
      </c>
      <c r="B134" s="1313"/>
      <c r="C134" s="1313"/>
      <c r="D134" s="599" t="s">
        <v>239</v>
      </c>
      <c r="E134" s="782">
        <f>'16'!F134</f>
        <v>40248.31</v>
      </c>
      <c r="F134" s="703">
        <v>40260.370000000003</v>
      </c>
      <c r="G134" s="549">
        <f t="shared" si="13"/>
        <v>12.060000000004948</v>
      </c>
      <c r="H134" s="536">
        <f>G134+'16'!H134</f>
        <v>-106.7699999999968</v>
      </c>
      <c r="I134" s="556"/>
      <c r="J134" s="629">
        <f>H134/DAY(B2)</f>
        <v>-6.2805882352939291</v>
      </c>
      <c r="N134" s="800"/>
      <c r="O134" s="807"/>
      <c r="P134" s="413"/>
    </row>
    <row r="135" spans="1:16" ht="27.75">
      <c r="A135" s="1312" t="s">
        <v>244</v>
      </c>
      <c r="B135" s="1313"/>
      <c r="C135" s="1313"/>
      <c r="D135" s="599" t="s">
        <v>239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-148</v>
      </c>
      <c r="I135" s="556"/>
      <c r="J135" s="629">
        <f>H135/DAY(B2)</f>
        <v>-8.7058823529411757</v>
      </c>
      <c r="N135" s="800"/>
      <c r="O135" s="807"/>
      <c r="P135" s="413"/>
    </row>
    <row r="136" spans="1:16" ht="27.75">
      <c r="A136" s="1312" t="s">
        <v>245</v>
      </c>
      <c r="B136" s="1313"/>
      <c r="C136" s="1313"/>
      <c r="D136" s="599" t="s">
        <v>239</v>
      </c>
      <c r="E136" s="618">
        <f>'16'!F136</f>
        <v>22120.25</v>
      </c>
      <c r="F136" s="732">
        <v>22129.9</v>
      </c>
      <c r="G136" s="549">
        <f t="shared" si="13"/>
        <v>9.6500000000014552</v>
      </c>
      <c r="H136" s="536">
        <f>G136+'16'!H136</f>
        <v>-92.309999999997672</v>
      </c>
      <c r="I136" s="556">
        <f>G134+G135+G136</f>
        <v>21.710000000006403</v>
      </c>
      <c r="J136" s="629">
        <f>H136/DAY(B2)</f>
        <v>-5.4299999999998629</v>
      </c>
      <c r="N136" s="800"/>
      <c r="O136" s="807"/>
      <c r="P136" s="413"/>
    </row>
    <row r="137" spans="1:16" ht="27.75">
      <c r="A137" s="1312" t="s">
        <v>246</v>
      </c>
      <c r="B137" s="1313"/>
      <c r="C137" s="1313"/>
      <c r="D137" s="599" t="s">
        <v>239</v>
      </c>
      <c r="E137" s="618">
        <f>'16'!F137</f>
        <v>25034.29</v>
      </c>
      <c r="F137" s="732">
        <v>25034.29</v>
      </c>
      <c r="G137" s="549">
        <f t="shared" si="13"/>
        <v>0</v>
      </c>
      <c r="H137" s="536">
        <f>G137+'16'!H137</f>
        <v>-10.020000000000437</v>
      </c>
      <c r="I137" s="556"/>
      <c r="J137" s="629">
        <f>H137/DAY(B2)</f>
        <v>-0.58941176470590806</v>
      </c>
      <c r="N137" s="800"/>
      <c r="O137" s="807"/>
      <c r="P137" s="413"/>
    </row>
    <row r="138" spans="1:16" ht="27.75">
      <c r="A138" s="1312" t="s">
        <v>247</v>
      </c>
      <c r="B138" s="1313"/>
      <c r="C138" s="1313"/>
      <c r="D138" s="599" t="s">
        <v>239</v>
      </c>
      <c r="E138" s="618">
        <f>'16'!F138</f>
        <v>70099.179999999993</v>
      </c>
      <c r="F138" s="732">
        <v>70103.490000000005</v>
      </c>
      <c r="G138" s="549">
        <f t="shared" si="13"/>
        <v>4.3100000000122236</v>
      </c>
      <c r="H138" s="536">
        <f>G138+'16'!H138</f>
        <v>-43.849999999991269</v>
      </c>
      <c r="I138" s="556">
        <f>G137+G138</f>
        <v>4.3100000000122236</v>
      </c>
      <c r="J138" s="629">
        <f>H138/DAY(B2)</f>
        <v>-2.5794117647053687</v>
      </c>
      <c r="N138" s="800"/>
      <c r="O138" s="807"/>
      <c r="P138" s="413"/>
    </row>
    <row r="139" spans="1:16" ht="27.75">
      <c r="A139" s="1312" t="s">
        <v>248</v>
      </c>
      <c r="B139" s="1313"/>
      <c r="C139" s="1313"/>
      <c r="D139" s="599" t="s">
        <v>239</v>
      </c>
      <c r="E139" s="782">
        <f>'16'!F139</f>
        <v>1332.21</v>
      </c>
      <c r="F139" s="703">
        <v>1339.68</v>
      </c>
      <c r="G139" s="549">
        <f t="shared" si="13"/>
        <v>7.4700000000000273</v>
      </c>
      <c r="H139" s="536">
        <f>G139+'16'!H139</f>
        <v>-83.460000000000036</v>
      </c>
      <c r="I139" s="619"/>
      <c r="J139" s="629">
        <f>H139/DAY(B2)</f>
        <v>-4.9094117647058848</v>
      </c>
      <c r="N139" s="800"/>
      <c r="O139" s="807"/>
      <c r="P139" s="413"/>
    </row>
    <row r="140" spans="1:16" ht="27.75">
      <c r="A140" s="1312" t="s">
        <v>249</v>
      </c>
      <c r="B140" s="1313"/>
      <c r="C140" s="1313"/>
      <c r="D140" s="599" t="s">
        <v>239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-0.47000000000025466</v>
      </c>
      <c r="I140" s="619"/>
      <c r="J140" s="629">
        <f>H140/DAY(B2)</f>
        <v>-2.7647058823544391E-2</v>
      </c>
      <c r="N140" s="800"/>
      <c r="O140" s="807"/>
      <c r="P140" s="413"/>
    </row>
    <row r="141" spans="1:16">
      <c r="A141" s="1468" t="s">
        <v>250</v>
      </c>
      <c r="B141" s="1469"/>
      <c r="C141" s="1318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v>3349</v>
      </c>
      <c r="H142" s="536">
        <f>G142+'16'!H142</f>
        <v>-60455.47999999988</v>
      </c>
      <c r="I142" s="556"/>
      <c r="J142" s="629">
        <f>H142/DAY(B2)</f>
        <v>-3556.2047058823459</v>
      </c>
      <c r="K142" s="411"/>
      <c r="L142" s="408"/>
      <c r="N142" s="800"/>
      <c r="O142" s="807"/>
      <c r="P142" s="413"/>
    </row>
    <row r="143" spans="1:16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0.17112053548617853</v>
      </c>
      <c r="H143" s="536">
        <f>G143+'16'!H143</f>
        <v>4.2694611025045779</v>
      </c>
      <c r="I143" s="621"/>
      <c r="J143" s="629">
        <f>H143/DAY(B2)</f>
        <v>0.25114477073556341</v>
      </c>
      <c r="K143" s="411"/>
      <c r="L143" s="408"/>
      <c r="N143" s="800"/>
      <c r="O143" s="807"/>
      <c r="P143" s="413"/>
    </row>
    <row r="144" spans="1:16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4529.1700000000201</v>
      </c>
      <c r="H144" s="536">
        <f>G144+'16'!H144</f>
        <v>-53840.120000000017</v>
      </c>
      <c r="I144" s="556"/>
      <c r="J144" s="629">
        <f>H144/DAY(B2)</f>
        <v>-3167.065882352942</v>
      </c>
      <c r="K144" s="411"/>
      <c r="L144" s="408"/>
      <c r="N144" s="800"/>
      <c r="O144" s="807"/>
      <c r="P144" s="413"/>
    </row>
    <row r="145" spans="1:16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0.2314225129017434</v>
      </c>
      <c r="H145" s="536">
        <f>G145+'16'!H145</f>
        <v>4.1196425957206273</v>
      </c>
      <c r="I145" s="621"/>
      <c r="J145" s="629">
        <f>H145/DAY(B2)</f>
        <v>0.24233191739533103</v>
      </c>
      <c r="K145" s="411"/>
      <c r="L145" s="408"/>
      <c r="N145" s="800"/>
      <c r="O145" s="807"/>
      <c r="P145" s="413"/>
    </row>
    <row r="146" spans="1:16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4187.6299999999974</v>
      </c>
      <c r="H146" s="536">
        <f>G146+'16'!H146</f>
        <v>53826.070000000007</v>
      </c>
      <c r="I146" s="622"/>
      <c r="J146" s="629">
        <f>H146/DAY(B2)</f>
        <v>3166.2394117647063</v>
      </c>
      <c r="K146" s="411"/>
      <c r="L146" s="408"/>
      <c r="N146" s="800"/>
      <c r="O146" s="807"/>
      <c r="P146" s="413"/>
    </row>
    <row r="147" spans="1:16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0.21397118185069733</v>
      </c>
      <c r="H147" s="536">
        <f>G147+'16'!H147</f>
        <v>8.3062165906608953</v>
      </c>
      <c r="I147" s="622"/>
      <c r="J147" s="629">
        <f>H147/DAY(B2)</f>
        <v>0.48860097592122914</v>
      </c>
      <c r="N147" s="800"/>
      <c r="O147" s="807"/>
      <c r="P147" s="413"/>
    </row>
    <row r="148" spans="1:16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2001.3899999999994</v>
      </c>
      <c r="H148" s="536">
        <f>G148+'16'!H148</f>
        <v>-22604.629999999997</v>
      </c>
      <c r="I148" s="556"/>
      <c r="J148" s="629">
        <f>H148/DAY(B2)</f>
        <v>-1329.6841176470587</v>
      </c>
      <c r="K148" s="412"/>
      <c r="N148" s="800"/>
      <c r="O148" s="807"/>
      <c r="P148" s="413"/>
    </row>
    <row r="149" spans="1:16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0.10226304225639975</v>
      </c>
      <c r="H149" s="536">
        <f>G149+'16'!H149</f>
        <v>1.6852036642495118</v>
      </c>
      <c r="I149" s="622"/>
      <c r="J149" s="629">
        <f>H149/DAY(B2)</f>
        <v>9.9129627308794821E-2</v>
      </c>
      <c r="N149" s="800"/>
      <c r="O149" s="807"/>
      <c r="P149" s="413"/>
    </row>
    <row r="150" spans="1:16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1728.2799999999697</v>
      </c>
      <c r="H150" s="536">
        <f>G150+'16'!H150</f>
        <v>-21649.380000000063</v>
      </c>
      <c r="I150" s="622"/>
      <c r="J150" s="629">
        <f>H150/DAY(B2)</f>
        <v>-1273.4929411764742</v>
      </c>
      <c r="N150" s="800"/>
      <c r="O150" s="807"/>
      <c r="P150" s="413"/>
    </row>
    <row r="151" spans="1:16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8.8308211128709305E-2</v>
      </c>
      <c r="H151" s="536">
        <f>G151+'16'!H151</f>
        <v>1.5565167579539285</v>
      </c>
      <c r="I151" s="556"/>
      <c r="J151" s="629">
        <f>H151/DAY(B2)</f>
        <v>9.1559809291407557E-2</v>
      </c>
      <c r="N151" s="800"/>
      <c r="O151" s="807"/>
      <c r="P151" s="413"/>
    </row>
    <row r="152" spans="1:16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1476.619999999999</v>
      </c>
      <c r="H152" s="536">
        <f>G152+'16'!H152</f>
        <v>18863.060000000001</v>
      </c>
      <c r="I152" s="556"/>
      <c r="J152" s="629">
        <f>H152/DAY(B2)</f>
        <v>1109.5917647058825</v>
      </c>
      <c r="N152" s="800"/>
      <c r="O152" s="807"/>
      <c r="P152" s="413"/>
    </row>
    <row r="153" spans="1:16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7.5449389402687597E-2</v>
      </c>
      <c r="H153" s="536">
        <f>G153+'16'!H153</f>
        <v>2.923117860480327</v>
      </c>
      <c r="I153" s="645"/>
      <c r="J153" s="646">
        <f>H153/DAY(B2)</f>
        <v>0.17194810944001923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7" t="s">
        <v>263</v>
      </c>
      <c r="B160" s="878"/>
      <c r="C160" s="878"/>
      <c r="D160" s="697" t="s">
        <v>187</v>
      </c>
      <c r="E160" s="598">
        <f>'16'!F160</f>
        <v>29772.27</v>
      </c>
      <c r="F160" s="886">
        <v>29857.35</v>
      </c>
      <c r="G160" s="549">
        <f t="shared" ref="G160:G163" si="14">F160-E160</f>
        <v>85.079999999998108</v>
      </c>
      <c r="N160" s="800"/>
    </row>
    <row r="161" spans="1:14" ht="21.75" customHeight="1">
      <c r="A161" s="877" t="s">
        <v>264</v>
      </c>
      <c r="B161" s="878"/>
      <c r="C161" s="878"/>
      <c r="D161" s="697" t="s">
        <v>187</v>
      </c>
      <c r="E161" s="598">
        <f>'16'!F161</f>
        <v>49786.33</v>
      </c>
      <c r="F161" s="886">
        <v>50204.77</v>
      </c>
      <c r="G161" s="549">
        <f t="shared" si="14"/>
        <v>418.43999999999505</v>
      </c>
      <c r="N161" s="800"/>
    </row>
    <row r="162" spans="1:14" ht="21.75" customHeight="1">
      <c r="A162" s="877" t="s">
        <v>265</v>
      </c>
      <c r="B162" s="878"/>
      <c r="C162" s="878"/>
      <c r="D162" s="697" t="s">
        <v>187</v>
      </c>
      <c r="E162" s="598">
        <v>17321</v>
      </c>
      <c r="F162" s="866">
        <v>17557</v>
      </c>
      <c r="G162" s="549">
        <f t="shared" si="14"/>
        <v>236</v>
      </c>
      <c r="N162" s="800"/>
    </row>
    <row r="163" spans="1:14" ht="21.75" customHeight="1">
      <c r="A163" s="877" t="s">
        <v>266</v>
      </c>
      <c r="B163" s="878"/>
      <c r="C163" s="878"/>
      <c r="D163" s="697" t="s">
        <v>187</v>
      </c>
      <c r="E163" s="598">
        <f>'16'!F163</f>
        <v>5212</v>
      </c>
      <c r="F163" s="886">
        <v>5231</v>
      </c>
      <c r="G163" s="549">
        <f t="shared" si="14"/>
        <v>19</v>
      </c>
      <c r="N163" s="800"/>
    </row>
    <row r="164" spans="1:14" ht="21.75" customHeight="1">
      <c r="A164" s="879" t="s">
        <v>98</v>
      </c>
      <c r="B164" s="880"/>
      <c r="C164" s="880"/>
      <c r="D164" s="697" t="s">
        <v>187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00"/>
    </row>
    <row r="165" spans="1:14" ht="21.75" customHeight="1">
      <c r="A165" s="879" t="s">
        <v>188</v>
      </c>
      <c r="B165" s="880"/>
      <c r="C165" s="880"/>
      <c r="D165" s="697" t="s">
        <v>187</v>
      </c>
      <c r="E165" s="598">
        <f t="shared" ref="E165:E171" si="16">E63</f>
        <v>1544.63</v>
      </c>
      <c r="F165" s="590">
        <f t="shared" ref="F165:F171" si="17">F63</f>
        <v>1558.35</v>
      </c>
      <c r="G165" s="549">
        <f t="shared" si="15"/>
        <v>13.7199999999998</v>
      </c>
      <c r="N165" s="800"/>
    </row>
    <row r="166" spans="1:14" ht="21.75" customHeight="1">
      <c r="A166" s="1492" t="s">
        <v>99</v>
      </c>
      <c r="B166" s="1492"/>
      <c r="C166" s="1492"/>
      <c r="D166" s="600" t="s">
        <v>187</v>
      </c>
      <c r="E166" s="598">
        <f t="shared" si="16"/>
        <v>117968.85</v>
      </c>
      <c r="F166" s="590">
        <f t="shared" si="17"/>
        <v>118398.78</v>
      </c>
      <c r="G166" s="549">
        <f t="shared" si="15"/>
        <v>429.92999999999302</v>
      </c>
      <c r="N166" s="800"/>
    </row>
    <row r="167" spans="1:14" ht="21.75" customHeight="1">
      <c r="A167" s="1492" t="s">
        <v>100</v>
      </c>
      <c r="B167" s="1492"/>
      <c r="C167" s="1492"/>
      <c r="D167" s="600" t="s">
        <v>187</v>
      </c>
      <c r="E167" s="598">
        <f t="shared" si="16"/>
        <v>127843.92</v>
      </c>
      <c r="F167" s="590">
        <f t="shared" si="17"/>
        <v>128247.81</v>
      </c>
      <c r="G167" s="549">
        <f t="shared" si="15"/>
        <v>403.88999999999942</v>
      </c>
      <c r="N167" s="800"/>
    </row>
    <row r="168" spans="1:14" ht="21.75" customHeight="1">
      <c r="A168" s="1492" t="s">
        <v>101</v>
      </c>
      <c r="B168" s="1492"/>
      <c r="C168" s="1492"/>
      <c r="D168" s="600" t="s">
        <v>187</v>
      </c>
      <c r="E168" s="598">
        <f t="shared" si="16"/>
        <v>20457.39</v>
      </c>
      <c r="F168" s="590">
        <f t="shared" si="17"/>
        <v>20852.34</v>
      </c>
      <c r="G168" s="549">
        <f t="shared" si="15"/>
        <v>394.95000000000073</v>
      </c>
      <c r="N168" s="800"/>
    </row>
    <row r="169" spans="1:14" ht="24" customHeight="1">
      <c r="A169" s="1492" t="s">
        <v>102</v>
      </c>
      <c r="B169" s="1492"/>
      <c r="C169" s="1492"/>
      <c r="D169" s="600" t="s">
        <v>187</v>
      </c>
      <c r="E169" s="598">
        <f t="shared" si="16"/>
        <v>199917.25</v>
      </c>
      <c r="F169" s="590">
        <f t="shared" si="17"/>
        <v>200595.89</v>
      </c>
      <c r="G169" s="549">
        <f t="shared" si="15"/>
        <v>678.64000000001397</v>
      </c>
      <c r="N169" s="800"/>
    </row>
    <row r="170" spans="1:14" ht="24" customHeight="1">
      <c r="A170" s="1492" t="s">
        <v>103</v>
      </c>
      <c r="B170" s="1492"/>
      <c r="C170" s="1492"/>
      <c r="D170" s="600" t="s">
        <v>187</v>
      </c>
      <c r="E170" s="598">
        <f t="shared" si="16"/>
        <v>68753.179999999993</v>
      </c>
      <c r="F170" s="590">
        <f t="shared" si="17"/>
        <v>69092.17</v>
      </c>
      <c r="G170" s="549">
        <f t="shared" si="15"/>
        <v>338.99000000000524</v>
      </c>
      <c r="N170" s="800"/>
    </row>
    <row r="171" spans="1:14" ht="27.75">
      <c r="A171" s="1492" t="s">
        <v>104</v>
      </c>
      <c r="B171" s="1492"/>
      <c r="C171" s="1492"/>
      <c r="D171" s="600" t="s">
        <v>187</v>
      </c>
      <c r="E171" s="598">
        <f t="shared" si="16"/>
        <v>60564.56</v>
      </c>
      <c r="F171" s="590">
        <f t="shared" si="17"/>
        <v>60872.25</v>
      </c>
      <c r="G171" s="549">
        <f t="shared" si="15"/>
        <v>307.69000000000233</v>
      </c>
      <c r="N171" s="800"/>
    </row>
    <row r="172" spans="1:14">
      <c r="A172" s="881"/>
      <c r="B172" s="882"/>
      <c r="C172" s="882"/>
      <c r="D172" s="883"/>
      <c r="E172" s="883"/>
      <c r="F172" s="884"/>
      <c r="G172" s="885">
        <f>SUM(G160:G171)</f>
        <v>3326.3300000000077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7.25" customHeight="1">
      <c r="N178" s="800"/>
    </row>
    <row r="179" spans="14:14" ht="18.75" customHeight="1">
      <c r="N179" s="800"/>
    </row>
    <row r="180" spans="14:14" ht="18.75" customHeight="1">
      <c r="N180" s="800"/>
    </row>
    <row r="181" spans="14:14" ht="17.25" customHeight="1">
      <c r="N181" s="800"/>
    </row>
    <row r="182" spans="14:14" ht="18.75" customHeight="1">
      <c r="N182" s="800"/>
    </row>
    <row r="183" spans="14:14" ht="18.75" customHeight="1">
      <c r="N183" s="800"/>
    </row>
    <row r="184" spans="14:14" ht="17.25" customHeight="1">
      <c r="N184" s="800"/>
    </row>
    <row r="185" spans="14:14" ht="17.25" customHeight="1">
      <c r="N185" s="800"/>
    </row>
    <row r="186" spans="14:14" ht="17.25" customHeight="1">
      <c r="N186" s="800"/>
    </row>
    <row r="187" spans="14:14" ht="17.25" customHeight="1">
      <c r="N187" s="800"/>
    </row>
    <row r="188" spans="14:14" ht="17.25" customHeight="1">
      <c r="N188" s="800"/>
    </row>
    <row r="189" spans="14:14" ht="17.25" customHeight="1">
      <c r="N189" s="800"/>
    </row>
    <row r="190" spans="14:14" ht="17.2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31" zoomScale="55" zoomScaleNormal="68" zoomScaleSheetLayoutView="55" workbookViewId="0">
      <selection activeCell="G41" activeCellId="1" sqref="G55:G56 G41:G42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499" t="s">
        <v>117</v>
      </c>
      <c r="B1" s="1499"/>
      <c r="C1" s="1499"/>
      <c r="D1" s="1499"/>
      <c r="E1" s="1499"/>
      <c r="F1" s="1499"/>
      <c r="G1" s="1499"/>
      <c r="H1" s="1499"/>
      <c r="I1" s="1499"/>
      <c r="J1" s="1499"/>
    </row>
    <row r="2" spans="1:12" ht="23.25" customHeight="1">
      <c r="A2" s="282" t="s">
        <v>316</v>
      </c>
      <c r="B2" s="1199">
        <v>44245</v>
      </c>
      <c r="C2" s="419" t="s">
        <v>69</v>
      </c>
      <c r="D2" s="284">
        <v>0.46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219" t="s">
        <v>120</v>
      </c>
      <c r="D3" s="418">
        <v>29</v>
      </c>
      <c r="E3" s="1506" t="s">
        <v>121</v>
      </c>
      <c r="F3" s="150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122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123</v>
      </c>
      <c r="B5" s="299"/>
      <c r="C5" s="300"/>
      <c r="D5" s="301" t="s">
        <v>124</v>
      </c>
      <c r="E5" s="302" t="s">
        <v>125</v>
      </c>
      <c r="F5" s="302" t="s">
        <v>112</v>
      </c>
      <c r="G5" s="303" t="s">
        <v>126</v>
      </c>
      <c r="H5" s="304" t="s">
        <v>127</v>
      </c>
      <c r="I5" s="305" t="s">
        <v>128</v>
      </c>
      <c r="J5" s="303" t="s">
        <v>129</v>
      </c>
      <c r="K5" s="306"/>
      <c r="L5" s="293"/>
    </row>
    <row r="6" spans="1:12" ht="23.25" customHeight="1">
      <c r="A6" s="1500" t="s">
        <v>130</v>
      </c>
      <c r="B6" s="1501"/>
      <c r="C6" s="1502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131</v>
      </c>
      <c r="B7" s="309"/>
      <c r="C7" s="310"/>
      <c r="D7" s="311" t="s">
        <v>132</v>
      </c>
      <c r="E7" s="312">
        <f>'17'!F7</f>
        <v>4217745</v>
      </c>
      <c r="F7" s="312">
        <v>4237940</v>
      </c>
      <c r="G7" s="313">
        <f>F7-E7</f>
        <v>20195</v>
      </c>
      <c r="H7" s="277">
        <f>G7+'17'!H7</f>
        <v>-207137</v>
      </c>
      <c r="I7" s="276">
        <f>'1'!I7</f>
        <v>12000</v>
      </c>
      <c r="J7" s="314">
        <f>H7/DAY(B2)</f>
        <v>-11507.611111111111</v>
      </c>
      <c r="K7" s="315"/>
      <c r="L7" s="293"/>
    </row>
    <row r="8" spans="1:12" ht="23.25" customHeight="1" thickBot="1">
      <c r="A8" s="316" t="s">
        <v>133</v>
      </c>
      <c r="B8" s="317"/>
      <c r="C8" s="318"/>
      <c r="D8" s="319" t="s">
        <v>25</v>
      </c>
      <c r="E8" s="320">
        <f>'17'!F8</f>
        <v>4244632</v>
      </c>
      <c r="F8" s="320">
        <v>4264981</v>
      </c>
      <c r="G8" s="313">
        <f>F8-E8</f>
        <v>20349</v>
      </c>
      <c r="H8" s="277">
        <f>G8+'17'!H8</f>
        <v>-208175</v>
      </c>
      <c r="I8" s="523">
        <f>'1'!I8</f>
        <v>12000</v>
      </c>
      <c r="J8" s="314">
        <f>H8/DAY(B2)</f>
        <v>-11565.277777777777</v>
      </c>
      <c r="K8" s="315"/>
      <c r="L8" s="293"/>
    </row>
    <row r="9" spans="1:12" ht="23.25" customHeight="1" thickBot="1">
      <c r="A9" s="322" t="s">
        <v>134</v>
      </c>
      <c r="B9" s="323"/>
      <c r="C9" s="324"/>
      <c r="D9" s="268" t="s">
        <v>132</v>
      </c>
      <c r="E9" s="312">
        <f>'17'!F9</f>
        <v>132071</v>
      </c>
      <c r="F9" s="264">
        <v>147964</v>
      </c>
      <c r="G9" s="325">
        <f t="shared" ref="G9:G12" si="0">F9-E9</f>
        <v>15893</v>
      </c>
      <c r="H9" s="277">
        <f>G9+'17'!H9</f>
        <v>61054.990000000005</v>
      </c>
      <c r="I9" s="278">
        <f>I7-J7</f>
        <v>23507.611111111109</v>
      </c>
      <c r="J9" s="314">
        <f>H9/DAY(B2)</f>
        <v>3391.943888888889</v>
      </c>
      <c r="K9" s="315"/>
      <c r="L9" s="417"/>
    </row>
    <row r="10" spans="1:12" ht="23.25" customHeight="1" thickBot="1">
      <c r="A10" s="327" t="s">
        <v>135</v>
      </c>
      <c r="B10" s="328"/>
      <c r="C10" s="329"/>
      <c r="D10" s="268" t="s">
        <v>132</v>
      </c>
      <c r="E10" s="312">
        <f>'17'!F10</f>
        <v>1349339.6</v>
      </c>
      <c r="F10" s="264">
        <v>1353036</v>
      </c>
      <c r="G10" s="325">
        <f t="shared" si="0"/>
        <v>3696.3999999999069</v>
      </c>
      <c r="H10" s="277">
        <f>G10+'17'!H10</f>
        <v>1327340.44</v>
      </c>
      <c r="I10" s="326"/>
      <c r="J10" s="314">
        <f>H10/DAY(B2)</f>
        <v>73741.135555555549</v>
      </c>
      <c r="K10" s="315"/>
      <c r="L10" s="293"/>
    </row>
    <row r="11" spans="1:12" ht="23.25" customHeight="1" thickBot="1">
      <c r="A11" s="327" t="s">
        <v>136</v>
      </c>
      <c r="B11" s="328"/>
      <c r="C11" s="329"/>
      <c r="D11" s="268" t="s">
        <v>132</v>
      </c>
      <c r="E11" s="312">
        <f>'17'!F11</f>
        <v>37000</v>
      </c>
      <c r="F11" s="263">
        <v>37000</v>
      </c>
      <c r="G11" s="325">
        <f t="shared" si="0"/>
        <v>0</v>
      </c>
      <c r="H11" s="277">
        <f>G11+'17'!H11</f>
        <v>-2000</v>
      </c>
      <c r="I11" s="326"/>
      <c r="J11" s="314">
        <f>H11/DAY(B2)</f>
        <v>-111.11111111111111</v>
      </c>
      <c r="K11" s="315"/>
      <c r="L11" s="293"/>
    </row>
    <row r="12" spans="1:12" ht="23.25" customHeight="1" thickBot="1">
      <c r="A12" s="327" t="s">
        <v>137</v>
      </c>
      <c r="B12" s="328"/>
      <c r="C12" s="329"/>
      <c r="D12" s="268" t="s">
        <v>132</v>
      </c>
      <c r="E12" s="312">
        <f>'17'!F12</f>
        <v>40010</v>
      </c>
      <c r="F12" s="264">
        <v>40010</v>
      </c>
      <c r="G12" s="325">
        <f t="shared" si="0"/>
        <v>0</v>
      </c>
      <c r="H12" s="277">
        <f>G12+'17'!H12</f>
        <v>-2000</v>
      </c>
      <c r="I12" s="326"/>
      <c r="J12" s="314">
        <f>H12/DAY(B2)</f>
        <v>-111.11111111111111</v>
      </c>
      <c r="K12" s="315"/>
      <c r="L12" s="293"/>
    </row>
    <row r="13" spans="1:12" ht="23.25" customHeight="1">
      <c r="A13" s="437" t="s">
        <v>138</v>
      </c>
      <c r="B13" s="438"/>
      <c r="C13" s="439"/>
      <c r="D13" s="268"/>
      <c r="E13" s="265"/>
      <c r="F13" s="265"/>
      <c r="G13" s="279">
        <f>G9+G10+G11+G12</f>
        <v>19589.399999999907</v>
      </c>
      <c r="H13" s="277">
        <f>G13+'17'!H13</f>
        <v>1363401.43</v>
      </c>
      <c r="I13" s="462">
        <f>G7-G13</f>
        <v>605.60000000009313</v>
      </c>
      <c r="J13" s="314">
        <f>H13/DAY(B2)</f>
        <v>75744.523888888885</v>
      </c>
      <c r="K13" s="315"/>
      <c r="L13" s="293"/>
    </row>
    <row r="14" spans="1:12" ht="23.25" customHeight="1">
      <c r="A14" s="1503" t="s">
        <v>139</v>
      </c>
      <c r="B14" s="1504"/>
      <c r="C14" s="1505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140</v>
      </c>
      <c r="B15" s="332"/>
      <c r="C15" s="333"/>
      <c r="D15" s="311" t="s">
        <v>141</v>
      </c>
      <c r="E15" s="312">
        <f>'17'!F15</f>
        <v>1609713.45</v>
      </c>
      <c r="F15" s="266">
        <v>1610553.59</v>
      </c>
      <c r="G15" s="325">
        <f>(F15-E15)</f>
        <v>840.14000000013039</v>
      </c>
      <c r="H15" s="277">
        <f>G15+'17'!H15</f>
        <v>-9325.0200000000186</v>
      </c>
      <c r="I15" s="276">
        <f>'1'!I15</f>
        <v>800</v>
      </c>
      <c r="J15" s="314">
        <f>H15/DAY(B2)</f>
        <v>-518.05666666666775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1318.0566666666678</v>
      </c>
      <c r="J16" s="339"/>
      <c r="K16" s="315"/>
      <c r="L16" s="293"/>
    </row>
    <row r="17" spans="1:12" ht="23.25" customHeight="1">
      <c r="A17" s="1503" t="s">
        <v>142</v>
      </c>
      <c r="B17" s="1504"/>
      <c r="C17" s="1505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508" t="s">
        <v>143</v>
      </c>
      <c r="B18" s="1509"/>
      <c r="C18" s="1510"/>
      <c r="D18" s="268" t="s">
        <v>144</v>
      </c>
      <c r="E18" s="312">
        <f>'17'!F18</f>
        <v>14</v>
      </c>
      <c r="F18" s="267">
        <v>12</v>
      </c>
      <c r="G18" s="421">
        <f>F18*10</f>
        <v>120</v>
      </c>
      <c r="H18" s="277">
        <f>G18+'17'!H18</f>
        <v>2850</v>
      </c>
      <c r="I18" s="276">
        <f>'1'!I18</f>
        <v>65</v>
      </c>
      <c r="J18" s="314">
        <f>H18/DAY(B2)</f>
        <v>158.33333333333334</v>
      </c>
      <c r="K18" s="315"/>
      <c r="L18" s="293"/>
    </row>
    <row r="19" spans="1:12" ht="23.25" customHeight="1" thickBot="1">
      <c r="A19" s="1508" t="s">
        <v>71</v>
      </c>
      <c r="B19" s="1509"/>
      <c r="C19" s="1510"/>
      <c r="D19" s="268" t="s">
        <v>144</v>
      </c>
      <c r="E19" s="312">
        <f>'17'!F19</f>
        <v>133906</v>
      </c>
      <c r="F19" s="267">
        <v>133953</v>
      </c>
      <c r="G19" s="420">
        <f t="shared" ref="G19" si="1">F19-E19</f>
        <v>47</v>
      </c>
      <c r="H19" s="277">
        <f>G19+'17'!H19</f>
        <v>-515</v>
      </c>
      <c r="I19" s="340"/>
      <c r="J19" s="314">
        <f>H19/DAY(B2)</f>
        <v>-28.611111111111111</v>
      </c>
      <c r="K19" s="315"/>
      <c r="L19" s="293"/>
    </row>
    <row r="20" spans="1:12" ht="23.25" customHeight="1">
      <c r="A20" s="437" t="s">
        <v>145</v>
      </c>
      <c r="B20" s="438"/>
      <c r="C20" s="439"/>
      <c r="D20" s="341"/>
      <c r="E20" s="341"/>
      <c r="F20" s="341"/>
      <c r="G20" s="342">
        <f>G18+G19</f>
        <v>167</v>
      </c>
      <c r="H20" s="277">
        <f>G20+'17'!H20</f>
        <v>2335</v>
      </c>
      <c r="I20" s="343">
        <f>I18-J20</f>
        <v>-64.722222222222229</v>
      </c>
      <c r="J20" s="314">
        <f>H20/DAY(B2)</f>
        <v>129.72222222222223</v>
      </c>
      <c r="K20" s="315"/>
      <c r="L20" s="293"/>
    </row>
    <row r="21" spans="1:12" ht="23.25" customHeight="1">
      <c r="A21" s="1503" t="s">
        <v>146</v>
      </c>
      <c r="B21" s="1504"/>
      <c r="C21" s="1505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11" t="s">
        <v>147</v>
      </c>
      <c r="B22" s="1212"/>
      <c r="C22" s="1213"/>
      <c r="D22" s="268" t="s">
        <v>148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11" t="s">
        <v>149</v>
      </c>
      <c r="B23" s="1212"/>
      <c r="C23" s="1213"/>
      <c r="D23" s="268" t="s">
        <v>148</v>
      </c>
      <c r="E23" s="312">
        <f>'17'!F23</f>
        <v>2000</v>
      </c>
      <c r="F23" s="267">
        <v>2000</v>
      </c>
      <c r="G23" s="279">
        <v>0</v>
      </c>
      <c r="H23" s="277">
        <f>G23+'17'!H23</f>
        <v>0</v>
      </c>
      <c r="I23" s="326"/>
      <c r="J23" s="314">
        <f>H23/DAY(B2)</f>
        <v>0</v>
      </c>
      <c r="K23" s="315"/>
      <c r="L23" s="293"/>
    </row>
    <row r="24" spans="1:12" ht="23.25" customHeight="1" thickBot="1">
      <c r="A24" s="440" t="s">
        <v>150</v>
      </c>
      <c r="B24" s="441"/>
      <c r="C24" s="442"/>
      <c r="D24" s="269" t="s">
        <v>148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514" t="s">
        <v>151</v>
      </c>
      <c r="B25" s="1515"/>
      <c r="C25" s="1516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152</v>
      </c>
      <c r="B26" s="346"/>
      <c r="C26" s="347"/>
      <c r="D26" s="348" t="s">
        <v>153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20349</v>
      </c>
      <c r="F27" s="577">
        <v>9</v>
      </c>
      <c r="G27" s="396">
        <f>E27*F27</f>
        <v>183141</v>
      </c>
      <c r="H27" s="277">
        <f>G27+'17'!H27</f>
        <v>-1873575</v>
      </c>
      <c r="I27" s="354"/>
      <c r="J27" s="314">
        <f>H27/DAY(B2)</f>
        <v>-104087.5</v>
      </c>
      <c r="K27" s="315"/>
      <c r="L27" s="484"/>
    </row>
    <row r="28" spans="1:12" s="481" customFormat="1" ht="18.75" customHeight="1">
      <c r="A28" s="345" t="s">
        <v>154</v>
      </c>
      <c r="B28" s="346"/>
      <c r="C28" s="347"/>
      <c r="D28" s="352" t="s">
        <v>155</v>
      </c>
      <c r="E28" s="355">
        <f>G15</f>
        <v>840.14000000013039</v>
      </c>
      <c r="F28" s="577">
        <v>43.5</v>
      </c>
      <c r="G28" s="396">
        <f>E28*F28</f>
        <v>36546.090000005672</v>
      </c>
      <c r="H28" s="277">
        <f>G28+'17'!H28</f>
        <v>-386332.83180000132</v>
      </c>
      <c r="I28" s="356"/>
      <c r="J28" s="314">
        <f>H28/DAY(B2)</f>
        <v>-21462.935100000075</v>
      </c>
      <c r="K28" s="315"/>
      <c r="L28" s="484"/>
    </row>
    <row r="29" spans="1:12" s="481" customFormat="1" ht="18.75" customHeight="1">
      <c r="A29" s="345" t="s">
        <v>156</v>
      </c>
      <c r="B29" s="346"/>
      <c r="C29" s="347"/>
      <c r="D29" s="352" t="s">
        <v>157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0</v>
      </c>
      <c r="I29" s="356"/>
      <c r="J29" s="314">
        <f>H29/DAY(B2)</f>
        <v>0</v>
      </c>
      <c r="K29" s="315"/>
      <c r="L29" s="484"/>
    </row>
    <row r="30" spans="1:12" s="481" customFormat="1" ht="18.75" customHeight="1">
      <c r="A30" s="345" t="s">
        <v>158</v>
      </c>
      <c r="B30" s="346"/>
      <c r="C30" s="347"/>
      <c r="D30" s="352" t="s">
        <v>159</v>
      </c>
      <c r="E30" s="357">
        <f>G19</f>
        <v>47</v>
      </c>
      <c r="F30" s="449">
        <v>134</v>
      </c>
      <c r="G30" s="396">
        <f>E30*F30</f>
        <v>6298</v>
      </c>
      <c r="H30" s="277">
        <f>G30+'17'!H30</f>
        <v>-51322</v>
      </c>
      <c r="I30" s="356"/>
      <c r="J30" s="314">
        <f>H30/DAY(B2)</f>
        <v>-2851.2222222222222</v>
      </c>
      <c r="K30" s="315"/>
      <c r="L30" s="484"/>
    </row>
    <row r="31" spans="1:12" s="481" customFormat="1" ht="18.75" customHeight="1">
      <c r="A31" s="345" t="s">
        <v>160</v>
      </c>
      <c r="B31" s="346"/>
      <c r="C31" s="347"/>
      <c r="D31" s="352" t="s">
        <v>144</v>
      </c>
      <c r="E31" s="357">
        <f>G18</f>
        <v>120</v>
      </c>
      <c r="F31" s="449">
        <v>80</v>
      </c>
      <c r="G31" s="396">
        <f>E31*F31</f>
        <v>9600</v>
      </c>
      <c r="H31" s="277">
        <f>G31+'17'!H31</f>
        <v>217440</v>
      </c>
      <c r="I31" s="356"/>
      <c r="J31" s="314"/>
      <c r="K31" s="315"/>
      <c r="L31" s="484"/>
    </row>
    <row r="32" spans="1:12" s="481" customFormat="1" ht="18.75" customHeight="1">
      <c r="A32" s="443" t="s">
        <v>161</v>
      </c>
      <c r="B32" s="444"/>
      <c r="C32" s="445"/>
      <c r="D32" s="358"/>
      <c r="E32" s="358"/>
      <c r="F32" s="358"/>
      <c r="G32" s="397">
        <f>G27+G28+G29+G30+G31</f>
        <v>235585.09000000567</v>
      </c>
      <c r="H32" s="277">
        <f>G32+'17'!H32</f>
        <v>-2093789.8318000014</v>
      </c>
      <c r="I32" s="359"/>
      <c r="J32" s="314">
        <f>H32/DAY(B2)</f>
        <v>-116321.65732222231</v>
      </c>
      <c r="K32" s="315"/>
      <c r="L32" s="484"/>
    </row>
    <row r="33" spans="1:12" ht="23.25" customHeight="1">
      <c r="A33" s="1511" t="s">
        <v>162</v>
      </c>
      <c r="B33" s="1512"/>
      <c r="C33" s="1512"/>
      <c r="D33" s="1512"/>
      <c r="E33" s="1512"/>
      <c r="F33" s="1512"/>
      <c r="G33" s="1512"/>
      <c r="H33" s="1512"/>
      <c r="I33" s="1512"/>
      <c r="J33" s="1513"/>
      <c r="K33" s="315"/>
      <c r="L33" s="293"/>
    </row>
    <row r="34" spans="1:12" ht="23.25" customHeight="1">
      <c r="A34" s="1206" t="s">
        <v>163</v>
      </c>
      <c r="B34" s="1207"/>
      <c r="C34" s="1208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164</v>
      </c>
      <c r="B35" s="328"/>
      <c r="C35" s="329"/>
      <c r="D35" s="268" t="s">
        <v>132</v>
      </c>
      <c r="E35" s="312">
        <f>'17'!F35</f>
        <v>660035.79</v>
      </c>
      <c r="F35" s="360">
        <v>662775.94999999995</v>
      </c>
      <c r="G35" s="325">
        <f>F35-E35</f>
        <v>2740.1599999999162</v>
      </c>
      <c r="H35" s="277">
        <f>G35+'17'!H35</f>
        <v>-30311.640000000014</v>
      </c>
      <c r="I35" s="263"/>
      <c r="J35" s="314">
        <f>H35/DAY(B2)</f>
        <v>-1683.9800000000007</v>
      </c>
      <c r="K35" s="315"/>
      <c r="L35" s="293"/>
    </row>
    <row r="36" spans="1:12" ht="23.25" customHeight="1" thickBot="1">
      <c r="A36" s="327" t="s">
        <v>165</v>
      </c>
      <c r="B36" s="328"/>
      <c r="C36" s="329"/>
      <c r="D36" s="268" t="s">
        <v>132</v>
      </c>
      <c r="E36" s="312">
        <f>'17'!F36</f>
        <v>288225.75</v>
      </c>
      <c r="F36" s="360">
        <v>289109.55</v>
      </c>
      <c r="G36" s="325">
        <f t="shared" ref="G36:G46" si="3">F36-E36</f>
        <v>883.79999999998836</v>
      </c>
      <c r="H36" s="277">
        <f>G36+'17'!H36</f>
        <v>-7336.0200000000186</v>
      </c>
      <c r="I36" s="263"/>
      <c r="J36" s="314">
        <f>H36/DAY(B2)</f>
        <v>-407.5566666666677</v>
      </c>
      <c r="K36" s="315"/>
      <c r="L36" s="293"/>
    </row>
    <row r="37" spans="1:12" ht="23.25" customHeight="1" thickBot="1">
      <c r="A37" s="327" t="s">
        <v>166</v>
      </c>
      <c r="B37" s="328"/>
      <c r="C37" s="329"/>
      <c r="D37" s="268" t="s">
        <v>132</v>
      </c>
      <c r="E37" s="312">
        <f>'17'!F37</f>
        <v>15757.98</v>
      </c>
      <c r="F37" s="360">
        <v>17226.91</v>
      </c>
      <c r="G37" s="325">
        <f>F37-E37</f>
        <v>1468.9300000000003</v>
      </c>
      <c r="H37" s="277">
        <f>G37+'17'!H37</f>
        <v>20331.990000000002</v>
      </c>
      <c r="I37" s="263"/>
      <c r="J37" s="314">
        <f>H37/DAY(B2)</f>
        <v>1129.5550000000001</v>
      </c>
      <c r="K37" s="315"/>
      <c r="L37" s="293"/>
    </row>
    <row r="38" spans="1:12" ht="23.25" customHeight="1" thickBot="1">
      <c r="A38" s="327" t="s">
        <v>167</v>
      </c>
      <c r="B38" s="328"/>
      <c r="C38" s="329"/>
      <c r="D38" s="268" t="s">
        <v>132</v>
      </c>
      <c r="E38" s="312">
        <f>'17'!F38</f>
        <v>21208.86</v>
      </c>
      <c r="F38" s="361">
        <v>23259.4</v>
      </c>
      <c r="G38" s="325">
        <f t="shared" si="3"/>
        <v>2050.5400000000009</v>
      </c>
      <c r="H38" s="277">
        <f>G38+'17'!H38</f>
        <v>-20554.089999999997</v>
      </c>
      <c r="I38" s="263"/>
      <c r="J38" s="314">
        <f>H38/DAY(B2)</f>
        <v>-1141.8938888888888</v>
      </c>
      <c r="K38" s="315"/>
      <c r="L38" s="293"/>
    </row>
    <row r="39" spans="1:12" ht="23.25" customHeight="1" thickBot="1">
      <c r="A39" s="327" t="s">
        <v>168</v>
      </c>
      <c r="B39" s="328"/>
      <c r="C39" s="329"/>
      <c r="D39" s="268" t="s">
        <v>132</v>
      </c>
      <c r="E39" s="312">
        <f>'17'!F39</f>
        <v>44433.18</v>
      </c>
      <c r="F39" s="360">
        <v>48714.36</v>
      </c>
      <c r="G39" s="325">
        <f>F39-E39</f>
        <v>4281.18</v>
      </c>
      <c r="H39" s="277">
        <f>G39+'17'!H39</f>
        <v>58107.249999999993</v>
      </c>
      <c r="I39" s="263"/>
      <c r="J39" s="314">
        <f>H39/DAY(B2)</f>
        <v>3228.1805555555552</v>
      </c>
      <c r="K39" s="315"/>
      <c r="L39" s="293"/>
    </row>
    <row r="40" spans="1:12" ht="23.25" customHeight="1" thickBot="1">
      <c r="A40" s="362" t="s">
        <v>169</v>
      </c>
      <c r="B40" s="363"/>
      <c r="C40" s="364"/>
      <c r="D40" s="268" t="s">
        <v>132</v>
      </c>
      <c r="E40" s="312">
        <v>0</v>
      </c>
      <c r="F40" s="360">
        <v>0</v>
      </c>
      <c r="G40" s="325">
        <f t="shared" si="3"/>
        <v>0</v>
      </c>
      <c r="H40" s="277">
        <f>G40+'17'!H40</f>
        <v>-0.06</v>
      </c>
      <c r="I40" s="263"/>
      <c r="J40" s="314">
        <f>H40/DAY(B2)</f>
        <v>-3.3333333333333331E-3</v>
      </c>
      <c r="K40" s="330"/>
      <c r="L40" s="293"/>
    </row>
    <row r="41" spans="1:12" ht="23.25" customHeight="1" thickBot="1">
      <c r="A41" s="327" t="s">
        <v>170</v>
      </c>
      <c r="B41" s="328"/>
      <c r="C41" s="329"/>
      <c r="D41" s="268" t="s">
        <v>132</v>
      </c>
      <c r="E41" s="312">
        <f>'17'!F41</f>
        <v>61860.89</v>
      </c>
      <c r="F41" s="360">
        <v>63882.37</v>
      </c>
      <c r="G41" s="325">
        <f t="shared" si="3"/>
        <v>2021.4800000000032</v>
      </c>
      <c r="H41" s="277">
        <f>G41+'17'!H41</f>
        <v>0</v>
      </c>
      <c r="I41" s="263"/>
      <c r="J41" s="314">
        <f>H41/DAY(B2)</f>
        <v>0</v>
      </c>
      <c r="K41" s="315"/>
      <c r="L41" s="293"/>
    </row>
    <row r="42" spans="1:12" ht="23.25" customHeight="1" thickBot="1">
      <c r="A42" s="327" t="s">
        <v>171</v>
      </c>
      <c r="B42" s="328"/>
      <c r="C42" s="329"/>
      <c r="D42" s="268" t="s">
        <v>132</v>
      </c>
      <c r="E42" s="312">
        <f>'17'!F42</f>
        <v>58926</v>
      </c>
      <c r="F42" s="360">
        <v>59128.85</v>
      </c>
      <c r="G42" s="325">
        <f t="shared" si="3"/>
        <v>202.84999999999854</v>
      </c>
      <c r="H42" s="277">
        <f>G42+'17'!H42</f>
        <v>0</v>
      </c>
      <c r="I42" s="263"/>
      <c r="J42" s="314">
        <f>H42/DAY(B2)</f>
        <v>0</v>
      </c>
      <c r="K42" s="315"/>
      <c r="L42" s="293"/>
    </row>
    <row r="43" spans="1:12" ht="23.25" customHeight="1" thickBot="1">
      <c r="A43" s="327" t="s">
        <v>172</v>
      </c>
      <c r="B43" s="328"/>
      <c r="C43" s="329"/>
      <c r="D43" s="268" t="s">
        <v>132</v>
      </c>
      <c r="E43" s="312">
        <f>'17'!F43</f>
        <v>800191.59</v>
      </c>
      <c r="F43" s="360">
        <v>802525.75</v>
      </c>
      <c r="G43" s="325">
        <f t="shared" si="3"/>
        <v>2334.1600000000326</v>
      </c>
      <c r="H43" s="277">
        <f>G43+'17'!H43</f>
        <v>-23372.079999999958</v>
      </c>
      <c r="I43" s="263"/>
      <c r="J43" s="314">
        <f>H43/DAY(B2)</f>
        <v>-1298.4488888888866</v>
      </c>
      <c r="K43" s="315"/>
      <c r="L43" s="293"/>
    </row>
    <row r="44" spans="1:12" ht="23.25" customHeight="1" thickBot="1">
      <c r="A44" s="327" t="s">
        <v>173</v>
      </c>
      <c r="B44" s="328"/>
      <c r="C44" s="329"/>
      <c r="D44" s="268" t="s">
        <v>132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174</v>
      </c>
      <c r="B45" s="328"/>
      <c r="C45" s="329"/>
      <c r="D45" s="268" t="s">
        <v>132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0</v>
      </c>
      <c r="I45" s="263"/>
      <c r="J45" s="314">
        <f>H45/DAY(B2)</f>
        <v>0</v>
      </c>
      <c r="K45" s="315"/>
      <c r="L45" s="293"/>
    </row>
    <row r="46" spans="1:12" ht="23.25" customHeight="1" thickBot="1">
      <c r="A46" s="327" t="s">
        <v>175</v>
      </c>
      <c r="B46" s="328"/>
      <c r="C46" s="329"/>
      <c r="D46" s="268" t="s">
        <v>132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0.43999999999999773</v>
      </c>
      <c r="I46" s="263"/>
      <c r="J46" s="314">
        <f>H46/DAY(B2)</f>
        <v>2.4444444444444317E-2</v>
      </c>
      <c r="K46" s="315"/>
      <c r="L46" s="293"/>
    </row>
    <row r="47" spans="1:12" ht="23.25" customHeight="1">
      <c r="A47" s="437" t="s">
        <v>176</v>
      </c>
      <c r="B47" s="438"/>
      <c r="C47" s="439"/>
      <c r="D47" s="365"/>
      <c r="E47" s="269"/>
      <c r="F47" s="269"/>
      <c r="G47" s="279">
        <f>G35+G36+G37+G38+G39+G40+G41+G42+G43+G44+G45+G46</f>
        <v>15983.049999999941</v>
      </c>
      <c r="H47" s="277">
        <f>G47+'17'!H47</f>
        <v>-3134.2100000000137</v>
      </c>
      <c r="I47" s="263"/>
      <c r="J47" s="314">
        <f>H47/DAY(B2)</f>
        <v>-174.12277777777854</v>
      </c>
      <c r="K47" s="315"/>
      <c r="L47" s="293"/>
    </row>
    <row r="48" spans="1:12" ht="23.25" customHeight="1">
      <c r="A48" s="1206" t="s">
        <v>177</v>
      </c>
      <c r="B48" s="1207"/>
      <c r="C48" s="1208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164</v>
      </c>
      <c r="B49" s="366"/>
      <c r="C49" s="367"/>
      <c r="D49" s="268" t="s">
        <v>132</v>
      </c>
      <c r="E49" s="312">
        <f>'17'!F49</f>
        <v>260732.13</v>
      </c>
      <c r="F49" s="360">
        <v>260732.13</v>
      </c>
      <c r="G49" s="325">
        <f t="shared" ref="G49:G58" si="4">F49-E49</f>
        <v>0</v>
      </c>
      <c r="H49" s="277">
        <f>G49+'17'!H49</f>
        <v>0</v>
      </c>
      <c r="I49" s="263"/>
      <c r="J49" s="314">
        <f>H49/DAY(B2)</f>
        <v>0</v>
      </c>
      <c r="K49" s="315">
        <f>E49+247</f>
        <v>260979.13</v>
      </c>
      <c r="L49" s="293"/>
    </row>
    <row r="50" spans="1:12" ht="23.25" customHeight="1" thickBot="1">
      <c r="A50" s="327" t="s">
        <v>178</v>
      </c>
      <c r="B50" s="366"/>
      <c r="C50" s="367"/>
      <c r="D50" s="268" t="s">
        <v>132</v>
      </c>
      <c r="E50" s="312">
        <f>'17'!F50</f>
        <v>389033.47</v>
      </c>
      <c r="F50" s="360">
        <v>390162.03</v>
      </c>
      <c r="G50" s="325">
        <f t="shared" si="4"/>
        <v>1128.5600000000559</v>
      </c>
      <c r="H50" s="277">
        <f>G50+'17'!H50</f>
        <v>-13495</v>
      </c>
      <c r="I50" s="263"/>
      <c r="J50" s="314">
        <f>H50/DAY(B2)</f>
        <v>-749.72222222222217</v>
      </c>
      <c r="K50" s="315"/>
      <c r="L50" s="293"/>
    </row>
    <row r="51" spans="1:12" ht="23.25" customHeight="1" thickBot="1">
      <c r="A51" s="327" t="s">
        <v>166</v>
      </c>
      <c r="B51" s="366"/>
      <c r="C51" s="367"/>
      <c r="D51" s="268" t="s">
        <v>132</v>
      </c>
      <c r="E51" s="312">
        <f>'17'!F51</f>
        <v>120050.92</v>
      </c>
      <c r="F51" s="360">
        <v>120050.92</v>
      </c>
      <c r="G51" s="325">
        <f t="shared" si="4"/>
        <v>0</v>
      </c>
      <c r="H51" s="277">
        <f>G51+'17'!H51</f>
        <v>-1549</v>
      </c>
      <c r="I51" s="263"/>
      <c r="J51" s="314">
        <f>H51/DAY(B2)</f>
        <v>-86.055555555555557</v>
      </c>
      <c r="K51" s="315"/>
      <c r="L51" s="293"/>
    </row>
    <row r="52" spans="1:12" ht="23.25" customHeight="1" thickBot="1">
      <c r="A52" s="327" t="s">
        <v>179</v>
      </c>
      <c r="B52" s="366"/>
      <c r="C52" s="367"/>
      <c r="D52" s="268" t="s">
        <v>132</v>
      </c>
      <c r="E52" s="312">
        <f>'17'!F52</f>
        <v>507912.71</v>
      </c>
      <c r="F52" s="360">
        <v>507912.71</v>
      </c>
      <c r="G52" s="325">
        <f t="shared" si="4"/>
        <v>0</v>
      </c>
      <c r="H52" s="277">
        <f>G52+'17'!H52</f>
        <v>-2046</v>
      </c>
      <c r="I52" s="263"/>
      <c r="J52" s="314">
        <f>H52/DAY(B2)</f>
        <v>-113.66666666666667</v>
      </c>
      <c r="K52" s="315"/>
      <c r="L52" s="293"/>
    </row>
    <row r="53" spans="1:12" ht="23.25" customHeight="1" thickBot="1">
      <c r="A53" s="327" t="s">
        <v>168</v>
      </c>
      <c r="B53" s="366"/>
      <c r="C53" s="367"/>
      <c r="D53" s="268" t="s">
        <v>132</v>
      </c>
      <c r="E53" s="312">
        <f>'17'!F53</f>
        <v>331854.51</v>
      </c>
      <c r="F53" s="1320">
        <v>331854.51</v>
      </c>
      <c r="G53" s="325">
        <f t="shared" si="4"/>
        <v>0</v>
      </c>
      <c r="H53" s="277">
        <f>G53+'17'!H53</f>
        <v>-4185</v>
      </c>
      <c r="I53" s="263"/>
      <c r="J53" s="314">
        <f>H53/DAY(B2)</f>
        <v>-232.5</v>
      </c>
      <c r="K53" s="315"/>
      <c r="L53" s="293"/>
    </row>
    <row r="54" spans="1:12" ht="23.25" customHeight="1" thickBot="1">
      <c r="A54" s="327" t="s">
        <v>180</v>
      </c>
      <c r="B54" s="366"/>
      <c r="C54" s="367"/>
      <c r="D54" s="268" t="s">
        <v>132</v>
      </c>
      <c r="E54" s="312">
        <f>'17'!F54</f>
        <v>7329.37</v>
      </c>
      <c r="F54" s="360">
        <v>7399.4</v>
      </c>
      <c r="G54" s="325">
        <f t="shared" si="4"/>
        <v>70.029999999999745</v>
      </c>
      <c r="H54" s="277">
        <f>G54+'17'!H54</f>
        <v>-696.23000000000047</v>
      </c>
      <c r="I54" s="263"/>
      <c r="J54" s="314">
        <f>H54/DAY(B2)</f>
        <v>-38.679444444444471</v>
      </c>
      <c r="K54" s="315"/>
      <c r="L54" s="293"/>
    </row>
    <row r="55" spans="1:12" ht="23.25" customHeight="1" thickBot="1">
      <c r="A55" s="327" t="s">
        <v>181</v>
      </c>
      <c r="B55" s="366"/>
      <c r="C55" s="367"/>
      <c r="D55" s="268" t="s">
        <v>132</v>
      </c>
      <c r="E55" s="312">
        <f>'17'!F55</f>
        <v>94218.42</v>
      </c>
      <c r="F55" s="360">
        <v>94270.399999999994</v>
      </c>
      <c r="G55" s="325">
        <f t="shared" si="4"/>
        <v>51.979999999995925</v>
      </c>
      <c r="H55" s="277">
        <f>G55+'17'!H55</f>
        <v>-28314.290000000008</v>
      </c>
      <c r="I55" s="263"/>
      <c r="J55" s="314">
        <f>H55/DAY(B2)</f>
        <v>-1573.0161111111115</v>
      </c>
      <c r="K55" s="315"/>
      <c r="L55" s="293"/>
    </row>
    <row r="56" spans="1:12" ht="23.25" customHeight="1" thickBot="1">
      <c r="A56" s="327" t="s">
        <v>182</v>
      </c>
      <c r="B56" s="366"/>
      <c r="C56" s="367"/>
      <c r="D56" s="268" t="s">
        <v>183</v>
      </c>
      <c r="E56" s="312">
        <f>'17'!F56</f>
        <v>557802.51</v>
      </c>
      <c r="F56" s="360">
        <v>560113.06999999995</v>
      </c>
      <c r="G56" s="325">
        <f t="shared" si="4"/>
        <v>2310.5599999999395</v>
      </c>
      <c r="H56" s="277">
        <f>G56+'17'!H56</f>
        <v>-25937.960000000079</v>
      </c>
      <c r="I56" s="263"/>
      <c r="J56" s="314">
        <f>H56/DAY(B2)</f>
        <v>-1440.9977777777822</v>
      </c>
      <c r="K56" s="307"/>
      <c r="L56" s="293"/>
    </row>
    <row r="57" spans="1:12" ht="23.25" customHeight="1" thickBot="1">
      <c r="A57" s="327" t="s">
        <v>172</v>
      </c>
      <c r="B57" s="366"/>
      <c r="C57" s="367"/>
      <c r="D57" s="268" t="s">
        <v>132</v>
      </c>
      <c r="E57" s="312">
        <f>'17'!F57</f>
        <v>7711.33</v>
      </c>
      <c r="F57" s="360">
        <v>7711.33</v>
      </c>
      <c r="G57" s="325">
        <f t="shared" si="4"/>
        <v>0</v>
      </c>
      <c r="H57" s="277">
        <f>G57+'17'!H57</f>
        <v>0</v>
      </c>
      <c r="I57" s="263"/>
      <c r="J57" s="314">
        <f>H57/DAY(B2)</f>
        <v>0</v>
      </c>
      <c r="K57" s="315"/>
      <c r="L57" s="293"/>
    </row>
    <row r="58" spans="1:12" ht="23.25" customHeight="1" thickBot="1">
      <c r="A58" s="327" t="s">
        <v>184</v>
      </c>
      <c r="B58" s="366"/>
      <c r="C58" s="367"/>
      <c r="D58" s="268" t="s">
        <v>132</v>
      </c>
      <c r="E58" s="312">
        <f>'17'!F58</f>
        <v>33643.31</v>
      </c>
      <c r="F58" s="360">
        <v>33857.69</v>
      </c>
      <c r="G58" s="325">
        <f t="shared" si="4"/>
        <v>214.38000000000466</v>
      </c>
      <c r="H58" s="277">
        <f>G58+'17'!H58</f>
        <v>-2207.0099999999948</v>
      </c>
      <c r="I58" s="263"/>
      <c r="J58" s="314">
        <f>H58/DAY(B2)</f>
        <v>-122.61166666666638</v>
      </c>
      <c r="K58" s="315"/>
      <c r="L58" s="293"/>
    </row>
    <row r="59" spans="1:12" ht="23.25" customHeight="1">
      <c r="A59" s="437" t="s">
        <v>176</v>
      </c>
      <c r="B59" s="438"/>
      <c r="C59" s="439"/>
      <c r="D59" s="269"/>
      <c r="E59" s="269"/>
      <c r="F59" s="269"/>
      <c r="G59" s="279">
        <f>G49+G50+G51+G52+G53+G54+G55+G56+G57+G58</f>
        <v>3775.5099999999957</v>
      </c>
      <c r="H59" s="277">
        <f>G59+'17'!H59</f>
        <v>-78430.490000000093</v>
      </c>
      <c r="I59" s="263">
        <f>G7-G60</f>
        <v>436.44000000006417</v>
      </c>
      <c r="J59" s="314">
        <f>H59/DAY(B2)</f>
        <v>-4357.2494444444492</v>
      </c>
      <c r="K59" s="315"/>
      <c r="L59" s="293"/>
    </row>
    <row r="60" spans="1:12" ht="23.25" customHeight="1">
      <c r="A60" s="368"/>
      <c r="B60" s="368"/>
      <c r="C60" s="368"/>
      <c r="D60" s="269" t="s">
        <v>185</v>
      </c>
      <c r="E60" s="269"/>
      <c r="F60" s="269"/>
      <c r="G60" s="279">
        <f>G47+G59</f>
        <v>19758.559999999936</v>
      </c>
      <c r="H60" s="277">
        <f>G60+'17'!H60</f>
        <v>-67395.700000000157</v>
      </c>
      <c r="I60" s="263">
        <f>G13-G60</f>
        <v>-169.16000000002896</v>
      </c>
      <c r="J60" s="314">
        <f>H60/DAY(B2)</f>
        <v>-3744.2055555555644</v>
      </c>
      <c r="K60" s="315"/>
      <c r="L60" s="293"/>
    </row>
    <row r="61" spans="1:12" ht="23.25" customHeight="1">
      <c r="A61" s="429" t="s">
        <v>186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98</v>
      </c>
      <c r="B62" s="370"/>
      <c r="C62" s="371"/>
      <c r="D62" s="269" t="s">
        <v>187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-7.0000000014260877E-3</v>
      </c>
      <c r="I62" s="372"/>
      <c r="J62" s="314">
        <f>H62/DAY(B2)</f>
        <v>-3.8888888896811596E-4</v>
      </c>
      <c r="K62" s="315"/>
      <c r="L62" s="293"/>
    </row>
    <row r="63" spans="1:12" ht="23.25" customHeight="1" thickBot="1">
      <c r="A63" s="369" t="s">
        <v>188</v>
      </c>
      <c r="B63" s="370"/>
      <c r="C63" s="371"/>
      <c r="D63" s="269" t="s">
        <v>187</v>
      </c>
      <c r="E63" s="312">
        <f>'17'!F63</f>
        <v>1558.35</v>
      </c>
      <c r="F63" s="270">
        <v>1571.72</v>
      </c>
      <c r="G63" s="325">
        <f t="shared" si="5"/>
        <v>13.370000000000118</v>
      </c>
      <c r="H63" s="277">
        <f>G63+'17'!H63</f>
        <v>-135.63999999999987</v>
      </c>
      <c r="I63" s="372"/>
      <c r="J63" s="314">
        <f>H63/DAY(B2)</f>
        <v>-7.5355555555555487</v>
      </c>
      <c r="K63" s="315"/>
      <c r="L63" s="293"/>
    </row>
    <row r="64" spans="1:12" ht="23.25" customHeight="1" thickBot="1">
      <c r="A64" s="1517" t="s">
        <v>99</v>
      </c>
      <c r="B64" s="1518"/>
      <c r="C64" s="1519"/>
      <c r="D64" s="268" t="s">
        <v>187</v>
      </c>
      <c r="E64" s="312">
        <f>'17'!F64</f>
        <v>118398.78</v>
      </c>
      <c r="F64" s="267">
        <v>118827.98</v>
      </c>
      <c r="G64" s="325">
        <f t="shared" si="5"/>
        <v>429.19999999999709</v>
      </c>
      <c r="H64" s="277">
        <f>G64+'17'!H64</f>
        <v>-4799.320000000007</v>
      </c>
      <c r="I64" s="326"/>
      <c r="J64" s="314">
        <f>H64/DAY(B2)</f>
        <v>-266.62888888888926</v>
      </c>
      <c r="K64" s="315"/>
      <c r="L64" s="293"/>
    </row>
    <row r="65" spans="1:12" ht="23.25" customHeight="1" thickBot="1">
      <c r="A65" s="1517" t="s">
        <v>100</v>
      </c>
      <c r="B65" s="1518"/>
      <c r="C65" s="1519"/>
      <c r="D65" s="268" t="s">
        <v>187</v>
      </c>
      <c r="E65" s="312">
        <f>'17'!F65</f>
        <v>128247.81</v>
      </c>
      <c r="F65" s="267">
        <v>128645.1</v>
      </c>
      <c r="G65" s="325">
        <f t="shared" si="5"/>
        <v>397.29000000000815</v>
      </c>
      <c r="H65" s="277">
        <f>G65+'17'!H65</f>
        <v>-3952.1999999999825</v>
      </c>
      <c r="I65" s="340"/>
      <c r="J65" s="314">
        <f>H65/DAY(B2)</f>
        <v>-219.5666666666657</v>
      </c>
      <c r="K65" s="315"/>
      <c r="L65" s="293"/>
    </row>
    <row r="66" spans="1:12" ht="23.25" customHeight="1" thickBot="1">
      <c r="A66" s="1517" t="s">
        <v>101</v>
      </c>
      <c r="B66" s="1518"/>
      <c r="C66" s="1519"/>
      <c r="D66" s="268" t="s">
        <v>187</v>
      </c>
      <c r="E66" s="312">
        <f>'17'!F66</f>
        <v>20852.34</v>
      </c>
      <c r="F66" s="267">
        <v>21251.279999999999</v>
      </c>
      <c r="G66" s="325">
        <f t="shared" si="5"/>
        <v>398.93999999999869</v>
      </c>
      <c r="H66" s="277">
        <f>G66+'17'!H66</f>
        <v>-3908.4700000000012</v>
      </c>
      <c r="I66" s="326"/>
      <c r="J66" s="314">
        <f>H66/DAY(B2)</f>
        <v>-217.13722222222228</v>
      </c>
      <c r="K66" s="315"/>
      <c r="L66" s="293"/>
    </row>
    <row r="67" spans="1:12" ht="23.25" customHeight="1" thickBot="1">
      <c r="A67" s="1517" t="s">
        <v>102</v>
      </c>
      <c r="B67" s="1518"/>
      <c r="C67" s="1519"/>
      <c r="D67" s="268" t="s">
        <v>187</v>
      </c>
      <c r="E67" s="312">
        <f>'17'!F67</f>
        <v>200595.89</v>
      </c>
      <c r="F67" s="267">
        <v>201261</v>
      </c>
      <c r="G67" s="325">
        <f t="shared" si="5"/>
        <v>665.10999999998603</v>
      </c>
      <c r="H67" s="277">
        <f>G67+'17'!H67</f>
        <v>-6580.8299999999872</v>
      </c>
      <c r="I67" s="340"/>
      <c r="J67" s="314">
        <f>H67/DAY(B2)</f>
        <v>-365.60166666666595</v>
      </c>
      <c r="K67" s="330"/>
      <c r="L67" s="293"/>
    </row>
    <row r="68" spans="1:12" ht="23.25" customHeight="1" thickBot="1">
      <c r="A68" s="1517" t="s">
        <v>103</v>
      </c>
      <c r="B68" s="1518"/>
      <c r="C68" s="1519"/>
      <c r="D68" s="268" t="s">
        <v>187</v>
      </c>
      <c r="E68" s="312">
        <f>'17'!F68</f>
        <v>69092.17</v>
      </c>
      <c r="F68" s="267">
        <v>69482.3</v>
      </c>
      <c r="G68" s="325">
        <f t="shared" si="5"/>
        <v>390.13000000000466</v>
      </c>
      <c r="H68" s="277">
        <f>G68+'17'!H68</f>
        <v>-3196.2200000000012</v>
      </c>
      <c r="I68" s="373"/>
      <c r="J68" s="314">
        <f>H68/DAY(B2)</f>
        <v>-177.56777777777785</v>
      </c>
      <c r="K68" s="374"/>
      <c r="L68" s="293"/>
    </row>
    <row r="69" spans="1:12" ht="23.25" customHeight="1" thickBot="1">
      <c r="A69" s="1517" t="s">
        <v>104</v>
      </c>
      <c r="B69" s="1518"/>
      <c r="C69" s="1519"/>
      <c r="D69" s="268" t="s">
        <v>187</v>
      </c>
      <c r="E69" s="312">
        <f>'17'!F69</f>
        <v>60872.25</v>
      </c>
      <c r="F69" s="267">
        <v>61188.27</v>
      </c>
      <c r="G69" s="325">
        <f t="shared" si="5"/>
        <v>316.0199999999968</v>
      </c>
      <c r="H69" s="277">
        <f>G69+'17'!H69</f>
        <v>-3263.8199999999997</v>
      </c>
      <c r="I69" s="373"/>
      <c r="J69" s="314">
        <f>H69/DAY(B2)</f>
        <v>-181.32333333333332</v>
      </c>
      <c r="K69" s="375"/>
      <c r="L69" s="293"/>
    </row>
    <row r="70" spans="1:12" ht="23.25" customHeight="1">
      <c r="A70" s="1526" t="s">
        <v>189</v>
      </c>
      <c r="B70" s="1527"/>
      <c r="C70" s="1528"/>
      <c r="D70" s="268" t="s">
        <v>187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523" t="s">
        <v>190</v>
      </c>
      <c r="B71" s="1524"/>
      <c r="C71" s="1524"/>
      <c r="D71" s="1524"/>
      <c r="E71" s="1524"/>
      <c r="F71" s="1524"/>
      <c r="G71" s="1524"/>
      <c r="H71" s="1524"/>
      <c r="I71" s="1524"/>
      <c r="J71" s="1525"/>
      <c r="K71" s="374"/>
      <c r="L71" s="293"/>
    </row>
    <row r="72" spans="1:12" ht="23.25" customHeight="1" thickBot="1">
      <c r="A72" s="1517" t="s">
        <v>191</v>
      </c>
      <c r="B72" s="1518"/>
      <c r="C72" s="1519"/>
      <c r="D72" s="268" t="s">
        <v>187</v>
      </c>
      <c r="E72" s="312">
        <f>'17'!F72</f>
        <v>849784</v>
      </c>
      <c r="F72" s="271">
        <v>849849</v>
      </c>
      <c r="G72" s="325">
        <f t="shared" ref="G72:G84" si="6">F72-E72</f>
        <v>65</v>
      </c>
      <c r="H72" s="277">
        <f>G72+'17'!H72</f>
        <v>1456</v>
      </c>
      <c r="I72" s="326"/>
      <c r="J72" s="314">
        <f>H72/DAY(B2)</f>
        <v>80.888888888888886</v>
      </c>
      <c r="K72" s="375"/>
      <c r="L72" s="293"/>
    </row>
    <row r="73" spans="1:12" ht="23.25" customHeight="1" thickBot="1">
      <c r="A73" s="1517" t="s">
        <v>192</v>
      </c>
      <c r="B73" s="1518"/>
      <c r="C73" s="1519"/>
      <c r="D73" s="268" t="s">
        <v>187</v>
      </c>
      <c r="E73" s="312">
        <f>'17'!F73</f>
        <v>885740</v>
      </c>
      <c r="F73" s="271">
        <v>885740</v>
      </c>
      <c r="G73" s="325">
        <f t="shared" si="6"/>
        <v>0</v>
      </c>
      <c r="H73" s="277">
        <f>G73+'17'!H73</f>
        <v>-1168</v>
      </c>
      <c r="I73" s="326"/>
      <c r="J73" s="314">
        <f>H73/DAY(B2)</f>
        <v>-64.888888888888886</v>
      </c>
      <c r="K73" s="374"/>
      <c r="L73" s="293"/>
    </row>
    <row r="74" spans="1:12" ht="23.25" customHeight="1" thickBot="1">
      <c r="A74" s="1517" t="s">
        <v>193</v>
      </c>
      <c r="B74" s="1518"/>
      <c r="C74" s="1519"/>
      <c r="D74" s="268" t="s">
        <v>187</v>
      </c>
      <c r="E74" s="312">
        <f>'17'!F74</f>
        <v>301.76</v>
      </c>
      <c r="F74" s="271">
        <v>353.78</v>
      </c>
      <c r="G74" s="325">
        <f t="shared" si="6"/>
        <v>52.019999999999982</v>
      </c>
      <c r="H74" s="277">
        <f>G74+'17'!H74</f>
        <v>-232.3900000000001</v>
      </c>
      <c r="I74" s="326"/>
      <c r="J74" s="314">
        <f>H74/DAY(B2)</f>
        <v>-12.910555555555561</v>
      </c>
      <c r="K74" s="375"/>
      <c r="L74" s="293"/>
    </row>
    <row r="75" spans="1:12" ht="23.25" customHeight="1" thickBot="1">
      <c r="A75" s="1520" t="s">
        <v>194</v>
      </c>
      <c r="B75" s="1521"/>
      <c r="C75" s="1522"/>
      <c r="D75" s="268" t="s">
        <v>187</v>
      </c>
      <c r="E75" s="312">
        <f>'17'!F75</f>
        <v>1609.55</v>
      </c>
      <c r="F75" s="271">
        <v>1809.61</v>
      </c>
      <c r="G75" s="325">
        <f t="shared" si="6"/>
        <v>200.05999999999995</v>
      </c>
      <c r="H75" s="277">
        <f>G75+'17'!H75</f>
        <v>-1709.6099999999994</v>
      </c>
      <c r="I75" s="326"/>
      <c r="J75" s="314">
        <f>H75/DAY(B2)</f>
        <v>-94.978333333333296</v>
      </c>
      <c r="K75" s="374"/>
      <c r="L75" s="293"/>
    </row>
    <row r="76" spans="1:12" ht="23.25" customHeight="1" thickBot="1">
      <c r="A76" s="1520" t="s">
        <v>195</v>
      </c>
      <c r="B76" s="1521"/>
      <c r="C76" s="1522"/>
      <c r="D76" s="268" t="s">
        <v>187</v>
      </c>
      <c r="E76" s="312">
        <f>'17'!F76</f>
        <v>658.5</v>
      </c>
      <c r="F76" s="271">
        <v>745.94</v>
      </c>
      <c r="G76" s="325">
        <f t="shared" si="6"/>
        <v>87.440000000000055</v>
      </c>
      <c r="H76" s="277">
        <f>G76+'17'!H76</f>
        <v>-2312.4799999999996</v>
      </c>
      <c r="I76" s="356"/>
      <c r="J76" s="314">
        <f>H76/DAY(B2)</f>
        <v>-128.4711111111111</v>
      </c>
      <c r="K76" s="374"/>
      <c r="L76" s="293"/>
    </row>
    <row r="77" spans="1:12" ht="23.25" customHeight="1" thickBot="1">
      <c r="A77" s="1517" t="s">
        <v>196</v>
      </c>
      <c r="B77" s="1518"/>
      <c r="C77" s="1519"/>
      <c r="D77" s="268" t="s">
        <v>187</v>
      </c>
      <c r="E77" s="312">
        <f>'17'!F77</f>
        <v>698053</v>
      </c>
      <c r="F77" s="271">
        <v>698104</v>
      </c>
      <c r="G77" s="325">
        <f t="shared" si="6"/>
        <v>51</v>
      </c>
      <c r="H77" s="277">
        <f>G77+'17'!H77</f>
        <v>-484</v>
      </c>
      <c r="I77" s="356"/>
      <c r="J77" s="314">
        <f>H77/DAY(B2)</f>
        <v>-26.888888888888889</v>
      </c>
      <c r="K77" s="374"/>
      <c r="L77" s="293"/>
    </row>
    <row r="78" spans="1:12" ht="23.25" customHeight="1" thickBot="1">
      <c r="A78" s="1214" t="s">
        <v>197</v>
      </c>
      <c r="B78" s="1215"/>
      <c r="C78" s="1216"/>
      <c r="D78" s="268" t="s">
        <v>187</v>
      </c>
      <c r="E78" s="312">
        <f>'17'!F78</f>
        <v>648925</v>
      </c>
      <c r="F78" s="271">
        <v>649295</v>
      </c>
      <c r="G78" s="325">
        <f t="shared" si="6"/>
        <v>370</v>
      </c>
      <c r="H78" s="277">
        <f>G78+'17'!H78</f>
        <v>-3568</v>
      </c>
      <c r="I78" s="356"/>
      <c r="J78" s="314">
        <f>H78/DAY(B2)</f>
        <v>-198.22222222222223</v>
      </c>
      <c r="K78" s="374"/>
      <c r="L78" s="293"/>
    </row>
    <row r="79" spans="1:12" ht="23.25" customHeight="1" thickBot="1">
      <c r="A79" s="1529" t="s">
        <v>92</v>
      </c>
      <c r="B79" s="1530"/>
      <c r="C79" s="1531"/>
      <c r="D79" s="376" t="s">
        <v>187</v>
      </c>
      <c r="E79" s="312">
        <f>'17'!F79</f>
        <v>813005</v>
      </c>
      <c r="F79" s="271">
        <v>813181</v>
      </c>
      <c r="G79" s="325">
        <f t="shared" si="6"/>
        <v>176</v>
      </c>
      <c r="H79" s="277">
        <f>G79+'17'!H79</f>
        <v>-4555</v>
      </c>
      <c r="I79" s="356"/>
      <c r="J79" s="314">
        <f>H79/DAY(B2)</f>
        <v>-253.05555555555554</v>
      </c>
      <c r="K79" s="374"/>
      <c r="L79" s="293"/>
    </row>
    <row r="80" spans="1:12" ht="23.25" customHeight="1" thickBot="1">
      <c r="A80" s="1529" t="s">
        <v>198</v>
      </c>
      <c r="B80" s="1530"/>
      <c r="C80" s="1531"/>
      <c r="D80" s="376" t="s">
        <v>187</v>
      </c>
      <c r="E80" s="312">
        <f>'17'!F80</f>
        <v>490621.96</v>
      </c>
      <c r="F80" s="271">
        <v>490959</v>
      </c>
      <c r="G80" s="325">
        <f t="shared" si="6"/>
        <v>337.03999999997905</v>
      </c>
      <c r="H80" s="277">
        <f>G80+'17'!H80</f>
        <v>-1040.679999999993</v>
      </c>
      <c r="I80" s="356"/>
      <c r="J80" s="314">
        <f>H80/DAY(B2)</f>
        <v>-57.815555555555164</v>
      </c>
      <c r="K80" s="374"/>
      <c r="L80" s="293"/>
    </row>
    <row r="81" spans="1:15" ht="23.25" customHeight="1" thickBot="1">
      <c r="A81" s="1529" t="s">
        <v>199</v>
      </c>
      <c r="B81" s="1530"/>
      <c r="C81" s="1531"/>
      <c r="D81" s="376" t="s">
        <v>187</v>
      </c>
      <c r="E81" s="312">
        <f>'17'!F81</f>
        <v>624595.16</v>
      </c>
      <c r="F81" s="271">
        <v>624690</v>
      </c>
      <c r="G81" s="325">
        <f t="shared" si="6"/>
        <v>94.839999999967404</v>
      </c>
      <c r="H81" s="277">
        <f>G81+'17'!H81</f>
        <v>-1253.8399999999674</v>
      </c>
      <c r="I81" s="356"/>
      <c r="J81" s="314">
        <f>H81/DAY(B2)</f>
        <v>-69.657777777775962</v>
      </c>
      <c r="K81" s="374"/>
      <c r="L81" s="293"/>
    </row>
    <row r="82" spans="1:15" ht="23.25" customHeight="1" thickBot="1">
      <c r="A82" s="1535" t="s">
        <v>93</v>
      </c>
      <c r="B82" s="1530"/>
      <c r="C82" s="1531"/>
      <c r="D82" s="377" t="s">
        <v>132</v>
      </c>
      <c r="E82" s="312">
        <f>'17'!F82</f>
        <v>105944.32000000001</v>
      </c>
      <c r="F82" s="272">
        <v>105965</v>
      </c>
      <c r="G82" s="325">
        <f t="shared" si="6"/>
        <v>20.679999999993015</v>
      </c>
      <c r="H82" s="277">
        <f>G82+'17'!H82</f>
        <v>-237.47999999999593</v>
      </c>
      <c r="I82" s="378"/>
      <c r="J82" s="314">
        <f>H82/DAY(B2)</f>
        <v>-13.193333333333108</v>
      </c>
      <c r="K82" s="374"/>
      <c r="L82" s="293"/>
    </row>
    <row r="83" spans="1:15" ht="23.25" customHeight="1" thickBot="1">
      <c r="A83" s="1535" t="s">
        <v>200</v>
      </c>
      <c r="B83" s="1530"/>
      <c r="C83" s="1531"/>
      <c r="D83" s="273" t="s">
        <v>132</v>
      </c>
      <c r="E83" s="312">
        <f>'17'!F83</f>
        <v>991187</v>
      </c>
      <c r="F83" s="269">
        <v>991686</v>
      </c>
      <c r="G83" s="325">
        <f t="shared" si="6"/>
        <v>499</v>
      </c>
      <c r="H83" s="277">
        <f>G83+'17'!H83</f>
        <v>995089</v>
      </c>
      <c r="I83" s="279"/>
      <c r="J83" s="314">
        <f>H83/DAY(B2)</f>
        <v>55282.722222222219</v>
      </c>
      <c r="K83" s="330"/>
      <c r="L83" s="293"/>
    </row>
    <row r="84" spans="1:15" ht="23.25" customHeight="1" thickBot="1">
      <c r="A84" s="1217" t="s">
        <v>201</v>
      </c>
      <c r="B84" s="1217"/>
      <c r="C84" s="1218"/>
      <c r="D84" s="379" t="s">
        <v>132</v>
      </c>
      <c r="E84" s="312">
        <f>'17'!F84</f>
        <v>424405</v>
      </c>
      <c r="F84" s="268">
        <v>424887</v>
      </c>
      <c r="G84" s="325">
        <f t="shared" si="6"/>
        <v>482</v>
      </c>
      <c r="H84" s="277">
        <f>G84+'17'!H84</f>
        <v>-5911</v>
      </c>
      <c r="I84" s="279"/>
      <c r="J84" s="314">
        <f>H84/DAY(B2)</f>
        <v>-328.38888888888891</v>
      </c>
      <c r="K84" s="380"/>
      <c r="L84" s="293"/>
    </row>
    <row r="85" spans="1:15" s="383" customFormat="1" ht="23.25" customHeight="1">
      <c r="A85" s="446" t="s">
        <v>202</v>
      </c>
      <c r="B85" s="447"/>
      <c r="C85" s="447"/>
      <c r="D85" s="381"/>
      <c r="E85" s="268"/>
      <c r="F85" s="268"/>
      <c r="G85" s="399">
        <f xml:space="preserve"> SUM(G72:G84)</f>
        <v>2435.0799999999394</v>
      </c>
      <c r="H85" s="277">
        <f>G85+'17'!H85</f>
        <v>972481.25999999989</v>
      </c>
      <c r="I85" s="279"/>
      <c r="J85" s="314">
        <f>H85/DAY(B2)</f>
        <v>54026.736666666664</v>
      </c>
      <c r="K85" s="380"/>
      <c r="L85" s="382"/>
    </row>
    <row r="86" spans="1:15" s="817" customFormat="1" ht="29.25">
      <c r="A86" s="812" t="s">
        <v>94</v>
      </c>
      <c r="B86" s="813"/>
      <c r="C86" s="813"/>
      <c r="D86" s="814" t="s">
        <v>183</v>
      </c>
      <c r="E86" s="704">
        <f>'17'!F86</f>
        <v>449084</v>
      </c>
      <c r="F86" s="728">
        <v>449213</v>
      </c>
      <c r="G86" s="787">
        <f t="shared" ref="G86:G90" si="7">F86-E86</f>
        <v>129</v>
      </c>
      <c r="H86" s="787">
        <f t="shared" ref="H86:H88" si="8">G86</f>
        <v>129</v>
      </c>
      <c r="I86" s="733"/>
      <c r="J86" s="789">
        <f>H86/DAY(B2)</f>
        <v>7.166666666666667</v>
      </c>
      <c r="K86" s="815"/>
      <c r="L86" s="816"/>
      <c r="O86" s="795"/>
    </row>
    <row r="87" spans="1:15" s="817" customFormat="1" ht="29.25">
      <c r="A87" s="812" t="s">
        <v>95</v>
      </c>
      <c r="B87" s="813"/>
      <c r="C87" s="813"/>
      <c r="D87" s="814" t="s">
        <v>183</v>
      </c>
      <c r="E87" s="704">
        <f>'17'!F87</f>
        <v>78908.7</v>
      </c>
      <c r="F87" s="728">
        <v>78939</v>
      </c>
      <c r="G87" s="787">
        <f t="shared" si="7"/>
        <v>30.30000000000291</v>
      </c>
      <c r="H87" s="787">
        <f t="shared" si="8"/>
        <v>30.30000000000291</v>
      </c>
      <c r="I87" s="733"/>
      <c r="J87" s="789">
        <f>H87/DAY(B2)</f>
        <v>1.683333333333495</v>
      </c>
      <c r="K87" s="815"/>
      <c r="L87" s="816"/>
      <c r="O87" s="795"/>
    </row>
    <row r="88" spans="1:15" s="817" customFormat="1" ht="29.25">
      <c r="A88" s="812" t="s">
        <v>96</v>
      </c>
      <c r="B88" s="813"/>
      <c r="C88" s="813"/>
      <c r="D88" s="814" t="s">
        <v>183</v>
      </c>
      <c r="E88" s="704">
        <f>'17'!F88</f>
        <v>147637.9</v>
      </c>
      <c r="F88" s="728">
        <v>147714</v>
      </c>
      <c r="G88" s="787">
        <f t="shared" si="7"/>
        <v>76.100000000005821</v>
      </c>
      <c r="H88" s="787">
        <f t="shared" si="8"/>
        <v>76.100000000005821</v>
      </c>
      <c r="I88" s="733"/>
      <c r="J88" s="789">
        <f>H88/DAY(B2)</f>
        <v>4.2277777777781012</v>
      </c>
      <c r="K88" s="815"/>
      <c r="L88" s="816"/>
      <c r="O88" s="795"/>
    </row>
    <row r="89" spans="1:15" s="817" customFormat="1" ht="29.25">
      <c r="A89" s="812" t="s">
        <v>204</v>
      </c>
      <c r="B89" s="813"/>
      <c r="C89" s="813"/>
      <c r="D89" s="814" t="s">
        <v>183</v>
      </c>
      <c r="E89" s="704">
        <f>'17'!F89</f>
        <v>60932.5</v>
      </c>
      <c r="F89" s="728">
        <v>61000.5</v>
      </c>
      <c r="G89" s="787">
        <f t="shared" si="7"/>
        <v>68</v>
      </c>
      <c r="H89" s="787">
        <f>G89</f>
        <v>68</v>
      </c>
      <c r="I89" s="733"/>
      <c r="J89" s="789">
        <f>H89/DAY(B2)</f>
        <v>3.7777777777777777</v>
      </c>
      <c r="K89" s="815"/>
      <c r="L89" s="816"/>
      <c r="N89" s="860"/>
      <c r="O89" s="413"/>
    </row>
    <row r="90" spans="1:15" s="817" customFormat="1" ht="29.25">
      <c r="A90" s="812" t="s">
        <v>204</v>
      </c>
      <c r="B90" s="813"/>
      <c r="C90" s="813"/>
      <c r="D90" s="814" t="s">
        <v>183</v>
      </c>
      <c r="E90" s="704">
        <f>'17'!F90</f>
        <v>3125.4</v>
      </c>
      <c r="F90" s="728">
        <v>3129.2</v>
      </c>
      <c r="G90" s="787">
        <f t="shared" si="7"/>
        <v>3.7999999999997272</v>
      </c>
      <c r="H90" s="787">
        <f>G90</f>
        <v>3.7999999999997272</v>
      </c>
      <c r="I90" s="733"/>
      <c r="J90" s="789">
        <f>H90/DAY(B2)</f>
        <v>0.21111111111109596</v>
      </c>
      <c r="K90" s="815"/>
      <c r="L90" s="816"/>
      <c r="N90" s="860"/>
      <c r="O90" s="413"/>
    </row>
    <row r="91" spans="1:15" s="383" customFormat="1" ht="23.25" customHeight="1">
      <c r="A91" s="1209" t="s">
        <v>205</v>
      </c>
      <c r="B91" s="435"/>
      <c r="C91" s="1210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508" t="s">
        <v>206</v>
      </c>
      <c r="B92" s="1509"/>
      <c r="C92" s="1510"/>
      <c r="D92" s="268" t="s">
        <v>144</v>
      </c>
      <c r="E92" s="312">
        <f>'17'!F92</f>
        <v>238514</v>
      </c>
      <c r="F92" s="267">
        <v>238595</v>
      </c>
      <c r="G92" s="325">
        <f t="shared" ref="G92:G93" si="9">F92-E92</f>
        <v>81</v>
      </c>
      <c r="H92" s="277">
        <f>G92+'17'!H92</f>
        <v>-1100</v>
      </c>
      <c r="I92" s="326"/>
      <c r="J92" s="314">
        <f>H92/DAY(B2)</f>
        <v>-61.111111111111114</v>
      </c>
      <c r="K92" s="330"/>
      <c r="L92" s="293"/>
    </row>
    <row r="93" spans="1:15" ht="23.25" customHeight="1" thickBot="1">
      <c r="A93" s="1508" t="s">
        <v>207</v>
      </c>
      <c r="B93" s="1509"/>
      <c r="C93" s="1510"/>
      <c r="D93" s="268" t="s">
        <v>144</v>
      </c>
      <c r="E93" s="312">
        <f>'17'!F93</f>
        <v>173931</v>
      </c>
      <c r="F93" s="267">
        <v>174068</v>
      </c>
      <c r="G93" s="325">
        <f t="shared" si="9"/>
        <v>137</v>
      </c>
      <c r="H93" s="277">
        <f>G93+'17'!H93</f>
        <v>-1593</v>
      </c>
      <c r="I93" s="326"/>
      <c r="J93" s="314">
        <f>H93/DAY(B2)</f>
        <v>-88.5</v>
      </c>
      <c r="K93" s="380"/>
      <c r="L93" s="293"/>
    </row>
    <row r="94" spans="1:15" ht="23.25" customHeight="1" thickBot="1">
      <c r="A94" s="1532" t="s">
        <v>208</v>
      </c>
      <c r="B94" s="1533"/>
      <c r="C94" s="1534"/>
      <c r="D94" s="268"/>
      <c r="E94" s="312">
        <f>'17'!F94</f>
        <v>0</v>
      </c>
      <c r="F94" s="267"/>
      <c r="G94" s="325">
        <f>G92+G93</f>
        <v>218</v>
      </c>
      <c r="H94" s="277">
        <f>G94+'17'!H94</f>
        <v>-2959</v>
      </c>
      <c r="I94" s="326"/>
      <c r="J94" s="314">
        <f>H94/DAY(B2)</f>
        <v>-164.38888888888889</v>
      </c>
      <c r="K94" s="380"/>
      <c r="L94" s="293"/>
    </row>
    <row r="95" spans="1:15" ht="23.25" customHeight="1" thickBot="1">
      <c r="A95" s="1508" t="s">
        <v>209</v>
      </c>
      <c r="B95" s="1509"/>
      <c r="C95" s="1510"/>
      <c r="D95" s="268" t="s">
        <v>144</v>
      </c>
      <c r="E95" s="312">
        <f>'17'!F95</f>
        <v>407209</v>
      </c>
      <c r="F95" s="267">
        <v>407283</v>
      </c>
      <c r="G95" s="325">
        <f t="shared" ref="G95:G100" si="10">F95-E95</f>
        <v>74</v>
      </c>
      <c r="H95" s="277">
        <f>G95+'17'!H95</f>
        <v>-873</v>
      </c>
      <c r="I95" s="326"/>
      <c r="J95" s="314">
        <f>H95/DAY(B2)</f>
        <v>-48.5</v>
      </c>
      <c r="K95" s="380"/>
      <c r="L95" s="293"/>
    </row>
    <row r="96" spans="1:15" ht="23.25" customHeight="1" thickBot="1">
      <c r="A96" s="1211" t="s">
        <v>210</v>
      </c>
      <c r="B96" s="1212"/>
      <c r="C96" s="1213"/>
      <c r="D96" s="268" t="s">
        <v>144</v>
      </c>
      <c r="E96" s="312">
        <f>'17'!F96</f>
        <v>101124</v>
      </c>
      <c r="F96" s="267">
        <v>101140</v>
      </c>
      <c r="G96" s="325">
        <f t="shared" si="10"/>
        <v>16</v>
      </c>
      <c r="H96" s="277">
        <f>G96+'17'!H96</f>
        <v>-192</v>
      </c>
      <c r="I96" s="326"/>
      <c r="J96" s="314">
        <f>H96/DAY(B2)</f>
        <v>-10.666666666666666</v>
      </c>
      <c r="K96" s="307"/>
      <c r="L96" s="293"/>
    </row>
    <row r="97" spans="1:12" ht="23.25" customHeight="1" thickBot="1">
      <c r="A97" s="1211" t="s">
        <v>211</v>
      </c>
      <c r="B97" s="1212"/>
      <c r="C97" s="1213"/>
      <c r="D97" s="268" t="s">
        <v>144</v>
      </c>
      <c r="E97" s="312">
        <f>'17'!F97</f>
        <v>96197</v>
      </c>
      <c r="F97" s="267">
        <v>96214</v>
      </c>
      <c r="G97" s="325">
        <f t="shared" si="10"/>
        <v>17</v>
      </c>
      <c r="H97" s="277">
        <f>G97+'17'!H97</f>
        <v>-235</v>
      </c>
      <c r="I97" s="326"/>
      <c r="J97" s="314">
        <f>H97/DAY(B2)</f>
        <v>-13.055555555555555</v>
      </c>
      <c r="K97" s="384"/>
      <c r="L97" s="293"/>
    </row>
    <row r="98" spans="1:12" ht="23.25" customHeight="1" thickBot="1">
      <c r="A98" s="1211" t="s">
        <v>212</v>
      </c>
      <c r="B98" s="1212"/>
      <c r="C98" s="1213"/>
      <c r="D98" s="268" t="s">
        <v>144</v>
      </c>
      <c r="E98" s="312">
        <f>'17'!F98</f>
        <v>146697</v>
      </c>
      <c r="F98" s="267">
        <v>146775</v>
      </c>
      <c r="G98" s="325">
        <f t="shared" si="10"/>
        <v>78</v>
      </c>
      <c r="H98" s="277">
        <f>G98+'17'!H98</f>
        <v>-833</v>
      </c>
      <c r="I98" s="326"/>
      <c r="J98" s="314">
        <f>H98/DAY(B2)</f>
        <v>-46.277777777777779</v>
      </c>
      <c r="K98" s="380"/>
      <c r="L98" s="293"/>
    </row>
    <row r="99" spans="1:12" ht="23.25" customHeight="1" thickBot="1">
      <c r="A99" s="1211" t="s">
        <v>213</v>
      </c>
      <c r="B99" s="1212"/>
      <c r="C99" s="1213"/>
      <c r="D99" s="268" t="s">
        <v>144</v>
      </c>
      <c r="E99" s="312">
        <f>'17'!F99</f>
        <v>6198</v>
      </c>
      <c r="F99" s="267">
        <v>6220</v>
      </c>
      <c r="G99" s="325">
        <f t="shared" si="10"/>
        <v>22</v>
      </c>
      <c r="H99" s="277">
        <f>G99+'17'!H99</f>
        <v>-188</v>
      </c>
      <c r="I99" s="326"/>
      <c r="J99" s="314">
        <f>H99/DAY(B2)</f>
        <v>-10.444444444444445</v>
      </c>
      <c r="K99" s="380"/>
      <c r="L99" s="293"/>
    </row>
    <row r="100" spans="1:12" ht="23.25" customHeight="1" thickBot="1">
      <c r="A100" s="1211" t="s">
        <v>214</v>
      </c>
      <c r="B100" s="1212"/>
      <c r="C100" s="1213"/>
      <c r="D100" s="268" t="s">
        <v>144</v>
      </c>
      <c r="E100" s="312">
        <f>'17'!F100</f>
        <v>4401</v>
      </c>
      <c r="F100" s="267">
        <v>4406</v>
      </c>
      <c r="G100" s="325">
        <f t="shared" si="10"/>
        <v>5</v>
      </c>
      <c r="H100" s="277">
        <f>G100+'17'!H100</f>
        <v>-137</v>
      </c>
      <c r="I100" s="326"/>
      <c r="J100" s="314">
        <f>H100/DAY(B2)</f>
        <v>-7.6111111111111107</v>
      </c>
      <c r="K100" s="380"/>
      <c r="L100" s="293"/>
    </row>
    <row r="101" spans="1:12" ht="23.25" customHeight="1">
      <c r="A101" s="1532" t="s">
        <v>216</v>
      </c>
      <c r="B101" s="1533"/>
      <c r="C101" s="1534"/>
      <c r="D101" s="274"/>
      <c r="E101" s="274"/>
      <c r="F101" s="274"/>
      <c r="G101" s="448">
        <f>SUM(G95:G100)</f>
        <v>212</v>
      </c>
      <c r="H101" s="277">
        <f>G101+'17'!H101</f>
        <v>-2458</v>
      </c>
      <c r="I101" s="388"/>
      <c r="J101" s="314">
        <f>H101/DAY(B2)</f>
        <v>-136.55555555555554</v>
      </c>
      <c r="K101" s="380"/>
      <c r="L101" s="293"/>
    </row>
    <row r="102" spans="1:12" s="481" customFormat="1" ht="25.5" customHeight="1">
      <c r="A102" s="514" t="s">
        <v>217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541" t="s">
        <v>218</v>
      </c>
      <c r="B103" s="1542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543" t="s">
        <v>219</v>
      </c>
      <c r="B104" s="1543"/>
      <c r="C104" s="1205"/>
      <c r="D104" s="515" t="s">
        <v>144</v>
      </c>
      <c r="E104" s="485">
        <f>'17'!F104</f>
        <v>7097</v>
      </c>
      <c r="F104" s="485">
        <v>7097</v>
      </c>
      <c r="G104" s="485">
        <f>F104-E104</f>
        <v>0</v>
      </c>
      <c r="H104" s="486">
        <f>SUM(G104+'1'!G76)</f>
        <v>79.150000000000091</v>
      </c>
      <c r="I104" s="485"/>
      <c r="J104" s="486">
        <f>H104/DAY(B2)</f>
        <v>4.3972222222222275</v>
      </c>
    </row>
    <row r="105" spans="1:12" s="481" customFormat="1" ht="21.75" customHeight="1">
      <c r="A105" s="1543" t="s">
        <v>77</v>
      </c>
      <c r="B105" s="1543"/>
      <c r="C105" s="1205"/>
      <c r="D105" s="515" t="s">
        <v>144</v>
      </c>
      <c r="E105" s="485">
        <f>'17'!F105</f>
        <v>35306</v>
      </c>
      <c r="F105" s="487">
        <v>35314</v>
      </c>
      <c r="G105" s="485">
        <f t="shared" ref="G105:G106" si="11">F105-E105</f>
        <v>8</v>
      </c>
      <c r="H105" s="486">
        <f>SUM(G105+'1'!G77)</f>
        <v>53</v>
      </c>
      <c r="I105" s="485"/>
      <c r="J105" s="486">
        <f>H105/DAY(B2)</f>
        <v>2.9444444444444446</v>
      </c>
    </row>
    <row r="106" spans="1:12" s="481" customFormat="1" ht="21.75" customHeight="1">
      <c r="A106" s="1543" t="s">
        <v>78</v>
      </c>
      <c r="B106" s="1543"/>
      <c r="C106" s="1543"/>
      <c r="D106" s="515" t="s">
        <v>144</v>
      </c>
      <c r="E106" s="485">
        <f>'17'!F106</f>
        <v>19179</v>
      </c>
      <c r="F106" s="485">
        <v>19189</v>
      </c>
      <c r="G106" s="485">
        <f t="shared" si="11"/>
        <v>10</v>
      </c>
      <c r="H106" s="486">
        <f>SUM(G106+'1'!G78)</f>
        <v>400</v>
      </c>
      <c r="I106" s="485"/>
      <c r="J106" s="486">
        <f>H106/DAY(B2)</f>
        <v>22.222222222222221</v>
      </c>
    </row>
    <row r="107" spans="1:12" s="481" customFormat="1" ht="21.75" customHeight="1">
      <c r="A107" s="1544" t="s">
        <v>202</v>
      </c>
      <c r="B107" s="1544"/>
      <c r="C107" s="1205"/>
      <c r="D107" s="515"/>
      <c r="E107" s="485">
        <f>'17'!F107</f>
        <v>0</v>
      </c>
      <c r="F107" s="485"/>
      <c r="G107" s="485">
        <f>SUM(G104:G106)</f>
        <v>18</v>
      </c>
      <c r="H107" s="486">
        <f>SUM(G107+'1'!G79)</f>
        <v>210</v>
      </c>
      <c r="I107" s="485"/>
      <c r="J107" s="486">
        <f>H107/DAY(B2)</f>
        <v>11.666666666666666</v>
      </c>
    </row>
    <row r="108" spans="1:12" s="481" customFormat="1" ht="21.75" customHeight="1">
      <c r="A108" s="1545" t="s">
        <v>79</v>
      </c>
      <c r="B108" s="1545"/>
      <c r="C108" s="1205"/>
      <c r="D108" s="515" t="s">
        <v>144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543" t="s">
        <v>220</v>
      </c>
      <c r="B109" s="1543"/>
      <c r="C109" s="1205"/>
      <c r="D109" s="515" t="s">
        <v>144</v>
      </c>
      <c r="E109" s="485">
        <f>'17'!F109</f>
        <v>55688</v>
      </c>
      <c r="F109" s="485">
        <v>55748</v>
      </c>
      <c r="G109" s="485">
        <f>F109-E109</f>
        <v>60</v>
      </c>
      <c r="H109" s="486">
        <f>SUM(G109+'1'!G81)</f>
        <v>172.56000000005588</v>
      </c>
      <c r="I109" s="485"/>
      <c r="J109" s="486">
        <f>H109/DAY(B2)</f>
        <v>9.5866666666697711</v>
      </c>
    </row>
    <row r="110" spans="1:12" s="481" customFormat="1" ht="21.75" customHeight="1">
      <c r="A110" s="1543" t="s">
        <v>221</v>
      </c>
      <c r="B110" s="1543"/>
      <c r="C110" s="1205"/>
      <c r="D110" s="515" t="s">
        <v>144</v>
      </c>
      <c r="E110" s="485">
        <f>'17'!F110</f>
        <v>29614</v>
      </c>
      <c r="F110" s="485">
        <v>29706</v>
      </c>
      <c r="G110" s="485">
        <f t="shared" ref="G110:G111" si="12">F110-E110</f>
        <v>92</v>
      </c>
      <c r="H110" s="486">
        <f>SUM(G110+'1'!G82)</f>
        <v>110.16999999999825</v>
      </c>
      <c r="I110" s="485"/>
      <c r="J110" s="486">
        <f>H110/DAY(B2)</f>
        <v>6.1205555555554589</v>
      </c>
    </row>
    <row r="111" spans="1:12" s="481" customFormat="1" ht="21.75" customHeight="1">
      <c r="A111" s="1543" t="s">
        <v>222</v>
      </c>
      <c r="B111" s="1543"/>
      <c r="C111" s="1205"/>
      <c r="D111" s="515" t="s">
        <v>144</v>
      </c>
      <c r="E111" s="485">
        <f>'17'!F111</f>
        <v>3905</v>
      </c>
      <c r="F111" s="485">
        <v>3912</v>
      </c>
      <c r="G111" s="485">
        <f t="shared" si="12"/>
        <v>7</v>
      </c>
      <c r="H111" s="486">
        <f>SUM(G111+'1'!G83)</f>
        <v>527</v>
      </c>
      <c r="I111" s="485"/>
      <c r="J111" s="486">
        <f>H111/DAY(B2)</f>
        <v>29.277777777777779</v>
      </c>
    </row>
    <row r="112" spans="1:12" s="481" customFormat="1" ht="21.75" customHeight="1">
      <c r="A112" s="1546" t="s">
        <v>110</v>
      </c>
      <c r="B112" s="1546"/>
      <c r="C112" s="1205"/>
      <c r="D112" s="515"/>
      <c r="E112" s="485">
        <f>'17'!F112</f>
        <v>0</v>
      </c>
      <c r="F112" s="485"/>
      <c r="G112" s="485">
        <f>SUM(G109:G111)</f>
        <v>159</v>
      </c>
      <c r="H112" s="486">
        <f>SUM(G112+'1'!G84)</f>
        <v>849</v>
      </c>
      <c r="I112" s="485"/>
      <c r="J112" s="486">
        <f>H112/DAY(B2)</f>
        <v>47.166666666666664</v>
      </c>
    </row>
    <row r="113" spans="1:12" s="481" customFormat="1" ht="21.75" customHeight="1">
      <c r="A113" s="1545" t="s">
        <v>223</v>
      </c>
      <c r="B113" s="1545"/>
      <c r="C113" s="1205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543" t="s">
        <v>224</v>
      </c>
      <c r="B114" s="1543"/>
      <c r="C114" s="519"/>
      <c r="D114" s="515" t="s">
        <v>144</v>
      </c>
      <c r="E114" s="485">
        <f>'17'!F114</f>
        <v>10074</v>
      </c>
      <c r="F114" s="489">
        <v>10099</v>
      </c>
      <c r="G114" s="489">
        <f>F114-E114</f>
        <v>25</v>
      </c>
      <c r="H114" s="489">
        <f>SUM(G114+'1'!G91)</f>
        <v>25</v>
      </c>
      <c r="I114" s="485"/>
      <c r="J114" s="486">
        <f>H114/DAY(B2)</f>
        <v>1.3888888888888888</v>
      </c>
    </row>
    <row r="115" spans="1:12" s="481" customFormat="1" ht="21.75" customHeight="1">
      <c r="A115" s="1543" t="s">
        <v>225</v>
      </c>
      <c r="B115" s="1543"/>
      <c r="C115" s="519"/>
      <c r="D115" s="515" t="s">
        <v>144</v>
      </c>
      <c r="E115" s="485">
        <f>'17'!F115</f>
        <v>7561</v>
      </c>
      <c r="F115" s="489">
        <v>7566</v>
      </c>
      <c r="G115" s="489">
        <f t="shared" ref="G115:G116" si="13">F115-E115</f>
        <v>5</v>
      </c>
      <c r="H115" s="489">
        <f>SUM(G115+'1'!G92)</f>
        <v>127</v>
      </c>
      <c r="I115" s="485"/>
      <c r="J115" s="486">
        <f>H115/DAY(B2)</f>
        <v>7.0555555555555554</v>
      </c>
    </row>
    <row r="116" spans="1:12" s="481" customFormat="1" ht="21.75" customHeight="1">
      <c r="A116" s="1543" t="s">
        <v>226</v>
      </c>
      <c r="B116" s="1543"/>
      <c r="C116" s="519"/>
      <c r="D116" s="515" t="s">
        <v>144</v>
      </c>
      <c r="E116" s="489"/>
      <c r="F116" s="489"/>
      <c r="G116" s="489">
        <f t="shared" si="13"/>
        <v>0</v>
      </c>
      <c r="H116" s="489">
        <f>SUM(G116+'1'!G93)</f>
        <v>144</v>
      </c>
      <c r="I116" s="485"/>
      <c r="J116" s="486">
        <f>H116/DAY(B2)</f>
        <v>8</v>
      </c>
    </row>
    <row r="117" spans="1:12" s="494" customFormat="1">
      <c r="A117" s="1544" t="s">
        <v>202</v>
      </c>
      <c r="B117" s="1544"/>
      <c r="C117" s="519"/>
      <c r="D117" s="516"/>
      <c r="E117" s="489"/>
      <c r="F117" s="489"/>
      <c r="G117" s="489">
        <f>SUM(G114:G116)</f>
        <v>30</v>
      </c>
      <c r="H117" s="489">
        <f>SUM(G117+'1'!G95)</f>
        <v>106</v>
      </c>
      <c r="I117" s="489"/>
      <c r="J117" s="486">
        <f>H117/DAY(B2)</f>
        <v>5.8888888888888893</v>
      </c>
    </row>
    <row r="118" spans="1:12" s="495" customFormat="1">
      <c r="A118" s="1547" t="s">
        <v>227</v>
      </c>
      <c r="B118" s="1547"/>
      <c r="C118" s="1204"/>
      <c r="D118" s="517" t="s">
        <v>144</v>
      </c>
      <c r="E118" s="513"/>
      <c r="F118" s="491">
        <f>SUM(G19+G92)</f>
        <v>128</v>
      </c>
      <c r="G118" s="491">
        <f>SUM(G19+G92)</f>
        <v>128</v>
      </c>
      <c r="H118" s="490">
        <f>SUM(G118+'1'!G96)</f>
        <v>141</v>
      </c>
      <c r="I118" s="513"/>
      <c r="J118" s="491">
        <f>H118/DAY(B2)</f>
        <v>7.833333333333333</v>
      </c>
    </row>
    <row r="119" spans="1:12" s="495" customFormat="1">
      <c r="A119" s="1547" t="s">
        <v>228</v>
      </c>
      <c r="B119" s="1547"/>
      <c r="C119" s="1204"/>
      <c r="D119" s="517" t="s">
        <v>144</v>
      </c>
      <c r="E119" s="513"/>
      <c r="F119" s="491">
        <f>SUM(G95,G96,G97,G99,G100)</f>
        <v>134</v>
      </c>
      <c r="G119" s="491">
        <f>SUM(G95,G96,G97,G99,G100)</f>
        <v>134</v>
      </c>
      <c r="H119" s="490">
        <f>SUM(G119+'1'!G98)</f>
        <v>204</v>
      </c>
      <c r="I119" s="513"/>
      <c r="J119" s="491">
        <f>H119/DAY(B2)</f>
        <v>11.333333333333334</v>
      </c>
    </row>
    <row r="120" spans="1:12" s="495" customFormat="1">
      <c r="A120" s="1547" t="s">
        <v>229</v>
      </c>
      <c r="B120" s="1547"/>
      <c r="C120" s="1204"/>
      <c r="D120" s="517" t="s">
        <v>144</v>
      </c>
      <c r="E120" s="513"/>
      <c r="F120" s="489">
        <f>SUM(G112)</f>
        <v>159</v>
      </c>
      <c r="G120" s="489">
        <f>SUM(G112)</f>
        <v>159</v>
      </c>
      <c r="H120" s="490">
        <f>SUM(G120+'1'!G100)</f>
        <v>173</v>
      </c>
      <c r="I120" s="513"/>
      <c r="J120" s="491">
        <f>H120/DAY(B2)</f>
        <v>9.6111111111111107</v>
      </c>
    </row>
    <row r="121" spans="1:12" s="481" customFormat="1" ht="18.75" customHeight="1">
      <c r="A121" s="1548"/>
      <c r="B121" s="1548"/>
      <c r="C121" s="1205"/>
      <c r="F121" s="481" t="s">
        <v>215</v>
      </c>
      <c r="H121" s="492"/>
      <c r="J121" s="493"/>
    </row>
    <row r="122" spans="1:12" ht="23.25" customHeight="1">
      <c r="A122" s="1536" t="s">
        <v>230</v>
      </c>
      <c r="B122" s="1537"/>
      <c r="C122" s="1538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231</v>
      </c>
      <c r="B123" s="386"/>
      <c r="C123" s="387"/>
      <c r="D123" s="319" t="s">
        <v>141</v>
      </c>
      <c r="E123" s="312">
        <f>'17'!F123</f>
        <v>808115.93</v>
      </c>
      <c r="F123" s="275">
        <v>808376.34</v>
      </c>
      <c r="G123" s="325">
        <f t="shared" ref="G123:G127" si="14">F123-E123</f>
        <v>260.40999999991618</v>
      </c>
      <c r="H123" s="277">
        <f>G123+'17'!H123</f>
        <v>-2630.5</v>
      </c>
      <c r="I123" s="389"/>
      <c r="J123" s="314">
        <f>H123/DAY(B2)</f>
        <v>-146.13888888888889</v>
      </c>
      <c r="K123" s="380"/>
      <c r="L123" s="293"/>
    </row>
    <row r="124" spans="1:12" ht="23.25" customHeight="1" thickBot="1">
      <c r="A124" s="385" t="s">
        <v>232</v>
      </c>
      <c r="B124" s="386"/>
      <c r="C124" s="387"/>
      <c r="D124" s="319" t="s">
        <v>141</v>
      </c>
      <c r="E124" s="312">
        <f>'17'!F124</f>
        <v>73583.399999999994</v>
      </c>
      <c r="F124" s="275">
        <v>73583.399999999994</v>
      </c>
      <c r="G124" s="325">
        <f t="shared" si="14"/>
        <v>0</v>
      </c>
      <c r="H124" s="277">
        <f>G124+'17'!H124</f>
        <v>0</v>
      </c>
      <c r="I124" s="389"/>
      <c r="J124" s="314">
        <f>H124/DAY(B2)</f>
        <v>0</v>
      </c>
      <c r="K124" s="380"/>
      <c r="L124" s="293"/>
    </row>
    <row r="125" spans="1:12" ht="23.25" customHeight="1" thickBot="1">
      <c r="A125" s="1517" t="s">
        <v>233</v>
      </c>
      <c r="B125" s="1518"/>
      <c r="C125" s="1519"/>
      <c r="D125" s="268" t="s">
        <v>141</v>
      </c>
      <c r="E125" s="312">
        <f>'17'!F125</f>
        <v>139149.48000000001</v>
      </c>
      <c r="F125" s="264">
        <v>139226.75</v>
      </c>
      <c r="G125" s="325">
        <f t="shared" si="14"/>
        <v>77.269999999989523</v>
      </c>
      <c r="H125" s="277">
        <f>G125+'17'!H125</f>
        <v>-752.58999999999651</v>
      </c>
      <c r="I125" s="389"/>
      <c r="J125" s="314">
        <f>H125/DAY(B2)</f>
        <v>-41.810555555555361</v>
      </c>
      <c r="K125" s="380"/>
      <c r="L125" s="293"/>
    </row>
    <row r="126" spans="1:12" ht="23.25" customHeight="1" thickBot="1">
      <c r="A126" s="416" t="s">
        <v>234</v>
      </c>
      <c r="B126" s="1212"/>
      <c r="C126" s="1213"/>
      <c r="D126" s="268" t="s">
        <v>141</v>
      </c>
      <c r="E126" s="312">
        <f>'17'!F126</f>
        <v>59029.8</v>
      </c>
      <c r="F126" s="264">
        <v>59055.5</v>
      </c>
      <c r="G126" s="325">
        <f t="shared" si="14"/>
        <v>25.69999999999709</v>
      </c>
      <c r="H126" s="277">
        <f>G126+'17'!H126</f>
        <v>-251.40000000000146</v>
      </c>
      <c r="I126" s="389"/>
      <c r="J126" s="314">
        <f>H126/DAY(B2)</f>
        <v>-13.966666666666747</v>
      </c>
      <c r="K126" s="380"/>
      <c r="L126" s="293"/>
    </row>
    <row r="127" spans="1:12" ht="23.25" customHeight="1" thickBot="1">
      <c r="A127" s="416" t="s">
        <v>235</v>
      </c>
      <c r="B127" s="1212"/>
      <c r="C127" s="1213"/>
      <c r="D127" s="268" t="s">
        <v>141</v>
      </c>
      <c r="E127" s="312">
        <f>'17'!F127</f>
        <v>8868.1</v>
      </c>
      <c r="F127" s="264">
        <v>8869.2000000000007</v>
      </c>
      <c r="G127" s="325">
        <f t="shared" si="14"/>
        <v>1.1000000000003638</v>
      </c>
      <c r="H127" s="277">
        <f>G127+'17'!H127</f>
        <v>-18.599999999998545</v>
      </c>
      <c r="I127" s="326"/>
      <c r="J127" s="314">
        <f>H127/DAY(B2)</f>
        <v>-1.0333333333332524</v>
      </c>
      <c r="K127" s="380"/>
      <c r="L127" s="293"/>
    </row>
    <row r="128" spans="1:12" ht="21.75" customHeight="1">
      <c r="A128" s="381" t="s">
        <v>236</v>
      </c>
      <c r="B128" s="475"/>
      <c r="C128" s="475"/>
      <c r="D128" s="268"/>
      <c r="E128" s="263"/>
      <c r="F128" s="264"/>
      <c r="G128" s="325">
        <f>G15-SUM(G123:G127)</f>
        <v>475.66000000022723</v>
      </c>
      <c r="H128" s="277">
        <f>G128+'17'!H128</f>
        <v>1681.9099999999744</v>
      </c>
      <c r="I128" s="326"/>
      <c r="J128" s="314">
        <f>H128/DAY(B2)</f>
        <v>93.439444444443026</v>
      </c>
      <c r="K128" s="391"/>
      <c r="L128" s="293"/>
    </row>
    <row r="129" spans="1:12" ht="23.25" customHeight="1">
      <c r="A129" s="422" t="s">
        <v>237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238</v>
      </c>
      <c r="B130" s="475"/>
      <c r="C130" s="475"/>
      <c r="D130" s="268" t="s">
        <v>239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240</v>
      </c>
      <c r="B131" s="475"/>
      <c r="C131" s="475"/>
      <c r="D131" s="268" t="s">
        <v>239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241</v>
      </c>
      <c r="B132" s="475"/>
      <c r="C132" s="475"/>
      <c r="D132" s="268" t="s">
        <v>239</v>
      </c>
      <c r="E132" s="312">
        <f>'17'!F132</f>
        <v>39203.39</v>
      </c>
      <c r="F132" s="267">
        <v>39215.53</v>
      </c>
      <c r="G132" s="325">
        <f t="shared" si="15"/>
        <v>12.139999999999418</v>
      </c>
      <c r="H132" s="277">
        <f>G132+'17'!H132</f>
        <v>386.52999999999884</v>
      </c>
      <c r="I132" s="326"/>
      <c r="J132" s="314">
        <f>H132/DAY(B2)</f>
        <v>21.473888888888823</v>
      </c>
    </row>
    <row r="133" spans="1:12" ht="23.25" customHeight="1" thickBot="1">
      <c r="A133" s="475" t="s">
        <v>242</v>
      </c>
      <c r="B133" s="475"/>
      <c r="C133" s="475"/>
      <c r="D133" s="268" t="s">
        <v>239</v>
      </c>
      <c r="E133" s="312">
        <f>'17'!F133</f>
        <v>299</v>
      </c>
      <c r="F133" s="267">
        <v>299.52</v>
      </c>
      <c r="G133" s="325">
        <f t="shared" si="15"/>
        <v>0.51999999999998181</v>
      </c>
      <c r="H133" s="277">
        <f>G133+'17'!H133</f>
        <v>-0.48000000000001819</v>
      </c>
      <c r="I133" s="326">
        <f>G130+G131+G132+G133</f>
        <v>12.6599999999994</v>
      </c>
      <c r="J133" s="314">
        <f>H133/DAY(B2)</f>
        <v>-2.6666666666667678E-2</v>
      </c>
    </row>
    <row r="134" spans="1:12" ht="23.25" customHeight="1" thickBot="1">
      <c r="A134" s="475" t="s">
        <v>243</v>
      </c>
      <c r="B134" s="475"/>
      <c r="C134" s="475"/>
      <c r="D134" s="268" t="s">
        <v>239</v>
      </c>
      <c r="E134" s="312">
        <f>'17'!F134</f>
        <v>40260.370000000003</v>
      </c>
      <c r="F134" s="267">
        <v>40260.519999999997</v>
      </c>
      <c r="G134" s="325">
        <f t="shared" si="15"/>
        <v>0.14999999999417923</v>
      </c>
      <c r="H134" s="277">
        <f>G134+'17'!H134</f>
        <v>-106.62000000000262</v>
      </c>
      <c r="I134" s="326"/>
      <c r="J134" s="314">
        <f>H134/DAY(B2)</f>
        <v>-5.9233333333334786</v>
      </c>
    </row>
    <row r="135" spans="1:12" ht="23.25" customHeight="1" thickBot="1">
      <c r="A135" s="475" t="s">
        <v>244</v>
      </c>
      <c r="B135" s="475"/>
      <c r="C135" s="475"/>
      <c r="D135" s="268" t="s">
        <v>239</v>
      </c>
      <c r="E135" s="312">
        <f>'17'!F135</f>
        <v>32423</v>
      </c>
      <c r="F135" s="267">
        <v>32434.34</v>
      </c>
      <c r="G135" s="325">
        <f t="shared" si="15"/>
        <v>11.340000000000146</v>
      </c>
      <c r="H135" s="277">
        <f>G135+'17'!H135</f>
        <v>-136.65999999999985</v>
      </c>
      <c r="I135" s="326"/>
      <c r="J135" s="314">
        <f>H135/DAY(B2)</f>
        <v>-7.5922222222222144</v>
      </c>
    </row>
    <row r="136" spans="1:12" ht="23.25" customHeight="1" thickBot="1">
      <c r="A136" s="475" t="s">
        <v>245</v>
      </c>
      <c r="B136" s="475"/>
      <c r="C136" s="475"/>
      <c r="D136" s="268" t="s">
        <v>239</v>
      </c>
      <c r="E136" s="312">
        <f>'17'!F136</f>
        <v>22129.9</v>
      </c>
      <c r="F136" s="267">
        <v>22135.56</v>
      </c>
      <c r="G136" s="325">
        <f t="shared" si="15"/>
        <v>5.6599999999998545</v>
      </c>
      <c r="H136" s="277">
        <f>G136+'17'!H136</f>
        <v>-86.649999999997817</v>
      </c>
      <c r="I136" s="326">
        <f>G134+G135+G136</f>
        <v>17.149999999994179</v>
      </c>
      <c r="J136" s="314">
        <f>H136/DAY(B2)</f>
        <v>-4.8138888888887674</v>
      </c>
    </row>
    <row r="137" spans="1:12" ht="23.25" customHeight="1" thickBot="1">
      <c r="A137" s="475" t="s">
        <v>246</v>
      </c>
      <c r="B137" s="475"/>
      <c r="C137" s="475"/>
      <c r="D137" s="268" t="s">
        <v>239</v>
      </c>
      <c r="E137" s="312">
        <f>'17'!F137</f>
        <v>25034.29</v>
      </c>
      <c r="F137" s="267">
        <v>25036.560000000001</v>
      </c>
      <c r="G137" s="325">
        <f t="shared" si="15"/>
        <v>2.2700000000004366</v>
      </c>
      <c r="H137" s="277">
        <f>G137+'17'!H137</f>
        <v>-7.75</v>
      </c>
      <c r="I137" s="326"/>
      <c r="J137" s="314">
        <f>H137/DAY(B2)</f>
        <v>-0.43055555555555558</v>
      </c>
    </row>
    <row r="138" spans="1:12" ht="23.25" customHeight="1" thickBot="1">
      <c r="A138" s="475" t="s">
        <v>247</v>
      </c>
      <c r="B138" s="475"/>
      <c r="C138" s="475"/>
      <c r="D138" s="268" t="s">
        <v>239</v>
      </c>
      <c r="E138" s="312">
        <f>'17'!F138</f>
        <v>70103.490000000005</v>
      </c>
      <c r="F138" s="267">
        <v>70107.87</v>
      </c>
      <c r="G138" s="325">
        <f t="shared" si="15"/>
        <v>4.3799999999901047</v>
      </c>
      <c r="H138" s="277">
        <f>G138+'17'!H138</f>
        <v>-39.470000000001164</v>
      </c>
      <c r="I138" s="326">
        <f>G137+G138</f>
        <v>6.6499999999905413</v>
      </c>
      <c r="J138" s="314">
        <f>H138/DAY(B2)</f>
        <v>-2.1927777777778426</v>
      </c>
    </row>
    <row r="139" spans="1:12" ht="23.25" customHeight="1" thickBot="1">
      <c r="A139" s="475" t="s">
        <v>248</v>
      </c>
      <c r="B139" s="475"/>
      <c r="C139" s="475"/>
      <c r="D139" s="268" t="s">
        <v>239</v>
      </c>
      <c r="E139" s="312">
        <f>'17'!F139</f>
        <v>1339.68</v>
      </c>
      <c r="F139" s="267">
        <v>1347.24</v>
      </c>
      <c r="G139" s="325">
        <f t="shared" si="15"/>
        <v>7.5599999999999454</v>
      </c>
      <c r="H139" s="277">
        <f>G139+'17'!H139</f>
        <v>-75.900000000000091</v>
      </c>
      <c r="J139" s="314">
        <f>H139/DAY(B2)</f>
        <v>-4.2166666666666721</v>
      </c>
    </row>
    <row r="140" spans="1:12" ht="23.25" customHeight="1" thickBot="1">
      <c r="A140" s="475" t="s">
        <v>249</v>
      </c>
      <c r="B140" s="475"/>
      <c r="C140" s="475"/>
      <c r="D140" s="268" t="s">
        <v>239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-0.47000000000025466</v>
      </c>
      <c r="J140" s="314">
        <f>H140/DAY(B2)</f>
        <v>-2.6111111111125258E-2</v>
      </c>
    </row>
    <row r="141" spans="1:12" ht="23.25" customHeight="1">
      <c r="A141" s="1539" t="s">
        <v>250</v>
      </c>
      <c r="B141" s="1540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508" t="s">
        <v>251</v>
      </c>
      <c r="B142" s="1509"/>
      <c r="C142" s="1510"/>
      <c r="D142" s="268" t="s">
        <v>132</v>
      </c>
      <c r="E142" s="268"/>
      <c r="F142" s="268"/>
      <c r="G142" s="277">
        <f>G35+G43+G49+G57</f>
        <v>5074.3199999999488</v>
      </c>
      <c r="H142" s="277">
        <f>G142+'17'!H142</f>
        <v>-55381.159999999931</v>
      </c>
      <c r="I142" s="326"/>
      <c r="J142" s="314">
        <f>H142/DAY(B2)</f>
        <v>-3076.7311111111071</v>
      </c>
      <c r="K142" s="380"/>
      <c r="L142" s="293"/>
    </row>
    <row r="143" spans="1:12" ht="23.25" customHeight="1">
      <c r="A143" s="1508" t="s">
        <v>252</v>
      </c>
      <c r="B143" s="1509"/>
      <c r="C143" s="1510"/>
      <c r="D143" s="268" t="s">
        <v>24</v>
      </c>
      <c r="E143" s="269"/>
      <c r="F143" s="269"/>
      <c r="G143" s="280">
        <f>G142/G7</f>
        <v>0.25126615498885607</v>
      </c>
      <c r="H143" s="277">
        <f>G143+'17'!H143</f>
        <v>4.5207272574934336</v>
      </c>
      <c r="I143" s="390"/>
      <c r="J143" s="314">
        <f>H143/DAY(B2)</f>
        <v>0.25115151430519078</v>
      </c>
      <c r="K143" s="391"/>
      <c r="L143" s="293"/>
    </row>
    <row r="144" spans="1:12" ht="23.25" customHeight="1">
      <c r="A144" s="1508" t="s">
        <v>253</v>
      </c>
      <c r="B144" s="1509"/>
      <c r="C144" s="1510"/>
      <c r="D144" s="268" t="s">
        <v>132</v>
      </c>
      <c r="E144" s="265"/>
      <c r="F144" s="265"/>
      <c r="G144" s="277">
        <f>G41+G42+G55+G56</f>
        <v>4586.8699999999371</v>
      </c>
      <c r="H144" s="277">
        <f>G144+'17'!H144</f>
        <v>-49253.25000000008</v>
      </c>
      <c r="I144" s="326"/>
      <c r="J144" s="314">
        <f>H144/DAY(B2)</f>
        <v>-2736.2916666666711</v>
      </c>
      <c r="K144" s="391"/>
      <c r="L144" s="293"/>
    </row>
    <row r="145" spans="1:12" ht="23.25" customHeight="1">
      <c r="A145" s="1508" t="s">
        <v>254</v>
      </c>
      <c r="B145" s="1509"/>
      <c r="C145" s="1510"/>
      <c r="D145" s="268" t="s">
        <v>24</v>
      </c>
      <c r="E145" s="265"/>
      <c r="F145" s="265" t="s">
        <v>277</v>
      </c>
      <c r="G145" s="280">
        <f>G144/G7</f>
        <v>0.22712899232482978</v>
      </c>
      <c r="H145" s="277">
        <f>G145+'17'!H145</f>
        <v>4.3467715880454572</v>
      </c>
      <c r="I145" s="390"/>
      <c r="J145" s="314">
        <f>H145/DAY(B2)</f>
        <v>0.24148731044696983</v>
      </c>
      <c r="K145" s="391"/>
      <c r="L145" s="293"/>
    </row>
    <row r="146" spans="1:12" ht="23.25" customHeight="1">
      <c r="A146" s="1508" t="s">
        <v>255</v>
      </c>
      <c r="B146" s="1509"/>
      <c r="C146" s="1510"/>
      <c r="D146" s="268" t="s">
        <v>132</v>
      </c>
      <c r="E146" s="265"/>
      <c r="F146" s="265"/>
      <c r="G146" s="277">
        <f>G39+G53</f>
        <v>4281.18</v>
      </c>
      <c r="H146" s="277">
        <f>G146+'17'!H146</f>
        <v>58107.250000000007</v>
      </c>
      <c r="I146" s="392"/>
      <c r="J146" s="314">
        <f>H146/DAY(B2)</f>
        <v>3228.1805555555561</v>
      </c>
      <c r="K146" s="391"/>
      <c r="L146" s="293"/>
    </row>
    <row r="147" spans="1:12" ht="23.25" customHeight="1">
      <c r="A147" s="1508" t="s">
        <v>256</v>
      </c>
      <c r="B147" s="1509"/>
      <c r="C147" s="1510"/>
      <c r="D147" s="268" t="s">
        <v>24</v>
      </c>
      <c r="E147" s="265"/>
      <c r="F147" s="265"/>
      <c r="G147" s="280">
        <f>G146/G7</f>
        <v>0.2119920772468433</v>
      </c>
      <c r="H147" s="277">
        <f>G147+'17'!H147</f>
        <v>8.5182086679077393</v>
      </c>
      <c r="I147" s="392"/>
      <c r="J147" s="314">
        <f>H147/DAY(B2)</f>
        <v>0.47323381488376332</v>
      </c>
    </row>
    <row r="148" spans="1:12" ht="23.25" customHeight="1">
      <c r="A148" s="1508" t="s">
        <v>257</v>
      </c>
      <c r="B148" s="1509"/>
      <c r="C148" s="1510"/>
      <c r="D148" s="268" t="s">
        <v>183</v>
      </c>
      <c r="E148" s="265"/>
      <c r="F148" s="265"/>
      <c r="G148" s="277">
        <f>G38+G52</f>
        <v>2050.5400000000009</v>
      </c>
      <c r="H148" s="277">
        <f>G148+'17'!H148</f>
        <v>-20554.089999999997</v>
      </c>
      <c r="I148" s="326"/>
      <c r="J148" s="314">
        <f>H148/DAY(B2)</f>
        <v>-1141.8938888888888</v>
      </c>
      <c r="K148" s="393"/>
    </row>
    <row r="149" spans="1:12" ht="23.25" customHeight="1">
      <c r="A149" s="1508" t="s">
        <v>258</v>
      </c>
      <c r="B149" s="1509"/>
      <c r="C149" s="1510"/>
      <c r="D149" s="268" t="s">
        <v>24</v>
      </c>
      <c r="E149" s="265"/>
      <c r="F149" s="265"/>
      <c r="G149" s="280">
        <f>G148/G7</f>
        <v>0.10153701411240411</v>
      </c>
      <c r="H149" s="277">
        <f>G149+'17'!H149</f>
        <v>1.786740678361916</v>
      </c>
      <c r="I149" s="392"/>
      <c r="J149" s="314">
        <f>H149/DAY(B2)</f>
        <v>9.9263371020106447E-2</v>
      </c>
    </row>
    <row r="150" spans="1:12" ht="23.25" customHeight="1">
      <c r="A150" s="1508" t="s">
        <v>259</v>
      </c>
      <c r="B150" s="1509"/>
      <c r="C150" s="1510"/>
      <c r="D150" s="268" t="s">
        <v>183</v>
      </c>
      <c r="E150" s="265"/>
      <c r="F150" s="265"/>
      <c r="G150" s="277">
        <f>G36+G50</f>
        <v>2012.3600000000442</v>
      </c>
      <c r="H150" s="277">
        <f>G150+'17'!H150</f>
        <v>-19637.020000000019</v>
      </c>
      <c r="I150" s="392"/>
      <c r="J150" s="314">
        <f>H150/DAY(B2)</f>
        <v>-1090.9455555555567</v>
      </c>
    </row>
    <row r="151" spans="1:12" ht="23.25" customHeight="1">
      <c r="A151" s="1508" t="s">
        <v>260</v>
      </c>
      <c r="B151" s="1509"/>
      <c r="C151" s="1510"/>
      <c r="D151" s="268" t="s">
        <v>24</v>
      </c>
      <c r="E151" s="265"/>
      <c r="F151" s="265"/>
      <c r="G151" s="280">
        <f>G150/G7</f>
        <v>9.9646447140383468E-2</v>
      </c>
      <c r="H151" s="277">
        <f>G151+'17'!H151</f>
        <v>1.656163205094312</v>
      </c>
      <c r="I151" s="326"/>
      <c r="J151" s="314">
        <f>H151/DAY(B2)</f>
        <v>9.2009066949683999E-2</v>
      </c>
    </row>
    <row r="152" spans="1:12" ht="23.25" customHeight="1">
      <c r="A152" s="1508" t="s">
        <v>261</v>
      </c>
      <c r="B152" s="1509"/>
      <c r="C152" s="1510"/>
      <c r="D152" s="268" t="s">
        <v>183</v>
      </c>
      <c r="E152" s="265"/>
      <c r="F152" s="265"/>
      <c r="G152" s="277">
        <f>G37+G51</f>
        <v>1468.9300000000003</v>
      </c>
      <c r="H152" s="277">
        <f>G152+'17'!H152</f>
        <v>20331.990000000002</v>
      </c>
      <c r="I152" s="326"/>
      <c r="J152" s="314">
        <f>H152/DAY(B2)</f>
        <v>1129.5550000000001</v>
      </c>
    </row>
    <row r="153" spans="1:12" ht="23.25" customHeight="1">
      <c r="A153" s="1508" t="s">
        <v>262</v>
      </c>
      <c r="B153" s="1509"/>
      <c r="C153" s="1510"/>
      <c r="D153" s="268" t="s">
        <v>24</v>
      </c>
      <c r="E153" s="265"/>
      <c r="F153" s="265"/>
      <c r="G153" s="280">
        <f>G152/G7</f>
        <v>7.2737311215647457E-2</v>
      </c>
      <c r="H153" s="277">
        <f>G153+'17'!H153</f>
        <v>2.9958551716959745</v>
      </c>
      <c r="I153" s="326"/>
      <c r="J153" s="314">
        <f>H153/DAY(B2)</f>
        <v>0.16643639842755414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887"/>
      <c r="F159" s="489"/>
      <c r="G159" s="489"/>
      <c r="H159" s="491"/>
      <c r="I159" s="489"/>
      <c r="J159" s="491"/>
    </row>
    <row r="160" spans="1:12" s="494" customFormat="1" ht="21.75" customHeight="1" thickBot="1">
      <c r="A160" s="867" t="s">
        <v>263</v>
      </c>
      <c r="B160" s="868"/>
      <c r="C160" s="868"/>
      <c r="D160" s="587" t="s">
        <v>187</v>
      </c>
      <c r="E160" s="312">
        <f>'17'!F160</f>
        <v>29857.35</v>
      </c>
      <c r="F160" s="739">
        <v>29944.48</v>
      </c>
      <c r="G160" s="549">
        <f t="shared" ref="G160:G165" si="16">F160-E160</f>
        <v>87.130000000001019</v>
      </c>
      <c r="H160" s="491"/>
      <c r="I160" s="489"/>
      <c r="J160" s="491"/>
    </row>
    <row r="161" spans="1:10" s="494" customFormat="1" ht="21.75" customHeight="1" thickBot="1">
      <c r="A161" s="867" t="s">
        <v>264</v>
      </c>
      <c r="B161" s="868"/>
      <c r="C161" s="868"/>
      <c r="D161" s="587" t="s">
        <v>187</v>
      </c>
      <c r="E161" s="312">
        <f>'17'!F161</f>
        <v>50204.77</v>
      </c>
      <c r="F161" s="739">
        <v>50631.81</v>
      </c>
      <c r="G161" s="549">
        <f t="shared" si="16"/>
        <v>427.04000000000087</v>
      </c>
      <c r="H161" s="491"/>
      <c r="I161" s="489"/>
      <c r="J161" s="491"/>
    </row>
    <row r="162" spans="1:10" s="494" customFormat="1" ht="21.75" customHeight="1" thickBot="1">
      <c r="A162" s="867" t="s">
        <v>265</v>
      </c>
      <c r="B162" s="868"/>
      <c r="C162" s="868"/>
      <c r="D162" s="587" t="s">
        <v>187</v>
      </c>
      <c r="E162" s="312">
        <f>'17'!F162</f>
        <v>17557</v>
      </c>
      <c r="F162" s="740">
        <v>17799</v>
      </c>
      <c r="G162" s="549">
        <f t="shared" si="16"/>
        <v>242</v>
      </c>
      <c r="H162" s="491"/>
      <c r="I162" s="489"/>
      <c r="J162" s="491"/>
    </row>
    <row r="163" spans="1:10" s="494" customFormat="1" ht="21.75" customHeight="1" thickBot="1">
      <c r="A163" s="867" t="s">
        <v>266</v>
      </c>
      <c r="B163" s="868"/>
      <c r="C163" s="868"/>
      <c r="D163" s="587" t="s">
        <v>187</v>
      </c>
      <c r="E163" s="312">
        <f>'17'!F163</f>
        <v>5231</v>
      </c>
      <c r="F163" s="739">
        <v>5241.41</v>
      </c>
      <c r="G163" s="549">
        <f t="shared" si="16"/>
        <v>10.409999999999854</v>
      </c>
      <c r="H163" s="491"/>
      <c r="I163" s="489"/>
      <c r="J163" s="491"/>
    </row>
    <row r="164" spans="1:10" s="494" customFormat="1" ht="21.75" customHeight="1">
      <c r="A164" s="869" t="s">
        <v>98</v>
      </c>
      <c r="B164" s="681"/>
      <c r="C164" s="681"/>
      <c r="D164" s="587" t="s">
        <v>187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69" t="s">
        <v>188</v>
      </c>
      <c r="B165" s="681"/>
      <c r="C165" s="681"/>
      <c r="D165" s="587" t="s">
        <v>187</v>
      </c>
      <c r="E165" s="590">
        <f t="shared" ref="E165:E171" si="17">E63</f>
        <v>1558.35</v>
      </c>
      <c r="F165" s="590">
        <v>1199</v>
      </c>
      <c r="G165" s="549">
        <f t="shared" si="16"/>
        <v>-359.34999999999991</v>
      </c>
      <c r="H165" s="491"/>
      <c r="I165" s="489"/>
      <c r="J165" s="491"/>
    </row>
    <row r="166" spans="1:10" s="494" customFormat="1" ht="21.75" customHeight="1">
      <c r="A166" s="1482" t="s">
        <v>99</v>
      </c>
      <c r="B166" s="1482"/>
      <c r="C166" s="1482"/>
      <c r="D166" s="599" t="s">
        <v>187</v>
      </c>
      <c r="E166" s="590">
        <f t="shared" si="17"/>
        <v>118398.78</v>
      </c>
      <c r="F166" s="590">
        <v>50768</v>
      </c>
      <c r="G166" s="549">
        <f>F64-E64</f>
        <v>429.19999999999709</v>
      </c>
      <c r="H166" s="491"/>
      <c r="I166" s="489"/>
      <c r="J166" s="491"/>
    </row>
    <row r="167" spans="1:10" s="494" customFormat="1" ht="21.75" customHeight="1">
      <c r="A167" s="1482" t="s">
        <v>100</v>
      </c>
      <c r="B167" s="1482"/>
      <c r="C167" s="1482"/>
      <c r="D167" s="599" t="s">
        <v>187</v>
      </c>
      <c r="E167" s="590">
        <f t="shared" si="17"/>
        <v>128247.81</v>
      </c>
      <c r="F167" s="590">
        <v>48316</v>
      </c>
      <c r="G167" s="549">
        <f t="shared" ref="G167:G171" si="18">F65-E65</f>
        <v>397.29000000000815</v>
      </c>
      <c r="H167" s="489"/>
      <c r="I167" s="489"/>
      <c r="J167" s="491"/>
    </row>
    <row r="168" spans="1:10" s="494" customFormat="1" ht="21.75" customHeight="1">
      <c r="A168" s="1482" t="s">
        <v>101</v>
      </c>
      <c r="B168" s="1482"/>
      <c r="C168" s="1482"/>
      <c r="D168" s="599" t="s">
        <v>187</v>
      </c>
      <c r="E168" s="590">
        <f t="shared" si="17"/>
        <v>20852.34</v>
      </c>
      <c r="F168" s="590">
        <v>43521</v>
      </c>
      <c r="G168" s="549">
        <f t="shared" si="18"/>
        <v>398.93999999999869</v>
      </c>
      <c r="H168" s="489"/>
      <c r="I168" s="489"/>
      <c r="J168" s="491"/>
    </row>
    <row r="169" spans="1:10" s="494" customFormat="1" ht="21.75" customHeight="1">
      <c r="A169" s="1482" t="s">
        <v>102</v>
      </c>
      <c r="B169" s="1482"/>
      <c r="C169" s="1482"/>
      <c r="D169" s="599" t="s">
        <v>187</v>
      </c>
      <c r="E169" s="590">
        <f t="shared" si="17"/>
        <v>200595.89</v>
      </c>
      <c r="F169" s="590">
        <v>81491</v>
      </c>
      <c r="G169" s="549">
        <f t="shared" si="18"/>
        <v>665.10999999998603</v>
      </c>
      <c r="H169" s="490"/>
      <c r="I169" s="489"/>
      <c r="J169" s="491"/>
    </row>
    <row r="170" spans="1:10" s="494" customFormat="1" ht="23.25" customHeight="1">
      <c r="A170" s="1482" t="s">
        <v>103</v>
      </c>
      <c r="B170" s="1482"/>
      <c r="C170" s="1482"/>
      <c r="D170" s="599" t="s">
        <v>187</v>
      </c>
      <c r="E170" s="590">
        <f t="shared" si="17"/>
        <v>69092.17</v>
      </c>
      <c r="F170" s="590">
        <v>8925</v>
      </c>
      <c r="G170" s="549">
        <f t="shared" si="18"/>
        <v>390.13000000000466</v>
      </c>
      <c r="H170" s="490"/>
      <c r="I170" s="489"/>
      <c r="J170" s="491"/>
    </row>
    <row r="171" spans="1:10" s="494" customFormat="1" ht="24" customHeight="1">
      <c r="A171" s="1482" t="s">
        <v>104</v>
      </c>
      <c r="B171" s="1482"/>
      <c r="C171" s="1482"/>
      <c r="D171" s="599" t="s">
        <v>187</v>
      </c>
      <c r="E171" s="590">
        <f t="shared" si="17"/>
        <v>60872.25</v>
      </c>
      <c r="F171" s="590">
        <v>21492</v>
      </c>
      <c r="G171" s="549">
        <f t="shared" si="18"/>
        <v>316.0199999999968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3003.739999999993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" zoomScale="55" zoomScaleNormal="40" zoomScaleSheetLayoutView="55" zoomScalePageLayoutView="60" workbookViewId="0">
      <selection activeCell="J47" sqref="J47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328</v>
      </c>
      <c r="B2" s="1117">
        <v>44246</v>
      </c>
      <c r="C2" s="1231" t="s">
        <v>69</v>
      </c>
      <c r="D2" s="688">
        <v>0.65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1" t="s">
        <v>120</v>
      </c>
      <c r="D3" s="689">
        <v>28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1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1">
        <f>'18'!F7</f>
        <v>4237940</v>
      </c>
      <c r="F7" s="531">
        <v>4257518</v>
      </c>
      <c r="G7" s="549">
        <f>F7-E7</f>
        <v>19578</v>
      </c>
      <c r="H7" s="536">
        <f>G7+'18'!H7</f>
        <v>-187559</v>
      </c>
      <c r="I7" s="550">
        <f>'1'!I7</f>
        <v>12000</v>
      </c>
      <c r="J7" s="629">
        <f>H7/DAY(B2)</f>
        <v>-9871.5263157894733</v>
      </c>
      <c r="K7" s="626"/>
      <c r="L7" s="408"/>
      <c r="N7" s="413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551">
        <f>'18'!F8</f>
        <v>4264981</v>
      </c>
      <c r="F8" s="551">
        <v>4284656</v>
      </c>
      <c r="G8" s="552">
        <f>F8-E8</f>
        <v>19675</v>
      </c>
      <c r="H8" s="536">
        <f>G8+'18'!H8</f>
        <v>-188500</v>
      </c>
      <c r="I8" s="553">
        <f>'1'!I8</f>
        <v>12000</v>
      </c>
      <c r="J8" s="629">
        <f>H8/DAY(B2)</f>
        <v>-9921.0526315789466</v>
      </c>
      <c r="K8" s="626"/>
      <c r="L8" s="464"/>
      <c r="M8" s="479"/>
      <c r="N8" s="413"/>
      <c r="O8" s="413"/>
    </row>
    <row r="9" spans="1:15">
      <c r="A9" s="660" t="s">
        <v>134</v>
      </c>
      <c r="B9" s="661"/>
      <c r="C9" s="661"/>
      <c r="D9" s="599" t="s">
        <v>132</v>
      </c>
      <c r="E9" s="554">
        <f>'18'!F9</f>
        <v>147964</v>
      </c>
      <c r="F9" s="554">
        <v>161175</v>
      </c>
      <c r="G9" s="549">
        <f t="shared" ref="G9:G12" si="0">F9-E9</f>
        <v>13211</v>
      </c>
      <c r="H9" s="536">
        <f>G9+'18'!H9</f>
        <v>74265.990000000005</v>
      </c>
      <c r="I9" s="555">
        <f>I8-J8</f>
        <v>21921.052631578947</v>
      </c>
      <c r="J9" s="629">
        <f>H9/DAY(B2)</f>
        <v>3908.7363157894738</v>
      </c>
      <c r="K9" s="467"/>
      <c r="L9" s="408"/>
      <c r="N9" s="413"/>
      <c r="O9" s="413"/>
    </row>
    <row r="10" spans="1:15">
      <c r="A10" s="655" t="s">
        <v>135</v>
      </c>
      <c r="B10" s="656"/>
      <c r="C10" s="656"/>
      <c r="D10" s="599" t="s">
        <v>132</v>
      </c>
      <c r="E10" s="554">
        <f>'18'!F10</f>
        <v>1353036</v>
      </c>
      <c r="F10" s="554">
        <v>1358840</v>
      </c>
      <c r="G10" s="549">
        <f t="shared" si="0"/>
        <v>5804</v>
      </c>
      <c r="H10" s="536">
        <f>G10+'18'!H10</f>
        <v>1333144.44</v>
      </c>
      <c r="I10" s="556"/>
      <c r="J10" s="629">
        <f>H10/DAY(B2)</f>
        <v>70165.496842105262</v>
      </c>
      <c r="K10" s="467"/>
      <c r="L10" s="408"/>
      <c r="N10" s="413"/>
      <c r="O10" s="413"/>
    </row>
    <row r="11" spans="1:15">
      <c r="A11" s="655" t="s">
        <v>136</v>
      </c>
      <c r="B11" s="656"/>
      <c r="C11" s="656"/>
      <c r="D11" s="599" t="s">
        <v>132</v>
      </c>
      <c r="E11" s="531">
        <f>'18'!F11</f>
        <v>37000</v>
      </c>
      <c r="F11" s="531">
        <v>37000</v>
      </c>
      <c r="G11" s="549">
        <f t="shared" si="0"/>
        <v>0</v>
      </c>
      <c r="H11" s="536">
        <f>G11+'18'!H11</f>
        <v>-2000</v>
      </c>
      <c r="I11" s="556"/>
      <c r="J11" s="629">
        <f>H11/DAY(B2)</f>
        <v>-105.26315789473684</v>
      </c>
      <c r="K11" s="467"/>
      <c r="L11" s="408"/>
      <c r="N11" s="413"/>
      <c r="O11" s="413"/>
    </row>
    <row r="12" spans="1:15">
      <c r="A12" s="655" t="s">
        <v>137</v>
      </c>
      <c r="B12" s="656"/>
      <c r="C12" s="656"/>
      <c r="D12" s="599" t="s">
        <v>132</v>
      </c>
      <c r="E12" s="554">
        <f>'18'!F12</f>
        <v>40010</v>
      </c>
      <c r="F12" s="554">
        <v>40010</v>
      </c>
      <c r="G12" s="549">
        <f t="shared" si="0"/>
        <v>0</v>
      </c>
      <c r="H12" s="536">
        <f>G12+'18'!H12</f>
        <v>-2000</v>
      </c>
      <c r="I12" s="556"/>
      <c r="J12" s="629">
        <f>H12/DAY(B2)</f>
        <v>-105.26315789473684</v>
      </c>
      <c r="K12" s="467"/>
      <c r="L12" s="408"/>
      <c r="N12" s="413"/>
      <c r="O12" s="413"/>
    </row>
    <row r="13" spans="1:15">
      <c r="A13" s="662" t="s">
        <v>138</v>
      </c>
      <c r="B13" s="663"/>
      <c r="C13" s="663"/>
      <c r="D13" s="599"/>
      <c r="E13" s="531"/>
      <c r="F13" s="531"/>
      <c r="G13" s="557">
        <f>G9+G10+G11+G12</f>
        <v>19015</v>
      </c>
      <c r="H13" s="536">
        <f>G13+'18'!H13</f>
        <v>1382416.43</v>
      </c>
      <c r="I13" s="558">
        <f>G7-G13</f>
        <v>563</v>
      </c>
      <c r="J13" s="629">
        <f>H13/DAY(B2)</f>
        <v>72758.7594736842</v>
      </c>
      <c r="K13" s="467"/>
      <c r="L13" s="408"/>
      <c r="N13" s="413"/>
      <c r="O13" s="413"/>
    </row>
    <row r="14" spans="1:15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29" t="s">
        <v>140</v>
      </c>
      <c r="B15" s="666"/>
      <c r="C15" s="666"/>
      <c r="D15" s="599" t="s">
        <v>141</v>
      </c>
      <c r="E15" s="560">
        <f>'18'!F15</f>
        <v>1610553.59</v>
      </c>
      <c r="F15" s="560">
        <v>1611435</v>
      </c>
      <c r="G15" s="862">
        <f>(F15-E15)</f>
        <v>881.40999999991618</v>
      </c>
      <c r="H15" s="536">
        <f>G15+'18'!H15</f>
        <v>-8443.6100000001024</v>
      </c>
      <c r="I15" s="550">
        <v>800</v>
      </c>
      <c r="J15" s="629">
        <f>H15/DAY(B2)</f>
        <v>-444.40052631579488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1244.4005263157949</v>
      </c>
      <c r="J16" s="630"/>
      <c r="K16" s="467"/>
      <c r="L16" s="408"/>
      <c r="N16" s="413"/>
      <c r="O16" s="413"/>
    </row>
    <row r="17" spans="1:15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33" t="s">
        <v>143</v>
      </c>
      <c r="B18" s="1434"/>
      <c r="C18" s="1435"/>
      <c r="D18" s="599" t="s">
        <v>144</v>
      </c>
      <c r="E18" s="560">
        <f>'18'!F18</f>
        <v>12</v>
      </c>
      <c r="F18" s="560">
        <v>14</v>
      </c>
      <c r="G18" s="557">
        <f>F18*10</f>
        <v>140</v>
      </c>
      <c r="H18" s="536">
        <f>G18+'18'!H18</f>
        <v>2990</v>
      </c>
      <c r="I18" s="550">
        <f>'1'!I18</f>
        <v>65</v>
      </c>
      <c r="J18" s="629">
        <f>H18/DAY(B2)</f>
        <v>157.36842105263159</v>
      </c>
      <c r="K18" s="467"/>
      <c r="L18" s="408"/>
      <c r="N18" s="413"/>
      <c r="O18" s="413"/>
    </row>
    <row r="19" spans="1:15" ht="27.75">
      <c r="A19" s="1433" t="s">
        <v>71</v>
      </c>
      <c r="B19" s="1434"/>
      <c r="C19" s="1435"/>
      <c r="D19" s="599" t="s">
        <v>144</v>
      </c>
      <c r="E19" s="560">
        <f>'18'!F19</f>
        <v>133953</v>
      </c>
      <c r="F19" s="560">
        <v>134003</v>
      </c>
      <c r="G19" s="549">
        <f t="shared" ref="G19" si="1">F19-E19</f>
        <v>50</v>
      </c>
      <c r="H19" s="536">
        <f>G19+'18'!H19</f>
        <v>-465</v>
      </c>
      <c r="I19" s="565"/>
      <c r="J19" s="629">
        <f>H19/DAY(B2)</f>
        <v>-24.473684210526315</v>
      </c>
      <c r="K19" s="467"/>
      <c r="L19" s="408"/>
      <c r="N19" s="413"/>
      <c r="O19" s="413"/>
    </row>
    <row r="20" spans="1:15">
      <c r="A20" s="662" t="s">
        <v>145</v>
      </c>
      <c r="B20" s="663"/>
      <c r="C20" s="663"/>
      <c r="D20" s="566"/>
      <c r="E20" s="566"/>
      <c r="F20" s="566"/>
      <c r="G20" s="567">
        <f>G18+G19</f>
        <v>190</v>
      </c>
      <c r="H20" s="536">
        <f>G20+'18'!H20</f>
        <v>2525</v>
      </c>
      <c r="I20" s="568">
        <f>I18-J20</f>
        <v>-67.89473684210526</v>
      </c>
      <c r="J20" s="629">
        <f>H20/DAY(B2)</f>
        <v>132.89473684210526</v>
      </c>
      <c r="K20" s="467"/>
      <c r="L20" s="408"/>
      <c r="N20" s="413"/>
      <c r="O20" s="413"/>
    </row>
    <row r="21" spans="1:15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29" t="s">
        <v>147</v>
      </c>
      <c r="B22" s="666"/>
      <c r="C22" s="666"/>
      <c r="D22" s="599" t="s">
        <v>148</v>
      </c>
      <c r="E22" s="267"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29" t="s">
        <v>149</v>
      </c>
      <c r="B23" s="666"/>
      <c r="C23" s="666"/>
      <c r="D23" s="599" t="s">
        <v>148</v>
      </c>
      <c r="E23" s="267">
        <v>2000</v>
      </c>
      <c r="F23" s="560">
        <v>2000</v>
      </c>
      <c r="G23" s="557">
        <v>0</v>
      </c>
      <c r="H23" s="536"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344"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19675</v>
      </c>
      <c r="F27" s="577">
        <v>9</v>
      </c>
      <c r="G27" s="578">
        <f>E27*F27</f>
        <v>177075</v>
      </c>
      <c r="H27" s="536">
        <f>G27+'18'!H27</f>
        <v>-1696500</v>
      </c>
      <c r="I27" s="579"/>
      <c r="J27" s="629">
        <f>H27/DAY(B2)</f>
        <v>-89289.473684210519</v>
      </c>
      <c r="K27" s="404"/>
      <c r="L27" s="484"/>
      <c r="N27" s="49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881.40999999991618</v>
      </c>
      <c r="F28" s="577">
        <v>43.5</v>
      </c>
      <c r="G28" s="578">
        <f>E28*F28</f>
        <v>38341.334999996354</v>
      </c>
      <c r="H28" s="536">
        <f>G28+'18'!H28</f>
        <v>-347991.49680000497</v>
      </c>
      <c r="I28" s="581"/>
      <c r="J28" s="629">
        <f>H28/DAY(B2)</f>
        <v>-18315.341936842367</v>
      </c>
      <c r="K28" s="404"/>
      <c r="L28" s="484"/>
      <c r="N28" s="49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77">
        <f>G19</f>
        <v>50</v>
      </c>
      <c r="F30" s="577">
        <v>134</v>
      </c>
      <c r="G30" s="578">
        <f>E30*F30</f>
        <v>6700</v>
      </c>
      <c r="H30" s="536">
        <f>G30+'18'!H30</f>
        <v>-44622</v>
      </c>
      <c r="I30" s="581"/>
      <c r="J30" s="629">
        <f>H30/DAY(B2)</f>
        <v>-2348.5263157894738</v>
      </c>
      <c r="K30" s="404"/>
      <c r="L30" s="484"/>
      <c r="N30" s="49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77">
        <f>G18</f>
        <v>140</v>
      </c>
      <c r="F31" s="577">
        <v>80</v>
      </c>
      <c r="G31" s="578">
        <f>E31*F31</f>
        <v>11200</v>
      </c>
      <c r="H31" s="536">
        <f>G31+'18'!H31</f>
        <v>228640</v>
      </c>
      <c r="I31" s="581"/>
      <c r="J31" s="629">
        <f>H31/DAY(B2)</f>
        <v>12033.684210526315</v>
      </c>
      <c r="K31" s="404"/>
      <c r="L31" s="484"/>
      <c r="N31" s="493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233316.33499999635</v>
      </c>
      <c r="H32" s="536">
        <f>G32+'18'!H32</f>
        <v>-1860473.496800005</v>
      </c>
      <c r="I32" s="585"/>
      <c r="J32" s="629">
        <f>H32/DAY(B2)</f>
        <v>-97919.657726316058</v>
      </c>
      <c r="K32" s="404"/>
      <c r="L32" s="484"/>
      <c r="N32" s="493"/>
      <c r="O32" s="413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  <c r="O33" s="413"/>
    </row>
    <row r="34" spans="1:15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'18'!F35</f>
        <v>662775.94999999995</v>
      </c>
      <c r="F35" s="586">
        <v>665457</v>
      </c>
      <c r="G35" s="549">
        <f t="shared" ref="G35:G46" si="3">F35-E35</f>
        <v>2681.0500000000466</v>
      </c>
      <c r="H35" s="536">
        <f>G35+'18'!H35</f>
        <v>-27630.589999999967</v>
      </c>
      <c r="I35" s="531"/>
      <c r="J35" s="629">
        <f>H35/DAY(B2)</f>
        <v>-1454.2415789473666</v>
      </c>
      <c r="K35" s="467"/>
      <c r="L35" s="408"/>
      <c r="N35" s="413"/>
      <c r="O35" s="705"/>
    </row>
    <row r="36" spans="1:15">
      <c r="A36" s="655" t="s">
        <v>165</v>
      </c>
      <c r="B36" s="656"/>
      <c r="C36" s="656"/>
      <c r="D36" s="599" t="s">
        <v>132</v>
      </c>
      <c r="E36" s="586">
        <f>'18'!F36</f>
        <v>289109.55</v>
      </c>
      <c r="F36" s="586">
        <v>289774</v>
      </c>
      <c r="G36" s="549">
        <f t="shared" si="3"/>
        <v>664.45000000001164</v>
      </c>
      <c r="H36" s="536">
        <f>G36+'18'!H36</f>
        <v>-6671.570000000007</v>
      </c>
      <c r="I36" s="531"/>
      <c r="J36" s="629">
        <f>H36/DAY(B2)</f>
        <v>-351.13526315789511</v>
      </c>
      <c r="K36" s="467"/>
      <c r="L36" s="408"/>
      <c r="N36" s="413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'18'!F37</f>
        <v>17226.91</v>
      </c>
      <c r="F37" s="586">
        <v>18705</v>
      </c>
      <c r="G37" s="549">
        <f t="shared" si="3"/>
        <v>1478.0900000000001</v>
      </c>
      <c r="H37" s="536">
        <f>G37+'18'!H37</f>
        <v>21810.080000000002</v>
      </c>
      <c r="I37" s="531"/>
      <c r="J37" s="629">
        <f>H37/DAY(B2)</f>
        <v>1147.8989473684212</v>
      </c>
      <c r="K37" s="467"/>
      <c r="L37" s="408"/>
      <c r="N37" s="413"/>
      <c r="O37" s="413"/>
    </row>
    <row r="38" spans="1:15">
      <c r="A38" s="655" t="s">
        <v>167</v>
      </c>
      <c r="B38" s="656"/>
      <c r="C38" s="656"/>
      <c r="D38" s="599" t="s">
        <v>132</v>
      </c>
      <c r="E38" s="545">
        <f>'18'!F38</f>
        <v>23259.4</v>
      </c>
      <c r="F38" s="545">
        <v>25176</v>
      </c>
      <c r="G38" s="549">
        <f t="shared" si="3"/>
        <v>1916.5999999999985</v>
      </c>
      <c r="H38" s="536">
        <f>G38+'18'!H38</f>
        <v>-18637.489999999998</v>
      </c>
      <c r="I38" s="531"/>
      <c r="J38" s="629">
        <f>H38/DAY(B2)</f>
        <v>-980.9205263157894</v>
      </c>
      <c r="K38" s="467"/>
      <c r="L38" s="408"/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'18'!F39</f>
        <v>48714.36</v>
      </c>
      <c r="F39" s="586">
        <v>52877</v>
      </c>
      <c r="G39" s="549">
        <f t="shared" si="3"/>
        <v>4162.6399999999994</v>
      </c>
      <c r="H39" s="536">
        <f>G39+'18'!H39</f>
        <v>62269.889999999992</v>
      </c>
      <c r="I39" s="531"/>
      <c r="J39" s="629">
        <f>H39/DAY(B2)</f>
        <v>3277.362631578947</v>
      </c>
      <c r="K39" s="467"/>
      <c r="L39" s="408"/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-0.06</v>
      </c>
      <c r="I40" s="531"/>
      <c r="J40" s="629">
        <f>H40/DAY(B2)</f>
        <v>-3.1578947368421052E-3</v>
      </c>
      <c r="K40" s="468"/>
      <c r="L40" s="408"/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'18'!F41</f>
        <v>63882.37</v>
      </c>
      <c r="F41" s="586">
        <v>63882</v>
      </c>
      <c r="G41" s="549">
        <f t="shared" si="3"/>
        <v>-0.37000000000261934</v>
      </c>
      <c r="H41" s="536">
        <f>G41+'18'!H41</f>
        <v>-0.37000000000261934</v>
      </c>
      <c r="I41" s="531"/>
      <c r="J41" s="629">
        <f>H41/DAY(B2)</f>
        <v>-1.9473684210664175E-2</v>
      </c>
      <c r="K41" s="467"/>
      <c r="L41" s="408"/>
      <c r="N41" s="413"/>
      <c r="O41" s="803"/>
    </row>
    <row r="42" spans="1:15">
      <c r="A42" s="655" t="s">
        <v>171</v>
      </c>
      <c r="B42" s="656"/>
      <c r="C42" s="656"/>
      <c r="D42" s="599" t="s">
        <v>132</v>
      </c>
      <c r="E42" s="586">
        <f>'18'!F42</f>
        <v>59128.85</v>
      </c>
      <c r="F42" s="586">
        <v>59129</v>
      </c>
      <c r="G42" s="549">
        <f>F42-E42</f>
        <v>0.15000000000145519</v>
      </c>
      <c r="H42" s="536">
        <f>G42+'18'!H42</f>
        <v>0.15000000000145519</v>
      </c>
      <c r="I42" s="531"/>
      <c r="J42" s="629">
        <f>H42/DAY(B2)</f>
        <v>7.8947368421818515E-3</v>
      </c>
      <c r="K42" s="467"/>
      <c r="L42" s="408"/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'18'!F43</f>
        <v>802525.75</v>
      </c>
      <c r="F43" s="586">
        <v>804835</v>
      </c>
      <c r="G43" s="549">
        <f t="shared" si="3"/>
        <v>2309.25</v>
      </c>
      <c r="H43" s="536">
        <f>G43+'18'!H43</f>
        <v>-21062.829999999958</v>
      </c>
      <c r="I43" s="531"/>
      <c r="J43" s="629">
        <f>H43/DAY(B2)</f>
        <v>-1108.5699999999979</v>
      </c>
      <c r="K43" s="467"/>
      <c r="L43" s="408"/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0.43999999999999773</v>
      </c>
      <c r="I46" s="531"/>
      <c r="J46" s="629">
        <f>H46/DAY(B2)</f>
        <v>2.3157894736841985E-2</v>
      </c>
      <c r="K46" s="467"/>
      <c r="L46" s="408"/>
      <c r="N46" s="413"/>
      <c r="O46" s="413"/>
    </row>
    <row r="47" spans="1:15">
      <c r="A47" s="662" t="s">
        <v>176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13211.860000000055</v>
      </c>
      <c r="H47" s="536">
        <f>G47+'18'!H47</f>
        <v>10077.650000000041</v>
      </c>
      <c r="I47" s="531"/>
      <c r="J47" s="629">
        <f>H47/DAY(B2)</f>
        <v>530.40263157894958</v>
      </c>
      <c r="K47" s="467"/>
      <c r="L47" s="408"/>
      <c r="N47" s="413"/>
      <c r="O47" s="413"/>
    </row>
    <row r="48" spans="1:15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'18'!F49</f>
        <v>260732.13</v>
      </c>
      <c r="F49" s="586">
        <v>260732</v>
      </c>
      <c r="G49" s="549">
        <f t="shared" ref="G49:G58" si="4">F49-E49</f>
        <v>-0.13000000000465661</v>
      </c>
      <c r="H49" s="536">
        <f>G49+'18'!H49</f>
        <v>-0.13000000000465661</v>
      </c>
      <c r="I49" s="531"/>
      <c r="J49" s="629">
        <f>H49/DAY(B2)</f>
        <v>-6.8421052634029794E-3</v>
      </c>
      <c r="K49" s="467"/>
      <c r="L49" s="408"/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'18'!F50</f>
        <v>390162.03</v>
      </c>
      <c r="F50" s="586">
        <v>391598</v>
      </c>
      <c r="G50" s="549">
        <f t="shared" si="4"/>
        <v>1435.9699999999721</v>
      </c>
      <c r="H50" s="536">
        <f>G50+'18'!H50</f>
        <v>-12059.030000000028</v>
      </c>
      <c r="I50" s="531"/>
      <c r="J50" s="629">
        <f>H50/DAY(B2)</f>
        <v>-634.68578947368565</v>
      </c>
      <c r="K50" s="467"/>
      <c r="L50" s="408"/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'18'!F51</f>
        <v>120050.92</v>
      </c>
      <c r="F51" s="586">
        <v>120051</v>
      </c>
      <c r="G51" s="549">
        <f t="shared" si="4"/>
        <v>8.000000000174623E-2</v>
      </c>
      <c r="H51" s="536">
        <f>G51+'18'!H51</f>
        <v>-1548.9199999999983</v>
      </c>
      <c r="I51" s="531"/>
      <c r="J51" s="629">
        <f>H51/DAY(B2)</f>
        <v>-81.522105263157798</v>
      </c>
      <c r="K51" s="467"/>
      <c r="L51" s="408"/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'18'!F52</f>
        <v>507912.71</v>
      </c>
      <c r="F52" s="586">
        <v>507913</v>
      </c>
      <c r="G52" s="549">
        <f t="shared" si="4"/>
        <v>0.28999999997904524</v>
      </c>
      <c r="H52" s="536">
        <f>G52+'18'!H52</f>
        <v>-2045.710000000021</v>
      </c>
      <c r="I52" s="531"/>
      <c r="J52" s="629">
        <f>H52/DAY(B2)</f>
        <v>-107.66894736842215</v>
      </c>
      <c r="K52" s="467"/>
      <c r="L52" s="408"/>
      <c r="N52" s="413"/>
      <c r="O52" s="803"/>
    </row>
    <row r="53" spans="1:15">
      <c r="A53" s="655" t="s">
        <v>168</v>
      </c>
      <c r="B53" s="678"/>
      <c r="C53" s="678"/>
      <c r="D53" s="599" t="s">
        <v>132</v>
      </c>
      <c r="E53" s="586">
        <f>'18'!F53</f>
        <v>331854.51</v>
      </c>
      <c r="F53" s="586">
        <v>331855</v>
      </c>
      <c r="G53" s="549">
        <f t="shared" si="4"/>
        <v>0.48999999999068677</v>
      </c>
      <c r="H53" s="536">
        <f>G53+'18'!H53</f>
        <v>-4184.5100000000093</v>
      </c>
      <c r="I53" s="531"/>
      <c r="J53" s="629">
        <f>H53/DAY(B2)</f>
        <v>-220.23736842105313</v>
      </c>
      <c r="K53" s="467"/>
      <c r="L53" s="408"/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'18'!F54</f>
        <v>7399.4</v>
      </c>
      <c r="F54" s="586">
        <v>7468</v>
      </c>
      <c r="G54" s="549">
        <f t="shared" si="4"/>
        <v>68.600000000000364</v>
      </c>
      <c r="H54" s="536">
        <f>G54+'18'!H54</f>
        <v>-627.63000000000011</v>
      </c>
      <c r="I54" s="531"/>
      <c r="J54" s="629">
        <f>H54/DAY(B2)</f>
        <v>-33.033157894736846</v>
      </c>
      <c r="K54" s="467"/>
      <c r="L54" s="408"/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'18'!F55</f>
        <v>94270.399999999994</v>
      </c>
      <c r="F55" s="586">
        <v>94270</v>
      </c>
      <c r="G55" s="549">
        <f t="shared" si="4"/>
        <v>-0.39999999999417923</v>
      </c>
      <c r="H55" s="536">
        <f>G55+'18'!H55</f>
        <v>-28314.690000000002</v>
      </c>
      <c r="I55" s="531"/>
      <c r="J55" s="629">
        <f>H55/DAY(B2)</f>
        <v>-1490.2468421052633</v>
      </c>
      <c r="K55" s="467"/>
      <c r="L55" s="408"/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'18'!F56</f>
        <v>560113.06999999995</v>
      </c>
      <c r="F56" s="586">
        <v>564247</v>
      </c>
      <c r="G56" s="549">
        <f t="shared" si="4"/>
        <v>4133.9300000000512</v>
      </c>
      <c r="H56" s="536">
        <f>G56+'18'!H56</f>
        <v>-21804.030000000028</v>
      </c>
      <c r="I56" s="531"/>
      <c r="J56" s="629">
        <f>H56/DAY(B2)</f>
        <v>-1147.5805263157908</v>
      </c>
      <c r="K56" s="466"/>
      <c r="L56" s="408"/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'18'!F57</f>
        <v>7711.33</v>
      </c>
      <c r="F57" s="586">
        <v>7711</v>
      </c>
      <c r="G57" s="549">
        <f t="shared" si="4"/>
        <v>-0.32999999999992724</v>
      </c>
      <c r="H57" s="536">
        <f>G57+'18'!H57</f>
        <v>-0.32999999999992724</v>
      </c>
      <c r="I57" s="531"/>
      <c r="J57" s="629">
        <f>H57/DAY(B2)</f>
        <v>-1.7368421052627748E-2</v>
      </c>
      <c r="K57" s="467"/>
      <c r="L57" s="408"/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'18'!F58</f>
        <v>33857.69</v>
      </c>
      <c r="F58" s="586">
        <v>34077</v>
      </c>
      <c r="G58" s="549">
        <f t="shared" si="4"/>
        <v>219.30999999999767</v>
      </c>
      <c r="H58" s="536">
        <f>G58+'18'!H58</f>
        <v>-1987.6999999999971</v>
      </c>
      <c r="I58" s="531"/>
      <c r="J58" s="629">
        <f>H58/DAY(B2)</f>
        <v>-104.61578947368406</v>
      </c>
      <c r="K58" s="467"/>
      <c r="L58" s="408"/>
      <c r="N58" s="413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5857.809999999994</v>
      </c>
      <c r="H59" s="536">
        <f>G59+'18'!H59</f>
        <v>-72572.680000000095</v>
      </c>
      <c r="I59" s="531">
        <f>G7-G60</f>
        <v>508.32999999995081</v>
      </c>
      <c r="J59" s="629">
        <f>H59/DAY(B2)</f>
        <v>-3819.6147368421102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19069.670000000049</v>
      </c>
      <c r="H60" s="536">
        <f>G60+'18'!H60</f>
        <v>-48326.030000000108</v>
      </c>
      <c r="I60" s="531">
        <f>G13-G60</f>
        <v>-54.670000000049185</v>
      </c>
      <c r="J60" s="629">
        <f>H60/DAY(B2)</f>
        <v>-2543.4752631579004</v>
      </c>
      <c r="K60" s="467"/>
      <c r="L60" s="408"/>
      <c r="N60" s="413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1.299999999901047E-2</v>
      </c>
      <c r="I62" s="591"/>
      <c r="J62" s="629">
        <f>H62/DAY(B2)</f>
        <v>6.8421052626370892E-4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'18'!F63</f>
        <v>1571.72</v>
      </c>
      <c r="F63" s="590">
        <v>1585</v>
      </c>
      <c r="G63" s="549">
        <f t="shared" si="5"/>
        <v>13.279999999999973</v>
      </c>
      <c r="H63" s="536">
        <f>G63+'18'!H63</f>
        <v>-122.3599999999999</v>
      </c>
      <c r="I63" s="591"/>
      <c r="J63" s="629">
        <f>H63/DAY(B2)</f>
        <v>-6.4399999999999951</v>
      </c>
      <c r="K63" s="467"/>
      <c r="L63" s="408"/>
      <c r="N63" s="413"/>
      <c r="O63" s="413"/>
    </row>
    <row r="64" spans="1:15" ht="27.75">
      <c r="A64" s="1430" t="s">
        <v>99</v>
      </c>
      <c r="B64" s="1431"/>
      <c r="C64" s="1432"/>
      <c r="D64" s="599" t="s">
        <v>187</v>
      </c>
      <c r="E64" s="560">
        <f>'18'!F64</f>
        <v>118827.98</v>
      </c>
      <c r="F64" s="560">
        <v>119240</v>
      </c>
      <c r="G64" s="549">
        <f t="shared" si="5"/>
        <v>412.02000000000407</v>
      </c>
      <c r="H64" s="536">
        <f>G64+'18'!H64</f>
        <v>-4387.3000000000029</v>
      </c>
      <c r="I64" s="556"/>
      <c r="J64" s="629">
        <f>H64/DAY(B2)</f>
        <v>-230.91052631578964</v>
      </c>
      <c r="K64" s="467"/>
      <c r="L64" s="408"/>
      <c r="N64" s="413"/>
      <c r="O64" s="413"/>
    </row>
    <row r="65" spans="1:15" ht="27.75">
      <c r="A65" s="1430" t="s">
        <v>100</v>
      </c>
      <c r="B65" s="1431"/>
      <c r="C65" s="1432"/>
      <c r="D65" s="599" t="s">
        <v>187</v>
      </c>
      <c r="E65" s="560">
        <f>'18'!F65</f>
        <v>128645.1</v>
      </c>
      <c r="F65" s="560">
        <v>129048</v>
      </c>
      <c r="G65" s="549">
        <f t="shared" si="5"/>
        <v>402.89999999999418</v>
      </c>
      <c r="H65" s="536">
        <f>G65+'18'!H65</f>
        <v>-3549.2999999999884</v>
      </c>
      <c r="I65" s="565"/>
      <c r="J65" s="629">
        <f>H65/DAY(B2)</f>
        <v>-186.80526315789413</v>
      </c>
      <c r="K65" s="467"/>
      <c r="L65" s="408"/>
      <c r="N65" s="413"/>
      <c r="O65" s="413"/>
    </row>
    <row r="66" spans="1:15" ht="27.75">
      <c r="A66" s="1430" t="s">
        <v>101</v>
      </c>
      <c r="B66" s="1431"/>
      <c r="C66" s="1432"/>
      <c r="D66" s="599" t="s">
        <v>187</v>
      </c>
      <c r="E66" s="560">
        <f>'18'!F66</f>
        <v>21251.279999999999</v>
      </c>
      <c r="F66" s="560">
        <v>21657</v>
      </c>
      <c r="G66" s="549">
        <f t="shared" si="5"/>
        <v>405.72000000000116</v>
      </c>
      <c r="H66" s="536">
        <f>G66+'18'!H66</f>
        <v>-3502.75</v>
      </c>
      <c r="I66" s="556"/>
      <c r="J66" s="629">
        <f>H66/DAY(B2)</f>
        <v>-184.35526315789474</v>
      </c>
      <c r="K66" s="467"/>
      <c r="L66" s="408"/>
      <c r="N66" s="413"/>
      <c r="O66" s="413"/>
    </row>
    <row r="67" spans="1:15" ht="27.75">
      <c r="A67" s="1430" t="s">
        <v>102</v>
      </c>
      <c r="B67" s="1431"/>
      <c r="C67" s="1432"/>
      <c r="D67" s="599" t="s">
        <v>187</v>
      </c>
      <c r="E67" s="560">
        <f>'18'!F67</f>
        <v>201261</v>
      </c>
      <c r="F67" s="560">
        <v>201900</v>
      </c>
      <c r="G67" s="549">
        <f t="shared" si="5"/>
        <v>639</v>
      </c>
      <c r="H67" s="536">
        <f>G67+'18'!H67</f>
        <v>-5941.8299999999872</v>
      </c>
      <c r="I67" s="565"/>
      <c r="J67" s="629">
        <f>H67/DAY(B2)</f>
        <v>-312.72789473684145</v>
      </c>
      <c r="K67" s="468"/>
      <c r="L67" s="408"/>
      <c r="N67" s="413"/>
      <c r="O67" s="413"/>
    </row>
    <row r="68" spans="1:15" ht="27.75">
      <c r="A68" s="1430" t="s">
        <v>103</v>
      </c>
      <c r="B68" s="1431"/>
      <c r="C68" s="1432"/>
      <c r="D68" s="599" t="s">
        <v>187</v>
      </c>
      <c r="E68" s="560">
        <f>'18'!F68</f>
        <v>69482.3</v>
      </c>
      <c r="F68" s="560">
        <v>69825</v>
      </c>
      <c r="G68" s="549">
        <f t="shared" si="5"/>
        <v>342.69999999999709</v>
      </c>
      <c r="H68" s="536">
        <f>G68+'18'!H68</f>
        <v>-2853.5200000000041</v>
      </c>
      <c r="I68" s="592"/>
      <c r="J68" s="629">
        <f>H68/DAY(B2)</f>
        <v>-150.18526315789495</v>
      </c>
      <c r="K68" s="469"/>
      <c r="L68" s="408"/>
      <c r="N68" s="413"/>
      <c r="O68" s="413"/>
    </row>
    <row r="69" spans="1:15" ht="27.75">
      <c r="A69" s="1430" t="s">
        <v>104</v>
      </c>
      <c r="B69" s="1431"/>
      <c r="C69" s="1432"/>
      <c r="D69" s="599" t="s">
        <v>187</v>
      </c>
      <c r="E69" s="560">
        <f>'18'!F69</f>
        <v>61188.27</v>
      </c>
      <c r="F69" s="560">
        <v>61500</v>
      </c>
      <c r="G69" s="549">
        <f t="shared" si="5"/>
        <v>311.7300000000032</v>
      </c>
      <c r="H69" s="536">
        <f>G69+'18'!H69</f>
        <v>-2952.0899999999965</v>
      </c>
      <c r="I69" s="592"/>
      <c r="J69" s="629">
        <f>H69/DAY(B2)</f>
        <v>-155.37315789473666</v>
      </c>
      <c r="K69" s="470"/>
      <c r="L69" s="408"/>
      <c r="N69" s="413"/>
      <c r="O69" s="413"/>
    </row>
    <row r="70" spans="1:15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  <c r="O71" s="413"/>
    </row>
    <row r="72" spans="1:15" ht="27.75">
      <c r="A72" s="1430" t="s">
        <v>191</v>
      </c>
      <c r="B72" s="1431"/>
      <c r="C72" s="1432"/>
      <c r="D72" s="599" t="s">
        <v>187</v>
      </c>
      <c r="E72" s="595">
        <f>'18'!F72</f>
        <v>849849</v>
      </c>
      <c r="F72" s="595">
        <v>849920</v>
      </c>
      <c r="G72" s="549">
        <f t="shared" ref="G72:G84" si="6">F72-E72</f>
        <v>71</v>
      </c>
      <c r="H72" s="536">
        <f>G72+'18'!H72</f>
        <v>1527</v>
      </c>
      <c r="I72" s="556"/>
      <c r="J72" s="629">
        <f>H72/DAY(B2)</f>
        <v>80.368421052631575</v>
      </c>
      <c r="K72" s="470"/>
      <c r="L72" s="408"/>
      <c r="N72" s="413"/>
      <c r="O72" s="413"/>
    </row>
    <row r="73" spans="1:15" ht="27.75">
      <c r="A73" s="1430" t="s">
        <v>192</v>
      </c>
      <c r="B73" s="1431"/>
      <c r="C73" s="1432"/>
      <c r="D73" s="599" t="s">
        <v>187</v>
      </c>
      <c r="E73" s="596">
        <f>'18'!F73</f>
        <v>885740</v>
      </c>
      <c r="F73" s="596">
        <v>885740</v>
      </c>
      <c r="G73" s="549">
        <f t="shared" si="6"/>
        <v>0</v>
      </c>
      <c r="H73" s="536">
        <f>G73+'18'!H73</f>
        <v>-1168</v>
      </c>
      <c r="I73" s="556"/>
      <c r="J73" s="629">
        <f>H73/DAY(B2)</f>
        <v>-61.473684210526315</v>
      </c>
      <c r="K73" s="469"/>
      <c r="L73" s="408"/>
      <c r="N73" s="413"/>
      <c r="O73" s="413"/>
    </row>
    <row r="74" spans="1:15" ht="27.75">
      <c r="A74" s="1549" t="s">
        <v>193</v>
      </c>
      <c r="B74" s="1550"/>
      <c r="C74" s="1551"/>
      <c r="D74" s="599" t="s">
        <v>187</v>
      </c>
      <c r="E74" s="597">
        <f>'18'!F74</f>
        <v>353.78</v>
      </c>
      <c r="F74" s="597">
        <v>383</v>
      </c>
      <c r="G74" s="549">
        <f t="shared" si="6"/>
        <v>29.220000000000027</v>
      </c>
      <c r="H74" s="536">
        <f>G74+'18'!H74</f>
        <v>-203.17000000000007</v>
      </c>
      <c r="I74" s="556"/>
      <c r="J74" s="629">
        <f>H74/DAY(B2)</f>
        <v>-10.693157894736846</v>
      </c>
      <c r="K74" s="470"/>
      <c r="L74" s="408"/>
      <c r="N74" s="413"/>
      <c r="O74" s="413"/>
    </row>
    <row r="75" spans="1:15" ht="27.75">
      <c r="A75" s="1479" t="s">
        <v>194</v>
      </c>
      <c r="B75" s="1480"/>
      <c r="C75" s="1481"/>
      <c r="D75" s="599" t="s">
        <v>187</v>
      </c>
      <c r="E75" s="597">
        <f>'18'!F75</f>
        <v>1809.61</v>
      </c>
      <c r="F75" s="597">
        <v>1970</v>
      </c>
      <c r="G75" s="549">
        <f t="shared" si="6"/>
        <v>160.3900000000001</v>
      </c>
      <c r="H75" s="536">
        <f>G75+'18'!H75</f>
        <v>-1549.2199999999993</v>
      </c>
      <c r="I75" s="556"/>
      <c r="J75" s="629">
        <f>H75/DAY(B2)</f>
        <v>-81.537894736842077</v>
      </c>
      <c r="K75" s="469"/>
      <c r="L75" s="408"/>
      <c r="N75" s="413"/>
      <c r="O75" s="413"/>
    </row>
    <row r="76" spans="1:15" ht="27.75">
      <c r="A76" s="1479" t="s">
        <v>195</v>
      </c>
      <c r="B76" s="1480"/>
      <c r="C76" s="1481"/>
      <c r="D76" s="599" t="s">
        <v>187</v>
      </c>
      <c r="E76" s="596">
        <f>'18'!F76</f>
        <v>745.94</v>
      </c>
      <c r="F76" s="596">
        <v>815</v>
      </c>
      <c r="G76" s="549">
        <f t="shared" si="6"/>
        <v>69.059999999999945</v>
      </c>
      <c r="H76" s="536">
        <f>G76+'18'!H76</f>
        <v>-2243.4199999999996</v>
      </c>
      <c r="I76" s="581"/>
      <c r="J76" s="629">
        <f>H76/DAY(B2)</f>
        <v>-118.07473684210524</v>
      </c>
      <c r="K76" s="469"/>
      <c r="L76" s="408"/>
      <c r="N76" s="413"/>
      <c r="O76" s="413"/>
    </row>
    <row r="77" spans="1:15" ht="27.75">
      <c r="A77" s="1430" t="s">
        <v>196</v>
      </c>
      <c r="B77" s="1431"/>
      <c r="C77" s="1432"/>
      <c r="D77" s="599" t="s">
        <v>187</v>
      </c>
      <c r="E77" s="597">
        <f>'18'!F77</f>
        <v>698104</v>
      </c>
      <c r="F77" s="597">
        <v>698156</v>
      </c>
      <c r="G77" s="549">
        <f t="shared" si="6"/>
        <v>52</v>
      </c>
      <c r="H77" s="536">
        <f>G77+'18'!H77</f>
        <v>-432</v>
      </c>
      <c r="I77" s="581"/>
      <c r="J77" s="629">
        <f>H77/DAY(B2)</f>
        <v>-22.736842105263158</v>
      </c>
      <c r="K77" s="469"/>
      <c r="L77" s="408"/>
      <c r="N77" s="413"/>
      <c r="O77" s="413"/>
    </row>
    <row r="78" spans="1:15" ht="27.75">
      <c r="A78" s="1232" t="s">
        <v>197</v>
      </c>
      <c r="B78" s="1203"/>
      <c r="C78" s="1203"/>
      <c r="D78" s="599" t="s">
        <v>187</v>
      </c>
      <c r="E78" s="597">
        <f>'18'!F78</f>
        <v>649295</v>
      </c>
      <c r="F78" s="597">
        <v>649628</v>
      </c>
      <c r="G78" s="549">
        <f t="shared" si="6"/>
        <v>333</v>
      </c>
      <c r="H78" s="536">
        <f>G78+'18'!H78</f>
        <v>-3235</v>
      </c>
      <c r="I78" s="581"/>
      <c r="J78" s="629">
        <f>H78/DAY(B2)</f>
        <v>-170.26315789473685</v>
      </c>
      <c r="K78" s="469"/>
      <c r="L78" s="408"/>
      <c r="N78" s="413"/>
      <c r="O78" s="413"/>
    </row>
    <row r="79" spans="1:15" ht="27.75">
      <c r="A79" s="1479" t="s">
        <v>92</v>
      </c>
      <c r="B79" s="1480"/>
      <c r="C79" s="1481"/>
      <c r="D79" s="600" t="s">
        <v>187</v>
      </c>
      <c r="E79" s="597">
        <f>'18'!F79</f>
        <v>813181</v>
      </c>
      <c r="F79" s="597">
        <v>813359</v>
      </c>
      <c r="G79" s="549">
        <f t="shared" si="6"/>
        <v>178</v>
      </c>
      <c r="H79" s="536">
        <f>G79+'18'!H79</f>
        <v>-4377</v>
      </c>
      <c r="I79" s="581"/>
      <c r="J79" s="629">
        <f>H79/DAY(B2)</f>
        <v>-230.36842105263159</v>
      </c>
      <c r="K79" s="469"/>
      <c r="L79" s="408"/>
      <c r="N79" s="413"/>
      <c r="O79" s="413"/>
    </row>
    <row r="80" spans="1:15" ht="27.75">
      <c r="A80" s="1479" t="s">
        <v>198</v>
      </c>
      <c r="B80" s="1480"/>
      <c r="C80" s="1481"/>
      <c r="D80" s="600" t="s">
        <v>187</v>
      </c>
      <c r="E80" s="596">
        <f>'18'!F80</f>
        <v>490959</v>
      </c>
      <c r="F80" s="596">
        <v>491303</v>
      </c>
      <c r="G80" s="549">
        <f t="shared" si="6"/>
        <v>344</v>
      </c>
      <c r="H80" s="536">
        <f>G80+'18'!H80</f>
        <v>-696.67999999999302</v>
      </c>
      <c r="I80" s="581"/>
      <c r="J80" s="629">
        <f>H80/DAY(B2)</f>
        <v>-36.667368421052267</v>
      </c>
      <c r="K80" s="469"/>
      <c r="L80" s="408"/>
      <c r="N80" s="413"/>
      <c r="O80" s="413"/>
    </row>
    <row r="81" spans="1:15" ht="27.75">
      <c r="A81" s="1479" t="s">
        <v>199</v>
      </c>
      <c r="B81" s="1480"/>
      <c r="C81" s="1481"/>
      <c r="D81" s="600" t="s">
        <v>187</v>
      </c>
      <c r="E81" s="596">
        <f>'18'!F81</f>
        <v>624690</v>
      </c>
      <c r="F81" s="596">
        <v>624798</v>
      </c>
      <c r="G81" s="549">
        <f t="shared" si="6"/>
        <v>108</v>
      </c>
      <c r="H81" s="536">
        <f>G81+'18'!H81</f>
        <v>-1145.8399999999674</v>
      </c>
      <c r="I81" s="581"/>
      <c r="J81" s="629">
        <f>H81/DAY(B2)</f>
        <v>-60.307368421050917</v>
      </c>
      <c r="K81" s="469"/>
      <c r="L81" s="408"/>
      <c r="N81" s="413"/>
      <c r="O81" s="413"/>
    </row>
    <row r="82" spans="1:15" ht="27.75">
      <c r="A82" s="1479" t="s">
        <v>93</v>
      </c>
      <c r="B82" s="1480"/>
      <c r="C82" s="1481"/>
      <c r="D82" s="561" t="s">
        <v>132</v>
      </c>
      <c r="E82" s="598">
        <f>'18'!F82</f>
        <v>105965</v>
      </c>
      <c r="F82" s="598">
        <v>105990</v>
      </c>
      <c r="G82" s="549">
        <f t="shared" si="6"/>
        <v>25</v>
      </c>
      <c r="H82" s="536">
        <f>G82+'18'!H82</f>
        <v>-212.47999999999593</v>
      </c>
      <c r="I82" s="562"/>
      <c r="J82" s="629">
        <f>H82/DAY(B2)</f>
        <v>-11.183157894736627</v>
      </c>
      <c r="K82" s="469"/>
      <c r="L82" s="408"/>
      <c r="N82" s="413"/>
      <c r="O82" s="413"/>
    </row>
    <row r="83" spans="1:15" ht="27.75">
      <c r="A83" s="1479" t="s">
        <v>200</v>
      </c>
      <c r="B83" s="1480"/>
      <c r="C83" s="1481"/>
      <c r="D83" s="697" t="s">
        <v>132</v>
      </c>
      <c r="E83" s="587">
        <f>'18'!F83</f>
        <v>991686</v>
      </c>
      <c r="F83" s="587">
        <v>992041</v>
      </c>
      <c r="G83" s="549">
        <f t="shared" si="6"/>
        <v>355</v>
      </c>
      <c r="H83" s="536">
        <f>G83+'18'!H83</f>
        <v>995444</v>
      </c>
      <c r="I83" s="557"/>
      <c r="J83" s="629">
        <f>H83/DAY(B2)</f>
        <v>52391.789473684214</v>
      </c>
      <c r="K83" s="468"/>
      <c r="L83" s="408"/>
      <c r="N83" s="413"/>
      <c r="O83" s="803"/>
    </row>
    <row r="84" spans="1:15">
      <c r="A84" s="1233" t="s">
        <v>201</v>
      </c>
      <c r="B84" s="648"/>
      <c r="C84" s="648"/>
      <c r="D84" s="554" t="s">
        <v>132</v>
      </c>
      <c r="E84" s="704">
        <f>'18'!F84</f>
        <v>424887</v>
      </c>
      <c r="F84" s="704">
        <v>425386</v>
      </c>
      <c r="G84" s="549">
        <f t="shared" si="6"/>
        <v>499</v>
      </c>
      <c r="H84" s="536">
        <f>G84+'18'!H84</f>
        <v>-5412</v>
      </c>
      <c r="I84" s="557"/>
      <c r="J84" s="629">
        <f>H84/DAY(B2)</f>
        <v>-284.84210526315792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2223.67</v>
      </c>
      <c r="H85" s="536">
        <f>G85+'18'!H85</f>
        <v>974704.92999999993</v>
      </c>
      <c r="I85" s="557"/>
      <c r="J85" s="629">
        <f>H85/DAY(B2)</f>
        <v>51300.259473684207</v>
      </c>
      <c r="K85" s="411"/>
      <c r="L85" s="409"/>
      <c r="N85" s="859"/>
      <c r="O85" s="803"/>
    </row>
    <row r="86" spans="1:15" s="817" customFormat="1">
      <c r="A86" s="812" t="s">
        <v>94</v>
      </c>
      <c r="B86" s="813"/>
      <c r="C86" s="813"/>
      <c r="D86" s="814" t="s">
        <v>183</v>
      </c>
      <c r="E86" s="728">
        <f>'18'!F86</f>
        <v>449213</v>
      </c>
      <c r="F86" s="728">
        <v>449355</v>
      </c>
      <c r="G86" s="787">
        <f t="shared" ref="G86:G90" si="7">F86-E86</f>
        <v>142</v>
      </c>
      <c r="H86" s="536">
        <f>G86+'18'!H86</f>
        <v>271</v>
      </c>
      <c r="I86" s="733"/>
      <c r="J86" s="789">
        <f>H86/DAY(B2)</f>
        <v>14.263157894736842</v>
      </c>
      <c r="K86" s="815">
        <v>424609</v>
      </c>
      <c r="L86" s="816">
        <f>K86-F86</f>
        <v>-24746</v>
      </c>
      <c r="N86" s="860"/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728">
        <f>'18'!F87</f>
        <v>78939</v>
      </c>
      <c r="F87" s="728">
        <v>78964</v>
      </c>
      <c r="G87" s="787">
        <f t="shared" si="7"/>
        <v>25</v>
      </c>
      <c r="H87" s="536">
        <f>G87+'18'!H87</f>
        <v>55.30000000000291</v>
      </c>
      <c r="I87" s="733"/>
      <c r="J87" s="789">
        <f>H87/DAY(B2)</f>
        <v>2.9105263157896268</v>
      </c>
      <c r="K87" s="815"/>
      <c r="L87" s="816"/>
      <c r="N87" s="860"/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728">
        <f>'18'!F88</f>
        <v>147714</v>
      </c>
      <c r="F88" s="728">
        <v>147807</v>
      </c>
      <c r="G88" s="787">
        <f t="shared" si="7"/>
        <v>93</v>
      </c>
      <c r="H88" s="536">
        <f>G88+'18'!H88</f>
        <v>169.10000000000582</v>
      </c>
      <c r="I88" s="733"/>
      <c r="J88" s="789">
        <f>H88/DAY(B2)</f>
        <v>8.9000000000003059</v>
      </c>
      <c r="K88" s="815"/>
      <c r="L88" s="816"/>
      <c r="N88" s="860"/>
      <c r="O88" s="413"/>
    </row>
    <row r="89" spans="1:15" s="817" customFormat="1">
      <c r="A89" s="812" t="s">
        <v>204</v>
      </c>
      <c r="B89" s="813"/>
      <c r="C89" s="813"/>
      <c r="D89" s="814" t="s">
        <v>183</v>
      </c>
      <c r="E89" s="728">
        <f>'18'!F89</f>
        <v>61000.5</v>
      </c>
      <c r="F89" s="728">
        <v>61058</v>
      </c>
      <c r="G89" s="787">
        <f t="shared" si="7"/>
        <v>57.5</v>
      </c>
      <c r="H89" s="536">
        <f>G89+'18'!H89</f>
        <v>125.5</v>
      </c>
      <c r="I89" s="733"/>
      <c r="J89" s="789">
        <f>H89/DAY(B2)</f>
        <v>6.6052631578947372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28">
        <f>'18'!F90</f>
        <v>3129.2</v>
      </c>
      <c r="F90" s="728">
        <v>3134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0.25263157894737798</v>
      </c>
      <c r="K90" s="815"/>
      <c r="L90" s="816"/>
      <c r="N90" s="860"/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'18'!F92</f>
        <v>238595</v>
      </c>
      <c r="F92" s="560">
        <v>238690</v>
      </c>
      <c r="G92" s="549">
        <f t="shared" ref="G92:G93" si="8">F92-E92</f>
        <v>95</v>
      </c>
      <c r="H92" s="536">
        <f>G92+'18'!H92</f>
        <v>-1005</v>
      </c>
      <c r="I92" s="556"/>
      <c r="J92" s="629">
        <f>H92/DAY(B2)</f>
        <v>-52.89473684210526</v>
      </c>
      <c r="K92" s="468"/>
      <c r="L92" s="408"/>
      <c r="N92" s="413"/>
      <c r="O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'18'!F93</f>
        <v>174068</v>
      </c>
      <c r="F93" s="560">
        <v>174210</v>
      </c>
      <c r="G93" s="549">
        <f t="shared" si="8"/>
        <v>142</v>
      </c>
      <c r="H93" s="536">
        <f>G93+'18'!H93</f>
        <v>-1451</v>
      </c>
      <c r="I93" s="556"/>
      <c r="J93" s="629">
        <f>H93/DAY(B2)</f>
        <v>-76.368421052631575</v>
      </c>
      <c r="K93" s="411"/>
      <c r="L93" s="408"/>
      <c r="N93" s="413"/>
      <c r="O93" s="413"/>
    </row>
    <row r="94" spans="1:15">
      <c r="A94" s="1427" t="s">
        <v>208</v>
      </c>
      <c r="B94" s="1428"/>
      <c r="C94" s="1429"/>
      <c r="D94" s="599"/>
      <c r="E94" s="560">
        <f>'18'!F94</f>
        <v>0</v>
      </c>
      <c r="F94" s="560"/>
      <c r="G94" s="549">
        <f>G92+G93</f>
        <v>237</v>
      </c>
      <c r="H94" s="536">
        <f>G94+'18'!H94</f>
        <v>-2722</v>
      </c>
      <c r="I94" s="556"/>
      <c r="J94" s="629">
        <f>H94/DAY(B2)</f>
        <v>-143.26315789473685</v>
      </c>
      <c r="K94" s="411"/>
      <c r="L94" s="408"/>
      <c r="N94" s="413"/>
      <c r="O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'18'!F95</f>
        <v>407283</v>
      </c>
      <c r="F95" s="560">
        <v>407362</v>
      </c>
      <c r="G95" s="549">
        <f t="shared" ref="G95:G100" si="9">F95-E95</f>
        <v>79</v>
      </c>
      <c r="H95" s="536">
        <f>G95+'18'!H95</f>
        <v>-794</v>
      </c>
      <c r="I95" s="556"/>
      <c r="J95" s="629">
        <f>H95/DAY(B2)</f>
        <v>-41.789473684210527</v>
      </c>
      <c r="K95" s="411"/>
      <c r="L95" s="408"/>
      <c r="N95" s="413"/>
      <c r="O95" s="413"/>
    </row>
    <row r="96" spans="1:15" ht="27.75">
      <c r="A96" s="1229" t="s">
        <v>210</v>
      </c>
      <c r="B96" s="1230"/>
      <c r="C96" s="1230"/>
      <c r="D96" s="599" t="s">
        <v>144</v>
      </c>
      <c r="E96" s="560">
        <f>'18'!F96</f>
        <v>101140</v>
      </c>
      <c r="F96" s="560">
        <v>101149</v>
      </c>
      <c r="G96" s="549">
        <f t="shared" si="9"/>
        <v>9</v>
      </c>
      <c r="H96" s="536">
        <f>G96+'18'!H96</f>
        <v>-183</v>
      </c>
      <c r="I96" s="556"/>
      <c r="J96" s="629">
        <f>H96/DAY(B2)</f>
        <v>-9.6315789473684212</v>
      </c>
      <c r="K96" s="466"/>
      <c r="L96" s="408"/>
      <c r="N96" s="413"/>
      <c r="O96" s="413"/>
    </row>
    <row r="97" spans="1:15" ht="27.75">
      <c r="A97" s="1229" t="s">
        <v>211</v>
      </c>
      <c r="B97" s="1230"/>
      <c r="C97" s="1230"/>
      <c r="D97" s="599" t="s">
        <v>144</v>
      </c>
      <c r="E97" s="560">
        <f>'18'!F97</f>
        <v>96214</v>
      </c>
      <c r="F97" s="560">
        <v>96238</v>
      </c>
      <c r="G97" s="549">
        <f t="shared" si="9"/>
        <v>24</v>
      </c>
      <c r="H97" s="536">
        <f>G97+'18'!H97</f>
        <v>-211</v>
      </c>
      <c r="I97" s="556"/>
      <c r="J97" s="629">
        <f>H97/DAY(B2)</f>
        <v>-11.105263157894736</v>
      </c>
      <c r="K97" s="471"/>
      <c r="L97" s="408"/>
      <c r="N97" s="413"/>
      <c r="O97" s="413"/>
    </row>
    <row r="98" spans="1:15" ht="27.75">
      <c r="A98" s="1229" t="s">
        <v>212</v>
      </c>
      <c r="B98" s="1230"/>
      <c r="C98" s="1230"/>
      <c r="D98" s="599" t="s">
        <v>144</v>
      </c>
      <c r="E98" s="560">
        <f>'18'!F98</f>
        <v>146775</v>
      </c>
      <c r="F98" s="560">
        <v>146838</v>
      </c>
      <c r="G98" s="549">
        <f t="shared" si="9"/>
        <v>63</v>
      </c>
      <c r="H98" s="536">
        <f>G98+'18'!H98</f>
        <v>-770</v>
      </c>
      <c r="I98" s="556"/>
      <c r="J98" s="629">
        <f>H98/DAY(B2)</f>
        <v>-40.526315789473685</v>
      </c>
      <c r="K98" s="411"/>
      <c r="L98" s="408"/>
      <c r="N98" s="413"/>
      <c r="O98" s="413"/>
    </row>
    <row r="99" spans="1:15" ht="27.75">
      <c r="A99" s="1229" t="s">
        <v>213</v>
      </c>
      <c r="B99" s="1230"/>
      <c r="C99" s="1230"/>
      <c r="D99" s="599" t="s">
        <v>144</v>
      </c>
      <c r="E99" s="560">
        <f>'18'!F99</f>
        <v>6220</v>
      </c>
      <c r="F99" s="560">
        <v>6243</v>
      </c>
      <c r="G99" s="549">
        <f t="shared" si="9"/>
        <v>23</v>
      </c>
      <c r="H99" s="536">
        <f>G99+'18'!H99</f>
        <v>-165</v>
      </c>
      <c r="I99" s="556"/>
      <c r="J99" s="629">
        <f>H99/DAY(B2)</f>
        <v>-8.6842105263157894</v>
      </c>
      <c r="K99" s="411"/>
      <c r="L99" s="408"/>
      <c r="N99" s="413"/>
      <c r="O99" s="413"/>
    </row>
    <row r="100" spans="1:15" ht="27.75">
      <c r="A100" s="1229" t="s">
        <v>214</v>
      </c>
      <c r="B100" s="1230"/>
      <c r="C100" s="1230"/>
      <c r="D100" s="599" t="s">
        <v>144</v>
      </c>
      <c r="E100" s="560">
        <f>'18'!F100</f>
        <v>4406</v>
      </c>
      <c r="F100" s="560">
        <v>4412</v>
      </c>
      <c r="G100" s="549">
        <f t="shared" si="9"/>
        <v>6</v>
      </c>
      <c r="H100" s="536">
        <f>G100+'18'!H100</f>
        <v>-131</v>
      </c>
      <c r="I100" s="556"/>
      <c r="J100" s="629">
        <f>H100/DAY(B2)</f>
        <v>-6.8947368421052628</v>
      </c>
      <c r="K100" s="411"/>
      <c r="L100" s="408"/>
      <c r="N100" s="413"/>
      <c r="O100" s="413"/>
    </row>
    <row r="101" spans="1:15">
      <c r="A101" s="1427" t="s">
        <v>216</v>
      </c>
      <c r="B101" s="1428"/>
      <c r="C101" s="1429"/>
      <c r="D101" s="600"/>
      <c r="E101" s="600"/>
      <c r="F101" s="600"/>
      <c r="G101" s="601">
        <f>SUM(G95:G100)</f>
        <v>204</v>
      </c>
      <c r="H101" s="536">
        <f>G101+'18'!H101</f>
        <v>-2254</v>
      </c>
      <c r="I101" s="602"/>
      <c r="J101" s="629">
        <f>H101/DAY(B2)</f>
        <v>-118.63157894736842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6" t="s">
        <v>218</v>
      </c>
      <c r="B103" s="143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38" t="s">
        <v>219</v>
      </c>
      <c r="B104" s="1439"/>
      <c r="C104" s="1227"/>
      <c r="D104" s="699" t="s">
        <v>144</v>
      </c>
      <c r="E104" s="608">
        <f>'18'!F104</f>
        <v>7097</v>
      </c>
      <c r="F104" s="608">
        <v>7097</v>
      </c>
      <c r="G104" s="608">
        <f>F104-E104</f>
        <v>0</v>
      </c>
      <c r="H104" s="536">
        <f>G104+'18'!H104</f>
        <v>79.150000000000091</v>
      </c>
      <c r="I104" s="608"/>
      <c r="J104" s="635">
        <f>H104/DAY(B2)</f>
        <v>4.1657894736842156</v>
      </c>
      <c r="N104" s="493"/>
      <c r="O104" s="413"/>
    </row>
    <row r="105" spans="1:15" s="481" customFormat="1" ht="27.75">
      <c r="A105" s="1438" t="s">
        <v>77</v>
      </c>
      <c r="B105" s="1439"/>
      <c r="C105" s="1227"/>
      <c r="D105" s="699" t="s">
        <v>144</v>
      </c>
      <c r="E105" s="610">
        <f>'18'!F105</f>
        <v>35314</v>
      </c>
      <c r="F105" s="610">
        <v>35321</v>
      </c>
      <c r="G105" s="608">
        <f t="shared" ref="G105:G106" si="10">F105-E105</f>
        <v>7</v>
      </c>
      <c r="H105" s="536">
        <f>G105+'18'!H105</f>
        <v>60</v>
      </c>
      <c r="I105" s="608"/>
      <c r="J105" s="635">
        <f>H105/DAY(B2)</f>
        <v>3.1578947368421053</v>
      </c>
      <c r="N105" s="493"/>
      <c r="O105" s="413"/>
    </row>
    <row r="106" spans="1:15" s="481" customFormat="1" ht="27.75">
      <c r="A106" s="1438" t="s">
        <v>78</v>
      </c>
      <c r="B106" s="1440"/>
      <c r="C106" s="1439"/>
      <c r="D106" s="699" t="s">
        <v>144</v>
      </c>
      <c r="E106" s="608">
        <f>'18'!F106</f>
        <v>19189</v>
      </c>
      <c r="F106" s="608">
        <v>19195</v>
      </c>
      <c r="G106" s="608">
        <f t="shared" si="10"/>
        <v>6</v>
      </c>
      <c r="H106" s="536">
        <f>G106+'18'!H106</f>
        <v>406</v>
      </c>
      <c r="I106" s="608"/>
      <c r="J106" s="635">
        <f>H106/DAY(B2)</f>
        <v>21.368421052631579</v>
      </c>
      <c r="N106" s="493"/>
      <c r="O106" s="413"/>
    </row>
    <row r="107" spans="1:15" s="481" customFormat="1" ht="27.75">
      <c r="A107" s="1441" t="s">
        <v>202</v>
      </c>
      <c r="B107" s="1442"/>
      <c r="C107" s="1227"/>
      <c r="D107" s="699"/>
      <c r="E107" s="608">
        <f>'18'!F107</f>
        <v>0</v>
      </c>
      <c r="F107" s="608"/>
      <c r="G107" s="608">
        <f>SUM(G104:G106)</f>
        <v>13</v>
      </c>
      <c r="H107" s="536">
        <f>G107+'18'!H107</f>
        <v>223</v>
      </c>
      <c r="I107" s="608"/>
      <c r="J107" s="635">
        <f>H107/DAY(B2)</f>
        <v>11.736842105263158</v>
      </c>
      <c r="N107" s="493"/>
      <c r="O107" s="413"/>
    </row>
    <row r="108" spans="1:15" s="481" customFormat="1" ht="27.75">
      <c r="A108" s="1443" t="s">
        <v>79</v>
      </c>
      <c r="B108" s="1444"/>
      <c r="C108" s="1227"/>
      <c r="D108" s="699" t="s">
        <v>144</v>
      </c>
      <c r="E108" s="608">
        <f>'18'!F108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438" t="s">
        <v>220</v>
      </c>
      <c r="B109" s="1439"/>
      <c r="C109" s="1227"/>
      <c r="D109" s="699" t="s">
        <v>144</v>
      </c>
      <c r="E109" s="608">
        <f>'18'!F109</f>
        <v>55748</v>
      </c>
      <c r="F109" s="608">
        <v>55788</v>
      </c>
      <c r="G109" s="608">
        <f>F109-E109</f>
        <v>40</v>
      </c>
      <c r="H109" s="536">
        <f>G109+'18'!H109</f>
        <v>212.56000000005588</v>
      </c>
      <c r="I109" s="608"/>
      <c r="J109" s="635">
        <f>H109/DAY(B2)</f>
        <v>11.187368421055572</v>
      </c>
      <c r="N109" s="493"/>
      <c r="O109" s="413"/>
    </row>
    <row r="110" spans="1:15" s="481" customFormat="1" ht="27.75">
      <c r="A110" s="1438" t="s">
        <v>221</v>
      </c>
      <c r="B110" s="1439"/>
      <c r="C110" s="1227"/>
      <c r="D110" s="699" t="s">
        <v>144</v>
      </c>
      <c r="E110" s="608">
        <f>'18'!F110</f>
        <v>29706</v>
      </c>
      <c r="F110" s="608">
        <v>29737</v>
      </c>
      <c r="G110" s="608">
        <f t="shared" ref="G110:G111" si="11">F110-E110</f>
        <v>31</v>
      </c>
      <c r="H110" s="536">
        <f>G110+'18'!H110</f>
        <v>141.16999999999825</v>
      </c>
      <c r="I110" s="608"/>
      <c r="J110" s="635">
        <f>H110/DAY(B2)</f>
        <v>7.4299999999999082</v>
      </c>
      <c r="N110" s="493"/>
      <c r="O110" s="413"/>
    </row>
    <row r="111" spans="1:15" s="481" customFormat="1" ht="27.75">
      <c r="A111" s="1438" t="s">
        <v>222</v>
      </c>
      <c r="B111" s="1439"/>
      <c r="C111" s="1227"/>
      <c r="D111" s="699" t="s">
        <v>144</v>
      </c>
      <c r="E111" s="608">
        <f>'18'!F111</f>
        <v>3912</v>
      </c>
      <c r="F111" s="608">
        <v>3912</v>
      </c>
      <c r="G111" s="608">
        <f t="shared" si="11"/>
        <v>0</v>
      </c>
      <c r="H111" s="536">
        <f>G111+'18'!H111</f>
        <v>527</v>
      </c>
      <c r="I111" s="608"/>
      <c r="J111" s="635">
        <f>H111/DAY(B2)</f>
        <v>27.736842105263158</v>
      </c>
      <c r="N111" s="493"/>
      <c r="O111" s="413"/>
    </row>
    <row r="112" spans="1:15" s="481" customFormat="1" ht="27.75">
      <c r="A112" s="1470" t="s">
        <v>110</v>
      </c>
      <c r="B112" s="1471"/>
      <c r="C112" s="1227"/>
      <c r="D112" s="699"/>
      <c r="E112" s="608">
        <f>'18'!F112</f>
        <v>0</v>
      </c>
      <c r="F112" s="608"/>
      <c r="G112" s="608">
        <f>SUM(G109:G111)</f>
        <v>71</v>
      </c>
      <c r="H112" s="536">
        <f>G112+'18'!H112</f>
        <v>920</v>
      </c>
      <c r="I112" s="608"/>
      <c r="J112" s="635">
        <f>H112/DAY(B2)</f>
        <v>48.421052631578945</v>
      </c>
      <c r="N112" s="493"/>
      <c r="O112" s="413"/>
    </row>
    <row r="113" spans="1:15" s="481" customFormat="1" ht="27.75">
      <c r="A113" s="1443" t="s">
        <v>223</v>
      </c>
      <c r="B113" s="1444"/>
      <c r="C113" s="1227"/>
      <c r="D113" s="699"/>
      <c r="E113" s="608">
        <f>'18'!F113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438" t="s">
        <v>224</v>
      </c>
      <c r="B114" s="1439"/>
      <c r="C114" s="651"/>
      <c r="D114" s="699" t="s">
        <v>144</v>
      </c>
      <c r="E114" s="610">
        <f>'18'!F114</f>
        <v>10099</v>
      </c>
      <c r="F114" s="610">
        <v>10125</v>
      </c>
      <c r="G114" s="610">
        <f>F114-E114</f>
        <v>26</v>
      </c>
      <c r="H114" s="536">
        <f>G114+'18'!H114</f>
        <v>51</v>
      </c>
      <c r="I114" s="608"/>
      <c r="J114" s="635">
        <f>H114/DAY(B2)</f>
        <v>2.6842105263157894</v>
      </c>
      <c r="N114" s="493"/>
      <c r="O114" s="413"/>
    </row>
    <row r="115" spans="1:15" s="481" customFormat="1" ht="27.75">
      <c r="A115" s="1438" t="s">
        <v>225</v>
      </c>
      <c r="B115" s="1439"/>
      <c r="C115" s="651"/>
      <c r="D115" s="699" t="s">
        <v>144</v>
      </c>
      <c r="E115" s="610">
        <f>'18'!F115</f>
        <v>7566</v>
      </c>
      <c r="F115" s="610">
        <v>7568</v>
      </c>
      <c r="G115" s="610">
        <f t="shared" ref="G115:G116" si="12">F115-E115</f>
        <v>2</v>
      </c>
      <c r="H115" s="536">
        <f>G115+'18'!H115</f>
        <v>129</v>
      </c>
      <c r="I115" s="608"/>
      <c r="J115" s="635">
        <f>H115/DAY(B2)</f>
        <v>6.7894736842105265</v>
      </c>
      <c r="N115" s="493"/>
      <c r="O115" s="413"/>
    </row>
    <row r="116" spans="1:15" s="481" customFormat="1" ht="27.75">
      <c r="A116" s="1438" t="s">
        <v>226</v>
      </c>
      <c r="B116" s="1439"/>
      <c r="C116" s="651"/>
      <c r="D116" s="699" t="s">
        <v>144</v>
      </c>
      <c r="E116" s="610"/>
      <c r="F116" s="610"/>
      <c r="G116" s="610">
        <f t="shared" si="12"/>
        <v>0</v>
      </c>
      <c r="H116" s="536">
        <f>G116+'18'!H116</f>
        <v>144</v>
      </c>
      <c r="I116" s="608"/>
      <c r="J116" s="635">
        <f>H116/DAY(B2)</f>
        <v>7.5789473684210522</v>
      </c>
      <c r="N116" s="493"/>
      <c r="O116" s="413"/>
    </row>
    <row r="117" spans="1:15" s="494" customFormat="1" ht="27.75">
      <c r="A117" s="1441" t="s">
        <v>202</v>
      </c>
      <c r="B117" s="1442"/>
      <c r="C117" s="651"/>
      <c r="D117" s="700"/>
      <c r="E117" s="610"/>
      <c r="F117" s="610"/>
      <c r="G117" s="610">
        <f>SUM(G114:G116)</f>
        <v>28</v>
      </c>
      <c r="H117" s="536">
        <f>G117+'18'!H117</f>
        <v>134</v>
      </c>
      <c r="I117" s="610"/>
      <c r="J117" s="635">
        <f>H117/DAY(B2)</f>
        <v>7.0526315789473681</v>
      </c>
      <c r="N117" s="522"/>
      <c r="O117" s="413"/>
    </row>
    <row r="118" spans="1:15" s="495" customFormat="1" ht="27.75">
      <c r="A118" s="1472" t="s">
        <v>227</v>
      </c>
      <c r="B118" s="1473"/>
      <c r="C118" s="1226"/>
      <c r="D118" s="701" t="s">
        <v>144</v>
      </c>
      <c r="E118" s="612"/>
      <c r="F118" s="612">
        <f>SUM(G19+G92)</f>
        <v>145</v>
      </c>
      <c r="G118" s="612">
        <f>SUM(G19+G92)</f>
        <v>145</v>
      </c>
      <c r="H118" s="536">
        <f>G118+'18'!H118</f>
        <v>286</v>
      </c>
      <c r="I118" s="611"/>
      <c r="J118" s="636">
        <f>H118/DAY(B2)</f>
        <v>15.052631578947368</v>
      </c>
      <c r="N118" s="861"/>
      <c r="O118" s="413"/>
    </row>
    <row r="119" spans="1:15" s="495" customFormat="1" ht="27.75">
      <c r="A119" s="1472" t="s">
        <v>228</v>
      </c>
      <c r="B119" s="1473"/>
      <c r="C119" s="1226"/>
      <c r="D119" s="701" t="s">
        <v>144</v>
      </c>
      <c r="E119" s="612"/>
      <c r="F119" s="612">
        <f>SUM(G95,G96,G97,G99,G100)</f>
        <v>141</v>
      </c>
      <c r="G119" s="612">
        <f>SUM(G95,G96,G97,G99,G100)</f>
        <v>141</v>
      </c>
      <c r="H119" s="536">
        <f>G119+'18'!H119</f>
        <v>345</v>
      </c>
      <c r="I119" s="611"/>
      <c r="J119" s="636">
        <f>H119/DAY(B2)</f>
        <v>18.157894736842106</v>
      </c>
      <c r="N119" s="861"/>
      <c r="O119" s="413"/>
    </row>
    <row r="120" spans="1:15" s="495" customFormat="1" ht="27.75">
      <c r="A120" s="1472" t="s">
        <v>229</v>
      </c>
      <c r="B120" s="1473"/>
      <c r="C120" s="1226"/>
      <c r="D120" s="701" t="s">
        <v>144</v>
      </c>
      <c r="E120" s="610"/>
      <c r="F120" s="610">
        <f>SUM(G112)</f>
        <v>71</v>
      </c>
      <c r="G120" s="610">
        <f>SUM(G112)</f>
        <v>71</v>
      </c>
      <c r="H120" s="536">
        <f>G120+'18'!H120</f>
        <v>244</v>
      </c>
      <c r="I120" s="611"/>
      <c r="J120" s="636">
        <f>H120/DAY(B2)</f>
        <v>12.842105263157896</v>
      </c>
      <c r="N120" s="861"/>
      <c r="O120" s="413"/>
    </row>
    <row r="121" spans="1:15" s="481" customFormat="1" ht="27.75">
      <c r="A121" s="1474"/>
      <c r="B121" s="1475"/>
      <c r="C121" s="1227"/>
      <c r="D121" s="637"/>
      <c r="E121" s="637"/>
      <c r="F121" s="637" t="s">
        <v>215</v>
      </c>
      <c r="G121" s="637"/>
      <c r="H121" s="638"/>
      <c r="I121" s="637"/>
      <c r="J121" s="639"/>
      <c r="N121" s="493"/>
      <c r="O121" s="413"/>
    </row>
    <row r="122" spans="1:15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29" t="s">
        <v>231</v>
      </c>
      <c r="B123" s="1230"/>
      <c r="C123" s="1230"/>
      <c r="D123" s="599" t="s">
        <v>141</v>
      </c>
      <c r="E123" s="554">
        <f>'18'!F123</f>
        <v>808376.34</v>
      </c>
      <c r="F123" s="554">
        <v>808618</v>
      </c>
      <c r="G123" s="549">
        <f t="shared" ref="G123:G127" si="13">F123-E123</f>
        <v>241.6600000000326</v>
      </c>
      <c r="H123" s="536">
        <f>G123+'18'!H123</f>
        <v>-2388.8399999999674</v>
      </c>
      <c r="I123" s="602"/>
      <c r="J123" s="629">
        <f>H123/DAY(B2)</f>
        <v>-125.72842105262987</v>
      </c>
      <c r="K123" s="411"/>
      <c r="L123" s="408"/>
      <c r="N123" s="413"/>
      <c r="O123" s="413"/>
    </row>
    <row r="124" spans="1:15" ht="27.75">
      <c r="A124" s="1229" t="s">
        <v>232</v>
      </c>
      <c r="B124" s="1230"/>
      <c r="C124" s="1230"/>
      <c r="D124" s="599" t="s">
        <v>141</v>
      </c>
      <c r="E124" s="703">
        <f>'18'!F124</f>
        <v>73583.399999999994</v>
      </c>
      <c r="F124" s="703">
        <v>73583</v>
      </c>
      <c r="G124" s="549">
        <f t="shared" si="13"/>
        <v>-0.39999999999417923</v>
      </c>
      <c r="H124" s="536">
        <f>G124+'18'!H124</f>
        <v>-0.39999999999417923</v>
      </c>
      <c r="I124" s="602"/>
      <c r="J124" s="629">
        <f>H124/DAY(B2)</f>
        <v>-2.1052631578641012E-2</v>
      </c>
      <c r="K124" s="411"/>
      <c r="L124" s="408"/>
      <c r="N124" s="413"/>
      <c r="O124" s="413"/>
    </row>
    <row r="125" spans="1:15" ht="27.75">
      <c r="A125" s="1430" t="s">
        <v>233</v>
      </c>
      <c r="B125" s="1431"/>
      <c r="C125" s="1432"/>
      <c r="D125" s="599" t="s">
        <v>141</v>
      </c>
      <c r="E125" s="554">
        <f>'18'!F125</f>
        <v>139226.75</v>
      </c>
      <c r="F125" s="554">
        <v>139316</v>
      </c>
      <c r="G125" s="549">
        <f t="shared" si="13"/>
        <v>89.25</v>
      </c>
      <c r="H125" s="536">
        <f>G125+'18'!H125</f>
        <v>-663.33999999999651</v>
      </c>
      <c r="I125" s="602"/>
      <c r="J125" s="629">
        <f>H125/DAY(B2)</f>
        <v>-34.912631578947185</v>
      </c>
      <c r="K125" s="411"/>
      <c r="L125" s="408"/>
      <c r="N125" s="413"/>
      <c r="O125" s="413"/>
    </row>
    <row r="126" spans="1:15" ht="27.75">
      <c r="A126" s="686" t="s">
        <v>234</v>
      </c>
      <c r="B126" s="1230"/>
      <c r="C126" s="1230"/>
      <c r="D126" s="599" t="s">
        <v>141</v>
      </c>
      <c r="E126" s="703">
        <f>'18'!F126</f>
        <v>59055.5</v>
      </c>
      <c r="F126" s="703">
        <v>59079</v>
      </c>
      <c r="G126" s="549">
        <f t="shared" si="13"/>
        <v>23.5</v>
      </c>
      <c r="H126" s="536">
        <f>G126+'18'!H126</f>
        <v>-227.90000000000146</v>
      </c>
      <c r="I126" s="602"/>
      <c r="J126" s="629">
        <f>H126/DAY(B2)</f>
        <v>-11.99473684210534</v>
      </c>
      <c r="K126" s="411"/>
      <c r="L126" s="408"/>
      <c r="N126" s="413"/>
      <c r="O126" s="413"/>
    </row>
    <row r="127" spans="1:15" ht="27.75">
      <c r="A127" s="686" t="s">
        <v>235</v>
      </c>
      <c r="B127" s="1230"/>
      <c r="C127" s="1230"/>
      <c r="D127" s="599" t="s">
        <v>141</v>
      </c>
      <c r="E127" s="703">
        <f>'18'!F127</f>
        <v>8869.2000000000007</v>
      </c>
      <c r="F127" s="703">
        <v>8871</v>
      </c>
      <c r="G127" s="549">
        <f t="shared" si="13"/>
        <v>1.7999999999992724</v>
      </c>
      <c r="H127" s="536">
        <f>G127+'18'!H127</f>
        <v>-16.799999999999272</v>
      </c>
      <c r="I127" s="556"/>
      <c r="J127" s="629">
        <f>H127/DAY(B2)</f>
        <v>-0.88421052631575114</v>
      </c>
      <c r="K127" s="411"/>
      <c r="L127" s="408"/>
      <c r="N127" s="413"/>
      <c r="O127" s="413"/>
    </row>
    <row r="128" spans="1:15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525.59999999987849</v>
      </c>
      <c r="H128" s="536">
        <f>G128+'18'!H128</f>
        <v>2207.5099999998529</v>
      </c>
      <c r="I128" s="556"/>
      <c r="J128" s="629">
        <f>H128/DAY(B2)</f>
        <v>116.18473684209752</v>
      </c>
      <c r="K128" s="391"/>
      <c r="L128" s="293"/>
      <c r="N128" s="395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29" t="s">
        <v>238</v>
      </c>
      <c r="B130" s="1230"/>
      <c r="C130" s="1230"/>
      <c r="D130" s="599" t="s">
        <v>239</v>
      </c>
      <c r="E130" s="560">
        <f>'18'!F130</f>
        <v>0</v>
      </c>
      <c r="F130" s="560">
        <v>0</v>
      </c>
      <c r="G130" s="549">
        <f t="shared" ref="G130:G140" si="14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29" t="s">
        <v>240</v>
      </c>
      <c r="B131" s="1230"/>
      <c r="C131" s="1230"/>
      <c r="D131" s="599" t="s">
        <v>239</v>
      </c>
      <c r="E131" s="560">
        <f>'18'!F131</f>
        <v>0</v>
      </c>
      <c r="F131" s="560">
        <v>0</v>
      </c>
      <c r="G131" s="549">
        <f t="shared" si="14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29" t="s">
        <v>241</v>
      </c>
      <c r="B132" s="1230"/>
      <c r="C132" s="1230"/>
      <c r="D132" s="599" t="s">
        <v>239</v>
      </c>
      <c r="E132" s="618">
        <f>'18'!F132</f>
        <v>39215.53</v>
      </c>
      <c r="F132" s="618">
        <v>39215.53</v>
      </c>
      <c r="G132" s="549">
        <f t="shared" si="14"/>
        <v>0</v>
      </c>
      <c r="H132" s="536">
        <f>G132+'18'!H132</f>
        <v>386.52999999999884</v>
      </c>
      <c r="I132" s="556"/>
      <c r="J132" s="629">
        <f>H132/DAY(B2)</f>
        <v>20.343684210526256</v>
      </c>
      <c r="N132" s="413"/>
      <c r="O132" s="413"/>
    </row>
    <row r="133" spans="1:15" s="480" customFormat="1" ht="27.75">
      <c r="A133" s="1156" t="s">
        <v>242</v>
      </c>
      <c r="B133" s="1157"/>
      <c r="C133" s="1157"/>
      <c r="D133" s="704" t="s">
        <v>239</v>
      </c>
      <c r="E133" s="618">
        <f>'18'!F133</f>
        <v>299.52</v>
      </c>
      <c r="F133" s="618">
        <v>299.52</v>
      </c>
      <c r="G133" s="733">
        <f t="shared" si="14"/>
        <v>0</v>
      </c>
      <c r="H133" s="787">
        <f>G133+'18'!H133</f>
        <v>-0.48000000000001819</v>
      </c>
      <c r="I133" s="1158">
        <f>G130+G131+G132+G133</f>
        <v>0</v>
      </c>
      <c r="J133" s="789">
        <f>H133/DAY(B2)</f>
        <v>-2.5263157894737799E-2</v>
      </c>
      <c r="N133" s="795"/>
      <c r="O133" s="795"/>
    </row>
    <row r="134" spans="1:15" ht="27.75">
      <c r="A134" s="1229" t="s">
        <v>243</v>
      </c>
      <c r="B134" s="1230"/>
      <c r="C134" s="1230"/>
      <c r="D134" s="599" t="s">
        <v>239</v>
      </c>
      <c r="E134" s="618">
        <f>'18'!F134</f>
        <v>40260.519999999997</v>
      </c>
      <c r="F134" s="618">
        <v>40260.519999999997</v>
      </c>
      <c r="G134" s="549">
        <f t="shared" si="14"/>
        <v>0</v>
      </c>
      <c r="H134" s="536">
        <f>G134+'18'!H134</f>
        <v>-106.62000000000262</v>
      </c>
      <c r="I134" s="556"/>
      <c r="J134" s="629">
        <f>H134/DAY(B2)</f>
        <v>-5.6115789473685593</v>
      </c>
      <c r="N134" s="413"/>
      <c r="O134" s="413"/>
    </row>
    <row r="135" spans="1:15" ht="27.75">
      <c r="A135" s="1229" t="s">
        <v>244</v>
      </c>
      <c r="B135" s="1230"/>
      <c r="C135" s="1230"/>
      <c r="D135" s="599" t="s">
        <v>239</v>
      </c>
      <c r="E135" s="618">
        <f>'18'!F135</f>
        <v>32434.34</v>
      </c>
      <c r="F135" s="618">
        <v>32458</v>
      </c>
      <c r="G135" s="549">
        <f t="shared" si="14"/>
        <v>23.659999999999854</v>
      </c>
      <c r="H135" s="536">
        <f>G135+'18'!H135</f>
        <v>-113</v>
      </c>
      <c r="I135" s="556"/>
      <c r="J135" s="629">
        <f>H135/DAY(B2)</f>
        <v>-5.9473684210526319</v>
      </c>
      <c r="N135" s="413"/>
      <c r="O135" s="413"/>
    </row>
    <row r="136" spans="1:15" ht="27.75">
      <c r="A136" s="1229" t="s">
        <v>245</v>
      </c>
      <c r="B136" s="1230"/>
      <c r="C136" s="1230"/>
      <c r="D136" s="599" t="s">
        <v>239</v>
      </c>
      <c r="E136" s="618">
        <f>'18'!F136</f>
        <v>22135.56</v>
      </c>
      <c r="F136" s="618">
        <v>22143.66</v>
      </c>
      <c r="G136" s="549">
        <f t="shared" si="14"/>
        <v>8.0999999999985448</v>
      </c>
      <c r="H136" s="536">
        <f>G136+'18'!H136</f>
        <v>-78.549999999999272</v>
      </c>
      <c r="I136" s="556">
        <f>G134+G135+G136</f>
        <v>31.759999999998399</v>
      </c>
      <c r="J136" s="629">
        <f>H136/DAY(B2)</f>
        <v>-4.1342105263157514</v>
      </c>
      <c r="N136" s="413"/>
      <c r="O136" s="413"/>
    </row>
    <row r="137" spans="1:15" ht="27.75">
      <c r="A137" s="1229" t="s">
        <v>246</v>
      </c>
      <c r="B137" s="1230"/>
      <c r="C137" s="1230"/>
      <c r="D137" s="599" t="s">
        <v>239</v>
      </c>
      <c r="E137" s="618">
        <f>'18'!F137</f>
        <v>25036.560000000001</v>
      </c>
      <c r="F137" s="618">
        <v>25036.560000000001</v>
      </c>
      <c r="G137" s="549">
        <f t="shared" si="14"/>
        <v>0</v>
      </c>
      <c r="H137" s="536">
        <f>G137+'18'!H137</f>
        <v>-7.75</v>
      </c>
      <c r="I137" s="556"/>
      <c r="J137" s="629">
        <f>H137/DAY(B2)</f>
        <v>-0.40789473684210525</v>
      </c>
      <c r="N137" s="413"/>
      <c r="O137" s="413"/>
    </row>
    <row r="138" spans="1:15" ht="27.75">
      <c r="A138" s="1229" t="s">
        <v>247</v>
      </c>
      <c r="B138" s="1230"/>
      <c r="C138" s="1230"/>
      <c r="D138" s="599" t="s">
        <v>239</v>
      </c>
      <c r="E138" s="618">
        <f>'18'!F138</f>
        <v>70107.87</v>
      </c>
      <c r="F138" s="618">
        <v>70110.710000000006</v>
      </c>
      <c r="G138" s="549">
        <f t="shared" si="14"/>
        <v>2.8400000000110595</v>
      </c>
      <c r="H138" s="536">
        <f>G138+'18'!H138</f>
        <v>-36.629999999990105</v>
      </c>
      <c r="I138" s="556">
        <f>G137+G138</f>
        <v>2.8400000000110595</v>
      </c>
      <c r="J138" s="629">
        <f>H138/DAY(B2)</f>
        <v>-1.9278947368415844</v>
      </c>
      <c r="N138" s="413"/>
      <c r="O138" s="413"/>
    </row>
    <row r="139" spans="1:15" ht="27.75">
      <c r="A139" s="1229" t="s">
        <v>248</v>
      </c>
      <c r="B139" s="1230"/>
      <c r="C139" s="1230"/>
      <c r="D139" s="599" t="s">
        <v>239</v>
      </c>
      <c r="E139" s="560">
        <f>'18'!F139</f>
        <v>1347.24</v>
      </c>
      <c r="F139" s="560">
        <v>1354.21</v>
      </c>
      <c r="G139" s="549">
        <f t="shared" si="14"/>
        <v>6.9700000000000273</v>
      </c>
      <c r="H139" s="536">
        <f>G139+'18'!H139</f>
        <v>-68.930000000000064</v>
      </c>
      <c r="I139" s="619"/>
      <c r="J139" s="629">
        <f>H139/DAY(B2)</f>
        <v>-3.6278947368421086</v>
      </c>
      <c r="N139" s="413"/>
      <c r="O139" s="413"/>
    </row>
    <row r="140" spans="1:15" ht="27.75">
      <c r="A140" s="1229" t="s">
        <v>249</v>
      </c>
      <c r="B140" s="1230"/>
      <c r="C140" s="1230"/>
      <c r="D140" s="599" t="s">
        <v>239</v>
      </c>
      <c r="E140" s="560">
        <f>'18'!F140</f>
        <v>4333.53</v>
      </c>
      <c r="F140" s="560">
        <v>4333.53</v>
      </c>
      <c r="G140" s="549">
        <f t="shared" si="14"/>
        <v>0</v>
      </c>
      <c r="H140" s="536">
        <f>G140+'18'!H140</f>
        <v>-0.47000000000025466</v>
      </c>
      <c r="I140" s="619"/>
      <c r="J140" s="629">
        <f>H140/DAY(B2)</f>
        <v>-2.473684210527656E-2</v>
      </c>
      <c r="N140" s="413"/>
      <c r="O140" s="413"/>
    </row>
    <row r="141" spans="1:15">
      <c r="A141" s="1468" t="s">
        <v>250</v>
      </c>
      <c r="B141" s="1469"/>
      <c r="C141" s="1235"/>
      <c r="D141" s="548"/>
      <c r="E141" s="548"/>
      <c r="F141" s="548" t="s">
        <v>277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4989.840000000042</v>
      </c>
      <c r="H142" s="536">
        <f>G142+'18'!H142</f>
        <v>-50391.319999999891</v>
      </c>
      <c r="I142" s="556"/>
      <c r="J142" s="629">
        <f>H142/DAY(B2)</f>
        <v>-2652.1747368420997</v>
      </c>
      <c r="K142" s="411"/>
      <c r="L142" s="408"/>
      <c r="N142" s="413"/>
      <c r="O142" s="413"/>
    </row>
    <row r="143" spans="1:15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0.25486975176218418</v>
      </c>
      <c r="H143" s="536">
        <f>G143+'18'!H143</f>
        <v>4.7755970092556179</v>
      </c>
      <c r="I143" s="621"/>
      <c r="J143" s="629">
        <f>H143/DAY(B2)</f>
        <v>0.25134721101345359</v>
      </c>
      <c r="K143" s="411"/>
      <c r="L143" s="408"/>
      <c r="N143" s="413"/>
      <c r="O143" s="413"/>
    </row>
    <row r="144" spans="1:15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4133.3100000000559</v>
      </c>
      <c r="H144" s="536">
        <f>G144+'18'!H144</f>
        <v>-45119.940000000024</v>
      </c>
      <c r="I144" s="556"/>
      <c r="J144" s="629">
        <f>H144/DAY(B2)</f>
        <v>-2374.7336842105274</v>
      </c>
      <c r="K144" s="411"/>
      <c r="L144" s="408"/>
      <c r="N144" s="413"/>
      <c r="O144" s="413"/>
    </row>
    <row r="145" spans="1:15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0.21112013484523731</v>
      </c>
      <c r="H145" s="536">
        <f>G145+'18'!H145</f>
        <v>4.5578917228906946</v>
      </c>
      <c r="I145" s="621"/>
      <c r="J145" s="629">
        <f>H145/DAY(B2)</f>
        <v>0.23988903804687867</v>
      </c>
      <c r="K145" s="411"/>
      <c r="L145" s="408"/>
      <c r="N145" s="413"/>
      <c r="O145" s="413"/>
    </row>
    <row r="146" spans="1:15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4163.1299999999901</v>
      </c>
      <c r="H146" s="536">
        <f>G146+'18'!H146</f>
        <v>62270.38</v>
      </c>
      <c r="I146" s="622"/>
      <c r="J146" s="629">
        <f>H146/DAY(B2)</f>
        <v>3277.3884210526317</v>
      </c>
      <c r="K146" s="411"/>
      <c r="L146" s="408"/>
      <c r="N146" s="413"/>
      <c r="O146" s="413"/>
    </row>
    <row r="147" spans="1:15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0.21264327306159925</v>
      </c>
      <c r="H147" s="536">
        <f>G147+'18'!H147</f>
        <v>8.7308519409693393</v>
      </c>
      <c r="I147" s="622"/>
      <c r="J147" s="629">
        <f>H147/DAY(B2)</f>
        <v>0.45951852320891257</v>
      </c>
      <c r="N147" s="413"/>
      <c r="O147" s="413"/>
    </row>
    <row r="148" spans="1:15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1916.8899999999776</v>
      </c>
      <c r="H148" s="536">
        <f>G148+'18'!H148</f>
        <v>-18637.200000000019</v>
      </c>
      <c r="I148" s="556"/>
      <c r="J148" s="629">
        <f>H148/DAY(B2)</f>
        <v>-980.90526315789577</v>
      </c>
      <c r="K148" s="412"/>
      <c r="N148" s="413"/>
      <c r="O148" s="413"/>
    </row>
    <row r="149" spans="1:15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9.7910409643476234E-2</v>
      </c>
      <c r="H149" s="536">
        <f>G149+'18'!H149</f>
        <v>1.8846510880053922</v>
      </c>
      <c r="I149" s="622"/>
      <c r="J149" s="629">
        <f>H149/DAY(B2)</f>
        <v>9.9192162526599584E-2</v>
      </c>
      <c r="N149" s="413"/>
      <c r="O149" s="413"/>
    </row>
    <row r="150" spans="1:15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2100.4199999999837</v>
      </c>
      <c r="H150" s="536">
        <f>G150+'18'!H150</f>
        <v>-17536.600000000035</v>
      </c>
      <c r="I150" s="622"/>
      <c r="J150" s="629">
        <f>H150/DAY(B2)</f>
        <v>-922.97894736842284</v>
      </c>
      <c r="N150" s="413"/>
      <c r="O150" s="413"/>
    </row>
    <row r="151" spans="1:15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0.10728470732454713</v>
      </c>
      <c r="H151" s="536">
        <f>G151+'18'!H151</f>
        <v>1.7634479124188591</v>
      </c>
      <c r="I151" s="556"/>
      <c r="J151" s="629">
        <f>H151/DAY(B2)</f>
        <v>9.2813048022045222E-2</v>
      </c>
      <c r="N151" s="413"/>
      <c r="O151" s="413"/>
    </row>
    <row r="152" spans="1:15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1478.1700000000019</v>
      </c>
      <c r="H152" s="536">
        <f>G152+'18'!H152</f>
        <v>21810.160000000003</v>
      </c>
      <c r="I152" s="556"/>
      <c r="J152" s="629">
        <f>H152/DAY(B2)</f>
        <v>1147.903157894737</v>
      </c>
      <c r="N152" s="413"/>
      <c r="O152" s="413"/>
    </row>
    <row r="153" spans="1:15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7.5501583409950043E-2</v>
      </c>
      <c r="H153" s="536">
        <f>G153+'18'!H153</f>
        <v>3.0713567551059247</v>
      </c>
      <c r="I153" s="645"/>
      <c r="J153" s="646">
        <f>H153/DAY(B2)</f>
        <v>0.16165035553189078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7" t="s">
        <v>263</v>
      </c>
      <c r="B160" s="868"/>
      <c r="C160" s="868"/>
      <c r="D160" s="587" t="s">
        <v>187</v>
      </c>
      <c r="E160" s="739">
        <v>29944.48</v>
      </c>
      <c r="F160" s="739">
        <v>30030</v>
      </c>
      <c r="G160" s="549">
        <f t="shared" ref="G160:G163" si="15">F160-E160</f>
        <v>85.520000000000437</v>
      </c>
    </row>
    <row r="161" spans="1:7" ht="21.75" customHeight="1">
      <c r="A161" s="867" t="s">
        <v>264</v>
      </c>
      <c r="B161" s="868"/>
      <c r="C161" s="868"/>
      <c r="D161" s="587" t="s">
        <v>187</v>
      </c>
      <c r="E161" s="739">
        <v>50631.81</v>
      </c>
      <c r="F161" s="739">
        <v>51059</v>
      </c>
      <c r="G161" s="549">
        <f t="shared" si="15"/>
        <v>427.19000000000233</v>
      </c>
    </row>
    <row r="162" spans="1:7" ht="21.75" customHeight="1">
      <c r="A162" s="867" t="s">
        <v>265</v>
      </c>
      <c r="B162" s="868"/>
      <c r="C162" s="868"/>
      <c r="D162" s="587" t="s">
        <v>187</v>
      </c>
      <c r="E162" s="740">
        <v>17799</v>
      </c>
      <c r="F162" s="739">
        <v>18054</v>
      </c>
      <c r="G162" s="549">
        <f t="shared" si="15"/>
        <v>255</v>
      </c>
    </row>
    <row r="163" spans="1:7" ht="21.75" customHeight="1">
      <c r="A163" s="867" t="s">
        <v>266</v>
      </c>
      <c r="B163" s="868"/>
      <c r="C163" s="868"/>
      <c r="D163" s="587" t="s">
        <v>187</v>
      </c>
      <c r="E163" s="739">
        <v>5241.41</v>
      </c>
      <c r="F163" s="739">
        <v>5258</v>
      </c>
      <c r="G163" s="549">
        <f t="shared" si="15"/>
        <v>16.590000000000146</v>
      </c>
    </row>
    <row r="164" spans="1:7" ht="21.75" customHeight="1">
      <c r="A164" s="869" t="s">
        <v>98</v>
      </c>
      <c r="B164" s="681"/>
      <c r="C164" s="681"/>
      <c r="D164" s="587" t="s">
        <v>187</v>
      </c>
      <c r="E164" s="590">
        <v>20419</v>
      </c>
      <c r="F164" s="590">
        <v>20419</v>
      </c>
      <c r="G164" s="549">
        <f t="shared" ref="G164:G165" si="16">F164-E164</f>
        <v>0</v>
      </c>
    </row>
    <row r="165" spans="1:7" ht="21.75" customHeight="1">
      <c r="A165" s="869" t="s">
        <v>188</v>
      </c>
      <c r="B165" s="681"/>
      <c r="C165" s="681"/>
      <c r="D165" s="587" t="s">
        <v>187</v>
      </c>
      <c r="E165" s="590">
        <f t="shared" ref="E165:E171" si="17">E63</f>
        <v>1571.72</v>
      </c>
      <c r="F165" s="590">
        <v>1585</v>
      </c>
      <c r="G165" s="549">
        <f t="shared" si="16"/>
        <v>13.279999999999973</v>
      </c>
    </row>
    <row r="166" spans="1:7" ht="21.75" customHeight="1">
      <c r="A166" s="1482" t="s">
        <v>99</v>
      </c>
      <c r="B166" s="1482"/>
      <c r="C166" s="1482"/>
      <c r="D166" s="599" t="s">
        <v>187</v>
      </c>
      <c r="E166" s="590">
        <f t="shared" si="17"/>
        <v>118827.98</v>
      </c>
      <c r="F166" s="590">
        <v>106166</v>
      </c>
      <c r="G166" s="549">
        <f>F64-E64</f>
        <v>412.02000000000407</v>
      </c>
    </row>
    <row r="167" spans="1:7" ht="21.75" customHeight="1">
      <c r="A167" s="1482" t="s">
        <v>100</v>
      </c>
      <c r="B167" s="1482"/>
      <c r="C167" s="1482"/>
      <c r="D167" s="599" t="s">
        <v>187</v>
      </c>
      <c r="E167" s="590">
        <f t="shared" si="17"/>
        <v>128645.1</v>
      </c>
      <c r="F167" s="590">
        <v>116811.03</v>
      </c>
      <c r="G167" s="549">
        <f t="shared" ref="G167:G171" si="18">F65-E65</f>
        <v>402.89999999999418</v>
      </c>
    </row>
    <row r="168" spans="1:7" ht="21.75" customHeight="1">
      <c r="A168" s="1482" t="s">
        <v>101</v>
      </c>
      <c r="B168" s="1482"/>
      <c r="C168" s="1482"/>
      <c r="D168" s="599" t="s">
        <v>187</v>
      </c>
      <c r="E168" s="590">
        <f t="shared" si="17"/>
        <v>21251.279999999999</v>
      </c>
      <c r="F168" s="590">
        <v>9380.09</v>
      </c>
      <c r="G168" s="549">
        <f t="shared" si="18"/>
        <v>405.72000000000116</v>
      </c>
    </row>
    <row r="169" spans="1:7" ht="24.75" customHeight="1">
      <c r="A169" s="1482" t="s">
        <v>102</v>
      </c>
      <c r="B169" s="1482"/>
      <c r="C169" s="1482"/>
      <c r="D169" s="599" t="s">
        <v>187</v>
      </c>
      <c r="E169" s="590">
        <f t="shared" si="17"/>
        <v>201261</v>
      </c>
      <c r="F169" s="590">
        <v>180787.83</v>
      </c>
      <c r="G169" s="549">
        <f t="shared" si="18"/>
        <v>639</v>
      </c>
    </row>
    <row r="170" spans="1:7" ht="24" customHeight="1">
      <c r="A170" s="1482" t="s">
        <v>103</v>
      </c>
      <c r="B170" s="1482"/>
      <c r="C170" s="1482"/>
      <c r="D170" s="599" t="s">
        <v>187</v>
      </c>
      <c r="E170" s="590">
        <f t="shared" si="17"/>
        <v>69482.3</v>
      </c>
      <c r="F170" s="590">
        <v>59451.31</v>
      </c>
      <c r="G170" s="549">
        <f t="shared" si="18"/>
        <v>342.69999999999709</v>
      </c>
    </row>
    <row r="171" spans="1:7" ht="27.75">
      <c r="A171" s="1482" t="s">
        <v>104</v>
      </c>
      <c r="B171" s="1482"/>
      <c r="C171" s="1482"/>
      <c r="D171" s="599" t="s">
        <v>187</v>
      </c>
      <c r="E171" s="590">
        <f t="shared" si="17"/>
        <v>61188.27</v>
      </c>
      <c r="F171" s="590">
        <v>52064.98</v>
      </c>
      <c r="G171" s="549">
        <f t="shared" si="18"/>
        <v>311.7300000000032</v>
      </c>
    </row>
    <row r="172" spans="1:7">
      <c r="G172" s="614">
        <f>SUM(G160:G171)</f>
        <v>3311.6500000000024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9" zoomScale="55" zoomScaleSheetLayoutView="55" zoomScalePageLayoutView="78" workbookViewId="0">
      <selection activeCell="H47" sqref="H47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329</v>
      </c>
      <c r="B2" s="1117">
        <v>44247</v>
      </c>
      <c r="C2" s="1231" t="s">
        <v>69</v>
      </c>
      <c r="D2" s="688">
        <v>0.98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1" t="s">
        <v>120</v>
      </c>
      <c r="D3" s="689">
        <v>28</v>
      </c>
      <c r="E3" s="1454" t="s">
        <v>121</v>
      </c>
      <c r="F3" s="1455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1" t="s">
        <v>122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1">
        <f>'19'!F7</f>
        <v>4257518</v>
      </c>
      <c r="F7" s="531">
        <v>4277317</v>
      </c>
      <c r="G7" s="549">
        <f>F7-E7</f>
        <v>19799</v>
      </c>
      <c r="H7" s="536">
        <f>G7+'19'!H7</f>
        <v>-167760</v>
      </c>
      <c r="I7" s="550">
        <f>'1'!I7</f>
        <v>12000</v>
      </c>
      <c r="J7" s="629">
        <f>H7/DAY(B2)</f>
        <v>-8388</v>
      </c>
      <c r="K7" s="626">
        <v>11998</v>
      </c>
      <c r="L7" s="408">
        <f>G7-K7</f>
        <v>7801</v>
      </c>
      <c r="N7" s="413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551">
        <f>'19'!F8</f>
        <v>4284656</v>
      </c>
      <c r="F8" s="551">
        <v>4304527</v>
      </c>
      <c r="G8" s="552">
        <f>F8-E8</f>
        <v>19871</v>
      </c>
      <c r="H8" s="536">
        <f>G8+'19'!H8</f>
        <v>-168629</v>
      </c>
      <c r="I8" s="553">
        <f>'1'!I8</f>
        <v>12000</v>
      </c>
      <c r="J8" s="629">
        <f>H8/DAY(B2)</f>
        <v>-8431.4500000000007</v>
      </c>
      <c r="K8" s="626"/>
      <c r="L8" s="464"/>
      <c r="M8" s="479"/>
      <c r="N8" s="413"/>
      <c r="O8" s="413"/>
    </row>
    <row r="9" spans="1:15">
      <c r="A9" s="660" t="s">
        <v>134</v>
      </c>
      <c r="B9" s="661"/>
      <c r="C9" s="661"/>
      <c r="D9" s="599" t="s">
        <v>132</v>
      </c>
      <c r="E9" s="554">
        <f>'19'!F9</f>
        <v>161175</v>
      </c>
      <c r="F9" s="554">
        <v>174827</v>
      </c>
      <c r="G9" s="549">
        <f t="shared" ref="G9:G12" si="0">F9-E9</f>
        <v>13652</v>
      </c>
      <c r="H9" s="536">
        <f>G9+'19'!H9</f>
        <v>87917.99</v>
      </c>
      <c r="I9" s="555">
        <f>I8-J8</f>
        <v>20431.45</v>
      </c>
      <c r="J9" s="629">
        <f>H9/DAY(B2)</f>
        <v>4395.8995000000004</v>
      </c>
      <c r="K9" s="467"/>
      <c r="L9" s="408"/>
      <c r="N9" s="413"/>
      <c r="O9" s="413"/>
    </row>
    <row r="10" spans="1:15">
      <c r="A10" s="655" t="s">
        <v>135</v>
      </c>
      <c r="B10" s="656"/>
      <c r="C10" s="656"/>
      <c r="D10" s="599" t="s">
        <v>132</v>
      </c>
      <c r="E10" s="554">
        <f>'19'!F10</f>
        <v>1358840</v>
      </c>
      <c r="F10" s="554">
        <v>1364305</v>
      </c>
      <c r="G10" s="549">
        <f t="shared" si="0"/>
        <v>5465</v>
      </c>
      <c r="H10" s="536">
        <f>G10+'19'!H10</f>
        <v>1338609.44</v>
      </c>
      <c r="I10" s="556"/>
      <c r="J10" s="629">
        <f>H10/DAY(B2)</f>
        <v>66930.471999999994</v>
      </c>
      <c r="K10" s="467"/>
      <c r="L10" s="408"/>
      <c r="N10" s="413"/>
      <c r="O10" s="413"/>
    </row>
    <row r="11" spans="1:15">
      <c r="A11" s="655" t="s">
        <v>136</v>
      </c>
      <c r="B11" s="656"/>
      <c r="C11" s="656"/>
      <c r="D11" s="599" t="s">
        <v>132</v>
      </c>
      <c r="E11" s="531">
        <f>'19'!F11</f>
        <v>37000</v>
      </c>
      <c r="F11" s="531">
        <v>37000</v>
      </c>
      <c r="G11" s="549">
        <f t="shared" si="0"/>
        <v>0</v>
      </c>
      <c r="H11" s="536">
        <f>G11+'19'!H11</f>
        <v>-2000</v>
      </c>
      <c r="I11" s="556"/>
      <c r="J11" s="629">
        <f>H11/DAY(B2)</f>
        <v>-100</v>
      </c>
      <c r="K11" s="467"/>
      <c r="L11" s="408"/>
      <c r="N11" s="413"/>
      <c r="O11" s="413"/>
    </row>
    <row r="12" spans="1:15">
      <c r="A12" s="655" t="s">
        <v>137</v>
      </c>
      <c r="B12" s="656"/>
      <c r="C12" s="656"/>
      <c r="D12" s="599" t="s">
        <v>132</v>
      </c>
      <c r="E12" s="554">
        <f>'19'!F12</f>
        <v>40010</v>
      </c>
      <c r="F12" s="554">
        <v>40010</v>
      </c>
      <c r="G12" s="549">
        <f t="shared" si="0"/>
        <v>0</v>
      </c>
      <c r="H12" s="536">
        <f>G12+'19'!H12</f>
        <v>-2000</v>
      </c>
      <c r="I12" s="556"/>
      <c r="J12" s="629">
        <f>H12/DAY(B2)</f>
        <v>-100</v>
      </c>
      <c r="K12" s="467"/>
      <c r="L12" s="408"/>
      <c r="N12" s="413"/>
      <c r="O12" s="413"/>
    </row>
    <row r="13" spans="1:15">
      <c r="A13" s="662" t="s">
        <v>138</v>
      </c>
      <c r="B13" s="663"/>
      <c r="C13" s="663"/>
      <c r="D13" s="599"/>
      <c r="E13" s="531"/>
      <c r="F13" s="531"/>
      <c r="G13" s="557">
        <f>G9+G10+G11+G12</f>
        <v>19117</v>
      </c>
      <c r="H13" s="536">
        <f>G13+'19'!H13</f>
        <v>1401533.43</v>
      </c>
      <c r="I13" s="558">
        <f>G7-G13</f>
        <v>682</v>
      </c>
      <c r="J13" s="629">
        <f>H13/DAY(B2)</f>
        <v>70076.671499999997</v>
      </c>
      <c r="K13" s="467"/>
      <c r="L13" s="408"/>
      <c r="N13" s="413"/>
      <c r="O13" s="413"/>
    </row>
    <row r="14" spans="1:15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29" t="s">
        <v>140</v>
      </c>
      <c r="B15" s="666"/>
      <c r="C15" s="666"/>
      <c r="D15" s="599" t="s">
        <v>141</v>
      </c>
      <c r="E15" s="560">
        <f>'19'!F15</f>
        <v>1611435</v>
      </c>
      <c r="F15" s="560">
        <v>1612521</v>
      </c>
      <c r="G15" s="862">
        <f>(F15-E15)</f>
        <v>1086</v>
      </c>
      <c r="H15" s="536">
        <f>G15+'19'!H15</f>
        <v>-7357.6100000001024</v>
      </c>
      <c r="I15" s="550">
        <v>800</v>
      </c>
      <c r="J15" s="629">
        <f>H15/DAY(B2)</f>
        <v>-367.8805000000051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1167.8805000000052</v>
      </c>
      <c r="J16" s="630"/>
      <c r="K16" s="467"/>
      <c r="L16" s="408"/>
      <c r="N16" s="413"/>
      <c r="O16" s="413"/>
    </row>
    <row r="17" spans="1:15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33" t="s">
        <v>143</v>
      </c>
      <c r="B18" s="1434"/>
      <c r="C18" s="1435"/>
      <c r="D18" s="599" t="s">
        <v>144</v>
      </c>
      <c r="E18" s="560">
        <f>'19'!F18</f>
        <v>14</v>
      </c>
      <c r="F18" s="560">
        <v>14</v>
      </c>
      <c r="G18" s="557">
        <f>F18*10</f>
        <v>140</v>
      </c>
      <c r="H18" s="536">
        <f>G18+'19'!H18</f>
        <v>3130</v>
      </c>
      <c r="I18" s="550">
        <f>'1'!I18</f>
        <v>65</v>
      </c>
      <c r="J18" s="629">
        <f>H18/DAY(B2)</f>
        <v>156.5</v>
      </c>
      <c r="K18" s="467"/>
      <c r="L18" s="408"/>
      <c r="N18" s="413"/>
      <c r="O18" s="413"/>
    </row>
    <row r="19" spans="1:15" ht="27.75">
      <c r="A19" s="1433" t="s">
        <v>71</v>
      </c>
      <c r="B19" s="1434"/>
      <c r="C19" s="1435"/>
      <c r="D19" s="599" t="s">
        <v>144</v>
      </c>
      <c r="E19" s="560">
        <f>'19'!F19</f>
        <v>134003</v>
      </c>
      <c r="F19" s="560">
        <v>134054</v>
      </c>
      <c r="G19" s="549">
        <f t="shared" ref="G19" si="1">F19-E19</f>
        <v>51</v>
      </c>
      <c r="H19" s="536">
        <f>G19+'19'!H19</f>
        <v>-414</v>
      </c>
      <c r="I19" s="565"/>
      <c r="J19" s="629">
        <f>H19/DAY(B2)</f>
        <v>-20.7</v>
      </c>
      <c r="K19" s="467"/>
      <c r="L19" s="408"/>
      <c r="N19" s="413"/>
      <c r="O19" s="413"/>
    </row>
    <row r="20" spans="1:15">
      <c r="A20" s="662" t="s">
        <v>145</v>
      </c>
      <c r="B20" s="663"/>
      <c r="C20" s="663"/>
      <c r="D20" s="566"/>
      <c r="E20" s="566"/>
      <c r="F20" s="566"/>
      <c r="G20" s="567">
        <f>G18+G19</f>
        <v>191</v>
      </c>
      <c r="H20" s="536">
        <f>G20+'19'!H20</f>
        <v>2716</v>
      </c>
      <c r="I20" s="568">
        <f>I18-J20</f>
        <v>-70.800000000000011</v>
      </c>
      <c r="J20" s="629">
        <f>H20/DAY(B2)</f>
        <v>135.80000000000001</v>
      </c>
      <c r="K20" s="467"/>
      <c r="L20" s="408"/>
      <c r="N20" s="413"/>
      <c r="O20" s="413"/>
    </row>
    <row r="21" spans="1:15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29" t="s">
        <v>147</v>
      </c>
      <c r="B22" s="666"/>
      <c r="C22" s="666"/>
      <c r="D22" s="599" t="s">
        <v>148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29" t="s">
        <v>149</v>
      </c>
      <c r="B23" s="666"/>
      <c r="C23" s="666"/>
      <c r="D23" s="599" t="s">
        <v>148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344">
        <v>4250</v>
      </c>
      <c r="F24" s="344">
        <v>4250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19871</v>
      </c>
      <c r="F27" s="577">
        <v>9</v>
      </c>
      <c r="G27" s="578">
        <f>E27*F27</f>
        <v>178839</v>
      </c>
      <c r="H27" s="536">
        <f>G27+'19'!H27</f>
        <v>-1517661</v>
      </c>
      <c r="I27" s="579"/>
      <c r="J27" s="629">
        <f>H27/DAY(B2)</f>
        <v>-75883.05</v>
      </c>
      <c r="K27" s="404"/>
      <c r="L27" s="484"/>
      <c r="N27" s="49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1086</v>
      </c>
      <c r="F28" s="577">
        <v>43.5</v>
      </c>
      <c r="G28" s="578">
        <f>E28*F28</f>
        <v>47241</v>
      </c>
      <c r="H28" s="536">
        <f>G28+'19'!H28</f>
        <v>-300750.49680000497</v>
      </c>
      <c r="I28" s="581"/>
      <c r="J28" s="629">
        <f>H28/DAY(B2)</f>
        <v>-15037.524840000249</v>
      </c>
      <c r="K28" s="404"/>
      <c r="L28" s="484"/>
      <c r="N28" s="49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>E30*F30</f>
        <v>6834</v>
      </c>
      <c r="H30" s="536">
        <f>G30+'19'!H30</f>
        <v>-37788</v>
      </c>
      <c r="I30" s="581"/>
      <c r="J30" s="629">
        <f>H30/DAY(B2)</f>
        <v>-1889.4</v>
      </c>
      <c r="K30" s="404"/>
      <c r="L30" s="484"/>
      <c r="N30" s="49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239840</v>
      </c>
      <c r="I31" s="581"/>
      <c r="J31" s="629">
        <f>H31/DAY(B2)</f>
        <v>11992</v>
      </c>
      <c r="K31" s="404"/>
      <c r="L31" s="484"/>
      <c r="N31" s="493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244114</v>
      </c>
      <c r="H32" s="536">
        <f>G32+'19'!H32</f>
        <v>-1616359.496800005</v>
      </c>
      <c r="I32" s="585"/>
      <c r="J32" s="629">
        <f>H32/DAY(B2)</f>
        <v>-80817.974840000243</v>
      </c>
      <c r="K32" s="404"/>
      <c r="L32" s="484"/>
      <c r="N32" s="493"/>
      <c r="O32" s="413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  <c r="O33" s="413"/>
    </row>
    <row r="34" spans="1:15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 t="s">
        <v>330</v>
      </c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'19'!F35</f>
        <v>665457</v>
      </c>
      <c r="F35" s="586">
        <v>668311</v>
      </c>
      <c r="G35" s="549">
        <f t="shared" ref="G35:G46" si="2">F35-E35</f>
        <v>2854</v>
      </c>
      <c r="H35" s="536">
        <f>G35+'19'!H35</f>
        <v>-24776.589999999967</v>
      </c>
      <c r="I35" s="531"/>
      <c r="J35" s="629">
        <f>H35/DAY(B2)</f>
        <v>-1238.8294999999985</v>
      </c>
      <c r="K35" s="467">
        <v>1457.2799999999697</v>
      </c>
      <c r="L35" s="408">
        <f>G35-K35</f>
        <v>1396.7200000000303</v>
      </c>
      <c r="N35" s="413"/>
      <c r="O35" s="705"/>
    </row>
    <row r="36" spans="1:15">
      <c r="A36" s="655" t="s">
        <v>165</v>
      </c>
      <c r="B36" s="656"/>
      <c r="C36" s="656"/>
      <c r="D36" s="599" t="s">
        <v>132</v>
      </c>
      <c r="E36" s="586">
        <f>'19'!F36</f>
        <v>289774</v>
      </c>
      <c r="F36" s="586">
        <v>290399</v>
      </c>
      <c r="G36" s="549">
        <f t="shared" si="2"/>
        <v>625</v>
      </c>
      <c r="H36" s="536">
        <f>G36+'19'!H36</f>
        <v>-6046.570000000007</v>
      </c>
      <c r="I36" s="531"/>
      <c r="J36" s="629">
        <f>H36/DAY(B2)</f>
        <v>-302.32850000000036</v>
      </c>
      <c r="K36" s="467">
        <v>483.92999999999302</v>
      </c>
      <c r="L36" s="408">
        <f t="shared" ref="L36:L60" si="3">G36-K36</f>
        <v>141.07000000000698</v>
      </c>
      <c r="N36" s="413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'19'!F37</f>
        <v>18705</v>
      </c>
      <c r="F37" s="586">
        <v>20216</v>
      </c>
      <c r="G37" s="549">
        <f t="shared" si="2"/>
        <v>1511</v>
      </c>
      <c r="H37" s="536">
        <f>G37+'19'!H37</f>
        <v>23321.08</v>
      </c>
      <c r="I37" s="531"/>
      <c r="J37" s="629">
        <f>H37/DAY(B2)</f>
        <v>1166.0540000000001</v>
      </c>
      <c r="K37" s="467">
        <v>1173.9200000000128</v>
      </c>
      <c r="L37" s="408">
        <f>G37-K37</f>
        <v>337.07999999998719</v>
      </c>
      <c r="N37" s="413"/>
      <c r="O37" s="413"/>
    </row>
    <row r="38" spans="1:15">
      <c r="A38" s="655" t="s">
        <v>167</v>
      </c>
      <c r="B38" s="656"/>
      <c r="C38" s="656"/>
      <c r="D38" s="599" t="s">
        <v>132</v>
      </c>
      <c r="E38" s="545">
        <f>'19'!F38</f>
        <v>25176</v>
      </c>
      <c r="F38" s="545">
        <v>27141</v>
      </c>
      <c r="G38" s="549">
        <f t="shared" si="2"/>
        <v>1965</v>
      </c>
      <c r="H38" s="536">
        <f>G38+'19'!H38</f>
        <v>-16672.489999999998</v>
      </c>
      <c r="I38" s="531"/>
      <c r="J38" s="629">
        <f>H38/DAY(B2)</f>
        <v>-833.6244999999999</v>
      </c>
      <c r="K38" s="467">
        <v>0</v>
      </c>
      <c r="L38" s="408">
        <f t="shared" si="3"/>
        <v>1965</v>
      </c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'19'!F39</f>
        <v>52877</v>
      </c>
      <c r="F39" s="586">
        <v>57266</v>
      </c>
      <c r="G39" s="549">
        <f t="shared" si="2"/>
        <v>4389</v>
      </c>
      <c r="H39" s="536">
        <f>G39+'19'!H39</f>
        <v>66658.889999999985</v>
      </c>
      <c r="I39" s="531"/>
      <c r="J39" s="629">
        <f>H39/DAY(B2)</f>
        <v>3332.9444999999992</v>
      </c>
      <c r="K39" s="467">
        <v>1987.0400000000373</v>
      </c>
      <c r="L39" s="408">
        <f t="shared" si="3"/>
        <v>2401.9599999999627</v>
      </c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v>0</v>
      </c>
      <c r="F40" s="586">
        <v>0</v>
      </c>
      <c r="G40" s="549">
        <f t="shared" si="2"/>
        <v>0</v>
      </c>
      <c r="H40" s="536">
        <f>G40+'19'!H40</f>
        <v>-0.06</v>
      </c>
      <c r="I40" s="531"/>
      <c r="J40" s="629">
        <f>H40/DAY(B2)</f>
        <v>-3.0000000000000001E-3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v>63882</v>
      </c>
      <c r="F41" s="586">
        <v>63882</v>
      </c>
      <c r="G41" s="549">
        <f t="shared" si="2"/>
        <v>0</v>
      </c>
      <c r="H41" s="536">
        <f>G41+'19'!H41</f>
        <v>-0.37000000000261934</v>
      </c>
      <c r="I41" s="531"/>
      <c r="J41" s="629">
        <f>H41/DAY(B2)</f>
        <v>-1.8500000000130967E-2</v>
      </c>
      <c r="K41" s="467">
        <v>0</v>
      </c>
      <c r="L41" s="408">
        <f t="shared" si="3"/>
        <v>0</v>
      </c>
      <c r="N41" s="413"/>
      <c r="O41" s="803"/>
    </row>
    <row r="42" spans="1:15">
      <c r="A42" s="655" t="s">
        <v>171</v>
      </c>
      <c r="B42" s="656"/>
      <c r="C42" s="656"/>
      <c r="D42" s="599" t="s">
        <v>132</v>
      </c>
      <c r="E42" s="586">
        <v>59129</v>
      </c>
      <c r="F42" s="586">
        <v>59129</v>
      </c>
      <c r="G42" s="549">
        <f t="shared" si="2"/>
        <v>0</v>
      </c>
      <c r="H42" s="536">
        <f>G42+'19'!H42</f>
        <v>0.15000000000145519</v>
      </c>
      <c r="I42" s="531"/>
      <c r="J42" s="629">
        <f>H42/DAY(B2)</f>
        <v>7.5000000000727592E-3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'19'!F43</f>
        <v>804835</v>
      </c>
      <c r="F43" s="586">
        <v>807137</v>
      </c>
      <c r="G43" s="549">
        <f t="shared" si="2"/>
        <v>2302</v>
      </c>
      <c r="H43" s="536">
        <f>G43+'19'!H43</f>
        <v>-18760.829999999958</v>
      </c>
      <c r="I43" s="531"/>
      <c r="J43" s="629">
        <f>H43/DAY(B2)</f>
        <v>-938.04149999999788</v>
      </c>
      <c r="K43" s="467">
        <v>1559.2000000000116</v>
      </c>
      <c r="L43" s="408">
        <f t="shared" si="3"/>
        <v>742.79999999998836</v>
      </c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0</v>
      </c>
      <c r="I45" s="531"/>
      <c r="J45" s="629">
        <f>H45/DAY(B2)</f>
        <v>0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0.43999999999999773</v>
      </c>
      <c r="I46" s="531"/>
      <c r="J46" s="629">
        <f>H46/DAY(B2)</f>
        <v>2.1999999999999888E-2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13646</v>
      </c>
      <c r="H47" s="536">
        <f>G47+'19'!H47</f>
        <v>23723.650000000041</v>
      </c>
      <c r="I47" s="531"/>
      <c r="J47" s="629">
        <f>H47/DAY(B2)</f>
        <v>1186.1825000000022</v>
      </c>
      <c r="K47" s="467">
        <v>9907.8200000000252</v>
      </c>
      <c r="L47" s="408">
        <f t="shared" si="3"/>
        <v>3738.1799999999748</v>
      </c>
      <c r="N47" s="413"/>
      <c r="O47" s="413"/>
    </row>
    <row r="48" spans="1:15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'19'!F49</f>
        <v>260732</v>
      </c>
      <c r="F49" s="586">
        <v>260732</v>
      </c>
      <c r="G49" s="549">
        <f t="shared" ref="G49:G58" si="4">F49-E49</f>
        <v>0</v>
      </c>
      <c r="H49" s="536">
        <f>G49+'19'!H49</f>
        <v>-0.13000000000465661</v>
      </c>
      <c r="I49" s="531"/>
      <c r="J49" s="629">
        <f>H49/DAY(B2)</f>
        <v>-6.5000000002328308E-3</v>
      </c>
      <c r="K49" s="467">
        <v>0</v>
      </c>
      <c r="L49" s="408">
        <f t="shared" si="3"/>
        <v>0</v>
      </c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'19'!F50</f>
        <v>391598</v>
      </c>
      <c r="F50" s="586">
        <v>392754</v>
      </c>
      <c r="G50" s="549">
        <f t="shared" si="4"/>
        <v>1156</v>
      </c>
      <c r="H50" s="536">
        <f>G50+'19'!H50</f>
        <v>-10903.030000000028</v>
      </c>
      <c r="I50" s="531"/>
      <c r="J50" s="629">
        <f>H50/DAY(B2)</f>
        <v>-545.15150000000142</v>
      </c>
      <c r="K50" s="467">
        <v>631.67000000001281</v>
      </c>
      <c r="L50" s="408">
        <f t="shared" si="3"/>
        <v>524.32999999998719</v>
      </c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'19'!F51</f>
        <v>120051</v>
      </c>
      <c r="F51" s="586">
        <v>120051</v>
      </c>
      <c r="G51" s="549">
        <f t="shared" si="4"/>
        <v>0</v>
      </c>
      <c r="H51" s="536">
        <f>G51+'19'!H51</f>
        <v>-1548.9199999999983</v>
      </c>
      <c r="I51" s="531"/>
      <c r="J51" s="629">
        <f>H51/DAY(B2)</f>
        <v>-77.445999999999913</v>
      </c>
      <c r="K51" s="467">
        <v>0</v>
      </c>
      <c r="L51" s="408">
        <f t="shared" si="3"/>
        <v>0</v>
      </c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'19'!F52</f>
        <v>507913</v>
      </c>
      <c r="F52" s="586">
        <v>507913</v>
      </c>
      <c r="G52" s="549">
        <f t="shared" si="4"/>
        <v>0</v>
      </c>
      <c r="H52" s="536">
        <f>G52+'19'!H52</f>
        <v>-2045.710000000021</v>
      </c>
      <c r="I52" s="531"/>
      <c r="J52" s="629">
        <f>H52/DAY(B2)</f>
        <v>-102.28550000000105</v>
      </c>
      <c r="K52" s="467">
        <v>1057.5200000000186</v>
      </c>
      <c r="L52" s="408">
        <f t="shared" si="3"/>
        <v>-1057.5200000000186</v>
      </c>
      <c r="N52" s="413"/>
      <c r="O52" s="803"/>
    </row>
    <row r="53" spans="1:15">
      <c r="A53" s="655" t="s">
        <v>168</v>
      </c>
      <c r="B53" s="678"/>
      <c r="C53" s="678"/>
      <c r="D53" s="599" t="s">
        <v>132</v>
      </c>
      <c r="E53" s="586">
        <f>'19'!F53</f>
        <v>331855</v>
      </c>
      <c r="F53" s="586">
        <v>331855</v>
      </c>
      <c r="G53" s="549">
        <f t="shared" si="4"/>
        <v>0</v>
      </c>
      <c r="H53" s="536">
        <f>G53+'19'!H53</f>
        <v>-4184.5100000000093</v>
      </c>
      <c r="I53" s="531"/>
      <c r="J53" s="629">
        <f>H53/DAY(B2)</f>
        <v>-209.22550000000047</v>
      </c>
      <c r="K53" s="467">
        <v>106.48999999999978</v>
      </c>
      <c r="L53" s="408">
        <f t="shared" si="3"/>
        <v>-106.48999999999978</v>
      </c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'19'!F54</f>
        <v>7468</v>
      </c>
      <c r="F54" s="586">
        <v>7538</v>
      </c>
      <c r="G54" s="549">
        <f t="shared" si="4"/>
        <v>70</v>
      </c>
      <c r="H54" s="536">
        <f>G54+'19'!H54</f>
        <v>-557.63000000000011</v>
      </c>
      <c r="I54" s="531"/>
      <c r="J54" s="629">
        <f>H54/DAY(B2)</f>
        <v>-27.881500000000006</v>
      </c>
      <c r="K54" s="467">
        <v>0</v>
      </c>
      <c r="L54" s="408">
        <f t="shared" si="3"/>
        <v>70</v>
      </c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'19'!F55</f>
        <v>94270</v>
      </c>
      <c r="F55" s="586">
        <v>94270</v>
      </c>
      <c r="G55" s="549">
        <f t="shared" si="4"/>
        <v>0</v>
      </c>
      <c r="H55" s="536">
        <f>G55+'19'!H55</f>
        <v>-28314.690000000002</v>
      </c>
      <c r="I55" s="531"/>
      <c r="J55" s="629">
        <f>H55/DAY(B2)</f>
        <v>-1415.7345</v>
      </c>
      <c r="K55" s="467">
        <v>0</v>
      </c>
      <c r="L55" s="408">
        <f t="shared" si="3"/>
        <v>0</v>
      </c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'19'!F56</f>
        <v>564247</v>
      </c>
      <c r="F56" s="586">
        <v>568298</v>
      </c>
      <c r="G56" s="549">
        <f t="shared" si="4"/>
        <v>4051</v>
      </c>
      <c r="H56" s="536">
        <f>G56+'19'!H56</f>
        <v>-17753.030000000028</v>
      </c>
      <c r="I56" s="531"/>
      <c r="J56" s="629">
        <f>H56/DAY(B2)</f>
        <v>-887.65150000000142</v>
      </c>
      <c r="K56" s="466">
        <v>0</v>
      </c>
      <c r="L56" s="408">
        <f t="shared" si="3"/>
        <v>4051</v>
      </c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'19'!F57</f>
        <v>7711</v>
      </c>
      <c r="F57" s="586">
        <v>7711</v>
      </c>
      <c r="G57" s="549">
        <f t="shared" si="4"/>
        <v>0</v>
      </c>
      <c r="H57" s="536">
        <f>G57+'19'!H57</f>
        <v>-0.32999999999992724</v>
      </c>
      <c r="I57" s="531"/>
      <c r="J57" s="629">
        <f>H57/DAY(B2)</f>
        <v>-1.6499999999996361E-2</v>
      </c>
      <c r="K57" s="467">
        <v>0</v>
      </c>
      <c r="L57" s="408">
        <f t="shared" si="3"/>
        <v>0</v>
      </c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'19'!F58</f>
        <v>34077</v>
      </c>
      <c r="F58" s="586">
        <v>34328</v>
      </c>
      <c r="G58" s="549">
        <f t="shared" si="4"/>
        <v>251</v>
      </c>
      <c r="H58" s="536">
        <f>G58+'19'!H58</f>
        <v>-1736.6999999999971</v>
      </c>
      <c r="I58" s="531"/>
      <c r="J58" s="629">
        <f>H58/DAY(B2)</f>
        <v>-86.834999999999852</v>
      </c>
      <c r="K58" s="467">
        <v>0</v>
      </c>
      <c r="L58" s="408">
        <f t="shared" si="3"/>
        <v>251</v>
      </c>
      <c r="N58" s="413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5528</v>
      </c>
      <c r="H59" s="536">
        <f>G59+'19'!H59</f>
        <v>-67044.680000000095</v>
      </c>
      <c r="I59" s="531">
        <f>G7-G60</f>
        <v>625</v>
      </c>
      <c r="J59" s="629">
        <f>H59/DAY(B2)</f>
        <v>-3352.2340000000049</v>
      </c>
      <c r="K59" s="467">
        <v>1795.6800000000312</v>
      </c>
      <c r="L59" s="408">
        <f t="shared" si="3"/>
        <v>3732.3199999999688</v>
      </c>
      <c r="N59" s="413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19174</v>
      </c>
      <c r="H60" s="536">
        <f>G60+'19'!H60</f>
        <v>-29152.030000000108</v>
      </c>
      <c r="I60" s="531">
        <f>G13-G60</f>
        <v>-57</v>
      </c>
      <c r="J60" s="629">
        <f>H60/DAY(B2)</f>
        <v>-1457.6015000000054</v>
      </c>
      <c r="K60" s="467">
        <v>11703.500000000056</v>
      </c>
      <c r="L60" s="408">
        <f t="shared" si="3"/>
        <v>7470.4999999999436</v>
      </c>
      <c r="N60" s="413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1.299999999901047E-2</v>
      </c>
      <c r="I62" s="591"/>
      <c r="J62" s="629">
        <f>H62/DAY(B2)</f>
        <v>6.4999999995052349E-4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'19'!F63</f>
        <v>1585</v>
      </c>
      <c r="F63" s="590">
        <v>1597</v>
      </c>
      <c r="G63" s="549">
        <f t="shared" si="5"/>
        <v>12</v>
      </c>
      <c r="H63" s="536">
        <f>G63+'19'!H63</f>
        <v>-110.3599999999999</v>
      </c>
      <c r="I63" s="591"/>
      <c r="J63" s="629">
        <f>H63/DAY(B2)</f>
        <v>-5.5179999999999954</v>
      </c>
      <c r="K63" s="467"/>
      <c r="L63" s="408"/>
      <c r="N63" s="413"/>
      <c r="O63" s="413"/>
    </row>
    <row r="64" spans="1:15" ht="27.75">
      <c r="A64" s="1430" t="s">
        <v>99</v>
      </c>
      <c r="B64" s="1431"/>
      <c r="C64" s="1432"/>
      <c r="D64" s="599" t="s">
        <v>187</v>
      </c>
      <c r="E64" s="560">
        <f>'19'!F64</f>
        <v>119240</v>
      </c>
      <c r="F64" s="560">
        <v>119640</v>
      </c>
      <c r="G64" s="549">
        <f t="shared" si="5"/>
        <v>400</v>
      </c>
      <c r="H64" s="536">
        <f>G64+'19'!H64</f>
        <v>-3987.3000000000029</v>
      </c>
      <c r="I64" s="556"/>
      <c r="J64" s="629">
        <f>H64/DAY(B2)</f>
        <v>-199.36500000000015</v>
      </c>
      <c r="K64" s="467"/>
      <c r="L64" s="408"/>
      <c r="N64" s="413"/>
      <c r="O64" s="413"/>
    </row>
    <row r="65" spans="1:15" ht="27.75">
      <c r="A65" s="1430" t="s">
        <v>100</v>
      </c>
      <c r="B65" s="1431"/>
      <c r="C65" s="1432"/>
      <c r="D65" s="599" t="s">
        <v>187</v>
      </c>
      <c r="E65" s="560">
        <f>'19'!F65</f>
        <v>129048</v>
      </c>
      <c r="F65" s="560">
        <v>129452</v>
      </c>
      <c r="G65" s="549">
        <f t="shared" si="5"/>
        <v>404</v>
      </c>
      <c r="H65" s="536">
        <f>G65+'19'!H65</f>
        <v>-3145.2999999999884</v>
      </c>
      <c r="I65" s="565"/>
      <c r="J65" s="629">
        <f>H65/DAY(B2)</f>
        <v>-157.26499999999942</v>
      </c>
      <c r="K65" s="467"/>
      <c r="L65" s="408"/>
      <c r="N65" s="413"/>
      <c r="O65" s="413"/>
    </row>
    <row r="66" spans="1:15" ht="27.75">
      <c r="A66" s="1430" t="s">
        <v>101</v>
      </c>
      <c r="B66" s="1431"/>
      <c r="C66" s="1432"/>
      <c r="D66" s="599" t="s">
        <v>187</v>
      </c>
      <c r="E66" s="560">
        <f>'19'!F66</f>
        <v>21657</v>
      </c>
      <c r="F66" s="560">
        <v>22068</v>
      </c>
      <c r="G66" s="549">
        <f t="shared" si="5"/>
        <v>411</v>
      </c>
      <c r="H66" s="536">
        <f>G66+'19'!H66</f>
        <v>-3091.75</v>
      </c>
      <c r="I66" s="556"/>
      <c r="J66" s="629">
        <f>H66/DAY(B2)</f>
        <v>-154.58750000000001</v>
      </c>
      <c r="K66" s="467"/>
      <c r="L66" s="408"/>
      <c r="N66" s="413"/>
      <c r="O66" s="413"/>
    </row>
    <row r="67" spans="1:15" ht="27.75">
      <c r="A67" s="1430" t="s">
        <v>102</v>
      </c>
      <c r="B67" s="1431"/>
      <c r="C67" s="1432"/>
      <c r="D67" s="599" t="s">
        <v>187</v>
      </c>
      <c r="E67" s="560">
        <f>'19'!F67</f>
        <v>201900</v>
      </c>
      <c r="F67" s="560">
        <v>202595</v>
      </c>
      <c r="G67" s="549">
        <f t="shared" si="5"/>
        <v>695</v>
      </c>
      <c r="H67" s="536">
        <f>G67+'19'!H67</f>
        <v>-5246.8299999999872</v>
      </c>
      <c r="I67" s="565"/>
      <c r="J67" s="629">
        <f>H67/DAY(B2)</f>
        <v>-262.34149999999937</v>
      </c>
      <c r="K67" s="468"/>
      <c r="L67" s="408"/>
      <c r="N67" s="413"/>
      <c r="O67" s="413"/>
    </row>
    <row r="68" spans="1:15" ht="27.75">
      <c r="A68" s="1430" t="s">
        <v>103</v>
      </c>
      <c r="B68" s="1431"/>
      <c r="C68" s="1432"/>
      <c r="D68" s="599" t="s">
        <v>187</v>
      </c>
      <c r="E68" s="560">
        <f>'19'!F68</f>
        <v>69825</v>
      </c>
      <c r="F68" s="560">
        <v>71175</v>
      </c>
      <c r="G68" s="549">
        <f t="shared" si="5"/>
        <v>1350</v>
      </c>
      <c r="H68" s="536">
        <f>G68+'19'!H68</f>
        <v>-1503.5200000000041</v>
      </c>
      <c r="I68" s="592"/>
      <c r="J68" s="629">
        <f>H68/DAY(B2)</f>
        <v>-75.176000000000201</v>
      </c>
      <c r="K68" s="469"/>
      <c r="L68" s="408"/>
      <c r="N68" s="413"/>
      <c r="O68" s="413"/>
    </row>
    <row r="69" spans="1:15" ht="27.75">
      <c r="A69" s="1430" t="s">
        <v>104</v>
      </c>
      <c r="B69" s="1431"/>
      <c r="C69" s="1432"/>
      <c r="D69" s="599" t="s">
        <v>187</v>
      </c>
      <c r="E69" s="560">
        <f>'19'!F69</f>
        <v>61500</v>
      </c>
      <c r="F69" s="560">
        <v>61818</v>
      </c>
      <c r="G69" s="549">
        <f t="shared" si="5"/>
        <v>318</v>
      </c>
      <c r="H69" s="536">
        <f>G69+'19'!H69</f>
        <v>-2634.0899999999965</v>
      </c>
      <c r="I69" s="592"/>
      <c r="J69" s="629">
        <f>H69/DAY(B2)</f>
        <v>-131.70449999999983</v>
      </c>
      <c r="K69" s="470"/>
      <c r="L69" s="408"/>
      <c r="N69" s="413"/>
      <c r="O69" s="413"/>
    </row>
    <row r="70" spans="1:15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  <c r="O71" s="413"/>
    </row>
    <row r="72" spans="1:15" ht="27.75">
      <c r="A72" s="1430" t="s">
        <v>191</v>
      </c>
      <c r="B72" s="1431"/>
      <c r="C72" s="1432"/>
      <c r="D72" s="599" t="s">
        <v>187</v>
      </c>
      <c r="E72" s="595">
        <f>'19'!F72</f>
        <v>849920</v>
      </c>
      <c r="F72" s="595">
        <v>849986</v>
      </c>
      <c r="G72" s="549">
        <f t="shared" ref="G72:G84" si="6">F72-E72</f>
        <v>66</v>
      </c>
      <c r="H72" s="536">
        <f>G72+'19'!H72</f>
        <v>1593</v>
      </c>
      <c r="I72" s="556"/>
      <c r="J72" s="629">
        <f>H72/DAY(B2)</f>
        <v>79.650000000000006</v>
      </c>
      <c r="K72" s="470"/>
      <c r="L72" s="408"/>
      <c r="N72" s="413"/>
      <c r="O72" s="413"/>
    </row>
    <row r="73" spans="1:15" ht="27.75">
      <c r="A73" s="1430" t="s">
        <v>192</v>
      </c>
      <c r="B73" s="1431"/>
      <c r="C73" s="1432"/>
      <c r="D73" s="599" t="s">
        <v>187</v>
      </c>
      <c r="E73" s="596">
        <f>'19'!F73</f>
        <v>885740</v>
      </c>
      <c r="F73" s="596">
        <v>885741</v>
      </c>
      <c r="G73" s="549">
        <f t="shared" si="6"/>
        <v>1</v>
      </c>
      <c r="H73" s="536">
        <f>G73+'19'!H73</f>
        <v>-1167</v>
      </c>
      <c r="I73" s="556"/>
      <c r="J73" s="629">
        <f>H73/DAY(B2)</f>
        <v>-58.35</v>
      </c>
      <c r="K73" s="469"/>
      <c r="L73" s="408"/>
      <c r="N73" s="413"/>
      <c r="O73" s="413"/>
    </row>
    <row r="74" spans="1:15" ht="27.75">
      <c r="A74" s="1549" t="s">
        <v>193</v>
      </c>
      <c r="B74" s="1550"/>
      <c r="C74" s="1551"/>
      <c r="D74" s="599" t="s">
        <v>187</v>
      </c>
      <c r="E74" s="597">
        <f>'19'!F74</f>
        <v>383</v>
      </c>
      <c r="F74" s="597">
        <v>403</v>
      </c>
      <c r="G74" s="549">
        <f t="shared" si="6"/>
        <v>20</v>
      </c>
      <c r="H74" s="536">
        <f>G74+'19'!H74</f>
        <v>-183.17000000000007</v>
      </c>
      <c r="I74" s="556"/>
      <c r="J74" s="629">
        <f>H74/DAY(B2)</f>
        <v>-9.1585000000000036</v>
      </c>
      <c r="K74" s="470"/>
      <c r="L74" s="408"/>
      <c r="N74" s="413"/>
      <c r="O74" s="413"/>
    </row>
    <row r="75" spans="1:15" ht="27.75">
      <c r="A75" s="1479" t="s">
        <v>194</v>
      </c>
      <c r="B75" s="1480"/>
      <c r="C75" s="1481"/>
      <c r="D75" s="599" t="s">
        <v>187</v>
      </c>
      <c r="E75" s="597">
        <f>'19'!F75</f>
        <v>1970</v>
      </c>
      <c r="F75" s="597">
        <v>2148</v>
      </c>
      <c r="G75" s="549">
        <f t="shared" si="6"/>
        <v>178</v>
      </c>
      <c r="H75" s="536">
        <f>G75+'19'!H75</f>
        <v>-1371.2199999999993</v>
      </c>
      <c r="I75" s="556"/>
      <c r="J75" s="629">
        <f>H75/DAY(B2)</f>
        <v>-68.560999999999964</v>
      </c>
      <c r="K75" s="469"/>
      <c r="L75" s="408"/>
      <c r="N75" s="413"/>
      <c r="O75" s="413"/>
    </row>
    <row r="76" spans="1:15" ht="27.75">
      <c r="A76" s="1479" t="s">
        <v>195</v>
      </c>
      <c r="B76" s="1480"/>
      <c r="C76" s="1481"/>
      <c r="D76" s="599" t="s">
        <v>187</v>
      </c>
      <c r="E76" s="596">
        <f>'19'!F76</f>
        <v>815</v>
      </c>
      <c r="F76" s="735">
        <v>893</v>
      </c>
      <c r="G76" s="549">
        <f t="shared" si="6"/>
        <v>78</v>
      </c>
      <c r="H76" s="536">
        <f>G76+'19'!H76</f>
        <v>-2165.4199999999996</v>
      </c>
      <c r="I76" s="581"/>
      <c r="J76" s="629">
        <f>H76/DAY(B2)</f>
        <v>-108.27099999999999</v>
      </c>
      <c r="K76" s="469"/>
      <c r="L76" s="408"/>
      <c r="N76" s="413"/>
      <c r="O76" s="413"/>
    </row>
    <row r="77" spans="1:15" ht="27.75">
      <c r="A77" s="1430" t="s">
        <v>196</v>
      </c>
      <c r="B77" s="1431"/>
      <c r="C77" s="1432"/>
      <c r="D77" s="599" t="s">
        <v>187</v>
      </c>
      <c r="E77" s="597">
        <f>'19'!F77</f>
        <v>698156</v>
      </c>
      <c r="F77" s="597">
        <v>698204</v>
      </c>
      <c r="G77" s="549">
        <f t="shared" si="6"/>
        <v>48</v>
      </c>
      <c r="H77" s="536">
        <f>G77+'19'!H77</f>
        <v>-384</v>
      </c>
      <c r="I77" s="581"/>
      <c r="J77" s="629">
        <f>H77/DAY(B2)</f>
        <v>-19.2</v>
      </c>
      <c r="K77" s="469"/>
      <c r="L77" s="408"/>
      <c r="N77" s="413"/>
      <c r="O77" s="413"/>
    </row>
    <row r="78" spans="1:15" ht="27.75">
      <c r="A78" s="1232" t="s">
        <v>197</v>
      </c>
      <c r="B78" s="1203"/>
      <c r="C78" s="1203"/>
      <c r="D78" s="599" t="s">
        <v>187</v>
      </c>
      <c r="E78" s="597">
        <f>'19'!F78</f>
        <v>649628</v>
      </c>
      <c r="F78" s="597">
        <v>650030</v>
      </c>
      <c r="G78" s="549">
        <f t="shared" si="6"/>
        <v>402</v>
      </c>
      <c r="H78" s="536">
        <f>G78+'19'!H78</f>
        <v>-2833</v>
      </c>
      <c r="I78" s="581"/>
      <c r="J78" s="629">
        <f>H78/DAY(B2)</f>
        <v>-141.65</v>
      </c>
      <c r="K78" s="469"/>
      <c r="L78" s="408"/>
      <c r="N78" s="413"/>
      <c r="O78" s="413"/>
    </row>
    <row r="79" spans="1:15" ht="27.75">
      <c r="A79" s="1479" t="s">
        <v>92</v>
      </c>
      <c r="B79" s="1480"/>
      <c r="C79" s="1481"/>
      <c r="D79" s="600" t="s">
        <v>187</v>
      </c>
      <c r="E79" s="597">
        <f>'19'!F79</f>
        <v>813359</v>
      </c>
      <c r="F79" s="597">
        <v>813550</v>
      </c>
      <c r="G79" s="549">
        <f t="shared" si="6"/>
        <v>191</v>
      </c>
      <c r="H79" s="536">
        <f>G79+'19'!H79</f>
        <v>-4186</v>
      </c>
      <c r="I79" s="581"/>
      <c r="J79" s="629">
        <f>H79/DAY(B2)</f>
        <v>-209.3</v>
      </c>
      <c r="K79" s="469"/>
      <c r="L79" s="408"/>
      <c r="N79" s="413"/>
      <c r="O79" s="413"/>
    </row>
    <row r="80" spans="1:15" ht="27.75">
      <c r="A80" s="1479" t="s">
        <v>198</v>
      </c>
      <c r="B80" s="1480"/>
      <c r="C80" s="1481"/>
      <c r="D80" s="600" t="s">
        <v>187</v>
      </c>
      <c r="E80" s="596">
        <f>'19'!F80</f>
        <v>491303</v>
      </c>
      <c r="F80" s="596">
        <v>491659</v>
      </c>
      <c r="G80" s="549">
        <f t="shared" si="6"/>
        <v>356</v>
      </c>
      <c r="H80" s="536">
        <f>G80+'19'!H80</f>
        <v>-340.67999999999302</v>
      </c>
      <c r="I80" s="581"/>
      <c r="J80" s="629">
        <f>H80/DAY(B2)</f>
        <v>-17.033999999999651</v>
      </c>
      <c r="K80" s="469"/>
      <c r="L80" s="408"/>
      <c r="N80" s="413"/>
      <c r="O80" s="413"/>
    </row>
    <row r="81" spans="1:15" ht="27.75">
      <c r="A81" s="1479" t="s">
        <v>199</v>
      </c>
      <c r="B81" s="1480"/>
      <c r="C81" s="1481"/>
      <c r="D81" s="600" t="s">
        <v>187</v>
      </c>
      <c r="E81" s="596">
        <f>'19'!F81</f>
        <v>624798</v>
      </c>
      <c r="F81" s="596">
        <v>624888</v>
      </c>
      <c r="G81" s="549">
        <f t="shared" si="6"/>
        <v>90</v>
      </c>
      <c r="H81" s="536">
        <f>G81+'19'!H81</f>
        <v>-1055.8399999999674</v>
      </c>
      <c r="I81" s="581"/>
      <c r="J81" s="629">
        <f>H81/DAY(B2)</f>
        <v>-52.791999999998367</v>
      </c>
      <c r="K81" s="469"/>
      <c r="L81" s="408"/>
      <c r="N81" s="413"/>
      <c r="O81" s="413"/>
    </row>
    <row r="82" spans="1:15" ht="27.75">
      <c r="A82" s="1479" t="s">
        <v>93</v>
      </c>
      <c r="B82" s="1480"/>
      <c r="C82" s="1481"/>
      <c r="D82" s="561" t="s">
        <v>132</v>
      </c>
      <c r="E82" s="598">
        <f>'19'!F82</f>
        <v>105990</v>
      </c>
      <c r="F82" s="598">
        <v>106016</v>
      </c>
      <c r="G82" s="549">
        <f t="shared" si="6"/>
        <v>26</v>
      </c>
      <c r="H82" s="536">
        <f>G82+'19'!H82</f>
        <v>-186.47999999999593</v>
      </c>
      <c r="I82" s="562"/>
      <c r="J82" s="629">
        <f>H82/DAY(B2)</f>
        <v>-9.3239999999997956</v>
      </c>
      <c r="K82" s="469"/>
      <c r="L82" s="408"/>
      <c r="N82" s="413"/>
      <c r="O82" s="413"/>
    </row>
    <row r="83" spans="1:15" ht="27.75">
      <c r="A83" s="1479" t="s">
        <v>200</v>
      </c>
      <c r="B83" s="1480"/>
      <c r="C83" s="1481"/>
      <c r="D83" s="697" t="s">
        <v>132</v>
      </c>
      <c r="E83" s="587">
        <f>'19'!F83</f>
        <v>992041</v>
      </c>
      <c r="F83" s="587">
        <v>992440</v>
      </c>
      <c r="G83" s="549">
        <f t="shared" si="6"/>
        <v>399</v>
      </c>
      <c r="H83" s="536">
        <f>G83+'19'!H83</f>
        <v>995843</v>
      </c>
      <c r="I83" s="557"/>
      <c r="J83" s="629">
        <f>H83/DAY(B2)</f>
        <v>49792.15</v>
      </c>
      <c r="K83" s="468"/>
      <c r="L83" s="408"/>
      <c r="N83" s="413"/>
      <c r="O83" s="803"/>
    </row>
    <row r="84" spans="1:15">
      <c r="A84" s="1233" t="s">
        <v>201</v>
      </c>
      <c r="B84" s="648"/>
      <c r="C84" s="648"/>
      <c r="D84" s="554" t="s">
        <v>132</v>
      </c>
      <c r="E84" s="704">
        <f>'19'!F84</f>
        <v>425386</v>
      </c>
      <c r="F84" s="704">
        <v>425948</v>
      </c>
      <c r="G84" s="549">
        <f t="shared" si="6"/>
        <v>562</v>
      </c>
      <c r="H84" s="536">
        <f>G84+'19'!H84</f>
        <v>-4850</v>
      </c>
      <c r="I84" s="557"/>
      <c r="J84" s="629">
        <f>H84/DAY(B2)</f>
        <v>-242.5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2417</v>
      </c>
      <c r="H85" s="536">
        <f>G85+'19'!H85</f>
        <v>977121.92999999993</v>
      </c>
      <c r="I85" s="557"/>
      <c r="J85" s="629">
        <f>H85/DAY(B2)</f>
        <v>48856.0965</v>
      </c>
      <c r="K85" s="411"/>
      <c r="L85" s="409"/>
      <c r="N85" s="859"/>
      <c r="O85" s="803"/>
    </row>
    <row r="86" spans="1:15" s="817" customFormat="1">
      <c r="A86" s="812" t="s">
        <v>94</v>
      </c>
      <c r="B86" s="813"/>
      <c r="C86" s="813"/>
      <c r="D86" s="814" t="s">
        <v>183</v>
      </c>
      <c r="E86" s="728">
        <f>'19'!F86</f>
        <v>449355</v>
      </c>
      <c r="F86" s="728">
        <v>449470</v>
      </c>
      <c r="G86" s="787">
        <f t="shared" ref="G86:G90" si="7">F86-E86</f>
        <v>115</v>
      </c>
      <c r="H86" s="536">
        <f>G86+'19'!H86</f>
        <v>386</v>
      </c>
      <c r="I86" s="733"/>
      <c r="J86" s="789">
        <f>H86/DAY(B2)</f>
        <v>19.3</v>
      </c>
      <c r="K86" s="815"/>
      <c r="L86" s="816"/>
      <c r="N86" s="860"/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728">
        <f>'19'!F87</f>
        <v>78964</v>
      </c>
      <c r="F87" s="728">
        <v>78978</v>
      </c>
      <c r="G87" s="787">
        <f t="shared" si="7"/>
        <v>14</v>
      </c>
      <c r="H87" s="536">
        <f>G87+'19'!H87</f>
        <v>69.30000000000291</v>
      </c>
      <c r="I87" s="733"/>
      <c r="J87" s="789">
        <f>H87/DAY(B2)</f>
        <v>3.4650000000001455</v>
      </c>
      <c r="K87" s="815"/>
      <c r="L87" s="816"/>
      <c r="N87" s="860"/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728">
        <f>'19'!F88</f>
        <v>147807</v>
      </c>
      <c r="F88" s="728">
        <v>147874</v>
      </c>
      <c r="G88" s="787">
        <f t="shared" si="7"/>
        <v>67</v>
      </c>
      <c r="H88" s="536">
        <f>G88+'19'!H88</f>
        <v>236.10000000000582</v>
      </c>
      <c r="I88" s="733"/>
      <c r="J88" s="789">
        <f>H88/DAY(B2)</f>
        <v>11.805000000000291</v>
      </c>
      <c r="K88" s="815"/>
      <c r="L88" s="816"/>
      <c r="N88" s="860"/>
      <c r="O88" s="413"/>
    </row>
    <row r="89" spans="1:15" s="817" customFormat="1">
      <c r="A89" s="812" t="s">
        <v>204</v>
      </c>
      <c r="B89" s="813"/>
      <c r="C89" s="813"/>
      <c r="D89" s="814" t="s">
        <v>183</v>
      </c>
      <c r="E89" s="728">
        <f>'19'!F89</f>
        <v>61058</v>
      </c>
      <c r="F89" s="728">
        <v>61120</v>
      </c>
      <c r="G89" s="787">
        <f t="shared" si="7"/>
        <v>62</v>
      </c>
      <c r="H89" s="536">
        <f>G89+'19'!H89</f>
        <v>187.5</v>
      </c>
      <c r="I89" s="733"/>
      <c r="J89" s="789">
        <f>H89/DAY(B2)</f>
        <v>9.375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28">
        <f>'19'!F90</f>
        <v>3134</v>
      </c>
      <c r="F90" s="728">
        <v>3135</v>
      </c>
      <c r="G90" s="787">
        <f t="shared" si="7"/>
        <v>1</v>
      </c>
      <c r="H90" s="536">
        <f>G90+'19'!H90</f>
        <v>5.8000000000001819</v>
      </c>
      <c r="I90" s="733"/>
      <c r="J90" s="789">
        <f>H90/DAY(B2)</f>
        <v>0.29000000000000908</v>
      </c>
      <c r="K90" s="815"/>
      <c r="L90" s="816"/>
      <c r="N90" s="860"/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'19'!F92</f>
        <v>238690</v>
      </c>
      <c r="F92" s="560">
        <v>238797</v>
      </c>
      <c r="G92" s="549">
        <f t="shared" ref="G92:G93" si="8">F92-E92</f>
        <v>107</v>
      </c>
      <c r="H92" s="536">
        <f>G92+'19'!H92</f>
        <v>-898</v>
      </c>
      <c r="I92" s="556"/>
      <c r="J92" s="629">
        <f>H92/DAY(B2)</f>
        <v>-44.9</v>
      </c>
      <c r="K92" s="468"/>
      <c r="L92" s="408"/>
      <c r="N92" s="413"/>
      <c r="O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'19'!F93</f>
        <v>174210</v>
      </c>
      <c r="F93" s="560">
        <v>174343</v>
      </c>
      <c r="G93" s="549">
        <f t="shared" si="8"/>
        <v>133</v>
      </c>
      <c r="H93" s="536">
        <f>G93+'19'!H93</f>
        <v>-1318</v>
      </c>
      <c r="I93" s="556"/>
      <c r="J93" s="629">
        <f>H93/DAY(B2)</f>
        <v>-65.900000000000006</v>
      </c>
      <c r="K93" s="411"/>
      <c r="L93" s="408"/>
      <c r="N93" s="413"/>
      <c r="O93" s="413"/>
    </row>
    <row r="94" spans="1:15">
      <c r="A94" s="1427" t="s">
        <v>208</v>
      </c>
      <c r="B94" s="1428"/>
      <c r="C94" s="1429"/>
      <c r="D94" s="599"/>
      <c r="E94" s="560">
        <f>'19'!F94</f>
        <v>0</v>
      </c>
      <c r="F94" s="560"/>
      <c r="G94" s="549">
        <f>G92+G93</f>
        <v>240</v>
      </c>
      <c r="H94" s="536">
        <f>G94+'19'!H94</f>
        <v>-2482</v>
      </c>
      <c r="I94" s="556"/>
      <c r="J94" s="629">
        <f>H94/DAY(B2)</f>
        <v>-124.1</v>
      </c>
      <c r="K94" s="411"/>
      <c r="L94" s="408"/>
      <c r="N94" s="413"/>
      <c r="O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'19'!F95</f>
        <v>407362</v>
      </c>
      <c r="F95" s="560">
        <v>407448</v>
      </c>
      <c r="G95" s="549">
        <f t="shared" ref="G95:G100" si="9">F95-E95</f>
        <v>86</v>
      </c>
      <c r="H95" s="536">
        <f>G95+'19'!H95</f>
        <v>-708</v>
      </c>
      <c r="I95" s="556"/>
      <c r="J95" s="629">
        <f>H95/DAY(B2)</f>
        <v>-35.4</v>
      </c>
      <c r="K95" s="411"/>
      <c r="L95" s="408"/>
      <c r="N95" s="413"/>
      <c r="O95" s="413"/>
    </row>
    <row r="96" spans="1:15" ht="27.75">
      <c r="A96" s="1229" t="s">
        <v>210</v>
      </c>
      <c r="B96" s="1230"/>
      <c r="C96" s="1230"/>
      <c r="D96" s="599" t="s">
        <v>144</v>
      </c>
      <c r="E96" s="560">
        <f>'19'!F96</f>
        <v>101149</v>
      </c>
      <c r="F96" s="560">
        <v>101171</v>
      </c>
      <c r="G96" s="549">
        <f t="shared" si="9"/>
        <v>22</v>
      </c>
      <c r="H96" s="536">
        <f>G96+'19'!H96</f>
        <v>-161</v>
      </c>
      <c r="I96" s="556"/>
      <c r="J96" s="629">
        <f>H96/DAY(B2)</f>
        <v>-8.0500000000000007</v>
      </c>
      <c r="K96" s="466"/>
      <c r="L96" s="408"/>
      <c r="N96" s="413"/>
      <c r="O96" s="413"/>
    </row>
    <row r="97" spans="1:15" ht="27.75">
      <c r="A97" s="1229" t="s">
        <v>211</v>
      </c>
      <c r="B97" s="1230"/>
      <c r="C97" s="1230"/>
      <c r="D97" s="599" t="s">
        <v>144</v>
      </c>
      <c r="E97" s="560">
        <f>'19'!F97</f>
        <v>96238</v>
      </c>
      <c r="F97" s="560">
        <v>96270</v>
      </c>
      <c r="G97" s="549">
        <f t="shared" si="9"/>
        <v>32</v>
      </c>
      <c r="H97" s="536">
        <f>G97+'19'!H97</f>
        <v>-179</v>
      </c>
      <c r="I97" s="556"/>
      <c r="J97" s="629">
        <f>H97/DAY(B2)</f>
        <v>-8.9499999999999993</v>
      </c>
      <c r="K97" s="471"/>
      <c r="L97" s="408"/>
      <c r="N97" s="413"/>
      <c r="O97" s="413"/>
    </row>
    <row r="98" spans="1:15" ht="27.75">
      <c r="A98" s="1229" t="s">
        <v>212</v>
      </c>
      <c r="B98" s="1230"/>
      <c r="C98" s="1230"/>
      <c r="D98" s="599" t="s">
        <v>144</v>
      </c>
      <c r="E98" s="560">
        <f>'19'!F98</f>
        <v>146838</v>
      </c>
      <c r="F98" s="560">
        <v>146906</v>
      </c>
      <c r="G98" s="549">
        <f t="shared" si="9"/>
        <v>68</v>
      </c>
      <c r="H98" s="536">
        <f>G98+'19'!H98</f>
        <v>-702</v>
      </c>
      <c r="I98" s="556"/>
      <c r="J98" s="629">
        <f>H98/DAY(B2)</f>
        <v>-35.1</v>
      </c>
      <c r="K98" s="411"/>
      <c r="L98" s="408"/>
      <c r="N98" s="413"/>
      <c r="O98" s="413"/>
    </row>
    <row r="99" spans="1:15" ht="27.75">
      <c r="A99" s="1229" t="s">
        <v>213</v>
      </c>
      <c r="B99" s="1230"/>
      <c r="C99" s="1230"/>
      <c r="D99" s="599" t="s">
        <v>144</v>
      </c>
      <c r="E99" s="560">
        <f>'19'!F99</f>
        <v>6243</v>
      </c>
      <c r="F99" s="560">
        <v>6264</v>
      </c>
      <c r="G99" s="549">
        <f t="shared" si="9"/>
        <v>21</v>
      </c>
      <c r="H99" s="536">
        <f>G99+'19'!H99</f>
        <v>-144</v>
      </c>
      <c r="I99" s="556"/>
      <c r="J99" s="629">
        <f>H99/DAY(B2)</f>
        <v>-7.2</v>
      </c>
      <c r="K99" s="411"/>
      <c r="L99" s="408"/>
      <c r="N99" s="413"/>
      <c r="O99" s="413"/>
    </row>
    <row r="100" spans="1:15" ht="27.75">
      <c r="A100" s="1229" t="s">
        <v>214</v>
      </c>
      <c r="B100" s="1230"/>
      <c r="C100" s="1230"/>
      <c r="D100" s="599" t="s">
        <v>144</v>
      </c>
      <c r="E100" s="560">
        <f>'19'!F100</f>
        <v>4412</v>
      </c>
      <c r="F100" s="560">
        <v>4420</v>
      </c>
      <c r="G100" s="549">
        <f t="shared" si="9"/>
        <v>8</v>
      </c>
      <c r="H100" s="536">
        <f>G100+'19'!H100</f>
        <v>-123</v>
      </c>
      <c r="I100" s="556"/>
      <c r="J100" s="629">
        <f>H100/DAY(B2)</f>
        <v>-6.15</v>
      </c>
      <c r="K100" s="411"/>
      <c r="L100" s="408"/>
      <c r="N100" s="413"/>
      <c r="O100" s="413"/>
    </row>
    <row r="101" spans="1:15">
      <c r="A101" s="1427" t="s">
        <v>216</v>
      </c>
      <c r="B101" s="1428"/>
      <c r="C101" s="1429"/>
      <c r="D101" s="600"/>
      <c r="E101" s="600"/>
      <c r="F101" s="600"/>
      <c r="G101" s="601">
        <f>SUM(G95:G100)</f>
        <v>237</v>
      </c>
      <c r="H101" s="536">
        <f>G101+'19'!H101</f>
        <v>-2017</v>
      </c>
      <c r="I101" s="602"/>
      <c r="J101" s="629">
        <f>H101/DAY(B2)</f>
        <v>-100.85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6" t="s">
        <v>218</v>
      </c>
      <c r="B103" s="143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38" t="s">
        <v>219</v>
      </c>
      <c r="B104" s="1439"/>
      <c r="C104" s="1227"/>
      <c r="D104" s="699" t="s">
        <v>144</v>
      </c>
      <c r="E104" s="608">
        <f>'19'!F104</f>
        <v>7097</v>
      </c>
      <c r="F104" s="608">
        <v>7097</v>
      </c>
      <c r="G104" s="608">
        <f>F104-E104</f>
        <v>0</v>
      </c>
      <c r="H104" s="536">
        <f>G104+'19'!H104</f>
        <v>79.150000000000091</v>
      </c>
      <c r="I104" s="608"/>
      <c r="J104" s="635">
        <f>H104/DAY(B2)</f>
        <v>3.9575000000000045</v>
      </c>
      <c r="N104" s="493"/>
      <c r="O104" s="413"/>
    </row>
    <row r="105" spans="1:15" s="481" customFormat="1" ht="27.75">
      <c r="A105" s="1438" t="s">
        <v>77</v>
      </c>
      <c r="B105" s="1439"/>
      <c r="C105" s="1227"/>
      <c r="D105" s="699" t="s">
        <v>144</v>
      </c>
      <c r="E105" s="610">
        <f>'19'!F105</f>
        <v>35321</v>
      </c>
      <c r="F105" s="610">
        <v>35334</v>
      </c>
      <c r="G105" s="608">
        <f t="shared" ref="G105:G106" si="10">F105-E105</f>
        <v>13</v>
      </c>
      <c r="H105" s="536">
        <f>G105+'19'!H105</f>
        <v>73</v>
      </c>
      <c r="I105" s="608"/>
      <c r="J105" s="635">
        <f>H105/DAY(B2)</f>
        <v>3.65</v>
      </c>
      <c r="N105" s="493"/>
      <c r="O105" s="413"/>
    </row>
    <row r="106" spans="1:15" s="481" customFormat="1" ht="27.75">
      <c r="A106" s="1438" t="s">
        <v>78</v>
      </c>
      <c r="B106" s="1440"/>
      <c r="C106" s="1439"/>
      <c r="D106" s="699" t="s">
        <v>144</v>
      </c>
      <c r="E106" s="608">
        <f>'19'!F106</f>
        <v>19195</v>
      </c>
      <c r="F106" s="608">
        <v>19203</v>
      </c>
      <c r="G106" s="608">
        <f t="shared" si="10"/>
        <v>8</v>
      </c>
      <c r="H106" s="536">
        <f>G106+'19'!H106</f>
        <v>414</v>
      </c>
      <c r="I106" s="608"/>
      <c r="J106" s="635">
        <f>H106/DAY(B2)</f>
        <v>20.7</v>
      </c>
      <c r="N106" s="493"/>
      <c r="O106" s="413"/>
    </row>
    <row r="107" spans="1:15" s="481" customFormat="1" ht="27.75">
      <c r="A107" s="1441" t="s">
        <v>202</v>
      </c>
      <c r="B107" s="1442"/>
      <c r="C107" s="1227"/>
      <c r="D107" s="699"/>
      <c r="E107" s="608">
        <f>'19'!F107</f>
        <v>0</v>
      </c>
      <c r="F107" s="608"/>
      <c r="G107" s="608">
        <f>SUM(G104:G106)</f>
        <v>21</v>
      </c>
      <c r="H107" s="536">
        <f>G107+'19'!H107</f>
        <v>244</v>
      </c>
      <c r="I107" s="608"/>
      <c r="J107" s="635">
        <f>H107/DAY(B2)</f>
        <v>12.2</v>
      </c>
      <c r="N107" s="493"/>
      <c r="O107" s="413"/>
    </row>
    <row r="108" spans="1:15" s="481" customFormat="1" ht="27.75">
      <c r="A108" s="1443" t="s">
        <v>79</v>
      </c>
      <c r="B108" s="1444"/>
      <c r="C108" s="1227"/>
      <c r="D108" s="699" t="s">
        <v>144</v>
      </c>
      <c r="E108" s="608">
        <f>'19'!F108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438" t="s">
        <v>220</v>
      </c>
      <c r="B109" s="1439"/>
      <c r="C109" s="1227"/>
      <c r="D109" s="699" t="s">
        <v>144</v>
      </c>
      <c r="E109" s="608">
        <f>'19'!F109</f>
        <v>55788</v>
      </c>
      <c r="F109" s="608">
        <v>55847</v>
      </c>
      <c r="G109" s="608">
        <f>F109-E109</f>
        <v>59</v>
      </c>
      <c r="H109" s="536">
        <f>G109+'19'!H109</f>
        <v>271.56000000005588</v>
      </c>
      <c r="I109" s="608"/>
      <c r="J109" s="635">
        <f>H109/DAY(B2)</f>
        <v>13.578000000002794</v>
      </c>
      <c r="N109" s="493"/>
      <c r="O109" s="413"/>
    </row>
    <row r="110" spans="1:15" s="481" customFormat="1" ht="27.75">
      <c r="A110" s="1438" t="s">
        <v>221</v>
      </c>
      <c r="B110" s="1439"/>
      <c r="C110" s="1227"/>
      <c r="D110" s="699" t="s">
        <v>144</v>
      </c>
      <c r="E110" s="608">
        <f>'19'!F110</f>
        <v>29737</v>
      </c>
      <c r="F110" s="608">
        <v>29812</v>
      </c>
      <c r="G110" s="608">
        <f t="shared" ref="G110:G111" si="11">F110-E110</f>
        <v>75</v>
      </c>
      <c r="H110" s="536">
        <f>G110+'19'!H110</f>
        <v>216.16999999999825</v>
      </c>
      <c r="I110" s="608"/>
      <c r="J110" s="635">
        <f>H110/DAY(B2)</f>
        <v>10.808499999999913</v>
      </c>
      <c r="N110" s="493"/>
      <c r="O110" s="413"/>
    </row>
    <row r="111" spans="1:15" s="481" customFormat="1" ht="27.75">
      <c r="A111" s="1438" t="s">
        <v>222</v>
      </c>
      <c r="B111" s="1439"/>
      <c r="C111" s="1227"/>
      <c r="D111" s="699" t="s">
        <v>144</v>
      </c>
      <c r="E111" s="608">
        <f>'19'!F111</f>
        <v>3912</v>
      </c>
      <c r="F111" s="608">
        <v>3932</v>
      </c>
      <c r="G111" s="608">
        <f t="shared" si="11"/>
        <v>20</v>
      </c>
      <c r="H111" s="536">
        <f>G111+'19'!H111</f>
        <v>547</v>
      </c>
      <c r="I111" s="608"/>
      <c r="J111" s="635">
        <f>H111/DAY(B2)</f>
        <v>27.35</v>
      </c>
      <c r="N111" s="493"/>
      <c r="O111" s="413"/>
    </row>
    <row r="112" spans="1:15" s="481" customFormat="1" ht="27.75">
      <c r="A112" s="1470" t="s">
        <v>110</v>
      </c>
      <c r="B112" s="1471"/>
      <c r="C112" s="1227"/>
      <c r="D112" s="699"/>
      <c r="E112" s="608">
        <f>'19'!F112</f>
        <v>0</v>
      </c>
      <c r="F112" s="608"/>
      <c r="G112" s="608">
        <f>SUM(G109:G111)</f>
        <v>154</v>
      </c>
      <c r="H112" s="536">
        <f>G112+'19'!H112</f>
        <v>1074</v>
      </c>
      <c r="I112" s="608"/>
      <c r="J112" s="635">
        <f>H112/DAY(B2)</f>
        <v>53.7</v>
      </c>
      <c r="N112" s="493"/>
      <c r="O112" s="413"/>
    </row>
    <row r="113" spans="1:15" s="481" customFormat="1" ht="27.75">
      <c r="A113" s="1443" t="s">
        <v>223</v>
      </c>
      <c r="B113" s="1444"/>
      <c r="C113" s="1227"/>
      <c r="D113" s="699"/>
      <c r="E113" s="608">
        <f>'19'!F113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438" t="s">
        <v>224</v>
      </c>
      <c r="B114" s="1439"/>
      <c r="C114" s="651"/>
      <c r="D114" s="699" t="s">
        <v>144</v>
      </c>
      <c r="E114" s="610">
        <f>'19'!F114</f>
        <v>10125</v>
      </c>
      <c r="F114" s="610">
        <v>10151</v>
      </c>
      <c r="G114" s="610">
        <f>F114-E114</f>
        <v>26</v>
      </c>
      <c r="H114" s="536">
        <f>G114+'19'!H114</f>
        <v>77</v>
      </c>
      <c r="I114" s="608"/>
      <c r="J114" s="635">
        <f>H114/DAY(B2)</f>
        <v>3.85</v>
      </c>
      <c r="N114" s="493"/>
      <c r="O114" s="413"/>
    </row>
    <row r="115" spans="1:15" s="481" customFormat="1" ht="27.75">
      <c r="A115" s="1438" t="s">
        <v>225</v>
      </c>
      <c r="B115" s="1439"/>
      <c r="C115" s="651"/>
      <c r="D115" s="699" t="s">
        <v>144</v>
      </c>
      <c r="E115" s="610">
        <f>'19'!F115</f>
        <v>7568</v>
      </c>
      <c r="F115" s="610">
        <v>7576</v>
      </c>
      <c r="G115" s="610">
        <f t="shared" ref="G115:G116" si="12">F115-E115</f>
        <v>8</v>
      </c>
      <c r="H115" s="536">
        <f>G115+'19'!H115</f>
        <v>137</v>
      </c>
      <c r="I115" s="608"/>
      <c r="J115" s="635">
        <f>H115/DAY(B2)</f>
        <v>6.85</v>
      </c>
      <c r="N115" s="493"/>
      <c r="O115" s="413"/>
    </row>
    <row r="116" spans="1:15" s="481" customFormat="1" ht="27.75">
      <c r="A116" s="1438" t="s">
        <v>226</v>
      </c>
      <c r="B116" s="1439"/>
      <c r="C116" s="651"/>
      <c r="D116" s="699" t="s">
        <v>144</v>
      </c>
      <c r="E116" s="610"/>
      <c r="F116" s="610"/>
      <c r="G116" s="610">
        <f t="shared" si="12"/>
        <v>0</v>
      </c>
      <c r="H116" s="536">
        <f>G116+'19'!H116</f>
        <v>144</v>
      </c>
      <c r="I116" s="608"/>
      <c r="J116" s="635">
        <f>H116/DAY(B2)</f>
        <v>7.2</v>
      </c>
      <c r="N116" s="493"/>
      <c r="O116" s="413"/>
    </row>
    <row r="117" spans="1:15" s="494" customFormat="1" ht="27.75">
      <c r="A117" s="1441" t="s">
        <v>202</v>
      </c>
      <c r="B117" s="1442"/>
      <c r="C117" s="651"/>
      <c r="D117" s="700"/>
      <c r="E117" s="610"/>
      <c r="F117" s="610"/>
      <c r="G117" s="610">
        <f>SUM(G114:G116)</f>
        <v>34</v>
      </c>
      <c r="H117" s="536">
        <f>G117+'19'!H117</f>
        <v>168</v>
      </c>
      <c r="I117" s="610"/>
      <c r="J117" s="635">
        <f>H117/DAY(B2)</f>
        <v>8.4</v>
      </c>
      <c r="N117" s="522"/>
      <c r="O117" s="413"/>
    </row>
    <row r="118" spans="1:15" s="495" customFormat="1" ht="27.75">
      <c r="A118" s="1472" t="s">
        <v>227</v>
      </c>
      <c r="B118" s="1473"/>
      <c r="C118" s="1226"/>
      <c r="D118" s="701" t="s">
        <v>144</v>
      </c>
      <c r="E118" s="612"/>
      <c r="F118" s="612">
        <f>SUM(G19+G92)</f>
        <v>158</v>
      </c>
      <c r="G118" s="612">
        <f>SUM(G19+G92)</f>
        <v>158</v>
      </c>
      <c r="H118" s="536">
        <f>G118+'19'!H118</f>
        <v>444</v>
      </c>
      <c r="I118" s="611"/>
      <c r="J118" s="636">
        <f>H118/DAY(B2)</f>
        <v>22.2</v>
      </c>
      <c r="N118" s="861"/>
      <c r="O118" s="413"/>
    </row>
    <row r="119" spans="1:15" s="495" customFormat="1" ht="27.75">
      <c r="A119" s="1472" t="s">
        <v>228</v>
      </c>
      <c r="B119" s="1473"/>
      <c r="C119" s="1226"/>
      <c r="D119" s="701" t="s">
        <v>144</v>
      </c>
      <c r="E119" s="612"/>
      <c r="F119" s="612">
        <f>SUM(G95,G96,G97,G99,G100)</f>
        <v>169</v>
      </c>
      <c r="G119" s="612">
        <f>SUM(G95,G96,G97,G99,G100)</f>
        <v>169</v>
      </c>
      <c r="H119" s="536">
        <f>G119+'19'!H119</f>
        <v>514</v>
      </c>
      <c r="I119" s="611"/>
      <c r="J119" s="636">
        <f>H119/DAY(B2)</f>
        <v>25.7</v>
      </c>
      <c r="N119" s="861"/>
      <c r="O119" s="413"/>
    </row>
    <row r="120" spans="1:15" s="495" customFormat="1" ht="27.75">
      <c r="A120" s="1472" t="s">
        <v>229</v>
      </c>
      <c r="B120" s="1473"/>
      <c r="C120" s="1226"/>
      <c r="D120" s="701" t="s">
        <v>144</v>
      </c>
      <c r="E120" s="610"/>
      <c r="F120" s="610">
        <f>SUM(G112)</f>
        <v>154</v>
      </c>
      <c r="G120" s="610">
        <f>SUM(G112)</f>
        <v>154</v>
      </c>
      <c r="H120" s="536">
        <f>G120+'19'!H120</f>
        <v>398</v>
      </c>
      <c r="I120" s="611"/>
      <c r="J120" s="636">
        <f>H120/DAY(B2)</f>
        <v>19.899999999999999</v>
      </c>
      <c r="N120" s="861"/>
      <c r="O120" s="413"/>
    </row>
    <row r="121" spans="1:15" s="481" customFormat="1" ht="27.75">
      <c r="A121" s="1474"/>
      <c r="B121" s="1475"/>
      <c r="C121" s="1227"/>
      <c r="D121" s="637"/>
      <c r="E121" s="637"/>
      <c r="F121" s="637" t="s">
        <v>215</v>
      </c>
      <c r="G121" s="637"/>
      <c r="H121" s="638"/>
      <c r="I121" s="637"/>
      <c r="J121" s="639"/>
      <c r="N121" s="493"/>
      <c r="O121" s="413"/>
    </row>
    <row r="122" spans="1:15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29" t="s">
        <v>231</v>
      </c>
      <c r="B123" s="1230"/>
      <c r="C123" s="1230"/>
      <c r="D123" s="599" t="s">
        <v>141</v>
      </c>
      <c r="E123" s="554">
        <f>'19'!F123</f>
        <v>808618</v>
      </c>
      <c r="F123" s="554">
        <v>808918</v>
      </c>
      <c r="G123" s="549">
        <f t="shared" ref="G123:G127" si="13">F123-E123</f>
        <v>300</v>
      </c>
      <c r="H123" s="536">
        <f>G123+'19'!H123</f>
        <v>-2088.8399999999674</v>
      </c>
      <c r="I123" s="602"/>
      <c r="J123" s="629">
        <f>H123/DAY(B2)</f>
        <v>-104.44199999999837</v>
      </c>
      <c r="K123" s="411"/>
      <c r="L123" s="408"/>
      <c r="N123" s="413"/>
      <c r="O123" s="413"/>
    </row>
    <row r="124" spans="1:15" ht="27.75">
      <c r="A124" s="1229" t="s">
        <v>232</v>
      </c>
      <c r="B124" s="1230"/>
      <c r="C124" s="1230"/>
      <c r="D124" s="599" t="s">
        <v>141</v>
      </c>
      <c r="E124" s="703">
        <f>'19'!F124</f>
        <v>73583</v>
      </c>
      <c r="F124" s="703">
        <v>73583</v>
      </c>
      <c r="G124" s="549">
        <f t="shared" si="13"/>
        <v>0</v>
      </c>
      <c r="H124" s="536">
        <f>G124+'19'!H124</f>
        <v>-0.39999999999417923</v>
      </c>
      <c r="I124" s="602"/>
      <c r="J124" s="629">
        <f>H124/DAY(B2)</f>
        <v>-1.9999999999708962E-2</v>
      </c>
      <c r="K124" s="411"/>
      <c r="L124" s="408"/>
      <c r="N124" s="413"/>
      <c r="O124" s="413"/>
    </row>
    <row r="125" spans="1:15" ht="27.75">
      <c r="A125" s="1430" t="s">
        <v>233</v>
      </c>
      <c r="B125" s="1431"/>
      <c r="C125" s="1432"/>
      <c r="D125" s="599" t="s">
        <v>141</v>
      </c>
      <c r="E125" s="554">
        <f>'19'!F125</f>
        <v>139316</v>
      </c>
      <c r="F125" s="554">
        <v>139402</v>
      </c>
      <c r="G125" s="549">
        <f t="shared" si="13"/>
        <v>86</v>
      </c>
      <c r="H125" s="536">
        <f>G125+'19'!H125</f>
        <v>-577.33999999999651</v>
      </c>
      <c r="I125" s="602"/>
      <c r="J125" s="629">
        <f>H125/DAY(B2)</f>
        <v>-28.866999999999827</v>
      </c>
      <c r="K125" s="411"/>
      <c r="L125" s="408"/>
      <c r="N125" s="413"/>
      <c r="O125" s="413"/>
    </row>
    <row r="126" spans="1:15" ht="27.75">
      <c r="A126" s="686" t="s">
        <v>234</v>
      </c>
      <c r="B126" s="1230"/>
      <c r="C126" s="1230"/>
      <c r="D126" s="599" t="s">
        <v>141</v>
      </c>
      <c r="E126" s="703">
        <f>'19'!F126</f>
        <v>59079</v>
      </c>
      <c r="F126" s="703">
        <v>59109</v>
      </c>
      <c r="G126" s="549">
        <f t="shared" si="13"/>
        <v>30</v>
      </c>
      <c r="H126" s="536">
        <f>G126+'19'!H126</f>
        <v>-197.90000000000146</v>
      </c>
      <c r="I126" s="602"/>
      <c r="J126" s="629">
        <f>H126/DAY(B2)</f>
        <v>-9.8950000000000724</v>
      </c>
      <c r="K126" s="411"/>
      <c r="L126" s="408"/>
      <c r="N126" s="413"/>
      <c r="O126" s="413"/>
    </row>
    <row r="127" spans="1:15" ht="27.75">
      <c r="A127" s="686" t="s">
        <v>235</v>
      </c>
      <c r="B127" s="1230"/>
      <c r="C127" s="1230"/>
      <c r="D127" s="599" t="s">
        <v>141</v>
      </c>
      <c r="E127" s="703">
        <f>'19'!F127</f>
        <v>8871</v>
      </c>
      <c r="F127" s="703">
        <v>8874</v>
      </c>
      <c r="G127" s="549">
        <f t="shared" si="13"/>
        <v>3</v>
      </c>
      <c r="H127" s="536">
        <f>G127+'19'!H127</f>
        <v>-13.799999999999272</v>
      </c>
      <c r="I127" s="556"/>
      <c r="J127" s="629">
        <f>H127/DAY(B2)</f>
        <v>-0.68999999999996364</v>
      </c>
      <c r="K127" s="411"/>
      <c r="L127" s="408"/>
      <c r="N127" s="413"/>
      <c r="O127" s="413"/>
    </row>
    <row r="128" spans="1:15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667</v>
      </c>
      <c r="H128" s="536">
        <f>G128+'19'!H128</f>
        <v>2874.5099999998529</v>
      </c>
      <c r="I128" s="556"/>
      <c r="J128" s="629">
        <f>H128/DAY(B2)</f>
        <v>143.72549999999265</v>
      </c>
      <c r="K128" s="391"/>
      <c r="L128" s="293"/>
      <c r="N128" s="395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29" t="s">
        <v>238</v>
      </c>
      <c r="B130" s="1230"/>
      <c r="C130" s="1230"/>
      <c r="D130" s="599" t="s">
        <v>239</v>
      </c>
      <c r="E130" s="560">
        <f>'19'!F130</f>
        <v>0</v>
      </c>
      <c r="F130" s="560">
        <v>0</v>
      </c>
      <c r="G130" s="549">
        <f t="shared" ref="G130:G140" si="14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29" t="s">
        <v>240</v>
      </c>
      <c r="B131" s="1230"/>
      <c r="C131" s="1230"/>
      <c r="D131" s="599" t="s">
        <v>239</v>
      </c>
      <c r="E131" s="560">
        <f>'19'!F131</f>
        <v>0</v>
      </c>
      <c r="F131" s="560">
        <v>0</v>
      </c>
      <c r="G131" s="549">
        <f t="shared" si="14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29" t="s">
        <v>241</v>
      </c>
      <c r="B132" s="1230"/>
      <c r="C132" s="1230"/>
      <c r="D132" s="599" t="s">
        <v>239</v>
      </c>
      <c r="E132" s="618">
        <v>38829.480000000003</v>
      </c>
      <c r="F132" s="618">
        <v>38829.480000000003</v>
      </c>
      <c r="G132" s="549">
        <f t="shared" si="14"/>
        <v>0</v>
      </c>
      <c r="H132" s="536">
        <f>G132+'19'!H132</f>
        <v>386.52999999999884</v>
      </c>
      <c r="I132" s="556"/>
      <c r="J132" s="629">
        <f>H132/DAY(B2)</f>
        <v>19.326499999999943</v>
      </c>
      <c r="N132" s="413"/>
      <c r="O132" s="413"/>
    </row>
    <row r="133" spans="1:15" s="480" customFormat="1" ht="27.75">
      <c r="A133" s="1156" t="s">
        <v>242</v>
      </c>
      <c r="B133" s="1157"/>
      <c r="C133" s="1157"/>
      <c r="D133" s="704" t="s">
        <v>239</v>
      </c>
      <c r="E133" s="618">
        <f>'19'!F133</f>
        <v>299.52</v>
      </c>
      <c r="F133" s="618">
        <v>299.52</v>
      </c>
      <c r="G133" s="733">
        <f t="shared" si="14"/>
        <v>0</v>
      </c>
      <c r="H133" s="787">
        <f>G133+'19'!H133</f>
        <v>-0.48000000000001819</v>
      </c>
      <c r="I133" s="1158">
        <f>G130+G131+G132+G133</f>
        <v>0</v>
      </c>
      <c r="J133" s="789">
        <f>H133/DAY(B2)</f>
        <v>-2.4000000000000909E-2</v>
      </c>
      <c r="N133" s="795"/>
      <c r="O133" s="795"/>
    </row>
    <row r="134" spans="1:15" ht="27.75">
      <c r="A134" s="1229" t="s">
        <v>243</v>
      </c>
      <c r="B134" s="1230"/>
      <c r="C134" s="1230"/>
      <c r="D134" s="599" t="s">
        <v>239</v>
      </c>
      <c r="E134" s="618">
        <f>'19'!F134</f>
        <v>40260.519999999997</v>
      </c>
      <c r="F134" s="618">
        <v>40260.519999999997</v>
      </c>
      <c r="G134" s="549">
        <f t="shared" si="14"/>
        <v>0</v>
      </c>
      <c r="H134" s="536">
        <f>G134+'19'!H134</f>
        <v>-106.62000000000262</v>
      </c>
      <c r="I134" s="556"/>
      <c r="J134" s="629">
        <f>H134/DAY(B2)</f>
        <v>-5.331000000000131</v>
      </c>
      <c r="N134" s="413"/>
      <c r="O134" s="413"/>
    </row>
    <row r="135" spans="1:15" ht="27.75">
      <c r="A135" s="1229" t="s">
        <v>244</v>
      </c>
      <c r="B135" s="1230"/>
      <c r="C135" s="1230"/>
      <c r="D135" s="599" t="s">
        <v>239</v>
      </c>
      <c r="E135" s="618">
        <f>'19'!F135</f>
        <v>32458</v>
      </c>
      <c r="F135" s="618">
        <v>32482</v>
      </c>
      <c r="G135" s="549">
        <f t="shared" si="14"/>
        <v>24</v>
      </c>
      <c r="H135" s="536">
        <f>G135+'19'!H135</f>
        <v>-89</v>
      </c>
      <c r="I135" s="556"/>
      <c r="J135" s="629">
        <f>H135/DAY(B2)</f>
        <v>-4.45</v>
      </c>
      <c r="N135" s="413"/>
      <c r="O135" s="413"/>
    </row>
    <row r="136" spans="1:15" ht="27.75">
      <c r="A136" s="1229" t="s">
        <v>245</v>
      </c>
      <c r="B136" s="1230"/>
      <c r="C136" s="1230"/>
      <c r="D136" s="599" t="s">
        <v>239</v>
      </c>
      <c r="E136" s="618">
        <f>'19'!F136</f>
        <v>22143.66</v>
      </c>
      <c r="F136" s="618">
        <v>22154.54</v>
      </c>
      <c r="G136" s="549">
        <f t="shared" si="14"/>
        <v>10.880000000001019</v>
      </c>
      <c r="H136" s="536">
        <f>G136+'19'!H136</f>
        <v>-67.669999999998254</v>
      </c>
      <c r="I136" s="556">
        <f>G134+G135+G136</f>
        <v>34.880000000001019</v>
      </c>
      <c r="J136" s="629">
        <f>H136/DAY(B2)</f>
        <v>-3.3834999999999127</v>
      </c>
      <c r="N136" s="413"/>
      <c r="O136" s="413"/>
    </row>
    <row r="137" spans="1:15" ht="27.75">
      <c r="A137" s="1229" t="s">
        <v>246</v>
      </c>
      <c r="B137" s="1230"/>
      <c r="C137" s="1230"/>
      <c r="D137" s="599" t="s">
        <v>239</v>
      </c>
      <c r="E137" s="618">
        <f>'19'!F137</f>
        <v>25036.560000000001</v>
      </c>
      <c r="F137" s="618">
        <v>25036.560000000001</v>
      </c>
      <c r="G137" s="549">
        <f t="shared" si="14"/>
        <v>0</v>
      </c>
      <c r="H137" s="536">
        <f>G137+'19'!H137</f>
        <v>-7.75</v>
      </c>
      <c r="I137" s="556"/>
      <c r="J137" s="629">
        <f>H137/DAY(B2)</f>
        <v>-0.38750000000000001</v>
      </c>
      <c r="N137" s="413"/>
      <c r="O137" s="413"/>
    </row>
    <row r="138" spans="1:15" ht="27.75">
      <c r="A138" s="1229" t="s">
        <v>247</v>
      </c>
      <c r="B138" s="1230"/>
      <c r="C138" s="1230"/>
      <c r="D138" s="599" t="s">
        <v>239</v>
      </c>
      <c r="E138" s="618">
        <f>'19'!F138</f>
        <v>70110.710000000006</v>
      </c>
      <c r="F138" s="618">
        <v>70116.58</v>
      </c>
      <c r="G138" s="549">
        <f t="shared" si="14"/>
        <v>5.8699999999953434</v>
      </c>
      <c r="H138" s="536">
        <f>G138+'19'!H138</f>
        <v>-30.759999999994761</v>
      </c>
      <c r="I138" s="556">
        <f>G137+G138</f>
        <v>5.8699999999953434</v>
      </c>
      <c r="J138" s="629">
        <f>H138/DAY(B2)</f>
        <v>-1.537999999999738</v>
      </c>
      <c r="N138" s="413"/>
      <c r="O138" s="413"/>
    </row>
    <row r="139" spans="1:15" ht="27.75">
      <c r="A139" s="1229" t="s">
        <v>248</v>
      </c>
      <c r="B139" s="1230"/>
      <c r="C139" s="1230"/>
      <c r="D139" s="599" t="s">
        <v>239</v>
      </c>
      <c r="E139" s="560">
        <f>'19'!F139</f>
        <v>1354.21</v>
      </c>
      <c r="F139" s="560">
        <v>1362.83</v>
      </c>
      <c r="G139" s="549">
        <f t="shared" si="14"/>
        <v>8.6199999999998909</v>
      </c>
      <c r="H139" s="536">
        <f>G139+'19'!H139</f>
        <v>-60.310000000000173</v>
      </c>
      <c r="I139" s="619"/>
      <c r="J139" s="629">
        <f>H139/DAY(B2)</f>
        <v>-3.0155000000000087</v>
      </c>
      <c r="N139" s="413"/>
      <c r="O139" s="413"/>
    </row>
    <row r="140" spans="1:15" ht="27.75">
      <c r="A140" s="1229" t="s">
        <v>249</v>
      </c>
      <c r="B140" s="1230"/>
      <c r="C140" s="1230"/>
      <c r="D140" s="599" t="s">
        <v>239</v>
      </c>
      <c r="E140" s="560">
        <f>'19'!F140</f>
        <v>4333.53</v>
      </c>
      <c r="F140" s="560">
        <v>4333.53</v>
      </c>
      <c r="G140" s="549">
        <f t="shared" si="14"/>
        <v>0</v>
      </c>
      <c r="H140" s="536">
        <f>G140+'19'!H140</f>
        <v>-0.47000000000025466</v>
      </c>
      <c r="I140" s="619"/>
      <c r="J140" s="629">
        <f>H140/DAY(B2)</f>
        <v>-2.3500000000012733E-2</v>
      </c>
      <c r="N140" s="413"/>
      <c r="O140" s="413"/>
    </row>
    <row r="141" spans="1:15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5156</v>
      </c>
      <c r="H142" s="536">
        <f>G142+'19'!H142</f>
        <v>-45235.319999999891</v>
      </c>
      <c r="I142" s="556"/>
      <c r="J142" s="629">
        <f>H142/DAY(B2)</f>
        <v>-2261.7659999999946</v>
      </c>
      <c r="K142" s="411"/>
      <c r="L142" s="408"/>
      <c r="N142" s="413"/>
      <c r="O142" s="413"/>
    </row>
    <row r="143" spans="1:15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0.26041719278751452</v>
      </c>
      <c r="H143" s="536">
        <f>G143+'19'!H143</f>
        <v>5.0360142020431322</v>
      </c>
      <c r="I143" s="621"/>
      <c r="J143" s="629">
        <f>H143/DAY(B2)</f>
        <v>0.2518007101021566</v>
      </c>
      <c r="K143" s="411"/>
      <c r="L143" s="408"/>
      <c r="N143" s="413"/>
      <c r="O143" s="413"/>
    </row>
    <row r="144" spans="1:15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4051</v>
      </c>
      <c r="H144" s="536">
        <f>G144+'19'!H144</f>
        <v>-41068.940000000024</v>
      </c>
      <c r="I144" s="556"/>
      <c r="J144" s="629">
        <f>H144/DAY(B2)</f>
        <v>-2053.447000000001</v>
      </c>
      <c r="K144" s="411"/>
      <c r="L144" s="408"/>
      <c r="N144" s="413"/>
      <c r="O144" s="413"/>
    </row>
    <row r="145" spans="1:15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0.2046062932471337</v>
      </c>
      <c r="H145" s="536">
        <f>G145+'19'!H145</f>
        <v>4.7624980161378279</v>
      </c>
      <c r="I145" s="621"/>
      <c r="J145" s="629">
        <f>H145/DAY(B2)</f>
        <v>0.23812490080689139</v>
      </c>
      <c r="K145" s="411"/>
      <c r="L145" s="408"/>
      <c r="N145" s="413"/>
      <c r="O145" s="413"/>
    </row>
    <row r="146" spans="1:15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4389</v>
      </c>
      <c r="H146" s="536">
        <f>G146+'19'!H146</f>
        <v>66659.38</v>
      </c>
      <c r="I146" s="622"/>
      <c r="J146" s="629">
        <f>H146/DAY(B2)</f>
        <v>3332.9690000000001</v>
      </c>
      <c r="K146" s="411"/>
      <c r="L146" s="408"/>
      <c r="N146" s="413"/>
      <c r="O146" s="413"/>
    </row>
    <row r="147" spans="1:15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0.22167786251830901</v>
      </c>
      <c r="H147" s="536">
        <f>G147+'19'!H147</f>
        <v>8.9525298034876482</v>
      </c>
      <c r="I147" s="622"/>
      <c r="J147" s="629">
        <f>H147/DAY(B2)</f>
        <v>0.44762649017438239</v>
      </c>
      <c r="N147" s="413"/>
      <c r="O147" s="413"/>
    </row>
    <row r="148" spans="1:15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1965</v>
      </c>
      <c r="H148" s="536">
        <f>G148+'19'!H148</f>
        <v>-16672.200000000019</v>
      </c>
      <c r="I148" s="556"/>
      <c r="J148" s="629">
        <f>H148/DAY(B2)</f>
        <v>-833.61000000000092</v>
      </c>
      <c r="K148" s="412"/>
      <c r="N148" s="413"/>
      <c r="O148" s="413"/>
    </row>
    <row r="149" spans="1:15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9.9247436739229256E-2</v>
      </c>
      <c r="H149" s="536">
        <f>G149+'19'!H149</f>
        <v>1.9838985247446215</v>
      </c>
      <c r="I149" s="622"/>
      <c r="J149" s="629">
        <f>H149/DAY(B2)</f>
        <v>9.9194926237231071E-2</v>
      </c>
      <c r="N149" s="413"/>
      <c r="O149" s="413"/>
    </row>
    <row r="150" spans="1:15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1781</v>
      </c>
      <c r="H150" s="536">
        <f>G150+'19'!H150</f>
        <v>-15755.600000000035</v>
      </c>
      <c r="I150" s="622"/>
      <c r="J150" s="629">
        <f>H150/DAY(B2)</f>
        <v>-787.78000000000179</v>
      </c>
      <c r="N150" s="413"/>
      <c r="O150" s="413"/>
    </row>
    <row r="151" spans="1:15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8.9954038082731447E-2</v>
      </c>
      <c r="H151" s="536">
        <f>G151+'19'!H151</f>
        <v>1.8534019505015906</v>
      </c>
      <c r="I151" s="556"/>
      <c r="J151" s="629">
        <f>H151/DAY(B2)</f>
        <v>9.2670097525079528E-2</v>
      </c>
      <c r="N151" s="413"/>
      <c r="O151" s="413"/>
    </row>
    <row r="152" spans="1:15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1511</v>
      </c>
      <c r="H152" s="536">
        <f>G152+'19'!H152</f>
        <v>23321.160000000003</v>
      </c>
      <c r="I152" s="556"/>
      <c r="J152" s="629">
        <f>H152/DAY(B2)</f>
        <v>1166.0580000000002</v>
      </c>
      <c r="L152" s="407" t="s">
        <v>278</v>
      </c>
      <c r="M152" s="407">
        <v>0.5</v>
      </c>
      <c r="N152" s="413">
        <v>50</v>
      </c>
      <c r="O152" s="413"/>
    </row>
    <row r="153" spans="1:15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7.6316985706348803E-2</v>
      </c>
      <c r="H153" s="536">
        <f>G153+'19'!H153</f>
        <v>3.1476737408122735</v>
      </c>
      <c r="I153" s="645"/>
      <c r="J153" s="646">
        <f>H153/DAY(B2)</f>
        <v>0.15738368704061367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7" t="s">
        <v>263</v>
      </c>
      <c r="B160" s="868"/>
      <c r="C160" s="868"/>
      <c r="D160" s="587" t="s">
        <v>187</v>
      </c>
      <c r="E160" s="739">
        <f>'19'!F160</f>
        <v>30030</v>
      </c>
      <c r="F160" s="739">
        <v>30114</v>
      </c>
      <c r="G160" s="549">
        <f t="shared" ref="G160:G163" si="15">F160-E160</f>
        <v>84</v>
      </c>
      <c r="K160" s="407">
        <v>70.399999999999636</v>
      </c>
      <c r="L160" s="407">
        <f t="shared" ref="L160:L171" si="16">G160-K160</f>
        <v>13.600000000000364</v>
      </c>
    </row>
    <row r="161" spans="1:12" ht="24.75" customHeight="1">
      <c r="A161" s="867" t="s">
        <v>264</v>
      </c>
      <c r="B161" s="868"/>
      <c r="C161" s="868"/>
      <c r="D161" s="587" t="s">
        <v>187</v>
      </c>
      <c r="E161" s="739">
        <f>'19'!F161</f>
        <v>51059</v>
      </c>
      <c r="F161" s="739">
        <v>51517</v>
      </c>
      <c r="G161" s="549">
        <f t="shared" si="15"/>
        <v>458</v>
      </c>
      <c r="K161" s="407">
        <v>124.25999999999999</v>
      </c>
      <c r="L161" s="407">
        <f t="shared" si="16"/>
        <v>333.74</v>
      </c>
    </row>
    <row r="162" spans="1:12" ht="24.75" customHeight="1">
      <c r="A162" s="867" t="s">
        <v>265</v>
      </c>
      <c r="B162" s="868"/>
      <c r="C162" s="868"/>
      <c r="D162" s="587" t="s">
        <v>187</v>
      </c>
      <c r="E162" s="739">
        <f>'19'!F162</f>
        <v>18054</v>
      </c>
      <c r="F162" s="739">
        <v>18292</v>
      </c>
      <c r="G162" s="549">
        <f t="shared" si="15"/>
        <v>238</v>
      </c>
      <c r="K162" s="407">
        <v>138.98000000000002</v>
      </c>
      <c r="L162" s="407">
        <f t="shared" si="16"/>
        <v>99.019999999999982</v>
      </c>
    </row>
    <row r="163" spans="1:12" ht="24.75" customHeight="1">
      <c r="A163" s="867" t="s">
        <v>266</v>
      </c>
      <c r="B163" s="868"/>
      <c r="C163" s="868"/>
      <c r="D163" s="587" t="s">
        <v>187</v>
      </c>
      <c r="E163" s="739">
        <f>'19'!F163</f>
        <v>5258</v>
      </c>
      <c r="F163" s="739">
        <v>5278</v>
      </c>
      <c r="G163" s="549">
        <f t="shared" si="15"/>
        <v>20</v>
      </c>
      <c r="K163" s="407">
        <v>45.830000000000041</v>
      </c>
      <c r="L163" s="407">
        <f t="shared" si="16"/>
        <v>-25.830000000000041</v>
      </c>
    </row>
    <row r="164" spans="1:12" ht="24.75" customHeight="1">
      <c r="A164" s="869" t="s">
        <v>98</v>
      </c>
      <c r="B164" s="681"/>
      <c r="C164" s="681"/>
      <c r="D164" s="587" t="s">
        <v>187</v>
      </c>
      <c r="E164" s="590">
        <f>E62</f>
        <v>20419.2</v>
      </c>
      <c r="F164" s="590">
        <f>F62</f>
        <v>20419.2</v>
      </c>
      <c r="G164" s="549">
        <f t="shared" ref="G164:G171" si="17">F164-E164</f>
        <v>0</v>
      </c>
      <c r="K164" s="407">
        <v>-0.18000000000029104</v>
      </c>
      <c r="L164" s="407">
        <f t="shared" si="16"/>
        <v>0.18000000000029104</v>
      </c>
    </row>
    <row r="165" spans="1:12" ht="24.75" customHeight="1">
      <c r="A165" s="869" t="s">
        <v>188</v>
      </c>
      <c r="B165" s="681"/>
      <c r="C165" s="681"/>
      <c r="D165" s="587" t="s">
        <v>187</v>
      </c>
      <c r="E165" s="590">
        <f t="shared" ref="E165:E171" si="18">E63</f>
        <v>1585</v>
      </c>
      <c r="F165" s="590">
        <f t="shared" ref="F165:F171" si="19">F63</f>
        <v>1597</v>
      </c>
      <c r="G165" s="549">
        <f t="shared" si="17"/>
        <v>12</v>
      </c>
      <c r="K165" s="407">
        <v>0</v>
      </c>
      <c r="L165" s="407">
        <f t="shared" si="16"/>
        <v>12</v>
      </c>
    </row>
    <row r="166" spans="1:12" ht="24.75" customHeight="1">
      <c r="A166" s="1482" t="s">
        <v>99</v>
      </c>
      <c r="B166" s="1482"/>
      <c r="C166" s="1482"/>
      <c r="D166" s="599" t="s">
        <v>187</v>
      </c>
      <c r="E166" s="590">
        <f t="shared" si="18"/>
        <v>119240</v>
      </c>
      <c r="F166" s="590">
        <f t="shared" si="19"/>
        <v>119640</v>
      </c>
      <c r="G166" s="549">
        <f t="shared" si="17"/>
        <v>400</v>
      </c>
      <c r="K166" s="407">
        <v>193.55000000000291</v>
      </c>
      <c r="L166" s="407">
        <f t="shared" si="16"/>
        <v>206.44999999999709</v>
      </c>
    </row>
    <row r="167" spans="1:12" ht="24.75" customHeight="1">
      <c r="A167" s="1482" t="s">
        <v>100</v>
      </c>
      <c r="B167" s="1482"/>
      <c r="C167" s="1482"/>
      <c r="D167" s="599" t="s">
        <v>187</v>
      </c>
      <c r="E167" s="590">
        <f t="shared" si="18"/>
        <v>129048</v>
      </c>
      <c r="F167" s="590">
        <f t="shared" si="19"/>
        <v>129452</v>
      </c>
      <c r="G167" s="549">
        <f t="shared" si="17"/>
        <v>404</v>
      </c>
      <c r="K167" s="407">
        <v>168.39999999999418</v>
      </c>
      <c r="L167" s="407">
        <f t="shared" si="16"/>
        <v>235.60000000000582</v>
      </c>
    </row>
    <row r="168" spans="1:12" ht="24.75" customHeight="1">
      <c r="A168" s="1482" t="s">
        <v>101</v>
      </c>
      <c r="B168" s="1482"/>
      <c r="C168" s="1482"/>
      <c r="D168" s="599" t="s">
        <v>187</v>
      </c>
      <c r="E168" s="590">
        <f t="shared" si="18"/>
        <v>21657</v>
      </c>
      <c r="F168" s="590">
        <f t="shared" si="19"/>
        <v>22068</v>
      </c>
      <c r="G168" s="549">
        <f t="shared" si="17"/>
        <v>411</v>
      </c>
      <c r="K168" s="407">
        <v>221.18999999999505</v>
      </c>
      <c r="L168" s="407">
        <f t="shared" si="16"/>
        <v>189.81000000000495</v>
      </c>
    </row>
    <row r="169" spans="1:12" ht="24.75" customHeight="1">
      <c r="A169" s="1482" t="s">
        <v>102</v>
      </c>
      <c r="B169" s="1482"/>
      <c r="C169" s="1482"/>
      <c r="D169" s="599" t="s">
        <v>187</v>
      </c>
      <c r="E169" s="590">
        <f t="shared" si="18"/>
        <v>201900</v>
      </c>
      <c r="F169" s="590">
        <f t="shared" si="19"/>
        <v>202595</v>
      </c>
      <c r="G169" s="549">
        <f t="shared" si="17"/>
        <v>695</v>
      </c>
      <c r="K169" s="407">
        <v>337.19000000000233</v>
      </c>
      <c r="L169" s="407">
        <f t="shared" si="16"/>
        <v>357.80999999999767</v>
      </c>
    </row>
    <row r="170" spans="1:12" ht="24.75" customHeight="1">
      <c r="A170" s="1482" t="s">
        <v>103</v>
      </c>
      <c r="B170" s="1482"/>
      <c r="C170" s="1482"/>
      <c r="D170" s="599" t="s">
        <v>187</v>
      </c>
      <c r="E170" s="590">
        <f t="shared" si="18"/>
        <v>69825</v>
      </c>
      <c r="F170" s="590">
        <f t="shared" si="19"/>
        <v>71175</v>
      </c>
      <c r="G170" s="549">
        <f t="shared" si="17"/>
        <v>1350</v>
      </c>
      <c r="K170" s="407">
        <v>115.09000000000015</v>
      </c>
      <c r="L170" s="407">
        <f t="shared" si="16"/>
        <v>1234.9099999999999</v>
      </c>
    </row>
    <row r="171" spans="1:12" ht="24.75" customHeight="1">
      <c r="A171" s="1482" t="s">
        <v>104</v>
      </c>
      <c r="B171" s="1482"/>
      <c r="C171" s="1482"/>
      <c r="D171" s="599" t="s">
        <v>187</v>
      </c>
      <c r="E171" s="590">
        <f t="shared" si="18"/>
        <v>61500</v>
      </c>
      <c r="F171" s="590">
        <f t="shared" si="19"/>
        <v>61818</v>
      </c>
      <c r="G171" s="549">
        <f t="shared" si="17"/>
        <v>318</v>
      </c>
      <c r="K171" s="407">
        <v>11.799999999999272</v>
      </c>
      <c r="L171" s="407">
        <f t="shared" si="16"/>
        <v>306.20000000000073</v>
      </c>
    </row>
    <row r="172" spans="1:12" ht="24.75" customHeight="1">
      <c r="G172" s="614">
        <f>SUM(G160:G171)</f>
        <v>4390</v>
      </c>
      <c r="L172" s="407">
        <f>SUM(L160:L171)</f>
        <v>2963.4900000000066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269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29" zoomScale="55" zoomScaleNormal="60" zoomScaleSheetLayoutView="55" zoomScalePageLayoutView="20" workbookViewId="0">
      <selection activeCell="H47" sqref="H47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5" t="s">
        <v>215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292</v>
      </c>
      <c r="B2" s="1117">
        <v>44248</v>
      </c>
      <c r="C2" s="1231" t="s">
        <v>69</v>
      </c>
      <c r="D2" s="688">
        <v>0.48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1" t="s">
        <v>120</v>
      </c>
      <c r="D3" s="689">
        <v>28</v>
      </c>
      <c r="E3" s="1454" t="s">
        <v>121</v>
      </c>
      <c r="F3" s="1455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1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131</v>
      </c>
      <c r="B7" s="656"/>
      <c r="C7" s="656"/>
      <c r="D7" s="599" t="s">
        <v>132</v>
      </c>
      <c r="E7" s="531">
        <f>'20'!F7</f>
        <v>4277317</v>
      </c>
      <c r="F7" s="531">
        <v>4297423</v>
      </c>
      <c r="G7" s="549">
        <f>F7-E7</f>
        <v>20106</v>
      </c>
      <c r="H7" s="536">
        <f>G7+'20'!H7</f>
        <v>-147654</v>
      </c>
      <c r="I7" s="550">
        <f>'1'!I7</f>
        <v>12000</v>
      </c>
      <c r="J7" s="629">
        <f>H7/DAY(B2)</f>
        <v>-7031.1428571428569</v>
      </c>
      <c r="K7" s="626">
        <v>12199</v>
      </c>
      <c r="L7" s="408">
        <f>G7-K7</f>
        <v>7907</v>
      </c>
      <c r="N7" s="413"/>
      <c r="O7" s="413"/>
    </row>
    <row r="8" spans="1:15" ht="27.75" thickBot="1">
      <c r="A8" s="657" t="s">
        <v>133</v>
      </c>
      <c r="B8" s="658"/>
      <c r="C8" s="659"/>
      <c r="D8" s="694" t="s">
        <v>25</v>
      </c>
      <c r="E8" s="551">
        <f>'20'!F8</f>
        <v>4304527</v>
      </c>
      <c r="F8" s="551">
        <v>4324721</v>
      </c>
      <c r="G8" s="552">
        <f>F8-E8</f>
        <v>20194</v>
      </c>
      <c r="H8" s="536">
        <f>G8+'20'!H8</f>
        <v>-148435</v>
      </c>
      <c r="I8" s="553">
        <f>'1'!I8</f>
        <v>12000</v>
      </c>
      <c r="J8" s="629">
        <f>H8/DAY(B2)</f>
        <v>-7068.333333333333</v>
      </c>
      <c r="K8" s="626">
        <v>12262</v>
      </c>
      <c r="L8" s="464">
        <f>G8-K8</f>
        <v>7932</v>
      </c>
      <c r="M8" s="479"/>
      <c r="N8" s="413"/>
      <c r="O8" s="413"/>
    </row>
    <row r="9" spans="1:15">
      <c r="A9" s="660" t="s">
        <v>134</v>
      </c>
      <c r="B9" s="661"/>
      <c r="C9" s="661"/>
      <c r="D9" s="599" t="s">
        <v>132</v>
      </c>
      <c r="E9" s="554">
        <f>'20'!F9</f>
        <v>174827</v>
      </c>
      <c r="F9" s="554">
        <v>188776</v>
      </c>
      <c r="G9" s="549">
        <f t="shared" ref="G9:G12" si="0">F9-E9</f>
        <v>13949</v>
      </c>
      <c r="H9" s="536">
        <f>G9+'20'!H9</f>
        <v>101866.99</v>
      </c>
      <c r="I9" s="555">
        <f>I8-J8</f>
        <v>19068.333333333332</v>
      </c>
      <c r="J9" s="629">
        <f>H9/DAY(B2)</f>
        <v>4850.8090476190482</v>
      </c>
      <c r="K9" s="467"/>
      <c r="L9" s="408"/>
      <c r="N9" s="413"/>
      <c r="O9" s="413"/>
    </row>
    <row r="10" spans="1:15">
      <c r="A10" s="655" t="s">
        <v>135</v>
      </c>
      <c r="B10" s="656"/>
      <c r="C10" s="656"/>
      <c r="D10" s="599" t="s">
        <v>132</v>
      </c>
      <c r="E10" s="554">
        <f>'20'!F10</f>
        <v>1364305</v>
      </c>
      <c r="F10" s="554">
        <v>1369984</v>
      </c>
      <c r="G10" s="549">
        <f t="shared" si="0"/>
        <v>5679</v>
      </c>
      <c r="H10" s="536">
        <f>G10+'20'!H10</f>
        <v>1344288.44</v>
      </c>
      <c r="I10" s="556"/>
      <c r="J10" s="629">
        <f>H10/DAY(B2)</f>
        <v>64013.735238095236</v>
      </c>
      <c r="K10" s="467"/>
      <c r="L10" s="408"/>
      <c r="N10" s="413"/>
      <c r="O10" s="413"/>
    </row>
    <row r="11" spans="1:15">
      <c r="A11" s="655" t="s">
        <v>136</v>
      </c>
      <c r="B11" s="656"/>
      <c r="C11" s="656"/>
      <c r="D11" s="599" t="s">
        <v>132</v>
      </c>
      <c r="E11" s="531">
        <f>'20'!F11</f>
        <v>37000</v>
      </c>
      <c r="F11" s="531">
        <v>37000</v>
      </c>
      <c r="G11" s="549">
        <f t="shared" si="0"/>
        <v>0</v>
      </c>
      <c r="H11" s="536">
        <f>G11+'20'!H11</f>
        <v>-2000</v>
      </c>
      <c r="I11" s="556"/>
      <c r="J11" s="629">
        <f>H11/DAY(B2)</f>
        <v>-95.238095238095241</v>
      </c>
      <c r="K11" s="467"/>
      <c r="L11" s="408"/>
      <c r="N11" s="413"/>
      <c r="O11" s="413"/>
    </row>
    <row r="12" spans="1:15">
      <c r="A12" s="655" t="s">
        <v>137</v>
      </c>
      <c r="B12" s="656"/>
      <c r="C12" s="656"/>
      <c r="D12" s="599" t="s">
        <v>132</v>
      </c>
      <c r="E12" s="554">
        <f>'20'!F12</f>
        <v>40010</v>
      </c>
      <c r="F12" s="554">
        <v>40010</v>
      </c>
      <c r="G12" s="549">
        <f t="shared" si="0"/>
        <v>0</v>
      </c>
      <c r="H12" s="536">
        <f>G12+'20'!H12</f>
        <v>-2000</v>
      </c>
      <c r="I12" s="556"/>
      <c r="J12" s="629">
        <f>H12/DAY(B2)</f>
        <v>-95.238095238095241</v>
      </c>
      <c r="K12" s="467"/>
      <c r="L12" s="408"/>
      <c r="N12" s="413"/>
      <c r="O12" s="413"/>
    </row>
    <row r="13" spans="1:15">
      <c r="A13" s="662" t="s">
        <v>138</v>
      </c>
      <c r="B13" s="663"/>
      <c r="C13" s="663"/>
      <c r="D13" s="599"/>
      <c r="E13" s="531"/>
      <c r="F13" s="531"/>
      <c r="G13" s="557">
        <f>G9+G10+G11+G12</f>
        <v>19628</v>
      </c>
      <c r="H13" s="536">
        <f>G13+'20'!H13</f>
        <v>1421161.43</v>
      </c>
      <c r="I13" s="558">
        <f>G7-G13</f>
        <v>478</v>
      </c>
      <c r="J13" s="629">
        <f>H13/DAY(B2)</f>
        <v>67674.353809523804</v>
      </c>
      <c r="K13" s="467"/>
      <c r="L13" s="408"/>
      <c r="N13" s="413"/>
      <c r="O13" s="413"/>
    </row>
    <row r="14" spans="1:15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29" t="s">
        <v>140</v>
      </c>
      <c r="B15" s="666"/>
      <c r="C15" s="666"/>
      <c r="D15" s="599" t="s">
        <v>141</v>
      </c>
      <c r="E15" s="560">
        <f>'20'!F15</f>
        <v>1612521</v>
      </c>
      <c r="F15" s="560">
        <v>1613461</v>
      </c>
      <c r="G15" s="862">
        <f>(F15-E15)</f>
        <v>940</v>
      </c>
      <c r="H15" s="536">
        <f>G15+'20'!H15</f>
        <v>-6417.6100000001024</v>
      </c>
      <c r="I15" s="550">
        <v>800</v>
      </c>
      <c r="J15" s="629">
        <f>H15/DAY(B2)</f>
        <v>-305.60047619048106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1105.600476190481</v>
      </c>
      <c r="J16" s="630"/>
      <c r="K16" s="467"/>
      <c r="L16" s="408"/>
      <c r="N16" s="413"/>
      <c r="O16" s="413"/>
    </row>
    <row r="17" spans="1:15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33" t="s">
        <v>143</v>
      </c>
      <c r="B18" s="1434"/>
      <c r="C18" s="1435"/>
      <c r="D18" s="599" t="s">
        <v>144</v>
      </c>
      <c r="E18" s="560">
        <f>'20'!F18</f>
        <v>14</v>
      </c>
      <c r="F18" s="560">
        <v>18</v>
      </c>
      <c r="G18" s="557">
        <f>F18*10</f>
        <v>180</v>
      </c>
      <c r="H18" s="536">
        <f>G18+'20'!H18</f>
        <v>3310</v>
      </c>
      <c r="I18" s="550">
        <f>'1'!I18</f>
        <v>65</v>
      </c>
      <c r="J18" s="629">
        <f>H18/DAY(B2)</f>
        <v>157.61904761904762</v>
      </c>
      <c r="K18" s="467"/>
      <c r="L18" s="408"/>
      <c r="N18" s="413"/>
      <c r="O18" s="413"/>
    </row>
    <row r="19" spans="1:15" ht="27.75">
      <c r="A19" s="1433" t="s">
        <v>71</v>
      </c>
      <c r="B19" s="1434"/>
      <c r="C19" s="1435"/>
      <c r="D19" s="599" t="s">
        <v>144</v>
      </c>
      <c r="E19" s="560">
        <f>'20'!F19</f>
        <v>134054</v>
      </c>
      <c r="F19" s="560">
        <v>134105</v>
      </c>
      <c r="G19" s="549">
        <f t="shared" ref="G19" si="1">F19-E19</f>
        <v>51</v>
      </c>
      <c r="H19" s="536">
        <f>G19+'20'!H19</f>
        <v>-363</v>
      </c>
      <c r="I19" s="565"/>
      <c r="J19" s="629">
        <f>H19/DAY(B2)</f>
        <v>-17.285714285714285</v>
      </c>
      <c r="K19" s="467"/>
      <c r="L19" s="408"/>
      <c r="N19" s="413"/>
      <c r="O19" s="413"/>
    </row>
    <row r="20" spans="1:15">
      <c r="A20" s="662" t="s">
        <v>145</v>
      </c>
      <c r="B20" s="663"/>
      <c r="C20" s="663"/>
      <c r="D20" s="566"/>
      <c r="E20" s="566"/>
      <c r="F20" s="566"/>
      <c r="G20" s="567">
        <f>G18+G19</f>
        <v>231</v>
      </c>
      <c r="H20" s="536">
        <f>G20+'20'!H20</f>
        <v>2947</v>
      </c>
      <c r="I20" s="568">
        <f>I18-J20</f>
        <v>-75.333333333333343</v>
      </c>
      <c r="J20" s="629">
        <f>H20/DAY(B2)</f>
        <v>140.33333333333334</v>
      </c>
      <c r="K20" s="467"/>
      <c r="L20" s="408"/>
      <c r="N20" s="413"/>
      <c r="O20" s="413"/>
    </row>
    <row r="21" spans="1:15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29" t="s">
        <v>147</v>
      </c>
      <c r="B22" s="666"/>
      <c r="C22" s="666"/>
      <c r="D22" s="599" t="s">
        <v>148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29" t="s">
        <v>149</v>
      </c>
      <c r="B23" s="666"/>
      <c r="C23" s="666"/>
      <c r="D23" s="599" t="s">
        <v>148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150</v>
      </c>
      <c r="B24" s="668"/>
      <c r="C24" s="668"/>
      <c r="D24" s="587" t="s">
        <v>148</v>
      </c>
      <c r="E24" s="569">
        <f>'20'!F24</f>
        <v>4250</v>
      </c>
      <c r="F24" s="569">
        <v>4250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20194</v>
      </c>
      <c r="F27" s="577">
        <v>9</v>
      </c>
      <c r="G27" s="578">
        <f>E27*F27</f>
        <v>181746</v>
      </c>
      <c r="H27" s="536">
        <f>G27+'20'!H27</f>
        <v>-1335915</v>
      </c>
      <c r="I27" s="579"/>
      <c r="J27" s="629">
        <f>H27/DAY(B2)</f>
        <v>-63615</v>
      </c>
      <c r="K27" s="404"/>
      <c r="L27" s="484"/>
      <c r="N27" s="493"/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77">
        <f>G15</f>
        <v>940</v>
      </c>
      <c r="F28" s="577">
        <v>43.5</v>
      </c>
      <c r="G28" s="578">
        <f t="shared" ref="G28:G30" si="3">E28*F28</f>
        <v>40890</v>
      </c>
      <c r="H28" s="536">
        <f>G28+'20'!H28</f>
        <v>-259860.49680000497</v>
      </c>
      <c r="I28" s="581"/>
      <c r="J28" s="629">
        <f>H28/DAY(B2)</f>
        <v>-12374.309371428808</v>
      </c>
      <c r="K28" s="404"/>
      <c r="L28" s="484"/>
      <c r="N28" s="493"/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 t="shared" si="3"/>
        <v>6834</v>
      </c>
      <c r="H30" s="536">
        <f>G30+'20'!H30</f>
        <v>-30954</v>
      </c>
      <c r="I30" s="581"/>
      <c r="J30" s="629">
        <f>H30/DAY(B2)</f>
        <v>-1474</v>
      </c>
      <c r="K30" s="404"/>
      <c r="L30" s="484"/>
      <c r="N30" s="493"/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77">
        <f>G18</f>
        <v>180</v>
      </c>
      <c r="F31" s="577">
        <v>80</v>
      </c>
      <c r="G31" s="578">
        <f>E31*F31</f>
        <v>14400</v>
      </c>
      <c r="H31" s="536">
        <f>G31+'20'!H31</f>
        <v>254240</v>
      </c>
      <c r="I31" s="581"/>
      <c r="J31" s="629">
        <f>H31/DAY(B2)</f>
        <v>12106.666666666666</v>
      </c>
      <c r="K31" s="404"/>
      <c r="L31" s="484"/>
      <c r="N31" s="493"/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243870</v>
      </c>
      <c r="H32" s="536">
        <f>G32+'20'!H32</f>
        <v>-1372489.496800005</v>
      </c>
      <c r="I32" s="585"/>
      <c r="J32" s="629">
        <f>H32/DAY(B2)</f>
        <v>-65356.64270476214</v>
      </c>
      <c r="K32" s="404"/>
      <c r="L32" s="484"/>
      <c r="N32" s="493"/>
      <c r="O32" s="413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  <c r="O33" s="413"/>
    </row>
    <row r="34" spans="1:15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164</v>
      </c>
      <c r="B35" s="656"/>
      <c r="C35" s="656"/>
      <c r="D35" s="599" t="s">
        <v>132</v>
      </c>
      <c r="E35" s="586">
        <f>'20'!F35</f>
        <v>668311</v>
      </c>
      <c r="F35" s="586">
        <v>671346</v>
      </c>
      <c r="G35" s="549">
        <f t="shared" ref="G35:G46" si="4">F35-E35</f>
        <v>3035</v>
      </c>
      <c r="H35" s="536">
        <f>G35+'20'!H35</f>
        <v>-21741.589999999967</v>
      </c>
      <c r="I35" s="531"/>
      <c r="J35" s="629">
        <f>H35/DAY(B2)</f>
        <v>-1035.313809523808</v>
      </c>
      <c r="K35" s="467">
        <v>1520.2800000000279</v>
      </c>
      <c r="L35" s="408">
        <f t="shared" ref="L35:L60" si="5">G35-K35</f>
        <v>1514.7199999999721</v>
      </c>
      <c r="N35" s="413"/>
      <c r="O35" s="705"/>
    </row>
    <row r="36" spans="1:15">
      <c r="A36" s="655" t="s">
        <v>165</v>
      </c>
      <c r="B36" s="656"/>
      <c r="C36" s="656"/>
      <c r="D36" s="599" t="s">
        <v>132</v>
      </c>
      <c r="E36" s="586">
        <f>'20'!F36</f>
        <v>290399</v>
      </c>
      <c r="F36" s="586">
        <v>291175</v>
      </c>
      <c r="G36" s="549">
        <f t="shared" si="4"/>
        <v>776</v>
      </c>
      <c r="H36" s="536">
        <f>G36+'20'!H36</f>
        <v>-5270.570000000007</v>
      </c>
      <c r="I36" s="531"/>
      <c r="J36" s="629">
        <f>H36/DAY(B2)</f>
        <v>-250.97952380952415</v>
      </c>
      <c r="K36" s="467">
        <v>485.22000000000116</v>
      </c>
      <c r="L36" s="408">
        <f t="shared" si="5"/>
        <v>290.77999999999884</v>
      </c>
      <c r="N36" s="413"/>
      <c r="O36" s="705"/>
    </row>
    <row r="37" spans="1:15">
      <c r="A37" s="655" t="s">
        <v>166</v>
      </c>
      <c r="B37" s="656"/>
      <c r="C37" s="656"/>
      <c r="D37" s="599" t="s">
        <v>132</v>
      </c>
      <c r="E37" s="586">
        <f>'20'!F37</f>
        <v>20216</v>
      </c>
      <c r="F37" s="586">
        <v>21738</v>
      </c>
      <c r="G37" s="549">
        <f t="shared" si="4"/>
        <v>1522</v>
      </c>
      <c r="H37" s="536">
        <f>G37+'20'!H37</f>
        <v>24843.08</v>
      </c>
      <c r="I37" s="531"/>
      <c r="J37" s="629">
        <f>H37/DAY(B2)</f>
        <v>1183.0038095238097</v>
      </c>
      <c r="K37" s="467">
        <v>1194.8999999999942</v>
      </c>
      <c r="L37" s="408">
        <f t="shared" si="5"/>
        <v>327.10000000000582</v>
      </c>
      <c r="N37" s="413"/>
      <c r="O37" s="413"/>
    </row>
    <row r="38" spans="1:15">
      <c r="A38" s="655" t="s">
        <v>167</v>
      </c>
      <c r="B38" s="656"/>
      <c r="C38" s="656"/>
      <c r="D38" s="599" t="s">
        <v>132</v>
      </c>
      <c r="E38" s="545">
        <f>'20'!F38</f>
        <v>27141</v>
      </c>
      <c r="F38" s="545">
        <v>29167</v>
      </c>
      <c r="G38" s="549">
        <f t="shared" si="4"/>
        <v>2026</v>
      </c>
      <c r="H38" s="536">
        <f>G38+'20'!H38</f>
        <v>-14646.489999999998</v>
      </c>
      <c r="I38" s="531"/>
      <c r="J38" s="629">
        <f>H38/DAY(B2)</f>
        <v>-697.45190476190464</v>
      </c>
      <c r="K38" s="467">
        <v>0</v>
      </c>
      <c r="L38" s="408">
        <f t="shared" si="5"/>
        <v>2026</v>
      </c>
      <c r="N38" s="413"/>
      <c r="O38" s="413"/>
    </row>
    <row r="39" spans="1:15">
      <c r="A39" s="655" t="s">
        <v>168</v>
      </c>
      <c r="B39" s="656"/>
      <c r="C39" s="656"/>
      <c r="D39" s="599" t="s">
        <v>132</v>
      </c>
      <c r="E39" s="586">
        <f>'20'!F39</f>
        <v>57266</v>
      </c>
      <c r="F39" s="586">
        <v>61480</v>
      </c>
      <c r="G39" s="549">
        <f t="shared" si="4"/>
        <v>4214</v>
      </c>
      <c r="H39" s="536">
        <f>G39+'20'!H39</f>
        <v>70872.889999999985</v>
      </c>
      <c r="I39" s="531"/>
      <c r="J39" s="629">
        <f>H39/DAY(B2)</f>
        <v>3374.8995238095231</v>
      </c>
      <c r="K39" s="467">
        <v>2147.359999999986</v>
      </c>
      <c r="L39" s="408">
        <f t="shared" si="5"/>
        <v>2066.640000000014</v>
      </c>
      <c r="N39" s="413"/>
      <c r="O39" s="413"/>
    </row>
    <row r="40" spans="1:15">
      <c r="A40" s="676" t="s">
        <v>169</v>
      </c>
      <c r="B40" s="677"/>
      <c r="C40" s="677"/>
      <c r="D40" s="599" t="s">
        <v>132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-0.06</v>
      </c>
      <c r="I40" s="531"/>
      <c r="J40" s="629">
        <f>H40/DAY(B2)</f>
        <v>-2.8571428571428571E-3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170</v>
      </c>
      <c r="B41" s="656"/>
      <c r="C41" s="656"/>
      <c r="D41" s="599" t="s">
        <v>132</v>
      </c>
      <c r="E41" s="586">
        <f>'20'!F41</f>
        <v>63882</v>
      </c>
      <c r="F41" s="586">
        <v>63882</v>
      </c>
      <c r="G41" s="549">
        <f t="shared" si="4"/>
        <v>0</v>
      </c>
      <c r="H41" s="536">
        <f>G41+'20'!H41</f>
        <v>-0.37000000000261934</v>
      </c>
      <c r="I41" s="531"/>
      <c r="J41" s="629">
        <f>H41/DAY(B2)</f>
        <v>-1.7619047619172351E-2</v>
      </c>
      <c r="K41" s="467">
        <v>0</v>
      </c>
      <c r="L41" s="408">
        <f t="shared" si="5"/>
        <v>0</v>
      </c>
      <c r="N41" s="413"/>
      <c r="O41" s="803"/>
    </row>
    <row r="42" spans="1:15">
      <c r="A42" s="655" t="s">
        <v>171</v>
      </c>
      <c r="B42" s="656"/>
      <c r="C42" s="656"/>
      <c r="D42" s="599" t="s">
        <v>132</v>
      </c>
      <c r="E42" s="586">
        <f>'20'!F42</f>
        <v>59129</v>
      </c>
      <c r="F42" s="586">
        <v>59129</v>
      </c>
      <c r="G42" s="549">
        <f t="shared" si="4"/>
        <v>0</v>
      </c>
      <c r="H42" s="536">
        <f>G42+'20'!H42</f>
        <v>0.15000000000145519</v>
      </c>
      <c r="I42" s="531"/>
      <c r="J42" s="629">
        <f>H42/DAY(B2)</f>
        <v>7.1428571429264379E-3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172</v>
      </c>
      <c r="B43" s="656"/>
      <c r="C43" s="656"/>
      <c r="D43" s="599" t="s">
        <v>132</v>
      </c>
      <c r="E43" s="586">
        <f>'20'!F43</f>
        <v>807137</v>
      </c>
      <c r="F43" s="586">
        <v>809491</v>
      </c>
      <c r="G43" s="549">
        <f t="shared" si="4"/>
        <v>2354</v>
      </c>
      <c r="H43" s="536">
        <f>G43+'20'!H43</f>
        <v>-16406.829999999958</v>
      </c>
      <c r="I43" s="531"/>
      <c r="J43" s="629">
        <f>H43/DAY(B2)</f>
        <v>-781.27761904761701</v>
      </c>
      <c r="K43" s="467">
        <v>1595.679999999993</v>
      </c>
      <c r="L43" s="408">
        <f t="shared" si="5"/>
        <v>758.32000000000698</v>
      </c>
      <c r="N43" s="413"/>
      <c r="O43" s="413"/>
    </row>
    <row r="44" spans="1:15">
      <c r="A44" s="655" t="s">
        <v>173</v>
      </c>
      <c r="B44" s="656"/>
      <c r="C44" s="656"/>
      <c r="D44" s="599" t="s">
        <v>132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174</v>
      </c>
      <c r="B45" s="656"/>
      <c r="C45" s="656"/>
      <c r="D45" s="599" t="s">
        <v>132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0</v>
      </c>
      <c r="I45" s="531"/>
      <c r="J45" s="629">
        <f>H45/DAY(B2)</f>
        <v>0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175</v>
      </c>
      <c r="B46" s="656"/>
      <c r="C46" s="656"/>
      <c r="D46" s="599" t="s">
        <v>132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0.43999999999999773</v>
      </c>
      <c r="I46" s="531"/>
      <c r="J46" s="629">
        <f>H46/DAY(B2)</f>
        <v>2.0952380952380844E-2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13927</v>
      </c>
      <c r="H47" s="536">
        <f>G47+'20'!H47</f>
        <v>37650.650000000038</v>
      </c>
      <c r="I47" s="531"/>
      <c r="J47" s="629">
        <f>H47/DAY(B2)</f>
        <v>1792.8880952380971</v>
      </c>
      <c r="K47" s="467">
        <v>10172.060000000001</v>
      </c>
      <c r="L47" s="408">
        <f t="shared" si="5"/>
        <v>3754.9399999999987</v>
      </c>
      <c r="N47" s="413"/>
      <c r="O47" s="413"/>
    </row>
    <row r="48" spans="1:15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164</v>
      </c>
      <c r="B49" s="678"/>
      <c r="C49" s="678"/>
      <c r="D49" s="599" t="s">
        <v>132</v>
      </c>
      <c r="E49" s="586">
        <f>'20'!F49</f>
        <v>260732</v>
      </c>
      <c r="F49" s="586">
        <v>260732</v>
      </c>
      <c r="G49" s="549">
        <f t="shared" ref="G49:G58" si="6">F49-E49</f>
        <v>0</v>
      </c>
      <c r="H49" s="536">
        <f>G49+'20'!H49</f>
        <v>-0.13000000000465661</v>
      </c>
      <c r="I49" s="531"/>
      <c r="J49" s="629">
        <f>H49/DAY(B2)</f>
        <v>-6.1904761906979343E-3</v>
      </c>
      <c r="K49" s="467">
        <v>0</v>
      </c>
      <c r="L49" s="408">
        <f t="shared" si="5"/>
        <v>0</v>
      </c>
      <c r="N49" s="413"/>
      <c r="O49" s="413"/>
    </row>
    <row r="50" spans="1:15">
      <c r="A50" s="655" t="s">
        <v>178</v>
      </c>
      <c r="B50" s="678"/>
      <c r="C50" s="678"/>
      <c r="D50" s="599" t="s">
        <v>132</v>
      </c>
      <c r="E50" s="586">
        <f>'20'!F50</f>
        <v>392754</v>
      </c>
      <c r="F50" s="586">
        <v>393865</v>
      </c>
      <c r="G50" s="549">
        <f>F50-E50</f>
        <v>1111</v>
      </c>
      <c r="H50" s="536">
        <f>G50+'20'!H50</f>
        <v>-9792.0300000000279</v>
      </c>
      <c r="I50" s="531"/>
      <c r="J50" s="629">
        <f>H50/DAY(B2)</f>
        <v>-466.2871428571442</v>
      </c>
      <c r="K50" s="467">
        <v>700.86999999999534</v>
      </c>
      <c r="L50" s="408">
        <f t="shared" si="5"/>
        <v>410.13000000000466</v>
      </c>
      <c r="N50" s="413"/>
      <c r="O50" s="413"/>
    </row>
    <row r="51" spans="1:15">
      <c r="A51" s="655" t="s">
        <v>166</v>
      </c>
      <c r="B51" s="678"/>
      <c r="C51" s="678"/>
      <c r="D51" s="599" t="s">
        <v>132</v>
      </c>
      <c r="E51" s="586">
        <f>'20'!F51</f>
        <v>120051</v>
      </c>
      <c r="F51" s="586">
        <v>120051</v>
      </c>
      <c r="G51" s="549">
        <f t="shared" si="6"/>
        <v>0</v>
      </c>
      <c r="H51" s="536">
        <f>G51+'20'!H51</f>
        <v>-1548.9199999999983</v>
      </c>
      <c r="I51" s="531"/>
      <c r="J51" s="629">
        <f>H51/DAY(B2)</f>
        <v>-73.758095238095152</v>
      </c>
      <c r="K51" s="467">
        <v>0</v>
      </c>
      <c r="L51" s="408">
        <f t="shared" si="5"/>
        <v>0</v>
      </c>
      <c r="N51" s="413"/>
      <c r="O51" s="413"/>
    </row>
    <row r="52" spans="1:15">
      <c r="A52" s="655" t="s">
        <v>179</v>
      </c>
      <c r="B52" s="678"/>
      <c r="C52" s="678"/>
      <c r="D52" s="599" t="s">
        <v>132</v>
      </c>
      <c r="E52" s="586">
        <f>'20'!F52</f>
        <v>507913</v>
      </c>
      <c r="F52" s="586">
        <v>507913</v>
      </c>
      <c r="G52" s="549">
        <f t="shared" si="6"/>
        <v>0</v>
      </c>
      <c r="H52" s="536">
        <f>G52+'20'!H52</f>
        <v>-2045.710000000021</v>
      </c>
      <c r="I52" s="531"/>
      <c r="J52" s="629">
        <f>H52/DAY(B2)</f>
        <v>-97.414761904762898</v>
      </c>
      <c r="K52" s="467">
        <v>985.97999999998137</v>
      </c>
      <c r="L52" s="408">
        <f t="shared" si="5"/>
        <v>-985.97999999998137</v>
      </c>
      <c r="N52" s="413"/>
      <c r="O52" s="803"/>
    </row>
    <row r="53" spans="1:15">
      <c r="A53" s="655" t="s">
        <v>168</v>
      </c>
      <c r="B53" s="678"/>
      <c r="C53" s="678"/>
      <c r="D53" s="599" t="s">
        <v>132</v>
      </c>
      <c r="E53" s="586">
        <f>'20'!F53</f>
        <v>331855</v>
      </c>
      <c r="F53" s="586">
        <v>331855</v>
      </c>
      <c r="G53" s="549">
        <f t="shared" si="6"/>
        <v>0</v>
      </c>
      <c r="H53" s="536">
        <f>G53+'20'!H53</f>
        <v>-4184.5100000000093</v>
      </c>
      <c r="I53" s="531"/>
      <c r="J53" s="629">
        <f>H53/DAY(B2)</f>
        <v>-199.26238095238139</v>
      </c>
      <c r="K53" s="467">
        <v>107.60000000000036</v>
      </c>
      <c r="L53" s="408">
        <f t="shared" si="5"/>
        <v>-107.60000000000036</v>
      </c>
      <c r="N53" s="413"/>
      <c r="O53" s="413"/>
    </row>
    <row r="54" spans="1:15">
      <c r="A54" s="655" t="s">
        <v>180</v>
      </c>
      <c r="B54" s="678"/>
      <c r="C54" s="678"/>
      <c r="D54" s="599" t="s">
        <v>132</v>
      </c>
      <c r="E54" s="586">
        <f>'20'!F54</f>
        <v>7538</v>
      </c>
      <c r="F54" s="586">
        <v>7607</v>
      </c>
      <c r="G54" s="549">
        <f t="shared" si="6"/>
        <v>69</v>
      </c>
      <c r="H54" s="536">
        <f>G54+'20'!H54</f>
        <v>-488.63000000000011</v>
      </c>
      <c r="I54" s="531"/>
      <c r="J54" s="629">
        <f>H54/DAY(B2)</f>
        <v>-23.268095238095242</v>
      </c>
      <c r="K54" s="467">
        <v>0</v>
      </c>
      <c r="L54" s="408">
        <f t="shared" si="5"/>
        <v>69</v>
      </c>
      <c r="N54" s="413"/>
      <c r="O54" s="413"/>
    </row>
    <row r="55" spans="1:15">
      <c r="A55" s="655" t="s">
        <v>181</v>
      </c>
      <c r="B55" s="678"/>
      <c r="C55" s="678"/>
      <c r="D55" s="599" t="s">
        <v>132</v>
      </c>
      <c r="E55" s="586">
        <f>'20'!F55</f>
        <v>94270</v>
      </c>
      <c r="F55" s="586">
        <v>94270</v>
      </c>
      <c r="G55" s="549">
        <f t="shared" si="6"/>
        <v>0</v>
      </c>
      <c r="H55" s="536">
        <f>G55+'20'!H55</f>
        <v>-28314.690000000002</v>
      </c>
      <c r="I55" s="531"/>
      <c r="J55" s="629">
        <f>H55/DAY(B2)</f>
        <v>-1348.3185714285714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182</v>
      </c>
      <c r="B56" s="678"/>
      <c r="C56" s="678"/>
      <c r="D56" s="599" t="s">
        <v>183</v>
      </c>
      <c r="E56" s="586">
        <f>'20'!F56</f>
        <v>568298</v>
      </c>
      <c r="F56" s="586">
        <v>572652</v>
      </c>
      <c r="G56" s="549">
        <f t="shared" si="6"/>
        <v>4354</v>
      </c>
      <c r="H56" s="536">
        <f>G56+'20'!H56</f>
        <v>-13399.030000000028</v>
      </c>
      <c r="I56" s="531"/>
      <c r="J56" s="629">
        <f>H56/DAY(B2)</f>
        <v>-638.04904761904891</v>
      </c>
      <c r="K56" s="466">
        <v>0</v>
      </c>
      <c r="L56" s="408">
        <f t="shared" si="5"/>
        <v>4354</v>
      </c>
      <c r="N56" s="413"/>
      <c r="O56" s="413"/>
    </row>
    <row r="57" spans="1:15">
      <c r="A57" s="655" t="s">
        <v>172</v>
      </c>
      <c r="B57" s="678"/>
      <c r="C57" s="678"/>
      <c r="D57" s="599" t="s">
        <v>132</v>
      </c>
      <c r="E57" s="586">
        <f>'20'!F57</f>
        <v>7711</v>
      </c>
      <c r="F57" s="586">
        <v>7711</v>
      </c>
      <c r="G57" s="549">
        <f t="shared" si="6"/>
        <v>0</v>
      </c>
      <c r="H57" s="536">
        <f>G57+'20'!H57</f>
        <v>-0.32999999999992724</v>
      </c>
      <c r="I57" s="531"/>
      <c r="J57" s="629">
        <f>H57/DAY(B2)</f>
        <v>-1.5714285714282249E-2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184</v>
      </c>
      <c r="B58" s="678"/>
      <c r="C58" s="678"/>
      <c r="D58" s="599" t="s">
        <v>132</v>
      </c>
      <c r="E58" s="586">
        <f>'20'!F58</f>
        <v>34328</v>
      </c>
      <c r="F58" s="586">
        <v>34516</v>
      </c>
      <c r="G58" s="549">
        <f t="shared" si="6"/>
        <v>188</v>
      </c>
      <c r="H58" s="536">
        <f>G58+'20'!H58</f>
        <v>-1548.6999999999971</v>
      </c>
      <c r="I58" s="531"/>
      <c r="J58" s="629">
        <f>H58/DAY(B2)</f>
        <v>-73.747619047618912</v>
      </c>
      <c r="K58" s="467">
        <v>0</v>
      </c>
      <c r="L58" s="408">
        <f t="shared" si="5"/>
        <v>188</v>
      </c>
      <c r="N58" s="413"/>
      <c r="O58" s="413"/>
    </row>
    <row r="59" spans="1:1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5722</v>
      </c>
      <c r="H59" s="536">
        <f>G59+'20'!H59</f>
        <v>-61322.680000000095</v>
      </c>
      <c r="I59" s="531">
        <f>G7-G60</f>
        <v>457</v>
      </c>
      <c r="J59" s="629">
        <f>H59/DAY(B2)</f>
        <v>-2920.1276190476237</v>
      </c>
      <c r="K59" s="467">
        <v>1794.4499999999771</v>
      </c>
      <c r="L59" s="408">
        <f t="shared" si="5"/>
        <v>3927.5500000000229</v>
      </c>
      <c r="N59" s="413"/>
      <c r="O59" s="413"/>
    </row>
    <row r="60" spans="1:15">
      <c r="A60" s="655"/>
      <c r="B60" s="656"/>
      <c r="C60" s="656"/>
      <c r="D60" s="587" t="s">
        <v>185</v>
      </c>
      <c r="E60" s="587"/>
      <c r="F60" s="587"/>
      <c r="G60" s="557">
        <f>G47+G59</f>
        <v>19649</v>
      </c>
      <c r="H60" s="536">
        <f>G60+'20'!H60</f>
        <v>-9503.030000000108</v>
      </c>
      <c r="I60" s="531">
        <f>G13-G60</f>
        <v>-21</v>
      </c>
      <c r="J60" s="629">
        <f>H60/DAY(B2)</f>
        <v>-452.52523809524325</v>
      </c>
      <c r="K60" s="467">
        <v>11966.509999999978</v>
      </c>
      <c r="L60" s="408">
        <f t="shared" si="5"/>
        <v>7682.4900000000216</v>
      </c>
      <c r="N60" s="413"/>
      <c r="O60" s="413"/>
    </row>
    <row r="61" spans="1:1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98</v>
      </c>
      <c r="B62" s="681"/>
      <c r="C62" s="681"/>
      <c r="D62" s="587" t="s">
        <v>187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1.299999999901047E-2</v>
      </c>
      <c r="I62" s="591"/>
      <c r="J62" s="629">
        <f>H62/DAY(B2)</f>
        <v>6.190476190004986E-4</v>
      </c>
      <c r="K62" s="467"/>
      <c r="L62" s="408"/>
      <c r="N62" s="413"/>
      <c r="O62" s="413"/>
    </row>
    <row r="63" spans="1:15">
      <c r="A63" s="680" t="s">
        <v>188</v>
      </c>
      <c r="B63" s="681"/>
      <c r="C63" s="681"/>
      <c r="D63" s="587" t="s">
        <v>187</v>
      </c>
      <c r="E63" s="590">
        <f>'20'!F63</f>
        <v>1597</v>
      </c>
      <c r="F63" s="590">
        <v>1611</v>
      </c>
      <c r="G63" s="549">
        <f t="shared" si="7"/>
        <v>14</v>
      </c>
      <c r="H63" s="536">
        <f>G63+'20'!H63</f>
        <v>-96.3599999999999</v>
      </c>
      <c r="I63" s="591"/>
      <c r="J63" s="629">
        <f>H63/DAY(B2)</f>
        <v>-4.5885714285714236</v>
      </c>
      <c r="K63" s="467"/>
      <c r="L63" s="408"/>
      <c r="N63" s="413"/>
      <c r="O63" s="413"/>
    </row>
    <row r="64" spans="1:15" ht="27.75">
      <c r="A64" s="1430" t="s">
        <v>99</v>
      </c>
      <c r="B64" s="1431"/>
      <c r="C64" s="1432"/>
      <c r="D64" s="599" t="s">
        <v>187</v>
      </c>
      <c r="E64" s="560">
        <f>'20'!F64</f>
        <v>119640</v>
      </c>
      <c r="F64" s="560">
        <v>120038</v>
      </c>
      <c r="G64" s="549">
        <f t="shared" si="7"/>
        <v>398</v>
      </c>
      <c r="H64" s="536">
        <f>G64+'20'!H64</f>
        <v>-3589.3000000000029</v>
      </c>
      <c r="I64" s="556"/>
      <c r="J64" s="629">
        <f>H64/DAY(B2)</f>
        <v>-170.91904761904775</v>
      </c>
      <c r="K64" s="467"/>
      <c r="L64" s="408"/>
      <c r="N64" s="413"/>
      <c r="O64" s="413"/>
    </row>
    <row r="65" spans="1:15" ht="27.75">
      <c r="A65" s="1430" t="s">
        <v>100</v>
      </c>
      <c r="B65" s="1431"/>
      <c r="C65" s="1432"/>
      <c r="D65" s="599" t="s">
        <v>187</v>
      </c>
      <c r="E65" s="560">
        <f>'20'!F65</f>
        <v>129452</v>
      </c>
      <c r="F65" s="560">
        <v>129852</v>
      </c>
      <c r="G65" s="549">
        <f t="shared" si="7"/>
        <v>400</v>
      </c>
      <c r="H65" s="536">
        <f>G65+'20'!H65</f>
        <v>-2745.2999999999884</v>
      </c>
      <c r="I65" s="565"/>
      <c r="J65" s="629">
        <f>H65/DAY(B2)</f>
        <v>-130.72857142857089</v>
      </c>
      <c r="K65" s="467"/>
      <c r="L65" s="408"/>
      <c r="N65" s="413"/>
      <c r="O65" s="413"/>
    </row>
    <row r="66" spans="1:15" ht="27.75">
      <c r="A66" s="1430" t="s">
        <v>101</v>
      </c>
      <c r="B66" s="1431"/>
      <c r="C66" s="1432"/>
      <c r="D66" s="599" t="s">
        <v>187</v>
      </c>
      <c r="E66" s="560">
        <f>'20'!F66</f>
        <v>22068</v>
      </c>
      <c r="F66" s="560">
        <v>22440</v>
      </c>
      <c r="G66" s="549">
        <f t="shared" si="7"/>
        <v>372</v>
      </c>
      <c r="H66" s="536">
        <f>G66+'20'!H66</f>
        <v>-2719.75</v>
      </c>
      <c r="I66" s="556"/>
      <c r="J66" s="629">
        <f>H66/DAY(B2)</f>
        <v>-129.51190476190476</v>
      </c>
      <c r="K66" s="467"/>
      <c r="L66" s="408"/>
      <c r="N66" s="413"/>
      <c r="O66" s="413"/>
    </row>
    <row r="67" spans="1:15" ht="27.75">
      <c r="A67" s="1430" t="s">
        <v>102</v>
      </c>
      <c r="B67" s="1431"/>
      <c r="C67" s="1432"/>
      <c r="D67" s="599" t="s">
        <v>187</v>
      </c>
      <c r="E67" s="560">
        <f>'20'!F67</f>
        <v>202595</v>
      </c>
      <c r="F67" s="560">
        <v>203311</v>
      </c>
      <c r="G67" s="549">
        <f t="shared" si="7"/>
        <v>716</v>
      </c>
      <c r="H67" s="536">
        <f>G67+'20'!H67</f>
        <v>-4530.8299999999872</v>
      </c>
      <c r="I67" s="565"/>
      <c r="J67" s="629">
        <f>H67/DAY(B2)</f>
        <v>-215.75380952380891</v>
      </c>
      <c r="K67" s="468"/>
      <c r="L67" s="408"/>
      <c r="N67" s="413"/>
      <c r="O67" s="413"/>
    </row>
    <row r="68" spans="1:15" ht="27.75">
      <c r="A68" s="1430" t="s">
        <v>103</v>
      </c>
      <c r="B68" s="1431"/>
      <c r="C68" s="1432"/>
      <c r="D68" s="599" t="s">
        <v>187</v>
      </c>
      <c r="E68" s="560">
        <f>'20'!F68</f>
        <v>71175</v>
      </c>
      <c r="F68" s="560">
        <v>71485</v>
      </c>
      <c r="G68" s="549">
        <f t="shared" si="7"/>
        <v>310</v>
      </c>
      <c r="H68" s="536">
        <f>G68+'20'!H68</f>
        <v>-1193.5200000000041</v>
      </c>
      <c r="I68" s="592"/>
      <c r="J68" s="629">
        <f>H68/DAY(B2)</f>
        <v>-56.834285714285912</v>
      </c>
      <c r="K68" s="469"/>
      <c r="L68" s="408"/>
      <c r="N68" s="413"/>
      <c r="O68" s="413"/>
    </row>
    <row r="69" spans="1:15" ht="27.75">
      <c r="A69" s="1430" t="s">
        <v>104</v>
      </c>
      <c r="B69" s="1431"/>
      <c r="C69" s="1432"/>
      <c r="D69" s="599" t="s">
        <v>187</v>
      </c>
      <c r="E69" s="560">
        <f>'20'!F69</f>
        <v>61818</v>
      </c>
      <c r="F69" s="560">
        <v>62157</v>
      </c>
      <c r="G69" s="549">
        <f t="shared" si="7"/>
        <v>339</v>
      </c>
      <c r="H69" s="536">
        <f>G69+'20'!H69</f>
        <v>-2295.0899999999965</v>
      </c>
      <c r="I69" s="592"/>
      <c r="J69" s="629">
        <f>H69/DAY(B2)</f>
        <v>-109.28999999999984</v>
      </c>
      <c r="K69" s="470"/>
      <c r="L69" s="408"/>
      <c r="N69" s="413"/>
      <c r="O69" s="413"/>
    </row>
    <row r="70" spans="1:15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  <c r="O71" s="413"/>
    </row>
    <row r="72" spans="1:15" ht="27.75">
      <c r="A72" s="1430" t="s">
        <v>191</v>
      </c>
      <c r="B72" s="1431"/>
      <c r="C72" s="1432"/>
      <c r="D72" s="599" t="s">
        <v>187</v>
      </c>
      <c r="E72" s="595">
        <f>'20'!F72</f>
        <v>849986</v>
      </c>
      <c r="F72" s="595">
        <v>850008</v>
      </c>
      <c r="G72" s="549">
        <f t="shared" ref="G72:G84" si="8">F72-E72</f>
        <v>22</v>
      </c>
      <c r="H72" s="536">
        <f>G72+'20'!H72</f>
        <v>1615</v>
      </c>
      <c r="I72" s="556"/>
      <c r="J72" s="629">
        <f>H72/DAY(B2)</f>
        <v>76.904761904761898</v>
      </c>
      <c r="K72" s="470"/>
      <c r="L72" s="408"/>
      <c r="N72" s="413"/>
      <c r="O72" s="413"/>
    </row>
    <row r="73" spans="1:15" ht="27.75">
      <c r="A73" s="1430" t="s">
        <v>192</v>
      </c>
      <c r="B73" s="1431"/>
      <c r="C73" s="1432"/>
      <c r="D73" s="599" t="s">
        <v>187</v>
      </c>
      <c r="E73" s="596">
        <f>'20'!F73</f>
        <v>885741</v>
      </c>
      <c r="F73" s="596">
        <v>885763</v>
      </c>
      <c r="G73" s="549">
        <f t="shared" si="8"/>
        <v>22</v>
      </c>
      <c r="H73" s="536">
        <f>G73+'20'!H73</f>
        <v>-1145</v>
      </c>
      <c r="I73" s="556"/>
      <c r="J73" s="629">
        <f>H73/DAY(B2)</f>
        <v>-54.523809523809526</v>
      </c>
      <c r="K73" s="469"/>
      <c r="L73" s="408"/>
      <c r="N73" s="413"/>
      <c r="O73" s="413"/>
    </row>
    <row r="74" spans="1:15" ht="27.75">
      <c r="A74" s="1549" t="s">
        <v>193</v>
      </c>
      <c r="B74" s="1550"/>
      <c r="C74" s="1551"/>
      <c r="D74" s="599" t="s">
        <v>187</v>
      </c>
      <c r="E74" s="597">
        <f>'20'!F74</f>
        <v>403</v>
      </c>
      <c r="F74" s="597">
        <v>438</v>
      </c>
      <c r="G74" s="549">
        <f t="shared" si="8"/>
        <v>35</v>
      </c>
      <c r="H74" s="536">
        <f>G74+'20'!H74</f>
        <v>-148.17000000000007</v>
      </c>
      <c r="I74" s="556"/>
      <c r="J74" s="629">
        <f>H74/DAY(B2)</f>
        <v>-7.0557142857142896</v>
      </c>
      <c r="K74" s="470"/>
      <c r="L74" s="408"/>
      <c r="N74" s="413"/>
      <c r="O74" s="413"/>
    </row>
    <row r="75" spans="1:15" ht="27.75">
      <c r="A75" s="1479" t="s">
        <v>194</v>
      </c>
      <c r="B75" s="1480"/>
      <c r="C75" s="1481"/>
      <c r="D75" s="599" t="s">
        <v>187</v>
      </c>
      <c r="E75" s="597">
        <f>'20'!F75</f>
        <v>2148</v>
      </c>
      <c r="F75" s="597">
        <v>2323</v>
      </c>
      <c r="G75" s="549">
        <f t="shared" si="8"/>
        <v>175</v>
      </c>
      <c r="H75" s="536">
        <f>G75+'20'!H75</f>
        <v>-1196.2199999999993</v>
      </c>
      <c r="I75" s="556"/>
      <c r="J75" s="629">
        <f>H75/DAY(B2)</f>
        <v>-56.962857142857111</v>
      </c>
      <c r="K75" s="469"/>
      <c r="L75" s="408"/>
      <c r="N75" s="413"/>
      <c r="O75" s="413"/>
    </row>
    <row r="76" spans="1:15" ht="27.75">
      <c r="A76" s="1479" t="s">
        <v>195</v>
      </c>
      <c r="B76" s="1480"/>
      <c r="C76" s="1481"/>
      <c r="D76" s="599" t="s">
        <v>187</v>
      </c>
      <c r="E76" s="596">
        <f>'20'!F76</f>
        <v>893</v>
      </c>
      <c r="F76" s="786">
        <v>969</v>
      </c>
      <c r="G76" s="549">
        <f t="shared" si="8"/>
        <v>76</v>
      </c>
      <c r="H76" s="536">
        <f>G76+'20'!H76</f>
        <v>-2089.4199999999996</v>
      </c>
      <c r="I76" s="581"/>
      <c r="J76" s="629">
        <f>H76/DAY(B2)</f>
        <v>-99.496190476190463</v>
      </c>
      <c r="K76" s="469"/>
      <c r="L76" s="408"/>
      <c r="N76" s="413"/>
      <c r="O76" s="413"/>
    </row>
    <row r="77" spans="1:15" ht="27.75">
      <c r="A77" s="1430" t="s">
        <v>196</v>
      </c>
      <c r="B77" s="1431"/>
      <c r="C77" s="1432"/>
      <c r="D77" s="599" t="s">
        <v>187</v>
      </c>
      <c r="E77" s="597">
        <f>'20'!F77</f>
        <v>698204</v>
      </c>
      <c r="F77" s="597">
        <v>698254</v>
      </c>
      <c r="G77" s="549">
        <f t="shared" si="8"/>
        <v>50</v>
      </c>
      <c r="H77" s="536">
        <f>G77+'20'!H77</f>
        <v>-334</v>
      </c>
      <c r="I77" s="581"/>
      <c r="J77" s="629">
        <f>H77/DAY(B2)</f>
        <v>-15.904761904761905</v>
      </c>
      <c r="K77" s="469"/>
      <c r="L77" s="408"/>
      <c r="N77" s="413"/>
      <c r="O77" s="413"/>
    </row>
    <row r="78" spans="1:15" ht="27.75">
      <c r="A78" s="1232" t="s">
        <v>197</v>
      </c>
      <c r="B78" s="1203"/>
      <c r="C78" s="1203"/>
      <c r="D78" s="599" t="s">
        <v>187</v>
      </c>
      <c r="E78" s="597">
        <f>'20'!F78</f>
        <v>650030</v>
      </c>
      <c r="F78" s="597">
        <v>650484</v>
      </c>
      <c r="G78" s="549">
        <f t="shared" si="8"/>
        <v>454</v>
      </c>
      <c r="H78" s="536">
        <f>G78+'20'!H78</f>
        <v>-2379</v>
      </c>
      <c r="I78" s="581"/>
      <c r="J78" s="629">
        <f>H78/DAY(B2)</f>
        <v>-113.28571428571429</v>
      </c>
      <c r="K78" s="469"/>
      <c r="L78" s="408"/>
      <c r="N78" s="413"/>
      <c r="O78" s="413"/>
    </row>
    <row r="79" spans="1:15" ht="27.75">
      <c r="A79" s="1479" t="s">
        <v>92</v>
      </c>
      <c r="B79" s="1480"/>
      <c r="C79" s="1481"/>
      <c r="D79" s="600" t="s">
        <v>187</v>
      </c>
      <c r="E79" s="597">
        <f>'20'!F79</f>
        <v>813550</v>
      </c>
      <c r="F79" s="597">
        <v>813722</v>
      </c>
      <c r="G79" s="549">
        <f t="shared" si="8"/>
        <v>172</v>
      </c>
      <c r="H79" s="536">
        <f>G79+'20'!H79</f>
        <v>-4014</v>
      </c>
      <c r="I79" s="581"/>
      <c r="J79" s="629">
        <f>H79/DAY(B2)</f>
        <v>-191.14285714285714</v>
      </c>
      <c r="K79" s="469"/>
      <c r="L79" s="408"/>
      <c r="N79" s="413"/>
      <c r="O79" s="413"/>
    </row>
    <row r="80" spans="1:15" ht="27.75">
      <c r="A80" s="1479" t="s">
        <v>198</v>
      </c>
      <c r="B80" s="1480"/>
      <c r="C80" s="1481"/>
      <c r="D80" s="600" t="s">
        <v>187</v>
      </c>
      <c r="E80" s="596">
        <f>'20'!F80</f>
        <v>491659</v>
      </c>
      <c r="F80" s="596">
        <v>492045</v>
      </c>
      <c r="G80" s="549">
        <f t="shared" si="8"/>
        <v>386</v>
      </c>
      <c r="H80" s="536">
        <f>G80+'20'!H80</f>
        <v>45.320000000006985</v>
      </c>
      <c r="I80" s="581"/>
      <c r="J80" s="629">
        <f>H80/DAY(B2)</f>
        <v>2.1580952380955707</v>
      </c>
      <c r="K80" s="469"/>
      <c r="L80" s="408"/>
      <c r="N80" s="413"/>
      <c r="O80" s="413"/>
    </row>
    <row r="81" spans="1:15" ht="27.75">
      <c r="A81" s="1479" t="s">
        <v>199</v>
      </c>
      <c r="B81" s="1480"/>
      <c r="C81" s="1481"/>
      <c r="D81" s="600" t="s">
        <v>187</v>
      </c>
      <c r="E81" s="596">
        <f>'20'!F81</f>
        <v>624888</v>
      </c>
      <c r="F81" s="596">
        <v>624998</v>
      </c>
      <c r="G81" s="549">
        <f t="shared" si="8"/>
        <v>110</v>
      </c>
      <c r="H81" s="536">
        <f>G81+'20'!H81</f>
        <v>-945.8399999999674</v>
      </c>
      <c r="I81" s="581"/>
      <c r="J81" s="629">
        <f>H81/DAY(B2)</f>
        <v>-45.03999999999845</v>
      </c>
      <c r="K81" s="469"/>
      <c r="L81" s="408"/>
      <c r="N81" s="413"/>
      <c r="O81" s="413"/>
    </row>
    <row r="82" spans="1:15" ht="27.75">
      <c r="A82" s="1479" t="s">
        <v>93</v>
      </c>
      <c r="B82" s="1480"/>
      <c r="C82" s="1481"/>
      <c r="D82" s="561" t="s">
        <v>132</v>
      </c>
      <c r="E82" s="598">
        <f>'20'!F82</f>
        <v>106016</v>
      </c>
      <c r="F82" s="598">
        <v>106038</v>
      </c>
      <c r="G82" s="549">
        <f t="shared" si="8"/>
        <v>22</v>
      </c>
      <c r="H82" s="536">
        <f>G82+'20'!H82</f>
        <v>-164.47999999999593</v>
      </c>
      <c r="I82" s="562"/>
      <c r="J82" s="629">
        <f>H82/DAY(B2)</f>
        <v>-7.8323809523807579</v>
      </c>
      <c r="K82" s="469"/>
      <c r="L82" s="408"/>
      <c r="N82" s="413"/>
      <c r="O82" s="413"/>
    </row>
    <row r="83" spans="1:15" ht="27.75">
      <c r="A83" s="1479" t="s">
        <v>200</v>
      </c>
      <c r="B83" s="1480"/>
      <c r="C83" s="1481"/>
      <c r="D83" s="697" t="s">
        <v>132</v>
      </c>
      <c r="E83" s="587">
        <f>'20'!F83</f>
        <v>992440</v>
      </c>
      <c r="F83" s="587">
        <v>992869</v>
      </c>
      <c r="G83" s="549">
        <f t="shared" si="8"/>
        <v>429</v>
      </c>
      <c r="H83" s="536">
        <f>G83+'20'!H83</f>
        <v>996272</v>
      </c>
      <c r="I83" s="557"/>
      <c r="J83" s="629">
        <f>H83/DAY(B2)</f>
        <v>47441.523809523809</v>
      </c>
      <c r="K83" s="468"/>
      <c r="L83" s="408"/>
      <c r="N83" s="413"/>
      <c r="O83" s="803"/>
    </row>
    <row r="84" spans="1:15">
      <c r="A84" s="1233" t="s">
        <v>201</v>
      </c>
      <c r="B84" s="648"/>
      <c r="C84" s="648"/>
      <c r="D84" s="554" t="s">
        <v>132</v>
      </c>
      <c r="E84" s="704">
        <f>'20'!F84</f>
        <v>425948</v>
      </c>
      <c r="F84" s="704">
        <v>426516</v>
      </c>
      <c r="G84" s="549">
        <f t="shared" si="8"/>
        <v>568</v>
      </c>
      <c r="H84" s="536">
        <f>G84+'20'!H84</f>
        <v>-4282</v>
      </c>
      <c r="I84" s="557"/>
      <c r="J84" s="629">
        <f>H84/DAY(B2)</f>
        <v>-203.9047619047619</v>
      </c>
      <c r="K84" s="411"/>
      <c r="L84" s="408"/>
      <c r="N84" s="413"/>
      <c r="O84" s="413"/>
    </row>
    <row r="85" spans="1:15" s="410" customFormat="1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2521</v>
      </c>
      <c r="H85" s="536">
        <f>G85+'20'!H85</f>
        <v>979642.92999999993</v>
      </c>
      <c r="I85" s="557"/>
      <c r="J85" s="629">
        <f>H85/DAY(B2)</f>
        <v>46649.66333333333</v>
      </c>
      <c r="K85" s="411"/>
      <c r="L85" s="409"/>
      <c r="N85" s="859"/>
      <c r="O85" s="803"/>
    </row>
    <row r="86" spans="1:15" s="817" customFormat="1">
      <c r="A86" s="812" t="s">
        <v>94</v>
      </c>
      <c r="B86" s="813"/>
      <c r="C86" s="813"/>
      <c r="D86" s="814" t="s">
        <v>183</v>
      </c>
      <c r="E86" s="728">
        <f>'20'!F86</f>
        <v>449470</v>
      </c>
      <c r="F86" s="728">
        <v>449543</v>
      </c>
      <c r="G86" s="787">
        <f t="shared" ref="G86:G90" si="9">F86-E86</f>
        <v>73</v>
      </c>
      <c r="H86" s="536">
        <f>G86+'20'!H86</f>
        <v>459</v>
      </c>
      <c r="I86" s="733"/>
      <c r="J86" s="789">
        <f>H86/DAY(B2)</f>
        <v>21.857142857142858</v>
      </c>
      <c r="K86" s="815"/>
      <c r="L86" s="816"/>
      <c r="N86" s="860"/>
      <c r="O86" s="413"/>
    </row>
    <row r="87" spans="1:15" s="817" customFormat="1">
      <c r="A87" s="812" t="s">
        <v>95</v>
      </c>
      <c r="B87" s="813"/>
      <c r="C87" s="813"/>
      <c r="D87" s="814" t="s">
        <v>183</v>
      </c>
      <c r="E87" s="728">
        <f>'20'!F87</f>
        <v>78978</v>
      </c>
      <c r="F87" s="728">
        <v>78987</v>
      </c>
      <c r="G87" s="787">
        <f t="shared" si="9"/>
        <v>9</v>
      </c>
      <c r="H87" s="536">
        <f>G87+'20'!H87</f>
        <v>78.30000000000291</v>
      </c>
      <c r="I87" s="733"/>
      <c r="J87" s="789">
        <f>H87/DAY(B2)</f>
        <v>3.7285714285715672</v>
      </c>
      <c r="K87" s="815"/>
      <c r="L87" s="816"/>
      <c r="N87" s="860"/>
      <c r="O87" s="413"/>
    </row>
    <row r="88" spans="1:15" s="817" customFormat="1">
      <c r="A88" s="812" t="s">
        <v>96</v>
      </c>
      <c r="B88" s="813"/>
      <c r="C88" s="813"/>
      <c r="D88" s="814" t="s">
        <v>183</v>
      </c>
      <c r="E88" s="728">
        <f>'20'!F88</f>
        <v>147874</v>
      </c>
      <c r="F88" s="728">
        <v>147909</v>
      </c>
      <c r="G88" s="787">
        <f t="shared" si="9"/>
        <v>35</v>
      </c>
      <c r="H88" s="536">
        <f>G88+'20'!H88</f>
        <v>271.10000000000582</v>
      </c>
      <c r="I88" s="733"/>
      <c r="J88" s="789">
        <f>H88/DAY(B2)</f>
        <v>12.909523809524087</v>
      </c>
      <c r="K88" s="815"/>
      <c r="L88" s="816"/>
      <c r="N88" s="860"/>
      <c r="O88" s="413"/>
    </row>
    <row r="89" spans="1:15" s="817" customFormat="1">
      <c r="A89" s="812" t="s">
        <v>204</v>
      </c>
      <c r="B89" s="813"/>
      <c r="C89" s="813"/>
      <c r="D89" s="814" t="s">
        <v>183</v>
      </c>
      <c r="E89" s="728">
        <f>'20'!F89</f>
        <v>61120</v>
      </c>
      <c r="F89" s="728">
        <v>61159</v>
      </c>
      <c r="G89" s="787">
        <f t="shared" si="9"/>
        <v>39</v>
      </c>
      <c r="H89" s="536">
        <f>G89+'20'!H89</f>
        <v>226.5</v>
      </c>
      <c r="I89" s="733"/>
      <c r="J89" s="789">
        <f>H89/DAY(B2)</f>
        <v>10.785714285714286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28">
        <f>'20'!F90</f>
        <v>3135</v>
      </c>
      <c r="F90" s="728">
        <v>3136</v>
      </c>
      <c r="G90" s="787">
        <f t="shared" si="9"/>
        <v>1</v>
      </c>
      <c r="H90" s="536">
        <f>G90+'20'!H90</f>
        <v>6.8000000000001819</v>
      </c>
      <c r="I90" s="733"/>
      <c r="J90" s="789">
        <f>H90/DAY(B2)</f>
        <v>0.32380952380953248</v>
      </c>
      <c r="K90" s="815"/>
      <c r="L90" s="816"/>
      <c r="N90" s="860"/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'20'!F92</f>
        <v>238797</v>
      </c>
      <c r="F92" s="560">
        <v>238919</v>
      </c>
      <c r="G92" s="549">
        <f t="shared" ref="G92:G93" si="10">F92-E92</f>
        <v>122</v>
      </c>
      <c r="H92" s="536">
        <f>G92+'20'!H92</f>
        <v>-776</v>
      </c>
      <c r="I92" s="556"/>
      <c r="J92" s="629">
        <f>H92/DAY(B2)</f>
        <v>-36.952380952380949</v>
      </c>
      <c r="K92" s="468"/>
      <c r="L92" s="408"/>
      <c r="N92" s="413"/>
      <c r="O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'20'!F93</f>
        <v>174343</v>
      </c>
      <c r="F93" s="560">
        <v>174453</v>
      </c>
      <c r="G93" s="549">
        <f t="shared" si="10"/>
        <v>110</v>
      </c>
      <c r="H93" s="536">
        <f>G93+'20'!H93</f>
        <v>-1208</v>
      </c>
      <c r="I93" s="556"/>
      <c r="J93" s="629">
        <f>H93/DAY(B2)</f>
        <v>-57.523809523809526</v>
      </c>
      <c r="K93" s="411"/>
      <c r="L93" s="408"/>
      <c r="N93" s="413"/>
      <c r="O93" s="413"/>
    </row>
    <row r="94" spans="1:15">
      <c r="A94" s="1427" t="s">
        <v>208</v>
      </c>
      <c r="B94" s="1428"/>
      <c r="C94" s="1429"/>
      <c r="D94" s="599"/>
      <c r="E94" s="560">
        <f>'20'!F94</f>
        <v>0</v>
      </c>
      <c r="F94" s="560"/>
      <c r="G94" s="549">
        <f>G92+G93</f>
        <v>232</v>
      </c>
      <c r="H94" s="536">
        <f>G94+'20'!H94</f>
        <v>-2250</v>
      </c>
      <c r="I94" s="556"/>
      <c r="J94" s="629">
        <f>H94/DAY(B2)</f>
        <v>-107.14285714285714</v>
      </c>
      <c r="K94" s="411"/>
      <c r="L94" s="408"/>
      <c r="N94" s="413"/>
      <c r="O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'20'!F95</f>
        <v>407448</v>
      </c>
      <c r="F95" s="560">
        <v>407520</v>
      </c>
      <c r="G95" s="549">
        <f t="shared" ref="G95:G100" si="11">F95-E95</f>
        <v>72</v>
      </c>
      <c r="H95" s="536">
        <f>G95+'20'!H95</f>
        <v>-636</v>
      </c>
      <c r="I95" s="556"/>
      <c r="J95" s="629">
        <f>H95/DAY(B2)</f>
        <v>-30.285714285714285</v>
      </c>
      <c r="K95" s="411"/>
      <c r="L95" s="408"/>
      <c r="N95" s="413"/>
      <c r="O95" s="413"/>
    </row>
    <row r="96" spans="1:15" ht="27.75">
      <c r="A96" s="1229" t="s">
        <v>210</v>
      </c>
      <c r="B96" s="1230"/>
      <c r="C96" s="1230"/>
      <c r="D96" s="599" t="s">
        <v>144</v>
      </c>
      <c r="E96" s="560">
        <f>'20'!F96</f>
        <v>101171</v>
      </c>
      <c r="F96" s="560">
        <v>101198</v>
      </c>
      <c r="G96" s="549">
        <f t="shared" si="11"/>
        <v>27</v>
      </c>
      <c r="H96" s="536">
        <f>G96+'20'!H96</f>
        <v>-134</v>
      </c>
      <c r="I96" s="556"/>
      <c r="J96" s="629">
        <f>H96/DAY(B2)</f>
        <v>-6.3809523809523814</v>
      </c>
      <c r="K96" s="466"/>
      <c r="L96" s="408"/>
      <c r="N96" s="413"/>
      <c r="O96" s="413"/>
    </row>
    <row r="97" spans="1:15" ht="27.75">
      <c r="A97" s="1229" t="s">
        <v>211</v>
      </c>
      <c r="B97" s="1230"/>
      <c r="C97" s="1230"/>
      <c r="D97" s="599" t="s">
        <v>144</v>
      </c>
      <c r="E97" s="560">
        <f>'20'!F97</f>
        <v>96270</v>
      </c>
      <c r="F97" s="560">
        <v>96305</v>
      </c>
      <c r="G97" s="549">
        <f t="shared" si="11"/>
        <v>35</v>
      </c>
      <c r="H97" s="536">
        <f>G97+'20'!H97</f>
        <v>-144</v>
      </c>
      <c r="I97" s="556"/>
      <c r="J97" s="629">
        <f>H97/DAY(B2)</f>
        <v>-6.8571428571428568</v>
      </c>
      <c r="K97" s="471"/>
      <c r="L97" s="408"/>
      <c r="N97" s="413"/>
      <c r="O97" s="413"/>
    </row>
    <row r="98" spans="1:15" ht="27.75">
      <c r="A98" s="1229" t="s">
        <v>212</v>
      </c>
      <c r="B98" s="1230"/>
      <c r="C98" s="1230"/>
      <c r="D98" s="599" t="s">
        <v>144</v>
      </c>
      <c r="E98" s="560">
        <f>'20'!F98</f>
        <v>146906</v>
      </c>
      <c r="F98" s="560">
        <v>146993</v>
      </c>
      <c r="G98" s="549">
        <f t="shared" si="11"/>
        <v>87</v>
      </c>
      <c r="H98" s="536">
        <f>G98+'20'!H98</f>
        <v>-615</v>
      </c>
      <c r="I98" s="556"/>
      <c r="J98" s="629">
        <f>H98/DAY(B2)</f>
        <v>-29.285714285714285</v>
      </c>
      <c r="K98" s="411"/>
      <c r="L98" s="408"/>
      <c r="N98" s="413"/>
      <c r="O98" s="413"/>
    </row>
    <row r="99" spans="1:15" ht="27.75">
      <c r="A99" s="1229" t="s">
        <v>213</v>
      </c>
      <c r="B99" s="1230"/>
      <c r="C99" s="1230"/>
      <c r="D99" s="599" t="s">
        <v>144</v>
      </c>
      <c r="E99" s="560">
        <f>'20'!F99</f>
        <v>6264</v>
      </c>
      <c r="F99" s="560">
        <v>6279</v>
      </c>
      <c r="G99" s="549">
        <f t="shared" si="11"/>
        <v>15</v>
      </c>
      <c r="H99" s="536">
        <f>G99+'20'!H99</f>
        <v>-129</v>
      </c>
      <c r="I99" s="556"/>
      <c r="J99" s="629">
        <f>H99/DAY(B2)</f>
        <v>-6.1428571428571432</v>
      </c>
      <c r="K99" s="411"/>
      <c r="L99" s="408"/>
      <c r="N99" s="413"/>
      <c r="O99" s="413"/>
    </row>
    <row r="100" spans="1:15" ht="27.75">
      <c r="A100" s="1229" t="s">
        <v>214</v>
      </c>
      <c r="B100" s="1230"/>
      <c r="C100" s="1230"/>
      <c r="D100" s="599" t="s">
        <v>144</v>
      </c>
      <c r="E100" s="560">
        <f>'20'!F100</f>
        <v>4420</v>
      </c>
      <c r="F100" s="560">
        <v>4432</v>
      </c>
      <c r="G100" s="549">
        <f t="shared" si="11"/>
        <v>12</v>
      </c>
      <c r="H100" s="536">
        <f>G100+'20'!H100</f>
        <v>-111</v>
      </c>
      <c r="I100" s="556"/>
      <c r="J100" s="629">
        <f>H100/DAY(B2)</f>
        <v>-5.2857142857142856</v>
      </c>
      <c r="K100" s="411"/>
      <c r="L100" s="408"/>
      <c r="N100" s="413"/>
      <c r="O100" s="413"/>
    </row>
    <row r="101" spans="1:15">
      <c r="A101" s="1427" t="s">
        <v>216</v>
      </c>
      <c r="B101" s="1428"/>
      <c r="C101" s="1429"/>
      <c r="D101" s="600"/>
      <c r="E101" s="600"/>
      <c r="F101" s="600"/>
      <c r="G101" s="601">
        <f>SUM(G95:G100)</f>
        <v>248</v>
      </c>
      <c r="H101" s="536">
        <f>G101+'20'!H101</f>
        <v>-1769</v>
      </c>
      <c r="I101" s="602"/>
      <c r="J101" s="629">
        <f>H101/DAY(B2)</f>
        <v>-84.238095238095241</v>
      </c>
      <c r="K101" s="411"/>
      <c r="L101" s="408"/>
      <c r="N101" s="413"/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36" t="s">
        <v>218</v>
      </c>
      <c r="B103" s="1437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38" t="s">
        <v>219</v>
      </c>
      <c r="B104" s="1439"/>
      <c r="C104" s="1227"/>
      <c r="D104" s="699" t="s">
        <v>144</v>
      </c>
      <c r="E104" s="608">
        <f>'20'!F104</f>
        <v>7097</v>
      </c>
      <c r="F104" s="608">
        <v>7097</v>
      </c>
      <c r="G104" s="608">
        <f>F104-E104</f>
        <v>0</v>
      </c>
      <c r="H104" s="536">
        <f>G104+'20'!H104</f>
        <v>79.150000000000091</v>
      </c>
      <c r="I104" s="608"/>
      <c r="J104" s="635">
        <f>H104/DAY(B2)</f>
        <v>3.7690476190476234</v>
      </c>
      <c r="N104" s="493"/>
      <c r="O104" s="413"/>
    </row>
    <row r="105" spans="1:15" s="481" customFormat="1" ht="27.75">
      <c r="A105" s="1438" t="s">
        <v>77</v>
      </c>
      <c r="B105" s="1439"/>
      <c r="C105" s="1227"/>
      <c r="D105" s="699" t="s">
        <v>144</v>
      </c>
      <c r="E105" s="610">
        <f>'20'!F105</f>
        <v>35334</v>
      </c>
      <c r="F105" s="610">
        <v>35341</v>
      </c>
      <c r="G105" s="608">
        <f t="shared" ref="G105:G106" si="12">F105-E105</f>
        <v>7</v>
      </c>
      <c r="H105" s="536">
        <f>G105+'20'!H105</f>
        <v>80</v>
      </c>
      <c r="I105" s="608"/>
      <c r="J105" s="635">
        <f>H105/DAY(B2)</f>
        <v>3.8095238095238093</v>
      </c>
      <c r="N105" s="493"/>
      <c r="O105" s="413"/>
    </row>
    <row r="106" spans="1:15" s="481" customFormat="1" ht="27.75">
      <c r="A106" s="1438" t="s">
        <v>78</v>
      </c>
      <c r="B106" s="1440"/>
      <c r="C106" s="1439"/>
      <c r="D106" s="699" t="s">
        <v>144</v>
      </c>
      <c r="E106" s="608">
        <f>'20'!F106</f>
        <v>19203</v>
      </c>
      <c r="F106" s="608">
        <v>19209</v>
      </c>
      <c r="G106" s="608">
        <f t="shared" si="12"/>
        <v>6</v>
      </c>
      <c r="H106" s="536">
        <f>G106+'20'!H106</f>
        <v>420</v>
      </c>
      <c r="I106" s="608"/>
      <c r="J106" s="635">
        <f>H106/DAY(B2)</f>
        <v>20</v>
      </c>
      <c r="N106" s="493"/>
      <c r="O106" s="413"/>
    </row>
    <row r="107" spans="1:15" s="481" customFormat="1" ht="27.75">
      <c r="A107" s="1441" t="s">
        <v>202</v>
      </c>
      <c r="B107" s="1442"/>
      <c r="C107" s="1227"/>
      <c r="D107" s="699"/>
      <c r="E107" s="608">
        <f>'20'!F107</f>
        <v>0</v>
      </c>
      <c r="F107" s="608"/>
      <c r="G107" s="608">
        <f>SUM(G104:G106)</f>
        <v>13</v>
      </c>
      <c r="H107" s="536">
        <f>G107+'20'!H107</f>
        <v>257</v>
      </c>
      <c r="I107" s="608"/>
      <c r="J107" s="635">
        <f>H107/DAY(B2)</f>
        <v>12.238095238095237</v>
      </c>
      <c r="N107" s="493"/>
      <c r="O107" s="413"/>
    </row>
    <row r="108" spans="1:15" s="481" customFormat="1" ht="27.75">
      <c r="A108" s="1443" t="s">
        <v>79</v>
      </c>
      <c r="B108" s="1444"/>
      <c r="C108" s="1227"/>
      <c r="D108" s="699" t="s">
        <v>144</v>
      </c>
      <c r="E108" s="608">
        <f>'20'!F108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438" t="s">
        <v>220</v>
      </c>
      <c r="B109" s="1439"/>
      <c r="C109" s="1227"/>
      <c r="D109" s="699" t="s">
        <v>144</v>
      </c>
      <c r="E109" s="608">
        <f>'20'!F109</f>
        <v>55847</v>
      </c>
      <c r="F109" s="608">
        <v>55907</v>
      </c>
      <c r="G109" s="608">
        <f>F109-E109</f>
        <v>60</v>
      </c>
      <c r="H109" s="536">
        <f>G109+'20'!H109</f>
        <v>331.56000000005588</v>
      </c>
      <c r="I109" s="608"/>
      <c r="J109" s="635">
        <f>H109/DAY(B2)</f>
        <v>15.788571428574089</v>
      </c>
      <c r="N109" s="493"/>
      <c r="O109" s="413"/>
    </row>
    <row r="110" spans="1:15" s="481" customFormat="1" ht="27.75">
      <c r="A110" s="1438" t="s">
        <v>221</v>
      </c>
      <c r="B110" s="1439"/>
      <c r="C110" s="1227"/>
      <c r="D110" s="699" t="s">
        <v>144</v>
      </c>
      <c r="E110" s="608">
        <f>'20'!F110</f>
        <v>29812</v>
      </c>
      <c r="F110" s="608">
        <v>29912</v>
      </c>
      <c r="G110" s="608">
        <f t="shared" ref="G110:G111" si="13">F110-E110</f>
        <v>100</v>
      </c>
      <c r="H110" s="536">
        <f>G110+'20'!H110</f>
        <v>316.16999999999825</v>
      </c>
      <c r="I110" s="608"/>
      <c r="J110" s="635">
        <f>H110/DAY(B2)</f>
        <v>15.055714285714203</v>
      </c>
      <c r="N110" s="493"/>
      <c r="O110" s="413"/>
    </row>
    <row r="111" spans="1:15" s="481" customFormat="1" ht="27.75">
      <c r="A111" s="1438" t="s">
        <v>222</v>
      </c>
      <c r="B111" s="1439"/>
      <c r="C111" s="1227"/>
      <c r="D111" s="699" t="s">
        <v>144</v>
      </c>
      <c r="E111" s="608">
        <f>'20'!F111</f>
        <v>3932</v>
      </c>
      <c r="F111" s="608">
        <v>3938</v>
      </c>
      <c r="G111" s="608">
        <f t="shared" si="13"/>
        <v>6</v>
      </c>
      <c r="H111" s="536">
        <f>G111+'20'!H111</f>
        <v>553</v>
      </c>
      <c r="I111" s="608"/>
      <c r="J111" s="635">
        <f>H111/DAY(B2)</f>
        <v>26.333333333333332</v>
      </c>
      <c r="N111" s="493"/>
      <c r="O111" s="413"/>
    </row>
    <row r="112" spans="1:15" s="481" customFormat="1" ht="27.75">
      <c r="A112" s="1470" t="s">
        <v>110</v>
      </c>
      <c r="B112" s="1471"/>
      <c r="C112" s="1227"/>
      <c r="D112" s="699"/>
      <c r="E112" s="608">
        <f>'20'!F112</f>
        <v>0</v>
      </c>
      <c r="F112" s="608"/>
      <c r="G112" s="608">
        <f>SUM(G109:G111)</f>
        <v>166</v>
      </c>
      <c r="H112" s="536">
        <f>G112+'20'!H112</f>
        <v>1240</v>
      </c>
      <c r="I112" s="608"/>
      <c r="J112" s="635">
        <f>H112/DAY(B2)</f>
        <v>59.047619047619051</v>
      </c>
      <c r="N112" s="493"/>
      <c r="O112" s="413"/>
    </row>
    <row r="113" spans="1:15" s="481" customFormat="1" ht="27.75">
      <c r="A113" s="1443" t="s">
        <v>223</v>
      </c>
      <c r="B113" s="1444"/>
      <c r="C113" s="1227"/>
      <c r="D113" s="699"/>
      <c r="E113" s="608">
        <f>'20'!F113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438" t="s">
        <v>224</v>
      </c>
      <c r="B114" s="1439"/>
      <c r="C114" s="651"/>
      <c r="D114" s="699" t="s">
        <v>144</v>
      </c>
      <c r="E114" s="610">
        <f>'20'!F114</f>
        <v>10151</v>
      </c>
      <c r="F114" s="610">
        <v>10168</v>
      </c>
      <c r="G114" s="610">
        <f>F114-E114</f>
        <v>17</v>
      </c>
      <c r="H114" s="536">
        <f>G114+'20'!H114</f>
        <v>94</v>
      </c>
      <c r="I114" s="608"/>
      <c r="J114" s="635">
        <f>H114/DAY(B2)</f>
        <v>4.4761904761904763</v>
      </c>
      <c r="N114" s="493"/>
      <c r="O114" s="413"/>
    </row>
    <row r="115" spans="1:15" s="481" customFormat="1" ht="27.75">
      <c r="A115" s="1438" t="s">
        <v>225</v>
      </c>
      <c r="B115" s="1439"/>
      <c r="C115" s="651"/>
      <c r="D115" s="699" t="s">
        <v>144</v>
      </c>
      <c r="E115" s="610">
        <f>'20'!F115</f>
        <v>7576</v>
      </c>
      <c r="F115" s="610">
        <v>7585</v>
      </c>
      <c r="G115" s="610">
        <f t="shared" ref="G115:G116" si="14">F115-E115</f>
        <v>9</v>
      </c>
      <c r="H115" s="536">
        <f>G115+'20'!H115</f>
        <v>146</v>
      </c>
      <c r="I115" s="608"/>
      <c r="J115" s="635">
        <f>H115/DAY(B2)</f>
        <v>6.9523809523809526</v>
      </c>
      <c r="N115" s="493"/>
      <c r="O115" s="413"/>
    </row>
    <row r="116" spans="1:15" s="481" customFormat="1" ht="27.75">
      <c r="A116" s="1438" t="s">
        <v>226</v>
      </c>
      <c r="B116" s="1439"/>
      <c r="C116" s="651"/>
      <c r="D116" s="699" t="s">
        <v>144</v>
      </c>
      <c r="E116" s="610"/>
      <c r="F116" s="610"/>
      <c r="G116" s="610">
        <f t="shared" si="14"/>
        <v>0</v>
      </c>
      <c r="H116" s="536">
        <f>G116+'20'!H116</f>
        <v>144</v>
      </c>
      <c r="I116" s="608"/>
      <c r="J116" s="635">
        <f>H116/DAY(B2)</f>
        <v>6.8571428571428568</v>
      </c>
      <c r="N116" s="493"/>
      <c r="O116" s="413"/>
    </row>
    <row r="117" spans="1:15" s="494" customFormat="1" ht="27.75">
      <c r="A117" s="1441" t="s">
        <v>202</v>
      </c>
      <c r="B117" s="1442"/>
      <c r="C117" s="651"/>
      <c r="D117" s="700"/>
      <c r="E117" s="610"/>
      <c r="F117" s="610"/>
      <c r="G117" s="610">
        <f>SUM(G114:G116)</f>
        <v>26</v>
      </c>
      <c r="H117" s="536">
        <f>G117+'20'!H117</f>
        <v>194</v>
      </c>
      <c r="I117" s="610"/>
      <c r="J117" s="635">
        <f>H117/DAY(B2)</f>
        <v>9.2380952380952372</v>
      </c>
      <c r="N117" s="522"/>
      <c r="O117" s="413"/>
    </row>
    <row r="118" spans="1:15" s="495" customFormat="1" ht="27.75">
      <c r="A118" s="1472" t="s">
        <v>227</v>
      </c>
      <c r="B118" s="1473"/>
      <c r="C118" s="1226"/>
      <c r="D118" s="701" t="s">
        <v>144</v>
      </c>
      <c r="E118" s="612"/>
      <c r="F118" s="612">
        <f>SUM(G19+G92)</f>
        <v>173</v>
      </c>
      <c r="G118" s="612">
        <f>SUM(G19+G92)</f>
        <v>173</v>
      </c>
      <c r="H118" s="536">
        <f>G118+'20'!H118</f>
        <v>617</v>
      </c>
      <c r="I118" s="611"/>
      <c r="J118" s="636">
        <f>H118/DAY(B2)</f>
        <v>29.38095238095238</v>
      </c>
      <c r="N118" s="861"/>
      <c r="O118" s="413"/>
    </row>
    <row r="119" spans="1:15" s="495" customFormat="1" ht="27.75">
      <c r="A119" s="1472" t="s">
        <v>228</v>
      </c>
      <c r="B119" s="1473"/>
      <c r="C119" s="1226"/>
      <c r="D119" s="701" t="s">
        <v>144</v>
      </c>
      <c r="E119" s="612"/>
      <c r="F119" s="612">
        <f>SUM(G95,G96,G97,G99,G100)</f>
        <v>161</v>
      </c>
      <c r="G119" s="612">
        <f>SUM(G95,G96,G97,G99,G100)</f>
        <v>161</v>
      </c>
      <c r="H119" s="536">
        <f>G119+'20'!H119</f>
        <v>675</v>
      </c>
      <c r="I119" s="611"/>
      <c r="J119" s="636">
        <f>H119/DAY(B2)</f>
        <v>32.142857142857146</v>
      </c>
      <c r="N119" s="861"/>
      <c r="O119" s="413"/>
    </row>
    <row r="120" spans="1:15" s="495" customFormat="1" ht="27.75">
      <c r="A120" s="1472" t="s">
        <v>229</v>
      </c>
      <c r="B120" s="1473"/>
      <c r="C120" s="1226"/>
      <c r="D120" s="701" t="s">
        <v>144</v>
      </c>
      <c r="E120" s="610"/>
      <c r="F120" s="610">
        <f>SUM(G112)</f>
        <v>166</v>
      </c>
      <c r="G120" s="610">
        <f>SUM(G112)</f>
        <v>166</v>
      </c>
      <c r="H120" s="536">
        <f>G120+'20'!H120</f>
        <v>564</v>
      </c>
      <c r="I120" s="611"/>
      <c r="J120" s="636">
        <f>H120/DAY(B2)</f>
        <v>26.857142857142858</v>
      </c>
      <c r="N120" s="861"/>
      <c r="O120" s="413"/>
    </row>
    <row r="121" spans="1:15" s="481" customFormat="1" ht="27.75">
      <c r="A121" s="1474"/>
      <c r="B121" s="1475"/>
      <c r="C121" s="1227"/>
      <c r="D121" s="637"/>
      <c r="E121" s="637"/>
      <c r="F121" s="637" t="s">
        <v>215</v>
      </c>
      <c r="G121" s="637"/>
      <c r="H121" s="638">
        <v>0</v>
      </c>
      <c r="I121" s="637"/>
      <c r="J121" s="639"/>
      <c r="N121" s="493"/>
      <c r="O121" s="413"/>
    </row>
    <row r="122" spans="1:15">
      <c r="A122" s="1424" t="s">
        <v>230</v>
      </c>
      <c r="B122" s="1425"/>
      <c r="C122" s="1426"/>
      <c r="D122" s="548"/>
      <c r="E122" s="548"/>
      <c r="F122" s="548"/>
      <c r="G122" s="559"/>
      <c r="H122" s="559">
        <v>0</v>
      </c>
      <c r="I122" s="559"/>
      <c r="J122" s="640"/>
      <c r="K122" s="411"/>
      <c r="L122" s="408"/>
      <c r="N122" s="413"/>
      <c r="O122" s="413"/>
    </row>
    <row r="123" spans="1:15" ht="27.75">
      <c r="A123" s="1229" t="s">
        <v>231</v>
      </c>
      <c r="B123" s="1230"/>
      <c r="C123" s="1230"/>
      <c r="D123" s="599" t="s">
        <v>141</v>
      </c>
      <c r="E123" s="554">
        <f>'20'!F123</f>
        <v>808918</v>
      </c>
      <c r="F123" s="554">
        <v>809201</v>
      </c>
      <c r="G123" s="549">
        <f t="shared" ref="G123:G127" si="15">F123-E123</f>
        <v>283</v>
      </c>
      <c r="H123" s="536">
        <f>G123+'20'!H123</f>
        <v>-1805.8399999999674</v>
      </c>
      <c r="I123" s="602"/>
      <c r="J123" s="629">
        <f>H123/DAY(B2)</f>
        <v>-85.992380952379406</v>
      </c>
      <c r="K123" s="411"/>
      <c r="L123" s="408"/>
      <c r="N123" s="413"/>
      <c r="O123" s="413"/>
    </row>
    <row r="124" spans="1:15" ht="27.75">
      <c r="A124" s="1229" t="s">
        <v>232</v>
      </c>
      <c r="B124" s="1230"/>
      <c r="C124" s="1230"/>
      <c r="D124" s="599" t="s">
        <v>141</v>
      </c>
      <c r="E124" s="703">
        <f>'20'!F124</f>
        <v>73583</v>
      </c>
      <c r="F124" s="703">
        <v>73583</v>
      </c>
      <c r="G124" s="549">
        <f t="shared" si="15"/>
        <v>0</v>
      </c>
      <c r="H124" s="536">
        <f>G124+'20'!H124</f>
        <v>-0.39999999999417923</v>
      </c>
      <c r="I124" s="602"/>
      <c r="J124" s="629">
        <f>H124/DAY(B2)</f>
        <v>-1.9047619047341868E-2</v>
      </c>
      <c r="K124" s="411"/>
      <c r="L124" s="408"/>
      <c r="N124" s="413"/>
      <c r="O124" s="413"/>
    </row>
    <row r="125" spans="1:15" ht="27.75">
      <c r="A125" s="1430" t="s">
        <v>233</v>
      </c>
      <c r="B125" s="1431"/>
      <c r="C125" s="1432"/>
      <c r="D125" s="599" t="s">
        <v>141</v>
      </c>
      <c r="E125" s="554">
        <f>'20'!F125</f>
        <v>139402</v>
      </c>
      <c r="F125" s="554">
        <v>139482</v>
      </c>
      <c r="G125" s="549">
        <f t="shared" si="15"/>
        <v>80</v>
      </c>
      <c r="H125" s="536">
        <f>G125+'20'!H125</f>
        <v>-497.33999999999651</v>
      </c>
      <c r="I125" s="602"/>
      <c r="J125" s="629">
        <f>H125/DAY(B2)</f>
        <v>-23.682857142856978</v>
      </c>
      <c r="K125" s="411"/>
      <c r="L125" s="408"/>
      <c r="N125" s="413"/>
      <c r="O125" s="413"/>
    </row>
    <row r="126" spans="1:15" ht="27.75">
      <c r="A126" s="686" t="s">
        <v>234</v>
      </c>
      <c r="B126" s="1230"/>
      <c r="C126" s="1230"/>
      <c r="D126" s="599" t="s">
        <v>141</v>
      </c>
      <c r="E126" s="703">
        <f>'20'!F126</f>
        <v>59109</v>
      </c>
      <c r="F126" s="703">
        <v>59139</v>
      </c>
      <c r="G126" s="549">
        <f t="shared" si="15"/>
        <v>30</v>
      </c>
      <c r="H126" s="536">
        <f>G126+'20'!H126</f>
        <v>-167.90000000000146</v>
      </c>
      <c r="I126" s="602"/>
      <c r="J126" s="629">
        <f>H126/DAY(B2)</f>
        <v>-7.9952380952381645</v>
      </c>
      <c r="K126" s="411"/>
      <c r="L126" s="408"/>
      <c r="N126" s="413"/>
      <c r="O126" s="413"/>
    </row>
    <row r="127" spans="1:15" ht="27.75">
      <c r="A127" s="686" t="s">
        <v>235</v>
      </c>
      <c r="B127" s="1230"/>
      <c r="C127" s="1230"/>
      <c r="D127" s="599" t="s">
        <v>141</v>
      </c>
      <c r="E127" s="703">
        <f>'20'!F127</f>
        <v>8874</v>
      </c>
      <c r="F127" s="703">
        <v>8876</v>
      </c>
      <c r="G127" s="549">
        <f t="shared" si="15"/>
        <v>2</v>
      </c>
      <c r="H127" s="536">
        <f>G127+'20'!H127</f>
        <v>-11.799999999999272</v>
      </c>
      <c r="I127" s="556"/>
      <c r="J127" s="629">
        <f>H127/DAY(B2)</f>
        <v>-0.56190476190472727</v>
      </c>
      <c r="K127" s="411"/>
      <c r="L127" s="408"/>
      <c r="N127" s="413"/>
      <c r="O127" s="413"/>
    </row>
    <row r="128" spans="1:15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545</v>
      </c>
      <c r="H128" s="536">
        <f>G128+'20'!H128</f>
        <v>3419.5099999998529</v>
      </c>
      <c r="I128" s="556"/>
      <c r="J128" s="629">
        <f>H128/DAY(B2)</f>
        <v>162.83380952380253</v>
      </c>
      <c r="K128" s="391"/>
      <c r="L128" s="293"/>
      <c r="N128" s="395"/>
      <c r="O128" s="413"/>
    </row>
    <row r="129" spans="1:1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29" t="s">
        <v>238</v>
      </c>
      <c r="B130" s="1230"/>
      <c r="C130" s="1230"/>
      <c r="D130" s="599" t="s">
        <v>239</v>
      </c>
      <c r="E130" s="560">
        <f>'20'!F130</f>
        <v>0</v>
      </c>
      <c r="F130" s="560">
        <v>0</v>
      </c>
      <c r="G130" s="549">
        <f t="shared" ref="G130:G140" si="16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29" t="s">
        <v>240</v>
      </c>
      <c r="B131" s="1230"/>
      <c r="C131" s="1230"/>
      <c r="D131" s="599" t="s">
        <v>239</v>
      </c>
      <c r="E131" s="560">
        <f>'20'!F131</f>
        <v>0</v>
      </c>
      <c r="F131" s="560">
        <v>0</v>
      </c>
      <c r="G131" s="549">
        <f t="shared" si="16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29" t="s">
        <v>241</v>
      </c>
      <c r="B132" s="1230"/>
      <c r="C132" s="1230"/>
      <c r="D132" s="599" t="s">
        <v>239</v>
      </c>
      <c r="E132" s="618">
        <f>'20'!F132</f>
        <v>38829.480000000003</v>
      </c>
      <c r="F132" s="618">
        <v>38829.480000000003</v>
      </c>
      <c r="G132" s="549">
        <f t="shared" si="16"/>
        <v>0</v>
      </c>
      <c r="H132" s="536">
        <f>G132+'20'!H132</f>
        <v>386.52999999999884</v>
      </c>
      <c r="I132" s="556"/>
      <c r="J132" s="629">
        <f>H132/DAY(B2)</f>
        <v>18.406190476190421</v>
      </c>
      <c r="N132" s="413"/>
      <c r="O132" s="413"/>
    </row>
    <row r="133" spans="1:15" s="480" customFormat="1" ht="27.75">
      <c r="A133" s="1156" t="s">
        <v>242</v>
      </c>
      <c r="B133" s="1157"/>
      <c r="C133" s="1157"/>
      <c r="D133" s="704" t="s">
        <v>239</v>
      </c>
      <c r="E133" s="618">
        <f>'20'!F133</f>
        <v>299.52</v>
      </c>
      <c r="F133" s="618">
        <v>299.52</v>
      </c>
      <c r="G133" s="733">
        <f t="shared" si="16"/>
        <v>0</v>
      </c>
      <c r="H133" s="787">
        <f>G133+'20'!H133</f>
        <v>-0.48000000000001819</v>
      </c>
      <c r="I133" s="1158">
        <f>G130+G131+G132+G133</f>
        <v>0</v>
      </c>
      <c r="J133" s="789">
        <f>H133/DAY(B2)</f>
        <v>-2.2857142857143724E-2</v>
      </c>
      <c r="N133" s="795"/>
      <c r="O133" s="795"/>
    </row>
    <row r="134" spans="1:15" ht="27.75">
      <c r="A134" s="1229" t="s">
        <v>243</v>
      </c>
      <c r="B134" s="1230"/>
      <c r="C134" s="1230"/>
      <c r="D134" s="599" t="s">
        <v>239</v>
      </c>
      <c r="E134" s="618">
        <f>'20'!F134</f>
        <v>40260.519999999997</v>
      </c>
      <c r="F134" s="618">
        <v>40260.519999999997</v>
      </c>
      <c r="G134" s="549">
        <f t="shared" si="16"/>
        <v>0</v>
      </c>
      <c r="H134" s="536">
        <f>G134+'20'!H134</f>
        <v>-106.62000000000262</v>
      </c>
      <c r="I134" s="556"/>
      <c r="J134" s="629">
        <f>H134/DAY(B2)</f>
        <v>-5.0771428571429817</v>
      </c>
      <c r="N134" s="413"/>
      <c r="O134" s="413"/>
    </row>
    <row r="135" spans="1:15" ht="27.75">
      <c r="A135" s="1229" t="s">
        <v>244</v>
      </c>
      <c r="B135" s="1230"/>
      <c r="C135" s="1230"/>
      <c r="D135" s="599" t="s">
        <v>239</v>
      </c>
      <c r="E135" s="618">
        <f>'20'!F135</f>
        <v>32482</v>
      </c>
      <c r="F135" s="618">
        <v>32506</v>
      </c>
      <c r="G135" s="549">
        <f t="shared" si="16"/>
        <v>24</v>
      </c>
      <c r="H135" s="536">
        <f>G135+'20'!H135</f>
        <v>-65</v>
      </c>
      <c r="I135" s="556"/>
      <c r="J135" s="629">
        <f>H135/DAY(B2)</f>
        <v>-3.0952380952380953</v>
      </c>
      <c r="N135" s="413"/>
      <c r="O135" s="413"/>
    </row>
    <row r="136" spans="1:15" ht="27.75">
      <c r="A136" s="1229" t="s">
        <v>245</v>
      </c>
      <c r="B136" s="1230"/>
      <c r="C136" s="1230"/>
      <c r="D136" s="599" t="s">
        <v>239</v>
      </c>
      <c r="E136" s="618">
        <f>'20'!F136</f>
        <v>22154.54</v>
      </c>
      <c r="F136" s="618">
        <v>22163</v>
      </c>
      <c r="G136" s="549">
        <f t="shared" si="16"/>
        <v>8.4599999999991269</v>
      </c>
      <c r="H136" s="536">
        <f>G136+'20'!H136</f>
        <v>-59.209999999999127</v>
      </c>
      <c r="I136" s="556">
        <f>G134+G135+G136</f>
        <v>32.459999999999127</v>
      </c>
      <c r="J136" s="629">
        <f>H136/DAY(B2)</f>
        <v>-2.8195238095237678</v>
      </c>
      <c r="N136" s="413"/>
      <c r="O136" s="413"/>
    </row>
    <row r="137" spans="1:15" ht="27.75">
      <c r="A137" s="1229" t="s">
        <v>246</v>
      </c>
      <c r="B137" s="1230"/>
      <c r="C137" s="1230"/>
      <c r="D137" s="599" t="s">
        <v>239</v>
      </c>
      <c r="E137" s="618">
        <f>'20'!F137</f>
        <v>25036.560000000001</v>
      </c>
      <c r="F137" s="618">
        <v>25036.560000000001</v>
      </c>
      <c r="G137" s="549">
        <f t="shared" si="16"/>
        <v>0</v>
      </c>
      <c r="H137" s="536">
        <f>G137+'20'!H137</f>
        <v>-7.75</v>
      </c>
      <c r="I137" s="556"/>
      <c r="J137" s="629">
        <f>H137/DAY(B2)</f>
        <v>-0.36904761904761907</v>
      </c>
      <c r="N137" s="413"/>
      <c r="O137" s="413"/>
    </row>
    <row r="138" spans="1:15" ht="27.75">
      <c r="A138" s="1229" t="s">
        <v>247</v>
      </c>
      <c r="B138" s="1230"/>
      <c r="C138" s="1230"/>
      <c r="D138" s="599" t="s">
        <v>239</v>
      </c>
      <c r="E138" s="618">
        <f>'20'!F138</f>
        <v>70116.58</v>
      </c>
      <c r="F138" s="618">
        <v>70120.179999999993</v>
      </c>
      <c r="G138" s="549">
        <f t="shared" si="16"/>
        <v>3.5999999999912689</v>
      </c>
      <c r="H138" s="536">
        <f>G138+'20'!H138</f>
        <v>-27.160000000003492</v>
      </c>
      <c r="I138" s="556">
        <f>G137+G138</f>
        <v>3.5999999999912689</v>
      </c>
      <c r="J138" s="629">
        <f>H138/DAY(B2)</f>
        <v>-1.2933333333334995</v>
      </c>
      <c r="N138" s="413"/>
      <c r="O138" s="413"/>
    </row>
    <row r="139" spans="1:15" ht="27.75">
      <c r="A139" s="1229" t="s">
        <v>248</v>
      </c>
      <c r="B139" s="1230"/>
      <c r="C139" s="1230"/>
      <c r="D139" s="599" t="s">
        <v>239</v>
      </c>
      <c r="E139" s="560">
        <f>'20'!F139</f>
        <v>1362.83</v>
      </c>
      <c r="F139" s="560">
        <v>1370.98</v>
      </c>
      <c r="G139" s="549">
        <f t="shared" si="16"/>
        <v>8.1500000000000909</v>
      </c>
      <c r="H139" s="536">
        <f>G139+'20'!H139</f>
        <v>-52.160000000000082</v>
      </c>
      <c r="I139" s="619"/>
      <c r="J139" s="629">
        <f>H139/DAY(B2)</f>
        <v>-2.4838095238095277</v>
      </c>
      <c r="N139" s="413"/>
      <c r="O139" s="413"/>
    </row>
    <row r="140" spans="1:15" ht="27.75">
      <c r="A140" s="1229" t="s">
        <v>249</v>
      </c>
      <c r="B140" s="1230"/>
      <c r="C140" s="1230"/>
      <c r="D140" s="599" t="s">
        <v>239</v>
      </c>
      <c r="E140" s="560">
        <f>'20'!F140</f>
        <v>4333.53</v>
      </c>
      <c r="F140" s="560">
        <v>4333.53</v>
      </c>
      <c r="G140" s="549">
        <f t="shared" si="16"/>
        <v>0</v>
      </c>
      <c r="H140" s="536">
        <f>G140+'20'!H140</f>
        <v>-0.47000000000025466</v>
      </c>
      <c r="I140" s="619"/>
      <c r="J140" s="629">
        <f>H140/DAY(B2)</f>
        <v>-2.2380952380964509E-2</v>
      </c>
      <c r="N140" s="413"/>
      <c r="O140" s="413"/>
    </row>
    <row r="141" spans="1:15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5389</v>
      </c>
      <c r="H142" s="536">
        <f>G142+'20'!H142</f>
        <v>-39846.319999999891</v>
      </c>
      <c r="I142" s="556"/>
      <c r="J142" s="629">
        <f>H142/DAY(B2)</f>
        <v>-1897.4438095238042</v>
      </c>
      <c r="K142" s="411"/>
      <c r="L142" s="408"/>
      <c r="N142" s="413"/>
      <c r="O142" s="413"/>
    </row>
    <row r="143" spans="1:15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0.26802944394708045</v>
      </c>
      <c r="H143" s="536">
        <f>G143+'20'!H143</f>
        <v>5.3040436459902125</v>
      </c>
      <c r="I143" s="621"/>
      <c r="J143" s="629">
        <f>H143/DAY(B2)</f>
        <v>0.25257350695191488</v>
      </c>
      <c r="K143" s="411"/>
      <c r="L143" s="408"/>
      <c r="N143" s="413"/>
      <c r="O143" s="413"/>
    </row>
    <row r="144" spans="1:15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4354</v>
      </c>
      <c r="H144" s="536">
        <f>G144+'20'!H144</f>
        <v>-36714.940000000024</v>
      </c>
      <c r="I144" s="556"/>
      <c r="J144" s="629">
        <f>H144/DAY(B2)</f>
        <v>-1748.3304761904774</v>
      </c>
      <c r="K144" s="411"/>
      <c r="L144" s="408"/>
      <c r="N144" s="413"/>
      <c r="O144" s="413"/>
    </row>
    <row r="145" spans="1:15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0.21655227295334725</v>
      </c>
      <c r="H145" s="536">
        <f>G145+'20'!H145</f>
        <v>4.979050289091175</v>
      </c>
      <c r="I145" s="621"/>
      <c r="J145" s="629">
        <f>H145/DAY(B2)</f>
        <v>0.23709763281386548</v>
      </c>
      <c r="K145" s="411"/>
      <c r="L145" s="408"/>
      <c r="N145" s="413"/>
      <c r="O145" s="413"/>
    </row>
    <row r="146" spans="1:15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4214</v>
      </c>
      <c r="H146" s="536">
        <f>G146+'20'!H146</f>
        <v>70873.38</v>
      </c>
      <c r="I146" s="622"/>
      <c r="J146" s="629">
        <f>H146/DAY(B2)</f>
        <v>3374.9228571428575</v>
      </c>
      <c r="K146" s="411"/>
      <c r="L146" s="408"/>
      <c r="N146" s="413"/>
      <c r="O146" s="413"/>
    </row>
    <row r="147" spans="1:15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0.20958917735999205</v>
      </c>
      <c r="H147" s="536">
        <f>G147+'20'!H147</f>
        <v>9.1621189808476409</v>
      </c>
      <c r="I147" s="622"/>
      <c r="J147" s="629">
        <f>H147/DAY(B2)</f>
        <v>0.43629138004036383</v>
      </c>
      <c r="N147" s="413"/>
      <c r="O147" s="413"/>
    </row>
    <row r="148" spans="1:15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2026</v>
      </c>
      <c r="H148" s="536">
        <f>G148+'20'!H148</f>
        <v>-14646.200000000019</v>
      </c>
      <c r="I148" s="556"/>
      <c r="J148" s="629">
        <f>H148/DAY(B2)</f>
        <v>-697.43809523809614</v>
      </c>
      <c r="K148" s="412"/>
      <c r="N148" s="413"/>
      <c r="O148" s="413"/>
    </row>
    <row r="149" spans="1:15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0.10076594051526908</v>
      </c>
      <c r="H149" s="536">
        <f>G149+'20'!H149</f>
        <v>2.0846644652598907</v>
      </c>
      <c r="I149" s="622"/>
      <c r="J149" s="629">
        <f>H149/DAY(B2)</f>
        <v>9.9269736440947179E-2</v>
      </c>
      <c r="N149" s="413"/>
      <c r="O149" s="413"/>
    </row>
    <row r="150" spans="1:15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1887</v>
      </c>
      <c r="H150" s="536">
        <f>G150+'20'!H150</f>
        <v>-13868.600000000035</v>
      </c>
      <c r="I150" s="622"/>
      <c r="J150" s="629">
        <f>H150/DAY(B2)</f>
        <v>-660.40952380952547</v>
      </c>
      <c r="N150" s="413"/>
      <c r="O150" s="413"/>
    </row>
    <row r="151" spans="1:15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9.3852581319009254E-2</v>
      </c>
      <c r="H151" s="536">
        <f>G151+'20'!H151</f>
        <v>1.9472545318205998</v>
      </c>
      <c r="I151" s="556"/>
      <c r="J151" s="629">
        <f>H151/DAY(B2)</f>
        <v>9.2726406277171422E-2</v>
      </c>
      <c r="N151" s="413"/>
      <c r="O151" s="413"/>
    </row>
    <row r="152" spans="1:15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1522</v>
      </c>
      <c r="H152" s="536">
        <f>G152+'20'!H152</f>
        <v>24843.160000000003</v>
      </c>
      <c r="I152" s="556"/>
      <c r="J152" s="629">
        <f>H152/DAY(B2)</f>
        <v>1183.0076190476193</v>
      </c>
      <c r="N152" s="413"/>
      <c r="O152" s="413"/>
    </row>
    <row r="153" spans="1:15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7.5698796379190289E-2</v>
      </c>
      <c r="H153" s="536">
        <f>G153+'20'!H153</f>
        <v>3.2233725371914637</v>
      </c>
      <c r="I153" s="645"/>
      <c r="J153" s="646">
        <f>H153/DAY(B2)</f>
        <v>0.15349393034245065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7" t="s">
        <v>263</v>
      </c>
      <c r="B160" s="868"/>
      <c r="C160" s="868"/>
      <c r="D160" s="587" t="s">
        <v>187</v>
      </c>
      <c r="E160" s="739">
        <f>'20'!F160</f>
        <v>30114</v>
      </c>
      <c r="F160" s="739">
        <v>30199</v>
      </c>
      <c r="G160" s="549">
        <f t="shared" ref="G160:G163" si="17">F160-E160</f>
        <v>85</v>
      </c>
      <c r="K160" s="407">
        <v>68.829999999999927</v>
      </c>
      <c r="L160" s="407">
        <f t="shared" ref="L160:L171" si="18">G160-K160</f>
        <v>16.170000000000073</v>
      </c>
    </row>
    <row r="161" spans="1:12" ht="21.75" customHeight="1">
      <c r="A161" s="867" t="s">
        <v>264</v>
      </c>
      <c r="B161" s="868"/>
      <c r="C161" s="868"/>
      <c r="D161" s="587" t="s">
        <v>187</v>
      </c>
      <c r="E161" s="739">
        <f>'20'!F161</f>
        <v>51517</v>
      </c>
      <c r="F161" s="739">
        <v>51963</v>
      </c>
      <c r="G161" s="549">
        <f t="shared" si="17"/>
        <v>446</v>
      </c>
      <c r="K161" s="407">
        <v>122.46000000000004</v>
      </c>
      <c r="L161" s="407">
        <f t="shared" si="18"/>
        <v>323.53999999999996</v>
      </c>
    </row>
    <row r="162" spans="1:12" ht="21.75" customHeight="1">
      <c r="A162" s="867" t="s">
        <v>265</v>
      </c>
      <c r="B162" s="868"/>
      <c r="C162" s="868"/>
      <c r="D162" s="587" t="s">
        <v>187</v>
      </c>
      <c r="E162" s="739">
        <f>'20'!F162</f>
        <v>18292</v>
      </c>
      <c r="F162" s="739">
        <v>18691</v>
      </c>
      <c r="G162" s="549">
        <f t="shared" si="17"/>
        <v>399</v>
      </c>
      <c r="K162" s="407">
        <v>139.42000000000007</v>
      </c>
      <c r="L162" s="407">
        <f t="shared" si="18"/>
        <v>259.57999999999993</v>
      </c>
    </row>
    <row r="163" spans="1:12" ht="21.75" customHeight="1">
      <c r="A163" s="867" t="s">
        <v>266</v>
      </c>
      <c r="B163" s="868"/>
      <c r="C163" s="868"/>
      <c r="D163" s="587" t="s">
        <v>187</v>
      </c>
      <c r="E163" s="739">
        <f>'20'!F163</f>
        <v>5278</v>
      </c>
      <c r="F163" s="739">
        <v>5298</v>
      </c>
      <c r="G163" s="549">
        <f t="shared" si="17"/>
        <v>20</v>
      </c>
      <c r="K163" s="407">
        <v>49.659999999999968</v>
      </c>
      <c r="L163" s="407">
        <f t="shared" si="18"/>
        <v>-29.659999999999968</v>
      </c>
    </row>
    <row r="164" spans="1:12" ht="21.75" customHeight="1">
      <c r="A164" s="869" t="s">
        <v>98</v>
      </c>
      <c r="B164" s="681"/>
      <c r="C164" s="681"/>
      <c r="D164" s="587" t="s">
        <v>187</v>
      </c>
      <c r="E164" s="590">
        <f>E62</f>
        <v>20419.2</v>
      </c>
      <c r="F164" s="590">
        <f>F62</f>
        <v>20419.2</v>
      </c>
      <c r="G164" s="549">
        <f t="shared" ref="G164:G171" si="19">F164-E164</f>
        <v>0</v>
      </c>
      <c r="K164" s="407">
        <v>0</v>
      </c>
      <c r="L164" s="407">
        <f t="shared" si="18"/>
        <v>0</v>
      </c>
    </row>
    <row r="165" spans="1:12" ht="21.75" customHeight="1">
      <c r="A165" s="869" t="s">
        <v>188</v>
      </c>
      <c r="B165" s="681"/>
      <c r="C165" s="681"/>
      <c r="D165" s="587" t="s">
        <v>187</v>
      </c>
      <c r="E165" s="590">
        <f t="shared" ref="E165:E171" si="20">E63</f>
        <v>1597</v>
      </c>
      <c r="F165" s="590">
        <f t="shared" ref="F165:F171" si="21">F63</f>
        <v>1611</v>
      </c>
      <c r="G165" s="549">
        <f t="shared" si="19"/>
        <v>14</v>
      </c>
      <c r="K165" s="407">
        <v>0</v>
      </c>
      <c r="L165" s="407">
        <f t="shared" si="18"/>
        <v>14</v>
      </c>
    </row>
    <row r="166" spans="1:12" ht="21.75" customHeight="1">
      <c r="A166" s="1482" t="s">
        <v>99</v>
      </c>
      <c r="B166" s="1482"/>
      <c r="C166" s="1482"/>
      <c r="D166" s="599" t="s">
        <v>187</v>
      </c>
      <c r="E166" s="590">
        <f t="shared" si="20"/>
        <v>119640</v>
      </c>
      <c r="F166" s="590">
        <f t="shared" si="21"/>
        <v>120038</v>
      </c>
      <c r="G166" s="549">
        <f t="shared" si="19"/>
        <v>398</v>
      </c>
      <c r="K166" s="407">
        <v>201.76000000000204</v>
      </c>
      <c r="L166" s="407">
        <f t="shared" si="18"/>
        <v>196.23999999999796</v>
      </c>
    </row>
    <row r="167" spans="1:12" ht="21.75" customHeight="1">
      <c r="A167" s="1482" t="s">
        <v>100</v>
      </c>
      <c r="B167" s="1482"/>
      <c r="C167" s="1482"/>
      <c r="D167" s="599" t="s">
        <v>187</v>
      </c>
      <c r="E167" s="590">
        <f t="shared" si="20"/>
        <v>129452</v>
      </c>
      <c r="F167" s="590">
        <f t="shared" si="21"/>
        <v>129852</v>
      </c>
      <c r="G167" s="549">
        <f t="shared" si="19"/>
        <v>400</v>
      </c>
      <c r="K167" s="407">
        <v>191.63000000000466</v>
      </c>
      <c r="L167" s="407">
        <f t="shared" si="18"/>
        <v>208.36999999999534</v>
      </c>
    </row>
    <row r="168" spans="1:12" ht="21.75" customHeight="1">
      <c r="A168" s="1482" t="s">
        <v>101</v>
      </c>
      <c r="B168" s="1482"/>
      <c r="C168" s="1482"/>
      <c r="D168" s="599" t="s">
        <v>187</v>
      </c>
      <c r="E168" s="590">
        <f t="shared" si="20"/>
        <v>22068</v>
      </c>
      <c r="F168" s="590">
        <f t="shared" si="21"/>
        <v>22440</v>
      </c>
      <c r="G168" s="549">
        <f t="shared" si="19"/>
        <v>372</v>
      </c>
      <c r="K168" s="407">
        <v>231.68000000000029</v>
      </c>
      <c r="L168" s="407">
        <f t="shared" si="18"/>
        <v>140.31999999999971</v>
      </c>
    </row>
    <row r="169" spans="1:12" ht="26.25" customHeight="1">
      <c r="A169" s="1482" t="s">
        <v>102</v>
      </c>
      <c r="B169" s="1482"/>
      <c r="C169" s="1482"/>
      <c r="D169" s="599" t="s">
        <v>187</v>
      </c>
      <c r="E169" s="590">
        <f t="shared" si="20"/>
        <v>202595</v>
      </c>
      <c r="F169" s="590">
        <f t="shared" si="21"/>
        <v>203311</v>
      </c>
      <c r="G169" s="549">
        <f t="shared" si="19"/>
        <v>716</v>
      </c>
      <c r="K169" s="407">
        <v>344.30000000000291</v>
      </c>
      <c r="L169" s="407">
        <f t="shared" si="18"/>
        <v>371.69999999999709</v>
      </c>
    </row>
    <row r="170" spans="1:12" ht="24" customHeight="1">
      <c r="A170" s="1482" t="s">
        <v>103</v>
      </c>
      <c r="B170" s="1482"/>
      <c r="C170" s="1482"/>
      <c r="D170" s="599" t="s">
        <v>187</v>
      </c>
      <c r="E170" s="590">
        <f t="shared" si="20"/>
        <v>71175</v>
      </c>
      <c r="F170" s="590">
        <f t="shared" si="21"/>
        <v>71485</v>
      </c>
      <c r="G170" s="549">
        <f t="shared" si="19"/>
        <v>310</v>
      </c>
      <c r="K170" s="407">
        <v>140.90999999999985</v>
      </c>
      <c r="L170" s="407">
        <f t="shared" si="18"/>
        <v>169.09000000000015</v>
      </c>
    </row>
    <row r="171" spans="1:12" ht="27.75">
      <c r="A171" s="1482" t="s">
        <v>104</v>
      </c>
      <c r="B171" s="1482"/>
      <c r="C171" s="1482"/>
      <c r="D171" s="599" t="s">
        <v>187</v>
      </c>
      <c r="E171" s="590">
        <f t="shared" si="20"/>
        <v>61818</v>
      </c>
      <c r="F171" s="590">
        <f t="shared" si="21"/>
        <v>62157</v>
      </c>
      <c r="G171" s="549">
        <f t="shared" si="19"/>
        <v>339</v>
      </c>
      <c r="K171" s="407">
        <v>57.709999999999127</v>
      </c>
      <c r="L171" s="407">
        <f t="shared" si="18"/>
        <v>281.29000000000087</v>
      </c>
    </row>
    <row r="172" spans="1:12">
      <c r="G172" s="614">
        <f>SUM(G160:G171)</f>
        <v>3499</v>
      </c>
    </row>
    <row r="176" spans="1:12" ht="18.75" customHeight="1"/>
    <row r="177" spans="6:6" ht="21" customHeight="1">
      <c r="F177" s="614" t="s">
        <v>280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104" zoomScale="55" zoomScaleNormal="71" zoomScaleSheetLayoutView="55" workbookViewId="0">
      <selection activeCell="D132" sqref="D132"/>
    </sheetView>
  </sheetViews>
  <sheetFormatPr defaultColWidth="22.33203125" defaultRowHeight="20.25"/>
  <cols>
    <col min="1" max="1" width="51.21875" style="1088" customWidth="1"/>
    <col min="2" max="2" width="24.88671875" style="1088" customWidth="1"/>
    <col min="3" max="3" width="15.88671875" style="1088" customWidth="1"/>
    <col min="4" max="4" width="13.6640625" style="1088" customWidth="1"/>
    <col min="5" max="5" width="27.77734375" style="1088" customWidth="1"/>
    <col min="6" max="6" width="23.33203125" style="1088" customWidth="1"/>
    <col min="7" max="7" width="15.5546875" style="1088" bestFit="1" customWidth="1"/>
    <col min="8" max="8" width="39.21875" style="1089" customWidth="1"/>
    <col min="9" max="9" width="15" style="1088" customWidth="1"/>
    <col min="10" max="10" width="24" style="1090" customWidth="1"/>
    <col min="11" max="11" width="43.21875" style="889" hidden="1" customWidth="1"/>
    <col min="12" max="13" width="0" style="889" hidden="1" customWidth="1"/>
    <col min="14" max="14" width="25.109375" style="1091" customWidth="1"/>
    <col min="15" max="15" width="9.33203125" style="889" customWidth="1"/>
    <col min="16" max="16384" width="22.33203125" style="889"/>
  </cols>
  <sheetData>
    <row r="1" spans="1:15" ht="22.5">
      <c r="A1" s="1567" t="s">
        <v>117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ht="21">
      <c r="A2" s="890" t="s">
        <v>331</v>
      </c>
      <c r="B2" s="1199">
        <v>44249</v>
      </c>
      <c r="C2" s="891" t="s">
        <v>69</v>
      </c>
      <c r="D2" s="892">
        <v>0.38</v>
      </c>
      <c r="E2" s="893"/>
      <c r="F2" s="893"/>
      <c r="G2" s="893" t="s">
        <v>118</v>
      </c>
      <c r="H2" s="893" t="s">
        <v>6</v>
      </c>
      <c r="I2" s="893" t="s">
        <v>8</v>
      </c>
      <c r="J2" s="894" t="s">
        <v>119</v>
      </c>
      <c r="N2" s="1091" t="s">
        <v>118</v>
      </c>
    </row>
    <row r="3" spans="1:15">
      <c r="A3" s="895"/>
      <c r="B3" s="896"/>
      <c r="C3" s="891" t="s">
        <v>120</v>
      </c>
      <c r="D3" s="897">
        <v>28</v>
      </c>
      <c r="E3" s="1570" t="s">
        <v>121</v>
      </c>
      <c r="F3" s="1571"/>
      <c r="G3" s="898">
        <f>'1'!G3</f>
        <v>0</v>
      </c>
      <c r="H3" s="899">
        <f>'1'!H3</f>
        <v>0</v>
      </c>
      <c r="I3" s="899">
        <f>'1'!I3</f>
        <v>0</v>
      </c>
      <c r="J3" s="900">
        <f>'1'!J3</f>
        <v>0</v>
      </c>
      <c r="K3" s="901"/>
      <c r="L3" s="902"/>
      <c r="N3" s="1091">
        <v>0</v>
      </c>
    </row>
    <row r="4" spans="1:15">
      <c r="A4" s="903"/>
      <c r="B4" s="904"/>
      <c r="C4" s="891" t="s">
        <v>122</v>
      </c>
      <c r="D4" s="892">
        <v>0.75</v>
      </c>
      <c r="E4" s="905"/>
      <c r="F4" s="905"/>
      <c r="G4" s="905"/>
      <c r="H4" s="905"/>
      <c r="I4" s="906"/>
      <c r="J4" s="900"/>
      <c r="K4" s="907"/>
      <c r="L4" s="902"/>
    </row>
    <row r="5" spans="1:15">
      <c r="A5" s="908" t="s">
        <v>123</v>
      </c>
      <c r="B5" s="909"/>
      <c r="C5" s="909"/>
      <c r="D5" s="909" t="s">
        <v>124</v>
      </c>
      <c r="E5" s="910" t="s">
        <v>125</v>
      </c>
      <c r="F5" s="910" t="s">
        <v>112</v>
      </c>
      <c r="G5" s="911" t="s">
        <v>126</v>
      </c>
      <c r="H5" s="912" t="s">
        <v>127</v>
      </c>
      <c r="I5" s="913" t="s">
        <v>128</v>
      </c>
      <c r="J5" s="914" t="s">
        <v>129</v>
      </c>
      <c r="K5" s="915"/>
      <c r="L5" s="902"/>
      <c r="N5" s="1091" t="s">
        <v>126</v>
      </c>
    </row>
    <row r="6" spans="1:15">
      <c r="A6" s="1564" t="s">
        <v>130</v>
      </c>
      <c r="B6" s="1565"/>
      <c r="C6" s="1566"/>
      <c r="D6" s="916"/>
      <c r="E6" s="916"/>
      <c r="F6" s="916"/>
      <c r="G6" s="916"/>
      <c r="H6" s="917"/>
      <c r="I6" s="917"/>
      <c r="J6" s="918"/>
      <c r="K6" s="919"/>
      <c r="L6" s="902"/>
    </row>
    <row r="7" spans="1:15" ht="21" thickBot="1">
      <c r="A7" s="920" t="s">
        <v>131</v>
      </c>
      <c r="B7" s="921"/>
      <c r="C7" s="921"/>
      <c r="D7" s="922" t="s">
        <v>132</v>
      </c>
      <c r="E7" s="923">
        <f>'21'!F7</f>
        <v>4297423</v>
      </c>
      <c r="F7" s="923">
        <v>4317694</v>
      </c>
      <c r="G7" s="924">
        <f>F7-E7</f>
        <v>20271</v>
      </c>
      <c r="H7" s="925">
        <f>G7+'21'!H7</f>
        <v>-127383</v>
      </c>
      <c r="I7" s="926">
        <f>'1'!I7</f>
        <v>12000</v>
      </c>
      <c r="J7" s="927">
        <f>H7/DAY(B2)</f>
        <v>-5790.136363636364</v>
      </c>
      <c r="K7" s="928"/>
      <c r="L7" s="902"/>
      <c r="N7" s="1091">
        <v>12493</v>
      </c>
      <c r="O7" s="929">
        <f>N7-G7</f>
        <v>-7778</v>
      </c>
    </row>
    <row r="8" spans="1:15" ht="21" thickBot="1">
      <c r="A8" s="930" t="s">
        <v>133</v>
      </c>
      <c r="B8" s="931"/>
      <c r="C8" s="932"/>
      <c r="D8" s="933" t="s">
        <v>25</v>
      </c>
      <c r="E8" s="923">
        <f>'21'!F8</f>
        <v>4324721</v>
      </c>
      <c r="F8" s="934">
        <v>4345081</v>
      </c>
      <c r="G8" s="935">
        <f>F8-E8</f>
        <v>20360</v>
      </c>
      <c r="H8" s="925">
        <f>G8+'21'!H8</f>
        <v>-128075</v>
      </c>
      <c r="I8" s="936">
        <f>'1'!I8</f>
        <v>12000</v>
      </c>
      <c r="J8" s="927">
        <f>H8/DAY(B2)</f>
        <v>-5821.590909090909</v>
      </c>
      <c r="K8" s="928"/>
      <c r="L8" s="937"/>
      <c r="M8" s="938"/>
      <c r="N8" s="1091">
        <v>12551</v>
      </c>
      <c r="O8" s="929">
        <f t="shared" ref="O8:O71" si="0">N8-G8</f>
        <v>-7809</v>
      </c>
    </row>
    <row r="9" spans="1:15">
      <c r="A9" s="939" t="s">
        <v>134</v>
      </c>
      <c r="B9" s="940"/>
      <c r="C9" s="940"/>
      <c r="D9" s="922" t="s">
        <v>132</v>
      </c>
      <c r="E9" s="923">
        <f>'21'!F9</f>
        <v>188776</v>
      </c>
      <c r="F9" s="941">
        <v>202305</v>
      </c>
      <c r="G9" s="924">
        <f t="shared" ref="G9:G12" si="1">F9-E9</f>
        <v>13529</v>
      </c>
      <c r="H9" s="925">
        <f>G9+'21'!H9</f>
        <v>115395.99</v>
      </c>
      <c r="I9" s="942">
        <f>I8-J8</f>
        <v>17821.590909090908</v>
      </c>
      <c r="J9" s="927">
        <f>H9/DAY(B2)</f>
        <v>5245.272272727273</v>
      </c>
      <c r="K9" s="943"/>
      <c r="L9" s="902"/>
      <c r="N9" s="1091">
        <v>12017.049999999988</v>
      </c>
      <c r="O9" s="929">
        <f t="shared" si="0"/>
        <v>-1511.9500000000116</v>
      </c>
    </row>
    <row r="10" spans="1:15">
      <c r="A10" s="920" t="s">
        <v>135</v>
      </c>
      <c r="B10" s="921"/>
      <c r="C10" s="921"/>
      <c r="D10" s="922" t="s">
        <v>132</v>
      </c>
      <c r="E10" s="923">
        <f>'21'!F10</f>
        <v>1369984</v>
      </c>
      <c r="F10" s="941">
        <v>1376130</v>
      </c>
      <c r="G10" s="924">
        <f t="shared" si="1"/>
        <v>6146</v>
      </c>
      <c r="H10" s="925">
        <f>G10+'21'!H10</f>
        <v>1350434.44</v>
      </c>
      <c r="I10" s="944"/>
      <c r="J10" s="927">
        <f>H10/DAY(B2)</f>
        <v>61383.383636363636</v>
      </c>
      <c r="K10" s="943"/>
      <c r="L10" s="902"/>
      <c r="N10" s="1091">
        <v>0</v>
      </c>
      <c r="O10" s="929">
        <f t="shared" si="0"/>
        <v>-6146</v>
      </c>
    </row>
    <row r="11" spans="1:15">
      <c r="A11" s="920" t="s">
        <v>136</v>
      </c>
      <c r="B11" s="921"/>
      <c r="C11" s="921"/>
      <c r="D11" s="922" t="s">
        <v>132</v>
      </c>
      <c r="E11" s="923">
        <f>'21'!F11</f>
        <v>37000</v>
      </c>
      <c r="F11" s="923">
        <v>37000</v>
      </c>
      <c r="G11" s="924">
        <f t="shared" si="1"/>
        <v>0</v>
      </c>
      <c r="H11" s="925">
        <f>G11+'21'!H11</f>
        <v>-2000</v>
      </c>
      <c r="I11" s="944"/>
      <c r="J11" s="927">
        <f>H11/DAY(B2)</f>
        <v>-90.909090909090907</v>
      </c>
      <c r="K11" s="943"/>
      <c r="L11" s="902"/>
      <c r="N11" s="1091">
        <v>0</v>
      </c>
      <c r="O11" s="929">
        <f t="shared" si="0"/>
        <v>0</v>
      </c>
    </row>
    <row r="12" spans="1:15">
      <c r="A12" s="920" t="s">
        <v>137</v>
      </c>
      <c r="B12" s="921"/>
      <c r="C12" s="921"/>
      <c r="D12" s="922" t="s">
        <v>132</v>
      </c>
      <c r="E12" s="923">
        <f>'21'!F12</f>
        <v>40010</v>
      </c>
      <c r="F12" s="941">
        <v>40010</v>
      </c>
      <c r="G12" s="924">
        <f t="shared" si="1"/>
        <v>0</v>
      </c>
      <c r="H12" s="925">
        <f>G12+'21'!H12</f>
        <v>-2000</v>
      </c>
      <c r="I12" s="944"/>
      <c r="J12" s="927">
        <f>H12/DAY(B2)</f>
        <v>-90.909090909090907</v>
      </c>
      <c r="K12" s="943"/>
      <c r="L12" s="902"/>
      <c r="N12" s="1091">
        <v>0</v>
      </c>
      <c r="O12" s="929">
        <f t="shared" si="0"/>
        <v>0</v>
      </c>
    </row>
    <row r="13" spans="1:15">
      <c r="A13" s="945" t="s">
        <v>138</v>
      </c>
      <c r="B13" s="946"/>
      <c r="C13" s="946"/>
      <c r="D13" s="922"/>
      <c r="E13" s="923"/>
      <c r="F13" s="923"/>
      <c r="G13" s="947">
        <f>G9+G10+G11+G12</f>
        <v>19675</v>
      </c>
      <c r="H13" s="925">
        <f>G13+'21'!H13</f>
        <v>1440836.43</v>
      </c>
      <c r="I13" s="948">
        <f>G7-G13</f>
        <v>596</v>
      </c>
      <c r="J13" s="927">
        <f>H13/DAY(B2)</f>
        <v>65492.564999999995</v>
      </c>
      <c r="K13" s="943"/>
      <c r="L13" s="902"/>
      <c r="N13" s="1091">
        <v>12017.049999999988</v>
      </c>
      <c r="O13" s="929">
        <f t="shared" si="0"/>
        <v>-7657.9500000000116</v>
      </c>
    </row>
    <row r="14" spans="1:15">
      <c r="A14" s="1558" t="s">
        <v>139</v>
      </c>
      <c r="B14" s="1559"/>
      <c r="C14" s="1560"/>
      <c r="D14" s="917"/>
      <c r="E14" s="917"/>
      <c r="F14" s="917"/>
      <c r="G14" s="949"/>
      <c r="H14" s="917"/>
      <c r="I14" s="917"/>
      <c r="J14" s="918"/>
      <c r="K14" s="950"/>
      <c r="L14" s="902"/>
      <c r="O14" s="929">
        <f t="shared" si="0"/>
        <v>0</v>
      </c>
    </row>
    <row r="15" spans="1:15">
      <c r="A15" s="951" t="s">
        <v>140</v>
      </c>
      <c r="B15" s="952"/>
      <c r="C15" s="952"/>
      <c r="D15" s="922" t="s">
        <v>141</v>
      </c>
      <c r="E15" s="923">
        <f>'21'!F15</f>
        <v>1613461</v>
      </c>
      <c r="F15" s="953">
        <v>1614396</v>
      </c>
      <c r="G15" s="924">
        <f>(F15-E15)</f>
        <v>935</v>
      </c>
      <c r="H15" s="925">
        <f>G15+'21'!H15</f>
        <v>-5482.6100000001024</v>
      </c>
      <c r="I15" s="926">
        <v>800</v>
      </c>
      <c r="J15" s="927">
        <f>H15/DAY(B2)</f>
        <v>-249.20954545455012</v>
      </c>
      <c r="K15" s="943"/>
      <c r="L15" s="902"/>
      <c r="N15" s="1091">
        <v>499.20999999996275</v>
      </c>
      <c r="O15" s="929">
        <f t="shared" si="0"/>
        <v>-435.79000000003725</v>
      </c>
    </row>
    <row r="16" spans="1:15">
      <c r="A16" s="954"/>
      <c r="B16" s="955"/>
      <c r="C16" s="955"/>
      <c r="D16" s="956"/>
      <c r="E16" s="957"/>
      <c r="F16" s="957"/>
      <c r="G16" s="924"/>
      <c r="H16" s="958"/>
      <c r="I16" s="959">
        <f>I15-J15</f>
        <v>1049.2095454545502</v>
      </c>
      <c r="J16" s="960"/>
      <c r="K16" s="943"/>
      <c r="L16" s="902"/>
      <c r="O16" s="929">
        <f t="shared" si="0"/>
        <v>0</v>
      </c>
    </row>
    <row r="17" spans="1:15">
      <c r="A17" s="1558" t="s">
        <v>142</v>
      </c>
      <c r="B17" s="1559"/>
      <c r="C17" s="1560"/>
      <c r="D17" s="917"/>
      <c r="E17" s="917"/>
      <c r="F17" s="917"/>
      <c r="G17" s="961"/>
      <c r="H17" s="917"/>
      <c r="I17" s="917"/>
      <c r="J17" s="918"/>
      <c r="K17" s="943"/>
      <c r="L17" s="902"/>
      <c r="O17" s="929">
        <f t="shared" si="0"/>
        <v>0</v>
      </c>
    </row>
    <row r="18" spans="1:15">
      <c r="A18" s="1555" t="s">
        <v>143</v>
      </c>
      <c r="B18" s="1556"/>
      <c r="C18" s="1557"/>
      <c r="D18" s="922" t="s">
        <v>144</v>
      </c>
      <c r="E18" s="923">
        <f>'21'!F18</f>
        <v>18</v>
      </c>
      <c r="F18" s="953">
        <v>15</v>
      </c>
      <c r="G18" s="947">
        <f>F18*10</f>
        <v>150</v>
      </c>
      <c r="H18" s="925">
        <f>G18+'21'!H18</f>
        <v>3460</v>
      </c>
      <c r="I18" s="926">
        <f>'1'!I18</f>
        <v>65</v>
      </c>
      <c r="J18" s="927">
        <f>H18/DAY(B2)</f>
        <v>157.27272727272728</v>
      </c>
      <c r="K18" s="943"/>
      <c r="L18" s="902"/>
      <c r="N18" s="1091">
        <v>20</v>
      </c>
      <c r="O18" s="929">
        <f t="shared" si="0"/>
        <v>-130</v>
      </c>
    </row>
    <row r="19" spans="1:15">
      <c r="A19" s="1555" t="s">
        <v>71</v>
      </c>
      <c r="B19" s="1556"/>
      <c r="C19" s="1557"/>
      <c r="D19" s="922" t="s">
        <v>144</v>
      </c>
      <c r="E19" s="923">
        <f>'21'!F19</f>
        <v>134105</v>
      </c>
      <c r="F19" s="953">
        <v>134156</v>
      </c>
      <c r="G19" s="924">
        <f t="shared" ref="G19" si="2">F19-E19</f>
        <v>51</v>
      </c>
      <c r="H19" s="925">
        <f>G19+'21'!H19</f>
        <v>-312</v>
      </c>
      <c r="I19" s="962"/>
      <c r="J19" s="927">
        <f>H19/DAY(B2)</f>
        <v>-14.181818181818182</v>
      </c>
      <c r="K19" s="943"/>
      <c r="L19" s="902"/>
      <c r="N19" s="1091">
        <v>53</v>
      </c>
      <c r="O19" s="929">
        <f t="shared" si="0"/>
        <v>2</v>
      </c>
    </row>
    <row r="20" spans="1:15">
      <c r="A20" s="945" t="s">
        <v>145</v>
      </c>
      <c r="B20" s="946"/>
      <c r="C20" s="946"/>
      <c r="D20" s="963"/>
      <c r="E20" s="963"/>
      <c r="F20" s="963"/>
      <c r="G20" s="964">
        <f>G18+G19</f>
        <v>201</v>
      </c>
      <c r="H20" s="925">
        <f>G20+'21'!H20</f>
        <v>3148</v>
      </c>
      <c r="I20" s="965">
        <f>I18-J20</f>
        <v>-78.090909090909093</v>
      </c>
      <c r="J20" s="927">
        <f>H20/DAY(B2)</f>
        <v>143.09090909090909</v>
      </c>
      <c r="K20" s="943"/>
      <c r="L20" s="902"/>
      <c r="N20" s="1091">
        <v>73</v>
      </c>
      <c r="O20" s="929">
        <f t="shared" si="0"/>
        <v>-128</v>
      </c>
    </row>
    <row r="21" spans="1:15">
      <c r="A21" s="1558" t="s">
        <v>146</v>
      </c>
      <c r="B21" s="1559"/>
      <c r="C21" s="1560"/>
      <c r="D21" s="917"/>
      <c r="E21" s="917"/>
      <c r="F21" s="917"/>
      <c r="G21" s="949"/>
      <c r="H21" s="917"/>
      <c r="I21" s="917"/>
      <c r="J21" s="918"/>
      <c r="K21" s="943"/>
      <c r="L21" s="902"/>
      <c r="O21" s="929">
        <f t="shared" si="0"/>
        <v>0</v>
      </c>
    </row>
    <row r="22" spans="1:15">
      <c r="A22" s="951" t="s">
        <v>147</v>
      </c>
      <c r="B22" s="952"/>
      <c r="C22" s="952"/>
      <c r="D22" s="922" t="s">
        <v>148</v>
      </c>
      <c r="E22" s="953">
        <f>'21'!F22</f>
        <v>2250</v>
      </c>
      <c r="F22" s="953">
        <v>2250</v>
      </c>
      <c r="G22" s="947">
        <f>(F22-E22)</f>
        <v>0</v>
      </c>
      <c r="H22" s="925">
        <f>G22+'21'!H22</f>
        <v>0</v>
      </c>
      <c r="I22" s="944"/>
      <c r="J22" s="927">
        <f>H22/DAY(B2)</f>
        <v>0</v>
      </c>
      <c r="K22" s="943"/>
      <c r="L22" s="902"/>
      <c r="N22" s="1091">
        <v>0</v>
      </c>
      <c r="O22" s="929">
        <f t="shared" si="0"/>
        <v>0</v>
      </c>
    </row>
    <row r="23" spans="1:15">
      <c r="A23" s="951" t="s">
        <v>149</v>
      </c>
      <c r="B23" s="952"/>
      <c r="C23" s="952"/>
      <c r="D23" s="922" t="s">
        <v>148</v>
      </c>
      <c r="E23" s="953">
        <f>'21'!F23</f>
        <v>2000</v>
      </c>
      <c r="F23" s="953">
        <v>2000</v>
      </c>
      <c r="G23" s="947">
        <v>0</v>
      </c>
      <c r="H23" s="925">
        <f>G23+'21'!H23</f>
        <v>0</v>
      </c>
      <c r="I23" s="944"/>
      <c r="J23" s="927">
        <f>H23/DAY(B2)</f>
        <v>0</v>
      </c>
      <c r="K23" s="943"/>
      <c r="L23" s="902"/>
      <c r="N23" s="1091">
        <v>0</v>
      </c>
      <c r="O23" s="929">
        <f t="shared" si="0"/>
        <v>0</v>
      </c>
    </row>
    <row r="24" spans="1:15">
      <c r="A24" s="966" t="s">
        <v>150</v>
      </c>
      <c r="B24" s="967"/>
      <c r="C24" s="967"/>
      <c r="D24" s="909" t="s">
        <v>148</v>
      </c>
      <c r="E24" s="953">
        <f>'21'!F24</f>
        <v>4250</v>
      </c>
      <c r="F24" s="968">
        <v>4970</v>
      </c>
      <c r="G24" s="947">
        <v>0</v>
      </c>
      <c r="H24" s="925">
        <f>G24+'21'!H24</f>
        <v>0</v>
      </c>
      <c r="I24" s="944"/>
      <c r="J24" s="927">
        <f>H24/DAY(B2)</f>
        <v>0</v>
      </c>
      <c r="K24" s="943"/>
      <c r="L24" s="902"/>
      <c r="N24" s="1091">
        <v>0</v>
      </c>
      <c r="O24" s="929">
        <f t="shared" si="0"/>
        <v>0</v>
      </c>
    </row>
    <row r="25" spans="1:15" s="974" customFormat="1">
      <c r="A25" s="1564" t="s">
        <v>151</v>
      </c>
      <c r="B25" s="1565"/>
      <c r="C25" s="1566"/>
      <c r="D25" s="916"/>
      <c r="E25" s="916"/>
      <c r="F25" s="916"/>
      <c r="G25" s="969"/>
      <c r="H25" s="970"/>
      <c r="I25" s="971"/>
      <c r="J25" s="972"/>
      <c r="K25" s="943"/>
      <c r="L25" s="973"/>
      <c r="N25" s="1092"/>
      <c r="O25" s="929">
        <f t="shared" si="0"/>
        <v>0</v>
      </c>
    </row>
    <row r="26" spans="1:15" s="974" customFormat="1">
      <c r="A26" s="975" t="s">
        <v>152</v>
      </c>
      <c r="B26" s="976"/>
      <c r="C26" s="977"/>
      <c r="D26" s="978" t="s">
        <v>153</v>
      </c>
      <c r="E26" s="979"/>
      <c r="F26" s="979"/>
      <c r="G26" s="980"/>
      <c r="H26" s="925"/>
      <c r="I26" s="981"/>
      <c r="J26" s="927"/>
      <c r="K26" s="950"/>
      <c r="L26" s="973"/>
      <c r="N26" s="1092"/>
      <c r="O26" s="929">
        <f t="shared" si="0"/>
        <v>0</v>
      </c>
    </row>
    <row r="27" spans="1:15" s="974" customFormat="1" ht="22.5">
      <c r="A27" s="975" t="s">
        <v>6</v>
      </c>
      <c r="B27" s="976"/>
      <c r="C27" s="977"/>
      <c r="D27" s="982" t="s">
        <v>25</v>
      </c>
      <c r="E27" s="983">
        <f>G8</f>
        <v>20360</v>
      </c>
      <c r="F27" s="577">
        <v>9</v>
      </c>
      <c r="G27" s="985">
        <f>E27*F27</f>
        <v>183240</v>
      </c>
      <c r="H27" s="925">
        <f>G27+'21'!H27</f>
        <v>-1152675</v>
      </c>
      <c r="I27" s="986"/>
      <c r="J27" s="927">
        <f>H27/DAY(B2)</f>
        <v>-52394.318181818184</v>
      </c>
      <c r="K27" s="943"/>
      <c r="L27" s="973"/>
      <c r="N27" s="1092">
        <v>125510</v>
      </c>
      <c r="O27" s="929">
        <f t="shared" si="0"/>
        <v>-57730</v>
      </c>
    </row>
    <row r="28" spans="1:15" s="974" customFormat="1" ht="22.5">
      <c r="A28" s="975" t="s">
        <v>154</v>
      </c>
      <c r="B28" s="976"/>
      <c r="C28" s="977"/>
      <c r="D28" s="982" t="s">
        <v>155</v>
      </c>
      <c r="E28" s="983">
        <f>G15</f>
        <v>935</v>
      </c>
      <c r="F28" s="577">
        <v>43.5</v>
      </c>
      <c r="G28" s="985">
        <f>E28*F28</f>
        <v>40672.5</v>
      </c>
      <c r="H28" s="925">
        <f>G28+'21'!H28</f>
        <v>-219187.99680000497</v>
      </c>
      <c r="I28" s="987"/>
      <c r="J28" s="927">
        <f>H28/DAY(B2)</f>
        <v>-9963.0907636365901</v>
      </c>
      <c r="K28" s="943"/>
      <c r="L28" s="973"/>
      <c r="N28" s="1092">
        <v>17472.349999998696</v>
      </c>
      <c r="O28" s="929">
        <f t="shared" si="0"/>
        <v>-23200.150000001304</v>
      </c>
    </row>
    <row r="29" spans="1:15" s="974" customFormat="1">
      <c r="A29" s="975" t="s">
        <v>156</v>
      </c>
      <c r="B29" s="976"/>
      <c r="C29" s="977"/>
      <c r="D29" s="982" t="s">
        <v>157</v>
      </c>
      <c r="E29" s="983">
        <f>G24</f>
        <v>0</v>
      </c>
      <c r="F29" s="984">
        <v>69</v>
      </c>
      <c r="G29" s="985">
        <f>E29*F29</f>
        <v>0</v>
      </c>
      <c r="H29" s="925">
        <f>G29+'21'!H29</f>
        <v>0</v>
      </c>
      <c r="I29" s="987"/>
      <c r="J29" s="927">
        <f>H29/DAY(B2)</f>
        <v>0</v>
      </c>
      <c r="K29" s="943"/>
      <c r="L29" s="973"/>
      <c r="N29" s="1092">
        <v>0</v>
      </c>
      <c r="O29" s="929">
        <f t="shared" si="0"/>
        <v>0</v>
      </c>
    </row>
    <row r="30" spans="1:15" s="974" customFormat="1">
      <c r="A30" s="975" t="s">
        <v>158</v>
      </c>
      <c r="B30" s="976"/>
      <c r="C30" s="977"/>
      <c r="D30" s="982" t="s">
        <v>159</v>
      </c>
      <c r="E30" s="983">
        <f>G19</f>
        <v>51</v>
      </c>
      <c r="F30" s="984">
        <v>134</v>
      </c>
      <c r="G30" s="985">
        <f>E30*F30</f>
        <v>6834</v>
      </c>
      <c r="H30" s="925">
        <f>G30+'21'!H30</f>
        <v>-24120</v>
      </c>
      <c r="I30" s="987"/>
      <c r="J30" s="927">
        <f>H30/DAY(B2)</f>
        <v>-1096.3636363636363</v>
      </c>
      <c r="K30" s="943"/>
      <c r="L30" s="973"/>
      <c r="N30" s="1092">
        <v>7102</v>
      </c>
      <c r="O30" s="929">
        <f t="shared" si="0"/>
        <v>268</v>
      </c>
    </row>
    <row r="31" spans="1:15" s="974" customFormat="1">
      <c r="A31" s="975" t="s">
        <v>160</v>
      </c>
      <c r="B31" s="976"/>
      <c r="C31" s="977"/>
      <c r="D31" s="982" t="s">
        <v>144</v>
      </c>
      <c r="E31" s="983">
        <f>G18</f>
        <v>150</v>
      </c>
      <c r="F31" s="984">
        <v>80</v>
      </c>
      <c r="G31" s="985">
        <f>E31*F31</f>
        <v>12000</v>
      </c>
      <c r="H31" s="925">
        <f>G31+'21'!H31</f>
        <v>266240</v>
      </c>
      <c r="I31" s="987"/>
      <c r="J31" s="927">
        <f>H31/DAY(B2)</f>
        <v>12101.818181818182</v>
      </c>
      <c r="K31" s="943"/>
      <c r="L31" s="973"/>
      <c r="N31" s="1092">
        <v>1600</v>
      </c>
      <c r="O31" s="929">
        <f t="shared" si="0"/>
        <v>-10400</v>
      </c>
    </row>
    <row r="32" spans="1:15" s="974" customFormat="1">
      <c r="A32" s="988" t="s">
        <v>161</v>
      </c>
      <c r="B32" s="989"/>
      <c r="C32" s="990"/>
      <c r="D32" s="991"/>
      <c r="E32" s="991"/>
      <c r="F32" s="991"/>
      <c r="G32" s="992">
        <f>G27+G28+G29+G30+G31</f>
        <v>242746.5</v>
      </c>
      <c r="H32" s="925">
        <f>G32+'21'!H32</f>
        <v>-1129742.996800005</v>
      </c>
      <c r="I32" s="993"/>
      <c r="J32" s="927">
        <f>H32/DAY(B2)</f>
        <v>-51351.954400000228</v>
      </c>
      <c r="K32" s="943"/>
      <c r="L32" s="973"/>
      <c r="N32" s="1092">
        <v>151684.3499999987</v>
      </c>
      <c r="O32" s="929">
        <f t="shared" si="0"/>
        <v>-91062.150000001304</v>
      </c>
    </row>
    <row r="33" spans="1:15" ht="18.75">
      <c r="A33" s="1561" t="s">
        <v>162</v>
      </c>
      <c r="B33" s="1562"/>
      <c r="C33" s="1562"/>
      <c r="D33" s="1562"/>
      <c r="E33" s="1562"/>
      <c r="F33" s="1562"/>
      <c r="G33" s="1562"/>
      <c r="H33" s="1562"/>
      <c r="I33" s="1562"/>
      <c r="J33" s="1563"/>
      <c r="K33" s="943"/>
      <c r="L33" s="902"/>
      <c r="O33" s="929">
        <f t="shared" si="0"/>
        <v>0</v>
      </c>
    </row>
    <row r="34" spans="1:15">
      <c r="A34" s="994" t="s">
        <v>163</v>
      </c>
      <c r="B34" s="995"/>
      <c r="C34" s="995"/>
      <c r="D34" s="917"/>
      <c r="E34" s="916"/>
      <c r="F34" s="916"/>
      <c r="G34" s="917"/>
      <c r="H34" s="917"/>
      <c r="I34" s="917"/>
      <c r="J34" s="918"/>
      <c r="K34" s="943"/>
      <c r="L34" s="902"/>
      <c r="O34" s="929">
        <f t="shared" si="0"/>
        <v>0</v>
      </c>
    </row>
    <row r="35" spans="1:15">
      <c r="A35" s="920" t="s">
        <v>164</v>
      </c>
      <c r="B35" s="921"/>
      <c r="C35" s="921"/>
      <c r="D35" s="922" t="s">
        <v>132</v>
      </c>
      <c r="E35" s="923">
        <f>'21'!F35</f>
        <v>671346</v>
      </c>
      <c r="F35" s="996">
        <v>674142</v>
      </c>
      <c r="G35" s="924">
        <f t="shared" ref="G35:G46" si="3">F35-E35</f>
        <v>2796</v>
      </c>
      <c r="H35" s="925">
        <f>G35+'21'!H35</f>
        <v>-18945.589999999967</v>
      </c>
      <c r="I35" s="923"/>
      <c r="J35" s="927">
        <f>H35/DAY(B2)</f>
        <v>-861.16318181818031</v>
      </c>
      <c r="K35" s="943"/>
      <c r="L35" s="902"/>
      <c r="N35" s="1091">
        <v>1529.8400000000256</v>
      </c>
      <c r="O35" s="929">
        <f t="shared" si="0"/>
        <v>-1266.1599999999744</v>
      </c>
    </row>
    <row r="36" spans="1:15">
      <c r="A36" s="920" t="s">
        <v>165</v>
      </c>
      <c r="B36" s="921"/>
      <c r="C36" s="921"/>
      <c r="D36" s="922" t="s">
        <v>132</v>
      </c>
      <c r="E36" s="923">
        <f>'21'!F36</f>
        <v>291175</v>
      </c>
      <c r="F36" s="996">
        <v>291904</v>
      </c>
      <c r="G36" s="924">
        <f t="shared" si="3"/>
        <v>729</v>
      </c>
      <c r="H36" s="925">
        <f>G36+'21'!H36</f>
        <v>-4541.570000000007</v>
      </c>
      <c r="I36" s="923"/>
      <c r="J36" s="927">
        <f>H36/DAY(B2)</f>
        <v>-206.43500000000031</v>
      </c>
      <c r="K36" s="943"/>
      <c r="L36" s="902"/>
      <c r="N36" s="1091">
        <v>466.20999999999185</v>
      </c>
      <c r="O36" s="929">
        <f t="shared" si="0"/>
        <v>-262.79000000000815</v>
      </c>
    </row>
    <row r="37" spans="1:15">
      <c r="A37" s="920" t="s">
        <v>166</v>
      </c>
      <c r="B37" s="921"/>
      <c r="C37" s="921"/>
      <c r="D37" s="922" t="s">
        <v>132</v>
      </c>
      <c r="E37" s="923">
        <f>'21'!F37</f>
        <v>21738</v>
      </c>
      <c r="F37" s="996">
        <v>23205</v>
      </c>
      <c r="G37" s="924">
        <f t="shared" si="3"/>
        <v>1467</v>
      </c>
      <c r="H37" s="925">
        <f>G37+'21'!H37</f>
        <v>26310.080000000002</v>
      </c>
      <c r="I37" s="923"/>
      <c r="J37" s="927">
        <f>H37/DAY(B2)</f>
        <v>1195.9127272727274</v>
      </c>
      <c r="K37" s="943"/>
      <c r="L37" s="902"/>
      <c r="N37" s="1091">
        <v>1215.359999999986</v>
      </c>
      <c r="O37" s="929">
        <f t="shared" si="0"/>
        <v>-251.64000000001397</v>
      </c>
    </row>
    <row r="38" spans="1:15">
      <c r="A38" s="920" t="s">
        <v>167</v>
      </c>
      <c r="B38" s="921"/>
      <c r="C38" s="921"/>
      <c r="D38" s="922" t="s">
        <v>132</v>
      </c>
      <c r="E38" s="923">
        <f>'21'!F38</f>
        <v>29167</v>
      </c>
      <c r="F38" s="912">
        <v>31247</v>
      </c>
      <c r="G38" s="924">
        <f t="shared" si="3"/>
        <v>2080</v>
      </c>
      <c r="H38" s="925">
        <f>G38+'21'!H38</f>
        <v>-12566.489999999998</v>
      </c>
      <c r="I38" s="923"/>
      <c r="J38" s="927">
        <f>H38/DAY(B2)</f>
        <v>-571.20409090909084</v>
      </c>
      <c r="K38" s="943"/>
      <c r="L38" s="902"/>
      <c r="N38" s="1091">
        <v>0</v>
      </c>
      <c r="O38" s="929">
        <f t="shared" si="0"/>
        <v>-2080</v>
      </c>
    </row>
    <row r="39" spans="1:15">
      <c r="A39" s="920" t="s">
        <v>168</v>
      </c>
      <c r="B39" s="921"/>
      <c r="C39" s="921"/>
      <c r="D39" s="922" t="s">
        <v>132</v>
      </c>
      <c r="E39" s="923">
        <f>'21'!F39</f>
        <v>61480</v>
      </c>
      <c r="F39" s="996">
        <v>65595</v>
      </c>
      <c r="G39" s="924">
        <f t="shared" si="3"/>
        <v>4115</v>
      </c>
      <c r="H39" s="925">
        <f>G39+'21'!H39</f>
        <v>74987.889999999985</v>
      </c>
      <c r="I39" s="923"/>
      <c r="J39" s="927">
        <f>H39/DAY(B2)</f>
        <v>3408.5404545454539</v>
      </c>
      <c r="K39" s="943"/>
      <c r="L39" s="902"/>
      <c r="N39" s="1091">
        <v>2046.7600000000093</v>
      </c>
      <c r="O39" s="929">
        <f t="shared" si="0"/>
        <v>-2068.2399999999907</v>
      </c>
    </row>
    <row r="40" spans="1:15">
      <c r="A40" s="997" t="s">
        <v>169</v>
      </c>
      <c r="B40" s="998"/>
      <c r="C40" s="998"/>
      <c r="D40" s="922" t="s">
        <v>132</v>
      </c>
      <c r="E40" s="923">
        <f>'21'!F40</f>
        <v>0</v>
      </c>
      <c r="F40" s="996">
        <v>0</v>
      </c>
      <c r="G40" s="924">
        <f t="shared" si="3"/>
        <v>0</v>
      </c>
      <c r="H40" s="925">
        <f>G40+'21'!H40</f>
        <v>-0.06</v>
      </c>
      <c r="I40" s="923"/>
      <c r="J40" s="927">
        <f>H40/DAY(B2)</f>
        <v>-2.7272727272727271E-3</v>
      </c>
      <c r="K40" s="950"/>
      <c r="L40" s="902"/>
      <c r="N40" s="1091">
        <v>0</v>
      </c>
      <c r="O40" s="929">
        <f t="shared" si="0"/>
        <v>0</v>
      </c>
    </row>
    <row r="41" spans="1:15">
      <c r="A41" s="920" t="s">
        <v>170</v>
      </c>
      <c r="B41" s="921"/>
      <c r="C41" s="921"/>
      <c r="D41" s="922" t="s">
        <v>132</v>
      </c>
      <c r="E41" s="923">
        <f>'21'!F41</f>
        <v>63882</v>
      </c>
      <c r="F41" s="996">
        <v>63882</v>
      </c>
      <c r="G41" s="924">
        <f t="shared" si="3"/>
        <v>0</v>
      </c>
      <c r="H41" s="925">
        <f>G41+'21'!H41</f>
        <v>-0.37000000000261934</v>
      </c>
      <c r="I41" s="923"/>
      <c r="J41" s="927">
        <f>H41/DAY(B2)</f>
        <v>-1.681818181830088E-2</v>
      </c>
      <c r="K41" s="943"/>
      <c r="L41" s="902"/>
      <c r="N41" s="1091">
        <v>0.95000000001164153</v>
      </c>
      <c r="O41" s="929">
        <f t="shared" si="0"/>
        <v>0.95000000001164153</v>
      </c>
    </row>
    <row r="42" spans="1:15">
      <c r="A42" s="920" t="s">
        <v>171</v>
      </c>
      <c r="B42" s="921"/>
      <c r="C42" s="921"/>
      <c r="D42" s="922" t="s">
        <v>132</v>
      </c>
      <c r="E42" s="923">
        <f>'21'!F42</f>
        <v>59129</v>
      </c>
      <c r="F42" s="996">
        <v>59129</v>
      </c>
      <c r="G42" s="924">
        <f t="shared" si="3"/>
        <v>0</v>
      </c>
      <c r="H42" s="925">
        <f>G42+'21'!H42</f>
        <v>0.15000000000145519</v>
      </c>
      <c r="I42" s="923"/>
      <c r="J42" s="927">
        <f>H42/DAY(B2)</f>
        <v>6.8181818182479629E-3</v>
      </c>
      <c r="K42" s="943"/>
      <c r="L42" s="902"/>
      <c r="N42" s="1091">
        <v>3270.130000000001</v>
      </c>
      <c r="O42" s="929">
        <f t="shared" si="0"/>
        <v>3270.130000000001</v>
      </c>
    </row>
    <row r="43" spans="1:15">
      <c r="A43" s="920" t="s">
        <v>172</v>
      </c>
      <c r="B43" s="921"/>
      <c r="C43" s="921"/>
      <c r="D43" s="922" t="s">
        <v>132</v>
      </c>
      <c r="E43" s="923">
        <f>'21'!F43</f>
        <v>809491</v>
      </c>
      <c r="F43" s="996">
        <v>811840</v>
      </c>
      <c r="G43" s="924">
        <f>F43-E43</f>
        <v>2349</v>
      </c>
      <c r="H43" s="925">
        <f>G43+'21'!H43</f>
        <v>-14057.829999999958</v>
      </c>
      <c r="I43" s="923"/>
      <c r="J43" s="927">
        <f>H43/DAY(B2)</f>
        <v>-638.9922727272708</v>
      </c>
      <c r="K43" s="943"/>
      <c r="L43" s="902"/>
      <c r="N43" s="1091">
        <v>1586.2399999999907</v>
      </c>
      <c r="O43" s="929">
        <f t="shared" si="0"/>
        <v>-762.76000000000931</v>
      </c>
    </row>
    <row r="44" spans="1:15">
      <c r="A44" s="920" t="s">
        <v>173</v>
      </c>
      <c r="B44" s="921"/>
      <c r="C44" s="921"/>
      <c r="D44" s="922" t="s">
        <v>132</v>
      </c>
      <c r="E44" s="923">
        <f>'21'!F44</f>
        <v>0</v>
      </c>
      <c r="F44" s="996">
        <v>0</v>
      </c>
      <c r="G44" s="924">
        <f t="shared" si="3"/>
        <v>0</v>
      </c>
      <c r="H44" s="925">
        <f>G44+'21'!H44</f>
        <v>0</v>
      </c>
      <c r="I44" s="923"/>
      <c r="J44" s="927">
        <f>H44/DAY(B2)</f>
        <v>0</v>
      </c>
      <c r="K44" s="943"/>
      <c r="L44" s="902"/>
      <c r="N44" s="1091">
        <v>0</v>
      </c>
      <c r="O44" s="929">
        <f t="shared" si="0"/>
        <v>0</v>
      </c>
    </row>
    <row r="45" spans="1:15">
      <c r="A45" s="920" t="s">
        <v>174</v>
      </c>
      <c r="B45" s="921"/>
      <c r="C45" s="921"/>
      <c r="D45" s="922" t="s">
        <v>132</v>
      </c>
      <c r="E45" s="923">
        <f>'21'!F45</f>
        <v>614</v>
      </c>
      <c r="F45" s="996">
        <v>614</v>
      </c>
      <c r="G45" s="924">
        <f t="shared" si="3"/>
        <v>0</v>
      </c>
      <c r="H45" s="925">
        <f>G45+'21'!H45</f>
        <v>0</v>
      </c>
      <c r="I45" s="923"/>
      <c r="J45" s="927">
        <f>H45/DAY(B2)</f>
        <v>0</v>
      </c>
      <c r="K45" s="943"/>
      <c r="L45" s="902"/>
      <c r="N45" s="1091">
        <v>0.48000000000001819</v>
      </c>
      <c r="O45" s="929">
        <f t="shared" si="0"/>
        <v>0.48000000000001819</v>
      </c>
    </row>
    <row r="46" spans="1:15">
      <c r="A46" s="920" t="s">
        <v>175</v>
      </c>
      <c r="B46" s="921"/>
      <c r="C46" s="921"/>
      <c r="D46" s="922" t="s">
        <v>132</v>
      </c>
      <c r="E46" s="923">
        <f>'21'!F46</f>
        <v>187.44</v>
      </c>
      <c r="F46" s="996">
        <v>187</v>
      </c>
      <c r="G46" s="924">
        <f t="shared" si="3"/>
        <v>-0.43999999999999773</v>
      </c>
      <c r="H46" s="925">
        <f>G46+'21'!H46</f>
        <v>0</v>
      </c>
      <c r="I46" s="923"/>
      <c r="J46" s="927">
        <f>H46/DAY(B2)</f>
        <v>0</v>
      </c>
      <c r="K46" s="943"/>
      <c r="L46" s="902"/>
      <c r="N46" s="1091">
        <v>0</v>
      </c>
      <c r="O46" s="929">
        <f t="shared" si="0"/>
        <v>0.43999999999999773</v>
      </c>
    </row>
    <row r="47" spans="1:15">
      <c r="A47" s="945" t="s">
        <v>176</v>
      </c>
      <c r="B47" s="946"/>
      <c r="C47" s="946"/>
      <c r="D47" s="913"/>
      <c r="E47" s="909"/>
      <c r="F47" s="909"/>
      <c r="G47" s="947">
        <f>G35+G36+G37+G38+G39+G40+G41+G42+G43+G44+G45+G46</f>
        <v>13535.56</v>
      </c>
      <c r="H47" s="925">
        <f>G47+'21'!H47</f>
        <v>51186.210000000036</v>
      </c>
      <c r="I47" s="923"/>
      <c r="J47" s="927">
        <f>H47/DAY(B2)</f>
        <v>2326.6459090909107</v>
      </c>
      <c r="K47" s="943"/>
      <c r="L47" s="902"/>
      <c r="N47" s="1093">
        <v>10115.970000000016</v>
      </c>
      <c r="O47" s="929">
        <f t="shared" si="0"/>
        <v>-3419.5899999999838</v>
      </c>
    </row>
    <row r="48" spans="1:15">
      <c r="A48" s="994" t="s">
        <v>177</v>
      </c>
      <c r="B48" s="995"/>
      <c r="C48" s="995"/>
      <c r="D48" s="917"/>
      <c r="E48" s="916"/>
      <c r="F48" s="916"/>
      <c r="G48" s="917"/>
      <c r="H48" s="917"/>
      <c r="I48" s="917"/>
      <c r="J48" s="918"/>
      <c r="K48" s="943"/>
      <c r="L48" s="902"/>
      <c r="O48" s="929">
        <f t="shared" si="0"/>
        <v>0</v>
      </c>
    </row>
    <row r="49" spans="1:15">
      <c r="A49" s="920" t="s">
        <v>164</v>
      </c>
      <c r="B49" s="999"/>
      <c r="C49" s="999"/>
      <c r="D49" s="922" t="s">
        <v>132</v>
      </c>
      <c r="E49" s="923">
        <f>'21'!F49</f>
        <v>260732</v>
      </c>
      <c r="F49" s="996">
        <v>260732</v>
      </c>
      <c r="G49" s="924">
        <f t="shared" ref="G49:G58" si="4">F49-E49</f>
        <v>0</v>
      </c>
      <c r="H49" s="925">
        <f>G49+'21'!H49</f>
        <v>-0.13000000000465661</v>
      </c>
      <c r="I49" s="923"/>
      <c r="J49" s="927">
        <f>H49/DAY(B2)</f>
        <v>-5.909090909302573E-3</v>
      </c>
      <c r="K49" s="943"/>
      <c r="L49" s="902"/>
      <c r="N49" s="1091">
        <v>0</v>
      </c>
      <c r="O49" s="929">
        <f t="shared" si="0"/>
        <v>0</v>
      </c>
    </row>
    <row r="50" spans="1:15">
      <c r="A50" s="920" t="s">
        <v>178</v>
      </c>
      <c r="B50" s="999"/>
      <c r="C50" s="999"/>
      <c r="D50" s="922" t="s">
        <v>132</v>
      </c>
      <c r="E50" s="923">
        <f>'21'!F50</f>
        <v>393865</v>
      </c>
      <c r="F50" s="996">
        <v>395061</v>
      </c>
      <c r="G50" s="924">
        <f t="shared" si="4"/>
        <v>1196</v>
      </c>
      <c r="H50" s="925">
        <f>G50+'21'!H50</f>
        <v>-8596.0300000000279</v>
      </c>
      <c r="I50" s="923"/>
      <c r="J50" s="927">
        <f>H50/DAY(B2)</f>
        <v>-390.72863636363763</v>
      </c>
      <c r="K50" s="943"/>
      <c r="L50" s="902"/>
      <c r="N50" s="1091">
        <v>812.01999999998952</v>
      </c>
      <c r="O50" s="929">
        <f t="shared" si="0"/>
        <v>-383.98000000001048</v>
      </c>
    </row>
    <row r="51" spans="1:15">
      <c r="A51" s="920" t="s">
        <v>166</v>
      </c>
      <c r="B51" s="999"/>
      <c r="C51" s="999"/>
      <c r="D51" s="922" t="s">
        <v>132</v>
      </c>
      <c r="E51" s="923">
        <f>'21'!F51</f>
        <v>120051</v>
      </c>
      <c r="F51" s="996">
        <v>120051</v>
      </c>
      <c r="G51" s="924">
        <f t="shared" si="4"/>
        <v>0</v>
      </c>
      <c r="H51" s="925">
        <f>G51+'21'!H51</f>
        <v>-1548.9199999999983</v>
      </c>
      <c r="I51" s="923"/>
      <c r="J51" s="927">
        <f>H51/DAY(B2)</f>
        <v>-70.405454545454461</v>
      </c>
      <c r="K51" s="943"/>
      <c r="L51" s="902"/>
      <c r="N51" s="1091">
        <v>0</v>
      </c>
      <c r="O51" s="929">
        <f t="shared" si="0"/>
        <v>0</v>
      </c>
    </row>
    <row r="52" spans="1:15">
      <c r="A52" s="920" t="s">
        <v>179</v>
      </c>
      <c r="B52" s="999"/>
      <c r="C52" s="999"/>
      <c r="D52" s="922" t="s">
        <v>132</v>
      </c>
      <c r="E52" s="923">
        <f>'21'!F52</f>
        <v>507913</v>
      </c>
      <c r="F52" s="996">
        <v>507913</v>
      </c>
      <c r="G52" s="924">
        <f t="shared" si="4"/>
        <v>0</v>
      </c>
      <c r="H52" s="925">
        <f>G52+'21'!H52</f>
        <v>-2045.710000000021</v>
      </c>
      <c r="I52" s="923"/>
      <c r="J52" s="927">
        <f>H52/DAY(B2)</f>
        <v>-92.986818181819132</v>
      </c>
      <c r="K52" s="943"/>
      <c r="L52" s="902"/>
      <c r="N52" s="1091">
        <v>1058.2600000000093</v>
      </c>
      <c r="O52" s="929">
        <f t="shared" si="0"/>
        <v>1058.2600000000093</v>
      </c>
    </row>
    <row r="53" spans="1:15">
      <c r="A53" s="920" t="s">
        <v>168</v>
      </c>
      <c r="B53" s="999"/>
      <c r="C53" s="999"/>
      <c r="D53" s="922" t="s">
        <v>132</v>
      </c>
      <c r="E53" s="923">
        <f>'21'!F53</f>
        <v>331855</v>
      </c>
      <c r="F53" s="996">
        <v>331855</v>
      </c>
      <c r="G53" s="924">
        <f t="shared" si="4"/>
        <v>0</v>
      </c>
      <c r="H53" s="925">
        <f>G53+'21'!H53</f>
        <v>-4184.5100000000093</v>
      </c>
      <c r="I53" s="923"/>
      <c r="J53" s="927">
        <f>H53/DAY(B2)</f>
        <v>-190.20500000000041</v>
      </c>
      <c r="K53" s="943"/>
      <c r="L53" s="902"/>
      <c r="N53" s="1091">
        <v>104.8799999999992</v>
      </c>
      <c r="O53" s="929">
        <f t="shared" si="0"/>
        <v>104.8799999999992</v>
      </c>
    </row>
    <row r="54" spans="1:15">
      <c r="A54" s="920" t="s">
        <v>180</v>
      </c>
      <c r="B54" s="999"/>
      <c r="C54" s="999"/>
      <c r="D54" s="922" t="s">
        <v>132</v>
      </c>
      <c r="E54" s="923">
        <f>'21'!F54</f>
        <v>7607</v>
      </c>
      <c r="F54" s="996">
        <v>7677</v>
      </c>
      <c r="G54" s="924">
        <f t="shared" si="4"/>
        <v>70</v>
      </c>
      <c r="H54" s="925">
        <f>G54+'21'!H54</f>
        <v>-418.63000000000011</v>
      </c>
      <c r="I54" s="923"/>
      <c r="J54" s="927">
        <f>H54/DAY(B2)</f>
        <v>-19.02863636363637</v>
      </c>
      <c r="K54" s="943"/>
      <c r="L54" s="902"/>
      <c r="N54" s="1091">
        <v>0</v>
      </c>
      <c r="O54" s="929">
        <f t="shared" si="0"/>
        <v>-70</v>
      </c>
    </row>
    <row r="55" spans="1:15">
      <c r="A55" s="920" t="s">
        <v>181</v>
      </c>
      <c r="B55" s="999"/>
      <c r="C55" s="999"/>
      <c r="D55" s="922" t="s">
        <v>132</v>
      </c>
      <c r="E55" s="923">
        <f>'21'!F55</f>
        <v>94270</v>
      </c>
      <c r="F55" s="996">
        <v>94270</v>
      </c>
      <c r="G55" s="924">
        <f t="shared" si="4"/>
        <v>0</v>
      </c>
      <c r="H55" s="925">
        <f>G55+'21'!H55</f>
        <v>-28314.690000000002</v>
      </c>
      <c r="I55" s="923"/>
      <c r="J55" s="927">
        <f>H55/DAY(B2)</f>
        <v>-1287.0313636363637</v>
      </c>
      <c r="K55" s="943"/>
      <c r="L55" s="902"/>
      <c r="N55" s="1091">
        <v>0</v>
      </c>
      <c r="O55" s="929">
        <f t="shared" si="0"/>
        <v>0</v>
      </c>
    </row>
    <row r="56" spans="1:15">
      <c r="A56" s="920" t="s">
        <v>182</v>
      </c>
      <c r="B56" s="999"/>
      <c r="C56" s="999"/>
      <c r="D56" s="922" t="s">
        <v>183</v>
      </c>
      <c r="E56" s="923">
        <f>'21'!F56</f>
        <v>572652</v>
      </c>
      <c r="F56" s="996">
        <v>577336</v>
      </c>
      <c r="G56" s="924">
        <f t="shared" si="4"/>
        <v>4684</v>
      </c>
      <c r="H56" s="925">
        <f>G56+'21'!H56</f>
        <v>-8715.0300000000279</v>
      </c>
      <c r="I56" s="923"/>
      <c r="J56" s="927">
        <f>H56/DAY(B2)</f>
        <v>-396.13772727272857</v>
      </c>
      <c r="K56" s="919"/>
      <c r="L56" s="902"/>
      <c r="N56" s="1091">
        <v>0</v>
      </c>
      <c r="O56" s="929">
        <f t="shared" si="0"/>
        <v>-4684</v>
      </c>
    </row>
    <row r="57" spans="1:15">
      <c r="A57" s="920" t="s">
        <v>172</v>
      </c>
      <c r="B57" s="999"/>
      <c r="C57" s="999"/>
      <c r="D57" s="922" t="s">
        <v>132</v>
      </c>
      <c r="E57" s="923">
        <f>'21'!F57</f>
        <v>7711</v>
      </c>
      <c r="F57" s="996">
        <v>7711</v>
      </c>
      <c r="G57" s="924">
        <f t="shared" si="4"/>
        <v>0</v>
      </c>
      <c r="H57" s="925">
        <f>G57+'21'!H57</f>
        <v>-0.32999999999992724</v>
      </c>
      <c r="I57" s="923"/>
      <c r="J57" s="927">
        <f>H57/DAY(B2)</f>
        <v>-1.4999999999996693E-2</v>
      </c>
      <c r="K57" s="943"/>
      <c r="L57" s="902"/>
      <c r="N57" s="1091">
        <v>0</v>
      </c>
      <c r="O57" s="929">
        <f t="shared" si="0"/>
        <v>0</v>
      </c>
    </row>
    <row r="58" spans="1:15">
      <c r="A58" s="920" t="s">
        <v>184</v>
      </c>
      <c r="B58" s="999"/>
      <c r="C58" s="999"/>
      <c r="D58" s="922" t="s">
        <v>132</v>
      </c>
      <c r="E58" s="923">
        <f>'21'!F58</f>
        <v>34516</v>
      </c>
      <c r="F58" s="996">
        <v>34721</v>
      </c>
      <c r="G58" s="924">
        <f t="shared" si="4"/>
        <v>205</v>
      </c>
      <c r="H58" s="925">
        <f>G58+'21'!H58</f>
        <v>-1343.6999999999971</v>
      </c>
      <c r="I58" s="923"/>
      <c r="J58" s="927">
        <f>H58/DAY(B2)</f>
        <v>-61.077272727272593</v>
      </c>
      <c r="K58" s="943"/>
      <c r="L58" s="902"/>
      <c r="N58" s="1091">
        <v>120.15000000000146</v>
      </c>
      <c r="O58" s="929">
        <f t="shared" si="0"/>
        <v>-84.849999999998545</v>
      </c>
    </row>
    <row r="59" spans="1:15">
      <c r="A59" s="945" t="s">
        <v>176</v>
      </c>
      <c r="B59" s="946"/>
      <c r="C59" s="946"/>
      <c r="D59" s="909"/>
      <c r="E59" s="909"/>
      <c r="F59" s="909"/>
      <c r="G59" s="947">
        <f>G49+G50+G51+G52+G53+G54+G55+G56+G57+G58</f>
        <v>6155</v>
      </c>
      <c r="H59" s="925">
        <f>G59+'21'!H59</f>
        <v>-55167.680000000095</v>
      </c>
      <c r="I59" s="923">
        <f>G7-G60</f>
        <v>580.44000000000233</v>
      </c>
      <c r="J59" s="927">
        <f>H59/DAY(B2)</f>
        <v>-2507.6218181818226</v>
      </c>
      <c r="K59" s="943"/>
      <c r="L59" s="902"/>
      <c r="N59" s="1091">
        <v>2095.3099999999995</v>
      </c>
      <c r="O59" s="929">
        <f t="shared" si="0"/>
        <v>-4059.6900000000005</v>
      </c>
    </row>
    <row r="60" spans="1:15">
      <c r="A60" s="920"/>
      <c r="B60" s="921"/>
      <c r="C60" s="921"/>
      <c r="D60" s="909" t="s">
        <v>185</v>
      </c>
      <c r="E60" s="909"/>
      <c r="F60" s="909"/>
      <c r="G60" s="947">
        <f>G47+G59</f>
        <v>19690.559999999998</v>
      </c>
      <c r="H60" s="925">
        <f>G60+'21'!H60</f>
        <v>10187.52999999989</v>
      </c>
      <c r="I60" s="923">
        <f>G13-G60</f>
        <v>-15.559999999997672</v>
      </c>
      <c r="J60" s="927">
        <f>H47/DAY(B2)</f>
        <v>2326.6459090909107</v>
      </c>
      <c r="K60" s="943"/>
      <c r="L60" s="902"/>
      <c r="N60" s="1091">
        <v>12211.280000000015</v>
      </c>
      <c r="O60" s="929">
        <f t="shared" si="0"/>
        <v>-7479.2799999999825</v>
      </c>
    </row>
    <row r="61" spans="1:15">
      <c r="A61" s="1000" t="s">
        <v>186</v>
      </c>
      <c r="B61" s="1001"/>
      <c r="C61" s="1001"/>
      <c r="D61" s="1001"/>
      <c r="E61" s="1002"/>
      <c r="F61" s="1002"/>
      <c r="G61" s="1001"/>
      <c r="H61" s="1001"/>
      <c r="I61" s="1001"/>
      <c r="J61" s="1003"/>
      <c r="K61" s="943"/>
      <c r="L61" s="902"/>
      <c r="O61" s="929">
        <f t="shared" si="0"/>
        <v>0</v>
      </c>
    </row>
    <row r="62" spans="1:15">
      <c r="A62" s="1004" t="s">
        <v>98</v>
      </c>
      <c r="B62" s="1005"/>
      <c r="C62" s="1005"/>
      <c r="D62" s="909" t="s">
        <v>187</v>
      </c>
      <c r="E62" s="923">
        <f>'21'!F62</f>
        <v>20419.2</v>
      </c>
      <c r="F62" s="1006">
        <v>20419.2</v>
      </c>
      <c r="G62" s="924">
        <f t="shared" ref="G62:G69" si="5">F62-E62</f>
        <v>0</v>
      </c>
      <c r="H62" s="925">
        <f>G62+'21'!H62</f>
        <v>1.299999999901047E-2</v>
      </c>
      <c r="I62" s="1007"/>
      <c r="J62" s="927">
        <f>H62/DAY(B2)</f>
        <v>5.9090909086411227E-4</v>
      </c>
      <c r="K62" s="943"/>
      <c r="L62" s="902"/>
      <c r="N62" s="1091">
        <v>0</v>
      </c>
      <c r="O62" s="929">
        <f t="shared" si="0"/>
        <v>0</v>
      </c>
    </row>
    <row r="63" spans="1:15">
      <c r="A63" s="1004" t="s">
        <v>188</v>
      </c>
      <c r="B63" s="1005"/>
      <c r="C63" s="1005"/>
      <c r="D63" s="909" t="s">
        <v>187</v>
      </c>
      <c r="E63" s="923">
        <f>'21'!F63</f>
        <v>1611</v>
      </c>
      <c r="F63" s="1006">
        <v>1624</v>
      </c>
      <c r="G63" s="924">
        <f t="shared" si="5"/>
        <v>13</v>
      </c>
      <c r="H63" s="925">
        <f>G63+'21'!H63</f>
        <v>-83.3599999999999</v>
      </c>
      <c r="I63" s="1007"/>
      <c r="J63" s="927">
        <f>H63/DAY(B2)</f>
        <v>-3.7890909090909046</v>
      </c>
      <c r="K63" s="943"/>
      <c r="L63" s="902"/>
      <c r="N63" s="1091">
        <v>0</v>
      </c>
      <c r="O63" s="929">
        <f t="shared" si="0"/>
        <v>-13</v>
      </c>
    </row>
    <row r="64" spans="1:15">
      <c r="A64" s="1552" t="s">
        <v>99</v>
      </c>
      <c r="B64" s="1553"/>
      <c r="C64" s="1554"/>
      <c r="D64" s="922" t="s">
        <v>187</v>
      </c>
      <c r="E64" s="923">
        <f>'21'!F64</f>
        <v>120038</v>
      </c>
      <c r="F64" s="953">
        <v>120508</v>
      </c>
      <c r="G64" s="924">
        <f t="shared" si="5"/>
        <v>470</v>
      </c>
      <c r="H64" s="925">
        <f>G64+'21'!H64</f>
        <v>-3119.3000000000029</v>
      </c>
      <c r="I64" s="944"/>
      <c r="J64" s="927">
        <f>H64/DAY(B2)</f>
        <v>-141.78636363636377</v>
      </c>
      <c r="K64" s="943"/>
      <c r="L64" s="902"/>
      <c r="N64" s="1091">
        <v>178.5199999999968</v>
      </c>
      <c r="O64" s="929">
        <f t="shared" si="0"/>
        <v>-291.4800000000032</v>
      </c>
    </row>
    <row r="65" spans="1:15">
      <c r="A65" s="1552" t="s">
        <v>100</v>
      </c>
      <c r="B65" s="1553"/>
      <c r="C65" s="1554"/>
      <c r="D65" s="922" t="s">
        <v>187</v>
      </c>
      <c r="E65" s="923">
        <f>'21'!F65</f>
        <v>129852</v>
      </c>
      <c r="F65" s="953">
        <v>130228</v>
      </c>
      <c r="G65" s="924">
        <f t="shared" si="5"/>
        <v>376</v>
      </c>
      <c r="H65" s="925">
        <f>G65+'21'!H65</f>
        <v>-2369.2999999999884</v>
      </c>
      <c r="I65" s="962"/>
      <c r="J65" s="927">
        <f>H65/DAY(B2)</f>
        <v>-107.69545454545401</v>
      </c>
      <c r="K65" s="943"/>
      <c r="L65" s="902"/>
      <c r="N65" s="1091">
        <v>198.38999999999942</v>
      </c>
      <c r="O65" s="929">
        <f t="shared" si="0"/>
        <v>-177.61000000000058</v>
      </c>
    </row>
    <row r="66" spans="1:15">
      <c r="A66" s="1552" t="s">
        <v>101</v>
      </c>
      <c r="B66" s="1553"/>
      <c r="C66" s="1554"/>
      <c r="D66" s="922" t="s">
        <v>187</v>
      </c>
      <c r="E66" s="923">
        <f>'21'!F66</f>
        <v>22440</v>
      </c>
      <c r="F66" s="953">
        <v>22819</v>
      </c>
      <c r="G66" s="924">
        <f t="shared" si="5"/>
        <v>379</v>
      </c>
      <c r="H66" s="925">
        <f>G66+'21'!H66</f>
        <v>-2340.75</v>
      </c>
      <c r="I66" s="944"/>
      <c r="J66" s="927">
        <f>H66/DAY(B2)</f>
        <v>-106.39772727272727</v>
      </c>
      <c r="K66" s="943"/>
      <c r="L66" s="902"/>
      <c r="N66" s="1091">
        <v>226.35000000000582</v>
      </c>
      <c r="O66" s="929">
        <f t="shared" si="0"/>
        <v>-152.64999999999418</v>
      </c>
    </row>
    <row r="67" spans="1:15">
      <c r="A67" s="1552" t="s">
        <v>102</v>
      </c>
      <c r="B67" s="1553"/>
      <c r="C67" s="1554"/>
      <c r="D67" s="922" t="s">
        <v>187</v>
      </c>
      <c r="E67" s="923">
        <f>'21'!F67</f>
        <v>203311</v>
      </c>
      <c r="F67" s="953">
        <v>203982</v>
      </c>
      <c r="G67" s="924">
        <f t="shared" si="5"/>
        <v>671</v>
      </c>
      <c r="H67" s="925">
        <f>G67+'21'!H67</f>
        <v>-3859.8299999999872</v>
      </c>
      <c r="I67" s="962"/>
      <c r="J67" s="927">
        <f>H67/DAY(B2)</f>
        <v>-175.4468181818176</v>
      </c>
      <c r="K67" s="950"/>
      <c r="L67" s="902"/>
      <c r="N67" s="1091">
        <v>312.47000000000116</v>
      </c>
      <c r="O67" s="929">
        <f t="shared" si="0"/>
        <v>-358.52999999999884</v>
      </c>
    </row>
    <row r="68" spans="1:15">
      <c r="A68" s="1552" t="s">
        <v>103</v>
      </c>
      <c r="B68" s="1553"/>
      <c r="C68" s="1554"/>
      <c r="D68" s="922" t="s">
        <v>187</v>
      </c>
      <c r="E68" s="923">
        <v>70485</v>
      </c>
      <c r="F68" s="953">
        <v>70793</v>
      </c>
      <c r="G68" s="924">
        <f t="shared" si="5"/>
        <v>308</v>
      </c>
      <c r="H68" s="925">
        <f>G68+'21'!H68</f>
        <v>-885.52000000000407</v>
      </c>
      <c r="I68" s="1008"/>
      <c r="J68" s="927">
        <f>H68/DAY(B2)</f>
        <v>-40.250909090909275</v>
      </c>
      <c r="K68" s="1009"/>
      <c r="L68" s="902"/>
      <c r="N68" s="1091">
        <v>142.1200000000008</v>
      </c>
      <c r="O68" s="929">
        <f t="shared" si="0"/>
        <v>-165.8799999999992</v>
      </c>
    </row>
    <row r="69" spans="1:15">
      <c r="A69" s="1552" t="s">
        <v>104</v>
      </c>
      <c r="B69" s="1553"/>
      <c r="C69" s="1554"/>
      <c r="D69" s="922" t="s">
        <v>187</v>
      </c>
      <c r="E69" s="923">
        <f>'21'!F69</f>
        <v>62157</v>
      </c>
      <c r="F69" s="953">
        <v>62487</v>
      </c>
      <c r="G69" s="924">
        <f t="shared" si="5"/>
        <v>330</v>
      </c>
      <c r="H69" s="925">
        <f>G69+'21'!H69</f>
        <v>-1965.0899999999965</v>
      </c>
      <c r="I69" s="1008"/>
      <c r="J69" s="927">
        <f>H69/DAY(B2)</f>
        <v>-89.322272727272562</v>
      </c>
      <c r="K69" s="1010"/>
      <c r="L69" s="902"/>
      <c r="N69" s="1091">
        <v>12.869999999998981</v>
      </c>
      <c r="O69" s="929">
        <f t="shared" si="0"/>
        <v>-317.13000000000102</v>
      </c>
    </row>
    <row r="70" spans="1:15">
      <c r="A70" s="1575" t="s">
        <v>189</v>
      </c>
      <c r="B70" s="1576"/>
      <c r="C70" s="1577"/>
      <c r="D70" s="922" t="s">
        <v>187</v>
      </c>
      <c r="E70" s="1011"/>
      <c r="F70" s="1012"/>
      <c r="G70" s="1012"/>
      <c r="H70" s="925">
        <f>G70+'21'!H70</f>
        <v>0</v>
      </c>
      <c r="I70" s="1012"/>
      <c r="J70" s="1013"/>
      <c r="K70" s="1010"/>
      <c r="L70" s="902"/>
      <c r="O70" s="929">
        <f t="shared" si="0"/>
        <v>0</v>
      </c>
    </row>
    <row r="71" spans="1:15" ht="22.5">
      <c r="A71" s="1572" t="s">
        <v>190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1009"/>
      <c r="L71" s="902"/>
      <c r="O71" s="929">
        <f t="shared" si="0"/>
        <v>0</v>
      </c>
    </row>
    <row r="72" spans="1:15">
      <c r="A72" s="1552" t="s">
        <v>191</v>
      </c>
      <c r="B72" s="1553"/>
      <c r="C72" s="1554"/>
      <c r="D72" s="922" t="s">
        <v>187</v>
      </c>
      <c r="E72" s="923">
        <f>'21'!F72</f>
        <v>850008</v>
      </c>
      <c r="F72" s="1014">
        <v>850091</v>
      </c>
      <c r="G72" s="924">
        <f t="shared" ref="G72:G84" si="6">F72-E72</f>
        <v>83</v>
      </c>
      <c r="H72" s="925">
        <f>G72+'21'!H72</f>
        <v>1698</v>
      </c>
      <c r="I72" s="944"/>
      <c r="J72" s="927">
        <f>H72/DAY(B2)</f>
        <v>77.181818181818187</v>
      </c>
      <c r="K72" s="1010"/>
      <c r="L72" s="902"/>
      <c r="N72" s="1091">
        <v>18</v>
      </c>
      <c r="O72" s="929">
        <f t="shared" ref="O72:O135" si="7">N72-G72</f>
        <v>-65</v>
      </c>
    </row>
    <row r="73" spans="1:15">
      <c r="A73" s="1552" t="s">
        <v>192</v>
      </c>
      <c r="B73" s="1553"/>
      <c r="C73" s="1554"/>
      <c r="D73" s="922" t="s">
        <v>187</v>
      </c>
      <c r="E73" s="923">
        <f>'21'!F73</f>
        <v>885763</v>
      </c>
      <c r="F73" s="1015">
        <v>885763</v>
      </c>
      <c r="G73" s="924">
        <f t="shared" si="6"/>
        <v>0</v>
      </c>
      <c r="H73" s="925">
        <f>G73+'21'!H73</f>
        <v>-1145</v>
      </c>
      <c r="I73" s="944"/>
      <c r="J73" s="927">
        <f>H73/DAY(B2)</f>
        <v>-52.045454545454547</v>
      </c>
      <c r="K73" s="1009"/>
      <c r="L73" s="902"/>
      <c r="N73" s="1091">
        <v>2</v>
      </c>
      <c r="O73" s="929">
        <f t="shared" si="7"/>
        <v>2</v>
      </c>
    </row>
    <row r="74" spans="1:15">
      <c r="A74" s="1552" t="s">
        <v>193</v>
      </c>
      <c r="B74" s="1553"/>
      <c r="C74" s="1554"/>
      <c r="D74" s="922" t="s">
        <v>187</v>
      </c>
      <c r="E74" s="923">
        <f>'21'!F74</f>
        <v>438</v>
      </c>
      <c r="F74" s="1016">
        <v>455</v>
      </c>
      <c r="G74" s="924">
        <f t="shared" si="6"/>
        <v>17</v>
      </c>
      <c r="H74" s="925">
        <f>G74+'21'!H74</f>
        <v>-131.17000000000007</v>
      </c>
      <c r="I74" s="944"/>
      <c r="J74" s="927">
        <f>H74/DAY(B2)</f>
        <v>-5.9622727272727305</v>
      </c>
      <c r="K74" s="1010"/>
      <c r="L74" s="902"/>
      <c r="N74" s="1091">
        <v>5</v>
      </c>
      <c r="O74" s="929">
        <f t="shared" si="7"/>
        <v>-12</v>
      </c>
    </row>
    <row r="75" spans="1:15">
      <c r="A75" s="1578" t="s">
        <v>194</v>
      </c>
      <c r="B75" s="1579"/>
      <c r="C75" s="1580"/>
      <c r="D75" s="922" t="s">
        <v>187</v>
      </c>
      <c r="E75" s="923">
        <f>'21'!F75</f>
        <v>2323</v>
      </c>
      <c r="F75" s="1016">
        <v>2510</v>
      </c>
      <c r="G75" s="924">
        <f t="shared" si="6"/>
        <v>187</v>
      </c>
      <c r="H75" s="925">
        <f>G75+'21'!H75</f>
        <v>-1009.2199999999993</v>
      </c>
      <c r="I75" s="944"/>
      <c r="J75" s="927">
        <f>H75/DAY(B2)</f>
        <v>-45.873636363636336</v>
      </c>
      <c r="K75" s="1009"/>
      <c r="L75" s="902"/>
      <c r="N75" s="1091">
        <v>48</v>
      </c>
      <c r="O75" s="929">
        <f t="shared" si="7"/>
        <v>-139</v>
      </c>
    </row>
    <row r="76" spans="1:15">
      <c r="A76" s="1578" t="s">
        <v>195</v>
      </c>
      <c r="B76" s="1579"/>
      <c r="C76" s="1580"/>
      <c r="D76" s="922" t="s">
        <v>187</v>
      </c>
      <c r="E76" s="923">
        <f>'21'!F76</f>
        <v>969</v>
      </c>
      <c r="F76" s="1015">
        <v>1040</v>
      </c>
      <c r="G76" s="924">
        <f t="shared" si="6"/>
        <v>71</v>
      </c>
      <c r="H76" s="925">
        <f>G76+'21'!H76</f>
        <v>-2018.4199999999996</v>
      </c>
      <c r="I76" s="987"/>
      <c r="J76" s="927">
        <f>H76/DAY(B2)</f>
        <v>-91.746363636363625</v>
      </c>
      <c r="K76" s="1009"/>
      <c r="L76" s="902"/>
      <c r="N76" s="1091">
        <v>5</v>
      </c>
      <c r="O76" s="929">
        <f t="shared" si="7"/>
        <v>-66</v>
      </c>
    </row>
    <row r="77" spans="1:15">
      <c r="A77" s="1552" t="s">
        <v>196</v>
      </c>
      <c r="B77" s="1553"/>
      <c r="C77" s="1554"/>
      <c r="D77" s="922" t="s">
        <v>187</v>
      </c>
      <c r="E77" s="923">
        <f>'21'!F77</f>
        <v>698254</v>
      </c>
      <c r="F77" s="1015">
        <v>698305</v>
      </c>
      <c r="G77" s="924">
        <f t="shared" si="6"/>
        <v>51</v>
      </c>
      <c r="H77" s="925">
        <f>G77+'21'!H77</f>
        <v>-283</v>
      </c>
      <c r="I77" s="987"/>
      <c r="J77" s="927">
        <f>H77/DAY(B2)</f>
        <v>-12.863636363636363</v>
      </c>
      <c r="K77" s="1009"/>
      <c r="L77" s="902"/>
      <c r="N77" s="1091">
        <v>2</v>
      </c>
      <c r="O77" s="929">
        <f t="shared" si="7"/>
        <v>-49</v>
      </c>
    </row>
    <row r="78" spans="1:15">
      <c r="A78" s="1017" t="s">
        <v>197</v>
      </c>
      <c r="B78" s="1225"/>
      <c r="C78" s="1225"/>
      <c r="D78" s="922" t="s">
        <v>187</v>
      </c>
      <c r="E78" s="923">
        <f>'21'!F78</f>
        <v>650484</v>
      </c>
      <c r="F78" s="1016">
        <v>650868</v>
      </c>
      <c r="G78" s="924">
        <f t="shared" si="6"/>
        <v>384</v>
      </c>
      <c r="H78" s="925">
        <f>G78+'21'!H78</f>
        <v>-1995</v>
      </c>
      <c r="I78" s="987"/>
      <c r="J78" s="927">
        <f>H78/DAY(B2)</f>
        <v>-90.681818181818187</v>
      </c>
      <c r="K78" s="1009"/>
      <c r="L78" s="902"/>
      <c r="N78" s="1091">
        <v>28</v>
      </c>
      <c r="O78" s="929">
        <f t="shared" si="7"/>
        <v>-356</v>
      </c>
    </row>
    <row r="79" spans="1:15">
      <c r="A79" s="1578" t="s">
        <v>92</v>
      </c>
      <c r="B79" s="1579"/>
      <c r="C79" s="1580"/>
      <c r="D79" s="956" t="s">
        <v>187</v>
      </c>
      <c r="E79" s="923">
        <f>'21'!F79</f>
        <v>813722</v>
      </c>
      <c r="F79" s="1016">
        <v>813908</v>
      </c>
      <c r="G79" s="924">
        <f t="shared" si="6"/>
        <v>186</v>
      </c>
      <c r="H79" s="925">
        <f>G79+'21'!H79</f>
        <v>-3828</v>
      </c>
      <c r="I79" s="987"/>
      <c r="J79" s="927">
        <f>H79/DAY(B2)</f>
        <v>-174</v>
      </c>
      <c r="K79" s="1009"/>
      <c r="L79" s="902"/>
      <c r="N79" s="1091">
        <v>139</v>
      </c>
      <c r="O79" s="929">
        <f t="shared" si="7"/>
        <v>-47</v>
      </c>
    </row>
    <row r="80" spans="1:15">
      <c r="A80" s="1578" t="s">
        <v>198</v>
      </c>
      <c r="B80" s="1579"/>
      <c r="C80" s="1580"/>
      <c r="D80" s="956" t="s">
        <v>187</v>
      </c>
      <c r="E80" s="923">
        <f>'21'!F80</f>
        <v>492045</v>
      </c>
      <c r="F80" s="1015">
        <v>492412</v>
      </c>
      <c r="G80" s="924">
        <f t="shared" si="6"/>
        <v>367</v>
      </c>
      <c r="H80" s="925">
        <f>G80+'21'!H80</f>
        <v>412.32000000000698</v>
      </c>
      <c r="I80" s="987"/>
      <c r="J80" s="927">
        <f>H80/DAY(B2)</f>
        <v>18.741818181818498</v>
      </c>
      <c r="K80" s="1009"/>
      <c r="L80" s="902"/>
      <c r="N80" s="1091">
        <v>177</v>
      </c>
      <c r="O80" s="929">
        <f t="shared" si="7"/>
        <v>-190</v>
      </c>
    </row>
    <row r="81" spans="1:15">
      <c r="A81" s="1578" t="s">
        <v>199</v>
      </c>
      <c r="B81" s="1579"/>
      <c r="C81" s="1580"/>
      <c r="D81" s="956" t="s">
        <v>187</v>
      </c>
      <c r="E81" s="923">
        <f>'21'!F81</f>
        <v>624998</v>
      </c>
      <c r="F81" s="1015">
        <v>625130</v>
      </c>
      <c r="G81" s="924">
        <f t="shared" si="6"/>
        <v>132</v>
      </c>
      <c r="H81" s="925">
        <f>G81+'21'!H81</f>
        <v>-813.8399999999674</v>
      </c>
      <c r="I81" s="987"/>
      <c r="J81" s="927">
        <f>H81/DAY(B2)</f>
        <v>-36.992727272725794</v>
      </c>
      <c r="K81" s="1009"/>
      <c r="L81" s="902"/>
      <c r="N81" s="1091">
        <v>86</v>
      </c>
      <c r="O81" s="929">
        <f t="shared" si="7"/>
        <v>-46</v>
      </c>
    </row>
    <row r="82" spans="1:15">
      <c r="A82" s="1578" t="s">
        <v>93</v>
      </c>
      <c r="B82" s="1579"/>
      <c r="C82" s="1580"/>
      <c r="D82" s="957" t="s">
        <v>132</v>
      </c>
      <c r="E82" s="923">
        <f>'21'!F82</f>
        <v>106038</v>
      </c>
      <c r="F82" s="1018">
        <v>106066</v>
      </c>
      <c r="G82" s="924">
        <f t="shared" si="6"/>
        <v>28</v>
      </c>
      <c r="H82" s="925">
        <f>G82+'21'!H82</f>
        <v>-136.47999999999593</v>
      </c>
      <c r="I82" s="958"/>
      <c r="J82" s="927">
        <f>H82/DAY(B2)</f>
        <v>-6.2036363636361784</v>
      </c>
      <c r="K82" s="1009"/>
      <c r="L82" s="902"/>
      <c r="N82" s="1091">
        <v>29</v>
      </c>
      <c r="O82" s="929">
        <f t="shared" si="7"/>
        <v>1</v>
      </c>
    </row>
    <row r="83" spans="1:15">
      <c r="A83" s="1578" t="s">
        <v>200</v>
      </c>
      <c r="B83" s="1579"/>
      <c r="C83" s="1580"/>
      <c r="D83" s="1019" t="s">
        <v>132</v>
      </c>
      <c r="E83" s="923">
        <f>'21'!F83</f>
        <v>992869</v>
      </c>
      <c r="F83" s="909">
        <v>993383</v>
      </c>
      <c r="G83" s="924">
        <f t="shared" si="6"/>
        <v>514</v>
      </c>
      <c r="H83" s="925">
        <f>G83+'21'!H83</f>
        <v>996786</v>
      </c>
      <c r="I83" s="947"/>
      <c r="J83" s="927">
        <f>H83/DAY(B2)</f>
        <v>45308.454545454544</v>
      </c>
      <c r="K83" s="950"/>
      <c r="L83" s="902"/>
      <c r="N83" s="1091">
        <v>228</v>
      </c>
      <c r="O83" s="929">
        <f t="shared" si="7"/>
        <v>-286</v>
      </c>
    </row>
    <row r="84" spans="1:15">
      <c r="A84" s="1020" t="s">
        <v>201</v>
      </c>
      <c r="B84" s="1021"/>
      <c r="C84" s="1021"/>
      <c r="D84" s="941" t="s">
        <v>132</v>
      </c>
      <c r="E84" s="923">
        <f>'21'!F84</f>
        <v>426516</v>
      </c>
      <c r="F84" s="1022">
        <v>427081</v>
      </c>
      <c r="G84" s="924">
        <f t="shared" si="6"/>
        <v>565</v>
      </c>
      <c r="H84" s="925">
        <f>G84+'21'!H84</f>
        <v>-3717</v>
      </c>
      <c r="I84" s="947"/>
      <c r="J84" s="927">
        <f>H84/DAY(B2)</f>
        <v>-168.95454545454547</v>
      </c>
      <c r="K84" s="1023"/>
      <c r="L84" s="902"/>
      <c r="N84" s="1091">
        <v>423</v>
      </c>
      <c r="O84" s="929">
        <f t="shared" si="7"/>
        <v>-142</v>
      </c>
    </row>
    <row r="85" spans="1:15" s="1027" customFormat="1">
      <c r="A85" s="1024" t="s">
        <v>202</v>
      </c>
      <c r="B85" s="1025"/>
      <c r="C85" s="1025"/>
      <c r="D85" s="962"/>
      <c r="E85" s="923"/>
      <c r="F85" s="922"/>
      <c r="G85" s="925">
        <f xml:space="preserve"> SUM(G72:G84)</f>
        <v>2585</v>
      </c>
      <c r="H85" s="925">
        <f>G85+'21'!H85</f>
        <v>982227.92999999993</v>
      </c>
      <c r="I85" s="947"/>
      <c r="J85" s="927">
        <f>H85/DAY(B2)</f>
        <v>44646.724090909091</v>
      </c>
      <c r="K85" s="1023"/>
      <c r="L85" s="1026"/>
      <c r="N85" s="1094">
        <v>1190</v>
      </c>
      <c r="O85" s="929">
        <f t="shared" si="7"/>
        <v>-1395</v>
      </c>
    </row>
    <row r="86" spans="1:15" s="1037" customFormat="1">
      <c r="A86" s="1028" t="s">
        <v>94</v>
      </c>
      <c r="B86" s="1029"/>
      <c r="C86" s="1029"/>
      <c r="D86" s="1030" t="s">
        <v>183</v>
      </c>
      <c r="E86" s="923">
        <f>'21'!F86</f>
        <v>449543</v>
      </c>
      <c r="F86" s="1031">
        <v>449681</v>
      </c>
      <c r="G86" s="1032">
        <f t="shared" ref="G86:G88" si="8">F86-E86</f>
        <v>138</v>
      </c>
      <c r="H86" s="925">
        <f>G86+'21'!H86</f>
        <v>597</v>
      </c>
      <c r="I86" s="1033"/>
      <c r="J86" s="1034">
        <f>H86/DAY(B2)</f>
        <v>27.136363636363637</v>
      </c>
      <c r="K86" s="1035"/>
      <c r="L86" s="1036"/>
      <c r="N86" s="1095">
        <v>171</v>
      </c>
      <c r="O86" s="929">
        <f t="shared" si="7"/>
        <v>33</v>
      </c>
    </row>
    <row r="87" spans="1:15" s="1037" customFormat="1">
      <c r="A87" s="1028" t="s">
        <v>95</v>
      </c>
      <c r="B87" s="1029"/>
      <c r="C87" s="1029"/>
      <c r="D87" s="1030" t="s">
        <v>183</v>
      </c>
      <c r="E87" s="923">
        <f>'21'!F87</f>
        <v>78987</v>
      </c>
      <c r="F87" s="1031">
        <v>79020</v>
      </c>
      <c r="G87" s="1032">
        <f t="shared" si="8"/>
        <v>33</v>
      </c>
      <c r="H87" s="925">
        <f>G87+'21'!H87</f>
        <v>111.30000000000291</v>
      </c>
      <c r="I87" s="1033"/>
      <c r="J87" s="1034">
        <f>H87/DAY(B2)</f>
        <v>5.059090909091041</v>
      </c>
      <c r="K87" s="1035"/>
      <c r="L87" s="1036"/>
      <c r="N87" s="1095">
        <v>21</v>
      </c>
      <c r="O87" s="929">
        <f t="shared" si="7"/>
        <v>-12</v>
      </c>
    </row>
    <row r="88" spans="1:15" s="1037" customFormat="1">
      <c r="A88" s="1028" t="s">
        <v>96</v>
      </c>
      <c r="B88" s="1029"/>
      <c r="C88" s="1029"/>
      <c r="D88" s="1030" t="s">
        <v>183</v>
      </c>
      <c r="E88" s="923">
        <f>'21'!F88</f>
        <v>147909</v>
      </c>
      <c r="F88" s="1022">
        <v>147969</v>
      </c>
      <c r="G88" s="1032">
        <f t="shared" si="8"/>
        <v>60</v>
      </c>
      <c r="H88" s="925">
        <f>G88+'21'!H88</f>
        <v>331.10000000000582</v>
      </c>
      <c r="I88" s="1033"/>
      <c r="J88" s="1034">
        <f>H88/DAY(B2)</f>
        <v>15.050000000000265</v>
      </c>
      <c r="K88" s="1035"/>
      <c r="L88" s="1036"/>
      <c r="N88" s="1095">
        <v>86</v>
      </c>
      <c r="O88" s="929">
        <f t="shared" si="7"/>
        <v>26</v>
      </c>
    </row>
    <row r="89" spans="1:15" s="1037" customFormat="1">
      <c r="A89" s="1028" t="s">
        <v>204</v>
      </c>
      <c r="B89" s="1029"/>
      <c r="C89" s="1029"/>
      <c r="D89" s="1030" t="s">
        <v>183</v>
      </c>
      <c r="E89" s="923">
        <f>'21'!F89</f>
        <v>61159</v>
      </c>
      <c r="F89" s="1031">
        <v>61243</v>
      </c>
      <c r="G89" s="1032">
        <f t="shared" ref="G89:G90" si="9">F89-E89</f>
        <v>84</v>
      </c>
      <c r="H89" s="925">
        <f>G89+'21'!H89</f>
        <v>310.5</v>
      </c>
      <c r="I89" s="1033"/>
      <c r="J89" s="1034" t="e">
        <f t="shared" ref="J89:J90" si="10">H89/DAY(B3)</f>
        <v>#DIV/0!</v>
      </c>
      <c r="K89" s="1035"/>
      <c r="L89" s="1036"/>
      <c r="N89" s="1096">
        <v>25</v>
      </c>
      <c r="O89" s="929">
        <f t="shared" si="7"/>
        <v>-59</v>
      </c>
    </row>
    <row r="90" spans="1:15" s="1037" customFormat="1">
      <c r="A90" s="1028" t="s">
        <v>204</v>
      </c>
      <c r="B90" s="1029"/>
      <c r="C90" s="1029"/>
      <c r="D90" s="1030" t="s">
        <v>183</v>
      </c>
      <c r="E90" s="923">
        <f>'21'!F90</f>
        <v>3136</v>
      </c>
      <c r="F90" s="1031">
        <v>3142</v>
      </c>
      <c r="G90" s="1032">
        <f t="shared" si="9"/>
        <v>6</v>
      </c>
      <c r="H90" s="925">
        <f>G90+'21'!H90</f>
        <v>12.800000000000182</v>
      </c>
      <c r="I90" s="1033"/>
      <c r="J90" s="1034" t="e">
        <f t="shared" si="10"/>
        <v>#DIV/0!</v>
      </c>
      <c r="K90" s="1035"/>
      <c r="L90" s="1036"/>
      <c r="N90" s="1096">
        <v>1</v>
      </c>
      <c r="O90" s="929">
        <f t="shared" si="7"/>
        <v>-5</v>
      </c>
    </row>
    <row r="91" spans="1:15" s="1027" customFormat="1">
      <c r="A91" s="1038" t="s">
        <v>205</v>
      </c>
      <c r="B91" s="917"/>
      <c r="C91" s="917"/>
      <c r="D91" s="917"/>
      <c r="E91" s="917"/>
      <c r="F91" s="917"/>
      <c r="G91" s="961"/>
      <c r="H91" s="917"/>
      <c r="I91" s="917"/>
      <c r="J91" s="918"/>
      <c r="K91" s="1023"/>
      <c r="L91" s="1026"/>
      <c r="N91" s="1094"/>
      <c r="O91" s="929">
        <f t="shared" si="7"/>
        <v>0</v>
      </c>
    </row>
    <row r="92" spans="1:15">
      <c r="A92" s="1555" t="s">
        <v>206</v>
      </c>
      <c r="B92" s="1556"/>
      <c r="C92" s="1557"/>
      <c r="D92" s="922" t="s">
        <v>144</v>
      </c>
      <c r="E92" s="923">
        <f>'21'!F92</f>
        <v>238919</v>
      </c>
      <c r="F92" s="953">
        <v>239041</v>
      </c>
      <c r="G92" s="924">
        <f t="shared" ref="G92:G93" si="11">F92-E92</f>
        <v>122</v>
      </c>
      <c r="H92" s="925">
        <f>G92+'21'!H92</f>
        <v>-654</v>
      </c>
      <c r="I92" s="944"/>
      <c r="J92" s="927">
        <f>H92/DAY(B2)</f>
        <v>-29.727272727272727</v>
      </c>
      <c r="K92" s="950"/>
      <c r="L92" s="902"/>
      <c r="N92" s="1091">
        <v>29</v>
      </c>
      <c r="O92" s="929">
        <f t="shared" si="7"/>
        <v>-93</v>
      </c>
    </row>
    <row r="93" spans="1:15">
      <c r="A93" s="1555" t="s">
        <v>207</v>
      </c>
      <c r="B93" s="1556"/>
      <c r="C93" s="1557"/>
      <c r="D93" s="922" t="s">
        <v>144</v>
      </c>
      <c r="E93" s="923">
        <f>'21'!F93</f>
        <v>174453</v>
      </c>
      <c r="F93" s="953">
        <v>174639</v>
      </c>
      <c r="G93" s="924">
        <f t="shared" si="11"/>
        <v>186</v>
      </c>
      <c r="H93" s="925">
        <f>G93+'21'!H93</f>
        <v>-1022</v>
      </c>
      <c r="I93" s="944"/>
      <c r="J93" s="927">
        <f>H93/DAY(B2)</f>
        <v>-46.454545454545453</v>
      </c>
      <c r="K93" s="1023"/>
      <c r="L93" s="902"/>
      <c r="N93" s="1091">
        <v>40</v>
      </c>
      <c r="O93" s="929">
        <f t="shared" si="7"/>
        <v>-146</v>
      </c>
    </row>
    <row r="94" spans="1:15">
      <c r="A94" s="1581" t="s">
        <v>208</v>
      </c>
      <c r="B94" s="1582"/>
      <c r="C94" s="1583"/>
      <c r="D94" s="922"/>
      <c r="E94" s="923">
        <f>'21'!F94</f>
        <v>0</v>
      </c>
      <c r="F94" s="953"/>
      <c r="G94" s="924">
        <f>G92+G93</f>
        <v>308</v>
      </c>
      <c r="H94" s="925">
        <f>G94+'21'!H94</f>
        <v>-1942</v>
      </c>
      <c r="I94" s="944"/>
      <c r="J94" s="927">
        <f>H94/DAY(B2)</f>
        <v>-88.272727272727266</v>
      </c>
      <c r="K94" s="1023"/>
      <c r="L94" s="902"/>
      <c r="N94" s="1091">
        <v>69</v>
      </c>
      <c r="O94" s="929">
        <f t="shared" si="7"/>
        <v>-239</v>
      </c>
    </row>
    <row r="95" spans="1:15">
      <c r="A95" s="1555" t="s">
        <v>209</v>
      </c>
      <c r="B95" s="1556"/>
      <c r="C95" s="1557"/>
      <c r="D95" s="922" t="s">
        <v>144</v>
      </c>
      <c r="E95" s="923">
        <f>'21'!F95</f>
        <v>407520</v>
      </c>
      <c r="F95" s="953">
        <v>407627</v>
      </c>
      <c r="G95" s="924">
        <f t="shared" ref="G95:G100" si="12">F95-E95</f>
        <v>107</v>
      </c>
      <c r="H95" s="925">
        <f>G95+'21'!H95</f>
        <v>-529</v>
      </c>
      <c r="I95" s="944"/>
      <c r="J95" s="927">
        <f>H95/DAY(B2)</f>
        <v>-24.045454545454547</v>
      </c>
      <c r="K95" s="1023"/>
      <c r="L95" s="902"/>
      <c r="N95" s="1091">
        <v>49</v>
      </c>
      <c r="O95" s="929">
        <f t="shared" si="7"/>
        <v>-58</v>
      </c>
    </row>
    <row r="96" spans="1:15">
      <c r="A96" s="951" t="s">
        <v>210</v>
      </c>
      <c r="B96" s="952"/>
      <c r="C96" s="952"/>
      <c r="D96" s="922" t="s">
        <v>144</v>
      </c>
      <c r="E96" s="923">
        <f>'21'!F96</f>
        <v>101198</v>
      </c>
      <c r="F96" s="953">
        <v>101219</v>
      </c>
      <c r="G96" s="924">
        <f t="shared" si="12"/>
        <v>21</v>
      </c>
      <c r="H96" s="925">
        <f>G96+'21'!H96</f>
        <v>-113</v>
      </c>
      <c r="I96" s="944"/>
      <c r="J96" s="927">
        <f>H96/DAY(B2)</f>
        <v>-5.1363636363636367</v>
      </c>
      <c r="K96" s="919"/>
      <c r="L96" s="902"/>
      <c r="N96" s="1091">
        <v>7</v>
      </c>
      <c r="O96" s="929">
        <f t="shared" si="7"/>
        <v>-14</v>
      </c>
    </row>
    <row r="97" spans="1:15">
      <c r="A97" s="951" t="s">
        <v>211</v>
      </c>
      <c r="B97" s="952"/>
      <c r="C97" s="952"/>
      <c r="D97" s="922" t="s">
        <v>144</v>
      </c>
      <c r="E97" s="923">
        <f>'21'!F97</f>
        <v>96305</v>
      </c>
      <c r="F97" s="953">
        <v>96322</v>
      </c>
      <c r="G97" s="924">
        <f t="shared" si="12"/>
        <v>17</v>
      </c>
      <c r="H97" s="925">
        <f>G97+'21'!H97</f>
        <v>-127</v>
      </c>
      <c r="I97" s="944"/>
      <c r="J97" s="927">
        <f>H97/DAY(B2)</f>
        <v>-5.7727272727272725</v>
      </c>
      <c r="K97" s="1039"/>
      <c r="L97" s="902"/>
      <c r="N97" s="1091">
        <v>12</v>
      </c>
      <c r="O97" s="929">
        <f t="shared" si="7"/>
        <v>-5</v>
      </c>
    </row>
    <row r="98" spans="1:15">
      <c r="A98" s="951" t="s">
        <v>212</v>
      </c>
      <c r="B98" s="952"/>
      <c r="C98" s="952"/>
      <c r="D98" s="922" t="s">
        <v>144</v>
      </c>
      <c r="E98" s="923">
        <f>'21'!F98</f>
        <v>146993</v>
      </c>
      <c r="F98" s="953">
        <v>147064</v>
      </c>
      <c r="G98" s="924">
        <f t="shared" si="12"/>
        <v>71</v>
      </c>
      <c r="H98" s="925">
        <f>G98+'21'!H98</f>
        <v>-544</v>
      </c>
      <c r="I98" s="944"/>
      <c r="J98" s="927">
        <f>H98/DAY(B2)</f>
        <v>-24.727272727272727</v>
      </c>
      <c r="K98" s="1023"/>
      <c r="L98" s="902"/>
      <c r="N98" s="1091">
        <v>16</v>
      </c>
      <c r="O98" s="929">
        <f t="shared" si="7"/>
        <v>-55</v>
      </c>
    </row>
    <row r="99" spans="1:15">
      <c r="A99" s="951" t="s">
        <v>213</v>
      </c>
      <c r="B99" s="952"/>
      <c r="C99" s="952"/>
      <c r="D99" s="922" t="s">
        <v>144</v>
      </c>
      <c r="E99" s="923">
        <f>'21'!F99</f>
        <v>6279</v>
      </c>
      <c r="F99" s="953">
        <v>6296</v>
      </c>
      <c r="G99" s="924">
        <f t="shared" si="12"/>
        <v>17</v>
      </c>
      <c r="H99" s="925">
        <f>G99+'21'!H99</f>
        <v>-112</v>
      </c>
      <c r="I99" s="944"/>
      <c r="J99" s="927">
        <f>H99/DAY(B2)</f>
        <v>-5.0909090909090908</v>
      </c>
      <c r="K99" s="1023"/>
      <c r="L99" s="902"/>
      <c r="N99" s="1091">
        <v>3</v>
      </c>
      <c r="O99" s="929">
        <f t="shared" si="7"/>
        <v>-14</v>
      </c>
    </row>
    <row r="100" spans="1:15">
      <c r="A100" s="951" t="s">
        <v>214</v>
      </c>
      <c r="B100" s="952"/>
      <c r="C100" s="952"/>
      <c r="D100" s="922" t="s">
        <v>144</v>
      </c>
      <c r="E100" s="923">
        <f>'21'!F100</f>
        <v>4432</v>
      </c>
      <c r="F100" s="953">
        <v>4440</v>
      </c>
      <c r="G100" s="924">
        <f t="shared" si="12"/>
        <v>8</v>
      </c>
      <c r="H100" s="925">
        <f>G100+'21'!H100</f>
        <v>-103</v>
      </c>
      <c r="I100" s="944"/>
      <c r="J100" s="927">
        <f>H100/DAY(B2)</f>
        <v>-4.6818181818181817</v>
      </c>
      <c r="K100" s="1023"/>
      <c r="L100" s="902"/>
      <c r="N100" s="1091">
        <v>0</v>
      </c>
      <c r="O100" s="929">
        <f t="shared" si="7"/>
        <v>-8</v>
      </c>
    </row>
    <row r="101" spans="1:15">
      <c r="A101" s="1581" t="s">
        <v>216</v>
      </c>
      <c r="B101" s="1582"/>
      <c r="C101" s="1583"/>
      <c r="D101" s="956"/>
      <c r="E101" s="956"/>
      <c r="F101" s="956"/>
      <c r="G101" s="1040">
        <f>SUM(G95:G100)</f>
        <v>241</v>
      </c>
      <c r="H101" s="925">
        <f>G101+'21'!H101</f>
        <v>-1528</v>
      </c>
      <c r="I101" s="1041"/>
      <c r="J101" s="927">
        <f>H101/DAY(B2)</f>
        <v>-69.454545454545453</v>
      </c>
      <c r="K101" s="1023"/>
      <c r="L101" s="902"/>
      <c r="N101" s="1091">
        <v>87</v>
      </c>
      <c r="O101" s="929">
        <f t="shared" si="7"/>
        <v>-154</v>
      </c>
    </row>
    <row r="102" spans="1:15" s="974" customFormat="1">
      <c r="A102" s="1042" t="s">
        <v>217</v>
      </c>
      <c r="B102" s="1043"/>
      <c r="C102" s="1043"/>
      <c r="D102" s="1044"/>
      <c r="E102" s="1045"/>
      <c r="F102" s="1046"/>
      <c r="G102" s="1047"/>
      <c r="H102" s="1048"/>
      <c r="I102" s="1049"/>
      <c r="J102" s="1050"/>
      <c r="N102" s="1092"/>
      <c r="O102" s="929">
        <f t="shared" si="7"/>
        <v>0</v>
      </c>
    </row>
    <row r="103" spans="1:15" s="974" customFormat="1">
      <c r="A103" s="1589" t="s">
        <v>218</v>
      </c>
      <c r="B103" s="1590"/>
      <c r="C103" s="1051"/>
      <c r="D103" s="1052"/>
      <c r="E103" s="1053"/>
      <c r="F103" s="1053"/>
      <c r="G103" s="1053"/>
      <c r="H103" s="1054"/>
      <c r="I103" s="1053"/>
      <c r="J103" s="1055"/>
      <c r="N103" s="1092"/>
      <c r="O103" s="929">
        <f t="shared" si="7"/>
        <v>0</v>
      </c>
    </row>
    <row r="104" spans="1:15" s="974" customFormat="1">
      <c r="A104" s="1591" t="s">
        <v>219</v>
      </c>
      <c r="B104" s="1592"/>
      <c r="C104" s="1056"/>
      <c r="D104" s="1052" t="s">
        <v>144</v>
      </c>
      <c r="E104" s="1053">
        <f>'21'!F104</f>
        <v>7097</v>
      </c>
      <c r="F104" s="1053">
        <v>7105</v>
      </c>
      <c r="G104" s="1053">
        <f>F104-E104</f>
        <v>8</v>
      </c>
      <c r="H104" s="1054">
        <f>SUM(G104+'1'!G76)</f>
        <v>87.150000000000091</v>
      </c>
      <c r="I104" s="1053"/>
      <c r="J104" s="1055">
        <f>H104/DAY(B2)</f>
        <v>3.9613636363636404</v>
      </c>
      <c r="N104" s="1092">
        <v>0</v>
      </c>
      <c r="O104" s="929">
        <f t="shared" si="7"/>
        <v>-8</v>
      </c>
    </row>
    <row r="105" spans="1:15" s="974" customFormat="1">
      <c r="A105" s="1591" t="s">
        <v>77</v>
      </c>
      <c r="B105" s="1592"/>
      <c r="C105" s="1056"/>
      <c r="D105" s="1052" t="s">
        <v>144</v>
      </c>
      <c r="E105" s="1053">
        <f>'21'!F105</f>
        <v>35341</v>
      </c>
      <c r="F105" s="1057">
        <v>35353</v>
      </c>
      <c r="G105" s="1053">
        <f t="shared" ref="G105:G106" si="13">F105-E105</f>
        <v>12</v>
      </c>
      <c r="H105" s="1054">
        <f>SUM(G105+'1'!G77)</f>
        <v>57</v>
      </c>
      <c r="I105" s="1053"/>
      <c r="J105" s="1055">
        <f>H105/DAY(B2)</f>
        <v>2.5909090909090908</v>
      </c>
      <c r="N105" s="1092">
        <v>12</v>
      </c>
      <c r="O105" s="929">
        <f t="shared" si="7"/>
        <v>0</v>
      </c>
    </row>
    <row r="106" spans="1:15" s="974" customFormat="1">
      <c r="A106" s="1591" t="s">
        <v>78</v>
      </c>
      <c r="B106" s="1593"/>
      <c r="C106" s="1592"/>
      <c r="D106" s="1052" t="s">
        <v>144</v>
      </c>
      <c r="E106" s="1053">
        <f>'21'!F106</f>
        <v>19209</v>
      </c>
      <c r="F106" s="1053">
        <v>19214</v>
      </c>
      <c r="G106" s="1053">
        <f t="shared" si="13"/>
        <v>5</v>
      </c>
      <c r="H106" s="1054">
        <f>SUM(G106+'1'!G78)</f>
        <v>395</v>
      </c>
      <c r="I106" s="1053"/>
      <c r="J106" s="1055">
        <f>H106/DAY(B2)</f>
        <v>17.954545454545453</v>
      </c>
      <c r="N106" s="1092">
        <v>4</v>
      </c>
      <c r="O106" s="929">
        <f t="shared" si="7"/>
        <v>-1</v>
      </c>
    </row>
    <row r="107" spans="1:15" s="974" customFormat="1">
      <c r="A107" s="1594" t="s">
        <v>202</v>
      </c>
      <c r="B107" s="1595"/>
      <c r="C107" s="1056"/>
      <c r="D107" s="1052"/>
      <c r="E107" s="1053">
        <f>'21'!F107</f>
        <v>0</v>
      </c>
      <c r="F107" s="1053"/>
      <c r="G107" s="1053">
        <f>SUM(G104:G106)</f>
        <v>25</v>
      </c>
      <c r="H107" s="1054">
        <f>SUM(G107+'1'!G79)</f>
        <v>217</v>
      </c>
      <c r="I107" s="1053"/>
      <c r="J107" s="1055">
        <f>H107/DAY(B2)</f>
        <v>9.8636363636363633</v>
      </c>
      <c r="N107" s="1092">
        <v>16</v>
      </c>
      <c r="O107" s="929">
        <f t="shared" si="7"/>
        <v>-9</v>
      </c>
    </row>
    <row r="108" spans="1:15" s="974" customFormat="1">
      <c r="A108" s="1596" t="s">
        <v>79</v>
      </c>
      <c r="B108" s="1597"/>
      <c r="C108" s="1056"/>
      <c r="D108" s="1052" t="s">
        <v>144</v>
      </c>
      <c r="E108" s="1053">
        <f>'21'!F108</f>
        <v>0</v>
      </c>
      <c r="F108" s="1053"/>
      <c r="G108" s="1053"/>
      <c r="H108" s="1054"/>
      <c r="I108" s="1053"/>
      <c r="J108" s="1055"/>
      <c r="N108" s="1092"/>
      <c r="O108" s="929">
        <f t="shared" si="7"/>
        <v>0</v>
      </c>
    </row>
    <row r="109" spans="1:15" s="974" customFormat="1">
      <c r="A109" s="1591" t="s">
        <v>220</v>
      </c>
      <c r="B109" s="1592"/>
      <c r="C109" s="1056"/>
      <c r="D109" s="1052" t="s">
        <v>144</v>
      </c>
      <c r="E109" s="1053">
        <f>'21'!F109</f>
        <v>55907</v>
      </c>
      <c r="F109" s="1053">
        <v>55969</v>
      </c>
      <c r="G109" s="1053">
        <f>F109-E109</f>
        <v>62</v>
      </c>
      <c r="H109" s="1054">
        <f>SUM(G109+'1'!G81)</f>
        <v>174.56000000005588</v>
      </c>
      <c r="I109" s="1053"/>
      <c r="J109" s="1055">
        <f>H109/DAY(B2)</f>
        <v>7.9345454545479948</v>
      </c>
      <c r="N109" s="1092">
        <v>39</v>
      </c>
      <c r="O109" s="929">
        <f t="shared" si="7"/>
        <v>-23</v>
      </c>
    </row>
    <row r="110" spans="1:15" s="974" customFormat="1">
      <c r="A110" s="1591" t="s">
        <v>221</v>
      </c>
      <c r="B110" s="1592"/>
      <c r="C110" s="1056"/>
      <c r="D110" s="1052" t="s">
        <v>144</v>
      </c>
      <c r="E110" s="1053">
        <f>'21'!F110</f>
        <v>29912</v>
      </c>
      <c r="F110" s="1053">
        <v>29982</v>
      </c>
      <c r="G110" s="1053">
        <f t="shared" ref="G110:G111" si="14">F110-E110</f>
        <v>70</v>
      </c>
      <c r="H110" s="1054">
        <f>SUM(G110+'1'!G82)</f>
        <v>88.169999999998254</v>
      </c>
      <c r="I110" s="1053"/>
      <c r="J110" s="1055">
        <f>H110/DAY(B2)</f>
        <v>4.0077272727271938</v>
      </c>
      <c r="N110" s="1092">
        <v>8</v>
      </c>
      <c r="O110" s="929">
        <f t="shared" si="7"/>
        <v>-62</v>
      </c>
    </row>
    <row r="111" spans="1:15" s="974" customFormat="1">
      <c r="A111" s="1591" t="s">
        <v>222</v>
      </c>
      <c r="B111" s="1592"/>
      <c r="C111" s="1056"/>
      <c r="D111" s="1052" t="s">
        <v>144</v>
      </c>
      <c r="E111" s="1053">
        <f>'21'!F111</f>
        <v>3938</v>
      </c>
      <c r="F111" s="1053">
        <v>3946</v>
      </c>
      <c r="G111" s="1053">
        <f t="shared" si="14"/>
        <v>8</v>
      </c>
      <c r="H111" s="1054">
        <f>SUM(G111+'1'!G83)</f>
        <v>528</v>
      </c>
      <c r="I111" s="1053"/>
      <c r="J111" s="1055">
        <f>H111/DAY(B2)</f>
        <v>24</v>
      </c>
      <c r="N111" s="1092">
        <v>0</v>
      </c>
      <c r="O111" s="929">
        <f t="shared" si="7"/>
        <v>-8</v>
      </c>
    </row>
    <row r="112" spans="1:15" s="974" customFormat="1">
      <c r="A112" s="1601" t="s">
        <v>110</v>
      </c>
      <c r="B112" s="1602"/>
      <c r="C112" s="1056"/>
      <c r="D112" s="1052"/>
      <c r="E112" s="1053">
        <f>'21'!F112</f>
        <v>0</v>
      </c>
      <c r="F112" s="1053"/>
      <c r="G112" s="1053">
        <f>SUM(G109:G111)</f>
        <v>140</v>
      </c>
      <c r="H112" s="1054">
        <f>SUM(G112+'1'!G84)</f>
        <v>830</v>
      </c>
      <c r="I112" s="1053"/>
      <c r="J112" s="1055">
        <f>H112/DAY(B2)</f>
        <v>37.727272727272727</v>
      </c>
      <c r="N112" s="1092">
        <v>47</v>
      </c>
      <c r="O112" s="929">
        <f t="shared" si="7"/>
        <v>-93</v>
      </c>
    </row>
    <row r="113" spans="1:15" s="974" customFormat="1">
      <c r="A113" s="1596" t="s">
        <v>223</v>
      </c>
      <c r="B113" s="1597"/>
      <c r="C113" s="1056"/>
      <c r="D113" s="1052"/>
      <c r="E113" s="1053">
        <f>'21'!F113</f>
        <v>0</v>
      </c>
      <c r="F113" s="1053"/>
      <c r="G113" s="1053"/>
      <c r="H113" s="1054"/>
      <c r="I113" s="1053"/>
      <c r="J113" s="1055">
        <f>H113/DAY(B2)</f>
        <v>0</v>
      </c>
      <c r="N113" s="1092"/>
      <c r="O113" s="929">
        <f t="shared" si="7"/>
        <v>0</v>
      </c>
    </row>
    <row r="114" spans="1:15" s="974" customFormat="1">
      <c r="A114" s="1591" t="s">
        <v>224</v>
      </c>
      <c r="B114" s="1592"/>
      <c r="C114" s="1058"/>
      <c r="D114" s="1052" t="s">
        <v>144</v>
      </c>
      <c r="E114" s="1053">
        <f>'21'!F114</f>
        <v>10168</v>
      </c>
      <c r="F114" s="1057">
        <v>10189</v>
      </c>
      <c r="G114" s="1057">
        <f>F114-E114</f>
        <v>21</v>
      </c>
      <c r="H114" s="1054">
        <f>SUM(G114+'1'!G91)</f>
        <v>21</v>
      </c>
      <c r="I114" s="1053"/>
      <c r="J114" s="1055">
        <f>H114/DAY(B2)</f>
        <v>0.95454545454545459</v>
      </c>
      <c r="N114" s="1092">
        <v>3</v>
      </c>
      <c r="O114" s="929">
        <f t="shared" si="7"/>
        <v>-18</v>
      </c>
    </row>
    <row r="115" spans="1:15" s="974" customFormat="1">
      <c r="A115" s="1591" t="s">
        <v>225</v>
      </c>
      <c r="B115" s="1592"/>
      <c r="C115" s="1058"/>
      <c r="D115" s="1052" t="s">
        <v>144</v>
      </c>
      <c r="E115" s="1053">
        <f>'21'!F115</f>
        <v>7585</v>
      </c>
      <c r="F115" s="1057">
        <v>7595</v>
      </c>
      <c r="G115" s="1057">
        <f t="shared" ref="G115:G116" si="15">F115-E115</f>
        <v>10</v>
      </c>
      <c r="H115" s="1054">
        <f>SUM(G115+'1'!G92)</f>
        <v>132</v>
      </c>
      <c r="I115" s="1053"/>
      <c r="J115" s="1055">
        <f>H115/DAY(B2)</f>
        <v>6</v>
      </c>
      <c r="N115" s="1092">
        <v>4</v>
      </c>
      <c r="O115" s="929">
        <f t="shared" si="7"/>
        <v>-6</v>
      </c>
    </row>
    <row r="116" spans="1:15" s="974" customFormat="1">
      <c r="A116" s="1591" t="s">
        <v>226</v>
      </c>
      <c r="B116" s="1592"/>
      <c r="C116" s="1058"/>
      <c r="D116" s="1052" t="s">
        <v>144</v>
      </c>
      <c r="E116" s="1057"/>
      <c r="F116" s="1057"/>
      <c r="G116" s="1057">
        <f t="shared" si="15"/>
        <v>0</v>
      </c>
      <c r="H116" s="1054">
        <f>SUM(G116+'1'!G93)</f>
        <v>144</v>
      </c>
      <c r="I116" s="1053"/>
      <c r="J116" s="1055">
        <f>H116/DAY(B2)</f>
        <v>6.5454545454545459</v>
      </c>
      <c r="N116" s="1092">
        <v>0</v>
      </c>
      <c r="O116" s="929">
        <f t="shared" si="7"/>
        <v>0</v>
      </c>
    </row>
    <row r="117" spans="1:15" s="1060" customFormat="1">
      <c r="A117" s="1594" t="s">
        <v>202</v>
      </c>
      <c r="B117" s="1595"/>
      <c r="C117" s="1058"/>
      <c r="D117" s="1059"/>
      <c r="E117" s="1057"/>
      <c r="F117" s="1057"/>
      <c r="G117" s="1057">
        <f>SUM(G114:G116)</f>
        <v>31</v>
      </c>
      <c r="H117" s="1054">
        <f>SUM(G117+'1'!G95)</f>
        <v>107</v>
      </c>
      <c r="I117" s="1057"/>
      <c r="J117" s="1055">
        <f>H117/DAY(B2)</f>
        <v>4.8636363636363633</v>
      </c>
      <c r="N117" s="1097">
        <v>7</v>
      </c>
      <c r="O117" s="929">
        <f t="shared" si="7"/>
        <v>-24</v>
      </c>
    </row>
    <row r="118" spans="1:15" s="851" customFormat="1">
      <c r="A118" s="1605" t="s">
        <v>227</v>
      </c>
      <c r="B118" s="1606"/>
      <c r="C118" s="1061"/>
      <c r="D118" s="1062" t="s">
        <v>144</v>
      </c>
      <c r="E118" s="1063"/>
      <c r="F118" s="1064">
        <f>SUM(G19+G92)</f>
        <v>173</v>
      </c>
      <c r="G118" s="1064">
        <f>SUM(G19+G92)</f>
        <v>173</v>
      </c>
      <c r="H118" s="1054">
        <f>SUM(G118+'1'!G96)</f>
        <v>186</v>
      </c>
      <c r="I118" s="1063"/>
      <c r="J118" s="1065">
        <f>H118/DAY(B2)</f>
        <v>8.454545454545455</v>
      </c>
      <c r="N118" s="1098">
        <v>82</v>
      </c>
      <c r="O118" s="929">
        <f t="shared" si="7"/>
        <v>-91</v>
      </c>
    </row>
    <row r="119" spans="1:15" s="851" customFormat="1">
      <c r="A119" s="1605" t="s">
        <v>228</v>
      </c>
      <c r="B119" s="1606"/>
      <c r="C119" s="1061"/>
      <c r="D119" s="1062" t="s">
        <v>144</v>
      </c>
      <c r="E119" s="1063"/>
      <c r="F119" s="1064">
        <f>SUM(G95,G96,G97,G99,G100)</f>
        <v>170</v>
      </c>
      <c r="G119" s="1064">
        <f>SUM(G95,G96,G97,G99,G100)</f>
        <v>170</v>
      </c>
      <c r="H119" s="1054">
        <f>SUM(G119+'1'!G98)</f>
        <v>240</v>
      </c>
      <c r="I119" s="1063"/>
      <c r="J119" s="1065">
        <f>H119/DAY(B2)</f>
        <v>10.909090909090908</v>
      </c>
      <c r="N119" s="1098">
        <v>71</v>
      </c>
      <c r="O119" s="929">
        <f t="shared" si="7"/>
        <v>-99</v>
      </c>
    </row>
    <row r="120" spans="1:15" s="851" customFormat="1">
      <c r="A120" s="1605" t="s">
        <v>229</v>
      </c>
      <c r="B120" s="1606"/>
      <c r="C120" s="1061"/>
      <c r="D120" s="1062" t="s">
        <v>144</v>
      </c>
      <c r="E120" s="1063"/>
      <c r="F120" s="1057">
        <f>SUM(G112)</f>
        <v>140</v>
      </c>
      <c r="G120" s="1057">
        <f>SUM(G112)</f>
        <v>140</v>
      </c>
      <c r="H120" s="1054">
        <f>SUM(G120+'1'!G100)</f>
        <v>154</v>
      </c>
      <c r="I120" s="1063"/>
      <c r="J120" s="1065">
        <f>H120/DAY(B2)</f>
        <v>7</v>
      </c>
      <c r="N120" s="1098">
        <v>47</v>
      </c>
      <c r="O120" s="929">
        <f t="shared" si="7"/>
        <v>-93</v>
      </c>
    </row>
    <row r="121" spans="1:15" s="974" customFormat="1">
      <c r="A121" s="1603"/>
      <c r="B121" s="1604"/>
      <c r="C121" s="1056"/>
      <c r="D121" s="1051"/>
      <c r="E121" s="1051"/>
      <c r="F121" s="1051" t="s">
        <v>215</v>
      </c>
      <c r="G121" s="1051"/>
      <c r="H121" s="1066"/>
      <c r="I121" s="1051"/>
      <c r="J121" s="1067"/>
      <c r="N121" s="1092"/>
      <c r="O121" s="929">
        <f t="shared" si="7"/>
        <v>0</v>
      </c>
    </row>
    <row r="122" spans="1:15">
      <c r="A122" s="1584" t="s">
        <v>230</v>
      </c>
      <c r="B122" s="1585"/>
      <c r="C122" s="1586"/>
      <c r="D122" s="917"/>
      <c r="E122" s="917"/>
      <c r="F122" s="917"/>
      <c r="G122" s="949"/>
      <c r="H122" s="949"/>
      <c r="I122" s="949"/>
      <c r="J122" s="1068"/>
      <c r="K122" s="1023"/>
      <c r="L122" s="902"/>
      <c r="O122" s="929">
        <f t="shared" si="7"/>
        <v>0</v>
      </c>
    </row>
    <row r="123" spans="1:15">
      <c r="A123" s="951" t="s">
        <v>231</v>
      </c>
      <c r="B123" s="952"/>
      <c r="C123" s="952"/>
      <c r="D123" s="922" t="s">
        <v>141</v>
      </c>
      <c r="E123" s="923">
        <f>'21'!F123</f>
        <v>809201</v>
      </c>
      <c r="F123" s="941">
        <v>809453</v>
      </c>
      <c r="G123" s="924">
        <f t="shared" ref="G123:G127" si="16">F123-E123</f>
        <v>252</v>
      </c>
      <c r="H123" s="925">
        <f>G123+'21'!H123</f>
        <v>-1553.8399999999674</v>
      </c>
      <c r="I123" s="1041"/>
      <c r="J123" s="927">
        <f>H123/DAY(B2)</f>
        <v>-70.629090909089427</v>
      </c>
      <c r="K123" s="1023"/>
      <c r="L123" s="902"/>
      <c r="N123" s="1091">
        <v>100.59000000008382</v>
      </c>
      <c r="O123" s="929">
        <f t="shared" si="7"/>
        <v>-151.40999999991618</v>
      </c>
    </row>
    <row r="124" spans="1:15">
      <c r="A124" s="951" t="s">
        <v>232</v>
      </c>
      <c r="B124" s="952"/>
      <c r="C124" s="952"/>
      <c r="D124" s="922" t="s">
        <v>141</v>
      </c>
      <c r="E124" s="923">
        <f>'21'!F124</f>
        <v>73583</v>
      </c>
      <c r="F124" s="957">
        <v>73583</v>
      </c>
      <c r="G124" s="924">
        <f t="shared" si="16"/>
        <v>0</v>
      </c>
      <c r="H124" s="925">
        <f>G124+'21'!H124</f>
        <v>-0.39999999999417923</v>
      </c>
      <c r="I124" s="1041"/>
      <c r="J124" s="927">
        <f>H124/DAY(B2)</f>
        <v>-1.8181818181553601E-2</v>
      </c>
      <c r="K124" s="1023"/>
      <c r="L124" s="902"/>
      <c r="N124" s="1091">
        <v>0</v>
      </c>
      <c r="O124" s="929">
        <f t="shared" si="7"/>
        <v>0</v>
      </c>
    </row>
    <row r="125" spans="1:15">
      <c r="A125" s="1552" t="s">
        <v>233</v>
      </c>
      <c r="B125" s="1553"/>
      <c r="C125" s="1554"/>
      <c r="D125" s="922" t="s">
        <v>141</v>
      </c>
      <c r="E125" s="923">
        <f>'21'!F125</f>
        <v>139482</v>
      </c>
      <c r="F125" s="941">
        <v>139558</v>
      </c>
      <c r="G125" s="924">
        <f t="shared" si="16"/>
        <v>76</v>
      </c>
      <c r="H125" s="925">
        <f>G125+'21'!H125</f>
        <v>-421.33999999999651</v>
      </c>
      <c r="I125" s="1041"/>
      <c r="J125" s="927">
        <f>H125/DAY(B2)</f>
        <v>-19.151818181818022</v>
      </c>
      <c r="K125" s="1023"/>
      <c r="L125" s="902"/>
      <c r="N125" s="1091">
        <v>62</v>
      </c>
      <c r="O125" s="929">
        <f t="shared" si="7"/>
        <v>-14</v>
      </c>
    </row>
    <row r="126" spans="1:15">
      <c r="A126" s="1070" t="s">
        <v>234</v>
      </c>
      <c r="B126" s="952"/>
      <c r="C126" s="952"/>
      <c r="D126" s="922" t="s">
        <v>141</v>
      </c>
      <c r="E126" s="923">
        <f>'21'!F126</f>
        <v>59139</v>
      </c>
      <c r="F126" s="957">
        <v>59157</v>
      </c>
      <c r="G126" s="924">
        <f t="shared" si="16"/>
        <v>18</v>
      </c>
      <c r="H126" s="925">
        <f>G126+'21'!H126</f>
        <v>-149.90000000000146</v>
      </c>
      <c r="I126" s="1041"/>
      <c r="J126" s="927">
        <f>H126/DAY(B2)</f>
        <v>-6.8136363636364301</v>
      </c>
      <c r="K126" s="1023"/>
      <c r="L126" s="902"/>
      <c r="N126" s="1091">
        <v>0</v>
      </c>
      <c r="O126" s="929">
        <f t="shared" si="7"/>
        <v>-18</v>
      </c>
    </row>
    <row r="127" spans="1:15">
      <c r="A127" s="1070" t="s">
        <v>235</v>
      </c>
      <c r="B127" s="952"/>
      <c r="C127" s="952"/>
      <c r="D127" s="922" t="s">
        <v>141</v>
      </c>
      <c r="E127" s="923">
        <f>'21'!F127</f>
        <v>8876</v>
      </c>
      <c r="F127" s="957">
        <v>8878</v>
      </c>
      <c r="G127" s="924">
        <f t="shared" si="16"/>
        <v>2</v>
      </c>
      <c r="H127" s="925">
        <f>G127+'21'!H127</f>
        <v>-9.7999999999992724</v>
      </c>
      <c r="I127" s="944"/>
      <c r="J127" s="927">
        <f>H127/DAY(B2)</f>
        <v>-0.44545454545451241</v>
      </c>
      <c r="K127" s="1023"/>
      <c r="L127" s="902"/>
      <c r="N127" s="1091">
        <v>0</v>
      </c>
      <c r="O127" s="929">
        <f t="shared" si="7"/>
        <v>-2</v>
      </c>
    </row>
    <row r="128" spans="1:15">
      <c r="A128" s="1070" t="s">
        <v>236</v>
      </c>
      <c r="B128" s="952"/>
      <c r="C128" s="952"/>
      <c r="D128" s="922"/>
      <c r="E128" s="923"/>
      <c r="F128" s="941"/>
      <c r="G128" s="924">
        <f>G15-SUM(G123:G127)</f>
        <v>587</v>
      </c>
      <c r="H128" s="925">
        <f>G128+'21'!H128</f>
        <v>4006.5099999998529</v>
      </c>
      <c r="I128" s="944"/>
      <c r="J128" s="927">
        <f>H128/DAY(B2)</f>
        <v>182.11409090908421</v>
      </c>
      <c r="K128" s="1023"/>
      <c r="L128" s="902"/>
      <c r="N128" s="1091">
        <v>336.61999999987893</v>
      </c>
      <c r="O128" s="929">
        <f t="shared" si="7"/>
        <v>-250.38000000012107</v>
      </c>
    </row>
    <row r="129" spans="1:15">
      <c r="A129" s="1071" t="s">
        <v>237</v>
      </c>
      <c r="B129" s="916"/>
      <c r="C129" s="916"/>
      <c r="D129" s="916"/>
      <c r="E129" s="916"/>
      <c r="F129" s="916"/>
      <c r="G129" s="1072"/>
      <c r="H129" s="1072"/>
      <c r="I129" s="1072"/>
      <c r="J129" s="1073"/>
      <c r="O129" s="929">
        <f t="shared" si="7"/>
        <v>0</v>
      </c>
    </row>
    <row r="130" spans="1:15">
      <c r="A130" s="951" t="s">
        <v>238</v>
      </c>
      <c r="B130" s="952"/>
      <c r="C130" s="952"/>
      <c r="D130" s="922" t="s">
        <v>239</v>
      </c>
      <c r="E130" s="923">
        <f>'21'!F130</f>
        <v>0</v>
      </c>
      <c r="F130" s="953">
        <v>0</v>
      </c>
      <c r="G130" s="924">
        <f t="shared" ref="G130:G140" si="17">F130-E130</f>
        <v>0</v>
      </c>
      <c r="H130" s="925">
        <f>G130+'21'!H130</f>
        <v>0</v>
      </c>
      <c r="I130" s="944"/>
      <c r="J130" s="927">
        <f>H130/DAY(B2)</f>
        <v>0</v>
      </c>
      <c r="N130" s="1091">
        <v>0</v>
      </c>
      <c r="O130" s="929">
        <f t="shared" si="7"/>
        <v>0</v>
      </c>
    </row>
    <row r="131" spans="1:15">
      <c r="A131" s="951" t="s">
        <v>240</v>
      </c>
      <c r="B131" s="952"/>
      <c r="C131" s="952"/>
      <c r="D131" s="922" t="s">
        <v>239</v>
      </c>
      <c r="E131" s="923">
        <f>'21'!F131</f>
        <v>0</v>
      </c>
      <c r="F131" s="953">
        <v>0</v>
      </c>
      <c r="G131" s="924">
        <f t="shared" si="17"/>
        <v>0</v>
      </c>
      <c r="H131" s="925">
        <f>G131+'21'!H131</f>
        <v>0</v>
      </c>
      <c r="I131" s="944"/>
      <c r="J131" s="927">
        <f>H131/DAY(B2)</f>
        <v>0</v>
      </c>
      <c r="N131" s="1091">
        <v>0</v>
      </c>
      <c r="O131" s="929">
        <f t="shared" si="7"/>
        <v>0</v>
      </c>
    </row>
    <row r="132" spans="1:15">
      <c r="A132" s="951" t="s">
        <v>241</v>
      </c>
      <c r="B132" s="952"/>
      <c r="C132" s="952"/>
      <c r="D132" s="922" t="s">
        <v>239</v>
      </c>
      <c r="E132" s="923">
        <f>'21'!F132</f>
        <v>38829.480000000003</v>
      </c>
      <c r="F132" s="1074">
        <v>38829.480000000003</v>
      </c>
      <c r="G132" s="924">
        <f t="shared" si="17"/>
        <v>0</v>
      </c>
      <c r="H132" s="925">
        <f>G132+'21'!H132</f>
        <v>386.52999999999884</v>
      </c>
      <c r="I132" s="944"/>
      <c r="J132" s="927">
        <f>H132/DAY(B2)</f>
        <v>17.569545454545402</v>
      </c>
      <c r="N132" s="1091">
        <v>0</v>
      </c>
      <c r="O132" s="929">
        <f t="shared" si="7"/>
        <v>0</v>
      </c>
    </row>
    <row r="133" spans="1:15">
      <c r="A133" s="951" t="s">
        <v>242</v>
      </c>
      <c r="B133" s="952"/>
      <c r="C133" s="952"/>
      <c r="D133" s="922" t="s">
        <v>239</v>
      </c>
      <c r="E133" s="923">
        <f>'21'!F133</f>
        <v>299.52</v>
      </c>
      <c r="F133" s="1074">
        <v>299.52</v>
      </c>
      <c r="G133" s="924">
        <f t="shared" si="17"/>
        <v>0</v>
      </c>
      <c r="H133" s="925">
        <f>G133+'21'!H133</f>
        <v>-0.48000000000001819</v>
      </c>
      <c r="I133" s="944">
        <f>G130+G131+G132+G133</f>
        <v>0</v>
      </c>
      <c r="J133" s="927">
        <f>H133/DAY(B2)</f>
        <v>-2.1818181818182646E-2</v>
      </c>
      <c r="N133" s="1091">
        <v>24.040000000000873</v>
      </c>
      <c r="O133" s="929">
        <f t="shared" si="7"/>
        <v>24.040000000000873</v>
      </c>
    </row>
    <row r="134" spans="1:15">
      <c r="A134" s="951" t="s">
        <v>243</v>
      </c>
      <c r="B134" s="952"/>
      <c r="C134" s="952"/>
      <c r="D134" s="922" t="s">
        <v>239</v>
      </c>
      <c r="E134" s="923">
        <f>'21'!F134</f>
        <v>40260.519999999997</v>
      </c>
      <c r="F134" s="1074">
        <v>40260.519999999997</v>
      </c>
      <c r="G134" s="924">
        <f t="shared" si="17"/>
        <v>0</v>
      </c>
      <c r="H134" s="925">
        <f>G134+'21'!H134</f>
        <v>-106.62000000000262</v>
      </c>
      <c r="I134" s="944"/>
      <c r="J134" s="927">
        <f>H134/DAY(B2)</f>
        <v>-4.8463636363637557</v>
      </c>
      <c r="N134" s="1091">
        <v>0</v>
      </c>
      <c r="O134" s="929">
        <f t="shared" si="7"/>
        <v>0</v>
      </c>
    </row>
    <row r="135" spans="1:15">
      <c r="A135" s="951" t="s">
        <v>244</v>
      </c>
      <c r="B135" s="952"/>
      <c r="C135" s="952"/>
      <c r="D135" s="922" t="s">
        <v>239</v>
      </c>
      <c r="E135" s="923">
        <f>'21'!F135</f>
        <v>32506</v>
      </c>
      <c r="F135" s="1074">
        <v>32530</v>
      </c>
      <c r="G135" s="924">
        <f t="shared" si="17"/>
        <v>24</v>
      </c>
      <c r="H135" s="925">
        <f>G135+'21'!H135</f>
        <v>-41</v>
      </c>
      <c r="I135" s="944"/>
      <c r="J135" s="927">
        <f>H135/DAY(B2)</f>
        <v>-1.8636363636363635</v>
      </c>
      <c r="N135" s="1091">
        <v>0</v>
      </c>
      <c r="O135" s="929">
        <f t="shared" si="7"/>
        <v>-24</v>
      </c>
    </row>
    <row r="136" spans="1:15">
      <c r="A136" s="951" t="s">
        <v>245</v>
      </c>
      <c r="B136" s="952"/>
      <c r="C136" s="952"/>
      <c r="D136" s="922" t="s">
        <v>239</v>
      </c>
      <c r="E136" s="923">
        <f>'21'!F136</f>
        <v>22163</v>
      </c>
      <c r="F136" s="1074">
        <v>22173.49</v>
      </c>
      <c r="G136" s="924">
        <f t="shared" si="17"/>
        <v>10.490000000001601</v>
      </c>
      <c r="H136" s="925">
        <f>G136+'21'!H136</f>
        <v>-48.719999999997526</v>
      </c>
      <c r="I136" s="944">
        <f>G134+G135+G136</f>
        <v>34.490000000001601</v>
      </c>
      <c r="J136" s="927">
        <f>H136/DAY(B2)</f>
        <v>-2.214545454545342</v>
      </c>
      <c r="N136" s="1091">
        <v>0</v>
      </c>
      <c r="O136" s="929">
        <f t="shared" ref="O136:O154" si="18">N136-G136</f>
        <v>-10.490000000001601</v>
      </c>
    </row>
    <row r="137" spans="1:15">
      <c r="A137" s="951" t="s">
        <v>246</v>
      </c>
      <c r="B137" s="952"/>
      <c r="C137" s="952"/>
      <c r="D137" s="922" t="s">
        <v>239</v>
      </c>
      <c r="E137" s="923">
        <f>'21'!F137</f>
        <v>25036.560000000001</v>
      </c>
      <c r="F137" s="1074">
        <v>25036.560000000001</v>
      </c>
      <c r="G137" s="924">
        <f t="shared" si="17"/>
        <v>0</v>
      </c>
      <c r="H137" s="925">
        <f>G137+'21'!H137</f>
        <v>-7.75</v>
      </c>
      <c r="I137" s="944"/>
      <c r="J137" s="927">
        <f>H137/DAY(B2)</f>
        <v>-0.35227272727272729</v>
      </c>
      <c r="N137" s="1091">
        <v>7.2299999999995634</v>
      </c>
      <c r="O137" s="929">
        <f t="shared" si="18"/>
        <v>7.2299999999995634</v>
      </c>
    </row>
    <row r="138" spans="1:15">
      <c r="A138" s="951" t="s">
        <v>247</v>
      </c>
      <c r="B138" s="952"/>
      <c r="C138" s="952"/>
      <c r="D138" s="922" t="s">
        <v>239</v>
      </c>
      <c r="E138" s="923">
        <f>'21'!F138</f>
        <v>70120.179999999993</v>
      </c>
      <c r="F138" s="1074">
        <v>70124.91</v>
      </c>
      <c r="G138" s="924">
        <f t="shared" si="17"/>
        <v>4.7300000000104774</v>
      </c>
      <c r="H138" s="925">
        <f>G138+'21'!H138</f>
        <v>-22.429999999993015</v>
      </c>
      <c r="I138" s="944">
        <f>G137+G138</f>
        <v>4.7300000000104774</v>
      </c>
      <c r="J138" s="927">
        <f>H138/DAY(B2)</f>
        <v>-1.019545454545137</v>
      </c>
      <c r="N138" s="1091">
        <v>0</v>
      </c>
      <c r="O138" s="929">
        <f t="shared" si="18"/>
        <v>-4.7300000000104774</v>
      </c>
    </row>
    <row r="139" spans="1:15">
      <c r="A139" s="951" t="s">
        <v>248</v>
      </c>
      <c r="B139" s="952"/>
      <c r="C139" s="952"/>
      <c r="D139" s="922" t="s">
        <v>239</v>
      </c>
      <c r="E139" s="923">
        <f>'21'!F139</f>
        <v>1370.98</v>
      </c>
      <c r="F139" s="953">
        <v>1378.28</v>
      </c>
      <c r="G139" s="924">
        <f t="shared" si="17"/>
        <v>7.2999999999999545</v>
      </c>
      <c r="H139" s="925">
        <f>G139+'21'!H139</f>
        <v>-44.860000000000127</v>
      </c>
      <c r="I139" s="1075"/>
      <c r="J139" s="927">
        <f>H139/DAY(B2)</f>
        <v>-2.0390909090909148</v>
      </c>
      <c r="N139" s="1091">
        <v>0</v>
      </c>
      <c r="O139" s="929">
        <f t="shared" si="18"/>
        <v>-7.2999999999999545</v>
      </c>
    </row>
    <row r="140" spans="1:15">
      <c r="A140" s="951" t="s">
        <v>249</v>
      </c>
      <c r="B140" s="952"/>
      <c r="C140" s="952"/>
      <c r="D140" s="922" t="s">
        <v>239</v>
      </c>
      <c r="E140" s="923">
        <f>'21'!F140</f>
        <v>4333.53</v>
      </c>
      <c r="F140" s="953">
        <v>4333.53</v>
      </c>
      <c r="G140" s="924">
        <f t="shared" si="17"/>
        <v>0</v>
      </c>
      <c r="H140" s="925">
        <f>G140+'21'!H140</f>
        <v>-0.47000000000025466</v>
      </c>
      <c r="I140" s="1075"/>
      <c r="J140" s="927">
        <f>H140/DAY(B2)</f>
        <v>-2.136363636364794E-2</v>
      </c>
      <c r="N140" s="1091">
        <v>3.3299999999999272</v>
      </c>
      <c r="O140" s="929">
        <f t="shared" si="18"/>
        <v>3.3299999999999272</v>
      </c>
    </row>
    <row r="141" spans="1:15">
      <c r="A141" s="1587" t="s">
        <v>250</v>
      </c>
      <c r="B141" s="1588"/>
      <c r="C141" s="917"/>
      <c r="D141" s="917"/>
      <c r="E141" s="917"/>
      <c r="F141" s="917"/>
      <c r="G141" s="949"/>
      <c r="H141" s="949"/>
      <c r="I141" s="949"/>
      <c r="J141" s="1068"/>
      <c r="K141" s="1023"/>
      <c r="L141" s="902"/>
      <c r="O141" s="929">
        <f t="shared" si="18"/>
        <v>0</v>
      </c>
    </row>
    <row r="142" spans="1:15">
      <c r="A142" s="1555" t="s">
        <v>251</v>
      </c>
      <c r="B142" s="1556"/>
      <c r="C142" s="1557"/>
      <c r="D142" s="922" t="s">
        <v>132</v>
      </c>
      <c r="E142" s="922"/>
      <c r="F142" s="922"/>
      <c r="G142" s="925">
        <f>G35+G43+G49+G57</f>
        <v>5145</v>
      </c>
      <c r="H142" s="925">
        <f>G142+'21'!H142</f>
        <v>-34701.319999999891</v>
      </c>
      <c r="I142" s="944"/>
      <c r="J142" s="927">
        <f>H142/DAY(B2)</f>
        <v>-1577.3327272727222</v>
      </c>
      <c r="K142" s="1023"/>
      <c r="L142" s="902"/>
      <c r="N142" s="1091">
        <v>3116.0800000000163</v>
      </c>
      <c r="O142" s="929">
        <f t="shared" si="18"/>
        <v>-2028.9199999999837</v>
      </c>
    </row>
    <row r="143" spans="1:15">
      <c r="A143" s="1555" t="s">
        <v>252</v>
      </c>
      <c r="B143" s="1556"/>
      <c r="C143" s="1557"/>
      <c r="D143" s="922" t="s">
        <v>24</v>
      </c>
      <c r="E143" s="909"/>
      <c r="F143" s="909"/>
      <c r="G143" s="1076">
        <f>G142/G7</f>
        <v>0.25381086280893889</v>
      </c>
      <c r="H143" s="925">
        <f>G143+'21'!H143</f>
        <v>5.5578545087991511</v>
      </c>
      <c r="I143" s="1077"/>
      <c r="J143" s="927">
        <f>H143/DAY(B2)</f>
        <v>0.25262975039996144</v>
      </c>
      <c r="K143" s="1023"/>
      <c r="L143" s="902"/>
      <c r="N143" s="1091">
        <v>0.24942607860401955</v>
      </c>
      <c r="O143" s="929">
        <f t="shared" si="18"/>
        <v>-4.3847842049193342E-3</v>
      </c>
    </row>
    <row r="144" spans="1:15">
      <c r="A144" s="1555" t="s">
        <v>253</v>
      </c>
      <c r="B144" s="1556"/>
      <c r="C144" s="1557"/>
      <c r="D144" s="922" t="s">
        <v>132</v>
      </c>
      <c r="E144" s="923"/>
      <c r="F144" s="923"/>
      <c r="G144" s="925">
        <f>G41+G42+G55+G56</f>
        <v>4684</v>
      </c>
      <c r="H144" s="925">
        <f>G144+'21'!H144</f>
        <v>-32030.940000000024</v>
      </c>
      <c r="I144" s="944"/>
      <c r="J144" s="927">
        <f>H144/DAY(B2)</f>
        <v>-1455.9518181818194</v>
      </c>
      <c r="K144" s="1023"/>
      <c r="L144" s="902"/>
      <c r="N144" s="1091">
        <v>3271.0800000000127</v>
      </c>
      <c r="O144" s="929">
        <f t="shared" si="18"/>
        <v>-1412.9199999999873</v>
      </c>
    </row>
    <row r="145" spans="1:15">
      <c r="A145" s="1555" t="s">
        <v>254</v>
      </c>
      <c r="B145" s="1556"/>
      <c r="C145" s="1557"/>
      <c r="D145" s="922" t="s">
        <v>24</v>
      </c>
      <c r="E145" s="923"/>
      <c r="F145" s="923"/>
      <c r="G145" s="1076">
        <f>G144/G7</f>
        <v>0.23106901484879877</v>
      </c>
      <c r="H145" s="925">
        <f>G145+'21'!H145</f>
        <v>5.2101193039399734</v>
      </c>
      <c r="I145" s="1077"/>
      <c r="J145" s="927">
        <f>H145/DAY(B2)</f>
        <v>0.23682360472454425</v>
      </c>
      <c r="K145" s="1023"/>
      <c r="L145" s="902"/>
      <c r="N145" s="1091">
        <v>0.26183302649483814</v>
      </c>
      <c r="O145" s="929">
        <f t="shared" si="18"/>
        <v>3.0764011646039369E-2</v>
      </c>
    </row>
    <row r="146" spans="1:15">
      <c r="A146" s="1555" t="s">
        <v>255</v>
      </c>
      <c r="B146" s="1556"/>
      <c r="C146" s="1557"/>
      <c r="D146" s="922" t="s">
        <v>132</v>
      </c>
      <c r="E146" s="923"/>
      <c r="F146" s="923"/>
      <c r="G146" s="925">
        <f>G39+G53</f>
        <v>4115</v>
      </c>
      <c r="H146" s="925">
        <f>G146+'21'!H146</f>
        <v>74988.38</v>
      </c>
      <c r="I146" s="1078"/>
      <c r="J146" s="927">
        <f>H146/DAY(B2)</f>
        <v>3408.5627272727274</v>
      </c>
      <c r="K146" s="1023"/>
      <c r="L146" s="902"/>
      <c r="N146" s="1091">
        <v>2151.6400000000085</v>
      </c>
      <c r="O146" s="929">
        <f t="shared" si="18"/>
        <v>-1963.3599999999915</v>
      </c>
    </row>
    <row r="147" spans="1:15">
      <c r="A147" s="1555" t="s">
        <v>256</v>
      </c>
      <c r="B147" s="1556"/>
      <c r="C147" s="1557"/>
      <c r="D147" s="922" t="s">
        <v>24</v>
      </c>
      <c r="E147" s="923"/>
      <c r="F147" s="923"/>
      <c r="G147" s="1076">
        <f>G146/G7</f>
        <v>0.20299935868975383</v>
      </c>
      <c r="H147" s="925">
        <f>G147+'21'!H147</f>
        <v>9.3651183395373945</v>
      </c>
      <c r="I147" s="1078"/>
      <c r="J147" s="927">
        <f>H147/DAY(B2)</f>
        <v>0.42568719725169973</v>
      </c>
      <c r="N147" s="1091">
        <v>0.17222764748259092</v>
      </c>
      <c r="O147" s="929">
        <f t="shared" si="18"/>
        <v>-3.0771711207162905E-2</v>
      </c>
    </row>
    <row r="148" spans="1:15">
      <c r="A148" s="1555" t="s">
        <v>257</v>
      </c>
      <c r="B148" s="1556"/>
      <c r="C148" s="1557"/>
      <c r="D148" s="922" t="s">
        <v>183</v>
      </c>
      <c r="E148" s="923"/>
      <c r="F148" s="923"/>
      <c r="G148" s="925">
        <f>G38+G52</f>
        <v>2080</v>
      </c>
      <c r="H148" s="925">
        <f>G148+'21'!H148</f>
        <v>-12566.200000000019</v>
      </c>
      <c r="I148" s="944"/>
      <c r="J148" s="927">
        <f>H148/DAY(B2)</f>
        <v>-571.19090909090994</v>
      </c>
      <c r="K148" s="1079"/>
      <c r="N148" s="1091">
        <v>1058.2600000000093</v>
      </c>
      <c r="O148" s="929">
        <f t="shared" si="18"/>
        <v>-1021.7399999999907</v>
      </c>
    </row>
    <row r="149" spans="1:15">
      <c r="A149" s="1555" t="s">
        <v>258</v>
      </c>
      <c r="B149" s="1556"/>
      <c r="C149" s="1557"/>
      <c r="D149" s="922" t="s">
        <v>24</v>
      </c>
      <c r="E149" s="923"/>
      <c r="F149" s="923"/>
      <c r="G149" s="1076">
        <f>G148/G7</f>
        <v>0.10260963938631543</v>
      </c>
      <c r="H149" s="925">
        <f>G149+'21'!H149</f>
        <v>2.1872741046462063</v>
      </c>
      <c r="I149" s="1078"/>
      <c r="J149" s="927">
        <f>H149/DAY(B2)</f>
        <v>9.9421550211191201E-2</v>
      </c>
      <c r="N149" s="1091">
        <v>8.4708236612503748E-2</v>
      </c>
      <c r="O149" s="929">
        <f t="shared" si="18"/>
        <v>-1.7901402773811678E-2</v>
      </c>
    </row>
    <row r="150" spans="1:15">
      <c r="A150" s="1555" t="s">
        <v>259</v>
      </c>
      <c r="B150" s="1556"/>
      <c r="C150" s="1557"/>
      <c r="D150" s="922" t="s">
        <v>183</v>
      </c>
      <c r="E150" s="923"/>
      <c r="F150" s="923"/>
      <c r="G150" s="925">
        <f>G36+G50</f>
        <v>1925</v>
      </c>
      <c r="H150" s="925">
        <f>G150+'21'!H150</f>
        <v>-11943.600000000035</v>
      </c>
      <c r="I150" s="1078"/>
      <c r="J150" s="927">
        <f>H150/DAY(B2)</f>
        <v>-542.89090909091067</v>
      </c>
      <c r="N150" s="1091">
        <v>1278.2299999999814</v>
      </c>
      <c r="O150" s="929">
        <f t="shared" si="18"/>
        <v>-646.77000000001863</v>
      </c>
    </row>
    <row r="151" spans="1:15">
      <c r="A151" s="1555" t="s">
        <v>260</v>
      </c>
      <c r="B151" s="1556"/>
      <c r="C151" s="1557"/>
      <c r="D151" s="922" t="s">
        <v>24</v>
      </c>
      <c r="E151" s="923"/>
      <c r="F151" s="923"/>
      <c r="G151" s="1076">
        <f>G150/G7</f>
        <v>9.4963247989739041E-2</v>
      </c>
      <c r="H151" s="925">
        <f>G151+'21'!H151</f>
        <v>2.0422177798103389</v>
      </c>
      <c r="I151" s="944"/>
      <c r="J151" s="927">
        <f>H151/DAY(B2)</f>
        <v>9.2828080900469956E-2</v>
      </c>
      <c r="N151" s="1091">
        <v>0.10231569679020103</v>
      </c>
      <c r="O151" s="929">
        <f t="shared" si="18"/>
        <v>7.3524488004619859E-3</v>
      </c>
    </row>
    <row r="152" spans="1:15">
      <c r="A152" s="1555" t="s">
        <v>261</v>
      </c>
      <c r="B152" s="1556"/>
      <c r="C152" s="1557"/>
      <c r="D152" s="922" t="s">
        <v>183</v>
      </c>
      <c r="E152" s="923"/>
      <c r="F152" s="923"/>
      <c r="G152" s="925">
        <f>G37+G51</f>
        <v>1467</v>
      </c>
      <c r="H152" s="925">
        <f>G152+'21'!H152</f>
        <v>26310.160000000003</v>
      </c>
      <c r="I152" s="944"/>
      <c r="J152" s="927">
        <f>H152/DAY(B2)</f>
        <v>1195.9163636363637</v>
      </c>
      <c r="N152" s="1091">
        <v>1215.359999999986</v>
      </c>
      <c r="O152" s="929">
        <f t="shared" si="18"/>
        <v>-251.64000000001397</v>
      </c>
    </row>
    <row r="153" spans="1:15" ht="21" thickBot="1">
      <c r="A153" s="1598" t="s">
        <v>262</v>
      </c>
      <c r="B153" s="1599"/>
      <c r="C153" s="1600"/>
      <c r="D153" s="1080" t="s">
        <v>24</v>
      </c>
      <c r="E153" s="1081"/>
      <c r="F153" s="1081"/>
      <c r="G153" s="1082">
        <f>G152/G7</f>
        <v>7.236939470179074E-2</v>
      </c>
      <c r="H153" s="925">
        <f>G153+'21'!H153</f>
        <v>3.2957419318932546</v>
      </c>
      <c r="I153" s="1083"/>
      <c r="J153" s="1084">
        <f>H153/DAY(B2)</f>
        <v>0.1498064514496934</v>
      </c>
      <c r="N153" s="1091">
        <v>9.7283278636035059E-2</v>
      </c>
      <c r="O153" s="929">
        <f t="shared" si="18"/>
        <v>2.4913883934244319E-2</v>
      </c>
    </row>
    <row r="154" spans="1:15">
      <c r="A154" s="1085"/>
      <c r="B154" s="1085"/>
      <c r="C154" s="1085"/>
      <c r="D154" s="1085"/>
      <c r="E154" s="1085"/>
      <c r="F154" s="1085"/>
      <c r="G154" s="1085"/>
      <c r="H154" s="1086"/>
      <c r="I154" s="1085"/>
      <c r="J154" s="1087"/>
      <c r="O154" s="929">
        <f t="shared" si="18"/>
        <v>0</v>
      </c>
    </row>
    <row r="160" spans="1:15">
      <c r="A160" s="1075" t="s">
        <v>263</v>
      </c>
      <c r="B160" s="1075"/>
      <c r="C160" s="1075"/>
      <c r="D160" s="909" t="s">
        <v>187</v>
      </c>
      <c r="E160" s="923">
        <f>'21'!F160</f>
        <v>30199</v>
      </c>
      <c r="F160" s="1099">
        <v>30284</v>
      </c>
      <c r="G160" s="924">
        <f t="shared" ref="G160:G163" si="19">F160-E160</f>
        <v>85</v>
      </c>
      <c r="H160" s="1089">
        <v>68.809999999999491</v>
      </c>
      <c r="N160" s="1091">
        <v>68.809999999999491</v>
      </c>
    </row>
    <row r="161" spans="1:14">
      <c r="A161" s="1075" t="s">
        <v>264</v>
      </c>
      <c r="B161" s="1075"/>
      <c r="C161" s="1075"/>
      <c r="D161" s="909" t="s">
        <v>187</v>
      </c>
      <c r="E161" s="923">
        <f>'21'!F161</f>
        <v>51963</v>
      </c>
      <c r="F161" s="1099">
        <v>52415</v>
      </c>
      <c r="G161" s="924">
        <f t="shared" si="19"/>
        <v>452</v>
      </c>
      <c r="H161" s="1089">
        <v>128.56999999999994</v>
      </c>
      <c r="N161" s="1091">
        <v>128.56999999999994</v>
      </c>
    </row>
    <row r="162" spans="1:14">
      <c r="A162" s="1075" t="s">
        <v>265</v>
      </c>
      <c r="B162" s="1075"/>
      <c r="C162" s="1075"/>
      <c r="D162" s="909" t="s">
        <v>187</v>
      </c>
      <c r="E162" s="923">
        <f>'21'!F162</f>
        <v>18691</v>
      </c>
      <c r="F162" s="1099">
        <v>18925</v>
      </c>
      <c r="G162" s="924">
        <f t="shared" si="19"/>
        <v>234</v>
      </c>
      <c r="H162" s="1089">
        <v>141.49</v>
      </c>
      <c r="N162" s="1091">
        <v>141.49</v>
      </c>
    </row>
    <row r="163" spans="1:14">
      <c r="A163" s="1075" t="s">
        <v>266</v>
      </c>
      <c r="B163" s="1075"/>
      <c r="C163" s="1075"/>
      <c r="D163" s="909" t="s">
        <v>187</v>
      </c>
      <c r="E163" s="923">
        <f>'21'!F163</f>
        <v>5298</v>
      </c>
      <c r="F163" s="1099">
        <v>5315</v>
      </c>
      <c r="G163" s="924">
        <f t="shared" si="19"/>
        <v>17</v>
      </c>
      <c r="H163" s="1089">
        <v>45.430000000000007</v>
      </c>
      <c r="N163" s="1091">
        <v>45.430000000000007</v>
      </c>
    </row>
    <row r="164" spans="1:14">
      <c r="A164" s="1005" t="s">
        <v>98</v>
      </c>
      <c r="B164" s="1005"/>
      <c r="C164" s="1005"/>
      <c r="D164" s="909" t="s">
        <v>187</v>
      </c>
      <c r="E164" s="1006">
        <f>E62</f>
        <v>20419.2</v>
      </c>
      <c r="F164" s="1006" t="s">
        <v>215</v>
      </c>
      <c r="G164" s="924" t="e">
        <f t="shared" ref="G164:G171" si="20">F164-E164</f>
        <v>#VALUE!</v>
      </c>
      <c r="H164" s="1089">
        <v>0</v>
      </c>
      <c r="N164" s="1091">
        <v>0</v>
      </c>
    </row>
    <row r="165" spans="1:14">
      <c r="A165" s="1005" t="s">
        <v>188</v>
      </c>
      <c r="B165" s="1005"/>
      <c r="C165" s="1005"/>
      <c r="D165" s="909" t="s">
        <v>187</v>
      </c>
      <c r="E165" s="1006">
        <f t="shared" ref="E165:E171" si="21">E63</f>
        <v>1611</v>
      </c>
      <c r="F165" s="1006">
        <f t="shared" ref="F165:F171" si="22">F63</f>
        <v>1624</v>
      </c>
      <c r="G165" s="924">
        <f t="shared" si="20"/>
        <v>13</v>
      </c>
      <c r="H165" s="1089">
        <v>0</v>
      </c>
      <c r="N165" s="1091">
        <v>0</v>
      </c>
    </row>
    <row r="166" spans="1:14">
      <c r="A166" s="1607" t="s">
        <v>99</v>
      </c>
      <c r="B166" s="1607"/>
      <c r="C166" s="1607"/>
      <c r="D166" s="922" t="s">
        <v>187</v>
      </c>
      <c r="E166" s="1006">
        <f t="shared" si="21"/>
        <v>120038</v>
      </c>
      <c r="F166" s="1006">
        <f t="shared" si="22"/>
        <v>120508</v>
      </c>
      <c r="G166" s="924">
        <f t="shared" si="20"/>
        <v>470</v>
      </c>
      <c r="H166" s="1089">
        <v>178.5199999999968</v>
      </c>
      <c r="N166" s="1091">
        <v>178.5199999999968</v>
      </c>
    </row>
    <row r="167" spans="1:14">
      <c r="A167" s="1607" t="s">
        <v>100</v>
      </c>
      <c r="B167" s="1607"/>
      <c r="C167" s="1607"/>
      <c r="D167" s="922" t="s">
        <v>187</v>
      </c>
      <c r="E167" s="1006">
        <f t="shared" si="21"/>
        <v>129852</v>
      </c>
      <c r="F167" s="1006">
        <f t="shared" si="22"/>
        <v>130228</v>
      </c>
      <c r="G167" s="924">
        <f t="shared" si="20"/>
        <v>376</v>
      </c>
      <c r="H167" s="1089">
        <v>198.38999999999942</v>
      </c>
      <c r="N167" s="1091">
        <v>198.38999999999942</v>
      </c>
    </row>
    <row r="168" spans="1:14">
      <c r="A168" s="1607" t="s">
        <v>101</v>
      </c>
      <c r="B168" s="1607"/>
      <c r="C168" s="1607"/>
      <c r="D168" s="922" t="s">
        <v>187</v>
      </c>
      <c r="E168" s="1006">
        <f t="shared" si="21"/>
        <v>22440</v>
      </c>
      <c r="F168" s="1006">
        <f t="shared" si="22"/>
        <v>22819</v>
      </c>
      <c r="G168" s="924">
        <f t="shared" si="20"/>
        <v>379</v>
      </c>
      <c r="H168" s="1089">
        <v>226.35000000000582</v>
      </c>
      <c r="N168" s="1091">
        <v>226.35000000000582</v>
      </c>
    </row>
    <row r="169" spans="1:14">
      <c r="A169" s="1607" t="s">
        <v>102</v>
      </c>
      <c r="B169" s="1607"/>
      <c r="C169" s="1607"/>
      <c r="D169" s="922" t="s">
        <v>187</v>
      </c>
      <c r="E169" s="1006">
        <f t="shared" si="21"/>
        <v>203311</v>
      </c>
      <c r="F169" s="1006">
        <f t="shared" si="22"/>
        <v>203982</v>
      </c>
      <c r="G169" s="924">
        <f t="shared" si="20"/>
        <v>671</v>
      </c>
      <c r="H169" s="1089">
        <v>312.47000000000116</v>
      </c>
      <c r="N169" s="1091">
        <v>312.47000000000116</v>
      </c>
    </row>
    <row r="170" spans="1:14">
      <c r="A170" s="1607" t="s">
        <v>103</v>
      </c>
      <c r="B170" s="1607"/>
      <c r="C170" s="1607"/>
      <c r="D170" s="922" t="s">
        <v>187</v>
      </c>
      <c r="E170" s="1006">
        <f t="shared" si="21"/>
        <v>70485</v>
      </c>
      <c r="F170" s="1006">
        <f t="shared" si="22"/>
        <v>70793</v>
      </c>
      <c r="G170" s="924">
        <f t="shared" si="20"/>
        <v>308</v>
      </c>
      <c r="H170" s="1089">
        <v>142.1200000000008</v>
      </c>
      <c r="N170" s="1091">
        <v>142.1200000000008</v>
      </c>
    </row>
    <row r="171" spans="1:14">
      <c r="A171" s="1607" t="s">
        <v>104</v>
      </c>
      <c r="B171" s="1607"/>
      <c r="C171" s="1607"/>
      <c r="D171" s="922" t="s">
        <v>187</v>
      </c>
      <c r="E171" s="1006">
        <f t="shared" si="21"/>
        <v>62157</v>
      </c>
      <c r="F171" s="1006">
        <f t="shared" si="22"/>
        <v>62487</v>
      </c>
      <c r="G171" s="924">
        <f t="shared" si="20"/>
        <v>330</v>
      </c>
      <c r="H171" s="1089">
        <v>12.869999999998981</v>
      </c>
      <c r="N171" s="1091">
        <v>12.869999999998981</v>
      </c>
    </row>
    <row r="172" spans="1:14">
      <c r="G172" s="1090" t="e">
        <f>SUM(G160:G171)</f>
        <v>#VALUE!</v>
      </c>
      <c r="N172" s="1091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5" zoomScale="70" zoomScaleNormal="80" zoomScaleSheetLayoutView="70" workbookViewId="0">
      <selection activeCell="F105" sqref="F105"/>
    </sheetView>
  </sheetViews>
  <sheetFormatPr defaultColWidth="22.33203125" defaultRowHeight="20.25"/>
  <cols>
    <col min="1" max="1" width="51.21875" style="1088" customWidth="1"/>
    <col min="2" max="2" width="24.88671875" style="1088" customWidth="1"/>
    <col min="3" max="3" width="15.88671875" style="1088" customWidth="1"/>
    <col min="4" max="4" width="13.6640625" style="1088" customWidth="1"/>
    <col min="5" max="5" width="32.109375" style="1088" customWidth="1"/>
    <col min="6" max="6" width="30" style="1088" customWidth="1"/>
    <col min="7" max="7" width="15.5546875" style="1088" bestFit="1" customWidth="1"/>
    <col min="8" max="8" width="39.21875" style="1089" customWidth="1"/>
    <col min="9" max="9" width="11.21875" style="1088" bestFit="1" customWidth="1"/>
    <col min="10" max="10" width="24" style="1090" customWidth="1"/>
    <col min="11" max="11" width="43.21875" style="889" hidden="1" customWidth="1"/>
    <col min="12" max="13" width="0" style="889" hidden="1" customWidth="1"/>
    <col min="14" max="14" width="25.109375" style="1091" customWidth="1"/>
    <col min="15" max="15" width="6.77734375" style="889" bestFit="1" customWidth="1"/>
    <col min="16" max="16384" width="22.33203125" style="889"/>
  </cols>
  <sheetData>
    <row r="1" spans="1:15" ht="22.5">
      <c r="A1" s="1567" t="s">
        <v>117</v>
      </c>
      <c r="B1" s="1568"/>
      <c r="C1" s="1568"/>
      <c r="D1" s="1568"/>
      <c r="E1" s="1568"/>
      <c r="F1" s="1568"/>
      <c r="G1" s="1568"/>
      <c r="H1" s="1568"/>
      <c r="I1" s="1568"/>
      <c r="J1" s="1569"/>
      <c r="K1" s="889">
        <v>10002.799999999999</v>
      </c>
    </row>
    <row r="2" spans="1:15">
      <c r="A2" s="890" t="s">
        <v>320</v>
      </c>
      <c r="B2" s="1163">
        <v>44250</v>
      </c>
      <c r="C2" s="891" t="s">
        <v>69</v>
      </c>
      <c r="D2" s="892">
        <v>0.57999999999999996</v>
      </c>
      <c r="E2" s="893"/>
      <c r="F2" s="893"/>
      <c r="G2" s="893" t="s">
        <v>118</v>
      </c>
      <c r="H2" s="893" t="s">
        <v>6</v>
      </c>
      <c r="I2" s="893" t="s">
        <v>8</v>
      </c>
      <c r="J2" s="894" t="s">
        <v>119</v>
      </c>
    </row>
    <row r="3" spans="1:15">
      <c r="A3" s="895"/>
      <c r="B3" s="896"/>
      <c r="C3" s="891" t="s">
        <v>120</v>
      </c>
      <c r="D3" s="897">
        <v>30</v>
      </c>
      <c r="E3" s="1570" t="s">
        <v>121</v>
      </c>
      <c r="F3" s="1571"/>
      <c r="G3" s="898">
        <f>'1'!G3</f>
        <v>0</v>
      </c>
      <c r="H3" s="899">
        <f>'1'!H3</f>
        <v>0</v>
      </c>
      <c r="I3" s="899">
        <f>'1'!I3</f>
        <v>0</v>
      </c>
      <c r="J3" s="900">
        <f>'1'!J3</f>
        <v>0</v>
      </c>
      <c r="K3" s="901"/>
      <c r="L3" s="902"/>
    </row>
    <row r="4" spans="1:15">
      <c r="A4" s="903"/>
      <c r="B4" s="904"/>
      <c r="C4" s="891" t="s">
        <v>122</v>
      </c>
      <c r="D4" s="892">
        <v>0.76</v>
      </c>
      <c r="E4" s="905"/>
      <c r="F4" s="905"/>
      <c r="G4" s="905"/>
      <c r="H4" s="905"/>
      <c r="I4" s="906"/>
      <c r="J4" s="900"/>
      <c r="K4" s="907"/>
      <c r="L4" s="902"/>
    </row>
    <row r="5" spans="1:15">
      <c r="A5" s="908" t="s">
        <v>123</v>
      </c>
      <c r="B5" s="909"/>
      <c r="C5" s="909"/>
      <c r="D5" s="909" t="s">
        <v>124</v>
      </c>
      <c r="E5" s="910" t="s">
        <v>125</v>
      </c>
      <c r="F5" s="910" t="s">
        <v>112</v>
      </c>
      <c r="G5" s="911" t="s">
        <v>126</v>
      </c>
      <c r="H5" s="912" t="s">
        <v>127</v>
      </c>
      <c r="I5" s="913" t="s">
        <v>128</v>
      </c>
      <c r="J5" s="914" t="s">
        <v>129</v>
      </c>
      <c r="K5" s="915"/>
      <c r="L5" s="902"/>
    </row>
    <row r="6" spans="1:15">
      <c r="A6" s="1564" t="s">
        <v>130</v>
      </c>
      <c r="B6" s="1565"/>
      <c r="C6" s="1566"/>
      <c r="D6" s="916"/>
      <c r="E6" s="916"/>
      <c r="F6" s="916"/>
      <c r="G6" s="916"/>
      <c r="H6" s="917"/>
      <c r="I6" s="917"/>
      <c r="J6" s="918"/>
      <c r="K6" s="919"/>
      <c r="L6" s="902"/>
    </row>
    <row r="7" spans="1:15" ht="21" thickBot="1">
      <c r="A7" s="920" t="s">
        <v>131</v>
      </c>
      <c r="B7" s="921"/>
      <c r="C7" s="921"/>
      <c r="D7" s="922" t="s">
        <v>132</v>
      </c>
      <c r="E7" s="923">
        <f>'22'!F7</f>
        <v>4317694</v>
      </c>
      <c r="F7" s="923">
        <v>4338967</v>
      </c>
      <c r="G7" s="924">
        <f>F7-E7</f>
        <v>21273</v>
      </c>
      <c r="H7" s="925">
        <f>G7+'22'!H7</f>
        <v>-106110</v>
      </c>
      <c r="I7" s="926">
        <f>'1'!I7</f>
        <v>12000</v>
      </c>
      <c r="J7" s="927">
        <f>H7/DAY(B2)</f>
        <v>-4613.478260869565</v>
      </c>
      <c r="K7" s="928"/>
      <c r="L7" s="902"/>
      <c r="O7" s="929"/>
    </row>
    <row r="8" spans="1:15" ht="21" thickBot="1">
      <c r="A8" s="930" t="s">
        <v>133</v>
      </c>
      <c r="B8" s="931"/>
      <c r="C8" s="932"/>
      <c r="D8" s="933" t="s">
        <v>25</v>
      </c>
      <c r="E8" s="923">
        <f>'22'!F8</f>
        <v>4345081</v>
      </c>
      <c r="F8" s="934">
        <v>4366485</v>
      </c>
      <c r="G8" s="935">
        <f>F8-E8</f>
        <v>21404</v>
      </c>
      <c r="H8" s="925">
        <f>G8+'22'!H8</f>
        <v>-106671</v>
      </c>
      <c r="I8" s="936">
        <f>'1'!I8</f>
        <v>12000</v>
      </c>
      <c r="J8" s="927">
        <f>H8/DAY(B2)</f>
        <v>-4637.869565217391</v>
      </c>
      <c r="K8" s="928"/>
      <c r="L8" s="937"/>
      <c r="M8" s="938"/>
      <c r="O8" s="929"/>
    </row>
    <row r="9" spans="1:15">
      <c r="A9" s="939" t="s">
        <v>134</v>
      </c>
      <c r="B9" s="940"/>
      <c r="C9" s="940"/>
      <c r="D9" s="922" t="s">
        <v>132</v>
      </c>
      <c r="E9" s="923">
        <v>2878</v>
      </c>
      <c r="F9" s="941">
        <v>16762</v>
      </c>
      <c r="G9" s="924">
        <f t="shared" ref="G9:G12" si="0">F9-E9</f>
        <v>13884</v>
      </c>
      <c r="H9" s="925">
        <f>G9+'22'!H9</f>
        <v>129279.99</v>
      </c>
      <c r="I9" s="942">
        <f>I8-J8</f>
        <v>16637.869565217392</v>
      </c>
      <c r="J9" s="927">
        <f>H9/DAY(B2)</f>
        <v>5620.8691304347831</v>
      </c>
      <c r="K9" s="943"/>
      <c r="L9" s="902"/>
      <c r="O9" s="929"/>
    </row>
    <row r="10" spans="1:15">
      <c r="A10" s="920" t="s">
        <v>135</v>
      </c>
      <c r="B10" s="921"/>
      <c r="C10" s="921"/>
      <c r="D10" s="922" t="s">
        <v>132</v>
      </c>
      <c r="E10" s="923">
        <f>'22'!F10</f>
        <v>1376130</v>
      </c>
      <c r="F10" s="941">
        <v>1382944</v>
      </c>
      <c r="G10" s="924">
        <f t="shared" si="0"/>
        <v>6814</v>
      </c>
      <c r="H10" s="925">
        <f>G10+'22'!H10</f>
        <v>1357248.44</v>
      </c>
      <c r="I10" s="944"/>
      <c r="J10" s="927">
        <f>H10/DAY(B2)</f>
        <v>59010.801739130431</v>
      </c>
      <c r="K10" s="943"/>
      <c r="L10" s="902"/>
      <c r="O10" s="929"/>
    </row>
    <row r="11" spans="1:15">
      <c r="A11" s="920" t="s">
        <v>136</v>
      </c>
      <c r="B11" s="921"/>
      <c r="C11" s="921"/>
      <c r="D11" s="922" t="s">
        <v>132</v>
      </c>
      <c r="E11" s="923">
        <f>'22'!F11</f>
        <v>37000</v>
      </c>
      <c r="F11" s="923">
        <v>37000</v>
      </c>
      <c r="G11" s="924">
        <f t="shared" si="0"/>
        <v>0</v>
      </c>
      <c r="H11" s="925">
        <f>G11+'22'!H11</f>
        <v>-2000</v>
      </c>
      <c r="I11" s="944"/>
      <c r="J11" s="927">
        <f>H11/DAY(B2)</f>
        <v>-86.956521739130437</v>
      </c>
      <c r="K11" s="943"/>
      <c r="L11" s="902"/>
      <c r="O11" s="929"/>
    </row>
    <row r="12" spans="1:15">
      <c r="A12" s="920" t="s">
        <v>137</v>
      </c>
      <c r="B12" s="921"/>
      <c r="C12" s="921"/>
      <c r="D12" s="922" t="s">
        <v>132</v>
      </c>
      <c r="E12" s="923">
        <f>'22'!F12</f>
        <v>40010</v>
      </c>
      <c r="F12" s="941">
        <v>40010</v>
      </c>
      <c r="G12" s="924">
        <f t="shared" si="0"/>
        <v>0</v>
      </c>
      <c r="H12" s="925">
        <f>G12+'22'!H12</f>
        <v>-2000</v>
      </c>
      <c r="I12" s="944"/>
      <c r="J12" s="927">
        <f>H12/DAY(B2)</f>
        <v>-86.956521739130437</v>
      </c>
      <c r="K12" s="943"/>
      <c r="L12" s="902"/>
      <c r="O12" s="929"/>
    </row>
    <row r="13" spans="1:15">
      <c r="A13" s="945" t="s">
        <v>138</v>
      </c>
      <c r="B13" s="946"/>
      <c r="C13" s="946"/>
      <c r="D13" s="922"/>
      <c r="E13" s="923"/>
      <c r="F13" s="923"/>
      <c r="G13" s="947">
        <f>G9+G10+G11+G12</f>
        <v>20698</v>
      </c>
      <c r="H13" s="925">
        <f>G13+'22'!H13</f>
        <v>1461534.43</v>
      </c>
      <c r="I13" s="948">
        <f>G7-G13</f>
        <v>575</v>
      </c>
      <c r="J13" s="927">
        <f>H13/DAY(B2)</f>
        <v>63544.9752173913</v>
      </c>
      <c r="K13" s="943"/>
      <c r="L13" s="902"/>
      <c r="O13" s="929"/>
    </row>
    <row r="14" spans="1:15">
      <c r="A14" s="1558" t="s">
        <v>139</v>
      </c>
      <c r="B14" s="1559"/>
      <c r="C14" s="1560"/>
      <c r="D14" s="917"/>
      <c r="E14" s="917"/>
      <c r="F14" s="917"/>
      <c r="G14" s="949"/>
      <c r="H14" s="917"/>
      <c r="I14" s="917"/>
      <c r="J14" s="918"/>
      <c r="K14" s="950"/>
      <c r="L14" s="902"/>
      <c r="O14" s="929"/>
    </row>
    <row r="15" spans="1:15">
      <c r="A15" s="951" t="s">
        <v>140</v>
      </c>
      <c r="B15" s="952"/>
      <c r="C15" s="952"/>
      <c r="D15" s="922" t="s">
        <v>141</v>
      </c>
      <c r="E15" s="923">
        <f>'22'!F15</f>
        <v>1614396</v>
      </c>
      <c r="F15" s="1363">
        <v>1615368.81</v>
      </c>
      <c r="G15" s="1101">
        <f>(F15-E15)</f>
        <v>972.81000000005588</v>
      </c>
      <c r="H15" s="925">
        <f>G15+'22'!H15</f>
        <v>-4509.8000000000466</v>
      </c>
      <c r="I15" s="926">
        <f>'1'!I15</f>
        <v>800</v>
      </c>
      <c r="J15" s="927">
        <f>H15/DAY(B2)</f>
        <v>-196.07826086956723</v>
      </c>
      <c r="K15" s="943"/>
      <c r="L15" s="902"/>
      <c r="O15" s="929"/>
    </row>
    <row r="16" spans="1:15">
      <c r="A16" s="954"/>
      <c r="B16" s="955"/>
      <c r="C16" s="955"/>
      <c r="D16" s="956"/>
      <c r="E16" s="957"/>
      <c r="F16" s="957"/>
      <c r="G16" s="924"/>
      <c r="H16" s="958"/>
      <c r="I16" s="959">
        <f>I15-J15</f>
        <v>996.0782608695672</v>
      </c>
      <c r="J16" s="960"/>
      <c r="K16" s="943"/>
      <c r="L16" s="902"/>
      <c r="O16" s="929"/>
    </row>
    <row r="17" spans="1:15">
      <c r="A17" s="1558" t="s">
        <v>142</v>
      </c>
      <c r="B17" s="1559"/>
      <c r="C17" s="1560"/>
      <c r="D17" s="917"/>
      <c r="E17" s="917"/>
      <c r="F17" s="917"/>
      <c r="G17" s="961"/>
      <c r="H17" s="917"/>
      <c r="I17" s="917"/>
      <c r="J17" s="918"/>
      <c r="K17" s="943"/>
      <c r="L17" s="902"/>
      <c r="O17" s="929"/>
    </row>
    <row r="18" spans="1:15">
      <c r="A18" s="1555" t="s">
        <v>143</v>
      </c>
      <c r="B18" s="1556"/>
      <c r="C18" s="1557"/>
      <c r="D18" s="922" t="s">
        <v>144</v>
      </c>
      <c r="E18" s="923">
        <f>'22'!F18</f>
        <v>15</v>
      </c>
      <c r="F18" s="953">
        <v>16</v>
      </c>
      <c r="G18" s="947">
        <f>F18*10</f>
        <v>160</v>
      </c>
      <c r="H18" s="925">
        <f>G18+'22'!H18</f>
        <v>3620</v>
      </c>
      <c r="I18" s="926">
        <f>'1'!I18</f>
        <v>65</v>
      </c>
      <c r="J18" s="927">
        <f>H18/DAY(B2)</f>
        <v>157.39130434782609</v>
      </c>
      <c r="K18" s="943"/>
      <c r="L18" s="902"/>
      <c r="O18" s="929"/>
    </row>
    <row r="19" spans="1:15">
      <c r="A19" s="1555" t="s">
        <v>71</v>
      </c>
      <c r="B19" s="1556"/>
      <c r="C19" s="1557"/>
      <c r="D19" s="922" t="s">
        <v>144</v>
      </c>
      <c r="E19" s="923">
        <f>'22'!F19</f>
        <v>134156</v>
      </c>
      <c r="F19" s="953">
        <v>134207</v>
      </c>
      <c r="G19" s="924">
        <f t="shared" ref="G19" si="1">F19-E19</f>
        <v>51</v>
      </c>
      <c r="H19" s="925">
        <f>G19+'22'!H19</f>
        <v>-261</v>
      </c>
      <c r="I19" s="926">
        <f>'1'!I19</f>
        <v>0</v>
      </c>
      <c r="J19" s="927">
        <f>H19/DAY(B2)</f>
        <v>-11.347826086956522</v>
      </c>
      <c r="K19" s="943"/>
      <c r="L19" s="902"/>
      <c r="N19" s="1091">
        <v>126171</v>
      </c>
      <c r="O19" s="929"/>
    </row>
    <row r="20" spans="1:15">
      <c r="A20" s="945" t="s">
        <v>145</v>
      </c>
      <c r="B20" s="946"/>
      <c r="C20" s="946"/>
      <c r="D20" s="963"/>
      <c r="E20" s="963"/>
      <c r="F20" s="963"/>
      <c r="G20" s="964">
        <f>G18+G19</f>
        <v>211</v>
      </c>
      <c r="H20" s="925">
        <f>G20+'22'!H20</f>
        <v>3359</v>
      </c>
      <c r="I20" s="965">
        <f>I18-J20</f>
        <v>-81.043478260869563</v>
      </c>
      <c r="J20" s="927">
        <f>H20/DAY(B2)</f>
        <v>146.04347826086956</v>
      </c>
      <c r="K20" s="943"/>
      <c r="L20" s="902"/>
      <c r="N20" s="1091">
        <f>N19-F19</f>
        <v>-8036</v>
      </c>
      <c r="O20" s="929"/>
    </row>
    <row r="21" spans="1:15">
      <c r="A21" s="1558" t="s">
        <v>146</v>
      </c>
      <c r="B21" s="1559"/>
      <c r="C21" s="1560"/>
      <c r="D21" s="917"/>
      <c r="E21" s="917"/>
      <c r="F21" s="917"/>
      <c r="G21" s="949"/>
      <c r="H21" s="917"/>
      <c r="I21" s="917"/>
      <c r="J21" s="918"/>
      <c r="K21" s="943"/>
      <c r="L21" s="902"/>
      <c r="O21" s="929"/>
    </row>
    <row r="22" spans="1:15">
      <c r="A22" s="951" t="s">
        <v>147</v>
      </c>
      <c r="B22" s="952"/>
      <c r="C22" s="952"/>
      <c r="D22" s="922" t="s">
        <v>148</v>
      </c>
      <c r="E22" s="953">
        <v>2970</v>
      </c>
      <c r="F22" s="953">
        <v>2970</v>
      </c>
      <c r="G22" s="947">
        <f t="shared" ref="G22" si="2">(F22-E22)</f>
        <v>0</v>
      </c>
      <c r="H22" s="925">
        <f>G22+'22'!H22</f>
        <v>0</v>
      </c>
      <c r="I22" s="944"/>
      <c r="J22" s="927">
        <f>H22/DAY(B2)</f>
        <v>0</v>
      </c>
      <c r="K22" s="943"/>
      <c r="L22" s="902"/>
      <c r="O22" s="929"/>
    </row>
    <row r="23" spans="1:15">
      <c r="A23" s="951" t="s">
        <v>149</v>
      </c>
      <c r="B23" s="952"/>
      <c r="C23" s="952"/>
      <c r="D23" s="922" t="s">
        <v>148</v>
      </c>
      <c r="E23" s="953">
        <v>2000</v>
      </c>
      <c r="F23" s="953">
        <v>2000</v>
      </c>
      <c r="G23" s="947">
        <v>0</v>
      </c>
      <c r="H23" s="925">
        <f>G23+'22'!H23</f>
        <v>0</v>
      </c>
      <c r="I23" s="944"/>
      <c r="J23" s="927">
        <f>H23/DAY(B2)</f>
        <v>0</v>
      </c>
      <c r="K23" s="943"/>
      <c r="L23" s="902"/>
      <c r="O23" s="929"/>
    </row>
    <row r="24" spans="1:15">
      <c r="A24" s="966" t="s">
        <v>150</v>
      </c>
      <c r="B24" s="967"/>
      <c r="C24" s="967"/>
      <c r="D24" s="909" t="s">
        <v>148</v>
      </c>
      <c r="E24" s="953">
        <v>4970</v>
      </c>
      <c r="F24" s="968">
        <v>4970</v>
      </c>
      <c r="G24" s="947">
        <v>0</v>
      </c>
      <c r="H24" s="925">
        <f>G24+'22'!H24</f>
        <v>0</v>
      </c>
      <c r="I24" s="944"/>
      <c r="J24" s="927">
        <f>H24/DAY(B2)</f>
        <v>0</v>
      </c>
      <c r="K24" s="943"/>
      <c r="L24" s="902"/>
      <c r="O24" s="929"/>
    </row>
    <row r="25" spans="1:15" s="974" customFormat="1">
      <c r="A25" s="1564" t="s">
        <v>151</v>
      </c>
      <c r="B25" s="1565"/>
      <c r="C25" s="1566"/>
      <c r="D25" s="916"/>
      <c r="E25" s="916"/>
      <c r="F25" s="916"/>
      <c r="G25" s="969"/>
      <c r="H25" s="970"/>
      <c r="I25" s="971"/>
      <c r="J25" s="972"/>
      <c r="K25" s="943"/>
      <c r="L25" s="973"/>
      <c r="N25" s="1092"/>
      <c r="O25" s="929"/>
    </row>
    <row r="26" spans="1:15" s="974" customFormat="1">
      <c r="A26" s="975" t="s">
        <v>152</v>
      </c>
      <c r="B26" s="976"/>
      <c r="C26" s="977"/>
      <c r="D26" s="978" t="s">
        <v>153</v>
      </c>
      <c r="E26" s="979"/>
      <c r="F26" s="979"/>
      <c r="G26" s="980"/>
      <c r="H26" s="925"/>
      <c r="I26" s="981"/>
      <c r="J26" s="927"/>
      <c r="K26" s="950"/>
      <c r="L26" s="973"/>
      <c r="N26" s="1092"/>
      <c r="O26" s="929"/>
    </row>
    <row r="27" spans="1:15" s="974" customFormat="1" ht="22.5">
      <c r="A27" s="975" t="s">
        <v>6</v>
      </c>
      <c r="B27" s="976"/>
      <c r="C27" s="977"/>
      <c r="D27" s="982" t="s">
        <v>25</v>
      </c>
      <c r="E27" s="983">
        <f>G8</f>
        <v>21404</v>
      </c>
      <c r="F27" s="577">
        <v>9</v>
      </c>
      <c r="G27" s="985">
        <f>E27*F27</f>
        <v>192636</v>
      </c>
      <c r="H27" s="925">
        <f>G27+'22'!H27</f>
        <v>-960039</v>
      </c>
      <c r="I27" s="986"/>
      <c r="J27" s="927">
        <f>H27/DAY(B2)</f>
        <v>-41740.82608695652</v>
      </c>
      <c r="K27" s="943"/>
      <c r="L27" s="973"/>
      <c r="N27" s="1092"/>
      <c r="O27" s="929"/>
    </row>
    <row r="28" spans="1:15" s="974" customFormat="1" ht="22.5">
      <c r="A28" s="975" t="s">
        <v>154</v>
      </c>
      <c r="B28" s="976"/>
      <c r="C28" s="977"/>
      <c r="D28" s="982" t="s">
        <v>155</v>
      </c>
      <c r="E28" s="983">
        <f>G15</f>
        <v>972.81000000005588</v>
      </c>
      <c r="F28" s="577">
        <v>43.5</v>
      </c>
      <c r="G28" s="985">
        <f>E28*F28</f>
        <v>42317.235000002431</v>
      </c>
      <c r="H28" s="925">
        <f>G28+'22'!H28</f>
        <v>-176870.76180000254</v>
      </c>
      <c r="I28" s="987"/>
      <c r="J28" s="927">
        <f>H28/DAY(B2)</f>
        <v>-7690.0331217392404</v>
      </c>
      <c r="K28" s="943"/>
      <c r="L28" s="973"/>
      <c r="N28" s="1092"/>
      <c r="O28" s="929"/>
    </row>
    <row r="29" spans="1:15" s="974" customFormat="1">
      <c r="A29" s="975" t="s">
        <v>156</v>
      </c>
      <c r="B29" s="976"/>
      <c r="C29" s="977"/>
      <c r="D29" s="982" t="s">
        <v>157</v>
      </c>
      <c r="E29" s="983">
        <f>G24</f>
        <v>0</v>
      </c>
      <c r="F29" s="984">
        <v>69</v>
      </c>
      <c r="G29" s="985">
        <f>E29*F29</f>
        <v>0</v>
      </c>
      <c r="H29" s="925">
        <f>G29+'22'!H29</f>
        <v>0</v>
      </c>
      <c r="I29" s="987"/>
      <c r="J29" s="927">
        <f>H29/DAY(B2)</f>
        <v>0</v>
      </c>
      <c r="K29" s="943"/>
      <c r="L29" s="973"/>
      <c r="N29" s="1092"/>
      <c r="O29" s="929"/>
    </row>
    <row r="30" spans="1:15" s="974" customFormat="1">
      <c r="A30" s="975" t="s">
        <v>158</v>
      </c>
      <c r="B30" s="976"/>
      <c r="C30" s="977"/>
      <c r="D30" s="982" t="s">
        <v>159</v>
      </c>
      <c r="E30" s="983">
        <f>G19</f>
        <v>51</v>
      </c>
      <c r="F30" s="984">
        <v>134</v>
      </c>
      <c r="G30" s="985">
        <f>E30*F30</f>
        <v>6834</v>
      </c>
      <c r="H30" s="925">
        <f>G30+'22'!H30</f>
        <v>-17286</v>
      </c>
      <c r="I30" s="987"/>
      <c r="J30" s="927">
        <f>H30/DAY(B2)</f>
        <v>-751.56521739130437</v>
      </c>
      <c r="K30" s="943"/>
      <c r="L30" s="973"/>
      <c r="N30" s="1092"/>
      <c r="O30" s="929"/>
    </row>
    <row r="31" spans="1:15" s="974" customFormat="1">
      <c r="A31" s="975" t="s">
        <v>160</v>
      </c>
      <c r="B31" s="976"/>
      <c r="C31" s="977"/>
      <c r="D31" s="982" t="s">
        <v>144</v>
      </c>
      <c r="E31" s="983">
        <f>G18</f>
        <v>160</v>
      </c>
      <c r="F31" s="984">
        <v>80</v>
      </c>
      <c r="G31" s="985">
        <f>E31*F31</f>
        <v>12800</v>
      </c>
      <c r="H31" s="925">
        <f>G31+'22'!H31</f>
        <v>279040</v>
      </c>
      <c r="I31" s="987"/>
      <c r="J31" s="927"/>
      <c r="K31" s="943"/>
      <c r="L31" s="973"/>
      <c r="N31" s="1092"/>
      <c r="O31" s="929"/>
    </row>
    <row r="32" spans="1:15" s="974" customFormat="1">
      <c r="A32" s="988" t="s">
        <v>161</v>
      </c>
      <c r="B32" s="989"/>
      <c r="C32" s="990"/>
      <c r="D32" s="991"/>
      <c r="E32" s="991"/>
      <c r="F32" s="991"/>
      <c r="G32" s="992">
        <f>G27+G28+G29+G30+G31</f>
        <v>254587.23500000243</v>
      </c>
      <c r="H32" s="925">
        <f>G32+'22'!H32</f>
        <v>-875155.76180000254</v>
      </c>
      <c r="I32" s="993"/>
      <c r="J32" s="927">
        <f>H32/DAY(B2)</f>
        <v>-38050.250513043589</v>
      </c>
      <c r="K32" s="943"/>
      <c r="L32" s="973"/>
      <c r="N32" s="1092"/>
      <c r="O32" s="929"/>
    </row>
    <row r="33" spans="1:15" ht="18.75">
      <c r="A33" s="1561" t="s">
        <v>162</v>
      </c>
      <c r="B33" s="1562"/>
      <c r="C33" s="1562"/>
      <c r="D33" s="1562"/>
      <c r="E33" s="1562"/>
      <c r="F33" s="1562"/>
      <c r="G33" s="1562"/>
      <c r="H33" s="1562"/>
      <c r="I33" s="1562"/>
      <c r="J33" s="1563"/>
      <c r="K33" s="943"/>
      <c r="L33" s="902"/>
      <c r="O33" s="929"/>
    </row>
    <row r="34" spans="1:15">
      <c r="A34" s="994" t="s">
        <v>163</v>
      </c>
      <c r="B34" s="995"/>
      <c r="C34" s="995"/>
      <c r="D34" s="917"/>
      <c r="E34" s="916"/>
      <c r="F34" s="916"/>
      <c r="G34" s="917"/>
      <c r="H34" s="917"/>
      <c r="I34" s="917"/>
      <c r="J34" s="918"/>
      <c r="K34" s="943"/>
      <c r="L34" s="902"/>
      <c r="O34" s="929"/>
    </row>
    <row r="35" spans="1:15">
      <c r="A35" s="920" t="s">
        <v>164</v>
      </c>
      <c r="B35" s="921"/>
      <c r="C35" s="921"/>
      <c r="D35" s="922" t="s">
        <v>132</v>
      </c>
      <c r="E35" s="923">
        <f>'22'!F35</f>
        <v>674142</v>
      </c>
      <c r="F35" s="996">
        <v>677148</v>
      </c>
      <c r="G35" s="924">
        <f t="shared" ref="G35:G46" si="3">F35-E35</f>
        <v>3006</v>
      </c>
      <c r="H35" s="925">
        <f>G35+'22'!H35</f>
        <v>-15939.589999999967</v>
      </c>
      <c r="I35" s="923"/>
      <c r="J35" s="927">
        <f>H35/DAY(B2)</f>
        <v>-693.02565217391168</v>
      </c>
      <c r="K35" s="943"/>
      <c r="L35" s="902"/>
      <c r="O35" s="929"/>
    </row>
    <row r="36" spans="1:15">
      <c r="A36" s="920" t="s">
        <v>165</v>
      </c>
      <c r="B36" s="921"/>
      <c r="C36" s="921"/>
      <c r="D36" s="922" t="s">
        <v>132</v>
      </c>
      <c r="E36" s="923">
        <f>'22'!F36</f>
        <v>291904</v>
      </c>
      <c r="F36" s="996">
        <v>292815</v>
      </c>
      <c r="G36" s="924">
        <f t="shared" si="3"/>
        <v>911</v>
      </c>
      <c r="H36" s="925">
        <f>G36+'22'!H36</f>
        <v>-3630.570000000007</v>
      </c>
      <c r="I36" s="923"/>
      <c r="J36" s="927">
        <f>H36/DAY(B2)</f>
        <v>-157.85086956521769</v>
      </c>
      <c r="K36" s="943"/>
      <c r="L36" s="902"/>
      <c r="O36" s="929"/>
    </row>
    <row r="37" spans="1:15">
      <c r="A37" s="920" t="s">
        <v>166</v>
      </c>
      <c r="B37" s="921"/>
      <c r="C37" s="921"/>
      <c r="D37" s="922" t="s">
        <v>132</v>
      </c>
      <c r="E37" s="923">
        <f>'22'!F37</f>
        <v>23205</v>
      </c>
      <c r="F37" s="996">
        <v>24667</v>
      </c>
      <c r="G37" s="924">
        <f t="shared" si="3"/>
        <v>1462</v>
      </c>
      <c r="H37" s="925">
        <f>G37+'22'!H37</f>
        <v>27772.080000000002</v>
      </c>
      <c r="I37" s="923"/>
      <c r="J37" s="927">
        <f>H37/DAY(B2)</f>
        <v>1207.4817391304348</v>
      </c>
      <c r="K37" s="943"/>
      <c r="L37" s="902"/>
      <c r="O37" s="929"/>
    </row>
    <row r="38" spans="1:15">
      <c r="A38" s="920" t="s">
        <v>167</v>
      </c>
      <c r="B38" s="921"/>
      <c r="C38" s="921"/>
      <c r="D38" s="922" t="s">
        <v>132</v>
      </c>
      <c r="E38" s="923">
        <f>'22'!F38</f>
        <v>31247</v>
      </c>
      <c r="F38" s="912">
        <v>33267</v>
      </c>
      <c r="G38" s="924">
        <f t="shared" si="3"/>
        <v>2020</v>
      </c>
      <c r="H38" s="925">
        <f>G38+'22'!H38</f>
        <v>-10546.489999999998</v>
      </c>
      <c r="I38" s="923"/>
      <c r="J38" s="927">
        <f>H38/DAY(B2)</f>
        <v>-458.54304347826076</v>
      </c>
      <c r="K38" s="943"/>
      <c r="L38" s="902"/>
      <c r="O38" s="929"/>
    </row>
    <row r="39" spans="1:15">
      <c r="A39" s="920" t="s">
        <v>168</v>
      </c>
      <c r="B39" s="921"/>
      <c r="C39" s="921"/>
      <c r="D39" s="922" t="s">
        <v>132</v>
      </c>
      <c r="E39" s="923">
        <f>'22'!F39</f>
        <v>65595</v>
      </c>
      <c r="F39" s="996">
        <v>69744.83</v>
      </c>
      <c r="G39" s="924">
        <f t="shared" si="3"/>
        <v>4149.8300000000017</v>
      </c>
      <c r="H39" s="925">
        <f>G39+'22'!H39</f>
        <v>79137.719999999987</v>
      </c>
      <c r="I39" s="923"/>
      <c r="J39" s="927">
        <f>H39/DAY(B2)</f>
        <v>3440.7704347826079</v>
      </c>
      <c r="K39" s="943"/>
      <c r="L39" s="902"/>
      <c r="O39" s="929"/>
    </row>
    <row r="40" spans="1:15">
      <c r="A40" s="997" t="s">
        <v>169</v>
      </c>
      <c r="B40" s="998"/>
      <c r="C40" s="998"/>
      <c r="D40" s="922" t="s">
        <v>132</v>
      </c>
      <c r="E40" s="923">
        <f>'22'!F40</f>
        <v>0</v>
      </c>
      <c r="F40" s="996">
        <v>0</v>
      </c>
      <c r="G40" s="924">
        <f t="shared" si="3"/>
        <v>0</v>
      </c>
      <c r="H40" s="925">
        <f>G40+'22'!H40</f>
        <v>-0.06</v>
      </c>
      <c r="I40" s="923"/>
      <c r="J40" s="927">
        <f>H40/DAY(B2)</f>
        <v>-2.6086956521739128E-3</v>
      </c>
      <c r="K40" s="950"/>
      <c r="L40" s="902"/>
      <c r="O40" s="929"/>
    </row>
    <row r="41" spans="1:15">
      <c r="A41" s="920" t="s">
        <v>170</v>
      </c>
      <c r="B41" s="921"/>
      <c r="C41" s="921"/>
      <c r="D41" s="922" t="s">
        <v>132</v>
      </c>
      <c r="E41" s="923">
        <f>'22'!F41</f>
        <v>63882</v>
      </c>
      <c r="F41" s="996">
        <v>63882</v>
      </c>
      <c r="G41" s="924">
        <f t="shared" si="3"/>
        <v>0</v>
      </c>
      <c r="H41" s="925">
        <f>G41+'22'!H41</f>
        <v>-0.37000000000261934</v>
      </c>
      <c r="I41" s="923"/>
      <c r="J41" s="927">
        <f>H41/DAY(B2)</f>
        <v>-1.6086956521853015E-2</v>
      </c>
      <c r="K41" s="943"/>
      <c r="L41" s="902"/>
      <c r="O41" s="929"/>
    </row>
    <row r="42" spans="1:15">
      <c r="A42" s="920" t="s">
        <v>171</v>
      </c>
      <c r="B42" s="921"/>
      <c r="C42" s="921"/>
      <c r="D42" s="922" t="s">
        <v>132</v>
      </c>
      <c r="E42" s="923">
        <f>'22'!F42</f>
        <v>59129</v>
      </c>
      <c r="F42" s="996">
        <v>59129</v>
      </c>
      <c r="G42" s="924">
        <f t="shared" si="3"/>
        <v>0</v>
      </c>
      <c r="H42" s="925">
        <f>G42+'22'!H42</f>
        <v>0.15000000000145519</v>
      </c>
      <c r="I42" s="923"/>
      <c r="J42" s="927">
        <f>H42/DAY(B2)</f>
        <v>6.521739130498052E-3</v>
      </c>
      <c r="K42" s="943"/>
      <c r="L42" s="902"/>
      <c r="O42" s="929"/>
    </row>
    <row r="43" spans="1:15">
      <c r="A43" s="920" t="s">
        <v>172</v>
      </c>
      <c r="B43" s="921"/>
      <c r="C43" s="921"/>
      <c r="D43" s="922" t="s">
        <v>132</v>
      </c>
      <c r="E43" s="923">
        <f>'22'!F43</f>
        <v>811840</v>
      </c>
      <c r="F43" s="996">
        <v>814188</v>
      </c>
      <c r="G43" s="924">
        <f t="shared" si="3"/>
        <v>2348</v>
      </c>
      <c r="H43" s="925">
        <f>G43+'22'!H43</f>
        <v>-11709.829999999958</v>
      </c>
      <c r="I43" s="923"/>
      <c r="J43" s="927">
        <f>H43/DAY(B2)</f>
        <v>-509.12304347825904</v>
      </c>
      <c r="K43" s="943"/>
      <c r="L43" s="902"/>
      <c r="O43" s="929"/>
    </row>
    <row r="44" spans="1:15">
      <c r="A44" s="920" t="s">
        <v>173</v>
      </c>
      <c r="B44" s="921"/>
      <c r="C44" s="921"/>
      <c r="D44" s="922" t="s">
        <v>132</v>
      </c>
      <c r="E44" s="923">
        <f>'22'!F44</f>
        <v>0</v>
      </c>
      <c r="F44" s="996">
        <v>0</v>
      </c>
      <c r="G44" s="924">
        <f t="shared" si="3"/>
        <v>0</v>
      </c>
      <c r="H44" s="925">
        <f>G44+'22'!H44</f>
        <v>0</v>
      </c>
      <c r="I44" s="923"/>
      <c r="J44" s="927">
        <f>H44/DAY(B2)</f>
        <v>0</v>
      </c>
      <c r="K44" s="943"/>
      <c r="L44" s="902"/>
      <c r="O44" s="929"/>
    </row>
    <row r="45" spans="1:15">
      <c r="A45" s="920" t="s">
        <v>174</v>
      </c>
      <c r="B45" s="921"/>
      <c r="C45" s="921"/>
      <c r="D45" s="922" t="s">
        <v>132</v>
      </c>
      <c r="E45" s="923">
        <f>'22'!F45</f>
        <v>614</v>
      </c>
      <c r="F45" s="996">
        <v>614</v>
      </c>
      <c r="G45" s="924">
        <f t="shared" si="3"/>
        <v>0</v>
      </c>
      <c r="H45" s="925">
        <f>G45+'22'!H45</f>
        <v>0</v>
      </c>
      <c r="I45" s="923"/>
      <c r="J45" s="927">
        <f>H45/DAY(B2)</f>
        <v>0</v>
      </c>
      <c r="K45" s="943"/>
      <c r="L45" s="902"/>
      <c r="O45" s="929"/>
    </row>
    <row r="46" spans="1:15">
      <c r="A46" s="920" t="s">
        <v>175</v>
      </c>
      <c r="B46" s="921"/>
      <c r="C46" s="921"/>
      <c r="D46" s="922" t="s">
        <v>132</v>
      </c>
      <c r="E46" s="923">
        <f>'22'!F46</f>
        <v>187</v>
      </c>
      <c r="F46" s="996">
        <v>187</v>
      </c>
      <c r="G46" s="924">
        <f t="shared" si="3"/>
        <v>0</v>
      </c>
      <c r="H46" s="925">
        <f>G46+'22'!H46</f>
        <v>0</v>
      </c>
      <c r="I46" s="923"/>
      <c r="J46" s="927">
        <f>H46/DAY(B2)</f>
        <v>0</v>
      </c>
      <c r="K46" s="943"/>
      <c r="L46" s="902"/>
      <c r="O46" s="929"/>
    </row>
    <row r="47" spans="1:15">
      <c r="A47" s="945" t="s">
        <v>176</v>
      </c>
      <c r="B47" s="946"/>
      <c r="C47" s="946"/>
      <c r="D47" s="913"/>
      <c r="E47" s="909"/>
      <c r="F47" s="909"/>
      <c r="G47" s="947">
        <f>G35+G36+G37+G38+G39+G40+G41+G42+G43+G44+G45+G46</f>
        <v>13896.830000000002</v>
      </c>
      <c r="H47" s="925">
        <f>G47+'22'!H47</f>
        <v>65083.040000000037</v>
      </c>
      <c r="I47" s="923"/>
      <c r="J47" s="927">
        <f>H47/DAY(B2)</f>
        <v>2829.6973913043494</v>
      </c>
      <c r="K47" s="943"/>
      <c r="L47" s="902"/>
      <c r="N47" s="1093"/>
      <c r="O47" s="929"/>
    </row>
    <row r="48" spans="1:15">
      <c r="A48" s="994" t="s">
        <v>177</v>
      </c>
      <c r="B48" s="995"/>
      <c r="C48" s="995"/>
      <c r="D48" s="917"/>
      <c r="E48" s="916"/>
      <c r="F48" s="916"/>
      <c r="G48" s="917"/>
      <c r="H48" s="917"/>
      <c r="I48" s="917"/>
      <c r="J48" s="918"/>
      <c r="K48" s="943"/>
      <c r="L48" s="902"/>
      <c r="O48" s="929"/>
    </row>
    <row r="49" spans="1:15">
      <c r="A49" s="920" t="s">
        <v>164</v>
      </c>
      <c r="B49" s="999"/>
      <c r="C49" s="999"/>
      <c r="D49" s="922" t="s">
        <v>132</v>
      </c>
      <c r="E49" s="923">
        <f>'22'!F49</f>
        <v>260732</v>
      </c>
      <c r="F49" s="996">
        <v>260732</v>
      </c>
      <c r="G49" s="924">
        <f t="shared" ref="G49:G58" si="4">F49-E49</f>
        <v>0</v>
      </c>
      <c r="H49" s="925">
        <f>G49+'22'!H49</f>
        <v>-0.13000000000465661</v>
      </c>
      <c r="I49" s="923"/>
      <c r="J49" s="927">
        <f>H49/DAY(B2)</f>
        <v>-5.6521739132459397E-3</v>
      </c>
      <c r="K49" s="943"/>
      <c r="L49" s="902"/>
      <c r="O49" s="929"/>
    </row>
    <row r="50" spans="1:15">
      <c r="A50" s="920" t="s">
        <v>178</v>
      </c>
      <c r="B50" s="999"/>
      <c r="C50" s="999"/>
      <c r="D50" s="922" t="s">
        <v>132</v>
      </c>
      <c r="E50" s="923">
        <f>'22'!F50</f>
        <v>395061</v>
      </c>
      <c r="F50" s="996">
        <v>396445.71</v>
      </c>
      <c r="G50" s="924">
        <f t="shared" si="4"/>
        <v>1384.710000000021</v>
      </c>
      <c r="H50" s="925">
        <f>G50+'22'!H50</f>
        <v>-7211.320000000007</v>
      </c>
      <c r="I50" s="923"/>
      <c r="J50" s="927">
        <f>H50/DAY(B2)</f>
        <v>-313.53565217391332</v>
      </c>
      <c r="K50" s="943"/>
      <c r="L50" s="902"/>
      <c r="O50" s="929"/>
    </row>
    <row r="51" spans="1:15">
      <c r="A51" s="920" t="s">
        <v>166</v>
      </c>
      <c r="B51" s="999"/>
      <c r="C51" s="999"/>
      <c r="D51" s="922" t="s">
        <v>132</v>
      </c>
      <c r="E51" s="923">
        <f>'22'!F51</f>
        <v>120051</v>
      </c>
      <c r="F51" s="996">
        <v>120051</v>
      </c>
      <c r="G51" s="924">
        <f t="shared" si="4"/>
        <v>0</v>
      </c>
      <c r="H51" s="925">
        <f>G51+'22'!H51</f>
        <v>-1548.9199999999983</v>
      </c>
      <c r="I51" s="923"/>
      <c r="J51" s="927">
        <f>H51/DAY(B2)</f>
        <v>-67.344347826086874</v>
      </c>
      <c r="K51" s="943"/>
      <c r="L51" s="902"/>
      <c r="O51" s="929"/>
    </row>
    <row r="52" spans="1:15">
      <c r="A52" s="920" t="s">
        <v>179</v>
      </c>
      <c r="B52" s="999"/>
      <c r="C52" s="999"/>
      <c r="D52" s="922" t="s">
        <v>132</v>
      </c>
      <c r="E52" s="923">
        <f>'22'!F52</f>
        <v>507913</v>
      </c>
      <c r="F52" s="996">
        <v>507913</v>
      </c>
      <c r="G52" s="924">
        <f t="shared" si="4"/>
        <v>0</v>
      </c>
      <c r="H52" s="925">
        <f>G52+'22'!H52</f>
        <v>-2045.710000000021</v>
      </c>
      <c r="I52" s="923"/>
      <c r="J52" s="927">
        <f>H52/DAY(B2)</f>
        <v>-88.943913043479171</v>
      </c>
      <c r="K52" s="943"/>
      <c r="L52" s="902"/>
      <c r="O52" s="929"/>
    </row>
    <row r="53" spans="1:15">
      <c r="A53" s="920" t="s">
        <v>168</v>
      </c>
      <c r="B53" s="999"/>
      <c r="C53" s="999"/>
      <c r="D53" s="922" t="s">
        <v>132</v>
      </c>
      <c r="E53" s="923">
        <f>'22'!F53</f>
        <v>331855</v>
      </c>
      <c r="F53" s="996">
        <v>331855</v>
      </c>
      <c r="G53" s="924">
        <f t="shared" si="4"/>
        <v>0</v>
      </c>
      <c r="H53" s="925">
        <f>G53+'22'!H53</f>
        <v>-4184.5100000000093</v>
      </c>
      <c r="I53" s="923"/>
      <c r="J53" s="927">
        <f>H53/DAY(B2)</f>
        <v>-181.93521739130475</v>
      </c>
      <c r="K53" s="943"/>
      <c r="L53" s="902"/>
      <c r="O53" s="929"/>
    </row>
    <row r="54" spans="1:15">
      <c r="A54" s="920" t="s">
        <v>180</v>
      </c>
      <c r="B54" s="999"/>
      <c r="C54" s="999"/>
      <c r="D54" s="922" t="s">
        <v>132</v>
      </c>
      <c r="E54" s="923">
        <f>'22'!F54</f>
        <v>7677</v>
      </c>
      <c r="F54" s="996">
        <v>7747</v>
      </c>
      <c r="G54" s="924">
        <f t="shared" si="4"/>
        <v>70</v>
      </c>
      <c r="H54" s="925">
        <f>G54+'22'!H54</f>
        <v>-348.63000000000011</v>
      </c>
      <c r="I54" s="923"/>
      <c r="J54" s="927">
        <f>H54/DAY(B2)</f>
        <v>-15.157826086956527</v>
      </c>
      <c r="K54" s="943"/>
      <c r="L54" s="902"/>
      <c r="O54" s="929"/>
    </row>
    <row r="55" spans="1:15">
      <c r="A55" s="920" t="s">
        <v>181</v>
      </c>
      <c r="B55" s="999"/>
      <c r="C55" s="999"/>
      <c r="D55" s="922" t="s">
        <v>132</v>
      </c>
      <c r="E55" s="923">
        <f>'22'!F55</f>
        <v>94270</v>
      </c>
      <c r="F55" s="996">
        <v>94270</v>
      </c>
      <c r="G55" s="924">
        <f t="shared" si="4"/>
        <v>0</v>
      </c>
      <c r="H55" s="925">
        <f>G55+'22'!H55</f>
        <v>-28314.690000000002</v>
      </c>
      <c r="I55" s="923"/>
      <c r="J55" s="927">
        <f>H55/DAY(B2)</f>
        <v>-1231.0734782608697</v>
      </c>
      <c r="K55" s="943"/>
      <c r="L55" s="902"/>
      <c r="O55" s="929"/>
    </row>
    <row r="56" spans="1:15">
      <c r="A56" s="920" t="s">
        <v>182</v>
      </c>
      <c r="B56" s="999"/>
      <c r="C56" s="999"/>
      <c r="D56" s="922" t="s">
        <v>183</v>
      </c>
      <c r="E56" s="923">
        <f>'22'!F56</f>
        <v>577336</v>
      </c>
      <c r="F56" s="996">
        <v>582487</v>
      </c>
      <c r="G56" s="924">
        <f t="shared" si="4"/>
        <v>5151</v>
      </c>
      <c r="H56" s="925">
        <f>G56+'22'!H56</f>
        <v>-3564.0300000000279</v>
      </c>
      <c r="I56" s="923"/>
      <c r="J56" s="927">
        <f>H56/DAY(B2)</f>
        <v>-154.95782608695774</v>
      </c>
      <c r="K56" s="919"/>
      <c r="L56" s="902"/>
      <c r="O56" s="929"/>
    </row>
    <row r="57" spans="1:15">
      <c r="A57" s="920" t="s">
        <v>172</v>
      </c>
      <c r="B57" s="999"/>
      <c r="C57" s="999"/>
      <c r="D57" s="922" t="s">
        <v>132</v>
      </c>
      <c r="E57" s="923">
        <f>'22'!F57</f>
        <v>7711</v>
      </c>
      <c r="F57" s="996">
        <v>7711</v>
      </c>
      <c r="G57" s="924">
        <f t="shared" si="4"/>
        <v>0</v>
      </c>
      <c r="H57" s="925">
        <f>G57+'22'!H57</f>
        <v>-0.32999999999992724</v>
      </c>
      <c r="I57" s="923"/>
      <c r="J57" s="927">
        <f>H57/DAY(B2)</f>
        <v>-1.4347826086953359E-2</v>
      </c>
      <c r="K57" s="943"/>
      <c r="L57" s="902"/>
      <c r="O57" s="929"/>
    </row>
    <row r="58" spans="1:15">
      <c r="A58" s="920" t="s">
        <v>184</v>
      </c>
      <c r="B58" s="999"/>
      <c r="C58" s="999"/>
      <c r="D58" s="922" t="s">
        <v>132</v>
      </c>
      <c r="E58" s="923">
        <f>'22'!F58</f>
        <v>34721</v>
      </c>
      <c r="F58" s="996">
        <v>34929</v>
      </c>
      <c r="G58" s="924">
        <f t="shared" si="4"/>
        <v>208</v>
      </c>
      <c r="H58" s="925">
        <f>G58+'22'!H58</f>
        <v>-1135.6999999999971</v>
      </c>
      <c r="I58" s="923"/>
      <c r="J58" s="927">
        <f>H58/DAY(B2)</f>
        <v>-49.378260869565089</v>
      </c>
      <c r="K58" s="943"/>
      <c r="L58" s="902"/>
      <c r="O58" s="929"/>
    </row>
    <row r="59" spans="1:15">
      <c r="A59" s="945" t="s">
        <v>176</v>
      </c>
      <c r="B59" s="946"/>
      <c r="C59" s="946"/>
      <c r="D59" s="909"/>
      <c r="E59" s="909"/>
      <c r="F59" s="909"/>
      <c r="G59" s="947">
        <f>G49+G50+G51+G52+G53+G54+G55+G56+G57+G58</f>
        <v>6813.710000000021</v>
      </c>
      <c r="H59" s="925">
        <f>G59+'22'!H59</f>
        <v>-48353.970000000074</v>
      </c>
      <c r="I59" s="923">
        <f>G7-G60</f>
        <v>562.4599999999773</v>
      </c>
      <c r="J59" s="927">
        <f>H59/DAY(B2)</f>
        <v>-2102.3465217391335</v>
      </c>
      <c r="K59" s="943"/>
      <c r="L59" s="902"/>
      <c r="O59" s="929"/>
    </row>
    <row r="60" spans="1:15">
      <c r="A60" s="920"/>
      <c r="B60" s="921"/>
      <c r="C60" s="921"/>
      <c r="D60" s="909" t="s">
        <v>185</v>
      </c>
      <c r="E60" s="909"/>
      <c r="F60" s="909"/>
      <c r="G60" s="947">
        <f>G47+G59</f>
        <v>20710.540000000023</v>
      </c>
      <c r="H60" s="925">
        <f>G60+'22'!H60</f>
        <v>30898.069999999912</v>
      </c>
      <c r="I60" s="923">
        <f>G13-G60</f>
        <v>-12.540000000022701</v>
      </c>
      <c r="J60" s="927">
        <f>H60/DAY(B2)</f>
        <v>1343.394347826083</v>
      </c>
      <c r="K60" s="943"/>
      <c r="L60" s="902"/>
      <c r="O60" s="929"/>
    </row>
    <row r="61" spans="1:15">
      <c r="A61" s="1000" t="s">
        <v>186</v>
      </c>
      <c r="B61" s="1001"/>
      <c r="C61" s="1001"/>
      <c r="D61" s="1001"/>
      <c r="E61" s="1002"/>
      <c r="F61" s="1002"/>
      <c r="G61" s="1001"/>
      <c r="H61" s="1001"/>
      <c r="I61" s="1001"/>
      <c r="J61" s="1003"/>
      <c r="K61" s="943"/>
      <c r="L61" s="902"/>
      <c r="O61" s="929"/>
    </row>
    <row r="62" spans="1:15">
      <c r="A62" s="1004" t="s">
        <v>98</v>
      </c>
      <c r="B62" s="1005"/>
      <c r="C62" s="1005"/>
      <c r="D62" s="909" t="s">
        <v>187</v>
      </c>
      <c r="E62" s="923">
        <f>'22'!F62</f>
        <v>20419.2</v>
      </c>
      <c r="F62" s="1006">
        <v>20419</v>
      </c>
      <c r="G62" s="924">
        <f t="shared" ref="G62:G69" si="5">F62-E62</f>
        <v>-0.2000000000007276</v>
      </c>
      <c r="H62" s="925">
        <f>G62+'22'!H62</f>
        <v>-0.18700000000171713</v>
      </c>
      <c r="I62" s="1007"/>
      <c r="J62" s="927">
        <f>H62/DAY(B2)</f>
        <v>-8.1304347826833528E-3</v>
      </c>
      <c r="K62" s="943"/>
      <c r="L62" s="902"/>
      <c r="O62" s="929"/>
    </row>
    <row r="63" spans="1:15">
      <c r="A63" s="1004" t="s">
        <v>188</v>
      </c>
      <c r="B63" s="1005"/>
      <c r="C63" s="1005"/>
      <c r="D63" s="909" t="s">
        <v>187</v>
      </c>
      <c r="E63" s="923">
        <f>'22'!F63</f>
        <v>1624</v>
      </c>
      <c r="F63" s="1006">
        <v>1635</v>
      </c>
      <c r="G63" s="924">
        <f t="shared" si="5"/>
        <v>11</v>
      </c>
      <c r="H63" s="925">
        <f>G63+'22'!H63</f>
        <v>-72.3599999999999</v>
      </c>
      <c r="I63" s="1007"/>
      <c r="J63" s="927">
        <f>H63/DAY(B2)</f>
        <v>-3.1460869565217346</v>
      </c>
      <c r="K63" s="943"/>
      <c r="L63" s="902"/>
      <c r="O63" s="929"/>
    </row>
    <row r="64" spans="1:15">
      <c r="A64" s="1552" t="s">
        <v>99</v>
      </c>
      <c r="B64" s="1553"/>
      <c r="C64" s="1554"/>
      <c r="D64" s="922" t="s">
        <v>187</v>
      </c>
      <c r="E64" s="923">
        <f>'22'!F64</f>
        <v>120508</v>
      </c>
      <c r="F64" s="953">
        <v>121047</v>
      </c>
      <c r="G64" s="924">
        <f t="shared" si="5"/>
        <v>539</v>
      </c>
      <c r="H64" s="925">
        <f>G64+'22'!H64</f>
        <v>-2580.3000000000029</v>
      </c>
      <c r="I64" s="944"/>
      <c r="J64" s="927">
        <f>H64/DAY(B2)</f>
        <v>-112.18695652173926</v>
      </c>
      <c r="K64" s="943"/>
      <c r="L64" s="902"/>
      <c r="O64" s="929"/>
    </row>
    <row r="65" spans="1:15">
      <c r="A65" s="1552" t="s">
        <v>100</v>
      </c>
      <c r="B65" s="1553"/>
      <c r="C65" s="1554"/>
      <c r="D65" s="922" t="s">
        <v>187</v>
      </c>
      <c r="E65" s="923">
        <f>'22'!F65</f>
        <v>130228</v>
      </c>
      <c r="F65" s="953">
        <v>130609</v>
      </c>
      <c r="G65" s="924">
        <f t="shared" si="5"/>
        <v>381</v>
      </c>
      <c r="H65" s="925">
        <f>G65+'22'!H65</f>
        <v>-1988.2999999999884</v>
      </c>
      <c r="I65" s="962"/>
      <c r="J65" s="927">
        <f>H65/DAY(B2)</f>
        <v>-86.447826086956013</v>
      </c>
      <c r="K65" s="943"/>
      <c r="L65" s="902"/>
      <c r="O65" s="929"/>
    </row>
    <row r="66" spans="1:15">
      <c r="A66" s="1552" t="s">
        <v>101</v>
      </c>
      <c r="B66" s="1553"/>
      <c r="C66" s="1554"/>
      <c r="D66" s="922" t="s">
        <v>187</v>
      </c>
      <c r="E66" s="923">
        <f>'22'!F66</f>
        <v>22819</v>
      </c>
      <c r="F66" s="953">
        <v>23194</v>
      </c>
      <c r="G66" s="924">
        <f t="shared" si="5"/>
        <v>375</v>
      </c>
      <c r="H66" s="925">
        <f>G66+'22'!H66</f>
        <v>-1965.75</v>
      </c>
      <c r="I66" s="944"/>
      <c r="J66" s="927">
        <f>H66/DAY(B2)</f>
        <v>-85.467391304347828</v>
      </c>
      <c r="K66" s="943"/>
      <c r="L66" s="902"/>
      <c r="O66" s="929"/>
    </row>
    <row r="67" spans="1:15">
      <c r="A67" s="1552" t="s">
        <v>102</v>
      </c>
      <c r="B67" s="1553"/>
      <c r="C67" s="1554"/>
      <c r="D67" s="922" t="s">
        <v>187</v>
      </c>
      <c r="E67" s="923">
        <f>'22'!F67</f>
        <v>203982</v>
      </c>
      <c r="F67" s="953">
        <v>204621</v>
      </c>
      <c r="G67" s="924">
        <f t="shared" si="5"/>
        <v>639</v>
      </c>
      <c r="H67" s="925">
        <f>G67+'22'!H67</f>
        <v>-3220.8299999999872</v>
      </c>
      <c r="I67" s="962"/>
      <c r="J67" s="927">
        <f>H67/DAY(B2)</f>
        <v>-140.03608695652119</v>
      </c>
      <c r="K67" s="950"/>
      <c r="L67" s="902"/>
      <c r="O67" s="929"/>
    </row>
    <row r="68" spans="1:15">
      <c r="A68" s="1552" t="s">
        <v>103</v>
      </c>
      <c r="B68" s="1553"/>
      <c r="C68" s="1554"/>
      <c r="D68" s="922" t="s">
        <v>187</v>
      </c>
      <c r="E68" s="923">
        <f>'22'!F68</f>
        <v>70793</v>
      </c>
      <c r="F68" s="953">
        <v>71085</v>
      </c>
      <c r="G68" s="924">
        <f t="shared" si="5"/>
        <v>292</v>
      </c>
      <c r="H68" s="925">
        <f>G68+'22'!H68</f>
        <v>-593.52000000000407</v>
      </c>
      <c r="I68" s="1008"/>
      <c r="J68" s="927">
        <f>H68/DAY(B2)</f>
        <v>-25.805217391304524</v>
      </c>
      <c r="K68" s="1009"/>
      <c r="L68" s="902"/>
      <c r="O68" s="929"/>
    </row>
    <row r="69" spans="1:15">
      <c r="A69" s="1552" t="s">
        <v>104</v>
      </c>
      <c r="B69" s="1553"/>
      <c r="C69" s="1554"/>
      <c r="D69" s="922" t="s">
        <v>187</v>
      </c>
      <c r="E69" s="923">
        <f>'22'!F69</f>
        <v>62487</v>
      </c>
      <c r="F69" s="953">
        <v>62814</v>
      </c>
      <c r="G69" s="924">
        <f t="shared" si="5"/>
        <v>327</v>
      </c>
      <c r="H69" s="925">
        <f>G69+'22'!H69</f>
        <v>-1638.0899999999965</v>
      </c>
      <c r="I69" s="1008"/>
      <c r="J69" s="927">
        <f>H69/DAY(B2)</f>
        <v>-71.221304347825935</v>
      </c>
      <c r="K69" s="1010"/>
      <c r="L69" s="902"/>
      <c r="O69" s="929"/>
    </row>
    <row r="70" spans="1:15">
      <c r="A70" s="1575" t="s">
        <v>189</v>
      </c>
      <c r="B70" s="1576"/>
      <c r="C70" s="1577"/>
      <c r="D70" s="922" t="s">
        <v>187</v>
      </c>
      <c r="E70" s="1011"/>
      <c r="F70" s="1012"/>
      <c r="G70" s="1012"/>
      <c r="H70" s="925">
        <f>G70+'13'!H70</f>
        <v>0</v>
      </c>
      <c r="I70" s="1012"/>
      <c r="J70" s="1013"/>
      <c r="K70" s="1010"/>
      <c r="L70" s="902"/>
      <c r="O70" s="929"/>
    </row>
    <row r="71" spans="1:15" ht="22.5">
      <c r="A71" s="1572" t="s">
        <v>190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1009"/>
      <c r="L71" s="902"/>
      <c r="O71" s="929"/>
    </row>
    <row r="72" spans="1:15">
      <c r="A72" s="1552" t="s">
        <v>191</v>
      </c>
      <c r="B72" s="1553"/>
      <c r="C72" s="1554"/>
      <c r="D72" s="922" t="s">
        <v>187</v>
      </c>
      <c r="E72" s="923">
        <f>'22'!F72</f>
        <v>850091</v>
      </c>
      <c r="F72" s="1014">
        <v>850201</v>
      </c>
      <c r="G72" s="924">
        <f t="shared" ref="G72:G84" si="6">F72-E72</f>
        <v>110</v>
      </c>
      <c r="H72" s="925">
        <f>G72+'22'!H72</f>
        <v>1808</v>
      </c>
      <c r="I72" s="944"/>
      <c r="J72" s="927">
        <f>H72/DAY(B2)</f>
        <v>78.608695652173907</v>
      </c>
      <c r="K72" s="1010"/>
      <c r="L72" s="902"/>
      <c r="O72" s="929"/>
    </row>
    <row r="73" spans="1:15">
      <c r="A73" s="1552" t="s">
        <v>192</v>
      </c>
      <c r="B73" s="1553"/>
      <c r="C73" s="1554"/>
      <c r="D73" s="922" t="s">
        <v>187</v>
      </c>
      <c r="E73" s="923">
        <f>'22'!F73</f>
        <v>885763</v>
      </c>
      <c r="F73" s="1015">
        <v>885768</v>
      </c>
      <c r="G73" s="924">
        <f t="shared" si="6"/>
        <v>5</v>
      </c>
      <c r="H73" s="925">
        <f>G73+'22'!H73</f>
        <v>-1140</v>
      </c>
      <c r="I73" s="944"/>
      <c r="J73" s="927">
        <f>H73/DAY(B2)</f>
        <v>-49.565217391304351</v>
      </c>
      <c r="K73" s="1009"/>
      <c r="L73" s="902"/>
      <c r="O73" s="929"/>
    </row>
    <row r="74" spans="1:15">
      <c r="A74" s="1552" t="s">
        <v>193</v>
      </c>
      <c r="B74" s="1553"/>
      <c r="C74" s="1554"/>
      <c r="D74" s="922" t="s">
        <v>187</v>
      </c>
      <c r="E74" s="923">
        <f>'22'!F74</f>
        <v>455</v>
      </c>
      <c r="F74" s="1016">
        <v>470</v>
      </c>
      <c r="G74" s="924">
        <f t="shared" si="6"/>
        <v>15</v>
      </c>
      <c r="H74" s="925">
        <f>G74+'22'!H74</f>
        <v>-116.17000000000007</v>
      </c>
      <c r="I74" s="944"/>
      <c r="J74" s="927">
        <f>H74/DAY(B2)</f>
        <v>-5.0508695652173943</v>
      </c>
      <c r="K74" s="1010"/>
      <c r="L74" s="902"/>
      <c r="O74" s="929"/>
    </row>
    <row r="75" spans="1:15">
      <c r="A75" s="1578" t="s">
        <v>194</v>
      </c>
      <c r="B75" s="1579"/>
      <c r="C75" s="1580"/>
      <c r="D75" s="922" t="s">
        <v>187</v>
      </c>
      <c r="E75" s="923">
        <f>'22'!F75</f>
        <v>2510</v>
      </c>
      <c r="F75" s="1016">
        <v>2684</v>
      </c>
      <c r="G75" s="924">
        <f t="shared" si="6"/>
        <v>174</v>
      </c>
      <c r="H75" s="925">
        <f>G75+'22'!H75</f>
        <v>-835.21999999999935</v>
      </c>
      <c r="I75" s="944"/>
      <c r="J75" s="927">
        <f>H75/DAY(B2)</f>
        <v>-36.31391304347823</v>
      </c>
      <c r="K75" s="1009"/>
      <c r="L75" s="902"/>
      <c r="O75" s="929"/>
    </row>
    <row r="76" spans="1:15">
      <c r="A76" s="1578" t="s">
        <v>195</v>
      </c>
      <c r="B76" s="1579"/>
      <c r="C76" s="1580"/>
      <c r="D76" s="922" t="s">
        <v>187</v>
      </c>
      <c r="E76" s="923">
        <f>'22'!F76</f>
        <v>1040</v>
      </c>
      <c r="F76" s="1015">
        <v>1114</v>
      </c>
      <c r="G76" s="924">
        <f t="shared" si="6"/>
        <v>74</v>
      </c>
      <c r="H76" s="925">
        <f>G76+'22'!H76</f>
        <v>-1944.4199999999996</v>
      </c>
      <c r="I76" s="987"/>
      <c r="J76" s="927">
        <f>H76/DAY(B2)</f>
        <v>-84.539999999999978</v>
      </c>
      <c r="K76" s="1009"/>
      <c r="L76" s="902"/>
      <c r="O76" s="929"/>
    </row>
    <row r="77" spans="1:15">
      <c r="A77" s="1552" t="s">
        <v>196</v>
      </c>
      <c r="B77" s="1553"/>
      <c r="C77" s="1554"/>
      <c r="D77" s="922" t="s">
        <v>187</v>
      </c>
      <c r="E77" s="923">
        <f>'22'!F77</f>
        <v>698305</v>
      </c>
      <c r="F77" s="1015">
        <v>698352</v>
      </c>
      <c r="G77" s="924">
        <f t="shared" si="6"/>
        <v>47</v>
      </c>
      <c r="H77" s="925">
        <f>G77+'22'!H77</f>
        <v>-236</v>
      </c>
      <c r="I77" s="987"/>
      <c r="J77" s="927">
        <f>H77/DAY(B2)</f>
        <v>-10.260869565217391</v>
      </c>
      <c r="K77" s="1009"/>
      <c r="L77" s="902"/>
      <c r="O77" s="929"/>
    </row>
    <row r="78" spans="1:15">
      <c r="A78" s="1017" t="s">
        <v>197</v>
      </c>
      <c r="B78" s="1225"/>
      <c r="C78" s="1225"/>
      <c r="D78" s="922" t="s">
        <v>187</v>
      </c>
      <c r="E78" s="923">
        <f>'22'!F78</f>
        <v>650868</v>
      </c>
      <c r="F78" s="1016">
        <v>651177</v>
      </c>
      <c r="G78" s="924">
        <f t="shared" si="6"/>
        <v>309</v>
      </c>
      <c r="H78" s="925">
        <f>G78+'22'!H78</f>
        <v>-1686</v>
      </c>
      <c r="I78" s="987"/>
      <c r="J78" s="927">
        <f>H78/DAY(B2)</f>
        <v>-73.304347826086953</v>
      </c>
      <c r="K78" s="1009"/>
      <c r="L78" s="902"/>
      <c r="O78" s="929"/>
    </row>
    <row r="79" spans="1:15">
      <c r="A79" s="1578" t="s">
        <v>92</v>
      </c>
      <c r="B79" s="1579"/>
      <c r="C79" s="1580"/>
      <c r="D79" s="956" t="s">
        <v>187</v>
      </c>
      <c r="E79" s="923">
        <f>'22'!F79</f>
        <v>813908</v>
      </c>
      <c r="F79" s="1321">
        <v>814106</v>
      </c>
      <c r="G79" s="924">
        <f t="shared" si="6"/>
        <v>198</v>
      </c>
      <c r="H79" s="925">
        <f>G79+'22'!H79</f>
        <v>-3630</v>
      </c>
      <c r="I79" s="987"/>
      <c r="J79" s="927">
        <f>H79/DAY(B2)</f>
        <v>-157.82608695652175</v>
      </c>
      <c r="K79" s="1009"/>
      <c r="L79" s="902"/>
      <c r="O79" s="929"/>
    </row>
    <row r="80" spans="1:15">
      <c r="A80" s="1578" t="s">
        <v>198</v>
      </c>
      <c r="B80" s="1579"/>
      <c r="C80" s="1580"/>
      <c r="D80" s="956" t="s">
        <v>187</v>
      </c>
      <c r="E80" s="923">
        <f>'22'!F80</f>
        <v>492412</v>
      </c>
      <c r="F80" s="1015">
        <v>492780</v>
      </c>
      <c r="G80" s="924">
        <f t="shared" si="6"/>
        <v>368</v>
      </c>
      <c r="H80" s="925">
        <f>G80+'22'!H80</f>
        <v>780.32000000000698</v>
      </c>
      <c r="I80" s="987"/>
      <c r="J80" s="927">
        <f>H80/DAY(B2)</f>
        <v>33.926956521739434</v>
      </c>
      <c r="K80" s="1009"/>
      <c r="L80" s="902"/>
      <c r="O80" s="929"/>
    </row>
    <row r="81" spans="1:15">
      <c r="A81" s="1578" t="s">
        <v>199</v>
      </c>
      <c r="B81" s="1579"/>
      <c r="C81" s="1580"/>
      <c r="D81" s="956" t="s">
        <v>187</v>
      </c>
      <c r="E81" s="923">
        <f>'22'!F81</f>
        <v>625130</v>
      </c>
      <c r="F81" s="1015">
        <v>625274</v>
      </c>
      <c r="G81" s="924">
        <f t="shared" si="6"/>
        <v>144</v>
      </c>
      <c r="H81" s="925">
        <f>G81+'22'!H81</f>
        <v>-669.8399999999674</v>
      </c>
      <c r="I81" s="987"/>
      <c r="J81" s="927">
        <f>H81/DAY(B2)</f>
        <v>-29.123478260868147</v>
      </c>
      <c r="K81" s="1009"/>
      <c r="L81" s="902"/>
      <c r="O81" s="929"/>
    </row>
    <row r="82" spans="1:15">
      <c r="A82" s="1578" t="s">
        <v>93</v>
      </c>
      <c r="B82" s="1579"/>
      <c r="C82" s="1580"/>
      <c r="D82" s="957" t="s">
        <v>132</v>
      </c>
      <c r="E82" s="923">
        <f>'22'!F82</f>
        <v>106066</v>
      </c>
      <c r="F82" s="1018">
        <v>106088</v>
      </c>
      <c r="G82" s="924">
        <f t="shared" si="6"/>
        <v>22</v>
      </c>
      <c r="H82" s="925">
        <f>G82+'22'!H82</f>
        <v>-114.47999999999593</v>
      </c>
      <c r="I82" s="958"/>
      <c r="J82" s="927">
        <f>H82/DAY(B2)</f>
        <v>-4.9773913043476492</v>
      </c>
      <c r="K82" s="1009"/>
      <c r="L82" s="902"/>
      <c r="O82" s="929"/>
    </row>
    <row r="83" spans="1:15">
      <c r="A83" s="1578" t="s">
        <v>200</v>
      </c>
      <c r="B83" s="1579"/>
      <c r="C83" s="1580"/>
      <c r="D83" s="1019" t="s">
        <v>132</v>
      </c>
      <c r="E83" s="923">
        <f>'22'!F83</f>
        <v>993383</v>
      </c>
      <c r="F83" s="1364">
        <v>993885</v>
      </c>
      <c r="G83" s="924">
        <f t="shared" si="6"/>
        <v>502</v>
      </c>
      <c r="H83" s="925">
        <f>G83+'22'!H83</f>
        <v>997288</v>
      </c>
      <c r="I83" s="947"/>
      <c r="J83" s="927">
        <f>H83/DAY(B2)</f>
        <v>43360.34782608696</v>
      </c>
      <c r="K83" s="950"/>
      <c r="L83" s="902"/>
      <c r="O83" s="929"/>
    </row>
    <row r="84" spans="1:15">
      <c r="A84" s="1020" t="s">
        <v>201</v>
      </c>
      <c r="B84" s="1021"/>
      <c r="C84" s="1021"/>
      <c r="D84" s="941" t="s">
        <v>132</v>
      </c>
      <c r="E84" s="923">
        <f>'22'!F84</f>
        <v>427081</v>
      </c>
      <c r="F84" s="1022">
        <v>427614</v>
      </c>
      <c r="G84" s="924">
        <f t="shared" si="6"/>
        <v>533</v>
      </c>
      <c r="H84" s="925">
        <f>G84+'22'!H84</f>
        <v>-3184</v>
      </c>
      <c r="I84" s="947"/>
      <c r="J84" s="927">
        <f>H84/DAY(B2)</f>
        <v>-138.43478260869566</v>
      </c>
      <c r="K84" s="1023"/>
      <c r="L84" s="902"/>
      <c r="O84" s="929"/>
    </row>
    <row r="85" spans="1:15" s="1027" customFormat="1">
      <c r="A85" s="1024" t="s">
        <v>202</v>
      </c>
      <c r="B85" s="1025"/>
      <c r="C85" s="1025"/>
      <c r="D85" s="962"/>
      <c r="E85" s="923"/>
      <c r="F85" s="922"/>
      <c r="G85" s="925">
        <f xml:space="preserve"> SUM(G72:G84)</f>
        <v>2501</v>
      </c>
      <c r="H85" s="925">
        <f>G85+'22'!H85</f>
        <v>984728.92999999993</v>
      </c>
      <c r="I85" s="947"/>
      <c r="J85" s="927">
        <f>H85/DAY(B2)</f>
        <v>42814.30130434782</v>
      </c>
      <c r="K85" s="1023"/>
      <c r="L85" s="1026"/>
      <c r="N85" s="1094"/>
      <c r="O85" s="929"/>
    </row>
    <row r="86" spans="1:15" s="1037" customFormat="1">
      <c r="A86" s="1028" t="s">
        <v>94</v>
      </c>
      <c r="B86" s="1029"/>
      <c r="C86" s="1029"/>
      <c r="D86" s="1030" t="s">
        <v>183</v>
      </c>
      <c r="E86" s="923">
        <f>'22'!F86</f>
        <v>449681</v>
      </c>
      <c r="F86" s="1031">
        <v>449828</v>
      </c>
      <c r="G86" s="1032">
        <f t="shared" ref="G86:G88" si="7">F86-E86</f>
        <v>147</v>
      </c>
      <c r="H86" s="1032">
        <f t="shared" ref="H86:H88" si="8">G86</f>
        <v>147</v>
      </c>
      <c r="I86" s="1033"/>
      <c r="J86" s="1034">
        <f>H86/DAY(B2)</f>
        <v>6.3913043478260869</v>
      </c>
      <c r="K86" s="1035"/>
      <c r="L86" s="1036"/>
      <c r="N86" s="1095"/>
      <c r="O86" s="929"/>
    </row>
    <row r="87" spans="1:15" s="1037" customFormat="1">
      <c r="A87" s="1028" t="s">
        <v>95</v>
      </c>
      <c r="B87" s="1029"/>
      <c r="C87" s="1029"/>
      <c r="D87" s="1030" t="s">
        <v>183</v>
      </c>
      <c r="E87" s="923">
        <f>'22'!F87</f>
        <v>79020</v>
      </c>
      <c r="F87" s="1031">
        <v>79058.3</v>
      </c>
      <c r="G87" s="1032">
        <f t="shared" si="7"/>
        <v>38.30000000000291</v>
      </c>
      <c r="H87" s="1032">
        <f t="shared" si="8"/>
        <v>38.30000000000291</v>
      </c>
      <c r="I87" s="1033"/>
      <c r="J87" s="1034">
        <f>H87/DAY(B2)</f>
        <v>1.6652173913044743</v>
      </c>
      <c r="K87" s="1035"/>
      <c r="L87" s="1036"/>
      <c r="N87" s="1095"/>
      <c r="O87" s="929"/>
    </row>
    <row r="88" spans="1:15" s="1037" customFormat="1">
      <c r="A88" s="1028" t="s">
        <v>96</v>
      </c>
      <c r="B88" s="1029"/>
      <c r="C88" s="1029"/>
      <c r="D88" s="1030" t="s">
        <v>183</v>
      </c>
      <c r="E88" s="923">
        <f>'22'!F88</f>
        <v>147969</v>
      </c>
      <c r="F88" s="1031">
        <v>148005</v>
      </c>
      <c r="G88" s="1032">
        <f t="shared" si="7"/>
        <v>36</v>
      </c>
      <c r="H88" s="1032">
        <f t="shared" si="8"/>
        <v>36</v>
      </c>
      <c r="I88" s="1033"/>
      <c r="J88" s="1034">
        <f>H88/DAY(B2)</f>
        <v>1.5652173913043479</v>
      </c>
      <c r="K88" s="1035"/>
      <c r="L88" s="1036"/>
      <c r="N88" s="1095"/>
      <c r="O88" s="929"/>
    </row>
    <row r="89" spans="1:15" s="1037" customFormat="1">
      <c r="A89" s="1028" t="s">
        <v>204</v>
      </c>
      <c r="B89" s="1029"/>
      <c r="C89" s="1029"/>
      <c r="D89" s="1030" t="s">
        <v>183</v>
      </c>
      <c r="E89" s="923">
        <f>'22'!F89</f>
        <v>61243</v>
      </c>
      <c r="F89" s="1031">
        <v>61337</v>
      </c>
      <c r="G89" s="1032">
        <f t="shared" ref="G89:G90" si="9">F89-E89</f>
        <v>94</v>
      </c>
      <c r="H89" s="1032">
        <f>G89</f>
        <v>94</v>
      </c>
      <c r="I89" s="1033"/>
      <c r="J89" s="1034">
        <f>H89/DAY(B2)</f>
        <v>4.0869565217391308</v>
      </c>
      <c r="K89" s="1035"/>
      <c r="L89" s="1036"/>
      <c r="N89" s="1096"/>
      <c r="O89" s="929"/>
    </row>
    <row r="90" spans="1:15" s="1037" customFormat="1">
      <c r="A90" s="1028" t="s">
        <v>204</v>
      </c>
      <c r="B90" s="1029"/>
      <c r="C90" s="1029"/>
      <c r="D90" s="1030" t="s">
        <v>183</v>
      </c>
      <c r="E90" s="923">
        <f>'22'!F90</f>
        <v>3142</v>
      </c>
      <c r="F90" s="1031">
        <v>3146</v>
      </c>
      <c r="G90" s="1032">
        <f t="shared" si="9"/>
        <v>4</v>
      </c>
      <c r="H90" s="1032">
        <f>G90</f>
        <v>4</v>
      </c>
      <c r="I90" s="1033"/>
      <c r="J90" s="1034">
        <f>H90/DAY(B2)</f>
        <v>0.17391304347826086</v>
      </c>
      <c r="K90" s="1035"/>
      <c r="L90" s="1036"/>
      <c r="N90" s="1096"/>
      <c r="O90" s="929"/>
    </row>
    <row r="91" spans="1:15" s="1027" customFormat="1">
      <c r="A91" s="1038" t="s">
        <v>205</v>
      </c>
      <c r="B91" s="917"/>
      <c r="C91" s="917"/>
      <c r="D91" s="917"/>
      <c r="E91" s="917"/>
      <c r="F91" s="917"/>
      <c r="G91" s="961"/>
      <c r="H91" s="917"/>
      <c r="I91" s="917"/>
      <c r="J91" s="918"/>
      <c r="K91" s="1023"/>
      <c r="L91" s="1026"/>
      <c r="N91" s="1094"/>
      <c r="O91" s="929"/>
    </row>
    <row r="92" spans="1:15">
      <c r="A92" s="1555" t="s">
        <v>206</v>
      </c>
      <c r="B92" s="1556"/>
      <c r="C92" s="1557"/>
      <c r="D92" s="922" t="s">
        <v>144</v>
      </c>
      <c r="E92" s="923">
        <f>'22'!F92</f>
        <v>239041</v>
      </c>
      <c r="F92" s="953">
        <v>239145</v>
      </c>
      <c r="G92" s="924">
        <f t="shared" ref="G92:G93" si="10">F92-E92</f>
        <v>104</v>
      </c>
      <c r="H92" s="925">
        <f>G92+'22'!H92</f>
        <v>-550</v>
      </c>
      <c r="I92" s="944"/>
      <c r="J92" s="927">
        <f>H92/DAY(B2)</f>
        <v>-23.913043478260871</v>
      </c>
      <c r="K92" s="950"/>
      <c r="L92" s="902"/>
      <c r="O92" s="929"/>
    </row>
    <row r="93" spans="1:15">
      <c r="A93" s="1555" t="s">
        <v>207</v>
      </c>
      <c r="B93" s="1556"/>
      <c r="C93" s="1557"/>
      <c r="D93" s="922" t="s">
        <v>144</v>
      </c>
      <c r="E93" s="923">
        <f>'22'!F93</f>
        <v>174639</v>
      </c>
      <c r="F93" s="1363">
        <v>174818</v>
      </c>
      <c r="G93" s="924">
        <f t="shared" si="10"/>
        <v>179</v>
      </c>
      <c r="H93" s="925">
        <f>G93+'22'!H93</f>
        <v>-843</v>
      </c>
      <c r="I93" s="944"/>
      <c r="J93" s="927">
        <f>H93/DAY(B2)</f>
        <v>-36.652173913043477</v>
      </c>
      <c r="K93" s="1023"/>
      <c r="L93" s="902"/>
      <c r="O93" s="929"/>
    </row>
    <row r="94" spans="1:15">
      <c r="A94" s="1581" t="s">
        <v>208</v>
      </c>
      <c r="B94" s="1582"/>
      <c r="C94" s="1583"/>
      <c r="D94" s="922"/>
      <c r="E94" s="923">
        <f>'22'!F94</f>
        <v>0</v>
      </c>
      <c r="F94" s="953"/>
      <c r="G94" s="924">
        <f>G92+G93</f>
        <v>283</v>
      </c>
      <c r="H94" s="925">
        <f>G94+'22'!H94</f>
        <v>-1659</v>
      </c>
      <c r="I94" s="944"/>
      <c r="J94" s="927">
        <f>H94/DAY(B2)</f>
        <v>-72.130434782608702</v>
      </c>
      <c r="K94" s="1023"/>
      <c r="L94" s="902"/>
      <c r="O94" s="929"/>
    </row>
    <row r="95" spans="1:15">
      <c r="A95" s="1555" t="s">
        <v>209</v>
      </c>
      <c r="B95" s="1556"/>
      <c r="C95" s="1557"/>
      <c r="D95" s="922" t="s">
        <v>144</v>
      </c>
      <c r="E95" s="923">
        <f>'22'!F95</f>
        <v>407627</v>
      </c>
      <c r="F95" s="953">
        <v>407728</v>
      </c>
      <c r="G95" s="924">
        <f t="shared" ref="G95:G100" si="11">F95-E95</f>
        <v>101</v>
      </c>
      <c r="H95" s="925">
        <f>G95+'22'!H95</f>
        <v>-428</v>
      </c>
      <c r="I95" s="944"/>
      <c r="J95" s="927">
        <f>H95/DAY(B2)</f>
        <v>-18.608695652173914</v>
      </c>
      <c r="K95" s="1023"/>
      <c r="L95" s="902"/>
      <c r="O95" s="929"/>
    </row>
    <row r="96" spans="1:15">
      <c r="A96" s="951" t="s">
        <v>210</v>
      </c>
      <c r="B96" s="952"/>
      <c r="C96" s="952"/>
      <c r="D96" s="922" t="s">
        <v>144</v>
      </c>
      <c r="E96" s="923">
        <f>'22'!F96</f>
        <v>101219</v>
      </c>
      <c r="F96" s="953">
        <v>101237</v>
      </c>
      <c r="G96" s="924">
        <f t="shared" si="11"/>
        <v>18</v>
      </c>
      <c r="H96" s="925">
        <f>G96+'22'!H96</f>
        <v>-95</v>
      </c>
      <c r="I96" s="944"/>
      <c r="J96" s="927">
        <f>H96/DAY(B2)</f>
        <v>-4.1304347826086953</v>
      </c>
      <c r="K96" s="919"/>
      <c r="L96" s="902"/>
      <c r="O96" s="929"/>
    </row>
    <row r="97" spans="1:15">
      <c r="A97" s="951" t="s">
        <v>211</v>
      </c>
      <c r="B97" s="952"/>
      <c r="C97" s="952"/>
      <c r="D97" s="922" t="s">
        <v>144</v>
      </c>
      <c r="E97" s="923">
        <f>'22'!F97</f>
        <v>96322</v>
      </c>
      <c r="F97" s="953">
        <v>96336</v>
      </c>
      <c r="G97" s="924">
        <f t="shared" si="11"/>
        <v>14</v>
      </c>
      <c r="H97" s="925">
        <f>G97+'22'!H97</f>
        <v>-113</v>
      </c>
      <c r="I97" s="944"/>
      <c r="J97" s="927">
        <f>H97/DAY(B2)</f>
        <v>-4.9130434782608692</v>
      </c>
      <c r="K97" s="1039"/>
      <c r="L97" s="902"/>
      <c r="O97" s="929"/>
    </row>
    <row r="98" spans="1:15">
      <c r="A98" s="951" t="s">
        <v>212</v>
      </c>
      <c r="B98" s="952"/>
      <c r="C98" s="952"/>
      <c r="D98" s="922" t="s">
        <v>144</v>
      </c>
      <c r="E98" s="923">
        <f>'22'!F98</f>
        <v>147064</v>
      </c>
      <c r="F98" s="953">
        <v>147146</v>
      </c>
      <c r="G98" s="924">
        <f t="shared" si="11"/>
        <v>82</v>
      </c>
      <c r="H98" s="925">
        <f>G98+'22'!H98</f>
        <v>-462</v>
      </c>
      <c r="I98" s="944"/>
      <c r="J98" s="927">
        <f>H98/DAY(B2)</f>
        <v>-20.086956521739129</v>
      </c>
      <c r="K98" s="1023"/>
      <c r="L98" s="902"/>
      <c r="O98" s="929"/>
    </row>
    <row r="99" spans="1:15">
      <c r="A99" s="951" t="s">
        <v>213</v>
      </c>
      <c r="B99" s="952"/>
      <c r="C99" s="952"/>
      <c r="D99" s="922" t="s">
        <v>144</v>
      </c>
      <c r="E99" s="923">
        <f>'22'!F99</f>
        <v>6296</v>
      </c>
      <c r="F99" s="953">
        <v>6308</v>
      </c>
      <c r="G99" s="924">
        <f t="shared" si="11"/>
        <v>12</v>
      </c>
      <c r="H99" s="925">
        <f>G99+'22'!H99</f>
        <v>-100</v>
      </c>
      <c r="I99" s="944"/>
      <c r="J99" s="927">
        <f>H99/DAY(B2)</f>
        <v>-4.3478260869565215</v>
      </c>
      <c r="K99" s="1023"/>
      <c r="L99" s="902"/>
      <c r="O99" s="929"/>
    </row>
    <row r="100" spans="1:15">
      <c r="A100" s="951" t="s">
        <v>214</v>
      </c>
      <c r="B100" s="952"/>
      <c r="C100" s="952"/>
      <c r="D100" s="922" t="s">
        <v>144</v>
      </c>
      <c r="E100" s="923">
        <f>'22'!F100</f>
        <v>4440</v>
      </c>
      <c r="F100" s="953">
        <v>4447</v>
      </c>
      <c r="G100" s="924">
        <f t="shared" si="11"/>
        <v>7</v>
      </c>
      <c r="H100" s="925">
        <f>G100+'22'!H100</f>
        <v>-96</v>
      </c>
      <c r="I100" s="944"/>
      <c r="J100" s="927">
        <f>H100/DAY(B2)</f>
        <v>-4.1739130434782608</v>
      </c>
      <c r="K100" s="1023"/>
      <c r="L100" s="902"/>
      <c r="O100" s="929"/>
    </row>
    <row r="101" spans="1:15">
      <c r="A101" s="1581" t="s">
        <v>216</v>
      </c>
      <c r="B101" s="1582"/>
      <c r="C101" s="1583"/>
      <c r="D101" s="956"/>
      <c r="E101" s="956"/>
      <c r="F101" s="956"/>
      <c r="G101" s="1040">
        <f>SUM(G95:G100)</f>
        <v>234</v>
      </c>
      <c r="H101" s="925">
        <f>G101+'22'!H101</f>
        <v>-1294</v>
      </c>
      <c r="I101" s="1041"/>
      <c r="J101" s="927">
        <f>H101/DAY(B2)</f>
        <v>-56.260869565217391</v>
      </c>
      <c r="K101" s="1023"/>
      <c r="L101" s="902"/>
      <c r="O101" s="929"/>
    </row>
    <row r="102" spans="1:15" s="974" customFormat="1">
      <c r="A102" s="1042" t="s">
        <v>217</v>
      </c>
      <c r="B102" s="1043"/>
      <c r="C102" s="1043"/>
      <c r="D102" s="1044"/>
      <c r="E102" s="1045"/>
      <c r="F102" s="1046"/>
      <c r="G102" s="1047"/>
      <c r="H102" s="1048"/>
      <c r="I102" s="1049"/>
      <c r="J102" s="1050"/>
      <c r="N102" s="1092"/>
      <c r="O102" s="929"/>
    </row>
    <row r="103" spans="1:15" s="974" customFormat="1">
      <c r="A103" s="1589" t="s">
        <v>218</v>
      </c>
      <c r="B103" s="1590"/>
      <c r="C103" s="1051"/>
      <c r="D103" s="1052"/>
      <c r="E103" s="1053"/>
      <c r="F103" s="1053"/>
      <c r="G103" s="1053"/>
      <c r="H103" s="1054"/>
      <c r="I103" s="1053"/>
      <c r="J103" s="1055"/>
      <c r="N103" s="1092"/>
      <c r="O103" s="929"/>
    </row>
    <row r="104" spans="1:15" s="974" customFormat="1">
      <c r="A104" s="1591" t="s">
        <v>219</v>
      </c>
      <c r="B104" s="1592"/>
      <c r="C104" s="1056"/>
      <c r="D104" s="1052" t="s">
        <v>144</v>
      </c>
      <c r="E104" s="1053">
        <f>'22'!F104</f>
        <v>7105</v>
      </c>
      <c r="F104" s="1053">
        <v>7115</v>
      </c>
      <c r="G104" s="1053">
        <f>F104-E104</f>
        <v>10</v>
      </c>
      <c r="H104" s="1054">
        <f>SUM(G104+'1'!G76)</f>
        <v>89.150000000000091</v>
      </c>
      <c r="I104" s="1053"/>
      <c r="J104" s="1055">
        <f>H104/DAY(B2)</f>
        <v>3.8760869565217431</v>
      </c>
      <c r="N104" s="1092"/>
      <c r="O104" s="929"/>
    </row>
    <row r="105" spans="1:15" s="974" customFormat="1">
      <c r="A105" s="1591" t="s">
        <v>77</v>
      </c>
      <c r="B105" s="1592"/>
      <c r="C105" s="1056"/>
      <c r="D105" s="1052" t="s">
        <v>144</v>
      </c>
      <c r="E105" s="1053">
        <f>'22'!F105</f>
        <v>35353</v>
      </c>
      <c r="F105" s="1365">
        <v>35366</v>
      </c>
      <c r="G105" s="1053">
        <f t="shared" ref="G105:G106" si="12">F105-E105</f>
        <v>13</v>
      </c>
      <c r="H105" s="1054">
        <f>SUM(G105+'1'!G77)</f>
        <v>58</v>
      </c>
      <c r="I105" s="1053"/>
      <c r="J105" s="1055">
        <f>H105/DAY(B2)</f>
        <v>2.5217391304347827</v>
      </c>
      <c r="N105" s="1092"/>
      <c r="O105" s="929"/>
    </row>
    <row r="106" spans="1:15" s="974" customFormat="1">
      <c r="A106" s="1591" t="s">
        <v>78</v>
      </c>
      <c r="B106" s="1593"/>
      <c r="C106" s="1592"/>
      <c r="D106" s="1052" t="s">
        <v>144</v>
      </c>
      <c r="E106" s="1053">
        <f>'22'!F106</f>
        <v>19214</v>
      </c>
      <c r="F106" s="1053">
        <v>19220</v>
      </c>
      <c r="G106" s="1053">
        <f t="shared" si="12"/>
        <v>6</v>
      </c>
      <c r="H106" s="1054">
        <f>SUM(G106+'1'!G78)</f>
        <v>396</v>
      </c>
      <c r="I106" s="1053"/>
      <c r="J106" s="1055">
        <f>H106/DAY(B2)</f>
        <v>17.217391304347824</v>
      </c>
      <c r="N106" s="1092"/>
      <c r="O106" s="929"/>
    </row>
    <row r="107" spans="1:15" s="974" customFormat="1">
      <c r="A107" s="1594" t="s">
        <v>202</v>
      </c>
      <c r="B107" s="1595"/>
      <c r="C107" s="1056"/>
      <c r="D107" s="1052"/>
      <c r="E107" s="1053">
        <f>'22'!F107</f>
        <v>0</v>
      </c>
      <c r="F107" s="1053"/>
      <c r="G107" s="1053">
        <f>SUM(G104:G106)</f>
        <v>29</v>
      </c>
      <c r="H107" s="1054">
        <f>SUM(G107+'1'!G79)</f>
        <v>221</v>
      </c>
      <c r="I107" s="1053"/>
      <c r="J107" s="1055">
        <f>H107/DAY(B2)</f>
        <v>9.6086956521739122</v>
      </c>
      <c r="N107" s="1092"/>
      <c r="O107" s="929"/>
    </row>
    <row r="108" spans="1:15" s="974" customFormat="1">
      <c r="A108" s="1596" t="s">
        <v>79</v>
      </c>
      <c r="B108" s="1597"/>
      <c r="C108" s="1056"/>
      <c r="D108" s="1052" t="s">
        <v>144</v>
      </c>
      <c r="E108" s="1053">
        <f>'22'!F108</f>
        <v>0</v>
      </c>
      <c r="F108" s="1053"/>
      <c r="G108" s="1053"/>
      <c r="H108" s="1054"/>
      <c r="I108" s="1053"/>
      <c r="J108" s="1055"/>
      <c r="N108" s="1092"/>
      <c r="O108" s="929"/>
    </row>
    <row r="109" spans="1:15" s="974" customFormat="1">
      <c r="A109" s="1591" t="s">
        <v>220</v>
      </c>
      <c r="B109" s="1592"/>
      <c r="C109" s="1056"/>
      <c r="D109" s="1052" t="s">
        <v>144</v>
      </c>
      <c r="E109" s="1053">
        <f>'22'!F109</f>
        <v>55969</v>
      </c>
      <c r="F109" s="1053">
        <v>56028</v>
      </c>
      <c r="G109" s="1053">
        <f>F109-E109</f>
        <v>59</v>
      </c>
      <c r="H109" s="1054">
        <f>SUM(G109+'1'!G81)</f>
        <v>171.56000000005588</v>
      </c>
      <c r="I109" s="1053"/>
      <c r="J109" s="1055">
        <f>H109/DAY(B2)</f>
        <v>7.4591304347850382</v>
      </c>
      <c r="N109" s="1092"/>
      <c r="O109" s="929"/>
    </row>
    <row r="110" spans="1:15" s="974" customFormat="1">
      <c r="A110" s="1591" t="s">
        <v>221</v>
      </c>
      <c r="B110" s="1592"/>
      <c r="C110" s="1056"/>
      <c r="D110" s="1052" t="s">
        <v>144</v>
      </c>
      <c r="E110" s="1053">
        <f>'22'!F110</f>
        <v>29982</v>
      </c>
      <c r="F110" s="1365">
        <v>30071</v>
      </c>
      <c r="G110" s="1053">
        <f t="shared" ref="G110:G111" si="13">F110-E110</f>
        <v>89</v>
      </c>
      <c r="H110" s="1054">
        <f>SUM(G110+'1'!G82)</f>
        <v>107.16999999999825</v>
      </c>
      <c r="I110" s="1053"/>
      <c r="J110" s="1055">
        <f>H110/DAY(B2)</f>
        <v>4.6595652173912283</v>
      </c>
      <c r="N110" s="1092"/>
      <c r="O110" s="929"/>
    </row>
    <row r="111" spans="1:15" s="974" customFormat="1">
      <c r="A111" s="1591" t="s">
        <v>222</v>
      </c>
      <c r="B111" s="1592"/>
      <c r="C111" s="1056"/>
      <c r="D111" s="1052" t="s">
        <v>144</v>
      </c>
      <c r="E111" s="1053">
        <f>'22'!F111</f>
        <v>3946</v>
      </c>
      <c r="F111" s="1365">
        <v>3951</v>
      </c>
      <c r="G111" s="1053">
        <f t="shared" si="13"/>
        <v>5</v>
      </c>
      <c r="H111" s="1054">
        <f>SUM(G111+'1'!G83)</f>
        <v>525</v>
      </c>
      <c r="I111" s="1053"/>
      <c r="J111" s="1055">
        <f>H111/DAY(B2)</f>
        <v>22.826086956521738</v>
      </c>
      <c r="N111" s="1092"/>
      <c r="O111" s="929"/>
    </row>
    <row r="112" spans="1:15" s="974" customFormat="1">
      <c r="A112" s="1601" t="s">
        <v>110</v>
      </c>
      <c r="B112" s="1602"/>
      <c r="C112" s="1056"/>
      <c r="D112" s="1052"/>
      <c r="E112" s="1053">
        <f>'22'!F112</f>
        <v>0</v>
      </c>
      <c r="F112" s="1053"/>
      <c r="G112" s="1053">
        <f>SUM(G109:G111)</f>
        <v>153</v>
      </c>
      <c r="H112" s="1054">
        <f>SUM(G112+'1'!G84)</f>
        <v>843</v>
      </c>
      <c r="I112" s="1053"/>
      <c r="J112" s="1055">
        <f>H112/DAY(B2)</f>
        <v>36.652173913043477</v>
      </c>
      <c r="N112" s="1092"/>
      <c r="O112" s="929"/>
    </row>
    <row r="113" spans="1:15" s="974" customFormat="1">
      <c r="A113" s="1596" t="s">
        <v>223</v>
      </c>
      <c r="B113" s="1597"/>
      <c r="C113" s="1056"/>
      <c r="D113" s="1052"/>
      <c r="E113" s="1053">
        <f>'22'!F113</f>
        <v>0</v>
      </c>
      <c r="F113" s="1053"/>
      <c r="G113" s="1053"/>
      <c r="H113" s="1054"/>
      <c r="I113" s="1053"/>
      <c r="J113" s="1055">
        <f>H113/DAY(B2)</f>
        <v>0</v>
      </c>
      <c r="N113" s="1092"/>
      <c r="O113" s="929"/>
    </row>
    <row r="114" spans="1:15" s="974" customFormat="1">
      <c r="A114" s="1591" t="s">
        <v>224</v>
      </c>
      <c r="B114" s="1592"/>
      <c r="C114" s="1058"/>
      <c r="D114" s="1052" t="s">
        <v>144</v>
      </c>
      <c r="E114" s="1053">
        <f>'22'!F114</f>
        <v>10189</v>
      </c>
      <c r="F114" s="1057">
        <v>10203</v>
      </c>
      <c r="G114" s="1057">
        <f>F114-E114</f>
        <v>14</v>
      </c>
      <c r="H114" s="1054">
        <f>SUM(G114+'1'!G91)</f>
        <v>14</v>
      </c>
      <c r="I114" s="1053"/>
      <c r="J114" s="1055">
        <f>H114/DAY(B2)</f>
        <v>0.60869565217391308</v>
      </c>
      <c r="N114" s="1092"/>
      <c r="O114" s="929"/>
    </row>
    <row r="115" spans="1:15" s="974" customFormat="1">
      <c r="A115" s="1591" t="s">
        <v>225</v>
      </c>
      <c r="B115" s="1592"/>
      <c r="C115" s="1058"/>
      <c r="D115" s="1052" t="s">
        <v>144</v>
      </c>
      <c r="E115" s="1053">
        <f>'22'!F115</f>
        <v>7595</v>
      </c>
      <c r="F115" s="1057">
        <v>7597</v>
      </c>
      <c r="G115" s="1057">
        <f t="shared" ref="G115:G116" si="14">F115-E115</f>
        <v>2</v>
      </c>
      <c r="H115" s="1054">
        <f>SUM(G115+'1'!G92)</f>
        <v>124</v>
      </c>
      <c r="I115" s="1053"/>
      <c r="J115" s="1055">
        <f>H115/DAY(B2)</f>
        <v>5.3913043478260869</v>
      </c>
      <c r="N115" s="1092"/>
      <c r="O115" s="929"/>
    </row>
    <row r="116" spans="1:15" s="974" customFormat="1">
      <c r="A116" s="1591" t="s">
        <v>226</v>
      </c>
      <c r="B116" s="1592"/>
      <c r="C116" s="1058"/>
      <c r="D116" s="1052" t="s">
        <v>144</v>
      </c>
      <c r="E116" s="1057"/>
      <c r="F116" s="1057"/>
      <c r="G116" s="1057">
        <f t="shared" si="14"/>
        <v>0</v>
      </c>
      <c r="H116" s="1054">
        <f>SUM(G116+'1'!G93)</f>
        <v>144</v>
      </c>
      <c r="I116" s="1053"/>
      <c r="J116" s="1055">
        <f>H116/DAY(B2)</f>
        <v>6.2608695652173916</v>
      </c>
      <c r="N116" s="1092"/>
      <c r="O116" s="929"/>
    </row>
    <row r="117" spans="1:15" s="1060" customFormat="1">
      <c r="A117" s="1594" t="s">
        <v>202</v>
      </c>
      <c r="B117" s="1595"/>
      <c r="C117" s="1058"/>
      <c r="D117" s="1059"/>
      <c r="E117" s="1057"/>
      <c r="F117" s="1057"/>
      <c r="G117" s="1057">
        <f>SUM(G114:G116)</f>
        <v>16</v>
      </c>
      <c r="H117" s="1054">
        <f>SUM(G117+'1'!G95)</f>
        <v>92</v>
      </c>
      <c r="I117" s="1057"/>
      <c r="J117" s="1055">
        <f>H117/DAY(B2)</f>
        <v>4</v>
      </c>
      <c r="N117" s="1097"/>
      <c r="O117" s="929"/>
    </row>
    <row r="118" spans="1:15" s="851" customFormat="1">
      <c r="A118" s="1605" t="s">
        <v>227</v>
      </c>
      <c r="B118" s="1606"/>
      <c r="C118" s="1061"/>
      <c r="D118" s="1062" t="s">
        <v>144</v>
      </c>
      <c r="E118" s="1063"/>
      <c r="F118" s="1064">
        <f>SUM(G19+G92)</f>
        <v>155</v>
      </c>
      <c r="G118" s="1064">
        <f>SUM(G19+G92)</f>
        <v>155</v>
      </c>
      <c r="H118" s="1054">
        <f>SUM(G118+'1'!G96)</f>
        <v>168</v>
      </c>
      <c r="I118" s="1063"/>
      <c r="J118" s="1065">
        <f>H118/DAY(B2)</f>
        <v>7.3043478260869561</v>
      </c>
      <c r="N118" s="1098" t="s">
        <v>215</v>
      </c>
      <c r="O118" s="929"/>
    </row>
    <row r="119" spans="1:15" s="851" customFormat="1">
      <c r="A119" s="1605" t="s">
        <v>228</v>
      </c>
      <c r="B119" s="1606"/>
      <c r="C119" s="1061"/>
      <c r="D119" s="1062" t="s">
        <v>144</v>
      </c>
      <c r="E119" s="1063"/>
      <c r="F119" s="1064">
        <f>SUM(G95,G96,G97,G99,G100)</f>
        <v>152</v>
      </c>
      <c r="G119" s="1064">
        <f>SUM(G95,G96,G97,G99,G100)</f>
        <v>152</v>
      </c>
      <c r="H119" s="1054">
        <f>SUM(G119+'1'!G98)</f>
        <v>222</v>
      </c>
      <c r="I119" s="1063"/>
      <c r="J119" s="1065">
        <f>H119/DAY(B2)</f>
        <v>9.6521739130434785</v>
      </c>
      <c r="N119" s="1098"/>
      <c r="O119" s="929"/>
    </row>
    <row r="120" spans="1:15" s="851" customFormat="1">
      <c r="A120" s="1605" t="s">
        <v>229</v>
      </c>
      <c r="B120" s="1606"/>
      <c r="C120" s="1061"/>
      <c r="D120" s="1062" t="s">
        <v>144</v>
      </c>
      <c r="E120" s="1063"/>
      <c r="F120" s="1057">
        <f>SUM(G112)</f>
        <v>153</v>
      </c>
      <c r="G120" s="1057">
        <f>SUM(G112)</f>
        <v>153</v>
      </c>
      <c r="H120" s="1054">
        <f>SUM(G120+'1'!G100)</f>
        <v>167</v>
      </c>
      <c r="I120" s="1063"/>
      <c r="J120" s="1065">
        <f>H120/DAY(B2)</f>
        <v>7.2608695652173916</v>
      </c>
      <c r="N120" s="1098"/>
      <c r="O120" s="929"/>
    </row>
    <row r="121" spans="1:15" s="974" customFormat="1">
      <c r="A121" s="1603"/>
      <c r="B121" s="1604"/>
      <c r="C121" s="1056"/>
      <c r="D121" s="1051"/>
      <c r="E121" s="1051"/>
      <c r="F121" s="1051" t="s">
        <v>215</v>
      </c>
      <c r="G121" s="1051"/>
      <c r="H121" s="1066"/>
      <c r="I121" s="1051"/>
      <c r="J121" s="1067"/>
      <c r="N121" s="1092"/>
      <c r="O121" s="929"/>
    </row>
    <row r="122" spans="1:15">
      <c r="A122" s="1584" t="s">
        <v>230</v>
      </c>
      <c r="B122" s="1585"/>
      <c r="C122" s="1586"/>
      <c r="D122" s="917"/>
      <c r="E122" s="917"/>
      <c r="F122" s="917"/>
      <c r="G122" s="949"/>
      <c r="H122" s="949"/>
      <c r="I122" s="949"/>
      <c r="J122" s="1068"/>
      <c r="K122" s="1023"/>
      <c r="L122" s="902"/>
      <c r="O122" s="929"/>
    </row>
    <row r="123" spans="1:15">
      <c r="A123" s="951" t="s">
        <v>231</v>
      </c>
      <c r="B123" s="952"/>
      <c r="C123" s="952"/>
      <c r="D123" s="922" t="s">
        <v>141</v>
      </c>
      <c r="E123" s="923">
        <f>'22'!F123</f>
        <v>809453</v>
      </c>
      <c r="F123" s="957">
        <v>809705</v>
      </c>
      <c r="G123" s="924">
        <f>F123-E123</f>
        <v>252</v>
      </c>
      <c r="H123" s="925">
        <f>G123+'22'!H123</f>
        <v>-1301.8399999999674</v>
      </c>
      <c r="I123" s="1041"/>
      <c r="J123" s="927">
        <f>H123/DAY(B2)</f>
        <v>-56.601739130433366</v>
      </c>
      <c r="K123" s="1023"/>
      <c r="L123" s="902"/>
      <c r="O123" s="929"/>
    </row>
    <row r="124" spans="1:15">
      <c r="A124" s="951" t="s">
        <v>232</v>
      </c>
      <c r="B124" s="952"/>
      <c r="C124" s="952"/>
      <c r="D124" s="922" t="s">
        <v>141</v>
      </c>
      <c r="E124" s="923">
        <f>'22'!F124</f>
        <v>73583</v>
      </c>
      <c r="F124" s="957">
        <v>73583</v>
      </c>
      <c r="G124" s="924">
        <f t="shared" ref="G124:G127" si="15">F124-E124</f>
        <v>0</v>
      </c>
      <c r="H124" s="925">
        <f>G124+'22'!H124</f>
        <v>-0.39999999999417923</v>
      </c>
      <c r="I124" s="1041"/>
      <c r="J124" s="927">
        <f>H124/DAY(B2)</f>
        <v>-1.7391304347573012E-2</v>
      </c>
      <c r="K124" s="1023"/>
      <c r="L124" s="902"/>
      <c r="O124" s="929"/>
    </row>
    <row r="125" spans="1:15">
      <c r="A125" s="1552" t="s">
        <v>233</v>
      </c>
      <c r="B125" s="1553"/>
      <c r="C125" s="1554"/>
      <c r="D125" s="922" t="s">
        <v>141</v>
      </c>
      <c r="E125" s="923">
        <f>'22'!F125</f>
        <v>139558</v>
      </c>
      <c r="F125" s="957">
        <v>139635</v>
      </c>
      <c r="G125" s="924">
        <f t="shared" si="15"/>
        <v>77</v>
      </c>
      <c r="H125" s="925">
        <f>G125+'22'!H125</f>
        <v>-344.33999999999651</v>
      </c>
      <c r="I125" s="1041"/>
      <c r="J125" s="927">
        <f>H125/DAY(B2)</f>
        <v>-14.971304347825935</v>
      </c>
      <c r="K125" s="1023"/>
      <c r="L125" s="902"/>
      <c r="O125" s="929"/>
    </row>
    <row r="126" spans="1:15">
      <c r="A126" s="1070" t="s">
        <v>234</v>
      </c>
      <c r="B126" s="952"/>
      <c r="C126" s="952"/>
      <c r="D126" s="922" t="s">
        <v>141</v>
      </c>
      <c r="E126" s="923">
        <f>'22'!F126</f>
        <v>59157</v>
      </c>
      <c r="F126" s="957">
        <v>59179</v>
      </c>
      <c r="G126" s="924">
        <f t="shared" si="15"/>
        <v>22</v>
      </c>
      <c r="H126" s="925">
        <f>G126+'22'!H126</f>
        <v>-127.90000000000146</v>
      </c>
      <c r="I126" s="1041"/>
      <c r="J126" s="927">
        <f>H126/DAY(B2)</f>
        <v>-5.5608695652174545</v>
      </c>
      <c r="K126" s="1023"/>
      <c r="L126" s="902"/>
      <c r="O126" s="929"/>
    </row>
    <row r="127" spans="1:15">
      <c r="A127" s="1070" t="s">
        <v>235</v>
      </c>
      <c r="B127" s="952"/>
      <c r="C127" s="952"/>
      <c r="D127" s="922" t="s">
        <v>141</v>
      </c>
      <c r="E127" s="923">
        <f>'22'!F127</f>
        <v>8878</v>
      </c>
      <c r="F127" s="957">
        <v>8880</v>
      </c>
      <c r="G127" s="924">
        <f t="shared" si="15"/>
        <v>2</v>
      </c>
      <c r="H127" s="925">
        <f>G127+'22'!H127</f>
        <v>-7.7999999999992724</v>
      </c>
      <c r="I127" s="944"/>
      <c r="J127" s="927">
        <f>H127/DAY(B2)</f>
        <v>-0.33913043478257704</v>
      </c>
      <c r="K127" s="1023"/>
      <c r="L127" s="902"/>
      <c r="O127" s="929"/>
    </row>
    <row r="128" spans="1:15">
      <c r="A128" s="1070" t="s">
        <v>236</v>
      </c>
      <c r="B128" s="952"/>
      <c r="C128" s="952"/>
      <c r="D128" s="922"/>
      <c r="E128" s="923"/>
      <c r="F128" s="941"/>
      <c r="G128" s="924">
        <f>G15-SUM(G123:G127)</f>
        <v>619.81000000005588</v>
      </c>
      <c r="H128" s="925">
        <f>G128+'22'!H128</f>
        <v>4626.3199999999088</v>
      </c>
      <c r="I128" s="944"/>
      <c r="J128" s="927">
        <f>H128/DAY(B2)</f>
        <v>201.14434782608299</v>
      </c>
      <c r="K128" s="1023"/>
      <c r="L128" s="902"/>
      <c r="O128" s="929"/>
    </row>
    <row r="129" spans="1:15">
      <c r="A129" s="1071" t="s">
        <v>237</v>
      </c>
      <c r="B129" s="916"/>
      <c r="C129" s="916"/>
      <c r="D129" s="916"/>
      <c r="E129" s="916"/>
      <c r="F129" s="916"/>
      <c r="G129" s="1072"/>
      <c r="H129" s="1072"/>
      <c r="I129" s="1072"/>
      <c r="J129" s="1073"/>
      <c r="O129" s="929"/>
    </row>
    <row r="130" spans="1:15">
      <c r="A130" s="951" t="s">
        <v>238</v>
      </c>
      <c r="B130" s="952"/>
      <c r="C130" s="952"/>
      <c r="D130" s="922" t="s">
        <v>239</v>
      </c>
      <c r="E130" s="923">
        <f>'22'!F130</f>
        <v>0</v>
      </c>
      <c r="F130" s="953">
        <v>0</v>
      </c>
      <c r="G130" s="924">
        <f t="shared" ref="G130:G140" si="16">F130-E130</f>
        <v>0</v>
      </c>
      <c r="H130" s="925">
        <f>G130+'22'!H130</f>
        <v>0</v>
      </c>
      <c r="I130" s="944"/>
      <c r="J130" s="927">
        <f>H130/DAY(B2)</f>
        <v>0</v>
      </c>
      <c r="O130" s="929"/>
    </row>
    <row r="131" spans="1:15">
      <c r="A131" s="951" t="s">
        <v>240</v>
      </c>
      <c r="B131" s="952"/>
      <c r="C131" s="952"/>
      <c r="D131" s="922" t="s">
        <v>239</v>
      </c>
      <c r="E131" s="923">
        <f>'22'!F131</f>
        <v>0</v>
      </c>
      <c r="F131" s="953">
        <v>0</v>
      </c>
      <c r="G131" s="924">
        <f t="shared" si="16"/>
        <v>0</v>
      </c>
      <c r="H131" s="925">
        <f>G131+'22'!H131</f>
        <v>0</v>
      </c>
      <c r="I131" s="944"/>
      <c r="J131" s="927">
        <f>H131/DAY(B2)</f>
        <v>0</v>
      </c>
      <c r="O131" s="929"/>
    </row>
    <row r="132" spans="1:15">
      <c r="A132" s="951" t="s">
        <v>241</v>
      </c>
      <c r="B132" s="952"/>
      <c r="C132" s="952"/>
      <c r="D132" s="922" t="s">
        <v>239</v>
      </c>
      <c r="E132" s="923">
        <f>'22'!F132</f>
        <v>38829.480000000003</v>
      </c>
      <c r="F132" s="1074">
        <v>38829.480000000003</v>
      </c>
      <c r="G132" s="924">
        <f t="shared" si="16"/>
        <v>0</v>
      </c>
      <c r="H132" s="925">
        <f>G132+'22'!H132</f>
        <v>386.52999999999884</v>
      </c>
      <c r="I132" s="944"/>
      <c r="J132" s="927">
        <f>H132/DAY(B2)</f>
        <v>16.805652173912993</v>
      </c>
      <c r="O132" s="929"/>
    </row>
    <row r="133" spans="1:15">
      <c r="A133" s="951" t="s">
        <v>242</v>
      </c>
      <c r="B133" s="952"/>
      <c r="C133" s="952"/>
      <c r="D133" s="922" t="s">
        <v>239</v>
      </c>
      <c r="E133" s="923">
        <f>'22'!F133</f>
        <v>299.52</v>
      </c>
      <c r="F133" s="1074">
        <v>299.52</v>
      </c>
      <c r="G133" s="924">
        <f t="shared" si="16"/>
        <v>0</v>
      </c>
      <c r="H133" s="925">
        <f>G133+'22'!H133</f>
        <v>-0.48000000000001819</v>
      </c>
      <c r="I133" s="944">
        <f>G130+G131+G132+G133</f>
        <v>0</v>
      </c>
      <c r="J133" s="927">
        <f>H133/DAY(B2)</f>
        <v>-2.0869565217392094E-2</v>
      </c>
      <c r="O133" s="929"/>
    </row>
    <row r="134" spans="1:15">
      <c r="A134" s="951" t="s">
        <v>243</v>
      </c>
      <c r="B134" s="952"/>
      <c r="C134" s="952"/>
      <c r="D134" s="922" t="s">
        <v>239</v>
      </c>
      <c r="E134" s="923">
        <f>'22'!F134</f>
        <v>40260.519999999997</v>
      </c>
      <c r="F134" s="1074">
        <v>40260.519999999997</v>
      </c>
      <c r="G134" s="924">
        <f t="shared" si="16"/>
        <v>0</v>
      </c>
      <c r="H134" s="925">
        <v>24</v>
      </c>
      <c r="I134" s="944"/>
      <c r="J134" s="927">
        <f>H134/DAY(B2)</f>
        <v>1.0434782608695652</v>
      </c>
      <c r="O134" s="929"/>
    </row>
    <row r="135" spans="1:15">
      <c r="A135" s="951" t="s">
        <v>244</v>
      </c>
      <c r="B135" s="952"/>
      <c r="C135" s="952"/>
      <c r="D135" s="922" t="s">
        <v>239</v>
      </c>
      <c r="E135" s="923">
        <f>'22'!F135</f>
        <v>32530</v>
      </c>
      <c r="F135" s="1074">
        <v>32554.48</v>
      </c>
      <c r="G135" s="924">
        <f t="shared" si="16"/>
        <v>24.479999999999563</v>
      </c>
      <c r="H135" s="925">
        <v>13</v>
      </c>
      <c r="I135" s="944"/>
      <c r="J135" s="927">
        <f>H135/DAY(B2)</f>
        <v>0.56521739130434778</v>
      </c>
      <c r="O135" s="929"/>
    </row>
    <row r="136" spans="1:15">
      <c r="A136" s="951" t="s">
        <v>245</v>
      </c>
      <c r="B136" s="952"/>
      <c r="C136" s="952"/>
      <c r="D136" s="922" t="s">
        <v>239</v>
      </c>
      <c r="E136" s="923">
        <f>'22'!F136</f>
        <v>22173.49</v>
      </c>
      <c r="F136" s="1074">
        <v>22183</v>
      </c>
      <c r="G136" s="924">
        <f t="shared" si="16"/>
        <v>9.5099999999983993</v>
      </c>
      <c r="H136" s="925">
        <f>G136+'22'!H136</f>
        <v>-39.209999999999127</v>
      </c>
      <c r="I136" s="944">
        <f>G134+G135+G136</f>
        <v>33.989999999997963</v>
      </c>
      <c r="J136" s="927">
        <f>H136/DAY(B2)</f>
        <v>-1.7047826086956142</v>
      </c>
      <c r="O136" s="929"/>
    </row>
    <row r="137" spans="1:15">
      <c r="A137" s="951" t="s">
        <v>246</v>
      </c>
      <c r="B137" s="952"/>
      <c r="C137" s="952"/>
      <c r="D137" s="922" t="s">
        <v>239</v>
      </c>
      <c r="E137" s="923">
        <f>'22'!F137</f>
        <v>25036.560000000001</v>
      </c>
      <c r="F137" s="1074">
        <v>25036.560000000001</v>
      </c>
      <c r="G137" s="924">
        <f t="shared" si="16"/>
        <v>0</v>
      </c>
      <c r="H137" s="925">
        <v>8</v>
      </c>
      <c r="I137" s="944"/>
      <c r="J137" s="927">
        <f>H137/DAY(B2)</f>
        <v>0.34782608695652173</v>
      </c>
      <c r="O137" s="929"/>
    </row>
    <row r="138" spans="1:15">
      <c r="A138" s="951" t="s">
        <v>247</v>
      </c>
      <c r="B138" s="952"/>
      <c r="C138" s="952"/>
      <c r="D138" s="922" t="s">
        <v>239</v>
      </c>
      <c r="E138" s="923">
        <f>'22'!F138</f>
        <v>70124.91</v>
      </c>
      <c r="F138" s="1074">
        <v>70130.850000000006</v>
      </c>
      <c r="G138" s="924">
        <f t="shared" si="16"/>
        <v>5.9400000000023283</v>
      </c>
      <c r="H138" s="925">
        <v>15</v>
      </c>
      <c r="I138" s="944">
        <f>G137+G138</f>
        <v>5.9400000000023283</v>
      </c>
      <c r="J138" s="927">
        <f>H138/DAY(B2)</f>
        <v>0.65217391304347827</v>
      </c>
      <c r="O138" s="929"/>
    </row>
    <row r="139" spans="1:15">
      <c r="A139" s="951" t="s">
        <v>248</v>
      </c>
      <c r="B139" s="952"/>
      <c r="C139" s="952"/>
      <c r="D139" s="922" t="s">
        <v>239</v>
      </c>
      <c r="E139" s="923">
        <f>'22'!F139</f>
        <v>1378.28</v>
      </c>
      <c r="F139" s="953">
        <v>1385.51</v>
      </c>
      <c r="G139" s="924">
        <f t="shared" si="16"/>
        <v>7.2300000000000182</v>
      </c>
      <c r="H139" s="925">
        <f>G139+'22'!H139</f>
        <v>-37.630000000000109</v>
      </c>
      <c r="I139" s="1075"/>
      <c r="J139" s="927">
        <f>H139/DAY(B2)</f>
        <v>-1.636086956521744</v>
      </c>
      <c r="O139" s="929"/>
    </row>
    <row r="140" spans="1:15">
      <c r="A140" s="951" t="s">
        <v>249</v>
      </c>
      <c r="B140" s="952"/>
      <c r="C140" s="952"/>
      <c r="D140" s="922" t="s">
        <v>239</v>
      </c>
      <c r="E140" s="923">
        <f>'22'!F140</f>
        <v>4333.53</v>
      </c>
      <c r="F140" s="953">
        <v>4333.53</v>
      </c>
      <c r="G140" s="924">
        <f t="shared" si="16"/>
        <v>0</v>
      </c>
      <c r="H140" s="925">
        <f>G140+'22'!H140</f>
        <v>-0.47000000000025466</v>
      </c>
      <c r="I140" s="1075"/>
      <c r="J140" s="927">
        <f>H140/DAY(B2)</f>
        <v>-2.0434782608706726E-2</v>
      </c>
      <c r="O140" s="929"/>
    </row>
    <row r="141" spans="1:15">
      <c r="A141" s="1587" t="s">
        <v>250</v>
      </c>
      <c r="B141" s="1588"/>
      <c r="C141" s="917"/>
      <c r="D141" s="917"/>
      <c r="E141" s="917"/>
      <c r="F141" s="917"/>
      <c r="G141" s="949"/>
      <c r="H141" s="949"/>
      <c r="I141" s="949"/>
      <c r="J141" s="1068"/>
      <c r="K141" s="1023"/>
      <c r="L141" s="902"/>
      <c r="O141" s="929"/>
    </row>
    <row r="142" spans="1:15">
      <c r="A142" s="1555" t="s">
        <v>251</v>
      </c>
      <c r="B142" s="1556"/>
      <c r="C142" s="1557"/>
      <c r="D142" s="922" t="s">
        <v>132</v>
      </c>
      <c r="E142" s="922"/>
      <c r="F142" s="922"/>
      <c r="G142" s="925">
        <f>G35+G43+G49+G57</f>
        <v>5354</v>
      </c>
      <c r="H142" s="925">
        <f>G142+'22'!H142</f>
        <v>-29347.319999999891</v>
      </c>
      <c r="I142" s="944"/>
      <c r="J142" s="927">
        <f>H142/DAY(B2)</f>
        <v>-1275.9704347826039</v>
      </c>
      <c r="K142" s="1023"/>
      <c r="L142" s="902"/>
      <c r="O142" s="929"/>
    </row>
    <row r="143" spans="1:15">
      <c r="A143" s="1555" t="s">
        <v>252</v>
      </c>
      <c r="B143" s="1556"/>
      <c r="C143" s="1557"/>
      <c r="D143" s="922" t="s">
        <v>24</v>
      </c>
      <c r="E143" s="909"/>
      <c r="F143" s="909"/>
      <c r="G143" s="1076">
        <f>G142/G7</f>
        <v>0.25168053401024776</v>
      </c>
      <c r="H143" s="925">
        <f>G143+'22'!H143</f>
        <v>5.809535042809399</v>
      </c>
      <c r="I143" s="1077"/>
      <c r="J143" s="927">
        <f>H143/DAY(B2)</f>
        <v>0.2525884801221478</v>
      </c>
      <c r="K143" s="1023"/>
      <c r="L143" s="902"/>
      <c r="O143" s="929"/>
    </row>
    <row r="144" spans="1:15">
      <c r="A144" s="1555" t="s">
        <v>253</v>
      </c>
      <c r="B144" s="1556"/>
      <c r="C144" s="1557"/>
      <c r="D144" s="922" t="s">
        <v>132</v>
      </c>
      <c r="E144" s="923"/>
      <c r="F144" s="923"/>
      <c r="G144" s="925">
        <f>G41+G42+G55+G56</f>
        <v>5151</v>
      </c>
      <c r="H144" s="925">
        <f>G144+'22'!H144</f>
        <v>-26879.940000000024</v>
      </c>
      <c r="I144" s="944"/>
      <c r="J144" s="927">
        <f>H144/DAY(B2)</f>
        <v>-1168.6930434782619</v>
      </c>
      <c r="K144" s="1023"/>
      <c r="L144" s="902"/>
      <c r="O144" s="929"/>
    </row>
    <row r="145" spans="1:15">
      <c r="A145" s="1555" t="s">
        <v>254</v>
      </c>
      <c r="B145" s="1556"/>
      <c r="C145" s="1557"/>
      <c r="D145" s="922" t="s">
        <v>24</v>
      </c>
      <c r="E145" s="923"/>
      <c r="F145" s="923"/>
      <c r="G145" s="1076">
        <f>G144/G7</f>
        <v>0.24213792130870118</v>
      </c>
      <c r="H145" s="925">
        <f>G145+'22'!H145</f>
        <v>5.4522572252486743</v>
      </c>
      <c r="I145" s="1077"/>
      <c r="J145" s="927">
        <f>H145/DAY(B2)</f>
        <v>0.23705466196733366</v>
      </c>
      <c r="K145" s="1023"/>
      <c r="L145" s="902"/>
      <c r="O145" s="929"/>
    </row>
    <row r="146" spans="1:15">
      <c r="A146" s="1555" t="s">
        <v>255</v>
      </c>
      <c r="B146" s="1556"/>
      <c r="C146" s="1557"/>
      <c r="D146" s="922" t="s">
        <v>132</v>
      </c>
      <c r="E146" s="923"/>
      <c r="F146" s="923"/>
      <c r="G146" s="925">
        <f>G39+G53</f>
        <v>4149.8300000000017</v>
      </c>
      <c r="H146" s="925">
        <f>G146+'22'!H146</f>
        <v>79138.210000000006</v>
      </c>
      <c r="I146" s="1078"/>
      <c r="J146" s="927">
        <f>H146/DAY(B2)</f>
        <v>3440.791739130435</v>
      </c>
      <c r="K146" s="1023"/>
      <c r="L146" s="902"/>
      <c r="O146" s="929"/>
    </row>
    <row r="147" spans="1:15">
      <c r="A147" s="1555" t="s">
        <v>256</v>
      </c>
      <c r="B147" s="1556"/>
      <c r="C147" s="1557"/>
      <c r="D147" s="922" t="s">
        <v>24</v>
      </c>
      <c r="E147" s="923"/>
      <c r="F147" s="923"/>
      <c r="G147" s="1076">
        <f>G146/G7</f>
        <v>0.19507497767122653</v>
      </c>
      <c r="H147" s="925">
        <f>G147+'22'!H147</f>
        <v>9.5601933172086202</v>
      </c>
      <c r="I147" s="1078"/>
      <c r="J147" s="927">
        <f>H147/DAY(B2)</f>
        <v>0.41566057900907044</v>
      </c>
      <c r="O147" s="929"/>
    </row>
    <row r="148" spans="1:15">
      <c r="A148" s="1555" t="s">
        <v>257</v>
      </c>
      <c r="B148" s="1556"/>
      <c r="C148" s="1557"/>
      <c r="D148" s="922" t="s">
        <v>183</v>
      </c>
      <c r="E148" s="923"/>
      <c r="F148" s="923"/>
      <c r="G148" s="925">
        <f>G38+G52</f>
        <v>2020</v>
      </c>
      <c r="H148" s="925">
        <f>G148+'22'!H148</f>
        <v>-10546.200000000019</v>
      </c>
      <c r="I148" s="944"/>
      <c r="J148" s="927">
        <f>H148/DAY(B2)</f>
        <v>-458.53043478260952</v>
      </c>
      <c r="K148" s="1079"/>
      <c r="O148" s="929"/>
    </row>
    <row r="149" spans="1:15">
      <c r="A149" s="1555" t="s">
        <v>258</v>
      </c>
      <c r="B149" s="1556"/>
      <c r="C149" s="1557"/>
      <c r="D149" s="922" t="s">
        <v>24</v>
      </c>
      <c r="E149" s="923"/>
      <c r="F149" s="923"/>
      <c r="G149" s="1076">
        <f>G148/G7</f>
        <v>9.4956047572039681E-2</v>
      </c>
      <c r="H149" s="925">
        <f>G149+'22'!H149</f>
        <v>2.2822301522182462</v>
      </c>
      <c r="I149" s="1078"/>
      <c r="J149" s="927">
        <f>H149/DAY(B2)</f>
        <v>9.9227397922532448E-2</v>
      </c>
      <c r="O149" s="929"/>
    </row>
    <row r="150" spans="1:15">
      <c r="A150" s="1555" t="s">
        <v>259</v>
      </c>
      <c r="B150" s="1556"/>
      <c r="C150" s="1557"/>
      <c r="D150" s="922" t="s">
        <v>183</v>
      </c>
      <c r="E150" s="923"/>
      <c r="F150" s="923"/>
      <c r="G150" s="925">
        <f>G36+G50</f>
        <v>2295.710000000021</v>
      </c>
      <c r="H150" s="925">
        <f>G150+'22'!H150</f>
        <v>-9647.890000000014</v>
      </c>
      <c r="I150" s="1078"/>
      <c r="J150" s="927">
        <f>H150/DAY(B2)</f>
        <v>-419.47347826087019</v>
      </c>
      <c r="O150" s="929"/>
    </row>
    <row r="151" spans="1:15">
      <c r="A151" s="1555" t="s">
        <v>260</v>
      </c>
      <c r="B151" s="1556"/>
      <c r="C151" s="1557"/>
      <c r="D151" s="922" t="s">
        <v>24</v>
      </c>
      <c r="E151" s="923"/>
      <c r="F151" s="923"/>
      <c r="G151" s="1076">
        <f>G150/G7</f>
        <v>0.10791660790673722</v>
      </c>
      <c r="H151" s="925">
        <f>G151+'22'!H151</f>
        <v>2.1501343877170762</v>
      </c>
      <c r="I151" s="944"/>
      <c r="J151" s="927">
        <f>H151/DAY(B2)</f>
        <v>9.3484103813785926E-2</v>
      </c>
      <c r="O151" s="929"/>
    </row>
    <row r="152" spans="1:15">
      <c r="A152" s="1555" t="s">
        <v>261</v>
      </c>
      <c r="B152" s="1556"/>
      <c r="C152" s="1557"/>
      <c r="D152" s="922" t="s">
        <v>183</v>
      </c>
      <c r="E152" s="923"/>
      <c r="F152" s="923"/>
      <c r="G152" s="925">
        <f>G37+G51</f>
        <v>1462</v>
      </c>
      <c r="H152" s="925">
        <f>G152+'22'!H152</f>
        <v>27772.160000000003</v>
      </c>
      <c r="I152" s="944"/>
      <c r="J152" s="927">
        <f>H152/DAY(B2)</f>
        <v>1207.4852173913046</v>
      </c>
      <c r="O152" s="929"/>
    </row>
    <row r="153" spans="1:15" ht="21" thickBot="1">
      <c r="A153" s="1598" t="s">
        <v>262</v>
      </c>
      <c r="B153" s="1599"/>
      <c r="C153" s="1600"/>
      <c r="D153" s="1080" t="s">
        <v>24</v>
      </c>
      <c r="E153" s="1081"/>
      <c r="F153" s="1081"/>
      <c r="G153" s="1082">
        <f>G152/G7</f>
        <v>6.8725614628872278E-2</v>
      </c>
      <c r="H153" s="925">
        <f>G153+'22'!H153</f>
        <v>3.364467546522127</v>
      </c>
      <c r="I153" s="1083"/>
      <c r="J153" s="1084">
        <f>H153/DAY(B2)</f>
        <v>0.14628119767487507</v>
      </c>
      <c r="O153" s="929"/>
    </row>
    <row r="154" spans="1:15">
      <c r="A154" s="1085"/>
      <c r="B154" s="1085"/>
      <c r="C154" s="1085"/>
      <c r="D154" s="1085"/>
      <c r="E154" s="1085"/>
      <c r="F154" s="1085"/>
      <c r="G154" s="1085"/>
      <c r="H154" s="1086"/>
      <c r="I154" s="1085"/>
      <c r="J154" s="1087"/>
      <c r="O154" s="929"/>
    </row>
    <row r="160" spans="1:15">
      <c r="A160" s="1075" t="s">
        <v>263</v>
      </c>
      <c r="B160" s="1075"/>
      <c r="C160" s="1075"/>
      <c r="D160" s="909" t="s">
        <v>187</v>
      </c>
      <c r="E160" s="923">
        <f>'22'!F160</f>
        <v>30284</v>
      </c>
      <c r="F160" s="1100">
        <v>30369.52</v>
      </c>
      <c r="G160" s="924">
        <f t="shared" ref="G160:G163" si="17">F160-E160</f>
        <v>85.520000000000437</v>
      </c>
    </row>
    <row r="161" spans="1:10" ht="21.75" customHeight="1">
      <c r="A161" s="1075" t="s">
        <v>264</v>
      </c>
      <c r="B161" s="1075"/>
      <c r="C161" s="1075"/>
      <c r="D161" s="909" t="s">
        <v>187</v>
      </c>
      <c r="E161" s="923">
        <f>'22'!F161</f>
        <v>52415</v>
      </c>
      <c r="F161" s="1100">
        <v>52872</v>
      </c>
      <c r="G161" s="924">
        <f t="shared" si="17"/>
        <v>457</v>
      </c>
    </row>
    <row r="162" spans="1:10" ht="21.75" customHeight="1">
      <c r="A162" s="1075" t="s">
        <v>265</v>
      </c>
      <c r="B162" s="1075"/>
      <c r="C162" s="1075"/>
      <c r="D162" s="909" t="s">
        <v>187</v>
      </c>
      <c r="E162" s="923">
        <f>'22'!F162</f>
        <v>18925</v>
      </c>
      <c r="F162" s="1100">
        <v>19184</v>
      </c>
      <c r="G162" s="924">
        <f t="shared" si="17"/>
        <v>259</v>
      </c>
    </row>
    <row r="163" spans="1:10" ht="21.75" customHeight="1">
      <c r="A163" s="1075" t="s">
        <v>266</v>
      </c>
      <c r="B163" s="1075"/>
      <c r="C163" s="1075"/>
      <c r="D163" s="909" t="s">
        <v>187</v>
      </c>
      <c r="E163" s="923">
        <f>'22'!F163</f>
        <v>5315</v>
      </c>
      <c r="F163" s="1100">
        <v>5320</v>
      </c>
      <c r="G163" s="924">
        <f t="shared" si="17"/>
        <v>5</v>
      </c>
    </row>
    <row r="164" spans="1:10" ht="21.75" customHeight="1">
      <c r="A164" s="1005" t="s">
        <v>98</v>
      </c>
      <c r="B164" s="1005"/>
      <c r="C164" s="1005"/>
      <c r="D164" s="909" t="s">
        <v>187</v>
      </c>
      <c r="E164" s="1006">
        <f>E62</f>
        <v>20419.2</v>
      </c>
      <c r="F164" s="1006">
        <f>F62</f>
        <v>20419</v>
      </c>
      <c r="G164" s="924">
        <f t="shared" ref="G164:G171" si="18">F164-E164</f>
        <v>-0.2000000000007276</v>
      </c>
      <c r="J164" s="1159"/>
    </row>
    <row r="165" spans="1:10" ht="21.75" customHeight="1">
      <c r="A165" s="1005" t="s">
        <v>188</v>
      </c>
      <c r="B165" s="1005"/>
      <c r="C165" s="1005"/>
      <c r="D165" s="909" t="s">
        <v>187</v>
      </c>
      <c r="E165" s="1006">
        <f t="shared" ref="E165:E171" si="19">E63</f>
        <v>1624</v>
      </c>
      <c r="F165" s="1006">
        <f t="shared" ref="F165:F171" si="20">F63</f>
        <v>1635</v>
      </c>
      <c r="G165" s="924">
        <f t="shared" si="18"/>
        <v>11</v>
      </c>
    </row>
    <row r="166" spans="1:10" ht="21.75" customHeight="1">
      <c r="A166" s="1607" t="s">
        <v>99</v>
      </c>
      <c r="B166" s="1607"/>
      <c r="C166" s="1607"/>
      <c r="D166" s="922" t="s">
        <v>187</v>
      </c>
      <c r="E166" s="1006">
        <f t="shared" si="19"/>
        <v>120508</v>
      </c>
      <c r="F166" s="1006">
        <f t="shared" si="20"/>
        <v>121047</v>
      </c>
      <c r="G166" s="924">
        <f t="shared" si="18"/>
        <v>539</v>
      </c>
    </row>
    <row r="167" spans="1:10" ht="21.75" customHeight="1">
      <c r="A167" s="1607" t="s">
        <v>100</v>
      </c>
      <c r="B167" s="1607"/>
      <c r="C167" s="1607"/>
      <c r="D167" s="922" t="s">
        <v>187</v>
      </c>
      <c r="E167" s="1006">
        <f t="shared" si="19"/>
        <v>130228</v>
      </c>
      <c r="F167" s="1006">
        <f t="shared" si="20"/>
        <v>130609</v>
      </c>
      <c r="G167" s="924">
        <f t="shared" si="18"/>
        <v>381</v>
      </c>
    </row>
    <row r="168" spans="1:10" ht="21.75" customHeight="1">
      <c r="A168" s="1607" t="s">
        <v>101</v>
      </c>
      <c r="B168" s="1607"/>
      <c r="C168" s="1607"/>
      <c r="D168" s="922" t="s">
        <v>187</v>
      </c>
      <c r="E168" s="1006">
        <f t="shared" si="19"/>
        <v>22819</v>
      </c>
      <c r="F168" s="1006">
        <f t="shared" si="20"/>
        <v>23194</v>
      </c>
      <c r="G168" s="924">
        <f t="shared" si="18"/>
        <v>375</v>
      </c>
    </row>
    <row r="169" spans="1:10">
      <c r="A169" s="1607" t="s">
        <v>102</v>
      </c>
      <c r="B169" s="1607"/>
      <c r="C169" s="1607"/>
      <c r="D169" s="922" t="s">
        <v>187</v>
      </c>
      <c r="E169" s="1006">
        <f t="shared" si="19"/>
        <v>203982</v>
      </c>
      <c r="F169" s="1006">
        <f t="shared" si="20"/>
        <v>204621</v>
      </c>
      <c r="G169" s="924">
        <f t="shared" si="18"/>
        <v>639</v>
      </c>
    </row>
    <row r="170" spans="1:10" ht="24" customHeight="1">
      <c r="A170" s="1607" t="s">
        <v>103</v>
      </c>
      <c r="B170" s="1607"/>
      <c r="C170" s="1607"/>
      <c r="D170" s="922" t="s">
        <v>187</v>
      </c>
      <c r="E170" s="1006">
        <f t="shared" si="19"/>
        <v>70793</v>
      </c>
      <c r="F170" s="1006">
        <f t="shared" si="20"/>
        <v>71085</v>
      </c>
      <c r="G170" s="924">
        <f t="shared" si="18"/>
        <v>292</v>
      </c>
      <c r="J170" s="1160"/>
    </row>
    <row r="171" spans="1:10">
      <c r="A171" s="1607" t="s">
        <v>104</v>
      </c>
      <c r="B171" s="1607"/>
      <c r="C171" s="1607"/>
      <c r="D171" s="922" t="s">
        <v>187</v>
      </c>
      <c r="E171" s="1006">
        <f t="shared" si="19"/>
        <v>62487</v>
      </c>
      <c r="F171" s="1006">
        <f t="shared" si="20"/>
        <v>62814</v>
      </c>
      <c r="G171" s="924">
        <f t="shared" si="18"/>
        <v>327</v>
      </c>
    </row>
    <row r="172" spans="1:10">
      <c r="G172" s="1090">
        <f>SUM(G160:G171)</f>
        <v>3370.3199999999997</v>
      </c>
    </row>
    <row r="173" spans="1:10">
      <c r="J173" s="1161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4" zoomScale="68" zoomScaleNormal="44" zoomScaleSheetLayoutView="68" workbookViewId="0">
      <selection activeCell="F105" sqref="F105"/>
    </sheetView>
  </sheetViews>
  <sheetFormatPr defaultColWidth="22.33203125" defaultRowHeight="20.25"/>
  <cols>
    <col min="1" max="1" width="51.21875" style="1088" customWidth="1"/>
    <col min="2" max="2" width="24.88671875" style="1088" customWidth="1"/>
    <col min="3" max="3" width="12.44140625" style="1088" customWidth="1"/>
    <col min="4" max="4" width="13.6640625" style="1088" customWidth="1"/>
    <col min="5" max="5" width="28.109375" style="1088" customWidth="1"/>
    <col min="6" max="6" width="23.77734375" style="1088" customWidth="1"/>
    <col min="7" max="7" width="15.5546875" style="1088" bestFit="1" customWidth="1"/>
    <col min="8" max="8" width="39.21875" style="1089" customWidth="1"/>
    <col min="9" max="9" width="15.77734375" style="1088" customWidth="1"/>
    <col min="10" max="10" width="24" style="1090" customWidth="1"/>
    <col min="11" max="11" width="43.21875" style="889" hidden="1" customWidth="1"/>
    <col min="12" max="13" width="0" style="889" hidden="1" customWidth="1"/>
    <col min="14" max="14" width="25.109375" style="1091" customWidth="1"/>
    <col min="15" max="15" width="6.77734375" style="889" bestFit="1" customWidth="1"/>
    <col min="16" max="16384" width="22.33203125" style="889"/>
  </cols>
  <sheetData>
    <row r="1" spans="1:15" ht="22.5">
      <c r="A1" s="1567" t="s">
        <v>117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>
      <c r="A2" s="890" t="s">
        <v>318</v>
      </c>
      <c r="B2" s="1163">
        <v>43885</v>
      </c>
      <c r="C2" s="891" t="s">
        <v>69</v>
      </c>
      <c r="D2" s="892">
        <v>0.55000000000000004</v>
      </c>
      <c r="E2" s="893"/>
      <c r="F2" s="893"/>
      <c r="G2" s="893" t="s">
        <v>118</v>
      </c>
      <c r="H2" s="893" t="s">
        <v>6</v>
      </c>
      <c r="I2" s="893" t="s">
        <v>8</v>
      </c>
      <c r="J2" s="894" t="s">
        <v>119</v>
      </c>
    </row>
    <row r="3" spans="1:15">
      <c r="A3" s="895"/>
      <c r="B3" s="896"/>
      <c r="C3" s="891" t="s">
        <v>120</v>
      </c>
      <c r="D3" s="897">
        <v>29</v>
      </c>
      <c r="E3" s="1570" t="s">
        <v>121</v>
      </c>
      <c r="F3" s="1571"/>
      <c r="G3" s="898">
        <f>'1'!G3</f>
        <v>0</v>
      </c>
      <c r="H3" s="899">
        <f>'1'!H3</f>
        <v>0</v>
      </c>
      <c r="I3" s="899">
        <f>'1'!I3</f>
        <v>0</v>
      </c>
      <c r="J3" s="900">
        <f>'1'!J3</f>
        <v>0</v>
      </c>
      <c r="K3" s="901"/>
      <c r="L3" s="902"/>
    </row>
    <row r="4" spans="1:15">
      <c r="A4" s="903"/>
      <c r="B4" s="904"/>
      <c r="C4" s="891" t="s">
        <v>122</v>
      </c>
      <c r="D4" s="892">
        <v>0.78</v>
      </c>
      <c r="E4" s="905"/>
      <c r="F4" s="905"/>
      <c r="G4" s="905"/>
      <c r="H4" s="905"/>
      <c r="I4" s="906"/>
      <c r="J4" s="900"/>
      <c r="K4" s="907"/>
      <c r="L4" s="902"/>
    </row>
    <row r="5" spans="1:15">
      <c r="A5" s="908" t="s">
        <v>123</v>
      </c>
      <c r="B5" s="909"/>
      <c r="C5" s="909"/>
      <c r="D5" s="909" t="s">
        <v>124</v>
      </c>
      <c r="E5" s="910" t="s">
        <v>125</v>
      </c>
      <c r="F5" s="910" t="s">
        <v>112</v>
      </c>
      <c r="G5" s="911" t="s">
        <v>126</v>
      </c>
      <c r="H5" s="912" t="s">
        <v>127</v>
      </c>
      <c r="I5" s="913" t="s">
        <v>128</v>
      </c>
      <c r="J5" s="914" t="s">
        <v>129</v>
      </c>
      <c r="K5" s="915"/>
      <c r="L5" s="902"/>
    </row>
    <row r="6" spans="1:15">
      <c r="A6" s="1564" t="s">
        <v>130</v>
      </c>
      <c r="B6" s="1565"/>
      <c r="C6" s="1566"/>
      <c r="D6" s="916"/>
      <c r="E6" s="916"/>
      <c r="F6" s="916"/>
      <c r="G6" s="916"/>
      <c r="H6" s="917"/>
      <c r="I6" s="917"/>
      <c r="J6" s="918"/>
      <c r="K6" s="919"/>
      <c r="L6" s="902"/>
    </row>
    <row r="7" spans="1:15" ht="21" thickBot="1">
      <c r="A7" s="920" t="s">
        <v>131</v>
      </c>
      <c r="B7" s="921"/>
      <c r="C7" s="921"/>
      <c r="D7" s="922" t="s">
        <v>132</v>
      </c>
      <c r="E7" s="923">
        <f>'23'!F7</f>
        <v>4338967</v>
      </c>
      <c r="F7" s="923">
        <v>4361777</v>
      </c>
      <c r="G7" s="924">
        <f>F7-E7</f>
        <v>22810</v>
      </c>
      <c r="H7" s="925">
        <f>G7+'23'!H7</f>
        <v>-83300</v>
      </c>
      <c r="I7" s="926">
        <f>'1'!I7</f>
        <v>12000</v>
      </c>
      <c r="J7" s="927">
        <f>H7/DAY(B2)</f>
        <v>-3470.8333333333335</v>
      </c>
      <c r="K7" s="928"/>
      <c r="L7" s="902"/>
      <c r="O7" s="929"/>
    </row>
    <row r="8" spans="1:15" ht="21" thickBot="1">
      <c r="A8" s="930" t="s">
        <v>133</v>
      </c>
      <c r="B8" s="931"/>
      <c r="C8" s="932"/>
      <c r="D8" s="933" t="s">
        <v>25</v>
      </c>
      <c r="E8" s="923">
        <f>'23'!F8</f>
        <v>4366485</v>
      </c>
      <c r="F8" s="934">
        <v>4389441</v>
      </c>
      <c r="G8" s="935">
        <f>F8-E8</f>
        <v>22956</v>
      </c>
      <c r="H8" s="925">
        <f>G8+'23'!H8</f>
        <v>-83715</v>
      </c>
      <c r="I8" s="936">
        <f>'1'!I8</f>
        <v>12000</v>
      </c>
      <c r="J8" s="927">
        <f>H8/DAY(B2)</f>
        <v>-3488.125</v>
      </c>
      <c r="K8" s="928"/>
      <c r="L8" s="937"/>
      <c r="M8" s="938"/>
      <c r="O8" s="929"/>
    </row>
    <row r="9" spans="1:15">
      <c r="A9" s="939" t="s">
        <v>134</v>
      </c>
      <c r="B9" s="940"/>
      <c r="C9" s="940"/>
      <c r="D9" s="922" t="s">
        <v>132</v>
      </c>
      <c r="E9" s="923">
        <f>'23'!F9</f>
        <v>16762</v>
      </c>
      <c r="F9" s="941">
        <v>31196</v>
      </c>
      <c r="G9" s="924">
        <f t="shared" ref="G9:G12" si="0">F9-E9</f>
        <v>14434</v>
      </c>
      <c r="H9" s="925">
        <f>G9+'23'!H9</f>
        <v>143713.99</v>
      </c>
      <c r="I9" s="942">
        <f>I8-J8</f>
        <v>15488.125</v>
      </c>
      <c r="J9" s="927">
        <f>H9/DAY(B2)</f>
        <v>5988.0829166666663</v>
      </c>
      <c r="K9" s="943"/>
      <c r="L9" s="902"/>
      <c r="O9" s="929"/>
    </row>
    <row r="10" spans="1:15">
      <c r="A10" s="920" t="s">
        <v>135</v>
      </c>
      <c r="B10" s="921"/>
      <c r="C10" s="921"/>
      <c r="D10" s="922" t="s">
        <v>132</v>
      </c>
      <c r="E10" s="923">
        <f>'23'!F10</f>
        <v>1382944</v>
      </c>
      <c r="F10" s="941">
        <v>1390699</v>
      </c>
      <c r="G10" s="924">
        <f t="shared" si="0"/>
        <v>7755</v>
      </c>
      <c r="H10" s="925">
        <f>G10+'23'!H10</f>
        <v>1365003.44</v>
      </c>
      <c r="I10" s="944"/>
      <c r="J10" s="927">
        <f>H10/DAY(B2)</f>
        <v>56875.143333333333</v>
      </c>
      <c r="K10" s="943"/>
      <c r="L10" s="902"/>
      <c r="M10" s="889" t="s">
        <v>281</v>
      </c>
      <c r="O10" s="929"/>
    </row>
    <row r="11" spans="1:15">
      <c r="A11" s="920" t="s">
        <v>136</v>
      </c>
      <c r="B11" s="921"/>
      <c r="C11" s="921"/>
      <c r="D11" s="922" t="s">
        <v>132</v>
      </c>
      <c r="E11" s="923">
        <f>'23'!F11</f>
        <v>37000</v>
      </c>
      <c r="F11" s="923">
        <v>37000</v>
      </c>
      <c r="G11" s="924">
        <f t="shared" si="0"/>
        <v>0</v>
      </c>
      <c r="H11" s="925">
        <f>G11+'23'!H11</f>
        <v>-2000</v>
      </c>
      <c r="I11" s="944"/>
      <c r="J11" s="927">
        <f>H11/DAY(B2)</f>
        <v>-83.333333333333329</v>
      </c>
      <c r="K11" s="943"/>
      <c r="L11" s="902"/>
      <c r="O11" s="929"/>
    </row>
    <row r="12" spans="1:15">
      <c r="A12" s="920" t="s">
        <v>137</v>
      </c>
      <c r="B12" s="921"/>
      <c r="C12" s="921"/>
      <c r="D12" s="922" t="s">
        <v>132</v>
      </c>
      <c r="E12" s="923">
        <f>'23'!F12</f>
        <v>40010</v>
      </c>
      <c r="F12" s="941">
        <v>40010</v>
      </c>
      <c r="G12" s="924">
        <f t="shared" si="0"/>
        <v>0</v>
      </c>
      <c r="H12" s="925">
        <f>G12+'23'!H12</f>
        <v>-2000</v>
      </c>
      <c r="I12" s="944"/>
      <c r="J12" s="927">
        <f>H12/DAY(B2)</f>
        <v>-83.333333333333329</v>
      </c>
      <c r="K12" s="943"/>
      <c r="L12" s="902"/>
      <c r="O12" s="929"/>
    </row>
    <row r="13" spans="1:15">
      <c r="A13" s="945" t="s">
        <v>138</v>
      </c>
      <c r="B13" s="946"/>
      <c r="C13" s="946"/>
      <c r="D13" s="922"/>
      <c r="E13" s="923"/>
      <c r="F13" s="923"/>
      <c r="G13" s="947">
        <f>G9+G10+G11+G12</f>
        <v>22189</v>
      </c>
      <c r="H13" s="925">
        <f>G13+'23'!H13</f>
        <v>1483723.43</v>
      </c>
      <c r="I13" s="948">
        <f>G7-G13</f>
        <v>621</v>
      </c>
      <c r="J13" s="927">
        <f>H13/DAY(B2)</f>
        <v>61821.809583333328</v>
      </c>
      <c r="K13" s="943"/>
      <c r="L13" s="902"/>
      <c r="O13" s="929"/>
    </row>
    <row r="14" spans="1:15">
      <c r="A14" s="1558" t="s">
        <v>139</v>
      </c>
      <c r="B14" s="1559"/>
      <c r="C14" s="1560"/>
      <c r="D14" s="917"/>
      <c r="E14" s="917"/>
      <c r="F14" s="917"/>
      <c r="G14" s="949"/>
      <c r="H14" s="917"/>
      <c r="I14" s="917"/>
      <c r="J14" s="918"/>
      <c r="K14" s="950"/>
      <c r="L14" s="902"/>
      <c r="O14" s="929"/>
    </row>
    <row r="15" spans="1:15">
      <c r="A15" s="951" t="s">
        <v>140</v>
      </c>
      <c r="B15" s="952"/>
      <c r="C15" s="952"/>
      <c r="D15" s="922" t="s">
        <v>141</v>
      </c>
      <c r="E15" s="923">
        <f>'23'!F15</f>
        <v>1615368.81</v>
      </c>
      <c r="F15" s="953">
        <v>1616156.56</v>
      </c>
      <c r="G15" s="1101">
        <f>(F15-E15)</f>
        <v>787.75</v>
      </c>
      <c r="H15" s="925">
        <f>G15+'23'!H15</f>
        <v>-3722.0500000000466</v>
      </c>
      <c r="I15" s="926">
        <f>'1'!I15</f>
        <v>800</v>
      </c>
      <c r="J15" s="927">
        <f>H15/DAY(B2)</f>
        <v>-155.08541666666861</v>
      </c>
      <c r="K15" s="943"/>
      <c r="L15" s="902"/>
      <c r="O15" s="929"/>
    </row>
    <row r="16" spans="1:15">
      <c r="A16" s="954"/>
      <c r="B16" s="955"/>
      <c r="C16" s="955"/>
      <c r="D16" s="956"/>
      <c r="E16" s="957"/>
      <c r="F16" s="957"/>
      <c r="G16" s="924"/>
      <c r="H16" s="958"/>
      <c r="I16" s="959">
        <f>I15-J15</f>
        <v>955.08541666666861</v>
      </c>
      <c r="J16" s="960"/>
      <c r="K16" s="943"/>
      <c r="L16" s="902"/>
      <c r="N16" s="1093"/>
      <c r="O16" s="929"/>
    </row>
    <row r="17" spans="1:15">
      <c r="A17" s="1558" t="s">
        <v>142</v>
      </c>
      <c r="B17" s="1559"/>
      <c r="C17" s="1560"/>
      <c r="D17" s="917"/>
      <c r="E17" s="917"/>
      <c r="F17" s="917"/>
      <c r="G17" s="961"/>
      <c r="H17" s="917">
        <f>G17+'22'!H17</f>
        <v>0</v>
      </c>
      <c r="I17" s="917"/>
      <c r="J17" s="918"/>
      <c r="K17" s="943"/>
      <c r="L17" s="902"/>
      <c r="O17" s="929"/>
    </row>
    <row r="18" spans="1:15">
      <c r="A18" s="1555" t="s">
        <v>143</v>
      </c>
      <c r="B18" s="1556"/>
      <c r="C18" s="1557"/>
      <c r="D18" s="922" t="s">
        <v>144</v>
      </c>
      <c r="E18" s="923">
        <f>'23'!F18</f>
        <v>16</v>
      </c>
      <c r="F18" s="953">
        <v>14</v>
      </c>
      <c r="G18" s="947">
        <f>F18*10</f>
        <v>140</v>
      </c>
      <c r="H18" s="925">
        <f>G18+'23'!H18</f>
        <v>3760</v>
      </c>
      <c r="I18" s="926">
        <f>'1'!I18</f>
        <v>65</v>
      </c>
      <c r="J18" s="927">
        <f>H18/DAY(B2)</f>
        <v>156.66666666666666</v>
      </c>
      <c r="K18" s="943"/>
      <c r="L18" s="902"/>
      <c r="O18" s="929"/>
    </row>
    <row r="19" spans="1:15">
      <c r="A19" s="1555" t="s">
        <v>71</v>
      </c>
      <c r="B19" s="1556"/>
      <c r="C19" s="1557"/>
      <c r="D19" s="922" t="s">
        <v>144</v>
      </c>
      <c r="E19" s="923">
        <f>'23'!F19</f>
        <v>134207</v>
      </c>
      <c r="F19" s="953">
        <v>134259</v>
      </c>
      <c r="G19" s="924">
        <f t="shared" ref="G19" si="1">F19-E19</f>
        <v>52</v>
      </c>
      <c r="H19" s="925">
        <f>G19+'23'!H19</f>
        <v>-209</v>
      </c>
      <c r="I19" s="962"/>
      <c r="J19" s="927">
        <f>H19/DAY(B2)</f>
        <v>-8.7083333333333339</v>
      </c>
      <c r="K19" s="943"/>
      <c r="L19" s="902"/>
      <c r="O19" s="929"/>
    </row>
    <row r="20" spans="1:15">
      <c r="A20" s="945" t="s">
        <v>145</v>
      </c>
      <c r="B20" s="946"/>
      <c r="C20" s="946"/>
      <c r="D20" s="963"/>
      <c r="E20" s="963"/>
      <c r="F20" s="963"/>
      <c r="G20" s="964">
        <f>G18+G19</f>
        <v>192</v>
      </c>
      <c r="H20" s="925">
        <f>G20+'23'!H20</f>
        <v>3551</v>
      </c>
      <c r="I20" s="965">
        <f>I18-J20</f>
        <v>-82.958333333333343</v>
      </c>
      <c r="J20" s="927">
        <f>H20/DAY(B2)</f>
        <v>147.95833333333334</v>
      </c>
      <c r="K20" s="943"/>
      <c r="L20" s="902"/>
      <c r="O20" s="929"/>
    </row>
    <row r="21" spans="1:15">
      <c r="A21" s="1558" t="s">
        <v>146</v>
      </c>
      <c r="B21" s="1559"/>
      <c r="C21" s="1560"/>
      <c r="D21" s="917"/>
      <c r="E21" s="917"/>
      <c r="F21" s="917"/>
      <c r="G21" s="949"/>
      <c r="H21" s="917"/>
      <c r="I21" s="917"/>
      <c r="J21" s="918"/>
      <c r="K21" s="943"/>
      <c r="L21" s="902"/>
      <c r="O21" s="929"/>
    </row>
    <row r="22" spans="1:15">
      <c r="A22" s="951" t="s">
        <v>147</v>
      </c>
      <c r="B22" s="952"/>
      <c r="C22" s="952"/>
      <c r="D22" s="922" t="s">
        <v>148</v>
      </c>
      <c r="E22" s="953">
        <f>'23'!F22</f>
        <v>2970</v>
      </c>
      <c r="F22" s="953">
        <v>2970</v>
      </c>
      <c r="G22" s="947">
        <f t="shared" ref="G22" si="2">(F22-E22)</f>
        <v>0</v>
      </c>
      <c r="H22" s="925">
        <f>G22+'23'!H22</f>
        <v>0</v>
      </c>
      <c r="I22" s="944"/>
      <c r="J22" s="927">
        <f>H22/DAY(B2)</f>
        <v>0</v>
      </c>
      <c r="K22" s="943"/>
      <c r="L22" s="902"/>
      <c r="O22" s="929"/>
    </row>
    <row r="23" spans="1:15">
      <c r="A23" s="951" t="s">
        <v>149</v>
      </c>
      <c r="B23" s="952"/>
      <c r="C23" s="952"/>
      <c r="D23" s="922" t="s">
        <v>148</v>
      </c>
      <c r="E23" s="953">
        <f>'23'!F23</f>
        <v>2000</v>
      </c>
      <c r="F23" s="953">
        <v>2000</v>
      </c>
      <c r="G23" s="947">
        <v>0</v>
      </c>
      <c r="H23" s="925">
        <f>G23+'23'!H23</f>
        <v>0</v>
      </c>
      <c r="I23" s="944"/>
      <c r="J23" s="927">
        <f>H23/DAY(B2)</f>
        <v>0</v>
      </c>
      <c r="K23" s="943"/>
      <c r="L23" s="902"/>
      <c r="O23" s="929"/>
    </row>
    <row r="24" spans="1:15">
      <c r="A24" s="966" t="s">
        <v>150</v>
      </c>
      <c r="B24" s="967"/>
      <c r="C24" s="967"/>
      <c r="D24" s="909" t="s">
        <v>148</v>
      </c>
      <c r="E24" s="953">
        <f>'23'!F24</f>
        <v>4970</v>
      </c>
      <c r="F24" s="968">
        <v>4970</v>
      </c>
      <c r="G24" s="947">
        <v>0</v>
      </c>
      <c r="H24" s="925">
        <f>G24+'23'!H24</f>
        <v>0</v>
      </c>
      <c r="I24" s="944"/>
      <c r="J24" s="927">
        <f>H24/DAY(B2)</f>
        <v>0</v>
      </c>
      <c r="K24" s="943"/>
      <c r="L24" s="902"/>
      <c r="O24" s="929"/>
    </row>
    <row r="25" spans="1:15" s="974" customFormat="1">
      <c r="A25" s="1564" t="s">
        <v>151</v>
      </c>
      <c r="B25" s="1565"/>
      <c r="C25" s="1566"/>
      <c r="D25" s="916"/>
      <c r="E25" s="916"/>
      <c r="F25" s="916"/>
      <c r="G25" s="969"/>
      <c r="H25" s="970"/>
      <c r="I25" s="971"/>
      <c r="J25" s="972"/>
      <c r="K25" s="943"/>
      <c r="L25" s="973"/>
      <c r="N25" s="1092"/>
      <c r="O25" s="929"/>
    </row>
    <row r="26" spans="1:15" s="974" customFormat="1">
      <c r="A26" s="975" t="s">
        <v>152</v>
      </c>
      <c r="B26" s="976"/>
      <c r="C26" s="977"/>
      <c r="D26" s="978" t="s">
        <v>153</v>
      </c>
      <c r="E26" s="979"/>
      <c r="F26" s="979"/>
      <c r="G26" s="980"/>
      <c r="H26" s="925"/>
      <c r="I26" s="981"/>
      <c r="J26" s="927"/>
      <c r="K26" s="950"/>
      <c r="L26" s="973"/>
      <c r="N26" s="1092"/>
      <c r="O26" s="929"/>
    </row>
    <row r="27" spans="1:15" s="974" customFormat="1" ht="22.5">
      <c r="A27" s="975" t="s">
        <v>6</v>
      </c>
      <c r="B27" s="976"/>
      <c r="C27" s="977"/>
      <c r="D27" s="982" t="s">
        <v>25</v>
      </c>
      <c r="E27" s="983">
        <f>G8</f>
        <v>22956</v>
      </c>
      <c r="F27" s="577">
        <v>9</v>
      </c>
      <c r="G27" s="985">
        <f>E27*F27</f>
        <v>206604</v>
      </c>
      <c r="H27" s="925">
        <f>G27+'23'!H27</f>
        <v>-753435</v>
      </c>
      <c r="I27" s="986"/>
      <c r="J27" s="927">
        <f>H27/DAY(B2)</f>
        <v>-31393.125</v>
      </c>
      <c r="K27" s="943"/>
      <c r="L27" s="973"/>
      <c r="N27" s="1092"/>
      <c r="O27" s="929"/>
    </row>
    <row r="28" spans="1:15" s="974" customFormat="1" ht="22.5">
      <c r="A28" s="975" t="s">
        <v>154</v>
      </c>
      <c r="B28" s="976"/>
      <c r="C28" s="977"/>
      <c r="D28" s="982" t="s">
        <v>155</v>
      </c>
      <c r="E28" s="983">
        <f>G15</f>
        <v>787.75</v>
      </c>
      <c r="F28" s="577">
        <v>43.5</v>
      </c>
      <c r="G28" s="985">
        <f>E28*F28</f>
        <v>34267.125</v>
      </c>
      <c r="H28" s="925">
        <f>G28+'23'!H28</f>
        <v>-142603.63680000254</v>
      </c>
      <c r="I28" s="987"/>
      <c r="J28" s="927">
        <f>H28/DAY(B2)</f>
        <v>-5941.8182000001061</v>
      </c>
      <c r="K28" s="943"/>
      <c r="L28" s="973"/>
      <c r="N28" s="1092"/>
      <c r="O28" s="929"/>
    </row>
    <row r="29" spans="1:15" s="974" customFormat="1">
      <c r="A29" s="975" t="s">
        <v>156</v>
      </c>
      <c r="B29" s="976"/>
      <c r="C29" s="977"/>
      <c r="D29" s="982" t="s">
        <v>157</v>
      </c>
      <c r="E29" s="983">
        <f>G24</f>
        <v>0</v>
      </c>
      <c r="F29" s="984">
        <v>69</v>
      </c>
      <c r="G29" s="985">
        <f>E29*F29</f>
        <v>0</v>
      </c>
      <c r="H29" s="925">
        <f>G29+'23'!H29</f>
        <v>0</v>
      </c>
      <c r="I29" s="987"/>
      <c r="J29" s="927">
        <f>H29/DAY(B2)</f>
        <v>0</v>
      </c>
      <c r="K29" s="943"/>
      <c r="L29" s="973"/>
      <c r="N29" s="1092"/>
      <c r="O29" s="929"/>
    </row>
    <row r="30" spans="1:15" s="974" customFormat="1">
      <c r="A30" s="975" t="s">
        <v>158</v>
      </c>
      <c r="B30" s="976"/>
      <c r="C30" s="977"/>
      <c r="D30" s="982" t="s">
        <v>159</v>
      </c>
      <c r="E30" s="983">
        <f>G19</f>
        <v>52</v>
      </c>
      <c r="F30" s="984">
        <v>134</v>
      </c>
      <c r="G30" s="985">
        <f>E30*F30</f>
        <v>6968</v>
      </c>
      <c r="H30" s="925">
        <f>G30+'23'!H30</f>
        <v>-10318</v>
      </c>
      <c r="I30" s="987"/>
      <c r="J30" s="927">
        <f>H30/DAY(B2)</f>
        <v>-429.91666666666669</v>
      </c>
      <c r="K30" s="943"/>
      <c r="L30" s="973"/>
      <c r="N30" s="1092"/>
      <c r="O30" s="929"/>
    </row>
    <row r="31" spans="1:15" s="974" customFormat="1">
      <c r="A31" s="975" t="s">
        <v>160</v>
      </c>
      <c r="B31" s="976"/>
      <c r="C31" s="977"/>
      <c r="D31" s="982" t="s">
        <v>144</v>
      </c>
      <c r="E31" s="983">
        <f>G18</f>
        <v>140</v>
      </c>
      <c r="F31" s="984">
        <v>80</v>
      </c>
      <c r="G31" s="985">
        <f>E31*F31</f>
        <v>11200</v>
      </c>
      <c r="H31" s="925">
        <f>G31+'23'!H31</f>
        <v>290240</v>
      </c>
      <c r="I31" s="987"/>
      <c r="J31" s="927"/>
      <c r="K31" s="943"/>
      <c r="L31" s="973"/>
      <c r="N31" s="1092"/>
      <c r="O31" s="929"/>
    </row>
    <row r="32" spans="1:15" s="974" customFormat="1">
      <c r="A32" s="988" t="s">
        <v>161</v>
      </c>
      <c r="B32" s="989"/>
      <c r="C32" s="990"/>
      <c r="D32" s="991"/>
      <c r="E32" s="991"/>
      <c r="F32" s="991"/>
      <c r="G32" s="992">
        <f>G27+G28+G29+G30+G31</f>
        <v>259039.125</v>
      </c>
      <c r="H32" s="925">
        <f>G32+'23'!H32</f>
        <v>-616116.63680000254</v>
      </c>
      <c r="I32" s="993"/>
      <c r="J32" s="927">
        <f>H32/DAY(B2)</f>
        <v>-25671.526533333439</v>
      </c>
      <c r="K32" s="943"/>
      <c r="L32" s="973"/>
      <c r="N32" s="1092"/>
      <c r="O32" s="929"/>
    </row>
    <row r="33" spans="1:15" ht="18.75">
      <c r="A33" s="1561" t="s">
        <v>162</v>
      </c>
      <c r="B33" s="1562"/>
      <c r="C33" s="1562"/>
      <c r="D33" s="1562"/>
      <c r="E33" s="1562"/>
      <c r="F33" s="1562"/>
      <c r="G33" s="1562"/>
      <c r="H33" s="1562"/>
      <c r="I33" s="1562"/>
      <c r="J33" s="1563"/>
      <c r="K33" s="943"/>
      <c r="L33" s="902"/>
      <c r="O33" s="929"/>
    </row>
    <row r="34" spans="1:15">
      <c r="A34" s="994" t="s">
        <v>163</v>
      </c>
      <c r="B34" s="995"/>
      <c r="C34" s="995"/>
      <c r="D34" s="917"/>
      <c r="E34" s="916"/>
      <c r="F34" s="916"/>
      <c r="G34" s="917"/>
      <c r="H34" s="917"/>
      <c r="I34" s="917"/>
      <c r="J34" s="918"/>
      <c r="K34" s="943"/>
      <c r="L34" s="902"/>
      <c r="O34" s="929"/>
    </row>
    <row r="35" spans="1:15">
      <c r="A35" s="920" t="s">
        <v>164</v>
      </c>
      <c r="B35" s="921"/>
      <c r="C35" s="921"/>
      <c r="D35" s="922" t="s">
        <v>132</v>
      </c>
      <c r="E35" s="923">
        <f>'23'!F35</f>
        <v>677148</v>
      </c>
      <c r="F35" s="996">
        <v>680346</v>
      </c>
      <c r="G35" s="924">
        <f t="shared" ref="G35:G46" si="3">F35-E35</f>
        <v>3198</v>
      </c>
      <c r="H35" s="925">
        <f>G35+'23'!H35</f>
        <v>-12741.589999999967</v>
      </c>
      <c r="I35" s="923"/>
      <c r="J35" s="927">
        <f>H35/DAY(B2)</f>
        <v>-530.89958333333198</v>
      </c>
      <c r="K35" s="943"/>
      <c r="L35" s="902"/>
      <c r="O35" s="929"/>
    </row>
    <row r="36" spans="1:15">
      <c r="A36" s="920" t="s">
        <v>165</v>
      </c>
      <c r="B36" s="921"/>
      <c r="C36" s="921"/>
      <c r="D36" s="922" t="s">
        <v>132</v>
      </c>
      <c r="E36" s="923">
        <f>'23'!F36</f>
        <v>292815</v>
      </c>
      <c r="F36" s="996">
        <v>293916</v>
      </c>
      <c r="G36" s="924">
        <f t="shared" si="3"/>
        <v>1101</v>
      </c>
      <c r="H36" s="925">
        <f>G36+'23'!H36</f>
        <v>-2529.570000000007</v>
      </c>
      <c r="I36" s="923"/>
      <c r="J36" s="927">
        <f>H36/DAY(B2)</f>
        <v>-105.39875000000029</v>
      </c>
      <c r="K36" s="943"/>
      <c r="L36" s="902"/>
      <c r="O36" s="929"/>
    </row>
    <row r="37" spans="1:15">
      <c r="A37" s="920" t="s">
        <v>166</v>
      </c>
      <c r="B37" s="921"/>
      <c r="C37" s="921"/>
      <c r="D37" s="922" t="s">
        <v>132</v>
      </c>
      <c r="E37" s="923">
        <f>'23'!F37</f>
        <v>24667</v>
      </c>
      <c r="F37" s="996">
        <v>26173</v>
      </c>
      <c r="G37" s="924">
        <f t="shared" si="3"/>
        <v>1506</v>
      </c>
      <c r="H37" s="925">
        <f>G37+'23'!H37</f>
        <v>29278.080000000002</v>
      </c>
      <c r="I37" s="923"/>
      <c r="J37" s="927">
        <f>H37/DAY(B2)</f>
        <v>1219.92</v>
      </c>
      <c r="K37" s="943"/>
      <c r="L37" s="902"/>
      <c r="O37" s="929"/>
    </row>
    <row r="38" spans="1:15">
      <c r="A38" s="920" t="s">
        <v>167</v>
      </c>
      <c r="B38" s="921"/>
      <c r="C38" s="921"/>
      <c r="D38" s="922" t="s">
        <v>132</v>
      </c>
      <c r="E38" s="923">
        <f>'23'!F38</f>
        <v>33267</v>
      </c>
      <c r="F38" s="912">
        <v>35341</v>
      </c>
      <c r="G38" s="924">
        <f t="shared" si="3"/>
        <v>2074</v>
      </c>
      <c r="H38" s="925">
        <f>G38+'23'!H38</f>
        <v>-8472.489999999998</v>
      </c>
      <c r="I38" s="923"/>
      <c r="J38" s="927">
        <f>H38/DAY(B2)</f>
        <v>-353.02041666666656</v>
      </c>
      <c r="K38" s="943"/>
      <c r="L38" s="902"/>
      <c r="O38" s="929"/>
    </row>
    <row r="39" spans="1:15">
      <c r="A39" s="920" t="s">
        <v>168</v>
      </c>
      <c r="B39" s="921"/>
      <c r="C39" s="921"/>
      <c r="D39" s="922" t="s">
        <v>132</v>
      </c>
      <c r="E39" s="923">
        <f>'23'!F39</f>
        <v>69744.83</v>
      </c>
      <c r="F39" s="996">
        <v>73829</v>
      </c>
      <c r="G39" s="924">
        <f t="shared" si="3"/>
        <v>4084.1699999999983</v>
      </c>
      <c r="H39" s="925">
        <f>G39+'23'!H39</f>
        <v>83221.889999999985</v>
      </c>
      <c r="I39" s="923"/>
      <c r="J39" s="927">
        <f>H39/DAY(B2)</f>
        <v>3467.5787499999992</v>
      </c>
      <c r="K39" s="943"/>
      <c r="L39" s="902"/>
      <c r="N39" s="1091">
        <f>20*38.64</f>
        <v>772.8</v>
      </c>
      <c r="O39" s="929"/>
    </row>
    <row r="40" spans="1:15">
      <c r="A40" s="997" t="s">
        <v>169</v>
      </c>
      <c r="B40" s="998"/>
      <c r="C40" s="998"/>
      <c r="D40" s="922" t="s">
        <v>132</v>
      </c>
      <c r="E40" s="923">
        <f>'23'!F40</f>
        <v>0</v>
      </c>
      <c r="F40" s="996">
        <v>0</v>
      </c>
      <c r="G40" s="924">
        <f t="shared" si="3"/>
        <v>0</v>
      </c>
      <c r="H40" s="925">
        <f>G40+'23'!H40</f>
        <v>-0.06</v>
      </c>
      <c r="I40" s="923"/>
      <c r="J40" s="927">
        <f>H40/DAY(B2)</f>
        <v>-2.5000000000000001E-3</v>
      </c>
      <c r="K40" s="950"/>
      <c r="L40" s="902"/>
      <c r="O40" s="929"/>
    </row>
    <row r="41" spans="1:15">
      <c r="A41" s="920" t="s">
        <v>170</v>
      </c>
      <c r="B41" s="921"/>
      <c r="C41" s="921"/>
      <c r="D41" s="922" t="s">
        <v>132</v>
      </c>
      <c r="E41" s="923">
        <f>'23'!F41</f>
        <v>63882</v>
      </c>
      <c r="F41" s="996">
        <v>63882</v>
      </c>
      <c r="G41" s="924">
        <f t="shared" si="3"/>
        <v>0</v>
      </c>
      <c r="H41" s="925">
        <f>G41+'23'!H41</f>
        <v>-0.37000000000261934</v>
      </c>
      <c r="I41" s="923"/>
      <c r="J41" s="927">
        <f>H41/DAY(B2)</f>
        <v>-1.5416666666775805E-2</v>
      </c>
      <c r="K41" s="943"/>
      <c r="L41" s="902"/>
      <c r="O41" s="929"/>
    </row>
    <row r="42" spans="1:15">
      <c r="A42" s="920" t="s">
        <v>171</v>
      </c>
      <c r="B42" s="921"/>
      <c r="C42" s="921"/>
      <c r="D42" s="922" t="s">
        <v>132</v>
      </c>
      <c r="E42" s="923">
        <f>'23'!F42</f>
        <v>59129</v>
      </c>
      <c r="F42" s="996">
        <v>59129</v>
      </c>
      <c r="G42" s="924">
        <f t="shared" si="3"/>
        <v>0</v>
      </c>
      <c r="H42" s="925">
        <f>G42+'23'!H42</f>
        <v>0.15000000000145519</v>
      </c>
      <c r="I42" s="923"/>
      <c r="J42" s="927">
        <f>H42/DAY(B2)</f>
        <v>6.2500000000606333E-3</v>
      </c>
      <c r="K42" s="943"/>
      <c r="L42" s="902"/>
      <c r="O42" s="929"/>
    </row>
    <row r="43" spans="1:15">
      <c r="A43" s="920" t="s">
        <v>172</v>
      </c>
      <c r="B43" s="921"/>
      <c r="C43" s="921"/>
      <c r="D43" s="922" t="s">
        <v>132</v>
      </c>
      <c r="E43" s="923">
        <f>'23'!F43</f>
        <v>814188</v>
      </c>
      <c r="F43" s="996">
        <v>816657</v>
      </c>
      <c r="G43" s="924">
        <f t="shared" si="3"/>
        <v>2469</v>
      </c>
      <c r="H43" s="925">
        <f>G43+'23'!H43</f>
        <v>-9240.8299999999581</v>
      </c>
      <c r="I43" s="923"/>
      <c r="J43" s="927">
        <f>H43/DAY(B2)</f>
        <v>-385.03458333333157</v>
      </c>
      <c r="K43" s="943"/>
      <c r="L43" s="902"/>
      <c r="O43" s="929"/>
    </row>
    <row r="44" spans="1:15">
      <c r="A44" s="920" t="s">
        <v>173</v>
      </c>
      <c r="B44" s="921"/>
      <c r="C44" s="921"/>
      <c r="D44" s="922" t="s">
        <v>132</v>
      </c>
      <c r="E44" s="923">
        <f>'23'!F44</f>
        <v>0</v>
      </c>
      <c r="F44" s="996">
        <v>0</v>
      </c>
      <c r="G44" s="924">
        <f t="shared" si="3"/>
        <v>0</v>
      </c>
      <c r="H44" s="925">
        <f>G44+'23'!H44</f>
        <v>0</v>
      </c>
      <c r="I44" s="923"/>
      <c r="J44" s="927">
        <f>H44/DAY(B2)</f>
        <v>0</v>
      </c>
      <c r="K44" s="943"/>
      <c r="L44" s="902"/>
      <c r="O44" s="929"/>
    </row>
    <row r="45" spans="1:15">
      <c r="A45" s="920" t="s">
        <v>174</v>
      </c>
      <c r="B45" s="921"/>
      <c r="C45" s="921"/>
      <c r="D45" s="922" t="s">
        <v>132</v>
      </c>
      <c r="E45" s="923">
        <f>'23'!F45</f>
        <v>614</v>
      </c>
      <c r="F45" s="996">
        <v>614</v>
      </c>
      <c r="G45" s="924">
        <f t="shared" si="3"/>
        <v>0</v>
      </c>
      <c r="H45" s="925">
        <f>G45+'23'!H45</f>
        <v>0</v>
      </c>
      <c r="I45" s="923"/>
      <c r="J45" s="927">
        <f>H45/DAY(B2)</f>
        <v>0</v>
      </c>
      <c r="K45" s="943"/>
      <c r="L45" s="902"/>
      <c r="O45" s="929"/>
    </row>
    <row r="46" spans="1:15">
      <c r="A46" s="920" t="s">
        <v>175</v>
      </c>
      <c r="B46" s="921"/>
      <c r="C46" s="921"/>
      <c r="D46" s="922" t="s">
        <v>132</v>
      </c>
      <c r="E46" s="923">
        <f>'23'!F46</f>
        <v>187</v>
      </c>
      <c r="F46" s="996">
        <v>187</v>
      </c>
      <c r="G46" s="924">
        <f t="shared" si="3"/>
        <v>0</v>
      </c>
      <c r="H46" s="925">
        <f>G46+'23'!H46</f>
        <v>0</v>
      </c>
      <c r="I46" s="923"/>
      <c r="J46" s="927">
        <f>H46/DAY(B2)</f>
        <v>0</v>
      </c>
      <c r="K46" s="943"/>
      <c r="L46" s="902"/>
      <c r="O46" s="929"/>
    </row>
    <row r="47" spans="1:15">
      <c r="A47" s="945" t="s">
        <v>176</v>
      </c>
      <c r="B47" s="946"/>
      <c r="C47" s="946"/>
      <c r="D47" s="913"/>
      <c r="E47" s="909"/>
      <c r="F47" s="909"/>
      <c r="G47" s="947">
        <f>G35+G36+G37+G38+G39+G40+G41+G42+G43+G44+G45+G46</f>
        <v>14432.169999999998</v>
      </c>
      <c r="H47" s="925">
        <f>G47+'23'!H47</f>
        <v>79515.210000000036</v>
      </c>
      <c r="I47" s="923"/>
      <c r="J47" s="927">
        <f>H47/DAY(B2)</f>
        <v>3313.1337500000013</v>
      </c>
      <c r="K47" s="943"/>
      <c r="L47" s="902"/>
      <c r="N47" s="1093"/>
      <c r="O47" s="929"/>
    </row>
    <row r="48" spans="1:15">
      <c r="A48" s="994" t="s">
        <v>177</v>
      </c>
      <c r="B48" s="995"/>
      <c r="C48" s="995"/>
      <c r="D48" s="917"/>
      <c r="E48" s="916"/>
      <c r="F48" s="916"/>
      <c r="G48" s="917"/>
      <c r="H48" s="917"/>
      <c r="I48" s="917"/>
      <c r="J48" s="918"/>
      <c r="K48" s="943"/>
      <c r="L48" s="902"/>
      <c r="O48" s="929"/>
    </row>
    <row r="49" spans="1:15">
      <c r="A49" s="920" t="s">
        <v>164</v>
      </c>
      <c r="B49" s="999"/>
      <c r="C49" s="999"/>
      <c r="D49" s="922" t="s">
        <v>132</v>
      </c>
      <c r="E49" s="923">
        <f>'23'!F49</f>
        <v>260732</v>
      </c>
      <c r="F49" s="996">
        <v>260732</v>
      </c>
      <c r="G49" s="924">
        <f t="shared" ref="G49:G58" si="4">F49-E49</f>
        <v>0</v>
      </c>
      <c r="H49" s="925">
        <f>G49+'23'!H49</f>
        <v>-0.13000000000465661</v>
      </c>
      <c r="I49" s="923"/>
      <c r="J49" s="927">
        <f>H49/DAY(B2)</f>
        <v>-5.4166666668606922E-3</v>
      </c>
      <c r="K49" s="943"/>
      <c r="L49" s="902"/>
      <c r="O49" s="929"/>
    </row>
    <row r="50" spans="1:15">
      <c r="A50" s="920" t="s">
        <v>178</v>
      </c>
      <c r="B50" s="999"/>
      <c r="C50" s="999"/>
      <c r="D50" s="922" t="s">
        <v>132</v>
      </c>
      <c r="E50" s="923">
        <f>'23'!F50</f>
        <v>396445.71</v>
      </c>
      <c r="F50" s="996">
        <v>398195</v>
      </c>
      <c r="G50" s="924">
        <f t="shared" si="4"/>
        <v>1749.289999999979</v>
      </c>
      <c r="H50" s="925">
        <f>G50+'23'!H50</f>
        <v>-5462.0300000000279</v>
      </c>
      <c r="I50" s="923"/>
      <c r="J50" s="927">
        <f>H50/DAY(B2)</f>
        <v>-227.58458333333451</v>
      </c>
      <c r="K50" s="943"/>
      <c r="L50" s="902"/>
      <c r="O50" s="929"/>
    </row>
    <row r="51" spans="1:15">
      <c r="A51" s="920" t="s">
        <v>166</v>
      </c>
      <c r="B51" s="999"/>
      <c r="C51" s="999"/>
      <c r="D51" s="922" t="s">
        <v>132</v>
      </c>
      <c r="E51" s="923">
        <f>'23'!F51</f>
        <v>120051</v>
      </c>
      <c r="F51" s="996">
        <v>120051</v>
      </c>
      <c r="G51" s="924">
        <f t="shared" si="4"/>
        <v>0</v>
      </c>
      <c r="H51" s="925">
        <f>G51+'23'!H51</f>
        <v>-1548.9199999999983</v>
      </c>
      <c r="I51" s="923"/>
      <c r="J51" s="927">
        <f>H51/DAY(B2)</f>
        <v>-64.538333333333256</v>
      </c>
      <c r="K51" s="943"/>
      <c r="L51" s="902"/>
      <c r="O51" s="929"/>
    </row>
    <row r="52" spans="1:15">
      <c r="A52" s="920" t="s">
        <v>179</v>
      </c>
      <c r="B52" s="999"/>
      <c r="C52" s="999"/>
      <c r="D52" s="922" t="s">
        <v>132</v>
      </c>
      <c r="E52" s="923">
        <f>'23'!F52</f>
        <v>507913</v>
      </c>
      <c r="F52" s="996">
        <v>507913</v>
      </c>
      <c r="G52" s="924">
        <f t="shared" si="4"/>
        <v>0</v>
      </c>
      <c r="H52" s="925">
        <f>G52+'23'!H52</f>
        <v>-2045.710000000021</v>
      </c>
      <c r="I52" s="923"/>
      <c r="J52" s="927">
        <f>H52/DAY(B2)</f>
        <v>-85.237916666667545</v>
      </c>
      <c r="K52" s="943"/>
      <c r="L52" s="902"/>
      <c r="O52" s="929"/>
    </row>
    <row r="53" spans="1:15">
      <c r="A53" s="920" t="s">
        <v>168</v>
      </c>
      <c r="B53" s="999"/>
      <c r="C53" s="999"/>
      <c r="D53" s="922" t="s">
        <v>132</v>
      </c>
      <c r="E53" s="923">
        <f>'23'!F53</f>
        <v>331855</v>
      </c>
      <c r="F53" s="996">
        <v>331855</v>
      </c>
      <c r="G53" s="924">
        <f t="shared" si="4"/>
        <v>0</v>
      </c>
      <c r="H53" s="925">
        <f>G53+'23'!H53</f>
        <v>-4184.5100000000093</v>
      </c>
      <c r="I53" s="923"/>
      <c r="J53" s="927">
        <f>H53/DAY(B2)</f>
        <v>-174.35458333333372</v>
      </c>
      <c r="K53" s="943"/>
      <c r="L53" s="902"/>
      <c r="O53" s="929"/>
    </row>
    <row r="54" spans="1:15">
      <c r="A54" s="920" t="s">
        <v>180</v>
      </c>
      <c r="B54" s="999"/>
      <c r="C54" s="999"/>
      <c r="D54" s="922" t="s">
        <v>132</v>
      </c>
      <c r="E54" s="923">
        <f>'23'!F54</f>
        <v>7747</v>
      </c>
      <c r="F54" s="996">
        <v>7815</v>
      </c>
      <c r="G54" s="924">
        <f t="shared" si="4"/>
        <v>68</v>
      </c>
      <c r="H54" s="925">
        <f>G54+'23'!H54</f>
        <v>-280.63000000000011</v>
      </c>
      <c r="I54" s="923"/>
      <c r="J54" s="927">
        <f>H54/DAY(B2)</f>
        <v>-11.692916666666671</v>
      </c>
      <c r="K54" s="943"/>
      <c r="L54" s="902"/>
      <c r="O54" s="929"/>
    </row>
    <row r="55" spans="1:15">
      <c r="A55" s="920" t="s">
        <v>181</v>
      </c>
      <c r="B55" s="999"/>
      <c r="C55" s="999"/>
      <c r="D55" s="922" t="s">
        <v>132</v>
      </c>
      <c r="E55" s="923">
        <f>'23'!F55</f>
        <v>94270</v>
      </c>
      <c r="F55" s="996">
        <v>96591</v>
      </c>
      <c r="G55" s="924">
        <f t="shared" si="4"/>
        <v>2321</v>
      </c>
      <c r="H55" s="925">
        <f>G55+'23'!H55</f>
        <v>-25993.690000000002</v>
      </c>
      <c r="I55" s="923"/>
      <c r="J55" s="927">
        <f>H55/DAY(B2)</f>
        <v>-1083.0704166666667</v>
      </c>
      <c r="K55" s="943"/>
      <c r="L55" s="902"/>
      <c r="O55" s="929"/>
    </row>
    <row r="56" spans="1:15">
      <c r="A56" s="920" t="s">
        <v>182</v>
      </c>
      <c r="B56" s="999"/>
      <c r="C56" s="999"/>
      <c r="D56" s="922" t="s">
        <v>183</v>
      </c>
      <c r="E56" s="923">
        <f>'23'!F56</f>
        <v>582487</v>
      </c>
      <c r="F56" s="996">
        <v>586023</v>
      </c>
      <c r="G56" s="924">
        <f t="shared" si="4"/>
        <v>3536</v>
      </c>
      <c r="H56" s="925">
        <f>G56+'23'!H56</f>
        <v>-28.03000000002794</v>
      </c>
      <c r="I56" s="923"/>
      <c r="J56" s="927">
        <f>H56/DAY(B2)</f>
        <v>-1.1679166666678309</v>
      </c>
      <c r="K56" s="919"/>
      <c r="L56" s="902"/>
      <c r="O56" s="929"/>
    </row>
    <row r="57" spans="1:15">
      <c r="A57" s="920" t="s">
        <v>172</v>
      </c>
      <c r="B57" s="999"/>
      <c r="C57" s="999"/>
      <c r="D57" s="922" t="s">
        <v>132</v>
      </c>
      <c r="E57" s="923">
        <f>'23'!F57</f>
        <v>7711</v>
      </c>
      <c r="F57" s="996">
        <v>7711</v>
      </c>
      <c r="G57" s="924">
        <f t="shared" si="4"/>
        <v>0</v>
      </c>
      <c r="H57" s="925">
        <f>G57+'23'!H57</f>
        <v>-0.32999999999992724</v>
      </c>
      <c r="I57" s="923"/>
      <c r="J57" s="927">
        <f>H57/DAY(B2)</f>
        <v>-1.3749999999996968E-2</v>
      </c>
      <c r="K57" s="943"/>
      <c r="L57" s="902"/>
      <c r="O57" s="929"/>
    </row>
    <row r="58" spans="1:15">
      <c r="A58" s="920" t="s">
        <v>184</v>
      </c>
      <c r="B58" s="999"/>
      <c r="C58" s="999"/>
      <c r="D58" s="922" t="s">
        <v>132</v>
      </c>
      <c r="E58" s="923">
        <f>'23'!F58</f>
        <v>34929</v>
      </c>
      <c r="F58" s="996">
        <v>35119</v>
      </c>
      <c r="G58" s="924">
        <f t="shared" si="4"/>
        <v>190</v>
      </c>
      <c r="H58" s="925">
        <f>G58+'23'!H58</f>
        <v>-945.69999999999709</v>
      </c>
      <c r="I58" s="923"/>
      <c r="J58" s="927">
        <f>H58/DAY(B2)</f>
        <v>-39.404166666666548</v>
      </c>
      <c r="K58" s="943"/>
      <c r="L58" s="902"/>
      <c r="O58" s="929"/>
    </row>
    <row r="59" spans="1:15">
      <c r="A59" s="945" t="s">
        <v>176</v>
      </c>
      <c r="B59" s="946"/>
      <c r="C59" s="946"/>
      <c r="D59" s="909"/>
      <c r="E59" s="909"/>
      <c r="F59" s="909"/>
      <c r="G59" s="947">
        <f>G49+G50+G51+G52+G53+G54+G55+G56+G57+G58</f>
        <v>7864.289999999979</v>
      </c>
      <c r="H59" s="925">
        <f>G59+'23'!H59</f>
        <v>-40489.680000000095</v>
      </c>
      <c r="I59" s="923">
        <f>G7-G60</f>
        <v>513.5400000000227</v>
      </c>
      <c r="J59" s="927">
        <f>H59/DAY(B2)</f>
        <v>-1687.070000000004</v>
      </c>
      <c r="K59" s="943"/>
      <c r="L59" s="902"/>
      <c r="O59" s="929"/>
    </row>
    <row r="60" spans="1:15">
      <c r="A60" s="920"/>
      <c r="B60" s="921"/>
      <c r="C60" s="921"/>
      <c r="D60" s="909" t="s">
        <v>185</v>
      </c>
      <c r="E60" s="909"/>
      <c r="F60" s="909"/>
      <c r="G60" s="947">
        <f>G47+G59</f>
        <v>22296.459999999977</v>
      </c>
      <c r="H60" s="925">
        <f>G60+'23'!H60</f>
        <v>53194.52999999989</v>
      </c>
      <c r="I60" s="923">
        <f>G13-G60</f>
        <v>-107.4599999999773</v>
      </c>
      <c r="J60" s="927">
        <f>H60/DAY(B2)</f>
        <v>2216.4387499999953</v>
      </c>
      <c r="K60" s="943"/>
      <c r="L60" s="902"/>
      <c r="O60" s="929"/>
    </row>
    <row r="61" spans="1:15">
      <c r="A61" s="1000" t="s">
        <v>186</v>
      </c>
      <c r="B61" s="1001"/>
      <c r="C61" s="1001"/>
      <c r="D61" s="1001"/>
      <c r="E61" s="1002"/>
      <c r="F61" s="1002"/>
      <c r="G61" s="1001"/>
      <c r="H61" s="1001"/>
      <c r="I61" s="1001"/>
      <c r="J61" s="1003"/>
      <c r="K61" s="943"/>
      <c r="L61" s="902"/>
      <c r="O61" s="929"/>
    </row>
    <row r="62" spans="1:15">
      <c r="A62" s="1004" t="s">
        <v>98</v>
      </c>
      <c r="B62" s="1005"/>
      <c r="C62" s="1005"/>
      <c r="D62" s="909" t="s">
        <v>187</v>
      </c>
      <c r="E62" s="923">
        <f>'23'!F62</f>
        <v>20419</v>
      </c>
      <c r="F62" s="1006">
        <v>20419.18</v>
      </c>
      <c r="G62" s="924">
        <f t="shared" ref="G62:G69" si="5">F62-E62</f>
        <v>0.18000000000029104</v>
      </c>
      <c r="H62" s="925">
        <f>G62+'23'!H62</f>
        <v>-7.0000000014260877E-3</v>
      </c>
      <c r="I62" s="1007"/>
      <c r="J62" s="927">
        <f>H62/DAY(B2)</f>
        <v>-2.9166666672608699E-4</v>
      </c>
      <c r="K62" s="943"/>
      <c r="L62" s="902"/>
      <c r="O62" s="929"/>
    </row>
    <row r="63" spans="1:15">
      <c r="A63" s="1004" t="s">
        <v>188</v>
      </c>
      <c r="B63" s="1005"/>
      <c r="C63" s="1005"/>
      <c r="D63" s="909" t="s">
        <v>187</v>
      </c>
      <c r="E63" s="923">
        <f>'23'!F63</f>
        <v>1635</v>
      </c>
      <c r="F63" s="1006">
        <v>1649</v>
      </c>
      <c r="G63" s="924">
        <f t="shared" si="5"/>
        <v>14</v>
      </c>
      <c r="H63" s="925">
        <f>G63+'23'!H63</f>
        <v>-58.3599999999999</v>
      </c>
      <c r="I63" s="1007"/>
      <c r="J63" s="927">
        <f>H63/DAY(B2)</f>
        <v>-2.4316666666666626</v>
      </c>
      <c r="K63" s="943"/>
      <c r="L63" s="902"/>
      <c r="O63" s="929"/>
    </row>
    <row r="64" spans="1:15">
      <c r="A64" s="1552" t="s">
        <v>99</v>
      </c>
      <c r="B64" s="1553"/>
      <c r="C64" s="1554"/>
      <c r="D64" s="922" t="s">
        <v>187</v>
      </c>
      <c r="E64" s="923">
        <f>'23'!F64</f>
        <v>121047</v>
      </c>
      <c r="F64" s="953">
        <v>121561</v>
      </c>
      <c r="G64" s="924">
        <f t="shared" si="5"/>
        <v>514</v>
      </c>
      <c r="H64" s="925">
        <f>G64+'23'!H64</f>
        <v>-2066.3000000000029</v>
      </c>
      <c r="I64" s="944"/>
      <c r="J64" s="927">
        <f>H64/DAY(B2)</f>
        <v>-86.095833333333459</v>
      </c>
      <c r="K64" s="943"/>
      <c r="L64" s="902"/>
      <c r="O64" s="929"/>
    </row>
    <row r="65" spans="1:15">
      <c r="A65" s="1552" t="s">
        <v>100</v>
      </c>
      <c r="B65" s="1553"/>
      <c r="C65" s="1554"/>
      <c r="D65" s="922" t="s">
        <v>187</v>
      </c>
      <c r="E65" s="923">
        <f>'23'!F65</f>
        <v>130609</v>
      </c>
      <c r="F65" s="953">
        <v>131000</v>
      </c>
      <c r="G65" s="924">
        <f t="shared" si="5"/>
        <v>391</v>
      </c>
      <c r="H65" s="925">
        <f>G65+'23'!H65</f>
        <v>-1597.2999999999884</v>
      </c>
      <c r="I65" s="962"/>
      <c r="J65" s="927">
        <f>H65/DAY(B2)</f>
        <v>-66.554166666666177</v>
      </c>
      <c r="K65" s="943"/>
      <c r="L65" s="902"/>
      <c r="O65" s="929"/>
    </row>
    <row r="66" spans="1:15">
      <c r="A66" s="1552" t="s">
        <v>101</v>
      </c>
      <c r="B66" s="1553"/>
      <c r="C66" s="1554"/>
      <c r="D66" s="922" t="s">
        <v>187</v>
      </c>
      <c r="E66" s="923">
        <f>'23'!F66</f>
        <v>23194</v>
      </c>
      <c r="F66" s="953">
        <v>23585</v>
      </c>
      <c r="G66" s="924">
        <f t="shared" si="5"/>
        <v>391</v>
      </c>
      <c r="H66" s="925">
        <f>G66+'23'!H66</f>
        <v>-1574.75</v>
      </c>
      <c r="I66" s="944"/>
      <c r="J66" s="927">
        <f>H66/DAY(B2)</f>
        <v>-65.614583333333329</v>
      </c>
      <c r="K66" s="943"/>
      <c r="L66" s="902"/>
      <c r="O66" s="929"/>
    </row>
    <row r="67" spans="1:15">
      <c r="A67" s="1552" t="s">
        <v>102</v>
      </c>
      <c r="B67" s="1553"/>
      <c r="C67" s="1554"/>
      <c r="D67" s="922" t="s">
        <v>187</v>
      </c>
      <c r="E67" s="923">
        <f>'23'!F67</f>
        <v>204621</v>
      </c>
      <c r="F67" s="953">
        <v>205231</v>
      </c>
      <c r="G67" s="924">
        <f t="shared" si="5"/>
        <v>610</v>
      </c>
      <c r="H67" s="925">
        <f>G67+'23'!H67</f>
        <v>-2610.8299999999872</v>
      </c>
      <c r="I67" s="962"/>
      <c r="J67" s="927">
        <f>H67/DAY(B2)</f>
        <v>-108.7845833333328</v>
      </c>
      <c r="K67" s="950"/>
      <c r="L67" s="902"/>
      <c r="O67" s="929"/>
    </row>
    <row r="68" spans="1:15">
      <c r="A68" s="1552" t="s">
        <v>103</v>
      </c>
      <c r="B68" s="1553"/>
      <c r="C68" s="1554"/>
      <c r="D68" s="922" t="s">
        <v>187</v>
      </c>
      <c r="E68" s="923">
        <f>'23'!F68</f>
        <v>71085</v>
      </c>
      <c r="F68" s="953">
        <v>71374</v>
      </c>
      <c r="G68" s="924">
        <f t="shared" si="5"/>
        <v>289</v>
      </c>
      <c r="H68" s="925">
        <f>G68+'23'!H68</f>
        <v>-304.52000000000407</v>
      </c>
      <c r="I68" s="1008"/>
      <c r="J68" s="927">
        <f>H68/DAY(B2)</f>
        <v>-12.688333333333503</v>
      </c>
      <c r="K68" s="1009"/>
      <c r="L68" s="902"/>
      <c r="O68" s="929"/>
    </row>
    <row r="69" spans="1:15">
      <c r="A69" s="1552" t="s">
        <v>104</v>
      </c>
      <c r="B69" s="1553"/>
      <c r="C69" s="1554"/>
      <c r="D69" s="922" t="s">
        <v>187</v>
      </c>
      <c r="E69" s="923">
        <f>'23'!F69</f>
        <v>62814</v>
      </c>
      <c r="F69" s="953">
        <v>63135</v>
      </c>
      <c r="G69" s="924">
        <f t="shared" si="5"/>
        <v>321</v>
      </c>
      <c r="H69" s="925">
        <f>G69+'23'!H69</f>
        <v>-1317.0899999999965</v>
      </c>
      <c r="I69" s="1008"/>
      <c r="J69" s="927">
        <f>H69/DAY(B2)</f>
        <v>-54.878749999999854</v>
      </c>
      <c r="K69" s="1010"/>
      <c r="L69" s="902"/>
      <c r="O69" s="929"/>
    </row>
    <row r="70" spans="1:15">
      <c r="A70" s="1575" t="s">
        <v>189</v>
      </c>
      <c r="B70" s="1576"/>
      <c r="C70" s="1577"/>
      <c r="D70" s="922" t="s">
        <v>187</v>
      </c>
      <c r="E70" s="1011"/>
      <c r="F70" s="1012"/>
      <c r="G70" s="1012"/>
      <c r="H70" s="925">
        <f>G70+'23'!H70</f>
        <v>0</v>
      </c>
      <c r="I70" s="1012"/>
      <c r="J70" s="1013"/>
      <c r="K70" s="1010"/>
      <c r="L70" s="902"/>
      <c r="O70" s="929"/>
    </row>
    <row r="71" spans="1:15" ht="22.5">
      <c r="A71" s="1572" t="s">
        <v>190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1009"/>
      <c r="L71" s="902"/>
      <c r="O71" s="929"/>
    </row>
    <row r="72" spans="1:15">
      <c r="A72" s="1552" t="s">
        <v>191</v>
      </c>
      <c r="B72" s="1553"/>
      <c r="C72" s="1554"/>
      <c r="D72" s="922" t="s">
        <v>187</v>
      </c>
      <c r="E72" s="923">
        <f>'23'!F72</f>
        <v>850201</v>
      </c>
      <c r="F72" s="1014">
        <v>850289</v>
      </c>
      <c r="G72" s="924">
        <f t="shared" ref="G72:G90" si="6">F72-E72</f>
        <v>88</v>
      </c>
      <c r="H72" s="925">
        <f>G72+'23'!H72</f>
        <v>1896</v>
      </c>
      <c r="I72" s="944"/>
      <c r="J72" s="927">
        <f>H72/DAY(B2)</f>
        <v>79</v>
      </c>
      <c r="K72" s="1010"/>
      <c r="L72" s="902"/>
      <c r="O72" s="929"/>
    </row>
    <row r="73" spans="1:15">
      <c r="A73" s="1552" t="s">
        <v>192</v>
      </c>
      <c r="B73" s="1553"/>
      <c r="C73" s="1554"/>
      <c r="D73" s="922" t="s">
        <v>187</v>
      </c>
      <c r="E73" s="923">
        <f>'23'!F73</f>
        <v>885768</v>
      </c>
      <c r="F73" s="1015">
        <v>885770</v>
      </c>
      <c r="G73" s="924">
        <f t="shared" si="6"/>
        <v>2</v>
      </c>
      <c r="H73" s="925">
        <f>G73+'23'!H73</f>
        <v>-1138</v>
      </c>
      <c r="I73" s="944"/>
      <c r="J73" s="927">
        <f>H73/DAY(B2)</f>
        <v>-47.416666666666664</v>
      </c>
      <c r="K73" s="1009"/>
      <c r="L73" s="902"/>
      <c r="O73" s="929"/>
    </row>
    <row r="74" spans="1:15">
      <c r="A74" s="1552" t="s">
        <v>193</v>
      </c>
      <c r="B74" s="1553"/>
      <c r="C74" s="1554"/>
      <c r="D74" s="922" t="s">
        <v>187</v>
      </c>
      <c r="E74" s="923">
        <f>'23'!F74</f>
        <v>470</v>
      </c>
      <c r="F74" s="1016">
        <v>486</v>
      </c>
      <c r="G74" s="924">
        <f t="shared" si="6"/>
        <v>16</v>
      </c>
      <c r="H74" s="925">
        <f>G74+'23'!H74</f>
        <v>-100.17000000000007</v>
      </c>
      <c r="I74" s="944"/>
      <c r="J74" s="927">
        <f>H74/DAY(B2)</f>
        <v>-4.1737500000000027</v>
      </c>
      <c r="K74" s="1010"/>
      <c r="L74" s="902"/>
      <c r="O74" s="929"/>
    </row>
    <row r="75" spans="1:15">
      <c r="A75" s="1578" t="s">
        <v>194</v>
      </c>
      <c r="B75" s="1579"/>
      <c r="C75" s="1580"/>
      <c r="D75" s="922" t="s">
        <v>187</v>
      </c>
      <c r="E75" s="923">
        <f>'23'!F75</f>
        <v>2684</v>
      </c>
      <c r="F75" s="1016">
        <v>2859</v>
      </c>
      <c r="G75" s="924">
        <f t="shared" si="6"/>
        <v>175</v>
      </c>
      <c r="H75" s="925">
        <f>G75+'23'!H75</f>
        <v>-660.21999999999935</v>
      </c>
      <c r="I75" s="944"/>
      <c r="J75" s="927">
        <f>H75/DAY(B2)</f>
        <v>-27.509166666666641</v>
      </c>
      <c r="K75" s="1009"/>
      <c r="L75" s="902"/>
      <c r="O75" s="929"/>
    </row>
    <row r="76" spans="1:15">
      <c r="A76" s="1578" t="s">
        <v>195</v>
      </c>
      <c r="B76" s="1579"/>
      <c r="C76" s="1580"/>
      <c r="D76" s="922" t="s">
        <v>187</v>
      </c>
      <c r="E76" s="923">
        <f>'23'!F76</f>
        <v>1114</v>
      </c>
      <c r="F76" s="1015">
        <v>1196</v>
      </c>
      <c r="G76" s="924">
        <f t="shared" si="6"/>
        <v>82</v>
      </c>
      <c r="H76" s="925">
        <f>G76+'23'!H76</f>
        <v>-1862.4199999999996</v>
      </c>
      <c r="I76" s="987"/>
      <c r="J76" s="927">
        <f>H76/DAY(B2)</f>
        <v>-77.600833333333313</v>
      </c>
      <c r="K76" s="1009"/>
      <c r="L76" s="902"/>
      <c r="O76" s="929"/>
    </row>
    <row r="77" spans="1:15">
      <c r="A77" s="1552" t="s">
        <v>196</v>
      </c>
      <c r="B77" s="1553"/>
      <c r="C77" s="1554"/>
      <c r="D77" s="922" t="s">
        <v>187</v>
      </c>
      <c r="E77" s="923">
        <f>'23'!F77</f>
        <v>698352</v>
      </c>
      <c r="F77" s="1015">
        <v>698404</v>
      </c>
      <c r="G77" s="924">
        <f t="shared" si="6"/>
        <v>52</v>
      </c>
      <c r="H77" s="925">
        <f>G77+'23'!H77</f>
        <v>-184</v>
      </c>
      <c r="I77" s="987"/>
      <c r="J77" s="927">
        <f>H77/DAY(B2)</f>
        <v>-7.666666666666667</v>
      </c>
      <c r="K77" s="1009"/>
      <c r="L77" s="902"/>
      <c r="O77" s="929"/>
    </row>
    <row r="78" spans="1:15">
      <c r="A78" s="1017" t="s">
        <v>197</v>
      </c>
      <c r="B78" s="1225"/>
      <c r="C78" s="1225"/>
      <c r="D78" s="922" t="s">
        <v>187</v>
      </c>
      <c r="E78" s="923">
        <f>'23'!F78</f>
        <v>651177</v>
      </c>
      <c r="F78" s="1016">
        <v>651496</v>
      </c>
      <c r="G78" s="924">
        <f t="shared" si="6"/>
        <v>319</v>
      </c>
      <c r="H78" s="925">
        <f>G78+'23'!H78</f>
        <v>-1367</v>
      </c>
      <c r="I78" s="987"/>
      <c r="J78" s="927">
        <f>H78/DAY(B2)</f>
        <v>-56.958333333333336</v>
      </c>
      <c r="K78" s="1009"/>
      <c r="L78" s="902"/>
      <c r="O78" s="929"/>
    </row>
    <row r="79" spans="1:15">
      <c r="A79" s="1578" t="s">
        <v>92</v>
      </c>
      <c r="B79" s="1579"/>
      <c r="C79" s="1580"/>
      <c r="D79" s="956" t="s">
        <v>187</v>
      </c>
      <c r="E79" s="923">
        <f>'23'!F79</f>
        <v>814106</v>
      </c>
      <c r="F79" s="1016">
        <v>814288</v>
      </c>
      <c r="G79" s="924">
        <f t="shared" si="6"/>
        <v>182</v>
      </c>
      <c r="H79" s="925">
        <f>G79+'23'!H79</f>
        <v>-3448</v>
      </c>
      <c r="I79" s="987"/>
      <c r="J79" s="927">
        <f>H79/DAY(B2)</f>
        <v>-143.66666666666666</v>
      </c>
      <c r="K79" s="1009"/>
      <c r="L79" s="902"/>
      <c r="O79" s="929"/>
    </row>
    <row r="80" spans="1:15">
      <c r="A80" s="1578" t="s">
        <v>198</v>
      </c>
      <c r="B80" s="1579"/>
      <c r="C80" s="1580"/>
      <c r="D80" s="956" t="s">
        <v>187</v>
      </c>
      <c r="E80" s="923">
        <f>'23'!F80</f>
        <v>492780</v>
      </c>
      <c r="F80" s="1321">
        <v>493174</v>
      </c>
      <c r="G80" s="924">
        <f t="shared" si="6"/>
        <v>394</v>
      </c>
      <c r="H80" s="925">
        <f>G80+'23'!H80</f>
        <v>1174.320000000007</v>
      </c>
      <c r="I80" s="987"/>
      <c r="J80" s="927">
        <f>H80/DAY(B2)</f>
        <v>48.930000000000291</v>
      </c>
      <c r="K80" s="1009"/>
      <c r="L80" s="902"/>
      <c r="O80" s="929"/>
    </row>
    <row r="81" spans="1:15">
      <c r="A81" s="1578" t="s">
        <v>199</v>
      </c>
      <c r="B81" s="1579"/>
      <c r="C81" s="1580"/>
      <c r="D81" s="956" t="s">
        <v>187</v>
      </c>
      <c r="E81" s="923">
        <f>'23'!F81</f>
        <v>625274</v>
      </c>
      <c r="F81" s="1015">
        <v>625425</v>
      </c>
      <c r="G81" s="924">
        <f t="shared" si="6"/>
        <v>151</v>
      </c>
      <c r="H81" s="925">
        <f>G81+'23'!H81</f>
        <v>-518.8399999999674</v>
      </c>
      <c r="I81" s="987"/>
      <c r="J81" s="927">
        <f>H81/DAY(B2)</f>
        <v>-21.618333333331975</v>
      </c>
      <c r="K81" s="1009"/>
      <c r="L81" s="902"/>
      <c r="O81" s="929"/>
    </row>
    <row r="82" spans="1:15">
      <c r="A82" s="1578" t="s">
        <v>93</v>
      </c>
      <c r="B82" s="1579"/>
      <c r="C82" s="1580"/>
      <c r="D82" s="957" t="s">
        <v>132</v>
      </c>
      <c r="E82" s="923">
        <f>'23'!F82</f>
        <v>106088</v>
      </c>
      <c r="F82" s="1018">
        <v>106116</v>
      </c>
      <c r="G82" s="924">
        <f t="shared" si="6"/>
        <v>28</v>
      </c>
      <c r="H82" s="925">
        <f>G82+'23'!H82</f>
        <v>-86.479999999995925</v>
      </c>
      <c r="I82" s="958"/>
      <c r="J82" s="927">
        <f>H82/DAY(B2)</f>
        <v>-3.6033333333331634</v>
      </c>
      <c r="K82" s="1009"/>
      <c r="L82" s="902"/>
      <c r="O82" s="929"/>
    </row>
    <row r="83" spans="1:15">
      <c r="A83" s="1578" t="s">
        <v>200</v>
      </c>
      <c r="B83" s="1579"/>
      <c r="C83" s="1580"/>
      <c r="D83" s="1019" t="s">
        <v>132</v>
      </c>
      <c r="E83" s="923">
        <f>'23'!F83</f>
        <v>993885</v>
      </c>
      <c r="F83" s="909">
        <v>994387</v>
      </c>
      <c r="G83" s="924">
        <f>F83-E83</f>
        <v>502</v>
      </c>
      <c r="H83" s="925">
        <f>G83+'23'!H83</f>
        <v>997790</v>
      </c>
      <c r="I83" s="947"/>
      <c r="J83" s="927">
        <f>H83/DAY(B2)</f>
        <v>41574.583333333336</v>
      </c>
      <c r="K83" s="950"/>
      <c r="L83" s="902"/>
      <c r="O83" s="929"/>
    </row>
    <row r="84" spans="1:15">
      <c r="A84" s="1020" t="s">
        <v>201</v>
      </c>
      <c r="B84" s="1021"/>
      <c r="C84" s="1021"/>
      <c r="D84" s="941" t="s">
        <v>132</v>
      </c>
      <c r="E84" s="923">
        <f>'23'!F84</f>
        <v>427614</v>
      </c>
      <c r="F84" s="1022">
        <v>428216</v>
      </c>
      <c r="G84" s="924">
        <f t="shared" si="6"/>
        <v>602</v>
      </c>
      <c r="H84" s="925">
        <f>G84+'23'!H84</f>
        <v>-2582</v>
      </c>
      <c r="I84" s="947"/>
      <c r="J84" s="927">
        <f>H84/DAY(B2)</f>
        <v>-107.58333333333333</v>
      </c>
      <c r="K84" s="1023"/>
      <c r="L84" s="902"/>
      <c r="O84" s="929"/>
    </row>
    <row r="85" spans="1:15" s="1027" customFormat="1">
      <c r="A85" s="1024" t="s">
        <v>202</v>
      </c>
      <c r="B85" s="1025"/>
      <c r="C85" s="1025"/>
      <c r="D85" s="962"/>
      <c r="E85" s="923">
        <f>'23'!F85</f>
        <v>0</v>
      </c>
      <c r="F85" s="922"/>
      <c r="G85" s="925">
        <f xml:space="preserve"> SUM(G72:G84)</f>
        <v>2593</v>
      </c>
      <c r="H85" s="925">
        <f>G85+'23'!H85</f>
        <v>987321.92999999993</v>
      </c>
      <c r="I85" s="947"/>
      <c r="J85" s="927">
        <f>H85/DAY(B2)</f>
        <v>41138.41375</v>
      </c>
      <c r="K85" s="1023"/>
      <c r="L85" s="1026"/>
      <c r="N85" s="1094"/>
      <c r="O85" s="929"/>
    </row>
    <row r="86" spans="1:15" s="1037" customFormat="1">
      <c r="A86" s="1028" t="s">
        <v>94</v>
      </c>
      <c r="B86" s="1029"/>
      <c r="C86" s="1029"/>
      <c r="D86" s="1030" t="s">
        <v>183</v>
      </c>
      <c r="E86" s="923">
        <f>'23'!F86</f>
        <v>449828</v>
      </c>
      <c r="F86" s="1031">
        <v>449994</v>
      </c>
      <c r="G86" s="1032">
        <f t="shared" si="6"/>
        <v>166</v>
      </c>
      <c r="H86" s="1032">
        <f t="shared" ref="H86:H88" si="7">G86</f>
        <v>166</v>
      </c>
      <c r="I86" s="1033"/>
      <c r="J86" s="1034">
        <f>H86/DAY(B2)</f>
        <v>6.916666666666667</v>
      </c>
      <c r="K86" s="1035"/>
      <c r="L86" s="1036"/>
      <c r="N86" s="1095"/>
      <c r="O86" s="929"/>
    </row>
    <row r="87" spans="1:15" s="1037" customFormat="1">
      <c r="A87" s="1028" t="s">
        <v>95</v>
      </c>
      <c r="B87" s="1029"/>
      <c r="C87" s="1029"/>
      <c r="D87" s="1030" t="s">
        <v>183</v>
      </c>
      <c r="E87" s="923">
        <f>'23'!F87</f>
        <v>79058.3</v>
      </c>
      <c r="F87" s="1031">
        <v>79094.399999999994</v>
      </c>
      <c r="G87" s="1032">
        <f t="shared" si="6"/>
        <v>36.099999999991269</v>
      </c>
      <c r="H87" s="1032">
        <f t="shared" si="7"/>
        <v>36.099999999991269</v>
      </c>
      <c r="I87" s="1033"/>
      <c r="J87" s="1034">
        <f>H87/DAY(B2)</f>
        <v>1.5041666666663029</v>
      </c>
      <c r="K87" s="1035"/>
      <c r="L87" s="1036"/>
      <c r="N87" s="1095"/>
      <c r="O87" s="929"/>
    </row>
    <row r="88" spans="1:15" s="1037" customFormat="1">
      <c r="A88" s="1028" t="s">
        <v>96</v>
      </c>
      <c r="B88" s="1029"/>
      <c r="C88" s="1029"/>
      <c r="D88" s="1030" t="s">
        <v>183</v>
      </c>
      <c r="E88" s="923">
        <f>'23'!F88</f>
        <v>148005</v>
      </c>
      <c r="F88" s="1031">
        <v>148056</v>
      </c>
      <c r="G88" s="1032">
        <f t="shared" si="6"/>
        <v>51</v>
      </c>
      <c r="H88" s="1032">
        <f t="shared" si="7"/>
        <v>51</v>
      </c>
      <c r="I88" s="1033"/>
      <c r="J88" s="1034">
        <f>H88/DAY(B2)</f>
        <v>2.125</v>
      </c>
      <c r="K88" s="1035"/>
      <c r="L88" s="1036"/>
      <c r="N88" s="1095"/>
      <c r="O88" s="929"/>
    </row>
    <row r="89" spans="1:15" s="1037" customFormat="1">
      <c r="A89" s="1028" t="s">
        <v>204</v>
      </c>
      <c r="B89" s="1029"/>
      <c r="C89" s="1029"/>
      <c r="D89" s="1030" t="s">
        <v>183</v>
      </c>
      <c r="E89" s="923">
        <f>'23'!F89</f>
        <v>61337</v>
      </c>
      <c r="F89" s="1031">
        <v>61400</v>
      </c>
      <c r="G89" s="1032">
        <f t="shared" si="6"/>
        <v>63</v>
      </c>
      <c r="H89" s="1032">
        <f>G89</f>
        <v>63</v>
      </c>
      <c r="I89" s="1033"/>
      <c r="J89" s="1034">
        <f>H89/DAY(B2)</f>
        <v>2.625</v>
      </c>
      <c r="K89" s="1035"/>
      <c r="L89" s="1036"/>
      <c r="N89" s="1096"/>
      <c r="O89" s="929"/>
    </row>
    <row r="90" spans="1:15" s="1037" customFormat="1">
      <c r="A90" s="1028" t="s">
        <v>204</v>
      </c>
      <c r="B90" s="1029"/>
      <c r="C90" s="1029"/>
      <c r="D90" s="1030" t="s">
        <v>183</v>
      </c>
      <c r="E90" s="923">
        <f>'23'!F90</f>
        <v>3146</v>
      </c>
      <c r="F90" s="1031">
        <v>3152</v>
      </c>
      <c r="G90" s="1032">
        <f t="shared" si="6"/>
        <v>6</v>
      </c>
      <c r="H90" s="1032">
        <f>G90</f>
        <v>6</v>
      </c>
      <c r="I90" s="1033"/>
      <c r="J90" s="1034">
        <f>H90/DAY(B2)</f>
        <v>0.25</v>
      </c>
      <c r="K90" s="1035"/>
      <c r="L90" s="1036"/>
      <c r="N90" s="1096"/>
      <c r="O90" s="929"/>
    </row>
    <row r="91" spans="1:15" s="1027" customFormat="1">
      <c r="A91" s="1038" t="s">
        <v>205</v>
      </c>
      <c r="B91" s="917"/>
      <c r="C91" s="917"/>
      <c r="D91" s="917"/>
      <c r="E91" s="917"/>
      <c r="F91" s="917"/>
      <c r="G91" s="961"/>
      <c r="H91" s="917"/>
      <c r="I91" s="917"/>
      <c r="J91" s="918"/>
      <c r="K91" s="1023"/>
      <c r="L91" s="1026"/>
      <c r="N91" s="1094"/>
      <c r="O91" s="929"/>
    </row>
    <row r="92" spans="1:15">
      <c r="A92" s="1555" t="s">
        <v>206</v>
      </c>
      <c r="B92" s="1556"/>
      <c r="C92" s="1557"/>
      <c r="D92" s="922" t="s">
        <v>144</v>
      </c>
      <c r="E92" s="923">
        <f>'23'!F92</f>
        <v>239145</v>
      </c>
      <c r="F92" s="953">
        <v>239233</v>
      </c>
      <c r="G92" s="924">
        <f t="shared" ref="G92:G93" si="8">F92-E92</f>
        <v>88</v>
      </c>
      <c r="H92" s="925">
        <f>G92+'23'!H92</f>
        <v>-462</v>
      </c>
      <c r="I92" s="944"/>
      <c r="J92" s="927">
        <f>H92/DAY(B2)</f>
        <v>-19.25</v>
      </c>
      <c r="K92" s="950"/>
      <c r="L92" s="902"/>
      <c r="O92" s="929"/>
    </row>
    <row r="93" spans="1:15">
      <c r="A93" s="1555" t="s">
        <v>207</v>
      </c>
      <c r="B93" s="1556"/>
      <c r="C93" s="1557"/>
      <c r="D93" s="922" t="s">
        <v>144</v>
      </c>
      <c r="E93" s="923">
        <f>'23'!F93</f>
        <v>174818</v>
      </c>
      <c r="F93" s="953">
        <v>174960</v>
      </c>
      <c r="G93" s="924">
        <f t="shared" si="8"/>
        <v>142</v>
      </c>
      <c r="H93" s="925">
        <f>G93+'23'!H93</f>
        <v>-701</v>
      </c>
      <c r="I93" s="944"/>
      <c r="J93" s="927">
        <f>H93/DAY(B2)</f>
        <v>-29.208333333333332</v>
      </c>
      <c r="K93" s="1023"/>
      <c r="L93" s="902"/>
      <c r="O93" s="929"/>
    </row>
    <row r="94" spans="1:15">
      <c r="A94" s="1581" t="s">
        <v>208</v>
      </c>
      <c r="B94" s="1582"/>
      <c r="C94" s="1583"/>
      <c r="D94" s="922"/>
      <c r="E94" s="923">
        <f>'23'!F94</f>
        <v>0</v>
      </c>
      <c r="F94" s="953"/>
      <c r="G94" s="924">
        <f>G92+G93</f>
        <v>230</v>
      </c>
      <c r="H94" s="925">
        <f>G94+'23'!H94</f>
        <v>-1429</v>
      </c>
      <c r="I94" s="944"/>
      <c r="J94" s="927">
        <f>H94/DAY(B2)</f>
        <v>-59.541666666666664</v>
      </c>
      <c r="K94" s="1023"/>
      <c r="L94" s="902"/>
      <c r="O94" s="929"/>
    </row>
    <row r="95" spans="1:15">
      <c r="A95" s="1555" t="s">
        <v>209</v>
      </c>
      <c r="B95" s="1556"/>
      <c r="C95" s="1557"/>
      <c r="D95" s="922" t="s">
        <v>144</v>
      </c>
      <c r="E95" s="923">
        <f>'23'!F95</f>
        <v>407728</v>
      </c>
      <c r="F95" s="953">
        <v>407799</v>
      </c>
      <c r="G95" s="924">
        <f t="shared" ref="G95:G100" si="9">F95-E95</f>
        <v>71</v>
      </c>
      <c r="H95" s="925">
        <f>G95+'23'!H95</f>
        <v>-357</v>
      </c>
      <c r="I95" s="944"/>
      <c r="J95" s="927">
        <f>H95/DAY(B2)</f>
        <v>-14.875</v>
      </c>
      <c r="K95" s="1023"/>
      <c r="L95" s="902"/>
      <c r="O95" s="929"/>
    </row>
    <row r="96" spans="1:15">
      <c r="A96" s="951" t="s">
        <v>210</v>
      </c>
      <c r="B96" s="952"/>
      <c r="C96" s="952"/>
      <c r="D96" s="922" t="s">
        <v>144</v>
      </c>
      <c r="E96" s="923">
        <f>'23'!F96</f>
        <v>101237</v>
      </c>
      <c r="F96" s="953">
        <v>101250</v>
      </c>
      <c r="G96" s="924">
        <f t="shared" si="9"/>
        <v>13</v>
      </c>
      <c r="H96" s="925">
        <f>G96+'23'!H96</f>
        <v>-82</v>
      </c>
      <c r="I96" s="944"/>
      <c r="J96" s="927">
        <f>H96/DAY(B2)</f>
        <v>-3.4166666666666665</v>
      </c>
      <c r="K96" s="919"/>
      <c r="L96" s="902"/>
      <c r="O96" s="929"/>
    </row>
    <row r="97" spans="1:15">
      <c r="A97" s="951" t="s">
        <v>211</v>
      </c>
      <c r="B97" s="952"/>
      <c r="C97" s="952"/>
      <c r="D97" s="922" t="s">
        <v>144</v>
      </c>
      <c r="E97" s="923">
        <f>'23'!F97</f>
        <v>96336</v>
      </c>
      <c r="F97" s="953">
        <v>96354</v>
      </c>
      <c r="G97" s="924">
        <f t="shared" si="9"/>
        <v>18</v>
      </c>
      <c r="H97" s="925">
        <f>G97+'23'!H97</f>
        <v>-95</v>
      </c>
      <c r="I97" s="944"/>
      <c r="J97" s="927">
        <f>H97/DAY(B2)</f>
        <v>-3.9583333333333335</v>
      </c>
      <c r="K97" s="1039"/>
      <c r="L97" s="902"/>
      <c r="O97" s="929"/>
    </row>
    <row r="98" spans="1:15">
      <c r="A98" s="951" t="s">
        <v>212</v>
      </c>
      <c r="B98" s="952"/>
      <c r="C98" s="952"/>
      <c r="D98" s="922" t="s">
        <v>144</v>
      </c>
      <c r="E98" s="923">
        <f>'23'!F98</f>
        <v>147146</v>
      </c>
      <c r="F98" s="953">
        <v>147240</v>
      </c>
      <c r="G98" s="924">
        <f t="shared" si="9"/>
        <v>94</v>
      </c>
      <c r="H98" s="925">
        <f>G98+'23'!H98</f>
        <v>-368</v>
      </c>
      <c r="I98" s="944"/>
      <c r="J98" s="927">
        <f>H98/DAY(B2)</f>
        <v>-15.333333333333334</v>
      </c>
      <c r="K98" s="1023"/>
      <c r="L98" s="902"/>
      <c r="O98" s="929"/>
    </row>
    <row r="99" spans="1:15">
      <c r="A99" s="951" t="s">
        <v>213</v>
      </c>
      <c r="B99" s="952"/>
      <c r="C99" s="952"/>
      <c r="D99" s="922" t="s">
        <v>144</v>
      </c>
      <c r="E99" s="923">
        <f>'23'!F99</f>
        <v>6308</v>
      </c>
      <c r="F99" s="953">
        <v>6333</v>
      </c>
      <c r="G99" s="924">
        <f t="shared" si="9"/>
        <v>25</v>
      </c>
      <c r="H99" s="925">
        <f>G99+'23'!H99</f>
        <v>-75</v>
      </c>
      <c r="I99" s="944"/>
      <c r="J99" s="927">
        <f>H99/DAY(B2)</f>
        <v>-3.125</v>
      </c>
      <c r="K99" s="1023"/>
      <c r="L99" s="902"/>
      <c r="O99" s="929"/>
    </row>
    <row r="100" spans="1:15">
      <c r="A100" s="951" t="s">
        <v>214</v>
      </c>
      <c r="B100" s="952"/>
      <c r="C100" s="952"/>
      <c r="D100" s="922" t="s">
        <v>144</v>
      </c>
      <c r="E100" s="923">
        <f>'23'!F100</f>
        <v>4447</v>
      </c>
      <c r="F100" s="953">
        <v>4460</v>
      </c>
      <c r="G100" s="924">
        <f t="shared" si="9"/>
        <v>13</v>
      </c>
      <c r="H100" s="925">
        <f>G100+'23'!H100</f>
        <v>-83</v>
      </c>
      <c r="I100" s="944"/>
      <c r="J100" s="927">
        <f>H100/DAY(B2)</f>
        <v>-3.4583333333333335</v>
      </c>
      <c r="K100" s="1023"/>
      <c r="L100" s="902"/>
      <c r="O100" s="929"/>
    </row>
    <row r="101" spans="1:15">
      <c r="A101" s="1581" t="s">
        <v>216</v>
      </c>
      <c r="B101" s="1582"/>
      <c r="C101" s="1583"/>
      <c r="D101" s="956"/>
      <c r="E101" s="956"/>
      <c r="F101" s="956"/>
      <c r="G101" s="1040">
        <f>SUM(G95:G100)</f>
        <v>234</v>
      </c>
      <c r="H101" s="925">
        <f>G101+'23'!H101</f>
        <v>-1060</v>
      </c>
      <c r="I101" s="1041"/>
      <c r="J101" s="927">
        <f>H101/DAY(B2)</f>
        <v>-44.166666666666664</v>
      </c>
      <c r="K101" s="1023"/>
      <c r="L101" s="902"/>
      <c r="O101" s="929"/>
    </row>
    <row r="102" spans="1:15" s="974" customFormat="1">
      <c r="A102" s="1042" t="s">
        <v>217</v>
      </c>
      <c r="B102" s="1043"/>
      <c r="C102" s="1043"/>
      <c r="D102" s="1044"/>
      <c r="E102" s="1045"/>
      <c r="F102" s="1046"/>
      <c r="G102" s="1047"/>
      <c r="H102" s="1048"/>
      <c r="I102" s="1049"/>
      <c r="J102" s="1050"/>
      <c r="N102" s="1092"/>
      <c r="O102" s="929"/>
    </row>
    <row r="103" spans="1:15" s="974" customFormat="1">
      <c r="A103" s="1589" t="s">
        <v>218</v>
      </c>
      <c r="B103" s="1590"/>
      <c r="C103" s="1051"/>
      <c r="D103" s="1052"/>
      <c r="E103" s="1053"/>
      <c r="F103" s="1053"/>
      <c r="G103" s="1053"/>
      <c r="H103" s="1054"/>
      <c r="I103" s="1053"/>
      <c r="J103" s="1055"/>
      <c r="N103" s="1092"/>
      <c r="O103" s="929"/>
    </row>
    <row r="104" spans="1:15" s="974" customFormat="1">
      <c r="A104" s="1591" t="s">
        <v>219</v>
      </c>
      <c r="B104" s="1592"/>
      <c r="C104" s="1056"/>
      <c r="D104" s="1052" t="s">
        <v>144</v>
      </c>
      <c r="E104" s="1053">
        <f>'23'!F104</f>
        <v>7115</v>
      </c>
      <c r="F104" s="1053">
        <v>7125</v>
      </c>
      <c r="G104" s="1053">
        <f>F104-E104</f>
        <v>10</v>
      </c>
      <c r="H104" s="1054">
        <f>SUM(G104+'1'!G76)</f>
        <v>89.150000000000091</v>
      </c>
      <c r="I104" s="1053"/>
      <c r="J104" s="1055">
        <f>H104/DAY(B2)</f>
        <v>3.7145833333333371</v>
      </c>
      <c r="N104" s="1092"/>
      <c r="O104" s="929"/>
    </row>
    <row r="105" spans="1:15" s="974" customFormat="1">
      <c r="A105" s="1591" t="s">
        <v>77</v>
      </c>
      <c r="B105" s="1592"/>
      <c r="C105" s="1056"/>
      <c r="D105" s="1052" t="s">
        <v>144</v>
      </c>
      <c r="E105" s="1053">
        <f>'23'!F105</f>
        <v>35366</v>
      </c>
      <c r="F105" s="1057">
        <v>35375</v>
      </c>
      <c r="G105" s="1053">
        <f t="shared" ref="G105:G106" si="10">F105-E105</f>
        <v>9</v>
      </c>
      <c r="H105" s="1054">
        <f>SUM(G105+'1'!G77)</f>
        <v>54</v>
      </c>
      <c r="I105" s="1053"/>
      <c r="J105" s="1055">
        <f>H105/DAY(B2)</f>
        <v>2.25</v>
      </c>
      <c r="N105" s="1092"/>
      <c r="O105" s="929"/>
    </row>
    <row r="106" spans="1:15" s="974" customFormat="1">
      <c r="A106" s="1591" t="s">
        <v>78</v>
      </c>
      <c r="B106" s="1593"/>
      <c r="C106" s="1592"/>
      <c r="D106" s="1052" t="s">
        <v>144</v>
      </c>
      <c r="E106" s="1053">
        <f>'23'!F106</f>
        <v>19220</v>
      </c>
      <c r="F106" s="1053">
        <v>19225</v>
      </c>
      <c r="G106" s="1053">
        <f t="shared" si="10"/>
        <v>5</v>
      </c>
      <c r="H106" s="1054">
        <f>SUM(G106+'1'!G78)</f>
        <v>395</v>
      </c>
      <c r="I106" s="1053"/>
      <c r="J106" s="1055">
        <f>H106/DAY(B2)</f>
        <v>16.458333333333332</v>
      </c>
      <c r="N106" s="1092"/>
      <c r="O106" s="929"/>
    </row>
    <row r="107" spans="1:15" s="974" customFormat="1">
      <c r="A107" s="1594" t="s">
        <v>202</v>
      </c>
      <c r="B107" s="1595"/>
      <c r="C107" s="1056"/>
      <c r="D107" s="1052"/>
      <c r="E107" s="1053"/>
      <c r="F107" s="1053"/>
      <c r="G107" s="1053">
        <f>SUM(G104:G106)</f>
        <v>24</v>
      </c>
      <c r="H107" s="1054">
        <f>SUM(G107+'1'!G79)</f>
        <v>216</v>
      </c>
      <c r="I107" s="1053"/>
      <c r="J107" s="1055">
        <f>H107/DAY(B2)</f>
        <v>9</v>
      </c>
      <c r="N107" s="1092"/>
      <c r="O107" s="929"/>
    </row>
    <row r="108" spans="1:15" s="974" customFormat="1">
      <c r="A108" s="1596" t="s">
        <v>79</v>
      </c>
      <c r="B108" s="1597"/>
      <c r="C108" s="1056"/>
      <c r="D108" s="1052" t="s">
        <v>144</v>
      </c>
      <c r="E108" s="1053">
        <f>'23'!F108</f>
        <v>0</v>
      </c>
      <c r="F108" s="1053"/>
      <c r="G108" s="1053"/>
      <c r="H108" s="1054"/>
      <c r="I108" s="1053"/>
      <c r="J108" s="1055"/>
      <c r="N108" s="1092"/>
      <c r="O108" s="929"/>
    </row>
    <row r="109" spans="1:15" s="974" customFormat="1">
      <c r="A109" s="1591" t="s">
        <v>220</v>
      </c>
      <c r="B109" s="1592"/>
      <c r="C109" s="1056"/>
      <c r="D109" s="1052" t="s">
        <v>144</v>
      </c>
      <c r="E109" s="1053">
        <f>'23'!F109</f>
        <v>56028</v>
      </c>
      <c r="F109" s="1053">
        <v>56110</v>
      </c>
      <c r="G109" s="1053">
        <f>F109-E109</f>
        <v>82</v>
      </c>
      <c r="H109" s="1054">
        <f>SUM(G109+'1'!G81)</f>
        <v>194.56000000005588</v>
      </c>
      <c r="I109" s="1053"/>
      <c r="J109" s="1055">
        <f>H109/DAY(B2)</f>
        <v>8.1066666666689944</v>
      </c>
      <c r="N109" s="1092"/>
      <c r="O109" s="929"/>
    </row>
    <row r="110" spans="1:15" s="974" customFormat="1">
      <c r="A110" s="1591" t="s">
        <v>221</v>
      </c>
      <c r="B110" s="1592"/>
      <c r="C110" s="1056"/>
      <c r="D110" s="1052" t="s">
        <v>144</v>
      </c>
      <c r="E110" s="1053">
        <f>'23'!F110</f>
        <v>30071</v>
      </c>
      <c r="F110" s="1053">
        <v>30112</v>
      </c>
      <c r="G110" s="1053">
        <f t="shared" ref="G110:G111" si="11">F110-E110</f>
        <v>41</v>
      </c>
      <c r="H110" s="1054">
        <f>SUM(G110+'1'!G82)</f>
        <v>59.169999999998254</v>
      </c>
      <c r="I110" s="1053"/>
      <c r="J110" s="1055">
        <f>H110/DAY(B2)</f>
        <v>2.4654166666665938</v>
      </c>
      <c r="N110" s="1092"/>
      <c r="O110" s="929"/>
    </row>
    <row r="111" spans="1:15" s="974" customFormat="1">
      <c r="A111" s="1591" t="s">
        <v>222</v>
      </c>
      <c r="B111" s="1592"/>
      <c r="C111" s="1056"/>
      <c r="D111" s="1052" t="s">
        <v>144</v>
      </c>
      <c r="E111" s="1053">
        <f>'23'!F111</f>
        <v>3951</v>
      </c>
      <c r="F111" s="1053">
        <v>3961</v>
      </c>
      <c r="G111" s="1053">
        <f t="shared" si="11"/>
        <v>10</v>
      </c>
      <c r="H111" s="1054">
        <f>SUM(G111+'1'!G83)</f>
        <v>530</v>
      </c>
      <c r="I111" s="1053"/>
      <c r="J111" s="1055">
        <f>H111/DAY(B2)</f>
        <v>22.083333333333332</v>
      </c>
      <c r="N111" s="1092"/>
      <c r="O111" s="929"/>
    </row>
    <row r="112" spans="1:15" s="974" customFormat="1">
      <c r="A112" s="1601" t="s">
        <v>110</v>
      </c>
      <c r="B112" s="1602"/>
      <c r="C112" s="1056"/>
      <c r="D112" s="1052"/>
      <c r="E112" s="1053">
        <f>'23'!F112</f>
        <v>0</v>
      </c>
      <c r="F112" s="1053"/>
      <c r="G112" s="1053">
        <f>SUM(G109:G111)</f>
        <v>133</v>
      </c>
      <c r="H112" s="1054">
        <f>SUM(G112+'1'!G84)</f>
        <v>823</v>
      </c>
      <c r="I112" s="1053"/>
      <c r="J112" s="1055">
        <f>H112/DAY(B2)</f>
        <v>34.291666666666664</v>
      </c>
      <c r="N112" s="1092"/>
      <c r="O112" s="929"/>
    </row>
    <row r="113" spans="1:15" s="974" customFormat="1">
      <c r="A113" s="1596" t="s">
        <v>223</v>
      </c>
      <c r="B113" s="1597"/>
      <c r="C113" s="1056"/>
      <c r="D113" s="1052"/>
      <c r="E113" s="1053"/>
      <c r="F113" s="1053"/>
      <c r="G113" s="1053"/>
      <c r="H113" s="1054"/>
      <c r="I113" s="1053"/>
      <c r="J113" s="1055">
        <f>H113/DAY(B2)</f>
        <v>0</v>
      </c>
      <c r="N113" s="1092"/>
      <c r="O113" s="929"/>
    </row>
    <row r="114" spans="1:15" s="974" customFormat="1">
      <c r="A114" s="1591" t="s">
        <v>224</v>
      </c>
      <c r="B114" s="1592"/>
      <c r="C114" s="1058"/>
      <c r="D114" s="1052" t="s">
        <v>144</v>
      </c>
      <c r="E114" s="1053">
        <f>'23'!F114</f>
        <v>10203</v>
      </c>
      <c r="F114" s="1057">
        <v>10233</v>
      </c>
      <c r="G114" s="1057">
        <f>F114-E114</f>
        <v>30</v>
      </c>
      <c r="H114" s="1054">
        <f>SUM(G114+'1'!G91)</f>
        <v>30</v>
      </c>
      <c r="I114" s="1053"/>
      <c r="J114" s="1055">
        <f>H114/DAY(B2)</f>
        <v>1.25</v>
      </c>
      <c r="N114" s="1092"/>
      <c r="O114" s="929"/>
    </row>
    <row r="115" spans="1:15" s="974" customFormat="1">
      <c r="A115" s="1591" t="s">
        <v>225</v>
      </c>
      <c r="B115" s="1592"/>
      <c r="C115" s="1058"/>
      <c r="D115" s="1052" t="s">
        <v>144</v>
      </c>
      <c r="E115" s="1053">
        <f>'23'!F115</f>
        <v>7597</v>
      </c>
      <c r="F115" s="1057">
        <v>7608</v>
      </c>
      <c r="G115" s="1057">
        <f t="shared" ref="G115:G116" si="12">F115-E115</f>
        <v>11</v>
      </c>
      <c r="H115" s="1054">
        <f>SUM(G115+'1'!G92)</f>
        <v>133</v>
      </c>
      <c r="I115" s="1053"/>
      <c r="J115" s="1055">
        <f>H115/DAY(B2)</f>
        <v>5.541666666666667</v>
      </c>
      <c r="N115" s="1092"/>
      <c r="O115" s="929"/>
    </row>
    <row r="116" spans="1:15" s="974" customFormat="1">
      <c r="A116" s="1591" t="s">
        <v>226</v>
      </c>
      <c r="B116" s="1592"/>
      <c r="C116" s="1058"/>
      <c r="D116" s="1052" t="s">
        <v>144</v>
      </c>
      <c r="E116" s="1057"/>
      <c r="F116" s="1057"/>
      <c r="G116" s="1057">
        <f t="shared" si="12"/>
        <v>0</v>
      </c>
      <c r="H116" s="1054">
        <f>SUM(G116+'1'!G93)</f>
        <v>144</v>
      </c>
      <c r="I116" s="1053"/>
      <c r="J116" s="1055">
        <f>H116/DAY(B2)</f>
        <v>6</v>
      </c>
      <c r="N116" s="1092"/>
      <c r="O116" s="929"/>
    </row>
    <row r="117" spans="1:15" s="1060" customFormat="1">
      <c r="A117" s="1594" t="s">
        <v>202</v>
      </c>
      <c r="B117" s="1595"/>
      <c r="C117" s="1058"/>
      <c r="D117" s="1059"/>
      <c r="E117" s="1057"/>
      <c r="F117" s="1057"/>
      <c r="G117" s="1057">
        <f>SUM(G114:G116)</f>
        <v>41</v>
      </c>
      <c r="H117" s="1054">
        <f>SUM(G117+'1'!G95)</f>
        <v>117</v>
      </c>
      <c r="I117" s="1057"/>
      <c r="J117" s="1055">
        <f>H117/DAY(B2)</f>
        <v>4.875</v>
      </c>
      <c r="N117" s="1097"/>
      <c r="O117" s="929"/>
    </row>
    <row r="118" spans="1:15" s="851" customFormat="1">
      <c r="A118" s="1605" t="s">
        <v>227</v>
      </c>
      <c r="B118" s="1606"/>
      <c r="C118" s="1061"/>
      <c r="D118" s="1062" t="s">
        <v>144</v>
      </c>
      <c r="E118" s="1063"/>
      <c r="F118" s="1064">
        <f>SUM(G19+G92)</f>
        <v>140</v>
      </c>
      <c r="G118" s="1064">
        <f>SUM(G19+G92)</f>
        <v>140</v>
      </c>
      <c r="H118" s="1054">
        <f>SUM(G118+'1'!G96)</f>
        <v>153</v>
      </c>
      <c r="I118" s="1063"/>
      <c r="J118" s="1065">
        <f>H118/DAY(B2)</f>
        <v>6.375</v>
      </c>
      <c r="N118" s="1098"/>
      <c r="O118" s="929"/>
    </row>
    <row r="119" spans="1:15" s="851" customFormat="1">
      <c r="A119" s="1605" t="s">
        <v>228</v>
      </c>
      <c r="B119" s="1606"/>
      <c r="C119" s="1061"/>
      <c r="D119" s="1062" t="s">
        <v>144</v>
      </c>
      <c r="E119" s="1063"/>
      <c r="F119" s="1064">
        <f>SUM(G95,G96,G97,G99,G100)</f>
        <v>140</v>
      </c>
      <c r="G119" s="1064">
        <f>SUM(G95,G96,G97,G99,G100)</f>
        <v>140</v>
      </c>
      <c r="H119" s="1054">
        <f>SUM(G119+'1'!G98)</f>
        <v>210</v>
      </c>
      <c r="I119" s="1063"/>
      <c r="J119" s="1065">
        <f>H119/DAY(B2)</f>
        <v>8.75</v>
      </c>
      <c r="N119" s="1098"/>
      <c r="O119" s="929"/>
    </row>
    <row r="120" spans="1:15" s="851" customFormat="1">
      <c r="A120" s="1605" t="s">
        <v>229</v>
      </c>
      <c r="B120" s="1606"/>
      <c r="C120" s="1061"/>
      <c r="D120" s="1062" t="s">
        <v>144</v>
      </c>
      <c r="E120" s="1063"/>
      <c r="F120" s="1057">
        <f>SUM(G112)</f>
        <v>133</v>
      </c>
      <c r="G120" s="1057">
        <f>SUM(G112)</f>
        <v>133</v>
      </c>
      <c r="H120" s="1054">
        <f>SUM(G120+'1'!G100)</f>
        <v>147</v>
      </c>
      <c r="I120" s="1063"/>
      <c r="J120" s="1065">
        <f>H120/DAY(B2)</f>
        <v>6.125</v>
      </c>
      <c r="N120" s="1098"/>
      <c r="O120" s="929"/>
    </row>
    <row r="121" spans="1:15" s="974" customFormat="1">
      <c r="A121" s="1603"/>
      <c r="B121" s="1604"/>
      <c r="C121" s="1056"/>
      <c r="D121" s="1051"/>
      <c r="E121" s="1051"/>
      <c r="F121" s="1051" t="s">
        <v>215</v>
      </c>
      <c r="G121" s="1051"/>
      <c r="H121" s="1066"/>
      <c r="I121" s="1051"/>
      <c r="J121" s="1067"/>
      <c r="N121" s="1092"/>
      <c r="O121" s="929"/>
    </row>
    <row r="122" spans="1:15">
      <c r="A122" s="1584" t="s">
        <v>230</v>
      </c>
      <c r="B122" s="1585"/>
      <c r="C122" s="1586"/>
      <c r="D122" s="917"/>
      <c r="E122" s="917"/>
      <c r="F122" s="917"/>
      <c r="G122" s="949"/>
      <c r="H122" s="949"/>
      <c r="I122" s="949"/>
      <c r="J122" s="1068"/>
      <c r="K122" s="1023"/>
      <c r="L122" s="902"/>
      <c r="O122" s="929"/>
    </row>
    <row r="123" spans="1:15">
      <c r="A123" s="951" t="s">
        <v>231</v>
      </c>
      <c r="B123" s="952"/>
      <c r="C123" s="952"/>
      <c r="D123" s="922" t="s">
        <v>141</v>
      </c>
      <c r="E123" s="923">
        <f>'23'!F123</f>
        <v>809705</v>
      </c>
      <c r="F123" s="941">
        <v>809965</v>
      </c>
      <c r="G123" s="924">
        <f t="shared" ref="G123:G127" si="13">F123-E123</f>
        <v>260</v>
      </c>
      <c r="H123" s="925">
        <f>G123+'23'!H123</f>
        <v>-1041.8399999999674</v>
      </c>
      <c r="I123" s="1041"/>
      <c r="J123" s="927">
        <f>H123/DAY(B2)</f>
        <v>-43.409999999998639</v>
      </c>
      <c r="K123" s="1023"/>
      <c r="L123" s="902"/>
      <c r="O123" s="929"/>
    </row>
    <row r="124" spans="1:15">
      <c r="A124" s="951" t="s">
        <v>232</v>
      </c>
      <c r="B124" s="952"/>
      <c r="C124" s="952"/>
      <c r="D124" s="922" t="s">
        <v>141</v>
      </c>
      <c r="E124" s="923">
        <f>'23'!F124</f>
        <v>73583</v>
      </c>
      <c r="F124" s="1069">
        <v>73583</v>
      </c>
      <c r="G124" s="924">
        <f t="shared" si="13"/>
        <v>0</v>
      </c>
      <c r="H124" s="925">
        <f>G124+'23'!H124</f>
        <v>-0.39999999999417923</v>
      </c>
      <c r="I124" s="1041"/>
      <c r="J124" s="927">
        <f>H124/DAY(B2)</f>
        <v>-1.6666666666424135E-2</v>
      </c>
      <c r="K124" s="1023"/>
      <c r="L124" s="902"/>
      <c r="O124" s="929"/>
    </row>
    <row r="125" spans="1:15">
      <c r="A125" s="1552" t="s">
        <v>233</v>
      </c>
      <c r="B125" s="1553"/>
      <c r="C125" s="1554"/>
      <c r="D125" s="922" t="s">
        <v>141</v>
      </c>
      <c r="E125" s="923">
        <f>'23'!F125</f>
        <v>139635</v>
      </c>
      <c r="F125" s="941">
        <v>139709</v>
      </c>
      <c r="G125" s="924">
        <f t="shared" si="13"/>
        <v>74</v>
      </c>
      <c r="H125" s="925">
        <f>G125+'23'!H125</f>
        <v>-270.33999999999651</v>
      </c>
      <c r="I125" s="1041"/>
      <c r="J125" s="927">
        <f>H125/DAY(B2)</f>
        <v>-11.264166666666521</v>
      </c>
      <c r="K125" s="1023"/>
      <c r="L125" s="902"/>
      <c r="O125" s="929"/>
    </row>
    <row r="126" spans="1:15">
      <c r="A126" s="1070" t="s">
        <v>234</v>
      </c>
      <c r="B126" s="952"/>
      <c r="C126" s="952"/>
      <c r="D126" s="922" t="s">
        <v>141</v>
      </c>
      <c r="E126" s="923">
        <f>'23'!F126</f>
        <v>59179</v>
      </c>
      <c r="F126" s="1069">
        <v>59195</v>
      </c>
      <c r="G126" s="924">
        <f t="shared" si="13"/>
        <v>16</v>
      </c>
      <c r="H126" s="925">
        <f>G126+'23'!H126</f>
        <v>-111.90000000000146</v>
      </c>
      <c r="I126" s="1041"/>
      <c r="J126" s="927">
        <f>H126/DAY(B2)</f>
        <v>-4.6625000000000609</v>
      </c>
      <c r="K126" s="1023"/>
      <c r="L126" s="902"/>
      <c r="O126" s="929"/>
    </row>
    <row r="127" spans="1:15">
      <c r="A127" s="1070" t="s">
        <v>235</v>
      </c>
      <c r="B127" s="952"/>
      <c r="C127" s="952"/>
      <c r="D127" s="922" t="s">
        <v>141</v>
      </c>
      <c r="E127" s="923">
        <f>'23'!F127</f>
        <v>8880</v>
      </c>
      <c r="F127" s="1069">
        <v>8882</v>
      </c>
      <c r="G127" s="924">
        <f t="shared" si="13"/>
        <v>2</v>
      </c>
      <c r="H127" s="925">
        <f>G127+'23'!H127</f>
        <v>-5.7999999999992724</v>
      </c>
      <c r="I127" s="944"/>
      <c r="J127" s="927">
        <f>H127/DAY(B2)</f>
        <v>-0.24166666666663636</v>
      </c>
      <c r="K127" s="1023"/>
      <c r="L127" s="902"/>
      <c r="O127" s="929"/>
    </row>
    <row r="128" spans="1:15">
      <c r="A128" s="1070" t="s">
        <v>236</v>
      </c>
      <c r="B128" s="952"/>
      <c r="C128" s="952"/>
      <c r="D128" s="922"/>
      <c r="E128" s="923"/>
      <c r="F128" s="941"/>
      <c r="G128" s="924">
        <f>G15-SUM(G123:G127)</f>
        <v>435.75</v>
      </c>
      <c r="H128" s="925">
        <f>G128+'23'!H128</f>
        <v>5062.0699999999088</v>
      </c>
      <c r="I128" s="944"/>
      <c r="J128" s="927">
        <f>H128/DAY(B2)</f>
        <v>210.91958333332954</v>
      </c>
      <c r="K128" s="1023"/>
      <c r="L128" s="902"/>
      <c r="O128" s="929"/>
    </row>
    <row r="129" spans="1:15">
      <c r="A129" s="1071" t="s">
        <v>237</v>
      </c>
      <c r="B129" s="916"/>
      <c r="C129" s="916"/>
      <c r="D129" s="916"/>
      <c r="E129" s="916"/>
      <c r="F129" s="916"/>
      <c r="G129" s="1072"/>
      <c r="H129" s="1072"/>
      <c r="I129" s="1072"/>
      <c r="J129" s="1073"/>
      <c r="O129" s="929"/>
    </row>
    <row r="130" spans="1:15">
      <c r="A130" s="951" t="s">
        <v>238</v>
      </c>
      <c r="B130" s="952"/>
      <c r="C130" s="952"/>
      <c r="D130" s="922" t="s">
        <v>239</v>
      </c>
      <c r="E130" s="923">
        <f>'23'!F130</f>
        <v>0</v>
      </c>
      <c r="F130" s="953">
        <v>0</v>
      </c>
      <c r="G130" s="924">
        <f t="shared" ref="G130:G140" si="14">F130-E130</f>
        <v>0</v>
      </c>
      <c r="H130" s="925">
        <f>G130+'23'!H130</f>
        <v>0</v>
      </c>
      <c r="I130" s="944"/>
      <c r="J130" s="927">
        <f>H130/DAY(B2)</f>
        <v>0</v>
      </c>
      <c r="O130" s="929"/>
    </row>
    <row r="131" spans="1:15">
      <c r="A131" s="951" t="s">
        <v>240</v>
      </c>
      <c r="B131" s="952"/>
      <c r="C131" s="952"/>
      <c r="D131" s="922" t="s">
        <v>239</v>
      </c>
      <c r="E131" s="923">
        <f>'23'!F131</f>
        <v>0</v>
      </c>
      <c r="F131" s="953">
        <v>0</v>
      </c>
      <c r="G131" s="924">
        <f t="shared" si="14"/>
        <v>0</v>
      </c>
      <c r="H131" s="925">
        <f>G131+'23'!H131</f>
        <v>0</v>
      </c>
      <c r="I131" s="944"/>
      <c r="J131" s="927">
        <f>H131/DAY(B2)</f>
        <v>0</v>
      </c>
      <c r="O131" s="929"/>
    </row>
    <row r="132" spans="1:15">
      <c r="A132" s="951" t="s">
        <v>241</v>
      </c>
      <c r="B132" s="952"/>
      <c r="C132" s="952"/>
      <c r="D132" s="922" t="s">
        <v>239</v>
      </c>
      <c r="E132" s="923">
        <f>'23'!F132</f>
        <v>38829.480000000003</v>
      </c>
      <c r="F132" s="1074">
        <v>38829.480000000003</v>
      </c>
      <c r="G132" s="924">
        <f t="shared" si="14"/>
        <v>0</v>
      </c>
      <c r="H132" s="925">
        <f>G132+'23'!H132</f>
        <v>386.52999999999884</v>
      </c>
      <c r="I132" s="944"/>
      <c r="J132" s="927">
        <f>H132/DAY(B2)</f>
        <v>16.105416666666617</v>
      </c>
      <c r="O132" s="929"/>
    </row>
    <row r="133" spans="1:15">
      <c r="A133" s="951" t="s">
        <v>242</v>
      </c>
      <c r="B133" s="952"/>
      <c r="C133" s="952"/>
      <c r="D133" s="922" t="s">
        <v>239</v>
      </c>
      <c r="E133" s="923">
        <f>'23'!F133</f>
        <v>299.52</v>
      </c>
      <c r="F133" s="1074">
        <v>299.52</v>
      </c>
      <c r="G133" s="924">
        <f t="shared" si="14"/>
        <v>0</v>
      </c>
      <c r="H133" s="925">
        <f>G133+'23'!H133</f>
        <v>-0.48000000000001819</v>
      </c>
      <c r="I133" s="944">
        <f>G130+G131+G132+G133</f>
        <v>0</v>
      </c>
      <c r="J133" s="927">
        <f>H133/DAY(B2)</f>
        <v>-2.0000000000000757E-2</v>
      </c>
      <c r="O133" s="929"/>
    </row>
    <row r="134" spans="1:15">
      <c r="A134" s="951" t="s">
        <v>243</v>
      </c>
      <c r="B134" s="952"/>
      <c r="C134" s="952"/>
      <c r="D134" s="922" t="s">
        <v>239</v>
      </c>
      <c r="E134" s="923">
        <f>'23'!F134</f>
        <v>40260.519999999997</v>
      </c>
      <c r="F134" s="1074">
        <v>40270.559999999998</v>
      </c>
      <c r="G134" s="924">
        <f t="shared" si="14"/>
        <v>10.040000000000873</v>
      </c>
      <c r="H134" s="925">
        <f>G134+'23'!H134</f>
        <v>34.040000000000873</v>
      </c>
      <c r="I134" s="944"/>
      <c r="J134" s="927">
        <f>H134/DAY(B2)</f>
        <v>1.4183333333333696</v>
      </c>
      <c r="O134" s="929"/>
    </row>
    <row r="135" spans="1:15">
      <c r="A135" s="951" t="s">
        <v>244</v>
      </c>
      <c r="B135" s="952"/>
      <c r="C135" s="952"/>
      <c r="D135" s="922" t="s">
        <v>239</v>
      </c>
      <c r="E135" s="923">
        <f>'23'!F135</f>
        <v>32554.48</v>
      </c>
      <c r="F135" s="1074">
        <v>32571.360000000001</v>
      </c>
      <c r="G135" s="924">
        <f t="shared" si="14"/>
        <v>16.880000000001019</v>
      </c>
      <c r="H135" s="925">
        <f>G135+'23'!H135</f>
        <v>29.880000000001019</v>
      </c>
      <c r="I135" s="944"/>
      <c r="J135" s="927">
        <f>H135/DAY(B2)</f>
        <v>1.2450000000000425</v>
      </c>
      <c r="O135" s="929"/>
    </row>
    <row r="136" spans="1:15">
      <c r="A136" s="951" t="s">
        <v>245</v>
      </c>
      <c r="B136" s="952"/>
      <c r="C136" s="952"/>
      <c r="D136" s="922" t="s">
        <v>239</v>
      </c>
      <c r="E136" s="923">
        <f>'23'!F136</f>
        <v>22183</v>
      </c>
      <c r="F136" s="1074">
        <v>22183</v>
      </c>
      <c r="G136" s="924">
        <f t="shared" si="14"/>
        <v>0</v>
      </c>
      <c r="H136" s="925">
        <f>G136+'23'!H136</f>
        <v>-39.209999999999127</v>
      </c>
      <c r="I136" s="944">
        <f>G134+G135+G136</f>
        <v>26.920000000001892</v>
      </c>
      <c r="J136" s="927">
        <f>H136/DAY(B2)</f>
        <v>-1.6337499999999636</v>
      </c>
      <c r="O136" s="929"/>
    </row>
    <row r="137" spans="1:15">
      <c r="A137" s="951" t="s">
        <v>246</v>
      </c>
      <c r="B137" s="952"/>
      <c r="C137" s="952"/>
      <c r="D137" s="922" t="s">
        <v>239</v>
      </c>
      <c r="E137" s="923">
        <f>'23'!F137</f>
        <v>25036.560000000001</v>
      </c>
      <c r="F137" s="1074">
        <v>25044.31</v>
      </c>
      <c r="G137" s="924">
        <f t="shared" si="14"/>
        <v>7.75</v>
      </c>
      <c r="H137" s="925">
        <f>G137+'23'!H137</f>
        <v>15.75</v>
      </c>
      <c r="I137" s="944"/>
      <c r="J137" s="927">
        <f>H137/DAY(B2)</f>
        <v>0.65625</v>
      </c>
      <c r="O137" s="929"/>
    </row>
    <row r="138" spans="1:15">
      <c r="A138" s="951" t="s">
        <v>247</v>
      </c>
      <c r="B138" s="952"/>
      <c r="C138" s="952"/>
      <c r="D138" s="922" t="s">
        <v>239</v>
      </c>
      <c r="E138" s="923">
        <f>'23'!F138</f>
        <v>70130.850000000006</v>
      </c>
      <c r="F138" s="1074">
        <v>70132</v>
      </c>
      <c r="G138" s="924">
        <f t="shared" si="14"/>
        <v>1.1499999999941792</v>
      </c>
      <c r="H138" s="925">
        <f>G138+'23'!H138</f>
        <v>16.149999999994179</v>
      </c>
      <c r="I138" s="944">
        <f>G137+G138</f>
        <v>8.8999999999941792</v>
      </c>
      <c r="J138" s="927">
        <f>H138/DAY(B2)</f>
        <v>0.67291666666642413</v>
      </c>
      <c r="O138" s="929"/>
    </row>
    <row r="139" spans="1:15">
      <c r="A139" s="951" t="s">
        <v>248</v>
      </c>
      <c r="B139" s="952"/>
      <c r="C139" s="952"/>
      <c r="D139" s="922" t="s">
        <v>239</v>
      </c>
      <c r="E139" s="923">
        <f>'23'!F139</f>
        <v>1385.51</v>
      </c>
      <c r="F139" s="953">
        <v>1393.11</v>
      </c>
      <c r="G139" s="924">
        <f t="shared" si="14"/>
        <v>7.5999999999999091</v>
      </c>
      <c r="H139" s="925">
        <f>G139+'23'!H139</f>
        <v>-30.0300000000002</v>
      </c>
      <c r="I139" s="1075"/>
      <c r="J139" s="927">
        <f>H139/DAY(B2)</f>
        <v>-1.2512500000000084</v>
      </c>
      <c r="O139" s="929"/>
    </row>
    <row r="140" spans="1:15">
      <c r="A140" s="951" t="s">
        <v>249</v>
      </c>
      <c r="B140" s="952"/>
      <c r="C140" s="952"/>
      <c r="D140" s="922" t="s">
        <v>239</v>
      </c>
      <c r="E140" s="923">
        <f>'23'!F140</f>
        <v>4333.53</v>
      </c>
      <c r="F140" s="953">
        <v>4333.53</v>
      </c>
      <c r="G140" s="924">
        <f t="shared" si="14"/>
        <v>0</v>
      </c>
      <c r="H140" s="925">
        <f>G140+'23'!H140</f>
        <v>-0.47000000000025466</v>
      </c>
      <c r="I140" s="1075"/>
      <c r="J140" s="927">
        <f>H140/DAY(B2)</f>
        <v>-1.9583333333343944E-2</v>
      </c>
      <c r="O140" s="929"/>
    </row>
    <row r="141" spans="1:15">
      <c r="A141" s="1587" t="s">
        <v>250</v>
      </c>
      <c r="B141" s="1588"/>
      <c r="C141" s="917"/>
      <c r="D141" s="917"/>
      <c r="E141" s="917"/>
      <c r="F141" s="917"/>
      <c r="G141" s="949"/>
      <c r="H141" s="949"/>
      <c r="I141" s="949"/>
      <c r="J141" s="1068"/>
      <c r="K141" s="1023"/>
      <c r="L141" s="902"/>
      <c r="O141" s="929"/>
    </row>
    <row r="142" spans="1:15">
      <c r="A142" s="1555" t="s">
        <v>251</v>
      </c>
      <c r="B142" s="1556"/>
      <c r="C142" s="1557"/>
      <c r="D142" s="922" t="s">
        <v>132</v>
      </c>
      <c r="E142" s="922"/>
      <c r="F142" s="922"/>
      <c r="G142" s="925">
        <f>G35+G43+G49+G57</f>
        <v>5667</v>
      </c>
      <c r="H142" s="925">
        <f>G142+'23'!H142</f>
        <v>-23680.319999999891</v>
      </c>
      <c r="I142" s="944"/>
      <c r="J142" s="927">
        <f>H142/DAY(B2)</f>
        <v>-986.6799999999954</v>
      </c>
      <c r="K142" s="1023"/>
      <c r="L142" s="902"/>
      <c r="O142" s="929"/>
    </row>
    <row r="143" spans="1:15">
      <c r="A143" s="1555" t="s">
        <v>252</v>
      </c>
      <c r="B143" s="1556"/>
      <c r="C143" s="1557"/>
      <c r="D143" s="922" t="s">
        <v>24</v>
      </c>
      <c r="E143" s="909"/>
      <c r="F143" s="909"/>
      <c r="G143" s="1076">
        <f>G142/G7</f>
        <v>0.24844366505918458</v>
      </c>
      <c r="H143" s="925">
        <f>G143+'23'!H143</f>
        <v>6.0579787078685836</v>
      </c>
      <c r="I143" s="1077"/>
      <c r="J143" s="927">
        <f>H143/DAY(B2)</f>
        <v>0.25241577949452432</v>
      </c>
      <c r="K143" s="1023"/>
      <c r="L143" s="902"/>
      <c r="O143" s="929"/>
    </row>
    <row r="144" spans="1:15">
      <c r="A144" s="1555" t="s">
        <v>253</v>
      </c>
      <c r="B144" s="1556"/>
      <c r="C144" s="1557"/>
      <c r="D144" s="922" t="s">
        <v>132</v>
      </c>
      <c r="E144" s="923"/>
      <c r="F144" s="923"/>
      <c r="G144" s="925">
        <f>G41+G42+G55+G56</f>
        <v>5857</v>
      </c>
      <c r="H144" s="925">
        <f>G144+'23'!H144</f>
        <v>-21022.940000000024</v>
      </c>
      <c r="I144" s="944"/>
      <c r="J144" s="927">
        <f>H144/DAY(B2)</f>
        <v>-875.95583333333434</v>
      </c>
      <c r="K144" s="1023"/>
      <c r="L144" s="902"/>
      <c r="O144" s="929"/>
    </row>
    <row r="145" spans="1:15">
      <c r="A145" s="1555" t="s">
        <v>254</v>
      </c>
      <c r="B145" s="1556"/>
      <c r="C145" s="1557"/>
      <c r="D145" s="922" t="s">
        <v>24</v>
      </c>
      <c r="E145" s="923"/>
      <c r="F145" s="923"/>
      <c r="G145" s="1076">
        <f>G144/G7</f>
        <v>0.25677334502411225</v>
      </c>
      <c r="H145" s="925">
        <f>G145+'23'!H145</f>
        <v>5.7090305702727866</v>
      </c>
      <c r="I145" s="1077"/>
      <c r="J145" s="927">
        <f>H145/DAY(B2)</f>
        <v>0.23787627376136611</v>
      </c>
      <c r="K145" s="1023"/>
      <c r="L145" s="902"/>
      <c r="O145" s="929"/>
    </row>
    <row r="146" spans="1:15">
      <c r="A146" s="1555" t="s">
        <v>255</v>
      </c>
      <c r="B146" s="1556"/>
      <c r="C146" s="1557"/>
      <c r="D146" s="922" t="s">
        <v>132</v>
      </c>
      <c r="E146" s="923"/>
      <c r="F146" s="923"/>
      <c r="G146" s="925">
        <f>G39+G53</f>
        <v>4084.1699999999983</v>
      </c>
      <c r="H146" s="925">
        <f>G146+'23'!H146</f>
        <v>83222.38</v>
      </c>
      <c r="I146" s="1078"/>
      <c r="J146" s="927">
        <f>H146/DAY(B2)</f>
        <v>3467.5991666666669</v>
      </c>
      <c r="K146" s="1023"/>
      <c r="L146" s="902"/>
      <c r="O146" s="929"/>
    </row>
    <row r="147" spans="1:15">
      <c r="A147" s="1555" t="s">
        <v>256</v>
      </c>
      <c r="B147" s="1556"/>
      <c r="C147" s="1557"/>
      <c r="D147" s="922" t="s">
        <v>24</v>
      </c>
      <c r="E147" s="923"/>
      <c r="F147" s="923"/>
      <c r="G147" s="1076">
        <f>G146/G7</f>
        <v>0.17905173169662422</v>
      </c>
      <c r="H147" s="925">
        <f>G147+'23'!H147</f>
        <v>9.7392450489052447</v>
      </c>
      <c r="I147" s="1078"/>
      <c r="J147" s="927">
        <f>H147/DAY(B2)</f>
        <v>0.40580187703771853</v>
      </c>
      <c r="O147" s="929"/>
    </row>
    <row r="148" spans="1:15">
      <c r="A148" s="1555" t="s">
        <v>257</v>
      </c>
      <c r="B148" s="1556"/>
      <c r="C148" s="1557"/>
      <c r="D148" s="922" t="s">
        <v>183</v>
      </c>
      <c r="E148" s="923"/>
      <c r="F148" s="923"/>
      <c r="G148" s="925">
        <f>G38+G52</f>
        <v>2074</v>
      </c>
      <c r="H148" s="925">
        <f>G148+'23'!H148</f>
        <v>-8472.2000000000189</v>
      </c>
      <c r="I148" s="944"/>
      <c r="J148" s="927">
        <f>H148/DAY(B2)</f>
        <v>-353.00833333333412</v>
      </c>
      <c r="K148" s="1079"/>
      <c r="O148" s="929"/>
    </row>
    <row r="149" spans="1:15">
      <c r="A149" s="1555" t="s">
        <v>258</v>
      </c>
      <c r="B149" s="1556"/>
      <c r="C149" s="1557"/>
      <c r="D149" s="922" t="s">
        <v>24</v>
      </c>
      <c r="E149" s="923"/>
      <c r="F149" s="923"/>
      <c r="G149" s="1076">
        <f>G148/G7</f>
        <v>9.0925032880315657E-2</v>
      </c>
      <c r="H149" s="925">
        <f>G149+'23'!H149</f>
        <v>2.3731551850985619</v>
      </c>
      <c r="I149" s="1078"/>
      <c r="J149" s="927">
        <f>H149/DAY(B2)</f>
        <v>9.8881466045773414E-2</v>
      </c>
      <c r="O149" s="929"/>
    </row>
    <row r="150" spans="1:15">
      <c r="A150" s="1555" t="s">
        <v>259</v>
      </c>
      <c r="B150" s="1556"/>
      <c r="C150" s="1557"/>
      <c r="D150" s="922" t="s">
        <v>183</v>
      </c>
      <c r="E150" s="923"/>
      <c r="F150" s="923"/>
      <c r="G150" s="925">
        <f>G36+G50</f>
        <v>2850.289999999979</v>
      </c>
      <c r="H150" s="925">
        <f>G150+'23'!H150</f>
        <v>-6797.6000000000349</v>
      </c>
      <c r="I150" s="1078"/>
      <c r="J150" s="927">
        <f>H150/DAY(B2)</f>
        <v>-283.23333333333477</v>
      </c>
      <c r="O150" s="929"/>
    </row>
    <row r="151" spans="1:15">
      <c r="A151" s="1555" t="s">
        <v>260</v>
      </c>
      <c r="B151" s="1556"/>
      <c r="C151" s="1557"/>
      <c r="D151" s="922" t="s">
        <v>24</v>
      </c>
      <c r="E151" s="923"/>
      <c r="F151" s="923"/>
      <c r="G151" s="1076">
        <f>G150/G7</f>
        <v>0.12495791319596576</v>
      </c>
      <c r="H151" s="925">
        <f>G151+'23'!H151</f>
        <v>2.2750923009130419</v>
      </c>
      <c r="I151" s="944"/>
      <c r="J151" s="927">
        <f>H151/DAY(B2)</f>
        <v>9.4795512538043414E-2</v>
      </c>
      <c r="O151" s="929"/>
    </row>
    <row r="152" spans="1:15">
      <c r="A152" s="1555" t="s">
        <v>261</v>
      </c>
      <c r="B152" s="1556"/>
      <c r="C152" s="1557"/>
      <c r="D152" s="922" t="s">
        <v>183</v>
      </c>
      <c r="E152" s="923"/>
      <c r="F152" s="923"/>
      <c r="G152" s="925">
        <f>G37+G51</f>
        <v>1506</v>
      </c>
      <c r="H152" s="925">
        <f>G152+'23'!H152</f>
        <v>29278.160000000003</v>
      </c>
      <c r="I152" s="944"/>
      <c r="J152" s="927">
        <f>H152/DAY(B2)</f>
        <v>1219.9233333333334</v>
      </c>
      <c r="O152" s="929"/>
    </row>
    <row r="153" spans="1:15" ht="21" thickBot="1">
      <c r="A153" s="1598" t="s">
        <v>262</v>
      </c>
      <c r="B153" s="1599"/>
      <c r="C153" s="1600"/>
      <c r="D153" s="1080" t="s">
        <v>24</v>
      </c>
      <c r="E153" s="1081"/>
      <c r="F153" s="1081"/>
      <c r="G153" s="1082">
        <f>G152/G7</f>
        <v>6.6023673827268745E-2</v>
      </c>
      <c r="H153" s="925">
        <f>G153+'23'!H153</f>
        <v>3.4304912203493956</v>
      </c>
      <c r="I153" s="1083"/>
      <c r="J153" s="1084">
        <f>H153/DAY(B2)</f>
        <v>0.14293713418122481</v>
      </c>
      <c r="O153" s="929"/>
    </row>
    <row r="154" spans="1:15">
      <c r="A154" s="1085"/>
      <c r="B154" s="1085"/>
      <c r="C154" s="1085"/>
      <c r="D154" s="1085"/>
      <c r="E154" s="1085"/>
      <c r="F154" s="1085"/>
      <c r="G154" s="1085"/>
      <c r="H154" s="1086"/>
      <c r="I154" s="1085"/>
      <c r="J154" s="1087"/>
      <c r="O154" s="929"/>
    </row>
    <row r="160" spans="1:15">
      <c r="A160" s="1075" t="s">
        <v>263</v>
      </c>
      <c r="B160" s="1075"/>
      <c r="C160" s="1075"/>
      <c r="D160" s="909" t="s">
        <v>187</v>
      </c>
      <c r="E160" s="923">
        <f>'23'!F160</f>
        <v>30369.52</v>
      </c>
      <c r="F160" s="1100">
        <v>30456.28</v>
      </c>
      <c r="G160" s="924">
        <f t="shared" ref="G160:G163" si="15">F160-E160</f>
        <v>86.759999999998399</v>
      </c>
    </row>
    <row r="161" spans="1:7" ht="21.75" customHeight="1">
      <c r="A161" s="1075" t="s">
        <v>264</v>
      </c>
      <c r="B161" s="1075"/>
      <c r="C161" s="1075"/>
      <c r="D161" s="909" t="s">
        <v>187</v>
      </c>
      <c r="E161" s="923">
        <f>'23'!F161</f>
        <v>52872</v>
      </c>
      <c r="F161" s="1100">
        <v>53331</v>
      </c>
      <c r="G161" s="924">
        <f t="shared" si="15"/>
        <v>459</v>
      </c>
    </row>
    <row r="162" spans="1:7" ht="21.75" customHeight="1">
      <c r="A162" s="1075" t="s">
        <v>265</v>
      </c>
      <c r="B162" s="1075"/>
      <c r="C162" s="1075"/>
      <c r="D162" s="909" t="s">
        <v>187</v>
      </c>
      <c r="E162" s="923">
        <f>'23'!F162</f>
        <v>19184</v>
      </c>
      <c r="F162" s="1100">
        <v>19463</v>
      </c>
      <c r="G162" s="924">
        <f t="shared" si="15"/>
        <v>279</v>
      </c>
    </row>
    <row r="163" spans="1:7" ht="21.75" customHeight="1">
      <c r="A163" s="1075" t="s">
        <v>266</v>
      </c>
      <c r="B163" s="1075"/>
      <c r="C163" s="1075"/>
      <c r="D163" s="909" t="s">
        <v>187</v>
      </c>
      <c r="E163" s="923">
        <f>'23'!F163</f>
        <v>5320</v>
      </c>
      <c r="F163" s="1100">
        <v>5339</v>
      </c>
      <c r="G163" s="924">
        <f t="shared" si="15"/>
        <v>19</v>
      </c>
    </row>
    <row r="164" spans="1:7" ht="21.75" customHeight="1">
      <c r="A164" s="1005" t="s">
        <v>98</v>
      </c>
      <c r="B164" s="1005"/>
      <c r="C164" s="1005"/>
      <c r="D164" s="909" t="s">
        <v>187</v>
      </c>
      <c r="E164" s="1006">
        <f>E62</f>
        <v>20419</v>
      </c>
      <c r="F164" s="1006">
        <f>F62</f>
        <v>20419.18</v>
      </c>
      <c r="G164" s="924">
        <f t="shared" ref="G164:G171" si="16">F164-E164</f>
        <v>0.18000000000029104</v>
      </c>
    </row>
    <row r="165" spans="1:7" ht="21.75" customHeight="1">
      <c r="A165" s="1005" t="s">
        <v>188</v>
      </c>
      <c r="B165" s="1005"/>
      <c r="C165" s="1005"/>
      <c r="D165" s="909" t="s">
        <v>187</v>
      </c>
      <c r="E165" s="1006">
        <f t="shared" ref="E165:E171" si="17">E63</f>
        <v>1635</v>
      </c>
      <c r="F165" s="1006">
        <f t="shared" ref="F165:F171" si="18">F63</f>
        <v>1649</v>
      </c>
      <c r="G165" s="924">
        <f t="shared" si="16"/>
        <v>14</v>
      </c>
    </row>
    <row r="166" spans="1:7" ht="21.75" customHeight="1">
      <c r="A166" s="1607" t="s">
        <v>99</v>
      </c>
      <c r="B166" s="1607"/>
      <c r="C166" s="1607"/>
      <c r="D166" s="922" t="s">
        <v>187</v>
      </c>
      <c r="E166" s="1006">
        <f t="shared" si="17"/>
        <v>121047</v>
      </c>
      <c r="F166" s="1006">
        <f t="shared" si="18"/>
        <v>121561</v>
      </c>
      <c r="G166" s="924">
        <f t="shared" si="16"/>
        <v>514</v>
      </c>
    </row>
    <row r="167" spans="1:7" ht="21.75" customHeight="1">
      <c r="A167" s="1607" t="s">
        <v>100</v>
      </c>
      <c r="B167" s="1607"/>
      <c r="C167" s="1607"/>
      <c r="D167" s="922" t="s">
        <v>187</v>
      </c>
      <c r="E167" s="1006">
        <f t="shared" si="17"/>
        <v>130609</v>
      </c>
      <c r="F167" s="1006">
        <f t="shared" si="18"/>
        <v>131000</v>
      </c>
      <c r="G167" s="924">
        <f t="shared" si="16"/>
        <v>391</v>
      </c>
    </row>
    <row r="168" spans="1:7" ht="21.75" customHeight="1">
      <c r="A168" s="1607" t="s">
        <v>101</v>
      </c>
      <c r="B168" s="1607"/>
      <c r="C168" s="1607"/>
      <c r="D168" s="922" t="s">
        <v>187</v>
      </c>
      <c r="E168" s="1006">
        <f t="shared" si="17"/>
        <v>23194</v>
      </c>
      <c r="F168" s="1006">
        <f t="shared" si="18"/>
        <v>23585</v>
      </c>
      <c r="G168" s="924">
        <f t="shared" si="16"/>
        <v>391</v>
      </c>
    </row>
    <row r="169" spans="1:7">
      <c r="A169" s="1607" t="s">
        <v>102</v>
      </c>
      <c r="B169" s="1607"/>
      <c r="C169" s="1607"/>
      <c r="D169" s="922" t="s">
        <v>187</v>
      </c>
      <c r="E169" s="1006">
        <f t="shared" si="17"/>
        <v>204621</v>
      </c>
      <c r="F169" s="1006">
        <f t="shared" si="18"/>
        <v>205231</v>
      </c>
      <c r="G169" s="924">
        <f t="shared" si="16"/>
        <v>610</v>
      </c>
    </row>
    <row r="170" spans="1:7" ht="24" customHeight="1">
      <c r="A170" s="1607" t="s">
        <v>103</v>
      </c>
      <c r="B170" s="1607"/>
      <c r="C170" s="1607"/>
      <c r="D170" s="922" t="s">
        <v>187</v>
      </c>
      <c r="E170" s="1006">
        <f t="shared" si="17"/>
        <v>71085</v>
      </c>
      <c r="F170" s="1006">
        <f t="shared" si="18"/>
        <v>71374</v>
      </c>
      <c r="G170" s="924">
        <f t="shared" si="16"/>
        <v>289</v>
      </c>
    </row>
    <row r="171" spans="1:7">
      <c r="A171" s="1607" t="s">
        <v>104</v>
      </c>
      <c r="B171" s="1607"/>
      <c r="C171" s="1607"/>
      <c r="D171" s="922" t="s">
        <v>187</v>
      </c>
      <c r="E171" s="1006">
        <f t="shared" si="17"/>
        <v>62814</v>
      </c>
      <c r="F171" s="1006">
        <f t="shared" si="18"/>
        <v>63135</v>
      </c>
      <c r="G171" s="924">
        <f t="shared" si="16"/>
        <v>321</v>
      </c>
    </row>
    <row r="172" spans="1:7">
      <c r="G172" s="1090">
        <f>SUM(G160:G171)</f>
        <v>3373.9399999999987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49" zoomScale="70" zoomScaleNormal="49" zoomScaleSheetLayoutView="70" workbookViewId="0">
      <selection sqref="A1:J1"/>
    </sheetView>
  </sheetViews>
  <sheetFormatPr defaultColWidth="22.33203125" defaultRowHeight="20.25"/>
  <cols>
    <col min="1" max="1" width="51.21875" style="1088" customWidth="1"/>
    <col min="2" max="2" width="24.88671875" style="1088" customWidth="1"/>
    <col min="3" max="3" width="12.44140625" style="1088" customWidth="1"/>
    <col min="4" max="4" width="13.6640625" style="1088" customWidth="1"/>
    <col min="5" max="5" width="28.109375" style="1088" customWidth="1"/>
    <col min="6" max="6" width="23.77734375" style="1088" customWidth="1"/>
    <col min="7" max="7" width="18.44140625" style="1088" customWidth="1"/>
    <col min="8" max="8" width="39.21875" style="1089" customWidth="1"/>
    <col min="9" max="9" width="12" style="1088" bestFit="1" customWidth="1"/>
    <col min="10" max="10" width="24" style="1090" customWidth="1"/>
    <col min="11" max="11" width="43.21875" style="889" hidden="1" customWidth="1"/>
    <col min="12" max="13" width="0" style="889" hidden="1" customWidth="1"/>
    <col min="14" max="14" width="25.109375" style="1091" customWidth="1"/>
    <col min="15" max="15" width="6.77734375" style="889" bestFit="1" customWidth="1"/>
    <col min="16" max="16384" width="22.33203125" style="889"/>
  </cols>
  <sheetData>
    <row r="1" spans="1:15" ht="22.5">
      <c r="A1" s="1567" t="s">
        <v>117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>
      <c r="A2" s="890" t="s">
        <v>273</v>
      </c>
      <c r="B2" s="1118">
        <v>43886</v>
      </c>
      <c r="C2" s="891" t="s">
        <v>69</v>
      </c>
      <c r="D2" s="1105">
        <v>0.54</v>
      </c>
      <c r="E2" s="893"/>
      <c r="F2" s="893"/>
      <c r="G2" s="893" t="s">
        <v>118</v>
      </c>
      <c r="H2" s="893" t="s">
        <v>6</v>
      </c>
      <c r="I2" s="893" t="s">
        <v>8</v>
      </c>
      <c r="J2" s="894" t="s">
        <v>119</v>
      </c>
    </row>
    <row r="3" spans="1:15">
      <c r="A3" s="895"/>
      <c r="B3" s="896"/>
      <c r="C3" s="891" t="s">
        <v>120</v>
      </c>
      <c r="D3" s="891">
        <v>31</v>
      </c>
      <c r="E3" s="1570" t="s">
        <v>121</v>
      </c>
      <c r="F3" s="1571"/>
      <c r="G3" s="898">
        <f>'1'!G3</f>
        <v>0</v>
      </c>
      <c r="H3" s="899">
        <f>'1'!H3</f>
        <v>0</v>
      </c>
      <c r="I3" s="899">
        <f>'1'!I3</f>
        <v>0</v>
      </c>
      <c r="J3" s="900">
        <f>'1'!J3</f>
        <v>0</v>
      </c>
      <c r="K3" s="901"/>
      <c r="L3" s="902"/>
    </row>
    <row r="4" spans="1:15">
      <c r="A4" s="903"/>
      <c r="B4" s="904"/>
      <c r="C4" s="891" t="s">
        <v>122</v>
      </c>
      <c r="D4" s="1105">
        <v>0.8</v>
      </c>
      <c r="E4" s="905"/>
      <c r="F4" s="905"/>
      <c r="G4" s="905"/>
      <c r="H4" s="905"/>
      <c r="I4" s="906"/>
      <c r="J4" s="900"/>
      <c r="K4" s="907"/>
      <c r="L4" s="902"/>
    </row>
    <row r="5" spans="1:15">
      <c r="A5" s="908" t="s">
        <v>123</v>
      </c>
      <c r="B5" s="909"/>
      <c r="C5" s="909"/>
      <c r="D5" s="909" t="s">
        <v>124</v>
      </c>
      <c r="E5" s="910" t="s">
        <v>125</v>
      </c>
      <c r="F5" s="910" t="s">
        <v>112</v>
      </c>
      <c r="G5" s="911" t="s">
        <v>126</v>
      </c>
      <c r="H5" s="912" t="s">
        <v>127</v>
      </c>
      <c r="I5" s="913" t="s">
        <v>128</v>
      </c>
      <c r="J5" s="914" t="s">
        <v>129</v>
      </c>
      <c r="K5" s="915"/>
      <c r="L5" s="902"/>
    </row>
    <row r="6" spans="1:15">
      <c r="A6" s="1564" t="s">
        <v>130</v>
      </c>
      <c r="B6" s="1565"/>
      <c r="C6" s="1566"/>
      <c r="D6" s="916"/>
      <c r="E6" s="916"/>
      <c r="F6" s="916"/>
      <c r="G6" s="916"/>
      <c r="H6" s="917"/>
      <c r="I6" s="917"/>
      <c r="J6" s="918"/>
      <c r="K6" s="919"/>
      <c r="L6" s="902"/>
    </row>
    <row r="7" spans="1:15" ht="21" thickBot="1">
      <c r="A7" s="920" t="s">
        <v>131</v>
      </c>
      <c r="B7" s="921"/>
      <c r="C7" s="921"/>
      <c r="D7" s="922" t="s">
        <v>132</v>
      </c>
      <c r="E7" s="923">
        <f>'24'!F7</f>
        <v>4361777</v>
      </c>
      <c r="F7" s="923">
        <v>4382380</v>
      </c>
      <c r="G7" s="924">
        <f>F7-E7</f>
        <v>20603</v>
      </c>
      <c r="H7" s="925">
        <f>G7+'24'!H7</f>
        <v>-62697</v>
      </c>
      <c r="I7" s="926">
        <f>'1'!I7</f>
        <v>12000</v>
      </c>
      <c r="J7" s="927">
        <f>H7/DAY(B2)</f>
        <v>-2507.88</v>
      </c>
      <c r="K7" s="928"/>
      <c r="L7" s="902"/>
      <c r="N7" s="1103">
        <f>G7/G8</f>
        <v>0.99560259012274088</v>
      </c>
      <c r="O7" s="929"/>
    </row>
    <row r="8" spans="1:15" ht="21" thickBot="1">
      <c r="A8" s="930" t="s">
        <v>133</v>
      </c>
      <c r="B8" s="931"/>
      <c r="C8" s="932"/>
      <c r="D8" s="933" t="s">
        <v>25</v>
      </c>
      <c r="E8" s="923">
        <f>'24'!F8</f>
        <v>4389441</v>
      </c>
      <c r="F8" s="934">
        <v>4410135</v>
      </c>
      <c r="G8" s="935">
        <f>F8-E8</f>
        <v>20694</v>
      </c>
      <c r="H8" s="925">
        <f>G8+'24'!H8</f>
        <v>-63021</v>
      </c>
      <c r="I8" s="936">
        <f>'1'!I8</f>
        <v>12000</v>
      </c>
      <c r="J8" s="927">
        <f>H8/DAY(B2)</f>
        <v>-2520.84</v>
      </c>
      <c r="K8" s="928">
        <v>1375467</v>
      </c>
      <c r="L8" s="937">
        <v>1667461</v>
      </c>
      <c r="M8" s="938"/>
      <c r="O8" s="929"/>
    </row>
    <row r="9" spans="1:15">
      <c r="A9" s="939" t="s">
        <v>134</v>
      </c>
      <c r="B9" s="940"/>
      <c r="C9" s="940"/>
      <c r="D9" s="922" t="s">
        <v>132</v>
      </c>
      <c r="E9" s="923">
        <f>'24'!F9</f>
        <v>31196</v>
      </c>
      <c r="F9" s="941">
        <v>44987</v>
      </c>
      <c r="G9" s="924">
        <f t="shared" ref="G9:G12" si="0">F9-E9</f>
        <v>13791</v>
      </c>
      <c r="H9" s="925">
        <f>G9+'24'!H9</f>
        <v>157504.99</v>
      </c>
      <c r="I9" s="942">
        <f>I8-J8</f>
        <v>14520.84</v>
      </c>
      <c r="J9" s="927">
        <f>H9/DAY(B2)</f>
        <v>6300.1995999999999</v>
      </c>
      <c r="K9" s="943"/>
      <c r="L9" s="902"/>
      <c r="O9" s="929"/>
    </row>
    <row r="10" spans="1:15">
      <c r="A10" s="920" t="s">
        <v>135</v>
      </c>
      <c r="B10" s="921"/>
      <c r="C10" s="921"/>
      <c r="D10" s="922" t="s">
        <v>132</v>
      </c>
      <c r="E10" s="923">
        <v>527</v>
      </c>
      <c r="F10" s="941">
        <v>6733</v>
      </c>
      <c r="G10" s="924">
        <f t="shared" si="0"/>
        <v>6206</v>
      </c>
      <c r="H10" s="925">
        <f>G10+'24'!H10</f>
        <v>1371209.44</v>
      </c>
      <c r="I10" s="944"/>
      <c r="J10" s="927">
        <f>H10/DAY(B2)</f>
        <v>54848.3776</v>
      </c>
      <c r="K10" s="943"/>
      <c r="L10" s="902">
        <f>L8-K8</f>
        <v>291994</v>
      </c>
      <c r="O10" s="929"/>
    </row>
    <row r="11" spans="1:15">
      <c r="A11" s="920" t="s">
        <v>136</v>
      </c>
      <c r="B11" s="921"/>
      <c r="C11" s="921"/>
      <c r="D11" s="922" t="s">
        <v>132</v>
      </c>
      <c r="E11" s="923">
        <f>'24'!F11</f>
        <v>37000</v>
      </c>
      <c r="F11" s="923">
        <v>37000</v>
      </c>
      <c r="G11" s="924">
        <f t="shared" si="0"/>
        <v>0</v>
      </c>
      <c r="H11" s="925">
        <f>G11+'24'!H11</f>
        <v>-2000</v>
      </c>
      <c r="I11" s="944"/>
      <c r="J11" s="927">
        <f>H11/DAY(B2)</f>
        <v>-80</v>
      </c>
      <c r="K11" s="943"/>
      <c r="L11" s="902"/>
      <c r="N11" s="1104">
        <f>G7*N7</f>
        <v>20512.40016429883</v>
      </c>
      <c r="O11" s="929"/>
    </row>
    <row r="12" spans="1:15">
      <c r="A12" s="920" t="s">
        <v>137</v>
      </c>
      <c r="B12" s="921"/>
      <c r="C12" s="921"/>
      <c r="D12" s="922" t="s">
        <v>132</v>
      </c>
      <c r="E12" s="923">
        <f>'24'!F12</f>
        <v>40010</v>
      </c>
      <c r="F12" s="941">
        <v>40010</v>
      </c>
      <c r="G12" s="924">
        <f t="shared" si="0"/>
        <v>0</v>
      </c>
      <c r="H12" s="925">
        <f>G12+'24'!H12</f>
        <v>-2000</v>
      </c>
      <c r="I12" s="944"/>
      <c r="J12" s="927">
        <f>H12/DAY(B2)</f>
        <v>-80</v>
      </c>
      <c r="K12" s="943"/>
      <c r="L12" s="902"/>
      <c r="O12" s="929"/>
    </row>
    <row r="13" spans="1:15">
      <c r="A13" s="945" t="s">
        <v>138</v>
      </c>
      <c r="B13" s="946"/>
      <c r="C13" s="946"/>
      <c r="D13" s="922"/>
      <c r="E13" s="923"/>
      <c r="F13" s="923"/>
      <c r="G13" s="947">
        <f>G9+G10+G11+G12</f>
        <v>19997</v>
      </c>
      <c r="H13" s="925">
        <f>G13+'24'!H13</f>
        <v>1503720.43</v>
      </c>
      <c r="I13" s="948">
        <f>G7-G13</f>
        <v>606</v>
      </c>
      <c r="J13" s="927">
        <f>H13/DAY(B2)</f>
        <v>60148.817199999998</v>
      </c>
      <c r="K13" s="943"/>
      <c r="L13" s="902">
        <f>L10-H7</f>
        <v>354691</v>
      </c>
      <c r="O13" s="929"/>
    </row>
    <row r="14" spans="1:15">
      <c r="A14" s="1558" t="s">
        <v>139</v>
      </c>
      <c r="B14" s="1559"/>
      <c r="C14" s="1560"/>
      <c r="D14" s="917"/>
      <c r="E14" s="917"/>
      <c r="F14" s="917"/>
      <c r="G14" s="949"/>
      <c r="H14" s="917"/>
      <c r="I14" s="917"/>
      <c r="J14" s="918"/>
      <c r="K14" s="950"/>
      <c r="L14" s="902"/>
      <c r="O14" s="929"/>
    </row>
    <row r="15" spans="1:15">
      <c r="A15" s="951" t="s">
        <v>140</v>
      </c>
      <c r="B15" s="952"/>
      <c r="C15" s="952"/>
      <c r="D15" s="922" t="s">
        <v>141</v>
      </c>
      <c r="E15" s="923">
        <f>'24'!F15</f>
        <v>1616156.56</v>
      </c>
      <c r="F15" s="1018">
        <v>1617018.55</v>
      </c>
      <c r="G15" s="1101">
        <f>(F15-E15)</f>
        <v>861.98999999999069</v>
      </c>
      <c r="H15" s="925">
        <f>G15+'24'!H15</f>
        <v>-2860.0600000000559</v>
      </c>
      <c r="I15" s="926">
        <f>'1'!I15</f>
        <v>800</v>
      </c>
      <c r="J15" s="927">
        <f>H15/DAY(B2)</f>
        <v>-114.40240000000223</v>
      </c>
      <c r="K15" s="943"/>
      <c r="L15" s="902"/>
      <c r="O15" s="929"/>
    </row>
    <row r="16" spans="1:15">
      <c r="A16" s="954"/>
      <c r="B16" s="955"/>
      <c r="C16" s="955"/>
      <c r="D16" s="956"/>
      <c r="E16" s="957"/>
      <c r="F16" s="957"/>
      <c r="G16" s="924"/>
      <c r="H16" s="958"/>
      <c r="I16" s="959">
        <f>I15-J15</f>
        <v>914.40240000000222</v>
      </c>
      <c r="J16" s="960"/>
      <c r="K16" s="943"/>
      <c r="L16" s="902"/>
      <c r="O16" s="929"/>
    </row>
    <row r="17" spans="1:15">
      <c r="A17" s="1558" t="s">
        <v>142</v>
      </c>
      <c r="B17" s="1559"/>
      <c r="C17" s="1560"/>
      <c r="D17" s="917"/>
      <c r="E17" s="917"/>
      <c r="F17" s="917"/>
      <c r="G17" s="961"/>
      <c r="H17" s="917"/>
      <c r="I17" s="917"/>
      <c r="J17" s="918"/>
      <c r="K17" s="943"/>
      <c r="L17" s="902"/>
      <c r="O17" s="929"/>
    </row>
    <row r="18" spans="1:15">
      <c r="A18" s="1555" t="s">
        <v>143</v>
      </c>
      <c r="B18" s="1556"/>
      <c r="C18" s="1557"/>
      <c r="D18" s="922" t="s">
        <v>144</v>
      </c>
      <c r="E18" s="923">
        <f>'24'!F18</f>
        <v>14</v>
      </c>
      <c r="F18" s="953">
        <v>14</v>
      </c>
      <c r="G18" s="947">
        <f>F18*10</f>
        <v>140</v>
      </c>
      <c r="H18" s="925">
        <f>G18+'24'!H18</f>
        <v>3900</v>
      </c>
      <c r="I18" s="926">
        <f>'1'!I18</f>
        <v>65</v>
      </c>
      <c r="J18" s="927">
        <f>H18/DAY(B2)</f>
        <v>156</v>
      </c>
      <c r="K18" s="943"/>
      <c r="L18" s="902"/>
      <c r="O18" s="929"/>
    </row>
    <row r="19" spans="1:15">
      <c r="A19" s="1555" t="s">
        <v>71</v>
      </c>
      <c r="B19" s="1556"/>
      <c r="C19" s="1557"/>
      <c r="D19" s="922" t="s">
        <v>144</v>
      </c>
      <c r="E19" s="923">
        <f>'24'!F19</f>
        <v>134259</v>
      </c>
      <c r="F19" s="953">
        <v>134311</v>
      </c>
      <c r="G19" s="924">
        <f t="shared" ref="G19" si="1">F19-E19</f>
        <v>52</v>
      </c>
      <c r="H19" s="925">
        <f>G19+'24'!H19</f>
        <v>-157</v>
      </c>
      <c r="I19" s="962"/>
      <c r="J19" s="927">
        <f>H19/DAY(B2)</f>
        <v>-6.28</v>
      </c>
      <c r="K19" s="943"/>
      <c r="L19" s="902"/>
      <c r="O19" s="929"/>
    </row>
    <row r="20" spans="1:15">
      <c r="A20" s="945" t="s">
        <v>145</v>
      </c>
      <c r="B20" s="946"/>
      <c r="C20" s="946"/>
      <c r="D20" s="963"/>
      <c r="E20" s="963"/>
      <c r="F20" s="963"/>
      <c r="G20" s="964">
        <f>G18+G19</f>
        <v>192</v>
      </c>
      <c r="H20" s="925">
        <f>G20+'24'!H20</f>
        <v>3743</v>
      </c>
      <c r="I20" s="965">
        <f>I18-J20</f>
        <v>-84.72</v>
      </c>
      <c r="J20" s="927">
        <f>H20/DAY(B2)</f>
        <v>149.72</v>
      </c>
      <c r="K20" s="943"/>
      <c r="L20" s="902"/>
      <c r="O20" s="929"/>
    </row>
    <row r="21" spans="1:15">
      <c r="A21" s="1558" t="s">
        <v>146</v>
      </c>
      <c r="B21" s="1559"/>
      <c r="C21" s="1560"/>
      <c r="D21" s="917"/>
      <c r="E21" s="917"/>
      <c r="F21" s="917"/>
      <c r="G21" s="949"/>
      <c r="H21" s="917"/>
      <c r="I21" s="917"/>
      <c r="J21" s="918"/>
      <c r="K21" s="943"/>
      <c r="L21" s="902"/>
      <c r="O21" s="929"/>
    </row>
    <row r="22" spans="1:15">
      <c r="A22" s="951" t="s">
        <v>147</v>
      </c>
      <c r="B22" s="952"/>
      <c r="C22" s="952"/>
      <c r="D22" s="922" t="s">
        <v>148</v>
      </c>
      <c r="E22" s="953">
        <f>'24'!F22</f>
        <v>2970</v>
      </c>
      <c r="F22" s="953">
        <v>2970</v>
      </c>
      <c r="G22" s="947">
        <f t="shared" ref="G22" si="2">(F22-E22)</f>
        <v>0</v>
      </c>
      <c r="H22" s="925">
        <f>G22+'24'!H22</f>
        <v>0</v>
      </c>
      <c r="I22" s="944"/>
      <c r="J22" s="927">
        <f>H22/DAY(B2)</f>
        <v>0</v>
      </c>
      <c r="K22" s="943"/>
      <c r="L22" s="902"/>
      <c r="O22" s="929"/>
    </row>
    <row r="23" spans="1:15">
      <c r="A23" s="951" t="s">
        <v>149</v>
      </c>
      <c r="B23" s="952"/>
      <c r="C23" s="952"/>
      <c r="D23" s="922" t="s">
        <v>148</v>
      </c>
      <c r="E23" s="953">
        <f>'24'!F23</f>
        <v>2000</v>
      </c>
      <c r="F23" s="953">
        <v>2000</v>
      </c>
      <c r="G23" s="947">
        <v>0</v>
      </c>
      <c r="H23" s="925">
        <f>G23+'24'!H23</f>
        <v>0</v>
      </c>
      <c r="I23" s="944"/>
      <c r="J23" s="927">
        <f>H23/DAY(B2)</f>
        <v>0</v>
      </c>
      <c r="K23" s="943"/>
      <c r="L23" s="902"/>
      <c r="O23" s="929"/>
    </row>
    <row r="24" spans="1:15">
      <c r="A24" s="966" t="s">
        <v>150</v>
      </c>
      <c r="B24" s="967"/>
      <c r="C24" s="967"/>
      <c r="D24" s="909" t="s">
        <v>148</v>
      </c>
      <c r="E24" s="953">
        <f>'24'!F24</f>
        <v>4970</v>
      </c>
      <c r="F24" s="968">
        <v>4970</v>
      </c>
      <c r="G24" s="947">
        <v>0</v>
      </c>
      <c r="H24" s="925">
        <f>G24+'24'!H24</f>
        <v>0</v>
      </c>
      <c r="I24" s="944"/>
      <c r="J24" s="927">
        <f>H24/DAY(B2)</f>
        <v>0</v>
      </c>
      <c r="K24" s="943"/>
      <c r="L24" s="902"/>
      <c r="O24" s="929"/>
    </row>
    <row r="25" spans="1:15" s="974" customFormat="1">
      <c r="A25" s="1564" t="s">
        <v>151</v>
      </c>
      <c r="B25" s="1565"/>
      <c r="C25" s="1566"/>
      <c r="D25" s="916"/>
      <c r="E25" s="916"/>
      <c r="F25" s="916"/>
      <c r="G25" s="969"/>
      <c r="H25" s="970"/>
      <c r="I25" s="971"/>
      <c r="J25" s="972"/>
      <c r="K25" s="943"/>
      <c r="L25" s="973"/>
      <c r="N25" s="1092"/>
      <c r="O25" s="929"/>
    </row>
    <row r="26" spans="1:15" s="974" customFormat="1">
      <c r="A26" s="975" t="s">
        <v>152</v>
      </c>
      <c r="B26" s="976"/>
      <c r="C26" s="977"/>
      <c r="D26" s="978" t="s">
        <v>153</v>
      </c>
      <c r="E26" s="979"/>
      <c r="F26" s="979"/>
      <c r="G26" s="980"/>
      <c r="H26" s="925"/>
      <c r="I26" s="981"/>
      <c r="J26" s="927"/>
      <c r="K26" s="950"/>
      <c r="L26" s="973"/>
      <c r="N26" s="1092"/>
      <c r="O26" s="929"/>
    </row>
    <row r="27" spans="1:15" s="974" customFormat="1" ht="22.5">
      <c r="A27" s="975" t="s">
        <v>6</v>
      </c>
      <c r="B27" s="976"/>
      <c r="C27" s="977"/>
      <c r="D27" s="982" t="s">
        <v>25</v>
      </c>
      <c r="E27" s="983">
        <f>G8</f>
        <v>20694</v>
      </c>
      <c r="F27" s="577">
        <v>9</v>
      </c>
      <c r="G27" s="985">
        <f>E27*F27</f>
        <v>186246</v>
      </c>
      <c r="H27" s="925">
        <f>G27+'24'!H27</f>
        <v>-567189</v>
      </c>
      <c r="I27" s="986"/>
      <c r="J27" s="927">
        <f>H27/DAY(B2)</f>
        <v>-22687.56</v>
      </c>
      <c r="K27" s="943"/>
      <c r="L27" s="973"/>
      <c r="N27" s="1092"/>
      <c r="O27" s="929"/>
    </row>
    <row r="28" spans="1:15" s="974" customFormat="1" ht="22.5">
      <c r="A28" s="975" t="s">
        <v>154</v>
      </c>
      <c r="B28" s="976"/>
      <c r="C28" s="977"/>
      <c r="D28" s="982" t="s">
        <v>155</v>
      </c>
      <c r="E28" s="983">
        <f>G15</f>
        <v>861.98999999999069</v>
      </c>
      <c r="F28" s="577">
        <v>43.5</v>
      </c>
      <c r="G28" s="985">
        <f>E28*F28</f>
        <v>37496.564999999595</v>
      </c>
      <c r="H28" s="925">
        <f>G28+'24'!H28</f>
        <v>-105107.07180000294</v>
      </c>
      <c r="I28" s="987"/>
      <c r="J28" s="927">
        <f>H28/DAY(B2)</f>
        <v>-4204.282872000118</v>
      </c>
      <c r="K28" s="943"/>
      <c r="L28" s="973"/>
      <c r="N28" s="1092"/>
      <c r="O28" s="929"/>
    </row>
    <row r="29" spans="1:15" s="974" customFormat="1">
      <c r="A29" s="975" t="s">
        <v>156</v>
      </c>
      <c r="B29" s="976"/>
      <c r="C29" s="977"/>
      <c r="D29" s="982" t="s">
        <v>157</v>
      </c>
      <c r="E29" s="983">
        <f>G24</f>
        <v>0</v>
      </c>
      <c r="F29" s="984">
        <v>69</v>
      </c>
      <c r="G29" s="985">
        <f>E29*F29</f>
        <v>0</v>
      </c>
      <c r="H29" s="925">
        <f>G29+'24'!H29</f>
        <v>0</v>
      </c>
      <c r="I29" s="987"/>
      <c r="J29" s="927">
        <f>H29/DAY(B2)</f>
        <v>0</v>
      </c>
      <c r="K29" s="943"/>
      <c r="L29" s="973"/>
      <c r="N29" s="1092"/>
      <c r="O29" s="929"/>
    </row>
    <row r="30" spans="1:15" s="974" customFormat="1">
      <c r="A30" s="975" t="s">
        <v>158</v>
      </c>
      <c r="B30" s="976"/>
      <c r="C30" s="977"/>
      <c r="D30" s="982" t="s">
        <v>159</v>
      </c>
      <c r="E30" s="983">
        <f>G19</f>
        <v>52</v>
      </c>
      <c r="F30" s="984">
        <v>134</v>
      </c>
      <c r="G30" s="985">
        <f>E30*F30</f>
        <v>6968</v>
      </c>
      <c r="H30" s="925">
        <f>G30+'24'!H30</f>
        <v>-3350</v>
      </c>
      <c r="I30" s="987"/>
      <c r="J30" s="927">
        <f>H30/DAY(B2)</f>
        <v>-134</v>
      </c>
      <c r="K30" s="943"/>
      <c r="L30" s="973"/>
      <c r="N30" s="1092"/>
      <c r="O30" s="929"/>
    </row>
    <row r="31" spans="1:15" s="974" customFormat="1">
      <c r="A31" s="975" t="s">
        <v>160</v>
      </c>
      <c r="B31" s="976"/>
      <c r="C31" s="977"/>
      <c r="D31" s="982" t="s">
        <v>144</v>
      </c>
      <c r="E31" s="983">
        <f>G18</f>
        <v>140</v>
      </c>
      <c r="F31" s="984">
        <v>80</v>
      </c>
      <c r="G31" s="985">
        <f>E31*F31</f>
        <v>11200</v>
      </c>
      <c r="H31" s="925">
        <f>G31+'24'!H31</f>
        <v>301440</v>
      </c>
      <c r="I31" s="987"/>
      <c r="J31" s="927"/>
      <c r="K31" s="943"/>
      <c r="L31" s="973"/>
      <c r="N31" s="1092"/>
      <c r="O31" s="929"/>
    </row>
    <row r="32" spans="1:15" s="974" customFormat="1">
      <c r="A32" s="988" t="s">
        <v>161</v>
      </c>
      <c r="B32" s="989"/>
      <c r="C32" s="990"/>
      <c r="D32" s="991"/>
      <c r="E32" s="991"/>
      <c r="F32" s="991"/>
      <c r="G32" s="992">
        <f>G27+G28+G29+G30+G31</f>
        <v>241910.56499999959</v>
      </c>
      <c r="H32" s="925">
        <f>G32+'24'!H32</f>
        <v>-374206.07180000294</v>
      </c>
      <c r="I32" s="993"/>
      <c r="J32" s="927">
        <f>H32/DAY(B2)</f>
        <v>-14968.242872000117</v>
      </c>
      <c r="K32" s="943"/>
      <c r="L32" s="973"/>
      <c r="N32" s="1092"/>
      <c r="O32" s="929"/>
    </row>
    <row r="33" spans="1:15" ht="18.75">
      <c r="A33" s="1561" t="s">
        <v>162</v>
      </c>
      <c r="B33" s="1562"/>
      <c r="C33" s="1562"/>
      <c r="D33" s="1562"/>
      <c r="E33" s="1562"/>
      <c r="F33" s="1562"/>
      <c r="G33" s="1562"/>
      <c r="H33" s="1562"/>
      <c r="I33" s="1562"/>
      <c r="J33" s="1563"/>
      <c r="K33" s="943"/>
      <c r="L33" s="902"/>
      <c r="O33" s="929"/>
    </row>
    <row r="34" spans="1:15">
      <c r="A34" s="994" t="s">
        <v>163</v>
      </c>
      <c r="B34" s="995"/>
      <c r="C34" s="995"/>
      <c r="D34" s="917"/>
      <c r="E34" s="916"/>
      <c r="F34" s="916"/>
      <c r="G34" s="917"/>
      <c r="H34" s="917"/>
      <c r="I34" s="917"/>
      <c r="J34" s="918"/>
      <c r="K34" s="943"/>
      <c r="L34" s="902"/>
      <c r="O34" s="929"/>
    </row>
    <row r="35" spans="1:15">
      <c r="A35" s="920" t="s">
        <v>164</v>
      </c>
      <c r="B35" s="921"/>
      <c r="C35" s="921"/>
      <c r="D35" s="922" t="s">
        <v>132</v>
      </c>
      <c r="E35" s="923">
        <f>'24'!F35</f>
        <v>680346</v>
      </c>
      <c r="F35" s="996">
        <v>683535</v>
      </c>
      <c r="G35" s="924">
        <f t="shared" ref="G35:G46" si="3">F35-E35</f>
        <v>3189</v>
      </c>
      <c r="H35" s="925">
        <f>G35+'24'!H35</f>
        <v>-9552.5899999999674</v>
      </c>
      <c r="I35" s="923"/>
      <c r="J35" s="927">
        <f>H35/DAY(B2)</f>
        <v>-382.10359999999872</v>
      </c>
      <c r="K35" s="943"/>
      <c r="L35" s="902"/>
      <c r="O35" s="929"/>
    </row>
    <row r="36" spans="1:15">
      <c r="A36" s="920" t="s">
        <v>165</v>
      </c>
      <c r="B36" s="921"/>
      <c r="C36" s="921"/>
      <c r="D36" s="922" t="s">
        <v>132</v>
      </c>
      <c r="E36" s="923">
        <f>'24'!F36</f>
        <v>293916</v>
      </c>
      <c r="F36" s="996">
        <v>294659</v>
      </c>
      <c r="G36" s="924">
        <f t="shared" si="3"/>
        <v>743</v>
      </c>
      <c r="H36" s="925">
        <f>G36+'24'!H36</f>
        <v>-1786.570000000007</v>
      </c>
      <c r="I36" s="923"/>
      <c r="J36" s="927">
        <f>H36/DAY(B2)</f>
        <v>-71.462800000000286</v>
      </c>
      <c r="K36" s="943"/>
      <c r="L36" s="902"/>
      <c r="O36" s="929"/>
    </row>
    <row r="37" spans="1:15">
      <c r="A37" s="920" t="s">
        <v>166</v>
      </c>
      <c r="B37" s="921"/>
      <c r="C37" s="921"/>
      <c r="D37" s="922" t="s">
        <v>132</v>
      </c>
      <c r="E37" s="923">
        <f>'24'!F37</f>
        <v>26173</v>
      </c>
      <c r="F37" s="996">
        <v>27665</v>
      </c>
      <c r="G37" s="924">
        <f t="shared" si="3"/>
        <v>1492</v>
      </c>
      <c r="H37" s="925">
        <f>G37+'24'!H37</f>
        <v>30770.080000000002</v>
      </c>
      <c r="I37" s="923"/>
      <c r="J37" s="927">
        <f>H37/DAY(B2)</f>
        <v>1230.8032000000001</v>
      </c>
      <c r="K37" s="943"/>
      <c r="L37" s="902"/>
      <c r="O37" s="929"/>
    </row>
    <row r="38" spans="1:15">
      <c r="A38" s="920" t="s">
        <v>167</v>
      </c>
      <c r="B38" s="921"/>
      <c r="C38" s="921"/>
      <c r="D38" s="922" t="s">
        <v>132</v>
      </c>
      <c r="E38" s="923">
        <f>'24'!F38</f>
        <v>35341</v>
      </c>
      <c r="F38" s="912">
        <v>37328</v>
      </c>
      <c r="G38" s="924">
        <f t="shared" si="3"/>
        <v>1987</v>
      </c>
      <c r="H38" s="925">
        <f>G38+'24'!H38</f>
        <v>-6485.489999999998</v>
      </c>
      <c r="I38" s="923"/>
      <c r="J38" s="927">
        <f>H38/DAY(B2)</f>
        <v>-259.41959999999995</v>
      </c>
      <c r="K38" s="943"/>
      <c r="L38" s="902"/>
      <c r="O38" s="929"/>
    </row>
    <row r="39" spans="1:15">
      <c r="A39" s="920" t="s">
        <v>168</v>
      </c>
      <c r="B39" s="921"/>
      <c r="C39" s="921"/>
      <c r="D39" s="922" t="s">
        <v>132</v>
      </c>
      <c r="E39" s="923">
        <f>'24'!F39</f>
        <v>73829</v>
      </c>
      <c r="F39" s="996">
        <v>77927</v>
      </c>
      <c r="G39" s="924">
        <f t="shared" si="3"/>
        <v>4098</v>
      </c>
      <c r="H39" s="925">
        <f>G39+'24'!H39</f>
        <v>87319.889999999985</v>
      </c>
      <c r="I39" s="923"/>
      <c r="J39" s="927">
        <f>H39/DAY(B2)</f>
        <v>3492.7955999999995</v>
      </c>
      <c r="K39" s="943"/>
      <c r="L39" s="902"/>
      <c r="O39" s="929"/>
    </row>
    <row r="40" spans="1:15">
      <c r="A40" s="997" t="s">
        <v>169</v>
      </c>
      <c r="B40" s="998"/>
      <c r="C40" s="998"/>
      <c r="D40" s="922" t="s">
        <v>132</v>
      </c>
      <c r="E40" s="923">
        <f>'24'!F40</f>
        <v>0</v>
      </c>
      <c r="F40" s="996">
        <v>0</v>
      </c>
      <c r="G40" s="924">
        <f t="shared" si="3"/>
        <v>0</v>
      </c>
      <c r="H40" s="925">
        <f>G40+'24'!H40</f>
        <v>-0.06</v>
      </c>
      <c r="I40" s="923"/>
      <c r="J40" s="927">
        <f>H40/DAY(B2)</f>
        <v>-2.3999999999999998E-3</v>
      </c>
      <c r="K40" s="950"/>
      <c r="L40" s="902"/>
      <c r="O40" s="929"/>
    </row>
    <row r="41" spans="1:15">
      <c r="A41" s="920" t="s">
        <v>170</v>
      </c>
      <c r="B41" s="921"/>
      <c r="C41" s="921"/>
      <c r="D41" s="922" t="s">
        <v>132</v>
      </c>
      <c r="E41" s="923">
        <f>'24'!F41</f>
        <v>63882</v>
      </c>
      <c r="F41" s="996">
        <v>63882</v>
      </c>
      <c r="G41" s="924">
        <f t="shared" si="3"/>
        <v>0</v>
      </c>
      <c r="H41" s="925">
        <f>G41+'24'!H41</f>
        <v>-0.37000000000261934</v>
      </c>
      <c r="I41" s="923"/>
      <c r="J41" s="927">
        <f>H41/DAY(B2)</f>
        <v>-1.4800000000104774E-2</v>
      </c>
      <c r="K41" s="943"/>
      <c r="L41" s="902"/>
      <c r="O41" s="929"/>
    </row>
    <row r="42" spans="1:15">
      <c r="A42" s="920" t="s">
        <v>171</v>
      </c>
      <c r="B42" s="921"/>
      <c r="C42" s="921"/>
      <c r="D42" s="922" t="s">
        <v>132</v>
      </c>
      <c r="E42" s="923">
        <f>'24'!F42</f>
        <v>59129</v>
      </c>
      <c r="F42" s="996">
        <v>59129</v>
      </c>
      <c r="G42" s="924">
        <f t="shared" si="3"/>
        <v>0</v>
      </c>
      <c r="H42" s="925">
        <f>G42+'24'!H42</f>
        <v>0.15000000000145519</v>
      </c>
      <c r="I42" s="923"/>
      <c r="J42" s="927">
        <f>H42/DAY(B2)</f>
        <v>6.0000000000582079E-3</v>
      </c>
      <c r="K42" s="943"/>
      <c r="L42" s="902"/>
      <c r="O42" s="929"/>
    </row>
    <row r="43" spans="1:15">
      <c r="A43" s="920" t="s">
        <v>172</v>
      </c>
      <c r="B43" s="921"/>
      <c r="C43" s="921"/>
      <c r="D43" s="922" t="s">
        <v>132</v>
      </c>
      <c r="E43" s="923">
        <f>'24'!F43</f>
        <v>816657</v>
      </c>
      <c r="F43" s="996">
        <v>818936</v>
      </c>
      <c r="G43" s="924">
        <f t="shared" si="3"/>
        <v>2279</v>
      </c>
      <c r="H43" s="925">
        <f>G43+'24'!H43</f>
        <v>-6961.8299999999581</v>
      </c>
      <c r="I43" s="923"/>
      <c r="J43" s="927">
        <f>H43/DAY(B2)</f>
        <v>-278.47319999999831</v>
      </c>
      <c r="K43" s="943"/>
      <c r="L43" s="902"/>
      <c r="O43" s="929"/>
    </row>
    <row r="44" spans="1:15">
      <c r="A44" s="920" t="s">
        <v>173</v>
      </c>
      <c r="B44" s="921"/>
      <c r="C44" s="921"/>
      <c r="D44" s="922" t="s">
        <v>132</v>
      </c>
      <c r="E44" s="923">
        <f>'24'!F44</f>
        <v>0</v>
      </c>
      <c r="F44" s="996">
        <v>0</v>
      </c>
      <c r="G44" s="924">
        <f t="shared" si="3"/>
        <v>0</v>
      </c>
      <c r="H44" s="925">
        <f>G44+'24'!H44</f>
        <v>0</v>
      </c>
      <c r="I44" s="923"/>
      <c r="J44" s="927">
        <f>H44/DAY(B2)</f>
        <v>0</v>
      </c>
      <c r="K44" s="943"/>
      <c r="L44" s="902"/>
      <c r="O44" s="929"/>
    </row>
    <row r="45" spans="1:15">
      <c r="A45" s="920" t="s">
        <v>174</v>
      </c>
      <c r="B45" s="921"/>
      <c r="C45" s="921"/>
      <c r="D45" s="922" t="s">
        <v>132</v>
      </c>
      <c r="E45" s="923">
        <f>'24'!F45</f>
        <v>614</v>
      </c>
      <c r="F45" s="996">
        <v>614</v>
      </c>
      <c r="G45" s="924">
        <f t="shared" si="3"/>
        <v>0</v>
      </c>
      <c r="H45" s="925">
        <f>G45+'24'!H45</f>
        <v>0</v>
      </c>
      <c r="I45" s="923"/>
      <c r="J45" s="927">
        <f>H45/DAY(B2)</f>
        <v>0</v>
      </c>
      <c r="K45" s="943"/>
      <c r="L45" s="902"/>
      <c r="O45" s="929"/>
    </row>
    <row r="46" spans="1:15">
      <c r="A46" s="920" t="s">
        <v>175</v>
      </c>
      <c r="B46" s="921"/>
      <c r="C46" s="921"/>
      <c r="D46" s="922" t="s">
        <v>132</v>
      </c>
      <c r="E46" s="923">
        <f>'24'!F46</f>
        <v>187</v>
      </c>
      <c r="F46" s="996">
        <v>187</v>
      </c>
      <c r="G46" s="924">
        <f t="shared" si="3"/>
        <v>0</v>
      </c>
      <c r="H46" s="925">
        <f>G46+'24'!H46</f>
        <v>0</v>
      </c>
      <c r="I46" s="923"/>
      <c r="J46" s="927">
        <f>H46/DAY(B2)</f>
        <v>0</v>
      </c>
      <c r="K46" s="943"/>
      <c r="L46" s="902"/>
      <c r="O46" s="929"/>
    </row>
    <row r="47" spans="1:15">
      <c r="A47" s="945" t="s">
        <v>176</v>
      </c>
      <c r="B47" s="946"/>
      <c r="C47" s="946"/>
      <c r="D47" s="913"/>
      <c r="E47" s="909"/>
      <c r="F47" s="909"/>
      <c r="G47" s="947">
        <f>G35+G36+G37+G38+G39+G40+G41+G42+G43+G44+G45+G46</f>
        <v>13788</v>
      </c>
      <c r="H47" s="925">
        <f>G47+'24'!H47</f>
        <v>93303.210000000036</v>
      </c>
      <c r="I47" s="923"/>
      <c r="J47" s="927">
        <f>H47/DAY(B2)</f>
        <v>3732.1284000000014</v>
      </c>
      <c r="K47" s="943"/>
      <c r="L47" s="902"/>
      <c r="N47" s="1093"/>
      <c r="O47" s="929"/>
    </row>
    <row r="48" spans="1:15">
      <c r="A48" s="994" t="s">
        <v>177</v>
      </c>
      <c r="B48" s="995"/>
      <c r="C48" s="995"/>
      <c r="D48" s="917"/>
      <c r="E48" s="916"/>
      <c r="F48" s="916"/>
      <c r="G48" s="917"/>
      <c r="H48" s="917"/>
      <c r="I48" s="917"/>
      <c r="J48" s="918"/>
      <c r="K48" s="943"/>
      <c r="L48" s="902"/>
      <c r="O48" s="929"/>
    </row>
    <row r="49" spans="1:15">
      <c r="A49" s="920" t="s">
        <v>164</v>
      </c>
      <c r="B49" s="999"/>
      <c r="C49" s="999"/>
      <c r="D49" s="922" t="s">
        <v>132</v>
      </c>
      <c r="E49" s="923">
        <f>'24'!F49</f>
        <v>260732</v>
      </c>
      <c r="F49" s="996">
        <v>260732</v>
      </c>
      <c r="G49" s="924">
        <f t="shared" ref="G49:G58" si="4">F49-E49</f>
        <v>0</v>
      </c>
      <c r="H49" s="925">
        <f>G49+'24'!H49</f>
        <v>-0.13000000000465661</v>
      </c>
      <c r="I49" s="923"/>
      <c r="J49" s="927">
        <f>H49/DAY(B2)</f>
        <v>-5.2000000001862648E-3</v>
      </c>
      <c r="K49" s="943"/>
      <c r="L49" s="902"/>
      <c r="O49" s="929"/>
    </row>
    <row r="50" spans="1:15">
      <c r="A50" s="920" t="s">
        <v>178</v>
      </c>
      <c r="B50" s="999"/>
      <c r="C50" s="999"/>
      <c r="D50" s="922" t="s">
        <v>132</v>
      </c>
      <c r="E50" s="923">
        <f>'24'!F50</f>
        <v>398195</v>
      </c>
      <c r="F50" s="996">
        <v>399395</v>
      </c>
      <c r="G50" s="924">
        <f t="shared" si="4"/>
        <v>1200</v>
      </c>
      <c r="H50" s="925">
        <f>G50+'24'!H50</f>
        <v>-4262.0300000000279</v>
      </c>
      <c r="I50" s="923"/>
      <c r="J50" s="927">
        <f>H50/DAY(B2)</f>
        <v>-170.48120000000111</v>
      </c>
      <c r="K50" s="943"/>
      <c r="L50" s="902"/>
      <c r="O50" s="929"/>
    </row>
    <row r="51" spans="1:15">
      <c r="A51" s="920" t="s">
        <v>166</v>
      </c>
      <c r="B51" s="999"/>
      <c r="C51" s="999"/>
      <c r="D51" s="922" t="s">
        <v>132</v>
      </c>
      <c r="E51" s="923">
        <f>'24'!F51</f>
        <v>120051</v>
      </c>
      <c r="F51" s="996">
        <v>120051</v>
      </c>
      <c r="G51" s="924">
        <f t="shared" si="4"/>
        <v>0</v>
      </c>
      <c r="H51" s="925">
        <f>G51+'24'!H51</f>
        <v>-1548.9199999999983</v>
      </c>
      <c r="I51" s="923"/>
      <c r="J51" s="927">
        <f>H51/DAY(B2)</f>
        <v>-61.95679999999993</v>
      </c>
      <c r="K51" s="943"/>
      <c r="L51" s="902"/>
      <c r="O51" s="929"/>
    </row>
    <row r="52" spans="1:15">
      <c r="A52" s="920" t="s">
        <v>179</v>
      </c>
      <c r="B52" s="999"/>
      <c r="C52" s="999"/>
      <c r="D52" s="922" t="s">
        <v>132</v>
      </c>
      <c r="E52" s="923">
        <f>'24'!F52</f>
        <v>507913</v>
      </c>
      <c r="F52" s="996">
        <v>507913</v>
      </c>
      <c r="G52" s="924">
        <f t="shared" si="4"/>
        <v>0</v>
      </c>
      <c r="H52" s="925">
        <f>G52+'24'!H52</f>
        <v>-2045.710000000021</v>
      </c>
      <c r="I52" s="923"/>
      <c r="J52" s="927">
        <f>H52/DAY(B2)</f>
        <v>-81.82840000000084</v>
      </c>
      <c r="K52" s="943"/>
      <c r="L52" s="902"/>
      <c r="O52" s="929"/>
    </row>
    <row r="53" spans="1:15">
      <c r="A53" s="920" t="s">
        <v>168</v>
      </c>
      <c r="B53" s="999"/>
      <c r="C53" s="999"/>
      <c r="D53" s="922" t="s">
        <v>132</v>
      </c>
      <c r="E53" s="923">
        <f>'24'!F53</f>
        <v>331855</v>
      </c>
      <c r="F53" s="996">
        <v>331855</v>
      </c>
      <c r="G53" s="924">
        <f t="shared" si="4"/>
        <v>0</v>
      </c>
      <c r="H53" s="925">
        <f>G53+'24'!H53</f>
        <v>-4184.5100000000093</v>
      </c>
      <c r="I53" s="923"/>
      <c r="J53" s="927">
        <f>H53/DAY(B2)</f>
        <v>-167.38040000000038</v>
      </c>
      <c r="K53" s="943"/>
      <c r="L53" s="902"/>
      <c r="O53" s="929"/>
    </row>
    <row r="54" spans="1:15">
      <c r="A54" s="920" t="s">
        <v>180</v>
      </c>
      <c r="B54" s="999"/>
      <c r="C54" s="999"/>
      <c r="D54" s="922" t="s">
        <v>132</v>
      </c>
      <c r="E54" s="923">
        <f>'24'!F54</f>
        <v>7815</v>
      </c>
      <c r="F54" s="996">
        <v>7884</v>
      </c>
      <c r="G54" s="924">
        <f t="shared" si="4"/>
        <v>69</v>
      </c>
      <c r="H54" s="925">
        <f>G54+'24'!H54</f>
        <v>-211.63000000000011</v>
      </c>
      <c r="I54" s="923"/>
      <c r="J54" s="927">
        <f>H54/DAY(B2)</f>
        <v>-8.4652000000000047</v>
      </c>
      <c r="K54" s="943"/>
      <c r="L54" s="902"/>
      <c r="O54" s="929"/>
    </row>
    <row r="55" spans="1:15">
      <c r="A55" s="920" t="s">
        <v>181</v>
      </c>
      <c r="B55" s="999"/>
      <c r="C55" s="999"/>
      <c r="D55" s="922" t="s">
        <v>132</v>
      </c>
      <c r="E55" s="923">
        <f>'24'!F55</f>
        <v>96591</v>
      </c>
      <c r="F55" s="996">
        <v>101639</v>
      </c>
      <c r="G55" s="924">
        <f t="shared" si="4"/>
        <v>5048</v>
      </c>
      <c r="H55" s="925">
        <f>G55+'24'!H55</f>
        <v>-20945.690000000002</v>
      </c>
      <c r="I55" s="923"/>
      <c r="J55" s="927">
        <f>H55/DAY(B2)</f>
        <v>-837.82760000000007</v>
      </c>
      <c r="K55" s="943"/>
      <c r="L55" s="902"/>
      <c r="O55" s="929"/>
    </row>
    <row r="56" spans="1:15">
      <c r="A56" s="920" t="s">
        <v>182</v>
      </c>
      <c r="B56" s="999"/>
      <c r="C56" s="999"/>
      <c r="D56" s="922" t="s">
        <v>183</v>
      </c>
      <c r="E56" s="923">
        <f>'24'!F56</f>
        <v>586023</v>
      </c>
      <c r="F56" s="996">
        <v>586023</v>
      </c>
      <c r="G56" s="924">
        <f t="shared" si="4"/>
        <v>0</v>
      </c>
      <c r="H56" s="925">
        <f>G56+'24'!H56</f>
        <v>-28.03000000002794</v>
      </c>
      <c r="I56" s="923"/>
      <c r="J56" s="927">
        <f>H56/DAY(B2)</f>
        <v>-1.1212000000011175</v>
      </c>
      <c r="K56" s="919"/>
      <c r="L56" s="902"/>
      <c r="O56" s="929"/>
    </row>
    <row r="57" spans="1:15">
      <c r="A57" s="920" t="s">
        <v>172</v>
      </c>
      <c r="B57" s="999"/>
      <c r="C57" s="999"/>
      <c r="D57" s="922" t="s">
        <v>132</v>
      </c>
      <c r="E57" s="923">
        <f>'24'!F57</f>
        <v>7711</v>
      </c>
      <c r="F57" s="996">
        <v>7711</v>
      </c>
      <c r="G57" s="924">
        <f t="shared" si="4"/>
        <v>0</v>
      </c>
      <c r="H57" s="925">
        <f>G57+'24'!H57</f>
        <v>-0.32999999999992724</v>
      </c>
      <c r="I57" s="923"/>
      <c r="J57" s="927">
        <f>H57/DAY(B2)</f>
        <v>-1.3199999999997089E-2</v>
      </c>
      <c r="K57" s="943"/>
      <c r="L57" s="902"/>
      <c r="O57" s="929"/>
    </row>
    <row r="58" spans="1:15">
      <c r="A58" s="920" t="s">
        <v>184</v>
      </c>
      <c r="B58" s="999"/>
      <c r="C58" s="999"/>
      <c r="D58" s="922" t="s">
        <v>132</v>
      </c>
      <c r="E58" s="923">
        <f>'24'!F58</f>
        <v>35119</v>
      </c>
      <c r="F58" s="996">
        <v>35277</v>
      </c>
      <c r="G58" s="924">
        <f t="shared" si="4"/>
        <v>158</v>
      </c>
      <c r="H58" s="925">
        <f>G58+'24'!H58</f>
        <v>-787.69999999999709</v>
      </c>
      <c r="I58" s="923"/>
      <c r="J58" s="927">
        <f>H58/DAY(B2)</f>
        <v>-31.507999999999882</v>
      </c>
      <c r="K58" s="943"/>
      <c r="L58" s="902"/>
      <c r="O58" s="929"/>
    </row>
    <row r="59" spans="1:15">
      <c r="A59" s="945" t="s">
        <v>176</v>
      </c>
      <c r="B59" s="946"/>
      <c r="C59" s="946"/>
      <c r="D59" s="909"/>
      <c r="E59" s="909"/>
      <c r="F59" s="909"/>
      <c r="G59" s="947">
        <f>G49+G50+G51+G52+G53+G54+G55+G56+G57+G58</f>
        <v>6475</v>
      </c>
      <c r="H59" s="925">
        <f>G59+'24'!H59</f>
        <v>-34014.680000000095</v>
      </c>
      <c r="I59" s="923">
        <f>G7-G60</f>
        <v>340</v>
      </c>
      <c r="J59" s="927">
        <f>H59/DAY(B2)</f>
        <v>-1360.5872000000038</v>
      </c>
      <c r="K59" s="943"/>
      <c r="L59" s="902"/>
      <c r="O59" s="929"/>
    </row>
    <row r="60" spans="1:15">
      <c r="A60" s="920"/>
      <c r="B60" s="921"/>
      <c r="C60" s="921"/>
      <c r="D60" s="909" t="s">
        <v>185</v>
      </c>
      <c r="E60" s="909"/>
      <c r="F60" s="909"/>
      <c r="G60" s="947">
        <f>G47+G59</f>
        <v>20263</v>
      </c>
      <c r="H60" s="925">
        <f>G60+'24'!H60</f>
        <v>73457.529999999882</v>
      </c>
      <c r="I60" s="923">
        <f>G13-G60</f>
        <v>-266</v>
      </c>
      <c r="J60" s="927">
        <f>H60/DAY(B2)</f>
        <v>2938.3011999999953</v>
      </c>
      <c r="K60" s="943"/>
      <c r="L60" s="902"/>
      <c r="O60" s="929"/>
    </row>
    <row r="61" spans="1:15">
      <c r="A61" s="1000" t="s">
        <v>186</v>
      </c>
      <c r="B61" s="1001"/>
      <c r="C61" s="1001"/>
      <c r="D61" s="1001"/>
      <c r="E61" s="1002"/>
      <c r="F61" s="1002"/>
      <c r="G61" s="1001"/>
      <c r="H61" s="1001"/>
      <c r="I61" s="1001"/>
      <c r="J61" s="1003"/>
      <c r="K61" s="943"/>
      <c r="L61" s="902"/>
      <c r="O61" s="929"/>
    </row>
    <row r="62" spans="1:15">
      <c r="A62" s="1004" t="s">
        <v>98</v>
      </c>
      <c r="B62" s="1005"/>
      <c r="C62" s="1005"/>
      <c r="D62" s="909" t="s">
        <v>187</v>
      </c>
      <c r="E62" s="923">
        <f>'24'!F62</f>
        <v>20419.18</v>
      </c>
      <c r="F62" s="1006">
        <v>20419.18</v>
      </c>
      <c r="G62" s="924">
        <f t="shared" ref="G62:G69" si="5">F62-E62</f>
        <v>0</v>
      </c>
      <c r="H62" s="925">
        <f>G62+'24'!H62</f>
        <v>-7.0000000014260877E-3</v>
      </c>
      <c r="I62" s="1007"/>
      <c r="J62" s="927">
        <f>H62/DAY(B2)</f>
        <v>-2.8000000005704348E-4</v>
      </c>
      <c r="K62" s="943"/>
      <c r="L62" s="902"/>
      <c r="O62" s="929"/>
    </row>
    <row r="63" spans="1:15">
      <c r="A63" s="1004" t="s">
        <v>188</v>
      </c>
      <c r="B63" s="1005"/>
      <c r="C63" s="1005"/>
      <c r="D63" s="909" t="s">
        <v>187</v>
      </c>
      <c r="E63" s="923">
        <f>'24'!F63</f>
        <v>1649</v>
      </c>
      <c r="F63" s="1006">
        <v>1663</v>
      </c>
      <c r="G63" s="924">
        <f t="shared" si="5"/>
        <v>14</v>
      </c>
      <c r="H63" s="925">
        <f>G63+'24'!H63</f>
        <v>-44.3599999999999</v>
      </c>
      <c r="I63" s="1007"/>
      <c r="J63" s="927">
        <f>H63/DAY(B2)</f>
        <v>-1.774399999999996</v>
      </c>
      <c r="K63" s="943"/>
      <c r="L63" s="902"/>
      <c r="O63" s="929"/>
    </row>
    <row r="64" spans="1:15">
      <c r="A64" s="1552" t="s">
        <v>99</v>
      </c>
      <c r="B64" s="1553"/>
      <c r="C64" s="1554"/>
      <c r="D64" s="922" t="s">
        <v>187</v>
      </c>
      <c r="E64" s="923">
        <f>'24'!F64</f>
        <v>121561</v>
      </c>
      <c r="F64" s="953">
        <v>122093</v>
      </c>
      <c r="G64" s="924">
        <f t="shared" si="5"/>
        <v>532</v>
      </c>
      <c r="H64" s="925">
        <f>G64+'24'!H64</f>
        <v>-1534.3000000000029</v>
      </c>
      <c r="I64" s="944"/>
      <c r="J64" s="927">
        <f>H64/DAY(B2)</f>
        <v>-61.372000000000114</v>
      </c>
      <c r="K64" s="943"/>
      <c r="L64" s="902"/>
      <c r="O64" s="929"/>
    </row>
    <row r="65" spans="1:15">
      <c r="A65" s="1552" t="s">
        <v>100</v>
      </c>
      <c r="B65" s="1553"/>
      <c r="C65" s="1554"/>
      <c r="D65" s="922" t="s">
        <v>187</v>
      </c>
      <c r="E65" s="923">
        <f>'24'!F65</f>
        <v>131000</v>
      </c>
      <c r="F65" s="953">
        <v>131392</v>
      </c>
      <c r="G65" s="924">
        <f t="shared" si="5"/>
        <v>392</v>
      </c>
      <c r="H65" s="925">
        <f>G65+'24'!H65</f>
        <v>-1205.2999999999884</v>
      </c>
      <c r="I65" s="962"/>
      <c r="J65" s="927">
        <f>H65/DAY(B2)</f>
        <v>-48.211999999999534</v>
      </c>
      <c r="K65" s="943"/>
      <c r="L65" s="902"/>
      <c r="O65" s="929"/>
    </row>
    <row r="66" spans="1:15">
      <c r="A66" s="1552" t="s">
        <v>101</v>
      </c>
      <c r="B66" s="1553"/>
      <c r="C66" s="1554"/>
      <c r="D66" s="922" t="s">
        <v>187</v>
      </c>
      <c r="E66" s="923">
        <f>'24'!F66</f>
        <v>23585</v>
      </c>
      <c r="F66" s="953">
        <v>23979</v>
      </c>
      <c r="G66" s="924">
        <f t="shared" si="5"/>
        <v>394</v>
      </c>
      <c r="H66" s="925">
        <f>G66+'24'!H66</f>
        <v>-1180.75</v>
      </c>
      <c r="I66" s="944"/>
      <c r="J66" s="927">
        <f>H66/DAY(B2)</f>
        <v>-47.23</v>
      </c>
      <c r="K66" s="943"/>
      <c r="L66" s="902"/>
      <c r="O66" s="929"/>
    </row>
    <row r="67" spans="1:15">
      <c r="A67" s="1552" t="s">
        <v>102</v>
      </c>
      <c r="B67" s="1553"/>
      <c r="C67" s="1554"/>
      <c r="D67" s="922" t="s">
        <v>187</v>
      </c>
      <c r="E67" s="923">
        <f>'24'!F67</f>
        <v>205231</v>
      </c>
      <c r="F67" s="953">
        <v>205830</v>
      </c>
      <c r="G67" s="924">
        <f t="shared" si="5"/>
        <v>599</v>
      </c>
      <c r="H67" s="925">
        <f>G67+'24'!H67</f>
        <v>-2011.8299999999872</v>
      </c>
      <c r="I67" s="962"/>
      <c r="J67" s="927">
        <f>H67/DAY(B2)</f>
        <v>-80.473199999999494</v>
      </c>
      <c r="K67" s="950"/>
      <c r="L67" s="902"/>
      <c r="O67" s="929"/>
    </row>
    <row r="68" spans="1:15">
      <c r="A68" s="1552" t="s">
        <v>103</v>
      </c>
      <c r="B68" s="1553"/>
      <c r="C68" s="1554"/>
      <c r="D68" s="922" t="s">
        <v>187</v>
      </c>
      <c r="E68" s="923">
        <f>'24'!F68</f>
        <v>71374</v>
      </c>
      <c r="F68" s="953">
        <v>71669</v>
      </c>
      <c r="G68" s="924">
        <f t="shared" si="5"/>
        <v>295</v>
      </c>
      <c r="H68" s="925">
        <f>G68+'24'!H68</f>
        <v>-9.5200000000040745</v>
      </c>
      <c r="I68" s="1008"/>
      <c r="J68" s="927">
        <f>H68/DAY(B2)</f>
        <v>-0.38080000000016301</v>
      </c>
      <c r="K68" s="1009"/>
      <c r="L68" s="902"/>
      <c r="O68" s="929"/>
    </row>
    <row r="69" spans="1:15">
      <c r="A69" s="1552" t="s">
        <v>104</v>
      </c>
      <c r="B69" s="1553"/>
      <c r="C69" s="1554"/>
      <c r="D69" s="922" t="s">
        <v>187</v>
      </c>
      <c r="E69" s="923">
        <f>'24'!F69</f>
        <v>63135</v>
      </c>
      <c r="F69" s="953">
        <v>63459</v>
      </c>
      <c r="G69" s="924">
        <f t="shared" si="5"/>
        <v>324</v>
      </c>
      <c r="H69" s="925">
        <f>G69+'24'!H69</f>
        <v>-993.08999999999651</v>
      </c>
      <c r="I69" s="1008"/>
      <c r="J69" s="927">
        <f>H69/DAY(B2)</f>
        <v>-39.723599999999863</v>
      </c>
      <c r="K69" s="1010"/>
      <c r="L69" s="902"/>
      <c r="O69" s="929"/>
    </row>
    <row r="70" spans="1:15">
      <c r="A70" s="1575" t="s">
        <v>189</v>
      </c>
      <c r="B70" s="1576"/>
      <c r="C70" s="1577"/>
      <c r="D70" s="922" t="s">
        <v>187</v>
      </c>
      <c r="E70" s="1011"/>
      <c r="F70" s="1012"/>
      <c r="G70" s="1012"/>
      <c r="H70" s="925">
        <f>G70+'13'!H70</f>
        <v>0</v>
      </c>
      <c r="I70" s="1012"/>
      <c r="J70" s="1013"/>
      <c r="K70" s="1010"/>
      <c r="L70" s="902"/>
      <c r="O70" s="929"/>
    </row>
    <row r="71" spans="1:15" ht="22.5">
      <c r="A71" s="1572" t="s">
        <v>190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1009"/>
      <c r="L71" s="902"/>
      <c r="O71" s="929"/>
    </row>
    <row r="72" spans="1:15">
      <c r="A72" s="1552" t="s">
        <v>191</v>
      </c>
      <c r="B72" s="1553"/>
      <c r="C72" s="1554"/>
      <c r="D72" s="922" t="s">
        <v>187</v>
      </c>
      <c r="E72" s="923">
        <f>'24'!F72</f>
        <v>850289</v>
      </c>
      <c r="F72" s="1014">
        <v>850364</v>
      </c>
      <c r="G72" s="924">
        <f t="shared" ref="G72:G84" si="6">F72-E72</f>
        <v>75</v>
      </c>
      <c r="H72" s="925">
        <f>G72+'24'!H72</f>
        <v>1971</v>
      </c>
      <c r="I72" s="944"/>
      <c r="J72" s="927">
        <f>H72/DAY(B2)</f>
        <v>78.84</v>
      </c>
      <c r="K72" s="1010"/>
      <c r="L72" s="902"/>
      <c r="O72" s="929"/>
    </row>
    <row r="73" spans="1:15">
      <c r="A73" s="1552" t="s">
        <v>192</v>
      </c>
      <c r="B73" s="1553"/>
      <c r="C73" s="1554"/>
      <c r="D73" s="922" t="s">
        <v>187</v>
      </c>
      <c r="E73" s="923">
        <f>'24'!F73</f>
        <v>885770</v>
      </c>
      <c r="F73" s="1015">
        <v>885771</v>
      </c>
      <c r="G73" s="924">
        <f t="shared" si="6"/>
        <v>1</v>
      </c>
      <c r="H73" s="925">
        <f>G73+'24'!H73</f>
        <v>-1137</v>
      </c>
      <c r="I73" s="944"/>
      <c r="J73" s="927">
        <f>H73/DAY(B2)</f>
        <v>-45.48</v>
      </c>
      <c r="K73" s="1009"/>
      <c r="L73" s="902"/>
      <c r="O73" s="929"/>
    </row>
    <row r="74" spans="1:15">
      <c r="A74" s="1552" t="s">
        <v>193</v>
      </c>
      <c r="B74" s="1553"/>
      <c r="C74" s="1554"/>
      <c r="D74" s="922" t="s">
        <v>187</v>
      </c>
      <c r="E74" s="923">
        <f>'24'!F74</f>
        <v>486</v>
      </c>
      <c r="F74" s="1016">
        <v>501</v>
      </c>
      <c r="G74" s="924">
        <f t="shared" si="6"/>
        <v>15</v>
      </c>
      <c r="H74" s="925">
        <f>G74+'24'!H74</f>
        <v>-85.170000000000073</v>
      </c>
      <c r="I74" s="944"/>
      <c r="J74" s="927">
        <f>H74/DAY(B2)</f>
        <v>-3.4068000000000027</v>
      </c>
      <c r="K74" s="1010"/>
      <c r="L74" s="902"/>
      <c r="O74" s="929"/>
    </row>
    <row r="75" spans="1:15">
      <c r="A75" s="1578" t="s">
        <v>194</v>
      </c>
      <c r="B75" s="1579"/>
      <c r="C75" s="1580"/>
      <c r="D75" s="922" t="s">
        <v>187</v>
      </c>
      <c r="E75" s="923">
        <f>'24'!F75</f>
        <v>2859</v>
      </c>
      <c r="F75" s="1016">
        <v>3012</v>
      </c>
      <c r="G75" s="924">
        <f t="shared" si="6"/>
        <v>153</v>
      </c>
      <c r="H75" s="925">
        <f>G75+'24'!H75</f>
        <v>-507.21999999999935</v>
      </c>
      <c r="I75" s="944"/>
      <c r="J75" s="927">
        <f>H75/DAY(B2)</f>
        <v>-20.288799999999974</v>
      </c>
      <c r="K75" s="1009"/>
      <c r="L75" s="902"/>
      <c r="O75" s="929"/>
    </row>
    <row r="76" spans="1:15">
      <c r="A76" s="1578" t="s">
        <v>195</v>
      </c>
      <c r="B76" s="1579"/>
      <c r="C76" s="1580"/>
      <c r="D76" s="922" t="s">
        <v>187</v>
      </c>
      <c r="E76" s="923">
        <f>'24'!F76</f>
        <v>1196</v>
      </c>
      <c r="F76" s="1015">
        <v>1273</v>
      </c>
      <c r="G76" s="924">
        <f t="shared" si="6"/>
        <v>77</v>
      </c>
      <c r="H76" s="925">
        <f>G76+'24'!H76</f>
        <v>-1785.4199999999996</v>
      </c>
      <c r="I76" s="987"/>
      <c r="J76" s="927">
        <f>H76/DAY(B2)</f>
        <v>-71.416799999999981</v>
      </c>
      <c r="K76" s="1009"/>
      <c r="L76" s="902"/>
      <c r="O76" s="929"/>
    </row>
    <row r="77" spans="1:15">
      <c r="A77" s="1552" t="s">
        <v>196</v>
      </c>
      <c r="B77" s="1553"/>
      <c r="C77" s="1554"/>
      <c r="D77" s="922" t="s">
        <v>187</v>
      </c>
      <c r="E77" s="923">
        <f>'24'!F77</f>
        <v>698404</v>
      </c>
      <c r="F77" s="1015">
        <v>698448</v>
      </c>
      <c r="G77" s="924">
        <f t="shared" si="6"/>
        <v>44</v>
      </c>
      <c r="H77" s="925">
        <f>G77+'24'!H77</f>
        <v>-140</v>
      </c>
      <c r="I77" s="987"/>
      <c r="J77" s="927">
        <f>H77/DAY(B2)</f>
        <v>-5.6</v>
      </c>
      <c r="K77" s="1009"/>
      <c r="L77" s="902"/>
      <c r="O77" s="929"/>
    </row>
    <row r="78" spans="1:15">
      <c r="A78" s="1017" t="s">
        <v>197</v>
      </c>
      <c r="B78" s="1225"/>
      <c r="C78" s="1225"/>
      <c r="D78" s="922" t="s">
        <v>187</v>
      </c>
      <c r="E78" s="923">
        <f>'24'!F78</f>
        <v>651496</v>
      </c>
      <c r="F78" s="1016">
        <v>651780</v>
      </c>
      <c r="G78" s="924">
        <f t="shared" si="6"/>
        <v>284</v>
      </c>
      <c r="H78" s="925">
        <f>G78+'24'!H78</f>
        <v>-1083</v>
      </c>
      <c r="I78" s="987"/>
      <c r="J78" s="927">
        <f>H78/DAY(B2)</f>
        <v>-43.32</v>
      </c>
      <c r="K78" s="1009"/>
      <c r="L78" s="902"/>
      <c r="O78" s="929"/>
    </row>
    <row r="79" spans="1:15">
      <c r="A79" s="1578" t="s">
        <v>92</v>
      </c>
      <c r="B79" s="1579"/>
      <c r="C79" s="1580"/>
      <c r="D79" s="956" t="s">
        <v>187</v>
      </c>
      <c r="E79" s="923">
        <f>'24'!F79</f>
        <v>814288</v>
      </c>
      <c r="F79" s="1016">
        <v>814492</v>
      </c>
      <c r="G79" s="924">
        <f t="shared" si="6"/>
        <v>204</v>
      </c>
      <c r="H79" s="925">
        <f>G79+'24'!H79</f>
        <v>-3244</v>
      </c>
      <c r="I79" s="987"/>
      <c r="J79" s="927">
        <f>H79/DAY(B2)</f>
        <v>-129.76</v>
      </c>
      <c r="K79" s="1009"/>
      <c r="L79" s="902"/>
      <c r="O79" s="929"/>
    </row>
    <row r="80" spans="1:15">
      <c r="A80" s="1578" t="s">
        <v>198</v>
      </c>
      <c r="B80" s="1579"/>
      <c r="C80" s="1580"/>
      <c r="D80" s="956" t="s">
        <v>187</v>
      </c>
      <c r="E80" s="923">
        <f>'24'!F80</f>
        <v>493174</v>
      </c>
      <c r="F80" s="1014">
        <v>493543</v>
      </c>
      <c r="G80" s="924">
        <f t="shared" si="6"/>
        <v>369</v>
      </c>
      <c r="H80" s="925">
        <f>G80+'24'!H80</f>
        <v>1543.320000000007</v>
      </c>
      <c r="I80" s="987"/>
      <c r="J80" s="927">
        <f>H80/DAY(B2)</f>
        <v>61.732800000000282</v>
      </c>
      <c r="K80" s="1009"/>
      <c r="L80" s="902"/>
      <c r="O80" s="929"/>
    </row>
    <row r="81" spans="1:15">
      <c r="A81" s="1578" t="s">
        <v>199</v>
      </c>
      <c r="B81" s="1579"/>
      <c r="C81" s="1580"/>
      <c r="D81" s="956" t="s">
        <v>187</v>
      </c>
      <c r="E81" s="923">
        <f>'24'!F81</f>
        <v>625425</v>
      </c>
      <c r="F81" s="1015">
        <v>625551</v>
      </c>
      <c r="G81" s="924">
        <f t="shared" si="6"/>
        <v>126</v>
      </c>
      <c r="H81" s="925">
        <f>G81+'24'!H81</f>
        <v>-392.8399999999674</v>
      </c>
      <c r="I81" s="987"/>
      <c r="J81" s="927">
        <f>H81/DAY(B2)</f>
        <v>-15.713599999998696</v>
      </c>
      <c r="K81" s="1009"/>
      <c r="L81" s="902"/>
      <c r="O81" s="929"/>
    </row>
    <row r="82" spans="1:15">
      <c r="A82" s="1578" t="s">
        <v>93</v>
      </c>
      <c r="B82" s="1579"/>
      <c r="C82" s="1580"/>
      <c r="D82" s="957" t="s">
        <v>132</v>
      </c>
      <c r="E82" s="923">
        <f>'24'!F82</f>
        <v>106116</v>
      </c>
      <c r="F82" s="1018">
        <v>106140</v>
      </c>
      <c r="G82" s="924">
        <f t="shared" si="6"/>
        <v>24</v>
      </c>
      <c r="H82" s="925">
        <f>G82+'24'!H82</f>
        <v>-62.479999999995925</v>
      </c>
      <c r="I82" s="958"/>
      <c r="J82" s="927">
        <f>H82/DAY(B2)</f>
        <v>-2.4991999999998371</v>
      </c>
      <c r="K82" s="1009"/>
      <c r="L82" s="902"/>
      <c r="N82" s="1091">
        <f>371*0.99</f>
        <v>367.29</v>
      </c>
      <c r="O82" s="929"/>
    </row>
    <row r="83" spans="1:15">
      <c r="A83" s="1578" t="s">
        <v>200</v>
      </c>
      <c r="B83" s="1579"/>
      <c r="C83" s="1580"/>
      <c r="D83" s="1019" t="s">
        <v>132</v>
      </c>
      <c r="E83" s="923">
        <f>'24'!F83</f>
        <v>994387</v>
      </c>
      <c r="F83" s="909">
        <v>994867</v>
      </c>
      <c r="G83" s="924">
        <f t="shared" si="6"/>
        <v>480</v>
      </c>
      <c r="H83" s="925">
        <f>G83+'24'!H83</f>
        <v>998270</v>
      </c>
      <c r="I83" s="947"/>
      <c r="J83" s="927">
        <f>H83/DAY(B2)</f>
        <v>39930.800000000003</v>
      </c>
      <c r="K83" s="950"/>
      <c r="L83" s="902"/>
      <c r="O83" s="929"/>
    </row>
    <row r="84" spans="1:15">
      <c r="A84" s="1020" t="s">
        <v>201</v>
      </c>
      <c r="B84" s="1021"/>
      <c r="C84" s="1021"/>
      <c r="D84" s="941" t="s">
        <v>132</v>
      </c>
      <c r="E84" s="923">
        <f>'24'!F84</f>
        <v>428216</v>
      </c>
      <c r="F84" s="1022">
        <v>428770</v>
      </c>
      <c r="G84" s="924">
        <f t="shared" si="6"/>
        <v>554</v>
      </c>
      <c r="H84" s="925">
        <f>G84+'24'!H84</f>
        <v>-2028</v>
      </c>
      <c r="I84" s="947"/>
      <c r="J84" s="927">
        <f>H84/DAY(B2)</f>
        <v>-81.12</v>
      </c>
      <c r="K84" s="1023"/>
      <c r="L84" s="902"/>
      <c r="O84" s="929"/>
    </row>
    <row r="85" spans="1:15" s="1027" customFormat="1">
      <c r="A85" s="1024" t="s">
        <v>202</v>
      </c>
      <c r="B85" s="1025"/>
      <c r="C85" s="1025"/>
      <c r="D85" s="962"/>
      <c r="E85" s="923"/>
      <c r="F85" s="922"/>
      <c r="G85" s="925">
        <f xml:space="preserve"> SUM(G72:G84)</f>
        <v>2406</v>
      </c>
      <c r="H85" s="925">
        <f>G85+'24'!H85</f>
        <v>989727.92999999993</v>
      </c>
      <c r="I85" s="947"/>
      <c r="J85" s="927">
        <f>H85/DAY(B2)</f>
        <v>39589.117200000001</v>
      </c>
      <c r="K85" s="1023"/>
      <c r="L85" s="1026"/>
      <c r="N85" s="1094"/>
      <c r="O85" s="929"/>
    </row>
    <row r="86" spans="1:15" s="1037" customFormat="1">
      <c r="A86" s="1028" t="s">
        <v>94</v>
      </c>
      <c r="B86" s="1029"/>
      <c r="C86" s="1029"/>
      <c r="D86" s="1030" t="s">
        <v>183</v>
      </c>
      <c r="E86" s="923">
        <f>'24'!F86</f>
        <v>449994</v>
      </c>
      <c r="F86" s="1031">
        <v>450129</v>
      </c>
      <c r="G86" s="1032">
        <f t="shared" ref="G86:G90" si="7">F86-E86</f>
        <v>135</v>
      </c>
      <c r="H86" s="1032">
        <f t="shared" ref="H86:H88" si="8">G86</f>
        <v>135</v>
      </c>
      <c r="I86" s="1033"/>
      <c r="J86" s="1034">
        <f>H86/DAY(B2)</f>
        <v>5.4</v>
      </c>
      <c r="K86" s="1035"/>
      <c r="L86" s="1036"/>
      <c r="N86" s="1095">
        <f>G86/0.995</f>
        <v>135.678391959799</v>
      </c>
      <c r="O86" s="929"/>
    </row>
    <row r="87" spans="1:15" s="1037" customFormat="1">
      <c r="A87" s="1028" t="s">
        <v>95</v>
      </c>
      <c r="B87" s="1029"/>
      <c r="C87" s="1029"/>
      <c r="D87" s="1030" t="s">
        <v>183</v>
      </c>
      <c r="E87" s="923">
        <f>'24'!F87</f>
        <v>79094.399999999994</v>
      </c>
      <c r="F87" s="1031">
        <v>79130</v>
      </c>
      <c r="G87" s="1032">
        <f t="shared" si="7"/>
        <v>35.600000000005821</v>
      </c>
      <c r="H87" s="1032">
        <f t="shared" si="8"/>
        <v>35.600000000005821</v>
      </c>
      <c r="I87" s="1033"/>
      <c r="J87" s="1034">
        <f>H87/DAY(B2)</f>
        <v>1.4240000000002329</v>
      </c>
      <c r="K87" s="1035"/>
      <c r="L87" s="1036"/>
      <c r="N87" s="1095"/>
      <c r="O87" s="929"/>
    </row>
    <row r="88" spans="1:15" s="1037" customFormat="1">
      <c r="A88" s="1028" t="s">
        <v>96</v>
      </c>
      <c r="B88" s="1029"/>
      <c r="C88" s="1029"/>
      <c r="D88" s="1030" t="s">
        <v>183</v>
      </c>
      <c r="E88" s="923">
        <f>'24'!F88</f>
        <v>148056</v>
      </c>
      <c r="F88" s="1031">
        <v>148102</v>
      </c>
      <c r="G88" s="1032">
        <f t="shared" si="7"/>
        <v>46</v>
      </c>
      <c r="H88" s="1032">
        <f t="shared" si="8"/>
        <v>46</v>
      </c>
      <c r="I88" s="1033"/>
      <c r="J88" s="1034">
        <f>H88/DAY(B2)</f>
        <v>1.84</v>
      </c>
      <c r="K88" s="1035"/>
      <c r="L88" s="1036"/>
      <c r="N88" s="1095"/>
      <c r="O88" s="929"/>
    </row>
    <row r="89" spans="1:15" s="1037" customFormat="1">
      <c r="A89" s="1028" t="s">
        <v>204</v>
      </c>
      <c r="B89" s="1029"/>
      <c r="C89" s="1029"/>
      <c r="D89" s="1030" t="s">
        <v>183</v>
      </c>
      <c r="E89" s="923">
        <f>'24'!F89</f>
        <v>61400</v>
      </c>
      <c r="F89" s="1031">
        <v>61459</v>
      </c>
      <c r="G89" s="1032">
        <f t="shared" si="7"/>
        <v>59</v>
      </c>
      <c r="H89" s="1032">
        <f>G89</f>
        <v>59</v>
      </c>
      <c r="I89" s="1033"/>
      <c r="J89" s="1034">
        <f>H89/DAY(B2)</f>
        <v>2.36</v>
      </c>
      <c r="K89" s="1035"/>
      <c r="L89" s="1036"/>
      <c r="N89" s="1102">
        <f>204/205</f>
        <v>0.99512195121951219</v>
      </c>
      <c r="O89" s="929"/>
    </row>
    <row r="90" spans="1:15" s="1037" customFormat="1">
      <c r="A90" s="1028" t="s">
        <v>204</v>
      </c>
      <c r="B90" s="1029"/>
      <c r="C90" s="1029"/>
      <c r="D90" s="1030" t="s">
        <v>183</v>
      </c>
      <c r="E90" s="923">
        <f>'24'!F90</f>
        <v>3152</v>
      </c>
      <c r="F90" s="1031">
        <v>3155</v>
      </c>
      <c r="G90" s="1032">
        <f t="shared" si="7"/>
        <v>3</v>
      </c>
      <c r="H90" s="1032">
        <f>G90</f>
        <v>3</v>
      </c>
      <c r="I90" s="1033"/>
      <c r="J90" s="1034">
        <f>H90/DAY(B2)</f>
        <v>0.12</v>
      </c>
      <c r="K90" s="1035"/>
      <c r="L90" s="1036"/>
      <c r="N90" s="1096"/>
      <c r="O90" s="929"/>
    </row>
    <row r="91" spans="1:15" s="1027" customFormat="1">
      <c r="A91" s="1038" t="s">
        <v>205</v>
      </c>
      <c r="B91" s="917"/>
      <c r="C91" s="917"/>
      <c r="D91" s="917"/>
      <c r="E91" s="917"/>
      <c r="F91" s="917"/>
      <c r="G91" s="961"/>
      <c r="H91" s="917"/>
      <c r="I91" s="917"/>
      <c r="J91" s="918"/>
      <c r="K91" s="1023"/>
      <c r="L91" s="1026"/>
      <c r="N91" s="1094"/>
      <c r="O91" s="929"/>
    </row>
    <row r="92" spans="1:15">
      <c r="A92" s="1555" t="s">
        <v>206</v>
      </c>
      <c r="B92" s="1556"/>
      <c r="C92" s="1557"/>
      <c r="D92" s="922" t="s">
        <v>144</v>
      </c>
      <c r="E92" s="923">
        <f>'24'!F92</f>
        <v>239233</v>
      </c>
      <c r="F92" s="953">
        <v>239336</v>
      </c>
      <c r="G92" s="924">
        <f t="shared" ref="G92:G93" si="9">F92-E92</f>
        <v>103</v>
      </c>
      <c r="H92" s="925">
        <f>G92+'24'!H92</f>
        <v>-359</v>
      </c>
      <c r="I92" s="944"/>
      <c r="J92" s="927">
        <f>H92/DAY(B2)</f>
        <v>-14.36</v>
      </c>
      <c r="K92" s="950"/>
      <c r="L92" s="902"/>
      <c r="O92" s="929"/>
    </row>
    <row r="93" spans="1:15">
      <c r="A93" s="1555" t="s">
        <v>207</v>
      </c>
      <c r="B93" s="1556"/>
      <c r="C93" s="1557"/>
      <c r="D93" s="922" t="s">
        <v>144</v>
      </c>
      <c r="E93" s="923">
        <f>'24'!F93</f>
        <v>174960</v>
      </c>
      <c r="F93" s="953">
        <v>175150</v>
      </c>
      <c r="G93" s="924">
        <f t="shared" si="9"/>
        <v>190</v>
      </c>
      <c r="H93" s="925">
        <f>G93+'24'!H93</f>
        <v>-511</v>
      </c>
      <c r="I93" s="944"/>
      <c r="J93" s="927">
        <f>H93/DAY(B2)</f>
        <v>-20.440000000000001</v>
      </c>
      <c r="K93" s="1023"/>
      <c r="L93" s="902"/>
      <c r="O93" s="929"/>
    </row>
    <row r="94" spans="1:15">
      <c r="A94" s="1581" t="s">
        <v>208</v>
      </c>
      <c r="B94" s="1582"/>
      <c r="C94" s="1583"/>
      <c r="D94" s="922"/>
      <c r="E94" s="923">
        <f>'24'!F94</f>
        <v>0</v>
      </c>
      <c r="F94" s="953"/>
      <c r="G94" s="924">
        <f>G92+G93</f>
        <v>293</v>
      </c>
      <c r="H94" s="925">
        <f>G94+'24'!H94</f>
        <v>-1136</v>
      </c>
      <c r="I94" s="944"/>
      <c r="J94" s="927">
        <f>H94/DAY(B2)</f>
        <v>-45.44</v>
      </c>
      <c r="K94" s="1023"/>
      <c r="L94" s="902"/>
      <c r="O94" s="929"/>
    </row>
    <row r="95" spans="1:15">
      <c r="A95" s="1555" t="s">
        <v>209</v>
      </c>
      <c r="B95" s="1556"/>
      <c r="C95" s="1557"/>
      <c r="D95" s="922" t="s">
        <v>144</v>
      </c>
      <c r="E95" s="923">
        <f>'24'!F95</f>
        <v>407799</v>
      </c>
      <c r="F95" s="953">
        <v>407902</v>
      </c>
      <c r="G95" s="924">
        <f t="shared" ref="G95:G100" si="10">F95-E95</f>
        <v>103</v>
      </c>
      <c r="H95" s="925">
        <f>G95+'24'!H95</f>
        <v>-254</v>
      </c>
      <c r="I95" s="944"/>
      <c r="J95" s="927">
        <f>H95/DAY(B2)</f>
        <v>-10.16</v>
      </c>
      <c r="K95" s="1023"/>
      <c r="L95" s="902"/>
      <c r="O95" s="929"/>
    </row>
    <row r="96" spans="1:15">
      <c r="A96" s="951" t="s">
        <v>210</v>
      </c>
      <c r="B96" s="952"/>
      <c r="C96" s="952"/>
      <c r="D96" s="922" t="s">
        <v>144</v>
      </c>
      <c r="E96" s="923">
        <f>'24'!F96</f>
        <v>101250</v>
      </c>
      <c r="F96" s="953">
        <v>101264</v>
      </c>
      <c r="G96" s="924">
        <f t="shared" si="10"/>
        <v>14</v>
      </c>
      <c r="H96" s="925">
        <f>G96+'24'!H96</f>
        <v>-68</v>
      </c>
      <c r="I96" s="944"/>
      <c r="J96" s="927">
        <f>H96/DAY(B2)</f>
        <v>-2.72</v>
      </c>
      <c r="K96" s="919"/>
      <c r="L96" s="902"/>
      <c r="O96" s="929"/>
    </row>
    <row r="97" spans="1:15">
      <c r="A97" s="951" t="s">
        <v>211</v>
      </c>
      <c r="B97" s="952"/>
      <c r="C97" s="952"/>
      <c r="D97" s="922" t="s">
        <v>144</v>
      </c>
      <c r="E97" s="923">
        <f>'24'!F97</f>
        <v>96354</v>
      </c>
      <c r="F97" s="1074">
        <v>96369</v>
      </c>
      <c r="G97" s="924">
        <f t="shared" si="10"/>
        <v>15</v>
      </c>
      <c r="H97" s="925">
        <f>G97+'24'!H97</f>
        <v>-80</v>
      </c>
      <c r="I97" s="944"/>
      <c r="J97" s="927">
        <f>H97/DAY(B2)</f>
        <v>-3.2</v>
      </c>
      <c r="K97" s="1039"/>
      <c r="L97" s="902"/>
      <c r="O97" s="929"/>
    </row>
    <row r="98" spans="1:15">
      <c r="A98" s="951" t="s">
        <v>212</v>
      </c>
      <c r="B98" s="952"/>
      <c r="C98" s="952"/>
      <c r="D98" s="922" t="s">
        <v>144</v>
      </c>
      <c r="E98" s="923">
        <f>'24'!F98</f>
        <v>147240</v>
      </c>
      <c r="F98" s="953">
        <v>147348</v>
      </c>
      <c r="G98" s="924">
        <f t="shared" si="10"/>
        <v>108</v>
      </c>
      <c r="H98" s="925">
        <f>G98+'24'!H98</f>
        <v>-260</v>
      </c>
      <c r="I98" s="944"/>
      <c r="J98" s="927">
        <f>H98/DAY(B2)</f>
        <v>-10.4</v>
      </c>
      <c r="K98" s="1023"/>
      <c r="L98" s="902"/>
      <c r="O98" s="929"/>
    </row>
    <row r="99" spans="1:15">
      <c r="A99" s="951" t="s">
        <v>213</v>
      </c>
      <c r="B99" s="952"/>
      <c r="C99" s="952"/>
      <c r="D99" s="922" t="s">
        <v>144</v>
      </c>
      <c r="E99" s="923">
        <f>'24'!F99</f>
        <v>6333</v>
      </c>
      <c r="F99" s="953">
        <v>6349</v>
      </c>
      <c r="G99" s="924">
        <f t="shared" si="10"/>
        <v>16</v>
      </c>
      <c r="H99" s="925">
        <f>G99+'24'!H99</f>
        <v>-59</v>
      </c>
      <c r="I99" s="944"/>
      <c r="J99" s="927">
        <f>H99/DAY(B2)</f>
        <v>-2.36</v>
      </c>
      <c r="K99" s="1023"/>
      <c r="L99" s="902"/>
      <c r="O99" s="929"/>
    </row>
    <row r="100" spans="1:15">
      <c r="A100" s="951" t="s">
        <v>214</v>
      </c>
      <c r="B100" s="952"/>
      <c r="C100" s="952"/>
      <c r="D100" s="922" t="s">
        <v>144</v>
      </c>
      <c r="E100" s="923">
        <f>'24'!F100</f>
        <v>4460</v>
      </c>
      <c r="F100" s="953">
        <v>4465</v>
      </c>
      <c r="G100" s="924">
        <f t="shared" si="10"/>
        <v>5</v>
      </c>
      <c r="H100" s="925">
        <f>G100+'24'!H100</f>
        <v>-78</v>
      </c>
      <c r="I100" s="944"/>
      <c r="J100" s="927">
        <f>H100/DAY(B2)</f>
        <v>-3.12</v>
      </c>
      <c r="K100" s="1023"/>
      <c r="L100" s="902"/>
      <c r="O100" s="929"/>
    </row>
    <row r="101" spans="1:15">
      <c r="A101" s="1581" t="s">
        <v>216</v>
      </c>
      <c r="B101" s="1582"/>
      <c r="C101" s="1583"/>
      <c r="D101" s="956"/>
      <c r="E101" s="956"/>
      <c r="F101" s="956"/>
      <c r="G101" s="1040">
        <f>SUM(G95:G100)</f>
        <v>261</v>
      </c>
      <c r="H101" s="925">
        <f>G101+'24'!H101</f>
        <v>-799</v>
      </c>
      <c r="I101" s="1041"/>
      <c r="J101" s="927">
        <f>H101/DAY(B2)</f>
        <v>-31.96</v>
      </c>
      <c r="K101" s="1023"/>
      <c r="L101" s="902"/>
      <c r="O101" s="929"/>
    </row>
    <row r="102" spans="1:15" s="974" customFormat="1">
      <c r="A102" s="1042" t="s">
        <v>217</v>
      </c>
      <c r="B102" s="1043"/>
      <c r="C102" s="1043"/>
      <c r="D102" s="1044"/>
      <c r="E102" s="1045"/>
      <c r="F102" s="1046"/>
      <c r="G102" s="1047"/>
      <c r="H102" s="1048"/>
      <c r="I102" s="1049"/>
      <c r="J102" s="1050"/>
      <c r="N102" s="1092"/>
      <c r="O102" s="929"/>
    </row>
    <row r="103" spans="1:15" s="974" customFormat="1">
      <c r="A103" s="1589" t="s">
        <v>218</v>
      </c>
      <c r="B103" s="1590"/>
      <c r="C103" s="1051"/>
      <c r="D103" s="1052"/>
      <c r="E103" s="1053"/>
      <c r="F103" s="1053"/>
      <c r="G103" s="1053"/>
      <c r="H103" s="1054"/>
      <c r="I103" s="1053"/>
      <c r="J103" s="1055"/>
      <c r="N103" s="1092"/>
      <c r="O103" s="929"/>
    </row>
    <row r="104" spans="1:15" s="974" customFormat="1">
      <c r="A104" s="1591" t="s">
        <v>219</v>
      </c>
      <c r="B104" s="1592"/>
      <c r="C104" s="1056"/>
      <c r="D104" s="1052" t="s">
        <v>144</v>
      </c>
      <c r="E104" s="1053">
        <f>'24'!F104</f>
        <v>7125</v>
      </c>
      <c r="F104" s="1053">
        <v>7125</v>
      </c>
      <c r="G104" s="1053">
        <f>F104-E104</f>
        <v>0</v>
      </c>
      <c r="H104" s="1054">
        <f>SUM(G104+'1'!G76)</f>
        <v>79.150000000000091</v>
      </c>
      <c r="I104" s="1053"/>
      <c r="J104" s="1055">
        <f>H104/DAY(B2)</f>
        <v>3.1660000000000035</v>
      </c>
      <c r="N104" s="1092"/>
      <c r="O104" s="929"/>
    </row>
    <row r="105" spans="1:15" s="974" customFormat="1">
      <c r="A105" s="1591" t="s">
        <v>77</v>
      </c>
      <c r="B105" s="1592"/>
      <c r="C105" s="1056"/>
      <c r="D105" s="1052" t="s">
        <v>144</v>
      </c>
      <c r="E105" s="1053">
        <f>'24'!F105</f>
        <v>35375</v>
      </c>
      <c r="F105" s="1057">
        <v>35381</v>
      </c>
      <c r="G105" s="1053">
        <f t="shared" ref="G105:G106" si="11">F105-E105</f>
        <v>6</v>
      </c>
      <c r="H105" s="1054">
        <f>SUM(G105+'1'!G77)</f>
        <v>51</v>
      </c>
      <c r="I105" s="1053"/>
      <c r="J105" s="1055">
        <f>H105/DAY(B2)</f>
        <v>2.04</v>
      </c>
      <c r="N105" s="1092"/>
      <c r="O105" s="929"/>
    </row>
    <row r="106" spans="1:15" s="974" customFormat="1">
      <c r="A106" s="1591" t="s">
        <v>78</v>
      </c>
      <c r="B106" s="1593"/>
      <c r="C106" s="1592"/>
      <c r="D106" s="1052" t="s">
        <v>144</v>
      </c>
      <c r="E106" s="1053">
        <f>'24'!F106</f>
        <v>19225</v>
      </c>
      <c r="F106" s="1053">
        <v>19229</v>
      </c>
      <c r="G106" s="1053">
        <f t="shared" si="11"/>
        <v>4</v>
      </c>
      <c r="H106" s="1054">
        <f>SUM(G106+'1'!G78)</f>
        <v>394</v>
      </c>
      <c r="I106" s="1053"/>
      <c r="J106" s="1055">
        <f>H106/DAY(B2)</f>
        <v>15.76</v>
      </c>
      <c r="N106" s="1092"/>
      <c r="O106" s="929"/>
    </row>
    <row r="107" spans="1:15" s="974" customFormat="1">
      <c r="A107" s="1594" t="s">
        <v>202</v>
      </c>
      <c r="B107" s="1595"/>
      <c r="C107" s="1056"/>
      <c r="D107" s="1052"/>
      <c r="E107" s="1053">
        <f>'24'!F107</f>
        <v>0</v>
      </c>
      <c r="F107" s="1053" t="s">
        <v>269</v>
      </c>
      <c r="G107" s="1053">
        <f>SUM(G104:G106)</f>
        <v>10</v>
      </c>
      <c r="H107" s="1054">
        <f>SUM(G107+'1'!G79)</f>
        <v>202</v>
      </c>
      <c r="I107" s="1053"/>
      <c r="J107" s="1055">
        <f>H107/DAY(B2)</f>
        <v>8.08</v>
      </c>
      <c r="N107" s="1092"/>
      <c r="O107" s="929"/>
    </row>
    <row r="108" spans="1:15" s="974" customFormat="1">
      <c r="A108" s="1596" t="s">
        <v>79</v>
      </c>
      <c r="B108" s="1597"/>
      <c r="C108" s="1056"/>
      <c r="D108" s="1052" t="s">
        <v>144</v>
      </c>
      <c r="E108" s="1053">
        <f>'24'!F108</f>
        <v>0</v>
      </c>
      <c r="F108" s="1053"/>
      <c r="G108" s="1053"/>
      <c r="H108" s="1054"/>
      <c r="I108" s="1053"/>
      <c r="J108" s="1055"/>
      <c r="N108" s="1092"/>
      <c r="O108" s="929"/>
    </row>
    <row r="109" spans="1:15" s="974" customFormat="1">
      <c r="A109" s="1591" t="s">
        <v>220</v>
      </c>
      <c r="B109" s="1592"/>
      <c r="C109" s="1056"/>
      <c r="D109" s="1052" t="s">
        <v>144</v>
      </c>
      <c r="E109" s="1053">
        <f>'24'!F109</f>
        <v>56110</v>
      </c>
      <c r="F109" s="1053">
        <v>56150</v>
      </c>
      <c r="G109" s="1053">
        <f>F109-E109</f>
        <v>40</v>
      </c>
      <c r="H109" s="1054">
        <f>SUM(G109+'1'!G81)</f>
        <v>152.56000000005588</v>
      </c>
      <c r="I109" s="1053"/>
      <c r="J109" s="1055">
        <f>H109/DAY(B2)</f>
        <v>6.1024000000022349</v>
      </c>
      <c r="N109" s="1092"/>
      <c r="O109" s="929"/>
    </row>
    <row r="110" spans="1:15" s="974" customFormat="1">
      <c r="A110" s="1591" t="s">
        <v>221</v>
      </c>
      <c r="B110" s="1592"/>
      <c r="C110" s="1056"/>
      <c r="D110" s="1052" t="s">
        <v>144</v>
      </c>
      <c r="E110" s="1053">
        <f>'24'!F110</f>
        <v>30112</v>
      </c>
      <c r="F110" s="1053">
        <v>30260</v>
      </c>
      <c r="G110" s="1053">
        <f t="shared" ref="G110:G111" si="12">F110-E110</f>
        <v>148</v>
      </c>
      <c r="H110" s="1054">
        <f>SUM(G110+'1'!G82)</f>
        <v>166.16999999999825</v>
      </c>
      <c r="I110" s="1053"/>
      <c r="J110" s="1055">
        <f>H110/DAY(B2)</f>
        <v>6.6467999999999305</v>
      </c>
      <c r="N110" s="1092"/>
      <c r="O110" s="929"/>
    </row>
    <row r="111" spans="1:15" s="974" customFormat="1">
      <c r="A111" s="1591" t="s">
        <v>222</v>
      </c>
      <c r="B111" s="1592"/>
      <c r="C111" s="1056"/>
      <c r="D111" s="1052" t="s">
        <v>144</v>
      </c>
      <c r="E111" s="1053">
        <f>'24'!F111</f>
        <v>3961</v>
      </c>
      <c r="F111" s="1053">
        <v>3961</v>
      </c>
      <c r="G111" s="1053">
        <f t="shared" si="12"/>
        <v>0</v>
      </c>
      <c r="H111" s="1054">
        <f>SUM(G111+'1'!G83)</f>
        <v>520</v>
      </c>
      <c r="I111" s="1053"/>
      <c r="J111" s="1055">
        <f>H111/DAY(B2)</f>
        <v>20.8</v>
      </c>
      <c r="N111" s="1092"/>
      <c r="O111" s="929"/>
    </row>
    <row r="112" spans="1:15" s="974" customFormat="1">
      <c r="A112" s="1601" t="s">
        <v>110</v>
      </c>
      <c r="B112" s="1602"/>
      <c r="C112" s="1056"/>
      <c r="D112" s="1052"/>
      <c r="E112" s="1053">
        <f>'24'!F112</f>
        <v>0</v>
      </c>
      <c r="F112" s="1053"/>
      <c r="G112" s="1053">
        <f>SUM(G109:G111)</f>
        <v>188</v>
      </c>
      <c r="H112" s="1054">
        <f>SUM(G112+'1'!G84)</f>
        <v>878</v>
      </c>
      <c r="I112" s="1053"/>
      <c r="J112" s="1055">
        <f>H112/DAY(B2)</f>
        <v>35.119999999999997</v>
      </c>
      <c r="N112" s="1092"/>
      <c r="O112" s="929"/>
    </row>
    <row r="113" spans="1:15" s="974" customFormat="1">
      <c r="A113" s="1596" t="s">
        <v>223</v>
      </c>
      <c r="B113" s="1597"/>
      <c r="C113" s="1056"/>
      <c r="D113" s="1052"/>
      <c r="E113" s="1053">
        <f>'24'!F113</f>
        <v>0</v>
      </c>
      <c r="F113" s="1053"/>
      <c r="G113" s="1053"/>
      <c r="H113" s="1054"/>
      <c r="I113" s="1053"/>
      <c r="J113" s="1055">
        <f>H113/DAY(B2)</f>
        <v>0</v>
      </c>
      <c r="N113" s="1092"/>
      <c r="O113" s="929"/>
    </row>
    <row r="114" spans="1:15" s="974" customFormat="1">
      <c r="A114" s="1591" t="s">
        <v>224</v>
      </c>
      <c r="B114" s="1592"/>
      <c r="C114" s="1058"/>
      <c r="D114" s="1052" t="s">
        <v>144</v>
      </c>
      <c r="E114" s="1053">
        <f>'24'!F114</f>
        <v>10233</v>
      </c>
      <c r="F114" s="1057">
        <v>10252</v>
      </c>
      <c r="G114" s="1057">
        <f>F114-E114</f>
        <v>19</v>
      </c>
      <c r="H114" s="1054">
        <f>SUM(G114+'1'!G91)</f>
        <v>19</v>
      </c>
      <c r="I114" s="1053"/>
      <c r="J114" s="1055">
        <f>H114/DAY(B2)</f>
        <v>0.76</v>
      </c>
      <c r="N114" s="1092"/>
      <c r="O114" s="929"/>
    </row>
    <row r="115" spans="1:15" s="974" customFormat="1">
      <c r="A115" s="1591" t="s">
        <v>225</v>
      </c>
      <c r="B115" s="1592"/>
      <c r="C115" s="1058"/>
      <c r="D115" s="1052" t="s">
        <v>144</v>
      </c>
      <c r="E115" s="1053">
        <f>'24'!F115</f>
        <v>7608</v>
      </c>
      <c r="F115" s="1057">
        <v>7613</v>
      </c>
      <c r="G115" s="1057">
        <f t="shared" ref="G115:G116" si="13">F115-E115</f>
        <v>5</v>
      </c>
      <c r="H115" s="1054">
        <f>SUM(G115+'1'!G92)</f>
        <v>127</v>
      </c>
      <c r="I115" s="1053"/>
      <c r="J115" s="1055">
        <f>H115/DAY(B2)</f>
        <v>5.08</v>
      </c>
      <c r="N115" s="1092"/>
      <c r="O115" s="929"/>
    </row>
    <row r="116" spans="1:15" s="974" customFormat="1">
      <c r="A116" s="1591" t="s">
        <v>226</v>
      </c>
      <c r="B116" s="1592"/>
      <c r="C116" s="1058"/>
      <c r="D116" s="1052" t="s">
        <v>144</v>
      </c>
      <c r="E116" s="1057"/>
      <c r="F116" s="1057"/>
      <c r="G116" s="1057">
        <f t="shared" si="13"/>
        <v>0</v>
      </c>
      <c r="H116" s="1054">
        <f>SUM(G116+'1'!G93)</f>
        <v>144</v>
      </c>
      <c r="I116" s="1053"/>
      <c r="J116" s="1055">
        <f>H116/DAY(B2)</f>
        <v>5.76</v>
      </c>
      <c r="N116" s="1092"/>
      <c r="O116" s="929"/>
    </row>
    <row r="117" spans="1:15" s="1060" customFormat="1">
      <c r="A117" s="1594" t="s">
        <v>202</v>
      </c>
      <c r="B117" s="1595"/>
      <c r="C117" s="1058"/>
      <c r="D117" s="1059"/>
      <c r="E117" s="1057"/>
      <c r="F117" s="1057"/>
      <c r="G117" s="1057">
        <f>SUM(G114:G116)</f>
        <v>24</v>
      </c>
      <c r="H117" s="1054">
        <f>SUM(G117+'1'!G95)</f>
        <v>100</v>
      </c>
      <c r="I117" s="1057"/>
      <c r="J117" s="1055">
        <f>H117/DAY(B2)</f>
        <v>4</v>
      </c>
      <c r="N117" s="1097"/>
      <c r="O117" s="929"/>
    </row>
    <row r="118" spans="1:15" s="851" customFormat="1">
      <c r="A118" s="1605" t="s">
        <v>227</v>
      </c>
      <c r="B118" s="1606"/>
      <c r="C118" s="1061"/>
      <c r="D118" s="1062" t="s">
        <v>144</v>
      </c>
      <c r="E118" s="1063"/>
      <c r="F118" s="1064">
        <f>SUM(G19+G92)</f>
        <v>155</v>
      </c>
      <c r="G118" s="1064">
        <f>SUM(G19+G92)</f>
        <v>155</v>
      </c>
      <c r="H118" s="1054">
        <f>SUM(G118+'1'!G96)</f>
        <v>168</v>
      </c>
      <c r="I118" s="1063"/>
      <c r="J118" s="1065">
        <f>H118/DAY(B2)</f>
        <v>6.72</v>
      </c>
      <c r="N118" s="1098"/>
      <c r="O118" s="929"/>
    </row>
    <row r="119" spans="1:15" s="851" customFormat="1">
      <c r="A119" s="1605" t="s">
        <v>228</v>
      </c>
      <c r="B119" s="1606"/>
      <c r="C119" s="1061"/>
      <c r="D119" s="1062" t="s">
        <v>144</v>
      </c>
      <c r="E119" s="1063"/>
      <c r="F119" s="1064">
        <f>SUM(G95,G96,G97,G99,G100)</f>
        <v>153</v>
      </c>
      <c r="G119" s="1064">
        <f>SUM(G95,G96,G97,G99,G100)</f>
        <v>153</v>
      </c>
      <c r="H119" s="1054">
        <f>SUM(G119+'1'!G98)</f>
        <v>223</v>
      </c>
      <c r="I119" s="1063"/>
      <c r="J119" s="1065">
        <f>H119/DAY(B2)</f>
        <v>8.92</v>
      </c>
      <c r="N119" s="1098"/>
      <c r="O119" s="929"/>
    </row>
    <row r="120" spans="1:15" s="851" customFormat="1">
      <c r="A120" s="1605" t="s">
        <v>229</v>
      </c>
      <c r="B120" s="1606"/>
      <c r="C120" s="1061"/>
      <c r="D120" s="1062" t="s">
        <v>144</v>
      </c>
      <c r="E120" s="1063"/>
      <c r="F120" s="1057">
        <f>SUM(G112)</f>
        <v>188</v>
      </c>
      <c r="G120" s="1057">
        <f>SUM(G112)</f>
        <v>188</v>
      </c>
      <c r="H120" s="1054">
        <f>SUM(G120+'1'!G100)</f>
        <v>202</v>
      </c>
      <c r="I120" s="1063"/>
      <c r="J120" s="1065">
        <f>H120/DAY(B2)</f>
        <v>8.08</v>
      </c>
      <c r="N120" s="1098"/>
      <c r="O120" s="929"/>
    </row>
    <row r="121" spans="1:15" s="974" customFormat="1">
      <c r="A121" s="1603"/>
      <c r="B121" s="1604"/>
      <c r="C121" s="1056"/>
      <c r="D121" s="1051"/>
      <c r="E121" s="1051"/>
      <c r="F121" s="1051" t="s">
        <v>215</v>
      </c>
      <c r="G121" s="1051"/>
      <c r="H121" s="1066"/>
      <c r="I121" s="1051"/>
      <c r="J121" s="1067"/>
      <c r="N121" s="1092"/>
      <c r="O121" s="929"/>
    </row>
    <row r="122" spans="1:15">
      <c r="A122" s="1584" t="s">
        <v>230</v>
      </c>
      <c r="B122" s="1585"/>
      <c r="C122" s="1586"/>
      <c r="D122" s="917"/>
      <c r="E122" s="917"/>
      <c r="F122" s="917"/>
      <c r="G122" s="949"/>
      <c r="H122" s="949"/>
      <c r="I122" s="949"/>
      <c r="J122" s="1068"/>
      <c r="K122" s="1023"/>
      <c r="L122" s="902"/>
      <c r="O122" s="929"/>
    </row>
    <row r="123" spans="1:15">
      <c r="A123" s="951" t="s">
        <v>231</v>
      </c>
      <c r="B123" s="952"/>
      <c r="C123" s="952"/>
      <c r="D123" s="922" t="s">
        <v>141</v>
      </c>
      <c r="E123" s="923">
        <f>'24'!F123</f>
        <v>809965</v>
      </c>
      <c r="F123" s="941">
        <v>810230</v>
      </c>
      <c r="G123" s="924">
        <f t="shared" ref="G123:G127" si="14">F123-E123</f>
        <v>265</v>
      </c>
      <c r="H123" s="925">
        <f>G123+'24'!H123</f>
        <v>-776.8399999999674</v>
      </c>
      <c r="I123" s="1041"/>
      <c r="J123" s="927">
        <f>H123/DAY(B2)</f>
        <v>-31.073599999998695</v>
      </c>
      <c r="K123" s="1023"/>
      <c r="L123" s="902"/>
      <c r="O123" s="929"/>
    </row>
    <row r="124" spans="1:15">
      <c r="A124" s="951" t="s">
        <v>232</v>
      </c>
      <c r="B124" s="952"/>
      <c r="C124" s="952"/>
      <c r="D124" s="922" t="s">
        <v>141</v>
      </c>
      <c r="E124" s="923">
        <f>'24'!F124</f>
        <v>73583</v>
      </c>
      <c r="F124" s="1069">
        <v>73583</v>
      </c>
      <c r="G124" s="924">
        <f t="shared" si="14"/>
        <v>0</v>
      </c>
      <c r="H124" s="925">
        <f>G124+'24'!H124</f>
        <v>-0.39999999999417923</v>
      </c>
      <c r="I124" s="1041"/>
      <c r="J124" s="927">
        <f>H124/DAY(B2)</f>
        <v>-1.5999999999767169E-2</v>
      </c>
      <c r="K124" s="1023"/>
      <c r="L124" s="902"/>
      <c r="O124" s="929"/>
    </row>
    <row r="125" spans="1:15">
      <c r="A125" s="1552" t="s">
        <v>233</v>
      </c>
      <c r="B125" s="1553"/>
      <c r="C125" s="1554"/>
      <c r="D125" s="922" t="s">
        <v>141</v>
      </c>
      <c r="E125" s="923">
        <f>'24'!F125</f>
        <v>139709</v>
      </c>
      <c r="F125" s="941">
        <v>139776</v>
      </c>
      <c r="G125" s="924">
        <f t="shared" si="14"/>
        <v>67</v>
      </c>
      <c r="H125" s="925">
        <f>G125+'24'!H125</f>
        <v>-203.33999999999651</v>
      </c>
      <c r="I125" s="1041"/>
      <c r="J125" s="927">
        <f>H125/DAY(B2)</f>
        <v>-8.1335999999998609</v>
      </c>
      <c r="K125" s="1023"/>
      <c r="L125" s="902"/>
      <c r="O125" s="929"/>
    </row>
    <row r="126" spans="1:15">
      <c r="A126" s="1070" t="s">
        <v>234</v>
      </c>
      <c r="B126" s="952"/>
      <c r="C126" s="952"/>
      <c r="D126" s="922" t="s">
        <v>141</v>
      </c>
      <c r="E126" s="923">
        <f>'24'!F126</f>
        <v>59195</v>
      </c>
      <c r="F126" s="1069">
        <v>59217</v>
      </c>
      <c r="G126" s="924">
        <f t="shared" si="14"/>
        <v>22</v>
      </c>
      <c r="H126" s="925">
        <f>G126+'24'!H126</f>
        <v>-89.900000000001455</v>
      </c>
      <c r="I126" s="1041"/>
      <c r="J126" s="927">
        <f>H126/DAY(B2)</f>
        <v>-3.5960000000000583</v>
      </c>
      <c r="K126" s="1023"/>
      <c r="L126" s="902"/>
      <c r="O126" s="929"/>
    </row>
    <row r="127" spans="1:15">
      <c r="A127" s="1070" t="s">
        <v>235</v>
      </c>
      <c r="B127" s="952"/>
      <c r="C127" s="952"/>
      <c r="D127" s="922" t="s">
        <v>141</v>
      </c>
      <c r="E127" s="923">
        <f>'24'!F127</f>
        <v>8882</v>
      </c>
      <c r="F127" s="1069">
        <v>8882</v>
      </c>
      <c r="G127" s="924">
        <f t="shared" si="14"/>
        <v>0</v>
      </c>
      <c r="H127" s="925">
        <f>G127+'24'!H127</f>
        <v>-5.7999999999992724</v>
      </c>
      <c r="I127" s="944"/>
      <c r="J127" s="927">
        <f>H127/DAY(B2)</f>
        <v>-0.2319999999999709</v>
      </c>
      <c r="K127" s="1023"/>
      <c r="L127" s="902"/>
      <c r="O127" s="929"/>
    </row>
    <row r="128" spans="1:15">
      <c r="A128" s="1070" t="s">
        <v>236</v>
      </c>
      <c r="B128" s="952"/>
      <c r="C128" s="952"/>
      <c r="D128" s="922"/>
      <c r="E128" s="923"/>
      <c r="F128" s="941"/>
      <c r="G128" s="924">
        <f>G15-SUM(G123:G127)</f>
        <v>507.98999999999069</v>
      </c>
      <c r="H128" s="925">
        <f>G128+'24'!H128</f>
        <v>5570.0599999998994</v>
      </c>
      <c r="I128" s="944"/>
      <c r="J128" s="927">
        <f>H128/DAY(B2)</f>
        <v>222.80239999999597</v>
      </c>
      <c r="K128" s="1023"/>
      <c r="L128" s="902"/>
      <c r="O128" s="929"/>
    </row>
    <row r="129" spans="1:16">
      <c r="A129" s="1071" t="s">
        <v>237</v>
      </c>
      <c r="B129" s="916"/>
      <c r="C129" s="916"/>
      <c r="D129" s="916"/>
      <c r="E129" s="916"/>
      <c r="F129" s="916"/>
      <c r="G129" s="1072"/>
      <c r="H129" s="1072"/>
      <c r="I129" s="1072"/>
      <c r="J129" s="1073"/>
      <c r="O129" s="929"/>
    </row>
    <row r="130" spans="1:16">
      <c r="A130" s="951" t="s">
        <v>238</v>
      </c>
      <c r="B130" s="952"/>
      <c r="C130" s="952"/>
      <c r="D130" s="922" t="s">
        <v>239</v>
      </c>
      <c r="E130" s="923">
        <f>'24'!F130</f>
        <v>0</v>
      </c>
      <c r="F130" s="953">
        <v>0</v>
      </c>
      <c r="G130" s="924">
        <f t="shared" ref="G130:G140" si="15">F130-E130</f>
        <v>0</v>
      </c>
      <c r="H130" s="925">
        <f>G130+'24'!H130</f>
        <v>0</v>
      </c>
      <c r="I130" s="944"/>
      <c r="J130" s="927">
        <f>H130/DAY(B2)</f>
        <v>0</v>
      </c>
      <c r="O130" s="929"/>
    </row>
    <row r="131" spans="1:16">
      <c r="A131" s="951" t="s">
        <v>240</v>
      </c>
      <c r="B131" s="952"/>
      <c r="C131" s="952"/>
      <c r="D131" s="922" t="s">
        <v>239</v>
      </c>
      <c r="E131" s="923">
        <f>'24'!F131</f>
        <v>0</v>
      </c>
      <c r="F131" s="953">
        <v>0</v>
      </c>
      <c r="G131" s="924">
        <f t="shared" si="15"/>
        <v>0</v>
      </c>
      <c r="H131" s="925">
        <f>G131+'24'!H131</f>
        <v>0</v>
      </c>
      <c r="I131" s="944"/>
      <c r="J131" s="927">
        <f>H131/DAY(B2)</f>
        <v>0</v>
      </c>
      <c r="O131" s="929"/>
    </row>
    <row r="132" spans="1:16">
      <c r="A132" s="951" t="s">
        <v>241</v>
      </c>
      <c r="B132" s="952"/>
      <c r="C132" s="952"/>
      <c r="D132" s="922" t="s">
        <v>239</v>
      </c>
      <c r="E132" s="923">
        <f>'24'!F132</f>
        <v>38829.480000000003</v>
      </c>
      <c r="F132" s="1074">
        <v>38829.480000000003</v>
      </c>
      <c r="G132" s="924">
        <f t="shared" si="15"/>
        <v>0</v>
      </c>
      <c r="H132" s="925">
        <f>G132+'24'!H132</f>
        <v>386.52999999999884</v>
      </c>
      <c r="I132" s="944"/>
      <c r="J132" s="927">
        <f>H132/DAY(B2)</f>
        <v>15.461199999999954</v>
      </c>
      <c r="O132" s="929"/>
      <c r="P132" s="889">
        <f>49-24</f>
        <v>25</v>
      </c>
    </row>
    <row r="133" spans="1:16">
      <c r="A133" s="951" t="s">
        <v>242</v>
      </c>
      <c r="B133" s="952"/>
      <c r="C133" s="952"/>
      <c r="D133" s="922" t="s">
        <v>239</v>
      </c>
      <c r="E133" s="923">
        <f>'24'!F133</f>
        <v>299.52</v>
      </c>
      <c r="F133" s="1074">
        <v>299.52</v>
      </c>
      <c r="G133" s="924">
        <f t="shared" si="15"/>
        <v>0</v>
      </c>
      <c r="H133" s="925">
        <f>G133+'24'!H133</f>
        <v>-0.48000000000001819</v>
      </c>
      <c r="I133" s="944">
        <f>G130+G131+G132+G133</f>
        <v>0</v>
      </c>
      <c r="J133" s="927">
        <f>H133/DAY(B2)</f>
        <v>-1.9200000000000727E-2</v>
      </c>
      <c r="O133" s="929"/>
    </row>
    <row r="134" spans="1:16">
      <c r="A134" s="951" t="s">
        <v>243</v>
      </c>
      <c r="B134" s="952"/>
      <c r="C134" s="952"/>
      <c r="D134" s="922" t="s">
        <v>239</v>
      </c>
      <c r="E134" s="923">
        <f>'24'!F134</f>
        <v>40270.559999999998</v>
      </c>
      <c r="F134" s="1074">
        <v>40295</v>
      </c>
      <c r="G134" s="924">
        <f t="shared" si="15"/>
        <v>24.440000000002328</v>
      </c>
      <c r="H134" s="925">
        <f>G134+'24'!H134</f>
        <v>58.480000000003201</v>
      </c>
      <c r="I134" s="944"/>
      <c r="J134" s="927">
        <f>H134/DAY(B2)</f>
        <v>2.3392000000001278</v>
      </c>
      <c r="O134" s="929"/>
    </row>
    <row r="135" spans="1:16">
      <c r="A135" s="951" t="s">
        <v>244</v>
      </c>
      <c r="B135" s="952"/>
      <c r="C135" s="952"/>
      <c r="D135" s="922" t="s">
        <v>239</v>
      </c>
      <c r="E135" s="923">
        <f>'24'!F135</f>
        <v>32571.360000000001</v>
      </c>
      <c r="F135" s="1074">
        <v>32571</v>
      </c>
      <c r="G135" s="924">
        <f t="shared" si="15"/>
        <v>-0.36000000000058208</v>
      </c>
      <c r="H135" s="925">
        <f>G135+'24'!H135</f>
        <v>29.520000000000437</v>
      </c>
      <c r="I135" s="944"/>
      <c r="J135" s="927">
        <f>H135/DAY(B2)</f>
        <v>1.1808000000000174</v>
      </c>
      <c r="O135" s="929"/>
    </row>
    <row r="136" spans="1:16">
      <c r="A136" s="951" t="s">
        <v>245</v>
      </c>
      <c r="B136" s="952"/>
      <c r="C136" s="952"/>
      <c r="D136" s="922" t="s">
        <v>239</v>
      </c>
      <c r="E136" s="923">
        <f>'24'!F136</f>
        <v>22183</v>
      </c>
      <c r="F136" s="1074">
        <v>22192</v>
      </c>
      <c r="G136" s="924">
        <f t="shared" si="15"/>
        <v>9</v>
      </c>
      <c r="H136" s="925">
        <f>G136+'24'!H136</f>
        <v>-30.209999999999127</v>
      </c>
      <c r="I136" s="944">
        <f>G134+G135+G136</f>
        <v>33.080000000001746</v>
      </c>
      <c r="J136" s="927">
        <f>H136/DAY(B2)</f>
        <v>-1.2083999999999651</v>
      </c>
      <c r="O136" s="929"/>
    </row>
    <row r="137" spans="1:16">
      <c r="A137" s="951" t="s">
        <v>246</v>
      </c>
      <c r="B137" s="952"/>
      <c r="C137" s="952"/>
      <c r="D137" s="922" t="s">
        <v>239</v>
      </c>
      <c r="E137" s="923">
        <f>'24'!F137</f>
        <v>25044.31</v>
      </c>
      <c r="F137" s="1074">
        <v>25044</v>
      </c>
      <c r="G137" s="924">
        <f t="shared" si="15"/>
        <v>-0.31000000000130967</v>
      </c>
      <c r="H137" s="925">
        <f>G137+'24'!H137</f>
        <v>15.43999999999869</v>
      </c>
      <c r="I137" s="944"/>
      <c r="J137" s="927">
        <f>H137/DAY(B2)</f>
        <v>0.61759999999994764</v>
      </c>
      <c r="O137" s="929"/>
    </row>
    <row r="138" spans="1:16">
      <c r="A138" s="951" t="s">
        <v>247</v>
      </c>
      <c r="B138" s="952"/>
      <c r="C138" s="952"/>
      <c r="D138" s="922" t="s">
        <v>239</v>
      </c>
      <c r="E138" s="923">
        <f>'24'!F138</f>
        <v>70132</v>
      </c>
      <c r="F138" s="1074">
        <v>70133</v>
      </c>
      <c r="G138" s="924">
        <f t="shared" si="15"/>
        <v>1</v>
      </c>
      <c r="H138" s="925">
        <f>G138+'24'!H138</f>
        <v>17.149999999994179</v>
      </c>
      <c r="I138" s="944">
        <f>G137+G138</f>
        <v>0.68999999999869033</v>
      </c>
      <c r="J138" s="927">
        <f>H138/DAY(B2)</f>
        <v>0.68599999999976713</v>
      </c>
      <c r="O138" s="929"/>
    </row>
    <row r="139" spans="1:16">
      <c r="A139" s="951" t="s">
        <v>248</v>
      </c>
      <c r="B139" s="952"/>
      <c r="C139" s="952"/>
      <c r="D139" s="922" t="s">
        <v>239</v>
      </c>
      <c r="E139" s="923">
        <f>'24'!F139</f>
        <v>1393.11</v>
      </c>
      <c r="F139" s="953">
        <v>1400.76</v>
      </c>
      <c r="G139" s="924">
        <f t="shared" si="15"/>
        <v>7.6500000000000909</v>
      </c>
      <c r="H139" s="925">
        <f>G139+'24'!H139</f>
        <v>-22.380000000000109</v>
      </c>
      <c r="I139" s="1075"/>
      <c r="J139" s="927">
        <f>H139/DAY(B2)</f>
        <v>-0.89520000000000433</v>
      </c>
      <c r="O139" s="929"/>
    </row>
    <row r="140" spans="1:16">
      <c r="A140" s="951" t="s">
        <v>249</v>
      </c>
      <c r="B140" s="952"/>
      <c r="C140" s="952"/>
      <c r="D140" s="922" t="s">
        <v>239</v>
      </c>
      <c r="E140" s="923">
        <f>'24'!F140</f>
        <v>4333.53</v>
      </c>
      <c r="F140" s="953">
        <v>4333.53</v>
      </c>
      <c r="G140" s="924">
        <f t="shared" si="15"/>
        <v>0</v>
      </c>
      <c r="H140" s="925">
        <f>G140+'24'!H140</f>
        <v>-0.47000000000025466</v>
      </c>
      <c r="I140" s="1075"/>
      <c r="J140" s="927">
        <f>H140/DAY(B2)</f>
        <v>-1.8800000000010187E-2</v>
      </c>
      <c r="O140" s="929"/>
    </row>
    <row r="141" spans="1:16">
      <c r="A141" s="1587" t="s">
        <v>250</v>
      </c>
      <c r="B141" s="1588"/>
      <c r="C141" s="917"/>
      <c r="D141" s="917"/>
      <c r="E141" s="917"/>
      <c r="F141" s="917"/>
      <c r="G141" s="949"/>
      <c r="H141" s="949"/>
      <c r="I141" s="949"/>
      <c r="J141" s="1068"/>
      <c r="K141" s="1023"/>
      <c r="L141" s="902"/>
      <c r="O141" s="929"/>
    </row>
    <row r="142" spans="1:16">
      <c r="A142" s="1555" t="s">
        <v>251</v>
      </c>
      <c r="B142" s="1556"/>
      <c r="C142" s="1557"/>
      <c r="D142" s="922" t="s">
        <v>132</v>
      </c>
      <c r="E142" s="922"/>
      <c r="F142" s="922"/>
      <c r="G142" s="925">
        <f>G35+G43+G49+G57</f>
        <v>5468</v>
      </c>
      <c r="H142" s="925">
        <f>G142+'24'!H142</f>
        <v>-18212.319999999891</v>
      </c>
      <c r="I142" s="944"/>
      <c r="J142" s="927">
        <f>H142/DAY(B2)</f>
        <v>-728.49279999999567</v>
      </c>
      <c r="K142" s="1023"/>
      <c r="L142" s="902"/>
      <c r="O142" s="929"/>
    </row>
    <row r="143" spans="1:16">
      <c r="A143" s="1555" t="s">
        <v>252</v>
      </c>
      <c r="B143" s="1556"/>
      <c r="C143" s="1557"/>
      <c r="D143" s="922" t="s">
        <v>24</v>
      </c>
      <c r="E143" s="909"/>
      <c r="F143" s="909"/>
      <c r="G143" s="1076">
        <f>G142/G7</f>
        <v>0.26539824297432413</v>
      </c>
      <c r="H143" s="925">
        <f>G143+'24'!H143</f>
        <v>6.3233769508429081</v>
      </c>
      <c r="I143" s="1077"/>
      <c r="J143" s="927">
        <f>H143/DAY(B2)</f>
        <v>0.25293507803371634</v>
      </c>
      <c r="K143" s="1023"/>
      <c r="L143" s="902"/>
      <c r="O143" s="929"/>
    </row>
    <row r="144" spans="1:16">
      <c r="A144" s="1555" t="s">
        <v>253</v>
      </c>
      <c r="B144" s="1556"/>
      <c r="C144" s="1557"/>
      <c r="D144" s="922" t="s">
        <v>132</v>
      </c>
      <c r="E144" s="923"/>
      <c r="F144" s="923"/>
      <c r="G144" s="925">
        <f>G41+G42+G55+G56</f>
        <v>5048</v>
      </c>
      <c r="H144" s="925">
        <f>G144+'24'!H144</f>
        <v>-15974.940000000024</v>
      </c>
      <c r="I144" s="944"/>
      <c r="J144" s="927">
        <f>H144/DAY(B2)</f>
        <v>-638.99760000000094</v>
      </c>
      <c r="K144" s="1023"/>
      <c r="L144" s="902"/>
      <c r="O144" s="929"/>
    </row>
    <row r="145" spans="1:15">
      <c r="A145" s="1555" t="s">
        <v>254</v>
      </c>
      <c r="B145" s="1556"/>
      <c r="C145" s="1557"/>
      <c r="D145" s="922" t="s">
        <v>24</v>
      </c>
      <c r="E145" s="923"/>
      <c r="F145" s="923"/>
      <c r="G145" s="1076">
        <f>G144/G7</f>
        <v>0.24501286220453333</v>
      </c>
      <c r="H145" s="925">
        <f>G145+'24'!H145</f>
        <v>5.9540434324773202</v>
      </c>
      <c r="I145" s="1077"/>
      <c r="J145" s="927">
        <f>H145/DAY(B2)</f>
        <v>0.23816173729909282</v>
      </c>
      <c r="K145" s="1023"/>
      <c r="L145" s="902"/>
      <c r="O145" s="929"/>
    </row>
    <row r="146" spans="1:15">
      <c r="A146" s="1555" t="s">
        <v>255</v>
      </c>
      <c r="B146" s="1556"/>
      <c r="C146" s="1557"/>
      <c r="D146" s="922" t="s">
        <v>132</v>
      </c>
      <c r="E146" s="923"/>
      <c r="F146" s="923"/>
      <c r="G146" s="925">
        <f>G39+G53</f>
        <v>4098</v>
      </c>
      <c r="H146" s="925">
        <f>G146+'24'!H146</f>
        <v>87320.38</v>
      </c>
      <c r="I146" s="1078"/>
      <c r="J146" s="927">
        <f>H146/DAY(B2)</f>
        <v>3492.8152</v>
      </c>
      <c r="K146" s="1023"/>
      <c r="L146" s="902"/>
      <c r="O146" s="929"/>
    </row>
    <row r="147" spans="1:15">
      <c r="A147" s="1555" t="s">
        <v>256</v>
      </c>
      <c r="B147" s="1556"/>
      <c r="C147" s="1557"/>
      <c r="D147" s="922" t="s">
        <v>24</v>
      </c>
      <c r="E147" s="923"/>
      <c r="F147" s="923"/>
      <c r="G147" s="1076">
        <f>G146/G7</f>
        <v>0.19890307236810173</v>
      </c>
      <c r="H147" s="925">
        <f>G147+'24'!H147</f>
        <v>9.9381481212733469</v>
      </c>
      <c r="I147" s="1078"/>
      <c r="J147" s="927">
        <f>H147/DAY(B2)</f>
        <v>0.39752592485093385</v>
      </c>
      <c r="O147" s="929"/>
    </row>
    <row r="148" spans="1:15">
      <c r="A148" s="1555" t="s">
        <v>257</v>
      </c>
      <c r="B148" s="1556"/>
      <c r="C148" s="1557"/>
      <c r="D148" s="922" t="s">
        <v>183</v>
      </c>
      <c r="E148" s="923"/>
      <c r="F148" s="923"/>
      <c r="G148" s="925">
        <f>G38+G52</f>
        <v>1987</v>
      </c>
      <c r="H148" s="925">
        <f>G148+'24'!H148</f>
        <v>-6485.2000000000189</v>
      </c>
      <c r="I148" s="944"/>
      <c r="J148" s="927">
        <f>H148/DAY(B2)</f>
        <v>-259.40800000000075</v>
      </c>
      <c r="K148" s="1079"/>
      <c r="O148" s="929"/>
    </row>
    <row r="149" spans="1:15">
      <c r="A149" s="1555" t="s">
        <v>258</v>
      </c>
      <c r="B149" s="1556"/>
      <c r="C149" s="1557"/>
      <c r="D149" s="922" t="s">
        <v>24</v>
      </c>
      <c r="E149" s="923"/>
      <c r="F149" s="923"/>
      <c r="G149" s="1076">
        <f>G148/G7</f>
        <v>9.6442265689462695E-2</v>
      </c>
      <c r="H149" s="925">
        <f>G149+'24'!H149</f>
        <v>2.4695974507880245</v>
      </c>
      <c r="I149" s="1078"/>
      <c r="J149" s="927">
        <f>H149/DAY(B2)</f>
        <v>9.8783898031520975E-2</v>
      </c>
      <c r="O149" s="929"/>
    </row>
    <row r="150" spans="1:15">
      <c r="A150" s="1555" t="s">
        <v>259</v>
      </c>
      <c r="B150" s="1556"/>
      <c r="C150" s="1557"/>
      <c r="D150" s="922" t="s">
        <v>183</v>
      </c>
      <c r="E150" s="923"/>
      <c r="F150" s="923"/>
      <c r="G150" s="925">
        <f>G36+G50</f>
        <v>1943</v>
      </c>
      <c r="H150" s="925">
        <f>G150+'24'!H150</f>
        <v>-4854.6000000000349</v>
      </c>
      <c r="I150" s="1078"/>
      <c r="J150" s="927">
        <f>H150/DAY(B2)</f>
        <v>-194.18400000000139</v>
      </c>
      <c r="O150" s="929"/>
    </row>
    <row r="151" spans="1:15">
      <c r="A151" s="1555" t="s">
        <v>260</v>
      </c>
      <c r="B151" s="1556"/>
      <c r="C151" s="1557"/>
      <c r="D151" s="922" t="s">
        <v>24</v>
      </c>
      <c r="E151" s="923"/>
      <c r="F151" s="923"/>
      <c r="G151" s="1076">
        <f>G150/G7</f>
        <v>9.4306654370722706E-2</v>
      </c>
      <c r="H151" s="925">
        <f>G151+'24'!H151</f>
        <v>2.3693989552837644</v>
      </c>
      <c r="I151" s="944"/>
      <c r="J151" s="927">
        <f>H151/DAY(B2)</f>
        <v>9.4775958211350583E-2</v>
      </c>
      <c r="O151" s="929"/>
    </row>
    <row r="152" spans="1:15">
      <c r="A152" s="1555" t="s">
        <v>261</v>
      </c>
      <c r="B152" s="1556"/>
      <c r="C152" s="1557"/>
      <c r="D152" s="922" t="s">
        <v>183</v>
      </c>
      <c r="E152" s="923"/>
      <c r="F152" s="923"/>
      <c r="G152" s="925">
        <f>G37+G51</f>
        <v>1492</v>
      </c>
      <c r="H152" s="925">
        <f>G152+'24'!H152</f>
        <v>30770.160000000003</v>
      </c>
      <c r="I152" s="944"/>
      <c r="J152" s="927">
        <f>H152/DAY(B2)</f>
        <v>1230.8064000000002</v>
      </c>
      <c r="O152" s="929"/>
    </row>
    <row r="153" spans="1:15" ht="21" thickBot="1">
      <c r="A153" s="1598" t="s">
        <v>262</v>
      </c>
      <c r="B153" s="1599"/>
      <c r="C153" s="1600"/>
      <c r="D153" s="1080" t="s">
        <v>24</v>
      </c>
      <c r="E153" s="1081"/>
      <c r="F153" s="1081"/>
      <c r="G153" s="1082">
        <f>G152/G7</f>
        <v>7.2416638353637819E-2</v>
      </c>
      <c r="H153" s="925">
        <f>G153+'24'!H153</f>
        <v>3.5029078587030336</v>
      </c>
      <c r="I153" s="1083"/>
      <c r="J153" s="1084">
        <f>H153/DAY(B2)</f>
        <v>0.14011631434812133</v>
      </c>
      <c r="O153" s="929"/>
    </row>
    <row r="154" spans="1:15">
      <c r="A154" s="1085"/>
      <c r="B154" s="1085"/>
      <c r="C154" s="1085"/>
      <c r="D154" s="1085"/>
      <c r="E154" s="1085"/>
      <c r="F154" s="1085"/>
      <c r="G154" s="1085"/>
      <c r="H154" s="1086"/>
      <c r="I154" s="1085"/>
      <c r="J154" s="1087"/>
      <c r="O154" s="929"/>
    </row>
    <row r="160" spans="1:15">
      <c r="A160" s="1075" t="s">
        <v>263</v>
      </c>
      <c r="B160" s="1075"/>
      <c r="C160" s="1075"/>
      <c r="D160" s="909" t="s">
        <v>187</v>
      </c>
      <c r="E160" s="923">
        <f>'24'!F160</f>
        <v>30456.28</v>
      </c>
      <c r="F160" s="1100">
        <v>30541</v>
      </c>
      <c r="G160" s="924">
        <f t="shared" ref="G160:G163" si="16">F160-E160</f>
        <v>84.720000000001164</v>
      </c>
    </row>
    <row r="161" spans="1:7" ht="21.75" customHeight="1">
      <c r="A161" s="1075" t="s">
        <v>264</v>
      </c>
      <c r="B161" s="1075"/>
      <c r="C161" s="1075"/>
      <c r="D161" s="909" t="s">
        <v>187</v>
      </c>
      <c r="E161" s="923">
        <f>'24'!F161</f>
        <v>53331</v>
      </c>
      <c r="F161" s="1100">
        <v>53792.22</v>
      </c>
      <c r="G161" s="924">
        <f t="shared" si="16"/>
        <v>461.22000000000116</v>
      </c>
    </row>
    <row r="162" spans="1:7" ht="21.75" customHeight="1">
      <c r="A162" s="1075" t="s">
        <v>265</v>
      </c>
      <c r="B162" s="1075"/>
      <c r="C162" s="1075"/>
      <c r="D162" s="909" t="s">
        <v>187</v>
      </c>
      <c r="E162" s="923">
        <f>'24'!F162</f>
        <v>19463</v>
      </c>
      <c r="F162" s="1100">
        <v>19739</v>
      </c>
      <c r="G162" s="924">
        <f t="shared" si="16"/>
        <v>276</v>
      </c>
    </row>
    <row r="163" spans="1:7" ht="21.75" customHeight="1">
      <c r="A163" s="1075" t="s">
        <v>266</v>
      </c>
      <c r="B163" s="1075"/>
      <c r="C163" s="1075"/>
      <c r="D163" s="909" t="s">
        <v>187</v>
      </c>
      <c r="E163" s="923">
        <f>'24'!F163</f>
        <v>5339</v>
      </c>
      <c r="F163" s="1100">
        <v>5354</v>
      </c>
      <c r="G163" s="924">
        <f t="shared" si="16"/>
        <v>15</v>
      </c>
    </row>
    <row r="164" spans="1:7" ht="21.75" customHeight="1">
      <c r="A164" s="1005" t="s">
        <v>98</v>
      </c>
      <c r="B164" s="1005"/>
      <c r="C164" s="1005"/>
      <c r="D164" s="909" t="s">
        <v>187</v>
      </c>
      <c r="E164" s="1006">
        <f>E62</f>
        <v>20419.18</v>
      </c>
      <c r="F164" s="1006">
        <f>F62</f>
        <v>20419.18</v>
      </c>
      <c r="G164" s="924">
        <f t="shared" ref="G164:G171" si="17">F164-E164</f>
        <v>0</v>
      </c>
    </row>
    <row r="165" spans="1:7" ht="21.75" customHeight="1">
      <c r="A165" s="1005" t="s">
        <v>188</v>
      </c>
      <c r="B165" s="1005"/>
      <c r="C165" s="1005"/>
      <c r="D165" s="909" t="s">
        <v>187</v>
      </c>
      <c r="E165" s="1006">
        <f t="shared" ref="E165:E171" si="18">E63</f>
        <v>1649</v>
      </c>
      <c r="F165" s="1006">
        <f t="shared" ref="F165:F171" si="19">F63</f>
        <v>1663</v>
      </c>
      <c r="G165" s="924">
        <f t="shared" si="17"/>
        <v>14</v>
      </c>
    </row>
    <row r="166" spans="1:7" ht="21.75" customHeight="1">
      <c r="A166" s="1607" t="s">
        <v>99</v>
      </c>
      <c r="B166" s="1607"/>
      <c r="C166" s="1607"/>
      <c r="D166" s="922" t="s">
        <v>187</v>
      </c>
      <c r="E166" s="1006">
        <f t="shared" si="18"/>
        <v>121561</v>
      </c>
      <c r="F166" s="1006">
        <f t="shared" si="19"/>
        <v>122093</v>
      </c>
      <c r="G166" s="924">
        <f t="shared" si="17"/>
        <v>532</v>
      </c>
    </row>
    <row r="167" spans="1:7" ht="21.75" customHeight="1">
      <c r="A167" s="1607" t="s">
        <v>100</v>
      </c>
      <c r="B167" s="1607"/>
      <c r="C167" s="1607"/>
      <c r="D167" s="922" t="s">
        <v>187</v>
      </c>
      <c r="E167" s="1006">
        <f t="shared" si="18"/>
        <v>131000</v>
      </c>
      <c r="F167" s="1006">
        <f t="shared" si="19"/>
        <v>131392</v>
      </c>
      <c r="G167" s="924">
        <f t="shared" si="17"/>
        <v>392</v>
      </c>
    </row>
    <row r="168" spans="1:7" ht="21.75" customHeight="1">
      <c r="A168" s="1607" t="s">
        <v>101</v>
      </c>
      <c r="B168" s="1607"/>
      <c r="C168" s="1607"/>
      <c r="D168" s="922" t="s">
        <v>187</v>
      </c>
      <c r="E168" s="1006">
        <f t="shared" si="18"/>
        <v>23585</v>
      </c>
      <c r="F168" s="1006">
        <f t="shared" si="19"/>
        <v>23979</v>
      </c>
      <c r="G168" s="924">
        <f t="shared" si="17"/>
        <v>394</v>
      </c>
    </row>
    <row r="169" spans="1:7">
      <c r="A169" s="1607" t="s">
        <v>102</v>
      </c>
      <c r="B169" s="1607"/>
      <c r="C169" s="1607"/>
      <c r="D169" s="922" t="s">
        <v>187</v>
      </c>
      <c r="E169" s="1006">
        <f t="shared" si="18"/>
        <v>205231</v>
      </c>
      <c r="F169" s="1006">
        <f t="shared" si="19"/>
        <v>205830</v>
      </c>
      <c r="G169" s="924">
        <f t="shared" si="17"/>
        <v>599</v>
      </c>
    </row>
    <row r="170" spans="1:7" ht="24" customHeight="1">
      <c r="A170" s="1607" t="s">
        <v>103</v>
      </c>
      <c r="B170" s="1607"/>
      <c r="C170" s="1607"/>
      <c r="D170" s="922" t="s">
        <v>187</v>
      </c>
      <c r="E170" s="1006">
        <f t="shared" si="18"/>
        <v>71374</v>
      </c>
      <c r="F170" s="1006">
        <f t="shared" si="19"/>
        <v>71669</v>
      </c>
      <c r="G170" s="924">
        <f t="shared" si="17"/>
        <v>295</v>
      </c>
    </row>
    <row r="171" spans="1:7">
      <c r="A171" s="1607" t="s">
        <v>104</v>
      </c>
      <c r="B171" s="1607"/>
      <c r="C171" s="1607"/>
      <c r="D171" s="922" t="s">
        <v>187</v>
      </c>
      <c r="E171" s="1006">
        <f t="shared" si="18"/>
        <v>63135</v>
      </c>
      <c r="F171" s="1006">
        <f t="shared" si="19"/>
        <v>63459</v>
      </c>
      <c r="G171" s="924">
        <f t="shared" si="17"/>
        <v>324</v>
      </c>
    </row>
    <row r="172" spans="1:7">
      <c r="G172" s="1090">
        <f>SUM(G160:G171)</f>
        <v>3386.9400000000023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7" zoomScale="70" zoomScaleSheetLayoutView="70" workbookViewId="0">
      <selection activeCell="G104" sqref="G104"/>
    </sheetView>
  </sheetViews>
  <sheetFormatPr defaultColWidth="22.33203125" defaultRowHeight="20.25"/>
  <cols>
    <col min="1" max="1" width="51.21875" style="1088" customWidth="1"/>
    <col min="2" max="2" width="24.88671875" style="1088" customWidth="1"/>
    <col min="3" max="3" width="12.44140625" style="1088" customWidth="1"/>
    <col min="4" max="4" width="13.6640625" style="1088" customWidth="1"/>
    <col min="5" max="5" width="28.109375" style="1088" customWidth="1"/>
    <col min="6" max="6" width="23.77734375" style="1088" customWidth="1"/>
    <col min="7" max="7" width="19.88671875" style="1088" customWidth="1"/>
    <col min="8" max="8" width="39.21875" style="1089" customWidth="1"/>
    <col min="9" max="9" width="12" style="1088" bestFit="1" customWidth="1"/>
    <col min="10" max="10" width="24" style="1090" customWidth="1"/>
    <col min="11" max="11" width="43.21875" style="889" hidden="1" customWidth="1"/>
    <col min="12" max="13" width="0" style="889" hidden="1" customWidth="1"/>
    <col min="14" max="14" width="25.109375" style="1091" customWidth="1"/>
    <col min="15" max="15" width="6.77734375" style="889" bestFit="1" customWidth="1"/>
    <col min="16" max="16384" width="22.33203125" style="889"/>
  </cols>
  <sheetData>
    <row r="1" spans="1:15" ht="20.100000000000001" customHeight="1">
      <c r="A1" s="1567" t="s">
        <v>117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5" ht="30.75" customHeight="1">
      <c r="A2" s="890" t="s">
        <v>319</v>
      </c>
      <c r="B2" s="1163">
        <v>43887</v>
      </c>
      <c r="C2" s="891" t="s">
        <v>69</v>
      </c>
      <c r="D2" s="1105">
        <v>0.54</v>
      </c>
      <c r="E2" s="893"/>
      <c r="F2" s="893"/>
      <c r="G2" s="893" t="s">
        <v>118</v>
      </c>
      <c r="H2" s="893" t="s">
        <v>6</v>
      </c>
      <c r="I2" s="893" t="s">
        <v>8</v>
      </c>
      <c r="J2" s="894" t="s">
        <v>119</v>
      </c>
    </row>
    <row r="3" spans="1:15" ht="20.100000000000001" customHeight="1">
      <c r="A3" s="895"/>
      <c r="B3" s="896"/>
      <c r="C3" s="891" t="s">
        <v>120</v>
      </c>
      <c r="D3" s="891">
        <v>28</v>
      </c>
      <c r="E3" s="1570" t="s">
        <v>121</v>
      </c>
      <c r="F3" s="1571"/>
      <c r="G3" s="898"/>
      <c r="H3" s="899"/>
      <c r="I3" s="899"/>
      <c r="J3" s="900"/>
      <c r="K3" s="901"/>
      <c r="L3" s="902"/>
    </row>
    <row r="4" spans="1:15" ht="20.100000000000001" customHeight="1">
      <c r="A4" s="903"/>
      <c r="B4" s="904"/>
      <c r="C4" s="891" t="s">
        <v>122</v>
      </c>
      <c r="D4" s="1105">
        <v>0.74</v>
      </c>
      <c r="E4" s="905"/>
      <c r="F4" s="905"/>
      <c r="G4" s="905"/>
      <c r="H4" s="905"/>
      <c r="I4" s="906"/>
      <c r="J4" s="900"/>
      <c r="K4" s="907"/>
      <c r="L4" s="902"/>
    </row>
    <row r="5" spans="1:15" ht="22.5" customHeight="1">
      <c r="A5" s="908" t="s">
        <v>123</v>
      </c>
      <c r="B5" s="909"/>
      <c r="C5" s="909"/>
      <c r="D5" s="909" t="s">
        <v>124</v>
      </c>
      <c r="E5" s="910" t="s">
        <v>125</v>
      </c>
      <c r="F5" s="910" t="s">
        <v>112</v>
      </c>
      <c r="G5" s="911" t="s">
        <v>126</v>
      </c>
      <c r="H5" s="912" t="s">
        <v>127</v>
      </c>
      <c r="I5" s="913" t="s">
        <v>128</v>
      </c>
      <c r="J5" s="914" t="s">
        <v>129</v>
      </c>
      <c r="K5" s="915"/>
      <c r="L5" s="902"/>
    </row>
    <row r="6" spans="1:15" ht="20.100000000000001" customHeight="1">
      <c r="A6" s="1564" t="s">
        <v>130</v>
      </c>
      <c r="B6" s="1565"/>
      <c r="C6" s="1566"/>
      <c r="D6" s="916"/>
      <c r="E6" s="916"/>
      <c r="F6" s="916"/>
      <c r="G6" s="916"/>
      <c r="H6" s="917"/>
      <c r="I6" s="917"/>
      <c r="J6" s="918"/>
      <c r="K6" s="919"/>
      <c r="L6" s="902"/>
    </row>
    <row r="7" spans="1:15" ht="25.5" customHeight="1" thickBot="1">
      <c r="A7" s="920" t="s">
        <v>131</v>
      </c>
      <c r="B7" s="921"/>
      <c r="C7" s="921"/>
      <c r="D7" s="922" t="s">
        <v>132</v>
      </c>
      <c r="E7" s="923">
        <f>'25'!F7</f>
        <v>4382380</v>
      </c>
      <c r="F7" s="923">
        <v>4402658</v>
      </c>
      <c r="G7" s="924">
        <f>F7-E7</f>
        <v>20278</v>
      </c>
      <c r="H7" s="925">
        <f>G7+'25'!H7</f>
        <v>-42419</v>
      </c>
      <c r="I7" s="926">
        <f>'1'!I7</f>
        <v>12000</v>
      </c>
      <c r="J7" s="927">
        <f>H7/DAY(B2)</f>
        <v>-1631.5</v>
      </c>
      <c r="K7" s="928"/>
      <c r="L7" s="902"/>
      <c r="N7" s="1103"/>
      <c r="O7" s="929"/>
    </row>
    <row r="8" spans="1:15" ht="20.100000000000001" customHeight="1" thickBot="1">
      <c r="A8" s="930" t="s">
        <v>133</v>
      </c>
      <c r="B8" s="931"/>
      <c r="C8" s="932"/>
      <c r="D8" s="933" t="s">
        <v>25</v>
      </c>
      <c r="E8" s="923">
        <f>'25'!F8</f>
        <v>4410135</v>
      </c>
      <c r="F8" s="934">
        <v>4430516</v>
      </c>
      <c r="G8" s="935">
        <f>F8-E8</f>
        <v>20381</v>
      </c>
      <c r="H8" s="925">
        <f>G8+'25'!H8</f>
        <v>-42640</v>
      </c>
      <c r="I8" s="936">
        <f>'1'!I8</f>
        <v>12000</v>
      </c>
      <c r="J8" s="927">
        <f>H8/DAY(B2)</f>
        <v>-1640</v>
      </c>
      <c r="K8" s="928"/>
      <c r="L8" s="937"/>
      <c r="M8" s="938"/>
      <c r="O8" s="929"/>
    </row>
    <row r="9" spans="1:15" ht="20.100000000000001" customHeight="1">
      <c r="A9" s="939" t="s">
        <v>134</v>
      </c>
      <c r="B9" s="940"/>
      <c r="C9" s="940"/>
      <c r="D9" s="922" t="s">
        <v>132</v>
      </c>
      <c r="E9" s="923">
        <f>'25'!F9</f>
        <v>44987</v>
      </c>
      <c r="F9" s="941">
        <v>58614</v>
      </c>
      <c r="G9" s="924">
        <f>F9-E9</f>
        <v>13627</v>
      </c>
      <c r="H9" s="925">
        <f>G9+'25'!H9</f>
        <v>171131.99</v>
      </c>
      <c r="I9" s="942">
        <f>I8-J8</f>
        <v>13640</v>
      </c>
      <c r="J9" s="927">
        <f>H9/DAY(B2)</f>
        <v>6581.999615384615</v>
      </c>
      <c r="K9" s="943"/>
      <c r="L9" s="902"/>
      <c r="O9" s="929"/>
    </row>
    <row r="10" spans="1:15" ht="20.100000000000001" customHeight="1">
      <c r="A10" s="920" t="s">
        <v>135</v>
      </c>
      <c r="B10" s="921"/>
      <c r="C10" s="921"/>
      <c r="D10" s="922" t="s">
        <v>132</v>
      </c>
      <c r="E10" s="923">
        <f>'25'!F10</f>
        <v>6733</v>
      </c>
      <c r="F10" s="941">
        <v>12787</v>
      </c>
      <c r="G10" s="924">
        <f t="shared" ref="G10:G12" si="0">F10-E10</f>
        <v>6054</v>
      </c>
      <c r="H10" s="925">
        <f>G10+'25'!H10</f>
        <v>1377263.44</v>
      </c>
      <c r="I10" s="944"/>
      <c r="J10" s="927">
        <f>H10/DAY(B2)</f>
        <v>52971.670769230768</v>
      </c>
      <c r="K10" s="943"/>
      <c r="L10" s="902"/>
      <c r="O10" s="929"/>
    </row>
    <row r="11" spans="1:15" ht="20.100000000000001" customHeight="1">
      <c r="A11" s="920" t="s">
        <v>136</v>
      </c>
      <c r="B11" s="921"/>
      <c r="C11" s="921"/>
      <c r="D11" s="922" t="s">
        <v>132</v>
      </c>
      <c r="E11" s="923">
        <f>'25'!F11</f>
        <v>37000</v>
      </c>
      <c r="F11" s="923">
        <v>37000</v>
      </c>
      <c r="G11" s="924">
        <f t="shared" si="0"/>
        <v>0</v>
      </c>
      <c r="H11" s="925">
        <f>G11+'25'!H11</f>
        <v>-2000</v>
      </c>
      <c r="I11" s="944"/>
      <c r="J11" s="927">
        <f>H11/DAY(B2)</f>
        <v>-76.92307692307692</v>
      </c>
      <c r="K11" s="943"/>
      <c r="L11" s="902">
        <v>1375467</v>
      </c>
      <c r="N11" s="1104"/>
      <c r="O11" s="929"/>
    </row>
    <row r="12" spans="1:15" ht="20.100000000000001" customHeight="1">
      <c r="A12" s="920" t="s">
        <v>137</v>
      </c>
      <c r="B12" s="921"/>
      <c r="C12" s="921"/>
      <c r="D12" s="922" t="s">
        <v>132</v>
      </c>
      <c r="E12" s="923">
        <f>'25'!F12</f>
        <v>40010</v>
      </c>
      <c r="F12" s="941">
        <v>40010</v>
      </c>
      <c r="G12" s="924">
        <f t="shared" si="0"/>
        <v>0</v>
      </c>
      <c r="H12" s="925">
        <f>G12+'25'!H12</f>
        <v>-2000</v>
      </c>
      <c r="I12" s="944"/>
      <c r="J12" s="927">
        <f>H12/DAY(B2)</f>
        <v>-76.92307692307692</v>
      </c>
      <c r="K12" s="943"/>
      <c r="L12" s="902"/>
      <c r="O12" s="929"/>
    </row>
    <row r="13" spans="1:15" ht="20.100000000000001" customHeight="1">
      <c r="A13" s="945" t="s">
        <v>138</v>
      </c>
      <c r="B13" s="946"/>
      <c r="C13" s="946"/>
      <c r="D13" s="922"/>
      <c r="E13" s="923"/>
      <c r="F13" s="923"/>
      <c r="G13" s="947">
        <f>G9+G10+G11+G12</f>
        <v>19681</v>
      </c>
      <c r="H13" s="925">
        <f>G13+'25'!H13</f>
        <v>1523401.43</v>
      </c>
      <c r="I13" s="948">
        <f>G7-G13</f>
        <v>597</v>
      </c>
      <c r="J13" s="927">
        <f>H13/DAY(B2)</f>
        <v>58592.362692307688</v>
      </c>
      <c r="K13" s="943"/>
      <c r="L13" s="902"/>
      <c r="O13" s="929"/>
    </row>
    <row r="14" spans="1:15" ht="28.5" customHeight="1">
      <c r="A14" s="1558" t="s">
        <v>139</v>
      </c>
      <c r="B14" s="1559"/>
      <c r="C14" s="1560"/>
      <c r="D14" s="917"/>
      <c r="E14" s="917"/>
      <c r="F14" s="917"/>
      <c r="G14" s="949"/>
      <c r="H14" s="917"/>
      <c r="I14" s="917"/>
      <c r="J14" s="918"/>
      <c r="K14" s="950"/>
      <c r="L14" s="902">
        <v>1679344</v>
      </c>
      <c r="O14" s="929"/>
    </row>
    <row r="15" spans="1:15" ht="30.75" customHeight="1">
      <c r="A15" s="951" t="s">
        <v>140</v>
      </c>
      <c r="B15" s="952"/>
      <c r="C15" s="952"/>
      <c r="D15" s="922" t="s">
        <v>141</v>
      </c>
      <c r="E15" s="923">
        <f>'25'!F15</f>
        <v>1617018.55</v>
      </c>
      <c r="F15" s="953">
        <v>1617857</v>
      </c>
      <c r="G15" s="1101">
        <f>(F15-E15)</f>
        <v>838.44999999995343</v>
      </c>
      <c r="H15" s="925">
        <f>G15+'25'!H15</f>
        <v>-2021.6100000001024</v>
      </c>
      <c r="I15" s="926">
        <f>'1'!I15</f>
        <v>800</v>
      </c>
      <c r="J15" s="927">
        <f>H15/DAY(B2)</f>
        <v>-77.754230769234709</v>
      </c>
      <c r="K15" s="943"/>
      <c r="L15" s="902"/>
      <c r="O15" s="929"/>
    </row>
    <row r="16" spans="1:15" ht="20.100000000000001" customHeight="1">
      <c r="A16" s="954"/>
      <c r="B16" s="955"/>
      <c r="C16" s="955"/>
      <c r="D16" s="956"/>
      <c r="E16" s="957"/>
      <c r="F16" s="957"/>
      <c r="G16" s="924"/>
      <c r="H16" s="958"/>
      <c r="I16" s="959">
        <f>I15-J15</f>
        <v>877.75423076923471</v>
      </c>
      <c r="J16" s="960"/>
      <c r="K16" s="943"/>
      <c r="L16" s="902">
        <f>L14-L11</f>
        <v>303877</v>
      </c>
      <c r="O16" s="929"/>
    </row>
    <row r="17" spans="1:15" ht="20.100000000000001" customHeight="1">
      <c r="A17" s="1558" t="s">
        <v>142</v>
      </c>
      <c r="B17" s="1559"/>
      <c r="C17" s="1560"/>
      <c r="D17" s="917"/>
      <c r="E17" s="917"/>
      <c r="F17" s="917"/>
      <c r="G17" s="961"/>
      <c r="H17" s="917"/>
      <c r="I17" s="917"/>
      <c r="J17" s="918"/>
      <c r="K17" s="943"/>
      <c r="L17" s="902"/>
      <c r="O17" s="929"/>
    </row>
    <row r="18" spans="1:15" ht="20.100000000000001" customHeight="1">
      <c r="A18" s="1555" t="s">
        <v>143</v>
      </c>
      <c r="B18" s="1556"/>
      <c r="C18" s="1557"/>
      <c r="D18" s="922" t="s">
        <v>144</v>
      </c>
      <c r="E18" s="923">
        <f>'25'!F18</f>
        <v>14</v>
      </c>
      <c r="F18" s="953">
        <v>12</v>
      </c>
      <c r="G18" s="947">
        <f>F18*10</f>
        <v>120</v>
      </c>
      <c r="H18" s="925">
        <f>G18+'25'!H18</f>
        <v>4020</v>
      </c>
      <c r="I18" s="926">
        <f>'1'!I18</f>
        <v>65</v>
      </c>
      <c r="J18" s="927">
        <f>H18/DAY(B2)</f>
        <v>154.61538461538461</v>
      </c>
      <c r="K18" s="943"/>
      <c r="L18" s="902"/>
      <c r="O18" s="929"/>
    </row>
    <row r="19" spans="1:15" ht="20.100000000000001" customHeight="1">
      <c r="A19" s="1555" t="s">
        <v>71</v>
      </c>
      <c r="B19" s="1556"/>
      <c r="C19" s="1557"/>
      <c r="D19" s="922" t="s">
        <v>144</v>
      </c>
      <c r="E19" s="923">
        <f>'25'!F19</f>
        <v>134311</v>
      </c>
      <c r="F19" s="953">
        <v>134362</v>
      </c>
      <c r="G19" s="924">
        <f t="shared" ref="G19" si="1">F19-E19</f>
        <v>51</v>
      </c>
      <c r="H19" s="925">
        <f>G19+'25'!H19</f>
        <v>-106</v>
      </c>
      <c r="I19" s="962"/>
      <c r="J19" s="927">
        <f>H19/DAY(B2)</f>
        <v>-4.0769230769230766</v>
      </c>
      <c r="K19" s="943"/>
      <c r="L19" s="902">
        <f>L16/26</f>
        <v>11687.576923076924</v>
      </c>
      <c r="O19" s="929"/>
    </row>
    <row r="20" spans="1:15" ht="20.100000000000001" customHeight="1">
      <c r="A20" s="945" t="s">
        <v>145</v>
      </c>
      <c r="B20" s="946"/>
      <c r="C20" s="946"/>
      <c r="D20" s="963"/>
      <c r="E20" s="963"/>
      <c r="F20" s="963"/>
      <c r="G20" s="964">
        <f>G18+G19</f>
        <v>171</v>
      </c>
      <c r="H20" s="925">
        <f>G20+'25'!H20</f>
        <v>3914</v>
      </c>
      <c r="I20" s="965">
        <f>I18-J20</f>
        <v>-85.538461538461547</v>
      </c>
      <c r="J20" s="927">
        <f>H20/DAY(B2)</f>
        <v>150.53846153846155</v>
      </c>
      <c r="K20" s="943"/>
      <c r="L20" s="902"/>
      <c r="O20" s="929"/>
    </row>
    <row r="21" spans="1:15" ht="20.100000000000001" customHeight="1">
      <c r="A21" s="1558" t="s">
        <v>146</v>
      </c>
      <c r="B21" s="1559"/>
      <c r="C21" s="1560"/>
      <c r="D21" s="917"/>
      <c r="E21" s="917"/>
      <c r="F21" s="917"/>
      <c r="G21" s="949"/>
      <c r="H21" s="917"/>
      <c r="I21" s="917"/>
      <c r="J21" s="918"/>
      <c r="K21" s="943"/>
      <c r="L21" s="902" t="e">
        <f>#REF!/G11</f>
        <v>#REF!</v>
      </c>
      <c r="O21" s="929"/>
    </row>
    <row r="22" spans="1:15" ht="20.100000000000001" customHeight="1">
      <c r="A22" s="951" t="s">
        <v>147</v>
      </c>
      <c r="B22" s="952"/>
      <c r="C22" s="952"/>
      <c r="D22" s="922" t="s">
        <v>148</v>
      </c>
      <c r="E22" s="953">
        <f>'25'!F22</f>
        <v>2970</v>
      </c>
      <c r="F22" s="953">
        <v>2970</v>
      </c>
      <c r="G22" s="947">
        <f t="shared" ref="G22:G23" si="2">E22-F22</f>
        <v>0</v>
      </c>
      <c r="H22" s="925">
        <f>G22+'25'!H22</f>
        <v>0</v>
      </c>
      <c r="I22" s="944"/>
      <c r="J22" s="927">
        <f>H22/DAY(B2)</f>
        <v>0</v>
      </c>
      <c r="K22" s="943"/>
      <c r="L22" s="902"/>
      <c r="O22" s="929"/>
    </row>
    <row r="23" spans="1:15" ht="20.100000000000001" customHeight="1">
      <c r="A23" s="951" t="s">
        <v>149</v>
      </c>
      <c r="B23" s="952"/>
      <c r="C23" s="952"/>
      <c r="D23" s="922" t="s">
        <v>148</v>
      </c>
      <c r="E23" s="953">
        <f>'25'!F23</f>
        <v>2000</v>
      </c>
      <c r="F23" s="953">
        <v>2000</v>
      </c>
      <c r="G23" s="947">
        <f t="shared" si="2"/>
        <v>0</v>
      </c>
      <c r="H23" s="925">
        <f>G23+'25'!H23</f>
        <v>0</v>
      </c>
      <c r="I23" s="944"/>
      <c r="J23" s="927">
        <f>H23/DAY(B2)</f>
        <v>0</v>
      </c>
      <c r="K23" s="943"/>
      <c r="L23" s="902"/>
      <c r="O23" s="929"/>
    </row>
    <row r="24" spans="1:15" ht="20.100000000000001" customHeight="1">
      <c r="A24" s="966" t="s">
        <v>150</v>
      </c>
      <c r="B24" s="967"/>
      <c r="C24" s="967"/>
      <c r="D24" s="909" t="s">
        <v>148</v>
      </c>
      <c r="E24" s="953">
        <f>'25'!F24</f>
        <v>4970</v>
      </c>
      <c r="F24" s="968">
        <v>4970</v>
      </c>
      <c r="G24" s="947">
        <f>E24-F24</f>
        <v>0</v>
      </c>
      <c r="H24" s="925">
        <f>G24+'25'!H24</f>
        <v>0</v>
      </c>
      <c r="I24" s="944"/>
      <c r="J24" s="927">
        <f>H24/DAY(B2)</f>
        <v>0</v>
      </c>
      <c r="K24" s="943"/>
      <c r="L24" s="902"/>
      <c r="O24" s="929"/>
    </row>
    <row r="25" spans="1:15" s="974" customFormat="1" ht="18.75" customHeight="1">
      <c r="A25" s="1564" t="s">
        <v>151</v>
      </c>
      <c r="B25" s="1565"/>
      <c r="C25" s="1566"/>
      <c r="D25" s="916"/>
      <c r="E25" s="916"/>
      <c r="F25" s="916"/>
      <c r="G25" s="969"/>
      <c r="H25" s="970"/>
      <c r="I25" s="971"/>
      <c r="J25" s="972"/>
      <c r="K25" s="943"/>
      <c r="L25" s="973"/>
      <c r="N25" s="1092"/>
      <c r="O25" s="929"/>
    </row>
    <row r="26" spans="1:15" s="974" customFormat="1" ht="18.75" customHeight="1">
      <c r="A26" s="975" t="s">
        <v>152</v>
      </c>
      <c r="B26" s="976"/>
      <c r="C26" s="977"/>
      <c r="D26" s="978" t="s">
        <v>153</v>
      </c>
      <c r="E26" s="979"/>
      <c r="F26" s="979"/>
      <c r="G26" s="980"/>
      <c r="H26" s="925"/>
      <c r="I26" s="981"/>
      <c r="J26" s="927"/>
      <c r="K26" s="950"/>
      <c r="L26" s="973"/>
      <c r="N26" s="1092"/>
      <c r="O26" s="929"/>
    </row>
    <row r="27" spans="1:15" s="974" customFormat="1" ht="18.75" customHeight="1">
      <c r="A27" s="975" t="s">
        <v>6</v>
      </c>
      <c r="B27" s="976"/>
      <c r="C27" s="977"/>
      <c r="D27" s="982" t="s">
        <v>25</v>
      </c>
      <c r="E27" s="983">
        <f>G8</f>
        <v>20381</v>
      </c>
      <c r="F27" s="577">
        <v>9</v>
      </c>
      <c r="G27" s="985">
        <f>E27*F27</f>
        <v>183429</v>
      </c>
      <c r="H27" s="925">
        <f>G27+'25'!H27</f>
        <v>-383760</v>
      </c>
      <c r="I27" s="986"/>
      <c r="J27" s="927">
        <f>H27/DAY(B2)</f>
        <v>-14760</v>
      </c>
      <c r="K27" s="943"/>
      <c r="L27" s="973"/>
      <c r="N27" s="1092"/>
      <c r="O27" s="929"/>
    </row>
    <row r="28" spans="1:15" s="974" customFormat="1" ht="18.75" customHeight="1">
      <c r="A28" s="975" t="s">
        <v>154</v>
      </c>
      <c r="B28" s="976"/>
      <c r="C28" s="977"/>
      <c r="D28" s="982" t="s">
        <v>155</v>
      </c>
      <c r="E28" s="983">
        <f>G15</f>
        <v>838.44999999995343</v>
      </c>
      <c r="F28" s="577">
        <v>43.5</v>
      </c>
      <c r="G28" s="985">
        <f>E28*F28</f>
        <v>36472.574999997974</v>
      </c>
      <c r="H28" s="925">
        <f>G28+'25'!H28</f>
        <v>-68634.49680000497</v>
      </c>
      <c r="I28" s="987"/>
      <c r="J28" s="927">
        <f>H28/DAY(B2)</f>
        <v>-2639.7883384617298</v>
      </c>
      <c r="K28" s="943"/>
      <c r="L28" s="973"/>
      <c r="N28" s="1092"/>
      <c r="O28" s="929"/>
    </row>
    <row r="29" spans="1:15" s="974" customFormat="1" ht="18.75" customHeight="1">
      <c r="A29" s="975" t="s">
        <v>156</v>
      </c>
      <c r="B29" s="976"/>
      <c r="C29" s="977"/>
      <c r="D29" s="982" t="s">
        <v>157</v>
      </c>
      <c r="E29" s="983">
        <f>G16</f>
        <v>0</v>
      </c>
      <c r="F29" s="984">
        <v>69</v>
      </c>
      <c r="G29" s="985">
        <f>E29*F29</f>
        <v>0</v>
      </c>
      <c r="H29" s="925">
        <f>G29+'25'!H29</f>
        <v>0</v>
      </c>
      <c r="I29" s="987"/>
      <c r="J29" s="927">
        <f>H29/DAY(B2)</f>
        <v>0</v>
      </c>
      <c r="K29" s="943"/>
      <c r="L29" s="973"/>
      <c r="N29" s="1092"/>
      <c r="O29" s="929"/>
    </row>
    <row r="30" spans="1:15" s="974" customFormat="1" ht="18.75" customHeight="1">
      <c r="A30" s="975" t="s">
        <v>158</v>
      </c>
      <c r="B30" s="976"/>
      <c r="C30" s="977"/>
      <c r="D30" s="982" t="s">
        <v>159</v>
      </c>
      <c r="E30" s="983">
        <f>G19</f>
        <v>51</v>
      </c>
      <c r="F30" s="984">
        <v>134</v>
      </c>
      <c r="G30" s="985">
        <f>E30*F30</f>
        <v>6834</v>
      </c>
      <c r="H30" s="925">
        <f>G30+'25'!H30</f>
        <v>3484</v>
      </c>
      <c r="I30" s="987"/>
      <c r="J30" s="927">
        <f>H30/DAY(B2)</f>
        <v>134</v>
      </c>
      <c r="K30" s="943"/>
      <c r="L30" s="973"/>
      <c r="N30" s="1092"/>
      <c r="O30" s="929"/>
    </row>
    <row r="31" spans="1:15" s="974" customFormat="1" ht="18.75" customHeight="1">
      <c r="A31" s="975" t="s">
        <v>160</v>
      </c>
      <c r="B31" s="976"/>
      <c r="C31" s="977"/>
      <c r="D31" s="982" t="s">
        <v>144</v>
      </c>
      <c r="E31" s="983">
        <f>G18</f>
        <v>120</v>
      </c>
      <c r="F31" s="984">
        <v>80</v>
      </c>
      <c r="G31" s="985">
        <f>E31*F31</f>
        <v>9600</v>
      </c>
      <c r="H31" s="925">
        <f>G31+'25'!H31</f>
        <v>311040</v>
      </c>
      <c r="I31" s="987"/>
      <c r="J31" s="927"/>
      <c r="K31" s="943"/>
      <c r="L31" s="973"/>
      <c r="N31" s="1092"/>
      <c r="O31" s="929"/>
    </row>
    <row r="32" spans="1:15" s="974" customFormat="1" ht="18.75" customHeight="1">
      <c r="A32" s="988" t="s">
        <v>161</v>
      </c>
      <c r="B32" s="989"/>
      <c r="C32" s="990"/>
      <c r="D32" s="991"/>
      <c r="E32" s="991"/>
      <c r="F32" s="991"/>
      <c r="G32" s="992">
        <f>G27+G28+G29+G30+G31</f>
        <v>236335.57499999797</v>
      </c>
      <c r="H32" s="925">
        <f>G32+'25'!H32</f>
        <v>-137870.49680000497</v>
      </c>
      <c r="I32" s="993"/>
      <c r="J32" s="927">
        <f>H32/DAY(B2)</f>
        <v>-5302.711415384807</v>
      </c>
      <c r="K32" s="943"/>
      <c r="L32" s="973"/>
      <c r="N32" s="1092"/>
      <c r="O32" s="929"/>
    </row>
    <row r="33" spans="1:15" ht="20.100000000000001" customHeight="1">
      <c r="A33" s="1561" t="s">
        <v>162</v>
      </c>
      <c r="B33" s="1562"/>
      <c r="C33" s="1562"/>
      <c r="D33" s="1562"/>
      <c r="E33" s="1562"/>
      <c r="F33" s="1562"/>
      <c r="G33" s="1562"/>
      <c r="H33" s="1562"/>
      <c r="I33" s="1562"/>
      <c r="J33" s="1563"/>
      <c r="K33" s="943"/>
      <c r="L33" s="902"/>
      <c r="O33" s="929"/>
    </row>
    <row r="34" spans="1:15" ht="20.100000000000001" customHeight="1">
      <c r="A34" s="994" t="s">
        <v>163</v>
      </c>
      <c r="B34" s="995"/>
      <c r="C34" s="995"/>
      <c r="D34" s="917"/>
      <c r="E34" s="916"/>
      <c r="F34" s="916"/>
      <c r="G34" s="917"/>
      <c r="H34" s="917"/>
      <c r="I34" s="917"/>
      <c r="J34" s="918"/>
      <c r="K34" s="943"/>
      <c r="L34" s="902"/>
      <c r="O34" s="929"/>
    </row>
    <row r="35" spans="1:15" ht="20.100000000000001" customHeight="1">
      <c r="A35" s="920" t="s">
        <v>164</v>
      </c>
      <c r="B35" s="921"/>
      <c r="C35" s="921"/>
      <c r="D35" s="922" t="s">
        <v>132</v>
      </c>
      <c r="E35" s="923">
        <f>'25'!F35</f>
        <v>683535</v>
      </c>
      <c r="F35" s="996">
        <v>686650</v>
      </c>
      <c r="G35" s="924">
        <f t="shared" ref="G35:G46" si="3">F35-E35</f>
        <v>3115</v>
      </c>
      <c r="H35" s="925">
        <f>G35+'25'!H35</f>
        <v>-6437.5899999999674</v>
      </c>
      <c r="I35" s="923"/>
      <c r="J35" s="927">
        <f>H35/DAY(B2)</f>
        <v>-247.59961538461414</v>
      </c>
      <c r="K35" s="943"/>
      <c r="L35" s="902"/>
      <c r="O35" s="929"/>
    </row>
    <row r="36" spans="1:15" ht="20.100000000000001" customHeight="1">
      <c r="A36" s="920" t="s">
        <v>165</v>
      </c>
      <c r="B36" s="921"/>
      <c r="C36" s="921"/>
      <c r="D36" s="922" t="s">
        <v>132</v>
      </c>
      <c r="E36" s="923">
        <f>'25'!F36</f>
        <v>294659</v>
      </c>
      <c r="F36" s="996">
        <v>295269</v>
      </c>
      <c r="G36" s="924">
        <f t="shared" si="3"/>
        <v>610</v>
      </c>
      <c r="H36" s="925">
        <f>G36+'25'!H36</f>
        <v>-1176.570000000007</v>
      </c>
      <c r="I36" s="923"/>
      <c r="J36" s="927">
        <f>H36/DAY(B2)</f>
        <v>-45.252692307692577</v>
      </c>
      <c r="K36" s="943"/>
      <c r="L36" s="902"/>
      <c r="O36" s="929"/>
    </row>
    <row r="37" spans="1:15" ht="20.100000000000001" customHeight="1">
      <c r="A37" s="920" t="s">
        <v>166</v>
      </c>
      <c r="B37" s="921"/>
      <c r="C37" s="921"/>
      <c r="D37" s="922" t="s">
        <v>132</v>
      </c>
      <c r="E37" s="923">
        <f>'25'!F37</f>
        <v>27665</v>
      </c>
      <c r="F37" s="996">
        <v>29086</v>
      </c>
      <c r="G37" s="924">
        <f t="shared" si="3"/>
        <v>1421</v>
      </c>
      <c r="H37" s="925">
        <f>G37+'25'!H37</f>
        <v>32191.08</v>
      </c>
      <c r="I37" s="923"/>
      <c r="J37" s="927">
        <f>H37/DAY(B2)</f>
        <v>1238.1184615384616</v>
      </c>
      <c r="K37" s="943"/>
      <c r="L37" s="902"/>
      <c r="O37" s="929"/>
    </row>
    <row r="38" spans="1:15" ht="20.100000000000001" customHeight="1">
      <c r="A38" s="920" t="s">
        <v>167</v>
      </c>
      <c r="B38" s="921"/>
      <c r="C38" s="921"/>
      <c r="D38" s="922" t="s">
        <v>132</v>
      </c>
      <c r="E38" s="923">
        <f>'25'!F38</f>
        <v>37328</v>
      </c>
      <c r="F38" s="912">
        <v>39316</v>
      </c>
      <c r="G38" s="924">
        <f t="shared" si="3"/>
        <v>1988</v>
      </c>
      <c r="H38" s="925">
        <f>G38+'25'!H38</f>
        <v>-4497.489999999998</v>
      </c>
      <c r="I38" s="923"/>
      <c r="J38" s="927">
        <f>H38/DAY(B2)</f>
        <v>-172.98038461538454</v>
      </c>
      <c r="K38" s="943"/>
      <c r="L38" s="902"/>
      <c r="O38" s="929"/>
    </row>
    <row r="39" spans="1:15" ht="20.100000000000001" customHeight="1">
      <c r="A39" s="920" t="s">
        <v>168</v>
      </c>
      <c r="B39" s="921"/>
      <c r="C39" s="921"/>
      <c r="D39" s="922" t="s">
        <v>132</v>
      </c>
      <c r="E39" s="923">
        <f>'25'!F39</f>
        <v>77927</v>
      </c>
      <c r="F39" s="996">
        <v>82129</v>
      </c>
      <c r="G39" s="924">
        <f t="shared" si="3"/>
        <v>4202</v>
      </c>
      <c r="H39" s="925">
        <f>G39+'25'!H39</f>
        <v>91521.889999999985</v>
      </c>
      <c r="I39" s="923"/>
      <c r="J39" s="927">
        <f>H39/DAY(B2)</f>
        <v>3520.0726923076918</v>
      </c>
      <c r="K39" s="943"/>
      <c r="L39" s="902"/>
      <c r="O39" s="929"/>
    </row>
    <row r="40" spans="1:15" ht="20.100000000000001" customHeight="1">
      <c r="A40" s="997" t="s">
        <v>169</v>
      </c>
      <c r="B40" s="998"/>
      <c r="C40" s="998"/>
      <c r="D40" s="922" t="s">
        <v>132</v>
      </c>
      <c r="E40" s="923">
        <f>'25'!F40</f>
        <v>0</v>
      </c>
      <c r="F40" s="996">
        <v>0</v>
      </c>
      <c r="G40" s="924">
        <f t="shared" si="3"/>
        <v>0</v>
      </c>
      <c r="H40" s="925">
        <f>G40+'25'!H40</f>
        <v>-0.06</v>
      </c>
      <c r="I40" s="923"/>
      <c r="J40" s="927">
        <f>H40/DAY(B2)</f>
        <v>-2.3076923076923075E-3</v>
      </c>
      <c r="K40" s="950"/>
      <c r="L40" s="902"/>
      <c r="O40" s="929"/>
    </row>
    <row r="41" spans="1:15" ht="20.100000000000001" customHeight="1">
      <c r="A41" s="920" t="s">
        <v>170</v>
      </c>
      <c r="B41" s="921"/>
      <c r="C41" s="921"/>
      <c r="D41" s="922" t="s">
        <v>132</v>
      </c>
      <c r="E41" s="923">
        <f>'25'!F41</f>
        <v>63882</v>
      </c>
      <c r="F41" s="996">
        <v>63882</v>
      </c>
      <c r="G41" s="924">
        <f t="shared" si="3"/>
        <v>0</v>
      </c>
      <c r="H41" s="925">
        <f>G41+'25'!H41</f>
        <v>-0.37000000000261934</v>
      </c>
      <c r="I41" s="923"/>
      <c r="J41" s="927">
        <f>H41/DAY(B2)</f>
        <v>-1.4230769230869975E-2</v>
      </c>
      <c r="K41" s="943"/>
      <c r="L41" s="902"/>
      <c r="O41" s="929"/>
    </row>
    <row r="42" spans="1:15" ht="20.100000000000001" customHeight="1">
      <c r="A42" s="920" t="s">
        <v>171</v>
      </c>
      <c r="B42" s="921"/>
      <c r="C42" s="921"/>
      <c r="D42" s="922" t="s">
        <v>132</v>
      </c>
      <c r="E42" s="923">
        <f>'25'!F42</f>
        <v>59129</v>
      </c>
      <c r="F42" s="996">
        <v>59129</v>
      </c>
      <c r="G42" s="924">
        <f t="shared" si="3"/>
        <v>0</v>
      </c>
      <c r="H42" s="925">
        <f>G42+'25'!H42</f>
        <v>0.15000000000145519</v>
      </c>
      <c r="I42" s="923"/>
      <c r="J42" s="927">
        <f>H42/DAY(B2)</f>
        <v>5.7692307692867378E-3</v>
      </c>
      <c r="K42" s="943"/>
      <c r="L42" s="902"/>
      <c r="N42" s="1093">
        <f>3450-G42</f>
        <v>3450</v>
      </c>
      <c r="O42" s="929"/>
    </row>
    <row r="43" spans="1:15" ht="20.100000000000001" customHeight="1">
      <c r="A43" s="920" t="s">
        <v>172</v>
      </c>
      <c r="B43" s="921"/>
      <c r="C43" s="921"/>
      <c r="D43" s="922" t="s">
        <v>132</v>
      </c>
      <c r="E43" s="923">
        <f>'25'!F43</f>
        <v>818936</v>
      </c>
      <c r="F43" s="996">
        <v>821228</v>
      </c>
      <c r="G43" s="924">
        <f t="shared" si="3"/>
        <v>2292</v>
      </c>
      <c r="H43" s="925">
        <f>G43+'25'!H43</f>
        <v>-4669.8299999999581</v>
      </c>
      <c r="I43" s="923"/>
      <c r="J43" s="927">
        <f>H43/DAY(B2)</f>
        <v>-179.60884615384455</v>
      </c>
      <c r="K43" s="943"/>
      <c r="L43" s="902"/>
      <c r="O43" s="929"/>
    </row>
    <row r="44" spans="1:15" ht="20.100000000000001" customHeight="1">
      <c r="A44" s="920" t="s">
        <v>173</v>
      </c>
      <c r="B44" s="921"/>
      <c r="C44" s="921"/>
      <c r="D44" s="922" t="s">
        <v>132</v>
      </c>
      <c r="E44" s="923">
        <f>'25'!F44</f>
        <v>0</v>
      </c>
      <c r="F44" s="996">
        <v>0</v>
      </c>
      <c r="G44" s="924">
        <f t="shared" si="3"/>
        <v>0</v>
      </c>
      <c r="H44" s="925">
        <f>G44+'25'!H44</f>
        <v>0</v>
      </c>
      <c r="I44" s="923"/>
      <c r="J44" s="927">
        <f>H44/DAY(B2)</f>
        <v>0</v>
      </c>
      <c r="K44" s="943"/>
      <c r="L44" s="902"/>
      <c r="O44" s="929"/>
    </row>
    <row r="45" spans="1:15" ht="20.100000000000001" customHeight="1">
      <c r="A45" s="920" t="s">
        <v>174</v>
      </c>
      <c r="B45" s="921"/>
      <c r="C45" s="921"/>
      <c r="D45" s="922" t="s">
        <v>132</v>
      </c>
      <c r="E45" s="923">
        <f>'25'!F45</f>
        <v>614</v>
      </c>
      <c r="F45" s="996">
        <v>614</v>
      </c>
      <c r="G45" s="924">
        <f t="shared" si="3"/>
        <v>0</v>
      </c>
      <c r="H45" s="925">
        <f>G45+'25'!H45</f>
        <v>0</v>
      </c>
      <c r="I45" s="923"/>
      <c r="J45" s="927">
        <f>H45/DAY(B2)</f>
        <v>0</v>
      </c>
      <c r="K45" s="943"/>
      <c r="L45" s="902"/>
      <c r="O45" s="929"/>
    </row>
    <row r="46" spans="1:15" ht="20.100000000000001" customHeight="1">
      <c r="A46" s="920" t="s">
        <v>175</v>
      </c>
      <c r="B46" s="921"/>
      <c r="C46" s="921"/>
      <c r="D46" s="922" t="s">
        <v>132</v>
      </c>
      <c r="E46" s="923">
        <f>'25'!F46</f>
        <v>187</v>
      </c>
      <c r="F46" s="996">
        <v>187</v>
      </c>
      <c r="G46" s="924">
        <f t="shared" si="3"/>
        <v>0</v>
      </c>
      <c r="H46" s="925">
        <f>G46+'25'!H46</f>
        <v>0</v>
      </c>
      <c r="I46" s="923"/>
      <c r="J46" s="927">
        <f>H46/DAY(B2)</f>
        <v>0</v>
      </c>
      <c r="K46" s="943"/>
      <c r="L46" s="902"/>
      <c r="O46" s="929"/>
    </row>
    <row r="47" spans="1:15" ht="20.100000000000001" customHeight="1">
      <c r="A47" s="945" t="s">
        <v>176</v>
      </c>
      <c r="B47" s="946"/>
      <c r="C47" s="946"/>
      <c r="D47" s="913"/>
      <c r="E47" s="909"/>
      <c r="F47" s="909"/>
      <c r="G47" s="947">
        <f>G35+G36+G37+G38+G39+G40+G41+G42+G43+G44+G45+G46</f>
        <v>13628</v>
      </c>
      <c r="H47" s="925">
        <f>G47+'25'!H47</f>
        <v>106931.21000000004</v>
      </c>
      <c r="I47" s="923"/>
      <c r="J47" s="927">
        <f>H47/DAY(B2)</f>
        <v>4112.7388461538476</v>
      </c>
      <c r="K47" s="943"/>
      <c r="L47" s="902"/>
      <c r="N47" s="1093"/>
      <c r="O47" s="929"/>
    </row>
    <row r="48" spans="1:15" ht="20.100000000000001" customHeight="1">
      <c r="A48" s="994" t="s">
        <v>177</v>
      </c>
      <c r="B48" s="995"/>
      <c r="C48" s="995"/>
      <c r="D48" s="917"/>
      <c r="E48" s="916"/>
      <c r="F48" s="916"/>
      <c r="G48" s="917"/>
      <c r="H48" s="917"/>
      <c r="I48" s="917"/>
      <c r="J48" s="918"/>
      <c r="K48" s="943"/>
      <c r="L48" s="902"/>
      <c r="O48" s="929"/>
    </row>
    <row r="49" spans="1:15" ht="20.100000000000001" customHeight="1">
      <c r="A49" s="920" t="s">
        <v>164</v>
      </c>
      <c r="B49" s="999"/>
      <c r="C49" s="999"/>
      <c r="D49" s="922" t="s">
        <v>132</v>
      </c>
      <c r="E49" s="923">
        <f>'25'!F49</f>
        <v>260732</v>
      </c>
      <c r="F49" s="996">
        <v>260732</v>
      </c>
      <c r="G49" s="924">
        <f t="shared" ref="G49:G58" si="4">F49-E49</f>
        <v>0</v>
      </c>
      <c r="H49" s="925">
        <f>G49+'25'!H49</f>
        <v>-0.13000000000465661</v>
      </c>
      <c r="I49" s="923"/>
      <c r="J49" s="927">
        <f>H49/DAY(B2)</f>
        <v>-5.0000000001791008E-3</v>
      </c>
      <c r="K49" s="943"/>
      <c r="L49" s="902"/>
      <c r="O49" s="929"/>
    </row>
    <row r="50" spans="1:15" ht="20.100000000000001" customHeight="1">
      <c r="A50" s="920" t="s">
        <v>178</v>
      </c>
      <c r="B50" s="999"/>
      <c r="C50" s="999"/>
      <c r="D50" s="922" t="s">
        <v>132</v>
      </c>
      <c r="E50" s="923">
        <f>'25'!F50</f>
        <v>399395</v>
      </c>
      <c r="F50" s="996">
        <v>400400</v>
      </c>
      <c r="G50" s="924">
        <f t="shared" si="4"/>
        <v>1005</v>
      </c>
      <c r="H50" s="925">
        <f>G50+'25'!H50</f>
        <v>-3257.0300000000279</v>
      </c>
      <c r="I50" s="923"/>
      <c r="J50" s="927">
        <f>H50/DAY(B2)</f>
        <v>-125.27038461538569</v>
      </c>
      <c r="K50" s="943"/>
      <c r="L50" s="902"/>
      <c r="O50" s="929"/>
    </row>
    <row r="51" spans="1:15" ht="20.100000000000001" customHeight="1">
      <c r="A51" s="920" t="s">
        <v>166</v>
      </c>
      <c r="B51" s="999"/>
      <c r="C51" s="999"/>
      <c r="D51" s="922" t="s">
        <v>132</v>
      </c>
      <c r="E51" s="923">
        <f>'25'!F51</f>
        <v>120051</v>
      </c>
      <c r="F51" s="996">
        <v>120051</v>
      </c>
      <c r="G51" s="924">
        <f t="shared" si="4"/>
        <v>0</v>
      </c>
      <c r="H51" s="925">
        <f>G51+'25'!H51</f>
        <v>-1548.9199999999983</v>
      </c>
      <c r="I51" s="923"/>
      <c r="J51" s="927">
        <f>H51/DAY(B2)</f>
        <v>-59.573846153846084</v>
      </c>
      <c r="K51" s="943"/>
      <c r="L51" s="902"/>
      <c r="O51" s="929"/>
    </row>
    <row r="52" spans="1:15" ht="20.100000000000001" customHeight="1">
      <c r="A52" s="920" t="s">
        <v>179</v>
      </c>
      <c r="B52" s="999"/>
      <c r="C52" s="999"/>
      <c r="D52" s="922" t="s">
        <v>132</v>
      </c>
      <c r="E52" s="923">
        <f>'25'!F52</f>
        <v>507913</v>
      </c>
      <c r="F52" s="996">
        <v>507913</v>
      </c>
      <c r="G52" s="924">
        <f t="shared" si="4"/>
        <v>0</v>
      </c>
      <c r="H52" s="925">
        <f>G52+'25'!H52</f>
        <v>-2045.710000000021</v>
      </c>
      <c r="I52" s="923"/>
      <c r="J52" s="927">
        <f>H52/DAY(B2)</f>
        <v>-78.681153846154658</v>
      </c>
      <c r="K52" s="943"/>
      <c r="L52" s="902"/>
      <c r="O52" s="929"/>
    </row>
    <row r="53" spans="1:15" ht="20.100000000000001" customHeight="1">
      <c r="A53" s="920" t="s">
        <v>168</v>
      </c>
      <c r="B53" s="999"/>
      <c r="C53" s="999"/>
      <c r="D53" s="922" t="s">
        <v>132</v>
      </c>
      <c r="E53" s="923">
        <f>'25'!F53</f>
        <v>331855</v>
      </c>
      <c r="F53" s="996">
        <v>331855</v>
      </c>
      <c r="G53" s="924">
        <f t="shared" si="4"/>
        <v>0</v>
      </c>
      <c r="H53" s="925">
        <f>G53+'25'!H53</f>
        <v>-4184.5100000000093</v>
      </c>
      <c r="I53" s="923"/>
      <c r="J53" s="927">
        <f>H53/DAY(B2)</f>
        <v>-160.94269230769265</v>
      </c>
      <c r="K53" s="943"/>
      <c r="L53" s="902"/>
      <c r="O53" s="929"/>
    </row>
    <row r="54" spans="1:15" ht="20.100000000000001" customHeight="1">
      <c r="A54" s="920" t="s">
        <v>180</v>
      </c>
      <c r="B54" s="999"/>
      <c r="C54" s="999"/>
      <c r="D54" s="922" t="s">
        <v>132</v>
      </c>
      <c r="E54" s="923">
        <f>'25'!F54</f>
        <v>7884</v>
      </c>
      <c r="F54" s="996">
        <v>7956</v>
      </c>
      <c r="G54" s="924">
        <f t="shared" si="4"/>
        <v>72</v>
      </c>
      <c r="H54" s="925">
        <f>G54+'25'!H54</f>
        <v>-139.63000000000011</v>
      </c>
      <c r="I54" s="923"/>
      <c r="J54" s="927">
        <f>H54/DAY(B2)</f>
        <v>-5.3703846153846193</v>
      </c>
      <c r="K54" s="943"/>
      <c r="L54" s="902"/>
      <c r="O54" s="929"/>
    </row>
    <row r="55" spans="1:15" ht="20.100000000000001" customHeight="1">
      <c r="A55" s="920" t="s">
        <v>181</v>
      </c>
      <c r="B55" s="999"/>
      <c r="C55" s="999"/>
      <c r="D55" s="922" t="s">
        <v>132</v>
      </c>
      <c r="E55" s="923">
        <f>'25'!F55</f>
        <v>101639</v>
      </c>
      <c r="F55" s="996">
        <v>106716</v>
      </c>
      <c r="G55" s="924">
        <f t="shared" si="4"/>
        <v>5077</v>
      </c>
      <c r="H55" s="925">
        <f>G55+'25'!H55</f>
        <v>-15868.690000000002</v>
      </c>
      <c r="I55" s="923"/>
      <c r="J55" s="927">
        <f>H55/DAY(B2)</f>
        <v>-610.33423076923089</v>
      </c>
      <c r="K55" s="943"/>
      <c r="L55" s="902"/>
      <c r="O55" s="929"/>
    </row>
    <row r="56" spans="1:15" ht="20.100000000000001" customHeight="1">
      <c r="A56" s="920" t="s">
        <v>182</v>
      </c>
      <c r="B56" s="999"/>
      <c r="C56" s="999"/>
      <c r="D56" s="922" t="s">
        <v>183</v>
      </c>
      <c r="E56" s="923">
        <f>'25'!F56</f>
        <v>586023</v>
      </c>
      <c r="F56" s="996">
        <v>586023</v>
      </c>
      <c r="G56" s="924">
        <f t="shared" si="4"/>
        <v>0</v>
      </c>
      <c r="H56" s="925">
        <f>G56+'25'!H56</f>
        <v>-28.03000000002794</v>
      </c>
      <c r="I56" s="923"/>
      <c r="J56" s="927">
        <f>H56/DAY(B2)</f>
        <v>-1.0780769230779976</v>
      </c>
      <c r="K56" s="919"/>
      <c r="L56" s="902"/>
      <c r="O56" s="929"/>
    </row>
    <row r="57" spans="1:15" ht="20.100000000000001" customHeight="1">
      <c r="A57" s="920" t="s">
        <v>172</v>
      </c>
      <c r="B57" s="999"/>
      <c r="C57" s="999"/>
      <c r="D57" s="922" t="s">
        <v>132</v>
      </c>
      <c r="E57" s="923">
        <f>'25'!F57</f>
        <v>7711</v>
      </c>
      <c r="F57" s="996">
        <v>7711</v>
      </c>
      <c r="G57" s="924">
        <f t="shared" si="4"/>
        <v>0</v>
      </c>
      <c r="H57" s="925">
        <f>G57+'25'!H57</f>
        <v>-0.32999999999992724</v>
      </c>
      <c r="I57" s="923"/>
      <c r="J57" s="927">
        <f>H57/DAY(B2)</f>
        <v>-1.2692307692304894E-2</v>
      </c>
      <c r="K57" s="943"/>
      <c r="L57" s="902"/>
      <c r="O57" s="929"/>
    </row>
    <row r="58" spans="1:15" ht="20.100000000000001" customHeight="1">
      <c r="A58" s="920" t="s">
        <v>184</v>
      </c>
      <c r="B58" s="999"/>
      <c r="C58" s="999"/>
      <c r="D58" s="922" t="s">
        <v>132</v>
      </c>
      <c r="E58" s="923">
        <f>'25'!F58</f>
        <v>35277</v>
      </c>
      <c r="F58" s="996">
        <v>35454</v>
      </c>
      <c r="G58" s="924">
        <f t="shared" si="4"/>
        <v>177</v>
      </c>
      <c r="H58" s="925">
        <f>G58+'25'!H58</f>
        <v>-610.69999999999709</v>
      </c>
      <c r="I58" s="923"/>
      <c r="J58" s="927">
        <f>H58/DAY(B2)</f>
        <v>-23.488461538461426</v>
      </c>
      <c r="K58" s="943"/>
      <c r="L58" s="902"/>
      <c r="O58" s="929"/>
    </row>
    <row r="59" spans="1:15" ht="20.100000000000001" customHeight="1">
      <c r="A59" s="945" t="s">
        <v>176</v>
      </c>
      <c r="B59" s="946"/>
      <c r="C59" s="946"/>
      <c r="D59" s="909"/>
      <c r="E59" s="909"/>
      <c r="F59" s="909"/>
      <c r="G59" s="947">
        <f>G49+G50+G51+G52+G53+G54+G55+G56+G57+G58</f>
        <v>6331</v>
      </c>
      <c r="H59" s="925">
        <f>G59+'25'!H59</f>
        <v>-27683.680000000095</v>
      </c>
      <c r="I59" s="923">
        <f>G7-G60</f>
        <v>319</v>
      </c>
      <c r="J59" s="927">
        <f>H59/DAY(B2)</f>
        <v>-1064.7569230769268</v>
      </c>
      <c r="K59" s="943"/>
      <c r="L59" s="902"/>
      <c r="O59" s="929"/>
    </row>
    <row r="60" spans="1:15" ht="20.100000000000001" customHeight="1">
      <c r="A60" s="920"/>
      <c r="B60" s="921"/>
      <c r="C60" s="921"/>
      <c r="D60" s="909" t="s">
        <v>185</v>
      </c>
      <c r="E60" s="909"/>
      <c r="F60" s="909"/>
      <c r="G60" s="947">
        <f>G47+G59</f>
        <v>19959</v>
      </c>
      <c r="H60" s="925">
        <f>G60+'25'!H60</f>
        <v>93416.529999999882</v>
      </c>
      <c r="I60" s="923">
        <f>G13-G60</f>
        <v>-278</v>
      </c>
      <c r="J60" s="927">
        <f>H60/DAY(B2)</f>
        <v>3592.9434615384571</v>
      </c>
      <c r="K60" s="943"/>
      <c r="L60" s="902"/>
      <c r="O60" s="929"/>
    </row>
    <row r="61" spans="1:15" ht="20.100000000000001" customHeight="1">
      <c r="A61" s="1000" t="s">
        <v>186</v>
      </c>
      <c r="B61" s="1001"/>
      <c r="C61" s="1001"/>
      <c r="D61" s="1001"/>
      <c r="E61" s="1002"/>
      <c r="F61" s="1002"/>
      <c r="G61" s="1001"/>
      <c r="H61" s="1001"/>
      <c r="I61" s="1001"/>
      <c r="J61" s="1003"/>
      <c r="K61" s="943"/>
      <c r="L61" s="902"/>
      <c r="O61" s="929"/>
    </row>
    <row r="62" spans="1:15" ht="20.100000000000001" customHeight="1">
      <c r="A62" s="1004" t="s">
        <v>98</v>
      </c>
      <c r="B62" s="1005"/>
      <c r="C62" s="1005"/>
      <c r="D62" s="909" t="s">
        <v>187</v>
      </c>
      <c r="E62" s="923">
        <f>'25'!F62</f>
        <v>20419.18</v>
      </c>
      <c r="F62" s="1006">
        <v>20419.18</v>
      </c>
      <c r="G62" s="924">
        <f t="shared" ref="G62:G69" si="5">F62-E62</f>
        <v>0</v>
      </c>
      <c r="H62" s="925">
        <f>G62+'25'!H62</f>
        <v>-7.0000000014260877E-3</v>
      </c>
      <c r="I62" s="1007"/>
      <c r="J62" s="927">
        <f>H62/DAY(B2)</f>
        <v>-2.6923076928561874E-4</v>
      </c>
      <c r="K62" s="943"/>
      <c r="L62" s="902"/>
      <c r="O62" s="929"/>
    </row>
    <row r="63" spans="1:15" ht="20.100000000000001" customHeight="1">
      <c r="A63" s="1004" t="s">
        <v>188</v>
      </c>
      <c r="B63" s="1005"/>
      <c r="C63" s="1005"/>
      <c r="D63" s="909" t="s">
        <v>187</v>
      </c>
      <c r="E63" s="923">
        <f>'25'!F63</f>
        <v>1663</v>
      </c>
      <c r="F63" s="1006">
        <v>1678</v>
      </c>
      <c r="G63" s="924">
        <f t="shared" si="5"/>
        <v>15</v>
      </c>
      <c r="H63" s="925">
        <f>G63+'25'!H63</f>
        <v>-29.3599999999999</v>
      </c>
      <c r="I63" s="1007"/>
      <c r="J63" s="927">
        <f>H63/DAY(B2)</f>
        <v>-1.1292307692307655</v>
      </c>
      <c r="K63" s="943"/>
      <c r="L63" s="902"/>
      <c r="O63" s="929"/>
    </row>
    <row r="64" spans="1:15" ht="20.100000000000001" customHeight="1">
      <c r="A64" s="1552" t="s">
        <v>99</v>
      </c>
      <c r="B64" s="1553"/>
      <c r="C64" s="1554"/>
      <c r="D64" s="922" t="s">
        <v>187</v>
      </c>
      <c r="E64" s="923">
        <f>'25'!F64</f>
        <v>122093</v>
      </c>
      <c r="F64" s="953">
        <v>122649</v>
      </c>
      <c r="G64" s="924">
        <f t="shared" si="5"/>
        <v>556</v>
      </c>
      <c r="H64" s="925">
        <f>G64+'25'!H64</f>
        <v>-978.30000000000291</v>
      </c>
      <c r="I64" s="944"/>
      <c r="J64" s="927">
        <f>H64/DAY(B2)</f>
        <v>-37.626923076923191</v>
      </c>
      <c r="K64" s="943"/>
      <c r="L64" s="902"/>
      <c r="O64" s="929"/>
    </row>
    <row r="65" spans="1:15" ht="20.100000000000001" customHeight="1">
      <c r="A65" s="1552" t="s">
        <v>100</v>
      </c>
      <c r="B65" s="1553"/>
      <c r="C65" s="1554"/>
      <c r="D65" s="922" t="s">
        <v>187</v>
      </c>
      <c r="E65" s="923">
        <f>'25'!F65</f>
        <v>131392</v>
      </c>
      <c r="F65" s="953">
        <v>131788</v>
      </c>
      <c r="G65" s="924">
        <f t="shared" si="5"/>
        <v>396</v>
      </c>
      <c r="H65" s="925">
        <f>G65+'25'!H65</f>
        <v>-809.29999999998836</v>
      </c>
      <c r="I65" s="962"/>
      <c r="J65" s="927">
        <f>H65/DAY(B2)</f>
        <v>-31.12692307692263</v>
      </c>
      <c r="K65" s="943"/>
      <c r="L65" s="902"/>
      <c r="O65" s="929"/>
    </row>
    <row r="66" spans="1:15" ht="20.100000000000001" customHeight="1">
      <c r="A66" s="1552" t="s">
        <v>101</v>
      </c>
      <c r="B66" s="1553"/>
      <c r="C66" s="1554"/>
      <c r="D66" s="922" t="s">
        <v>187</v>
      </c>
      <c r="E66" s="923">
        <f>'25'!F66</f>
        <v>23979</v>
      </c>
      <c r="F66" s="953">
        <v>24369</v>
      </c>
      <c r="G66" s="924">
        <f t="shared" si="5"/>
        <v>390</v>
      </c>
      <c r="H66" s="925">
        <f>G66+'25'!H66</f>
        <v>-790.75</v>
      </c>
      <c r="I66" s="944"/>
      <c r="J66" s="927">
        <f>H66/DAY(B2)</f>
        <v>-30.41346153846154</v>
      </c>
      <c r="K66" s="943"/>
      <c r="L66" s="902"/>
      <c r="O66" s="929"/>
    </row>
    <row r="67" spans="1:15" ht="20.100000000000001" customHeight="1">
      <c r="A67" s="1552" t="s">
        <v>102</v>
      </c>
      <c r="B67" s="1553"/>
      <c r="C67" s="1554"/>
      <c r="D67" s="922" t="s">
        <v>187</v>
      </c>
      <c r="E67" s="923">
        <f>'25'!F67</f>
        <v>205830</v>
      </c>
      <c r="F67" s="953">
        <v>206487</v>
      </c>
      <c r="G67" s="924">
        <f t="shared" si="5"/>
        <v>657</v>
      </c>
      <c r="H67" s="925">
        <f>G67+'25'!H67</f>
        <v>-1354.8299999999872</v>
      </c>
      <c r="I67" s="962"/>
      <c r="J67" s="927">
        <f>H67/DAY(B2)</f>
        <v>-52.108846153845661</v>
      </c>
      <c r="K67" s="950"/>
      <c r="L67" s="902"/>
      <c r="O67" s="929"/>
    </row>
    <row r="68" spans="1:15" ht="20.100000000000001" customHeight="1">
      <c r="A68" s="1552" t="s">
        <v>103</v>
      </c>
      <c r="B68" s="1553"/>
      <c r="C68" s="1554"/>
      <c r="D68" s="922" t="s">
        <v>187</v>
      </c>
      <c r="E68" s="923">
        <f>'25'!F68</f>
        <v>71669</v>
      </c>
      <c r="F68" s="953">
        <v>71975</v>
      </c>
      <c r="G68" s="924">
        <f t="shared" si="5"/>
        <v>306</v>
      </c>
      <c r="H68" s="925">
        <f>G68+'25'!H68</f>
        <v>296.47999999999593</v>
      </c>
      <c r="I68" s="1008"/>
      <c r="J68" s="927">
        <f>H68/DAY(B2)</f>
        <v>11.403076923076766</v>
      </c>
      <c r="K68" s="1009"/>
      <c r="L68" s="902"/>
      <c r="O68" s="929"/>
    </row>
    <row r="69" spans="1:15" ht="20.100000000000001" customHeight="1">
      <c r="A69" s="1552" t="s">
        <v>104</v>
      </c>
      <c r="B69" s="1553"/>
      <c r="C69" s="1554"/>
      <c r="D69" s="922" t="s">
        <v>187</v>
      </c>
      <c r="E69" s="923">
        <f>'25'!F69</f>
        <v>63459</v>
      </c>
      <c r="F69" s="953">
        <v>63792</v>
      </c>
      <c r="G69" s="924">
        <f t="shared" si="5"/>
        <v>333</v>
      </c>
      <c r="H69" s="925">
        <f>G69+'25'!H69</f>
        <v>-660.08999999999651</v>
      </c>
      <c r="I69" s="1008"/>
      <c r="J69" s="927">
        <f>H69/DAY(B2)</f>
        <v>-25.388076923076788</v>
      </c>
      <c r="K69" s="1010"/>
      <c r="L69" s="902"/>
      <c r="O69" s="929"/>
    </row>
    <row r="70" spans="1:15" ht="20.100000000000001" customHeight="1">
      <c r="A70" s="1575" t="s">
        <v>189</v>
      </c>
      <c r="B70" s="1576"/>
      <c r="C70" s="1577"/>
      <c r="D70" s="922" t="s">
        <v>187</v>
      </c>
      <c r="E70" s="1011"/>
      <c r="F70" s="1012"/>
      <c r="G70" s="1012"/>
      <c r="H70" s="925">
        <f>G70+'13'!H70</f>
        <v>0</v>
      </c>
      <c r="I70" s="1012"/>
      <c r="J70" s="1013"/>
      <c r="K70" s="1010"/>
      <c r="L70" s="902"/>
      <c r="O70" s="929"/>
    </row>
    <row r="71" spans="1:15" ht="20.100000000000001" customHeight="1">
      <c r="A71" s="1572" t="s">
        <v>190</v>
      </c>
      <c r="B71" s="1573"/>
      <c r="C71" s="1573"/>
      <c r="D71" s="1573"/>
      <c r="E71" s="1573"/>
      <c r="F71" s="1573"/>
      <c r="G71" s="1573"/>
      <c r="H71" s="1573"/>
      <c r="I71" s="1573"/>
      <c r="J71" s="1574"/>
      <c r="K71" s="1009"/>
      <c r="L71" s="902"/>
      <c r="O71" s="929"/>
    </row>
    <row r="72" spans="1:15" ht="20.100000000000001" customHeight="1">
      <c r="A72" s="1552" t="s">
        <v>191</v>
      </c>
      <c r="B72" s="1553"/>
      <c r="C72" s="1554"/>
      <c r="D72" s="922" t="s">
        <v>187</v>
      </c>
      <c r="E72" s="923">
        <f>'25'!F72</f>
        <v>850364</v>
      </c>
      <c r="F72" s="1014">
        <v>850432</v>
      </c>
      <c r="G72" s="924">
        <f t="shared" ref="G72:G84" si="6">F72-E72</f>
        <v>68</v>
      </c>
      <c r="H72" s="925">
        <f>G72+'25'!H72</f>
        <v>2039</v>
      </c>
      <c r="I72" s="944"/>
      <c r="J72" s="927">
        <f>H72/DAY(B2)</f>
        <v>78.42307692307692</v>
      </c>
      <c r="K72" s="1010"/>
      <c r="L72" s="902"/>
      <c r="O72" s="929"/>
    </row>
    <row r="73" spans="1:15" ht="20.100000000000001" customHeight="1">
      <c r="A73" s="1552" t="s">
        <v>192</v>
      </c>
      <c r="B73" s="1553"/>
      <c r="C73" s="1554"/>
      <c r="D73" s="922" t="s">
        <v>187</v>
      </c>
      <c r="E73" s="923">
        <f>'25'!F73</f>
        <v>885771</v>
      </c>
      <c r="F73" s="1015">
        <v>885771</v>
      </c>
      <c r="G73" s="924">
        <f t="shared" si="6"/>
        <v>0</v>
      </c>
      <c r="H73" s="925">
        <f>G73+'25'!H73</f>
        <v>-1137</v>
      </c>
      <c r="I73" s="944"/>
      <c r="J73" s="927">
        <f>H73/DAY(B2)</f>
        <v>-43.730769230769234</v>
      </c>
      <c r="K73" s="1009"/>
      <c r="L73" s="902"/>
      <c r="O73" s="929"/>
    </row>
    <row r="74" spans="1:15" ht="20.100000000000001" customHeight="1">
      <c r="A74" s="1552" t="s">
        <v>193</v>
      </c>
      <c r="B74" s="1553"/>
      <c r="C74" s="1554"/>
      <c r="D74" s="922" t="s">
        <v>187</v>
      </c>
      <c r="E74" s="923">
        <f>'25'!F74</f>
        <v>501</v>
      </c>
      <c r="F74" s="1016">
        <v>516</v>
      </c>
      <c r="G74" s="924">
        <f t="shared" si="6"/>
        <v>15</v>
      </c>
      <c r="H74" s="925">
        <f>G74+'25'!H74</f>
        <v>-70.170000000000073</v>
      </c>
      <c r="I74" s="944"/>
      <c r="J74" s="927">
        <f>H74/DAY(B2)</f>
        <v>-2.6988461538461568</v>
      </c>
      <c r="K74" s="1010"/>
      <c r="L74" s="902"/>
      <c r="O74" s="929"/>
    </row>
    <row r="75" spans="1:15" ht="20.100000000000001" customHeight="1">
      <c r="A75" s="1578" t="s">
        <v>194</v>
      </c>
      <c r="B75" s="1579"/>
      <c r="C75" s="1580"/>
      <c r="D75" s="922" t="s">
        <v>187</v>
      </c>
      <c r="E75" s="923">
        <f>'25'!F75</f>
        <v>3012</v>
      </c>
      <c r="F75" s="1016">
        <v>3184</v>
      </c>
      <c r="G75" s="924">
        <f t="shared" si="6"/>
        <v>172</v>
      </c>
      <c r="H75" s="925">
        <f>G75+'25'!H75</f>
        <v>-335.21999999999935</v>
      </c>
      <c r="I75" s="944"/>
      <c r="J75" s="927">
        <f>H75/DAY(B2)</f>
        <v>-12.893076923076897</v>
      </c>
      <c r="K75" s="1009"/>
      <c r="L75" s="902"/>
      <c r="O75" s="929"/>
    </row>
    <row r="76" spans="1:15" ht="20.100000000000001" customHeight="1">
      <c r="A76" s="1578" t="s">
        <v>195</v>
      </c>
      <c r="B76" s="1579"/>
      <c r="C76" s="1580"/>
      <c r="D76" s="922" t="s">
        <v>187</v>
      </c>
      <c r="E76" s="923">
        <f>'25'!F76</f>
        <v>1273</v>
      </c>
      <c r="F76" s="1015">
        <v>1355</v>
      </c>
      <c r="G76" s="924">
        <f t="shared" si="6"/>
        <v>82</v>
      </c>
      <c r="H76" s="925">
        <f>G76+'25'!H76</f>
        <v>-1703.4199999999996</v>
      </c>
      <c r="I76" s="987"/>
      <c r="J76" s="927">
        <f>H76/DAY(B2)</f>
        <v>-65.516153846153827</v>
      </c>
      <c r="K76" s="1009"/>
      <c r="L76" s="902"/>
      <c r="O76" s="929"/>
    </row>
    <row r="77" spans="1:15" ht="20.100000000000001" customHeight="1">
      <c r="A77" s="1552" t="s">
        <v>196</v>
      </c>
      <c r="B77" s="1553"/>
      <c r="C77" s="1554"/>
      <c r="D77" s="922" t="s">
        <v>187</v>
      </c>
      <c r="E77" s="923">
        <f>'25'!F77</f>
        <v>698448</v>
      </c>
      <c r="F77" s="1015">
        <v>698495</v>
      </c>
      <c r="G77" s="924">
        <f t="shared" si="6"/>
        <v>47</v>
      </c>
      <c r="H77" s="925">
        <f>G77+'25'!H77</f>
        <v>-93</v>
      </c>
      <c r="I77" s="987"/>
      <c r="J77" s="927">
        <f>H77/DAY(B2)</f>
        <v>-3.5769230769230771</v>
      </c>
      <c r="K77" s="1009"/>
      <c r="L77" s="902"/>
      <c r="O77" s="929"/>
    </row>
    <row r="78" spans="1:15" ht="18.75" customHeight="1">
      <c r="A78" s="1017" t="s">
        <v>197</v>
      </c>
      <c r="B78" s="1225"/>
      <c r="C78" s="1225"/>
      <c r="D78" s="922" t="s">
        <v>187</v>
      </c>
      <c r="E78" s="923">
        <f>'25'!F78</f>
        <v>651780</v>
      </c>
      <c r="F78" s="1016">
        <v>652125</v>
      </c>
      <c r="G78" s="924">
        <f t="shared" si="6"/>
        <v>345</v>
      </c>
      <c r="H78" s="925">
        <f>G78+'25'!H78</f>
        <v>-738</v>
      </c>
      <c r="I78" s="987"/>
      <c r="J78" s="927">
        <f>H78/DAY(B2)</f>
        <v>-28.384615384615383</v>
      </c>
      <c r="K78" s="1009"/>
      <c r="L78" s="902"/>
      <c r="O78" s="929"/>
    </row>
    <row r="79" spans="1:15" ht="20.100000000000001" customHeight="1">
      <c r="A79" s="1578" t="s">
        <v>92</v>
      </c>
      <c r="B79" s="1579"/>
      <c r="C79" s="1580"/>
      <c r="D79" s="956" t="s">
        <v>187</v>
      </c>
      <c r="E79" s="923">
        <f>'25'!F79</f>
        <v>814492</v>
      </c>
      <c r="F79" s="1016">
        <v>814690</v>
      </c>
      <c r="G79" s="924">
        <f t="shared" si="6"/>
        <v>198</v>
      </c>
      <c r="H79" s="925">
        <f>G79+'25'!H79</f>
        <v>-3046</v>
      </c>
      <c r="I79" s="987"/>
      <c r="J79" s="927">
        <f>H79/DAY(B2)</f>
        <v>-117.15384615384616</v>
      </c>
      <c r="K79" s="1009"/>
      <c r="L79" s="902"/>
      <c r="O79" s="929"/>
    </row>
    <row r="80" spans="1:15" ht="20.100000000000001" customHeight="1">
      <c r="A80" s="1578" t="s">
        <v>198</v>
      </c>
      <c r="B80" s="1579"/>
      <c r="C80" s="1580"/>
      <c r="D80" s="956" t="s">
        <v>187</v>
      </c>
      <c r="E80" s="923">
        <f>'25'!F80</f>
        <v>493543</v>
      </c>
      <c r="F80" s="1321">
        <v>493896</v>
      </c>
      <c r="G80" s="924">
        <f t="shared" si="6"/>
        <v>353</v>
      </c>
      <c r="H80" s="925">
        <f>G80+'25'!H80</f>
        <v>1896.320000000007</v>
      </c>
      <c r="I80" s="987"/>
      <c r="J80" s="927">
        <f>H80/DAY(B2)</f>
        <v>72.935384615384891</v>
      </c>
      <c r="K80" s="1009"/>
      <c r="L80" s="902"/>
      <c r="O80" s="929"/>
    </row>
    <row r="81" spans="1:15" ht="20.100000000000001" customHeight="1">
      <c r="A81" s="1578" t="s">
        <v>199</v>
      </c>
      <c r="B81" s="1579"/>
      <c r="C81" s="1580"/>
      <c r="D81" s="956" t="s">
        <v>187</v>
      </c>
      <c r="E81" s="923">
        <f>'25'!F81</f>
        <v>625551</v>
      </c>
      <c r="F81" s="1015">
        <v>625674</v>
      </c>
      <c r="G81" s="924">
        <f t="shared" si="6"/>
        <v>123</v>
      </c>
      <c r="H81" s="925">
        <f>G81+'25'!H81</f>
        <v>-269.8399999999674</v>
      </c>
      <c r="I81" s="987"/>
      <c r="J81" s="927">
        <f>H81/DAY(B2)</f>
        <v>-10.378461538460284</v>
      </c>
      <c r="K81" s="1009"/>
      <c r="L81" s="902"/>
      <c r="O81" s="929"/>
    </row>
    <row r="82" spans="1:15" ht="20.100000000000001" customHeight="1">
      <c r="A82" s="1578" t="s">
        <v>93</v>
      </c>
      <c r="B82" s="1579"/>
      <c r="C82" s="1580"/>
      <c r="D82" s="957" t="s">
        <v>132</v>
      </c>
      <c r="E82" s="923">
        <f>'25'!F82</f>
        <v>106140</v>
      </c>
      <c r="F82" s="1018">
        <v>106159</v>
      </c>
      <c r="G82" s="924">
        <f t="shared" si="6"/>
        <v>19</v>
      </c>
      <c r="H82" s="925">
        <f>G82+'25'!H82</f>
        <v>-43.479999999995925</v>
      </c>
      <c r="I82" s="958"/>
      <c r="J82" s="927">
        <f>H82/DAY(B2)</f>
        <v>-1.6723076923075355</v>
      </c>
      <c r="K82" s="1009"/>
      <c r="L82" s="902"/>
      <c r="O82" s="929"/>
    </row>
    <row r="83" spans="1:15" ht="20.100000000000001" customHeight="1">
      <c r="A83" s="1578" t="s">
        <v>200</v>
      </c>
      <c r="B83" s="1579"/>
      <c r="C83" s="1580"/>
      <c r="D83" s="1019" t="s">
        <v>132</v>
      </c>
      <c r="E83" s="923">
        <f>'25'!F83</f>
        <v>994867</v>
      </c>
      <c r="F83" s="909">
        <v>995362</v>
      </c>
      <c r="G83" s="924">
        <f t="shared" si="6"/>
        <v>495</v>
      </c>
      <c r="H83" s="925">
        <f>G83+'25'!H83</f>
        <v>998765</v>
      </c>
      <c r="I83" s="947"/>
      <c r="J83" s="927">
        <f>H83/DAY(B2)</f>
        <v>38414.038461538461</v>
      </c>
      <c r="K83" s="950"/>
      <c r="L83" s="902"/>
      <c r="O83" s="929"/>
    </row>
    <row r="84" spans="1:15" ht="20.100000000000001" customHeight="1">
      <c r="A84" s="1020" t="s">
        <v>201</v>
      </c>
      <c r="B84" s="1021"/>
      <c r="C84" s="1021"/>
      <c r="D84" s="941" t="s">
        <v>132</v>
      </c>
      <c r="E84" s="923">
        <f>'25'!F84</f>
        <v>428770</v>
      </c>
      <c r="F84" s="1022">
        <v>429387</v>
      </c>
      <c r="G84" s="924">
        <f t="shared" si="6"/>
        <v>617</v>
      </c>
      <c r="H84" s="925">
        <f>G84+'25'!H84</f>
        <v>-1411</v>
      </c>
      <c r="I84" s="947"/>
      <c r="J84" s="927">
        <f>H84/DAY(B2)</f>
        <v>-54.269230769230766</v>
      </c>
      <c r="K84" s="1023"/>
      <c r="L84" s="902"/>
      <c r="O84" s="929"/>
    </row>
    <row r="85" spans="1:15" s="1027" customFormat="1" ht="20.100000000000001" customHeight="1">
      <c r="A85" s="1024" t="s">
        <v>202</v>
      </c>
      <c r="B85" s="1025"/>
      <c r="C85" s="1025"/>
      <c r="D85" s="962"/>
      <c r="E85" s="923">
        <f>'25'!F85</f>
        <v>0</v>
      </c>
      <c r="F85" s="922"/>
      <c r="G85" s="925">
        <f xml:space="preserve"> SUM(G72:G84)</f>
        <v>2534</v>
      </c>
      <c r="H85" s="925">
        <f>G85+'25'!H85</f>
        <v>992261.92999999993</v>
      </c>
      <c r="I85" s="947"/>
      <c r="J85" s="927">
        <f>H85/DAY(B2)</f>
        <v>38163.920384615383</v>
      </c>
      <c r="K85" s="1023"/>
      <c r="L85" s="1026"/>
      <c r="N85" s="1094"/>
      <c r="O85" s="929"/>
    </row>
    <row r="86" spans="1:15" s="1037" customFormat="1">
      <c r="A86" s="1028" t="s">
        <v>94</v>
      </c>
      <c r="B86" s="1029"/>
      <c r="C86" s="1029"/>
      <c r="D86" s="1030" t="s">
        <v>183</v>
      </c>
      <c r="E86" s="923">
        <f>'25'!F86</f>
        <v>450129</v>
      </c>
      <c r="F86" s="1031">
        <v>450219</v>
      </c>
      <c r="G86" s="1032">
        <f t="shared" ref="G86:G90" si="7">F86-E86</f>
        <v>90</v>
      </c>
      <c r="H86" s="1032">
        <f t="shared" ref="H86:H88" si="8">G86</f>
        <v>90</v>
      </c>
      <c r="I86" s="1033"/>
      <c r="J86" s="1034">
        <f>H86/DAY(B2)</f>
        <v>3.4615384615384617</v>
      </c>
      <c r="K86" s="1035"/>
      <c r="L86" s="1036"/>
      <c r="N86" s="1095"/>
      <c r="O86" s="929"/>
    </row>
    <row r="87" spans="1:15" s="1037" customFormat="1">
      <c r="A87" s="1028" t="s">
        <v>95</v>
      </c>
      <c r="B87" s="1029"/>
      <c r="C87" s="1029"/>
      <c r="D87" s="1030" t="s">
        <v>183</v>
      </c>
      <c r="E87" s="923">
        <f>'25'!F87</f>
        <v>79130</v>
      </c>
      <c r="F87" s="1373">
        <v>79167.199999999997</v>
      </c>
      <c r="G87" s="1032">
        <f t="shared" si="7"/>
        <v>37.19999999999709</v>
      </c>
      <c r="H87" s="1032">
        <f t="shared" si="8"/>
        <v>37.19999999999709</v>
      </c>
      <c r="I87" s="1033"/>
      <c r="J87" s="1034">
        <f>H87/DAY(B2)</f>
        <v>1.4307692307691189</v>
      </c>
      <c r="K87" s="1035"/>
      <c r="L87" s="1036"/>
      <c r="N87" s="1095"/>
      <c r="O87" s="929"/>
    </row>
    <row r="88" spans="1:15" s="1037" customFormat="1">
      <c r="A88" s="1028" t="s">
        <v>96</v>
      </c>
      <c r="B88" s="1029"/>
      <c r="C88" s="1029"/>
      <c r="D88" s="1030" t="s">
        <v>183</v>
      </c>
      <c r="E88" s="923">
        <f>'25'!F88</f>
        <v>148102</v>
      </c>
      <c r="F88" s="1031">
        <v>148201</v>
      </c>
      <c r="G88" s="1032">
        <f t="shared" si="7"/>
        <v>99</v>
      </c>
      <c r="H88" s="1032">
        <f t="shared" si="8"/>
        <v>99</v>
      </c>
      <c r="I88" s="1033"/>
      <c r="J88" s="1034">
        <f>H88/DAY(B2)</f>
        <v>3.8076923076923075</v>
      </c>
      <c r="K88" s="1035"/>
      <c r="L88" s="1036"/>
      <c r="N88" s="1095"/>
      <c r="O88" s="929"/>
    </row>
    <row r="89" spans="1:15" s="1037" customFormat="1">
      <c r="A89" s="1028" t="s">
        <v>204</v>
      </c>
      <c r="B89" s="1029"/>
      <c r="C89" s="1029"/>
      <c r="D89" s="1030" t="s">
        <v>183</v>
      </c>
      <c r="E89" s="923">
        <f>'25'!F89</f>
        <v>61459</v>
      </c>
      <c r="F89" s="1031">
        <v>61568</v>
      </c>
      <c r="G89" s="1032">
        <f t="shared" si="7"/>
        <v>109</v>
      </c>
      <c r="H89" s="1032">
        <f>G89</f>
        <v>109</v>
      </c>
      <c r="I89" s="1033"/>
      <c r="J89" s="1034">
        <f>H89/DAY(B2)</f>
        <v>4.1923076923076925</v>
      </c>
      <c r="K89" s="1035"/>
      <c r="L89" s="1036"/>
      <c r="N89" s="1102"/>
      <c r="O89" s="929"/>
    </row>
    <row r="90" spans="1:15" s="1037" customFormat="1">
      <c r="A90" s="1028" t="s">
        <v>204</v>
      </c>
      <c r="B90" s="1029"/>
      <c r="C90" s="1029"/>
      <c r="D90" s="1030" t="s">
        <v>183</v>
      </c>
      <c r="E90" s="923">
        <f>'25'!F90</f>
        <v>3155</v>
      </c>
      <c r="F90" s="1031">
        <v>3160</v>
      </c>
      <c r="G90" s="1032">
        <f t="shared" si="7"/>
        <v>5</v>
      </c>
      <c r="H90" s="1032">
        <f>G90</f>
        <v>5</v>
      </c>
      <c r="I90" s="1033"/>
      <c r="J90" s="1034">
        <f>H90/DAY(B2)</f>
        <v>0.19230769230769232</v>
      </c>
      <c r="K90" s="1035"/>
      <c r="L90" s="1036"/>
      <c r="N90" s="1096"/>
      <c r="O90" s="929"/>
    </row>
    <row r="91" spans="1:15" s="1027" customFormat="1" ht="20.100000000000001" customHeight="1">
      <c r="A91" s="1038" t="s">
        <v>205</v>
      </c>
      <c r="B91" s="917"/>
      <c r="C91" s="917"/>
      <c r="D91" s="917"/>
      <c r="E91" s="917"/>
      <c r="F91" s="917"/>
      <c r="G91" s="961"/>
      <c r="H91" s="917"/>
      <c r="I91" s="917"/>
      <c r="J91" s="918"/>
      <c r="K91" s="1023"/>
      <c r="L91" s="1026"/>
      <c r="N91" s="1094"/>
      <c r="O91" s="929"/>
    </row>
    <row r="92" spans="1:15" ht="20.100000000000001" customHeight="1">
      <c r="A92" s="1555" t="s">
        <v>206</v>
      </c>
      <c r="B92" s="1556"/>
      <c r="C92" s="1557"/>
      <c r="D92" s="922" t="s">
        <v>144</v>
      </c>
      <c r="E92" s="923">
        <f>'25'!F92</f>
        <v>239336</v>
      </c>
      <c r="F92" s="953">
        <v>239405</v>
      </c>
      <c r="G92" s="924">
        <f t="shared" ref="G92:G93" si="9">F92-E92</f>
        <v>69</v>
      </c>
      <c r="H92" s="925">
        <f>G92+'25'!H92</f>
        <v>-290</v>
      </c>
      <c r="I92" s="944"/>
      <c r="J92" s="927">
        <f>H92/DAY(B2)</f>
        <v>-11.153846153846153</v>
      </c>
      <c r="K92" s="950"/>
      <c r="L92" s="902"/>
      <c r="O92" s="929"/>
    </row>
    <row r="93" spans="1:15" ht="20.100000000000001" customHeight="1">
      <c r="A93" s="1555" t="s">
        <v>207</v>
      </c>
      <c r="B93" s="1556"/>
      <c r="C93" s="1557"/>
      <c r="D93" s="922" t="s">
        <v>144</v>
      </c>
      <c r="E93" s="923">
        <f>'25'!F93</f>
        <v>175150</v>
      </c>
      <c r="F93" s="953">
        <v>175308</v>
      </c>
      <c r="G93" s="924">
        <f t="shared" si="9"/>
        <v>158</v>
      </c>
      <c r="H93" s="925">
        <f>G93+'25'!H93</f>
        <v>-353</v>
      </c>
      <c r="I93" s="944"/>
      <c r="J93" s="927">
        <f>H93/DAY(B2)</f>
        <v>-13.576923076923077</v>
      </c>
      <c r="K93" s="1023"/>
      <c r="L93" s="902"/>
      <c r="O93" s="929"/>
    </row>
    <row r="94" spans="1:15" ht="20.100000000000001" customHeight="1">
      <c r="A94" s="1581" t="s">
        <v>208</v>
      </c>
      <c r="B94" s="1582"/>
      <c r="C94" s="1583"/>
      <c r="D94" s="922"/>
      <c r="E94" s="923">
        <f>'25'!F94</f>
        <v>0</v>
      </c>
      <c r="F94" s="953"/>
      <c r="G94" s="924">
        <f>G92+G93</f>
        <v>227</v>
      </c>
      <c r="H94" s="925">
        <f>G94+'25'!H94</f>
        <v>-909</v>
      </c>
      <c r="I94" s="944"/>
      <c r="J94" s="927">
        <f>H94/DAY(B2)</f>
        <v>-34.96153846153846</v>
      </c>
      <c r="K94" s="1023"/>
      <c r="L94" s="902"/>
      <c r="O94" s="929"/>
    </row>
    <row r="95" spans="1:15" ht="20.100000000000001" customHeight="1">
      <c r="A95" s="1555" t="s">
        <v>209</v>
      </c>
      <c r="B95" s="1556"/>
      <c r="C95" s="1557"/>
      <c r="D95" s="922" t="s">
        <v>144</v>
      </c>
      <c r="E95" s="923">
        <f>'25'!F95</f>
        <v>407902</v>
      </c>
      <c r="F95" s="953">
        <v>407981</v>
      </c>
      <c r="G95" s="924">
        <f t="shared" ref="G95:G100" si="10">F95-E95</f>
        <v>79</v>
      </c>
      <c r="H95" s="925">
        <f>G95+'25'!H95</f>
        <v>-175</v>
      </c>
      <c r="I95" s="944"/>
      <c r="J95" s="927">
        <f>H95/DAY(B2)</f>
        <v>-6.7307692307692308</v>
      </c>
      <c r="K95" s="1023"/>
      <c r="L95" s="902"/>
      <c r="O95" s="929"/>
    </row>
    <row r="96" spans="1:15" ht="20.100000000000001" customHeight="1">
      <c r="A96" s="951" t="s">
        <v>210</v>
      </c>
      <c r="B96" s="952"/>
      <c r="C96" s="952"/>
      <c r="D96" s="922" t="s">
        <v>144</v>
      </c>
      <c r="E96" s="923">
        <f>'25'!F96</f>
        <v>101264</v>
      </c>
      <c r="F96" s="953">
        <v>101276</v>
      </c>
      <c r="G96" s="924">
        <f t="shared" si="10"/>
        <v>12</v>
      </c>
      <c r="H96" s="925">
        <f>G96+'25'!H96</f>
        <v>-56</v>
      </c>
      <c r="I96" s="944"/>
      <c r="J96" s="927">
        <f>H96/DAY(B2)</f>
        <v>-2.1538461538461537</v>
      </c>
      <c r="K96" s="919"/>
      <c r="L96" s="902"/>
      <c r="O96" s="929"/>
    </row>
    <row r="97" spans="1:15" ht="20.100000000000001" customHeight="1">
      <c r="A97" s="951" t="s">
        <v>211</v>
      </c>
      <c r="B97" s="952"/>
      <c r="C97" s="952"/>
      <c r="D97" s="922" t="s">
        <v>144</v>
      </c>
      <c r="E97" s="923">
        <f>'25'!F97</f>
        <v>96369</v>
      </c>
      <c r="F97" s="953">
        <v>96388</v>
      </c>
      <c r="G97" s="924">
        <f t="shared" si="10"/>
        <v>19</v>
      </c>
      <c r="H97" s="925">
        <f>G97+'25'!H97</f>
        <v>-61</v>
      </c>
      <c r="I97" s="944"/>
      <c r="J97" s="927">
        <f>H97/DAY(B2)</f>
        <v>-2.3461538461538463</v>
      </c>
      <c r="K97" s="1039"/>
      <c r="L97" s="902"/>
      <c r="O97" s="929"/>
    </row>
    <row r="98" spans="1:15" ht="20.100000000000001" customHeight="1">
      <c r="A98" s="951" t="s">
        <v>212</v>
      </c>
      <c r="B98" s="952"/>
      <c r="C98" s="952"/>
      <c r="D98" s="922" t="s">
        <v>144</v>
      </c>
      <c r="E98" s="923">
        <f>'25'!F98</f>
        <v>147348</v>
      </c>
      <c r="F98" s="953">
        <v>147477</v>
      </c>
      <c r="G98" s="924">
        <f t="shared" si="10"/>
        <v>129</v>
      </c>
      <c r="H98" s="925">
        <f>G98+'25'!H98</f>
        <v>-131</v>
      </c>
      <c r="I98" s="944"/>
      <c r="J98" s="927">
        <f>H98/DAY(B2)</f>
        <v>-5.0384615384615383</v>
      </c>
      <c r="K98" s="1023"/>
      <c r="L98" s="902"/>
      <c r="O98" s="929"/>
    </row>
    <row r="99" spans="1:15" ht="20.100000000000001" customHeight="1">
      <c r="A99" s="951" t="s">
        <v>213</v>
      </c>
      <c r="B99" s="952"/>
      <c r="C99" s="952"/>
      <c r="D99" s="922" t="s">
        <v>144</v>
      </c>
      <c r="E99" s="923">
        <f>'25'!F99</f>
        <v>6349</v>
      </c>
      <c r="F99" s="953">
        <v>6362</v>
      </c>
      <c r="G99" s="924">
        <f t="shared" si="10"/>
        <v>13</v>
      </c>
      <c r="H99" s="925">
        <f>G99+'25'!H99</f>
        <v>-46</v>
      </c>
      <c r="I99" s="944"/>
      <c r="J99" s="927">
        <f>H99/DAY(B2)</f>
        <v>-1.7692307692307692</v>
      </c>
      <c r="K99" s="1023"/>
      <c r="L99" s="902"/>
      <c r="O99" s="929"/>
    </row>
    <row r="100" spans="1:15" ht="20.100000000000001" customHeight="1">
      <c r="A100" s="951" t="s">
        <v>214</v>
      </c>
      <c r="B100" s="952"/>
      <c r="C100" s="952"/>
      <c r="D100" s="922" t="s">
        <v>144</v>
      </c>
      <c r="E100" s="923">
        <f>'25'!F100</f>
        <v>4465</v>
      </c>
      <c r="F100" s="953">
        <v>4477</v>
      </c>
      <c r="G100" s="924">
        <f t="shared" si="10"/>
        <v>12</v>
      </c>
      <c r="H100" s="925">
        <f>G100+'25'!H100</f>
        <v>-66</v>
      </c>
      <c r="I100" s="944"/>
      <c r="J100" s="927">
        <f>H100/DAY(B2)</f>
        <v>-2.5384615384615383</v>
      </c>
      <c r="K100" s="1023"/>
      <c r="L100" s="902"/>
      <c r="O100" s="929"/>
    </row>
    <row r="101" spans="1:15" ht="20.100000000000001" customHeight="1">
      <c r="A101" s="1581" t="s">
        <v>216</v>
      </c>
      <c r="B101" s="1582"/>
      <c r="C101" s="1583"/>
      <c r="D101" s="956"/>
      <c r="E101" s="956"/>
      <c r="F101" s="956"/>
      <c r="G101" s="1040">
        <f>SUM(G95:G100)</f>
        <v>264</v>
      </c>
      <c r="H101" s="925">
        <f>G101+'25'!H101</f>
        <v>-535</v>
      </c>
      <c r="I101" s="1041"/>
      <c r="J101" s="927">
        <f>H101/DAY(B2)</f>
        <v>-20.576923076923077</v>
      </c>
      <c r="K101" s="1023"/>
      <c r="L101" s="902"/>
      <c r="O101" s="929"/>
    </row>
    <row r="102" spans="1:15" s="974" customFormat="1" ht="25.5" customHeight="1">
      <c r="A102" s="1042" t="s">
        <v>217</v>
      </c>
      <c r="B102" s="1043"/>
      <c r="C102" s="1043"/>
      <c r="D102" s="1044"/>
      <c r="E102" s="1045"/>
      <c r="F102" s="1046"/>
      <c r="G102" s="1047"/>
      <c r="H102" s="1048"/>
      <c r="I102" s="1049"/>
      <c r="J102" s="1050"/>
      <c r="N102" s="1092"/>
      <c r="O102" s="929"/>
    </row>
    <row r="103" spans="1:15" s="974" customFormat="1" ht="21.75" customHeight="1">
      <c r="A103" s="1589" t="s">
        <v>218</v>
      </c>
      <c r="B103" s="1590"/>
      <c r="C103" s="1051"/>
      <c r="D103" s="1052"/>
      <c r="E103" s="1053"/>
      <c r="F103" s="1053"/>
      <c r="G103" s="1053"/>
      <c r="H103" s="1054"/>
      <c r="I103" s="1053"/>
      <c r="J103" s="1055"/>
      <c r="N103" s="1092"/>
      <c r="O103" s="929"/>
    </row>
    <row r="104" spans="1:15" s="974" customFormat="1" ht="21.75" customHeight="1">
      <c r="A104" s="1591" t="s">
        <v>219</v>
      </c>
      <c r="B104" s="1592"/>
      <c r="C104" s="1056"/>
      <c r="D104" s="1052" t="s">
        <v>144</v>
      </c>
      <c r="E104" s="1053">
        <f>'25'!F104</f>
        <v>7125</v>
      </c>
      <c r="F104" s="1053">
        <v>7128</v>
      </c>
      <c r="G104" s="1053">
        <f>F104-E104</f>
        <v>3</v>
      </c>
      <c r="H104" s="1054">
        <f>SUM(G104+'1'!G76)</f>
        <v>82.150000000000091</v>
      </c>
      <c r="I104" s="1053"/>
      <c r="J104" s="1055">
        <f>H104/DAY(B2)</f>
        <v>3.159615384615388</v>
      </c>
      <c r="N104" s="1092"/>
      <c r="O104" s="929"/>
    </row>
    <row r="105" spans="1:15" s="974" customFormat="1" ht="21.75" customHeight="1">
      <c r="A105" s="1591" t="s">
        <v>77</v>
      </c>
      <c r="B105" s="1592"/>
      <c r="C105" s="1056"/>
      <c r="D105" s="1052" t="s">
        <v>144</v>
      </c>
      <c r="E105" s="1053">
        <f>'25'!F105</f>
        <v>35381</v>
      </c>
      <c r="F105" s="1057">
        <v>35390</v>
      </c>
      <c r="G105" s="1053">
        <f t="shared" ref="G105:G106" si="11">F105-E105</f>
        <v>9</v>
      </c>
      <c r="H105" s="1054">
        <f>SUM(G105+'1'!G77)</f>
        <v>54</v>
      </c>
      <c r="I105" s="1053"/>
      <c r="J105" s="1055">
        <f>H105/DAY(B2)</f>
        <v>2.0769230769230771</v>
      </c>
      <c r="N105" s="1092"/>
      <c r="O105" s="929"/>
    </row>
    <row r="106" spans="1:15" s="974" customFormat="1" ht="21.75" customHeight="1">
      <c r="A106" s="1591" t="s">
        <v>78</v>
      </c>
      <c r="B106" s="1593"/>
      <c r="C106" s="1592"/>
      <c r="D106" s="1052" t="s">
        <v>144</v>
      </c>
      <c r="E106" s="1053">
        <f>'25'!F106</f>
        <v>19229</v>
      </c>
      <c r="F106" s="1053">
        <v>19235</v>
      </c>
      <c r="G106" s="1053">
        <f t="shared" si="11"/>
        <v>6</v>
      </c>
      <c r="H106" s="1054">
        <f>SUM(G106+'1'!G78)</f>
        <v>396</v>
      </c>
      <c r="I106" s="1053"/>
      <c r="J106" s="1055">
        <f>H106/DAY(B2)</f>
        <v>15.23076923076923</v>
      </c>
      <c r="N106" s="1092"/>
      <c r="O106" s="929"/>
    </row>
    <row r="107" spans="1:15" s="974" customFormat="1" ht="21.75" customHeight="1">
      <c r="A107" s="1594" t="s">
        <v>202</v>
      </c>
      <c r="B107" s="1595"/>
      <c r="C107" s="1056"/>
      <c r="D107" s="1052"/>
      <c r="E107" s="1053" t="str">
        <f>'25'!F107</f>
        <v>.</v>
      </c>
      <c r="F107" s="1053"/>
      <c r="G107" s="1053">
        <f>SUM(G104:G106)</f>
        <v>18</v>
      </c>
      <c r="H107" s="1054">
        <f>SUM(G107+'1'!G79)</f>
        <v>210</v>
      </c>
      <c r="I107" s="1053"/>
      <c r="J107" s="1055">
        <f>H107/DAY(B2)</f>
        <v>8.0769230769230766</v>
      </c>
      <c r="N107" s="1092"/>
      <c r="O107" s="929"/>
    </row>
    <row r="108" spans="1:15" s="974" customFormat="1" ht="21.75" customHeight="1">
      <c r="A108" s="1596" t="s">
        <v>79</v>
      </c>
      <c r="B108" s="1597"/>
      <c r="C108" s="1056"/>
      <c r="D108" s="1052" t="s">
        <v>144</v>
      </c>
      <c r="E108" s="1053">
        <f>'25'!F108</f>
        <v>0</v>
      </c>
      <c r="F108" s="1053"/>
      <c r="G108" s="1053"/>
      <c r="H108" s="1054"/>
      <c r="I108" s="1053"/>
      <c r="J108" s="1055"/>
      <c r="N108" s="1092"/>
      <c r="O108" s="929"/>
    </row>
    <row r="109" spans="1:15" s="974" customFormat="1" ht="21.75" customHeight="1">
      <c r="A109" s="1591" t="s">
        <v>220</v>
      </c>
      <c r="B109" s="1592"/>
      <c r="C109" s="1056"/>
      <c r="D109" s="1052" t="s">
        <v>144</v>
      </c>
      <c r="E109" s="1053">
        <f>'25'!F109</f>
        <v>56150</v>
      </c>
      <c r="F109" s="1053">
        <v>56210</v>
      </c>
      <c r="G109" s="1053">
        <f>F109-E109</f>
        <v>60</v>
      </c>
      <c r="H109" s="1054">
        <f>SUM(G109+'1'!G81)</f>
        <v>172.56000000005588</v>
      </c>
      <c r="I109" s="1053"/>
      <c r="J109" s="1055">
        <f>H109/DAY(B2)</f>
        <v>6.6369230769252265</v>
      </c>
      <c r="N109" s="1092"/>
      <c r="O109" s="929"/>
    </row>
    <row r="110" spans="1:15" s="974" customFormat="1" ht="21.75" customHeight="1">
      <c r="A110" s="1591" t="s">
        <v>221</v>
      </c>
      <c r="B110" s="1592"/>
      <c r="C110" s="1056"/>
      <c r="D110" s="1052" t="s">
        <v>144</v>
      </c>
      <c r="E110" s="1053">
        <f>'25'!F110</f>
        <v>30260</v>
      </c>
      <c r="F110" s="1053">
        <v>30383</v>
      </c>
      <c r="G110" s="1053">
        <f t="shared" ref="G110:G111" si="12">F110-E110</f>
        <v>123</v>
      </c>
      <c r="H110" s="1054">
        <f>SUM(G110+'1'!G82)</f>
        <v>141.16999999999825</v>
      </c>
      <c r="I110" s="1053"/>
      <c r="J110" s="1055">
        <f>H110/DAY(B2)</f>
        <v>5.4296153846153175</v>
      </c>
      <c r="N110" s="1092"/>
      <c r="O110" s="929"/>
    </row>
    <row r="111" spans="1:15" s="974" customFormat="1" ht="21.75" customHeight="1">
      <c r="A111" s="1591" t="s">
        <v>222</v>
      </c>
      <c r="B111" s="1592"/>
      <c r="C111" s="1056"/>
      <c r="D111" s="1052" t="s">
        <v>144</v>
      </c>
      <c r="E111" s="1053">
        <f>'25'!F111</f>
        <v>3961</v>
      </c>
      <c r="F111" s="1053">
        <v>3973</v>
      </c>
      <c r="G111" s="1053">
        <f t="shared" si="12"/>
        <v>12</v>
      </c>
      <c r="H111" s="1054">
        <f>SUM(G111+'1'!G83)</f>
        <v>532</v>
      </c>
      <c r="I111" s="1053"/>
      <c r="J111" s="1055">
        <f>H111/DAY(B2)</f>
        <v>20.46153846153846</v>
      </c>
      <c r="N111" s="1092"/>
      <c r="O111" s="929"/>
    </row>
    <row r="112" spans="1:15" s="974" customFormat="1" ht="21.75" customHeight="1">
      <c r="A112" s="1601" t="s">
        <v>110</v>
      </c>
      <c r="B112" s="1602"/>
      <c r="C112" s="1056"/>
      <c r="D112" s="1052"/>
      <c r="E112" s="1053">
        <f>'25'!F112</f>
        <v>0</v>
      </c>
      <c r="F112" s="1053"/>
      <c r="G112" s="1053">
        <f>SUM(G109:G111)</f>
        <v>195</v>
      </c>
      <c r="H112" s="1054">
        <f>SUM(G112+'1'!G84)</f>
        <v>885</v>
      </c>
      <c r="I112" s="1053"/>
      <c r="J112" s="1055">
        <f>H112/DAY(B2)</f>
        <v>34.03846153846154</v>
      </c>
      <c r="N112" s="1092"/>
      <c r="O112" s="929"/>
    </row>
    <row r="113" spans="1:15" s="974" customFormat="1" ht="21.75" customHeight="1">
      <c r="A113" s="1596" t="s">
        <v>223</v>
      </c>
      <c r="B113" s="1597"/>
      <c r="C113" s="1056"/>
      <c r="D113" s="1052"/>
      <c r="E113" s="1053">
        <f>'25'!F113</f>
        <v>0</v>
      </c>
      <c r="F113" s="1053"/>
      <c r="G113" s="1053"/>
      <c r="H113" s="1054"/>
      <c r="I113" s="1053"/>
      <c r="J113" s="1055">
        <f>H113/DAY(B2)</f>
        <v>0</v>
      </c>
      <c r="N113" s="1092"/>
      <c r="O113" s="929"/>
    </row>
    <row r="114" spans="1:15" s="974" customFormat="1" ht="21.75" customHeight="1">
      <c r="A114" s="1591" t="s">
        <v>224</v>
      </c>
      <c r="B114" s="1592"/>
      <c r="C114" s="1058"/>
      <c r="D114" s="1052" t="s">
        <v>144</v>
      </c>
      <c r="E114" s="1053">
        <f>'25'!F114</f>
        <v>10252</v>
      </c>
      <c r="F114" s="1057">
        <v>10268</v>
      </c>
      <c r="G114" s="1057">
        <f>F114-E114</f>
        <v>16</v>
      </c>
      <c r="H114" s="1054">
        <f>SUM(G114+'1'!G91)</f>
        <v>16</v>
      </c>
      <c r="I114" s="1053"/>
      <c r="J114" s="1055">
        <f>H114/DAY(B2)</f>
        <v>0.61538461538461542</v>
      </c>
      <c r="N114" s="1092"/>
      <c r="O114" s="929"/>
    </row>
    <row r="115" spans="1:15" s="974" customFormat="1" ht="21.75" customHeight="1">
      <c r="A115" s="1591" t="s">
        <v>225</v>
      </c>
      <c r="B115" s="1592"/>
      <c r="C115" s="1058"/>
      <c r="D115" s="1052" t="s">
        <v>144</v>
      </c>
      <c r="E115" s="1053">
        <f>'25'!F115</f>
        <v>7613</v>
      </c>
      <c r="F115" s="1057">
        <v>7619</v>
      </c>
      <c r="G115" s="1057">
        <f t="shared" ref="G115:G116" si="13">F115-E115</f>
        <v>6</v>
      </c>
      <c r="H115" s="1054">
        <f>SUM(G115+'1'!G92)</f>
        <v>128</v>
      </c>
      <c r="I115" s="1053"/>
      <c r="J115" s="1055">
        <f>H115/DAY(B2)</f>
        <v>4.9230769230769234</v>
      </c>
      <c r="N115" s="1092"/>
      <c r="O115" s="929"/>
    </row>
    <row r="116" spans="1:15" s="974" customFormat="1" ht="21.75" customHeight="1">
      <c r="A116" s="1591" t="s">
        <v>226</v>
      </c>
      <c r="B116" s="1592"/>
      <c r="C116" s="1058"/>
      <c r="D116" s="1052" t="s">
        <v>144</v>
      </c>
      <c r="E116" s="1057"/>
      <c r="F116" s="1057"/>
      <c r="G116" s="1057">
        <f t="shared" si="13"/>
        <v>0</v>
      </c>
      <c r="H116" s="1054">
        <f>SUM(G116+'1'!G93)</f>
        <v>144</v>
      </c>
      <c r="I116" s="1053"/>
      <c r="J116" s="1055">
        <f>H116/DAY(B2)</f>
        <v>5.5384615384615383</v>
      </c>
      <c r="N116" s="1092"/>
      <c r="O116" s="929"/>
    </row>
    <row r="117" spans="1:15" s="1060" customFormat="1">
      <c r="A117" s="1594" t="s">
        <v>202</v>
      </c>
      <c r="B117" s="1595"/>
      <c r="C117" s="1058"/>
      <c r="D117" s="1059"/>
      <c r="E117" s="1057"/>
      <c r="F117" s="1057"/>
      <c r="G117" s="1057">
        <f>SUM(G114:G116)</f>
        <v>22</v>
      </c>
      <c r="H117" s="1054">
        <f>SUM(G117+'1'!G95)</f>
        <v>98</v>
      </c>
      <c r="I117" s="1057"/>
      <c r="J117" s="1055">
        <f>H117/DAY(B2)</f>
        <v>3.7692307692307692</v>
      </c>
      <c r="N117" s="1097"/>
      <c r="O117" s="929"/>
    </row>
    <row r="118" spans="1:15" s="851" customFormat="1">
      <c r="A118" s="1605" t="s">
        <v>227</v>
      </c>
      <c r="B118" s="1606"/>
      <c r="C118" s="1061"/>
      <c r="D118" s="1062" t="s">
        <v>144</v>
      </c>
      <c r="E118" s="1063"/>
      <c r="F118" s="1064">
        <f>SUM(G19+G92)</f>
        <v>120</v>
      </c>
      <c r="G118" s="1064">
        <f>SUM(G19+G92)</f>
        <v>120</v>
      </c>
      <c r="H118" s="1054">
        <f>SUM(G118+'1'!G96)</f>
        <v>133</v>
      </c>
      <c r="I118" s="1063"/>
      <c r="J118" s="1065">
        <f>H118/DAY(B2)</f>
        <v>5.115384615384615</v>
      </c>
      <c r="N118" s="1098"/>
      <c r="O118" s="929"/>
    </row>
    <row r="119" spans="1:15" s="851" customFormat="1">
      <c r="A119" s="1605" t="s">
        <v>228</v>
      </c>
      <c r="B119" s="1606"/>
      <c r="C119" s="1061"/>
      <c r="D119" s="1062" t="s">
        <v>144</v>
      </c>
      <c r="E119" s="1063"/>
      <c r="F119" s="1064">
        <f>SUM(G95,G96,G97,G99,G100)</f>
        <v>135</v>
      </c>
      <c r="G119" s="1064">
        <f>SUM(G95,G96,G97,G99,G100)</f>
        <v>135</v>
      </c>
      <c r="H119" s="1054">
        <f>SUM(G119+'1'!G98)</f>
        <v>205</v>
      </c>
      <c r="I119" s="1063"/>
      <c r="J119" s="1065">
        <f>H119/DAY(B2)</f>
        <v>7.884615384615385</v>
      </c>
      <c r="N119" s="1098"/>
      <c r="O119" s="929"/>
    </row>
    <row r="120" spans="1:15" s="851" customFormat="1">
      <c r="A120" s="1605" t="s">
        <v>229</v>
      </c>
      <c r="B120" s="1606"/>
      <c r="C120" s="1061"/>
      <c r="D120" s="1062" t="s">
        <v>144</v>
      </c>
      <c r="E120" s="1063"/>
      <c r="F120" s="1057">
        <f>SUM(G112)</f>
        <v>195</v>
      </c>
      <c r="G120" s="1057">
        <f>SUM(G112)</f>
        <v>195</v>
      </c>
      <c r="H120" s="1054">
        <f>SUM(G120+'1'!G100)</f>
        <v>209</v>
      </c>
      <c r="I120" s="1063"/>
      <c r="J120" s="1065">
        <f>H120/DAY(B2)</f>
        <v>8.0384615384615383</v>
      </c>
      <c r="N120" s="1098"/>
      <c r="O120" s="929"/>
    </row>
    <row r="121" spans="1:15" s="974" customFormat="1" ht="18.75" customHeight="1">
      <c r="A121" s="1603"/>
      <c r="B121" s="1604"/>
      <c r="C121" s="1056"/>
      <c r="D121" s="1051"/>
      <c r="E121" s="1051"/>
      <c r="F121" s="1051" t="s">
        <v>215</v>
      </c>
      <c r="G121" s="1051"/>
      <c r="H121" s="1066"/>
      <c r="I121" s="1051"/>
      <c r="J121" s="1067"/>
      <c r="N121" s="1092"/>
      <c r="O121" s="929"/>
    </row>
    <row r="122" spans="1:15" ht="20.100000000000001" customHeight="1">
      <c r="A122" s="1584" t="s">
        <v>230</v>
      </c>
      <c r="B122" s="1585"/>
      <c r="C122" s="1586"/>
      <c r="D122" s="917"/>
      <c r="E122" s="917"/>
      <c r="F122" s="917"/>
      <c r="G122" s="949"/>
      <c r="H122" s="949"/>
      <c r="I122" s="949"/>
      <c r="J122" s="1068"/>
      <c r="K122" s="1023"/>
      <c r="L122" s="902"/>
      <c r="O122" s="929"/>
    </row>
    <row r="123" spans="1:15" ht="22.5" customHeight="1">
      <c r="A123" s="951" t="s">
        <v>231</v>
      </c>
      <c r="B123" s="952"/>
      <c r="C123" s="952"/>
      <c r="D123" s="922" t="s">
        <v>141</v>
      </c>
      <c r="E123" s="923">
        <f>'25'!F123</f>
        <v>810230</v>
      </c>
      <c r="F123" s="941">
        <v>810481</v>
      </c>
      <c r="G123" s="924">
        <f t="shared" ref="G123:G127" si="14">F123-E123</f>
        <v>251</v>
      </c>
      <c r="H123" s="925">
        <f>G123+'25'!H123</f>
        <v>-525.8399999999674</v>
      </c>
      <c r="I123" s="1041"/>
      <c r="J123" s="927">
        <f>H123/DAY(B2)</f>
        <v>-20.224615384614133</v>
      </c>
      <c r="K123" s="1023"/>
      <c r="L123" s="902"/>
      <c r="O123" s="929"/>
    </row>
    <row r="124" spans="1:15" ht="22.5" customHeight="1">
      <c r="A124" s="951" t="s">
        <v>232</v>
      </c>
      <c r="B124" s="952"/>
      <c r="C124" s="952"/>
      <c r="D124" s="922" t="s">
        <v>141</v>
      </c>
      <c r="E124" s="923">
        <f>'25'!F124</f>
        <v>73583</v>
      </c>
      <c r="F124" s="1069">
        <v>73583</v>
      </c>
      <c r="G124" s="924">
        <f t="shared" si="14"/>
        <v>0</v>
      </c>
      <c r="H124" s="925">
        <f>G124+'25'!H124</f>
        <v>-0.39999999999417923</v>
      </c>
      <c r="I124" s="1041"/>
      <c r="J124" s="927">
        <f>H124/DAY(B2)</f>
        <v>-1.5384615384391509E-2</v>
      </c>
      <c r="K124" s="1023"/>
      <c r="L124" s="902"/>
      <c r="O124" s="929"/>
    </row>
    <row r="125" spans="1:15" ht="22.5" customHeight="1">
      <c r="A125" s="1552" t="s">
        <v>233</v>
      </c>
      <c r="B125" s="1553"/>
      <c r="C125" s="1554"/>
      <c r="D125" s="922" t="s">
        <v>141</v>
      </c>
      <c r="E125" s="923">
        <f>'25'!F125</f>
        <v>139776</v>
      </c>
      <c r="F125" s="941">
        <v>139833</v>
      </c>
      <c r="G125" s="924">
        <f t="shared" si="14"/>
        <v>57</v>
      </c>
      <c r="H125" s="925">
        <f>G125+'25'!H125</f>
        <v>-146.33999999999651</v>
      </c>
      <c r="I125" s="1041"/>
      <c r="J125" s="927">
        <f>H125/DAY(B2)</f>
        <v>-5.6284615384614041</v>
      </c>
      <c r="K125" s="1023"/>
      <c r="L125" s="902"/>
      <c r="O125" s="929"/>
    </row>
    <row r="126" spans="1:15" ht="20.100000000000001" customHeight="1">
      <c r="A126" s="1070" t="s">
        <v>234</v>
      </c>
      <c r="B126" s="952"/>
      <c r="C126" s="952"/>
      <c r="D126" s="922" t="s">
        <v>141</v>
      </c>
      <c r="E126" s="923">
        <f>'25'!F126</f>
        <v>59217</v>
      </c>
      <c r="F126" s="1069">
        <v>59240</v>
      </c>
      <c r="G126" s="924">
        <f t="shared" si="14"/>
        <v>23</v>
      </c>
      <c r="H126" s="925">
        <f>G126+'25'!H126</f>
        <v>-66.900000000001455</v>
      </c>
      <c r="I126" s="1041"/>
      <c r="J126" s="927">
        <f>H126/DAY(B2)</f>
        <v>-2.5730769230769792</v>
      </c>
      <c r="K126" s="1023"/>
      <c r="L126" s="902"/>
      <c r="O126" s="929"/>
    </row>
    <row r="127" spans="1:15" ht="20.100000000000001" customHeight="1">
      <c r="A127" s="1070" t="s">
        <v>235</v>
      </c>
      <c r="B127" s="952"/>
      <c r="C127" s="952"/>
      <c r="D127" s="922" t="s">
        <v>141</v>
      </c>
      <c r="E127" s="923">
        <f>'25'!F127</f>
        <v>8882</v>
      </c>
      <c r="F127" s="1069">
        <v>8883</v>
      </c>
      <c r="G127" s="924">
        <f t="shared" si="14"/>
        <v>1</v>
      </c>
      <c r="H127" s="925">
        <f>G127+'25'!H127</f>
        <v>-4.7999999999992724</v>
      </c>
      <c r="I127" s="944"/>
      <c r="J127" s="927">
        <f>H127/DAY(B2)</f>
        <v>-0.18461538461535662</v>
      </c>
      <c r="K127" s="1023"/>
      <c r="L127" s="902"/>
      <c r="O127" s="929"/>
    </row>
    <row r="128" spans="1:15" ht="21.75" customHeight="1">
      <c r="A128" s="1070" t="s">
        <v>236</v>
      </c>
      <c r="B128" s="952"/>
      <c r="C128" s="952"/>
      <c r="D128" s="922"/>
      <c r="E128" s="923"/>
      <c r="F128" s="941"/>
      <c r="G128" s="924">
        <f>G15-SUM(G123:G127)</f>
        <v>506.44999999995343</v>
      </c>
      <c r="H128" s="925">
        <f>G128+'25'!H128</f>
        <v>6076.5099999998529</v>
      </c>
      <c r="I128" s="944"/>
      <c r="J128" s="927">
        <f>H128/DAY(B2)</f>
        <v>233.71192307691743</v>
      </c>
      <c r="K128" s="1023"/>
      <c r="L128" s="902"/>
      <c r="O128" s="929"/>
    </row>
    <row r="129" spans="1:15">
      <c r="A129" s="1071" t="s">
        <v>237</v>
      </c>
      <c r="B129" s="916"/>
      <c r="C129" s="916"/>
      <c r="D129" s="916"/>
      <c r="E129" s="916"/>
      <c r="F129" s="916"/>
      <c r="G129" s="1072"/>
      <c r="H129" s="1072"/>
      <c r="I129" s="1072"/>
      <c r="J129" s="1073"/>
      <c r="O129" s="929"/>
    </row>
    <row r="130" spans="1:15">
      <c r="A130" s="951" t="s">
        <v>238</v>
      </c>
      <c r="B130" s="952"/>
      <c r="C130" s="952"/>
      <c r="D130" s="922" t="s">
        <v>239</v>
      </c>
      <c r="E130" s="923">
        <f>'25'!F130</f>
        <v>0</v>
      </c>
      <c r="F130" s="953">
        <v>0</v>
      </c>
      <c r="G130" s="924">
        <f t="shared" ref="G130:G140" si="15">F130-E130</f>
        <v>0</v>
      </c>
      <c r="H130" s="925">
        <f>G130+'25'!H130</f>
        <v>0</v>
      </c>
      <c r="I130" s="944"/>
      <c r="J130" s="927">
        <f>H130/DAY(B2)</f>
        <v>0</v>
      </c>
      <c r="O130" s="929"/>
    </row>
    <row r="131" spans="1:15">
      <c r="A131" s="951" t="s">
        <v>240</v>
      </c>
      <c r="B131" s="952"/>
      <c r="C131" s="952"/>
      <c r="D131" s="922" t="s">
        <v>239</v>
      </c>
      <c r="E131" s="923">
        <f>'25'!F131</f>
        <v>0</v>
      </c>
      <c r="F131" s="953">
        <v>0</v>
      </c>
      <c r="G131" s="924">
        <f t="shared" si="15"/>
        <v>0</v>
      </c>
      <c r="H131" s="925">
        <f>G131+'25'!H131</f>
        <v>0</v>
      </c>
      <c r="I131" s="944"/>
      <c r="J131" s="927">
        <f>H131/DAY(B2)</f>
        <v>0</v>
      </c>
      <c r="O131" s="929"/>
    </row>
    <row r="132" spans="1:15">
      <c r="A132" s="951" t="s">
        <v>241</v>
      </c>
      <c r="B132" s="952"/>
      <c r="C132" s="952"/>
      <c r="D132" s="922" t="s">
        <v>239</v>
      </c>
      <c r="E132" s="923">
        <f>'25'!F132</f>
        <v>38829.480000000003</v>
      </c>
      <c r="F132" s="1074">
        <v>38829.480000000003</v>
      </c>
      <c r="G132" s="924">
        <f t="shared" si="15"/>
        <v>0</v>
      </c>
      <c r="H132" s="925">
        <f>G132+'25'!H132</f>
        <v>386.52999999999884</v>
      </c>
      <c r="I132" s="944"/>
      <c r="J132" s="927">
        <f>H132/DAY(B2)</f>
        <v>14.866538461538417</v>
      </c>
      <c r="O132" s="929"/>
    </row>
    <row r="133" spans="1:15">
      <c r="A133" s="951" t="s">
        <v>242</v>
      </c>
      <c r="B133" s="952"/>
      <c r="C133" s="952"/>
      <c r="D133" s="922" t="s">
        <v>239</v>
      </c>
      <c r="E133" s="923">
        <f>'25'!F133</f>
        <v>299.52</v>
      </c>
      <c r="F133" s="1074">
        <v>299.52</v>
      </c>
      <c r="G133" s="924">
        <f t="shared" si="15"/>
        <v>0</v>
      </c>
      <c r="H133" s="925">
        <f>G133+'25'!H133</f>
        <v>-0.48000000000001819</v>
      </c>
      <c r="I133" s="944">
        <f>G130+G131+G132+G133</f>
        <v>0</v>
      </c>
      <c r="J133" s="927">
        <f>H133/DAY(B2)</f>
        <v>-1.8461538461539161E-2</v>
      </c>
      <c r="O133" s="929"/>
    </row>
    <row r="134" spans="1:15">
      <c r="A134" s="951" t="s">
        <v>243</v>
      </c>
      <c r="B134" s="952"/>
      <c r="C134" s="952"/>
      <c r="D134" s="922" t="s">
        <v>239</v>
      </c>
      <c r="E134" s="923">
        <f>'25'!F134</f>
        <v>40295</v>
      </c>
      <c r="F134" s="1074">
        <v>40319.120000000003</v>
      </c>
      <c r="G134" s="924">
        <f t="shared" si="15"/>
        <v>24.120000000002619</v>
      </c>
      <c r="H134" s="925">
        <f>G134+'25'!H134</f>
        <v>82.600000000005821</v>
      </c>
      <c r="I134" s="944"/>
      <c r="J134" s="927">
        <f>H134/DAY(B2)</f>
        <v>3.176923076923301</v>
      </c>
      <c r="O134" s="929"/>
    </row>
    <row r="135" spans="1:15">
      <c r="A135" s="951" t="s">
        <v>244</v>
      </c>
      <c r="B135" s="952"/>
      <c r="C135" s="952"/>
      <c r="D135" s="922" t="s">
        <v>239</v>
      </c>
      <c r="E135" s="923">
        <f>'25'!F135</f>
        <v>32571</v>
      </c>
      <c r="F135" s="1074">
        <v>32571</v>
      </c>
      <c r="G135" s="924">
        <f t="shared" si="15"/>
        <v>0</v>
      </c>
      <c r="H135" s="925">
        <f>G135+'25'!H135</f>
        <v>29.520000000000437</v>
      </c>
      <c r="I135" s="944"/>
      <c r="J135" s="927">
        <f>H135/DAY(B2)</f>
        <v>1.1353846153846321</v>
      </c>
      <c r="O135" s="929"/>
    </row>
    <row r="136" spans="1:15">
      <c r="A136" s="951" t="s">
        <v>245</v>
      </c>
      <c r="B136" s="952"/>
      <c r="C136" s="952"/>
      <c r="D136" s="922" t="s">
        <v>239</v>
      </c>
      <c r="E136" s="923">
        <f>'25'!F136</f>
        <v>22192</v>
      </c>
      <c r="F136" s="1074">
        <v>22200.6</v>
      </c>
      <c r="G136" s="924">
        <f t="shared" si="15"/>
        <v>8.5999999999985448</v>
      </c>
      <c r="H136" s="925">
        <f>G136+'25'!H136</f>
        <v>-21.610000000000582</v>
      </c>
      <c r="I136" s="944">
        <f>G134+G135+G136</f>
        <v>32.720000000001164</v>
      </c>
      <c r="J136" s="927">
        <f>H136/DAY(B2)</f>
        <v>-0.83115384615386856</v>
      </c>
      <c r="O136" s="929"/>
    </row>
    <row r="137" spans="1:15">
      <c r="A137" s="951" t="s">
        <v>246</v>
      </c>
      <c r="B137" s="952"/>
      <c r="C137" s="952"/>
      <c r="D137" s="922" t="s">
        <v>239</v>
      </c>
      <c r="E137" s="923">
        <f>'25'!F137</f>
        <v>25044</v>
      </c>
      <c r="F137" s="1074">
        <v>25044.31</v>
      </c>
      <c r="G137" s="924">
        <f t="shared" si="15"/>
        <v>0.31000000000130967</v>
      </c>
      <c r="H137" s="925">
        <f>G137+'25'!H137</f>
        <v>15.75</v>
      </c>
      <c r="I137" s="944"/>
      <c r="J137" s="927">
        <f>H137/DAY(B2)</f>
        <v>0.60576923076923073</v>
      </c>
      <c r="O137" s="929"/>
    </row>
    <row r="138" spans="1:15">
      <c r="A138" s="951" t="s">
        <v>247</v>
      </c>
      <c r="B138" s="952"/>
      <c r="C138" s="952"/>
      <c r="D138" s="922" t="s">
        <v>239</v>
      </c>
      <c r="E138" s="923">
        <f>'25'!F138</f>
        <v>70133</v>
      </c>
      <c r="F138" s="1074">
        <v>70137.81</v>
      </c>
      <c r="G138" s="924">
        <f t="shared" si="15"/>
        <v>4.8099999999976717</v>
      </c>
      <c r="H138" s="925">
        <f>G138+'25'!H138</f>
        <v>21.959999999991851</v>
      </c>
      <c r="I138" s="944">
        <f>G137+G138</f>
        <v>5.1199999999989814</v>
      </c>
      <c r="J138" s="927">
        <f>H138/DAY(B2)</f>
        <v>0.84461538461507124</v>
      </c>
      <c r="O138" s="929"/>
    </row>
    <row r="139" spans="1:15">
      <c r="A139" s="951" t="s">
        <v>248</v>
      </c>
      <c r="B139" s="952"/>
      <c r="C139" s="952"/>
      <c r="D139" s="922" t="s">
        <v>239</v>
      </c>
      <c r="E139" s="923">
        <f>'25'!F139</f>
        <v>1400.76</v>
      </c>
      <c r="F139" s="953">
        <v>1408</v>
      </c>
      <c r="G139" s="924">
        <f t="shared" si="15"/>
        <v>7.2400000000000091</v>
      </c>
      <c r="H139" s="925">
        <f>G139+'25'!H139</f>
        <v>-15.1400000000001</v>
      </c>
      <c r="I139" s="1075"/>
      <c r="J139" s="927">
        <f>H139/DAY(B2)</f>
        <v>-0.58230769230769619</v>
      </c>
      <c r="O139" s="929"/>
    </row>
    <row r="140" spans="1:15">
      <c r="A140" s="951" t="s">
        <v>249</v>
      </c>
      <c r="B140" s="952"/>
      <c r="C140" s="952"/>
      <c r="D140" s="922" t="s">
        <v>239</v>
      </c>
      <c r="E140" s="923">
        <f>'25'!F140</f>
        <v>4333.53</v>
      </c>
      <c r="F140" s="953">
        <v>4333.53</v>
      </c>
      <c r="G140" s="924">
        <f t="shared" si="15"/>
        <v>0</v>
      </c>
      <c r="H140" s="925">
        <f>G140+'25'!H140</f>
        <v>-0.47000000000025466</v>
      </c>
      <c r="I140" s="1075"/>
      <c r="J140" s="927">
        <f>H140/DAY(B2)</f>
        <v>-1.8076923076932871E-2</v>
      </c>
      <c r="O140" s="929"/>
    </row>
    <row r="141" spans="1:15">
      <c r="A141" s="1587" t="s">
        <v>250</v>
      </c>
      <c r="B141" s="1588"/>
      <c r="C141" s="917"/>
      <c r="D141" s="917"/>
      <c r="E141" s="917"/>
      <c r="F141" s="917"/>
      <c r="G141" s="949"/>
      <c r="H141" s="949"/>
      <c r="I141" s="949"/>
      <c r="J141" s="1068"/>
      <c r="K141" s="1023"/>
      <c r="L141" s="902"/>
      <c r="O141" s="929"/>
    </row>
    <row r="142" spans="1:15">
      <c r="A142" s="1555" t="s">
        <v>251</v>
      </c>
      <c r="B142" s="1556"/>
      <c r="C142" s="1557"/>
      <c r="D142" s="922" t="s">
        <v>132</v>
      </c>
      <c r="E142" s="922"/>
      <c r="F142" s="922"/>
      <c r="G142" s="925">
        <f>G35+G43+G49+G57</f>
        <v>5407</v>
      </c>
      <c r="H142" s="925">
        <f>G142+'25'!H142</f>
        <v>-12805.319999999891</v>
      </c>
      <c r="I142" s="944"/>
      <c r="J142" s="927">
        <f>H142/DAY(B2)</f>
        <v>-492.51230769230347</v>
      </c>
      <c r="K142" s="1023"/>
      <c r="L142" s="902"/>
      <c r="O142" s="929"/>
    </row>
    <row r="143" spans="1:15">
      <c r="A143" s="1555" t="s">
        <v>252</v>
      </c>
      <c r="B143" s="1556"/>
      <c r="C143" s="1557"/>
      <c r="D143" s="922" t="s">
        <v>24</v>
      </c>
      <c r="E143" s="909"/>
      <c r="F143" s="909"/>
      <c r="G143" s="1076">
        <f>G142/G7</f>
        <v>0.2666436532202387</v>
      </c>
      <c r="H143" s="925">
        <f>G143+'25'!H143</f>
        <v>6.590020604063147</v>
      </c>
      <c r="I143" s="1077"/>
      <c r="J143" s="927">
        <f>H143/DAY(B2)</f>
        <v>0.25346233092550563</v>
      </c>
      <c r="K143" s="1023"/>
      <c r="L143" s="902"/>
      <c r="O143" s="929"/>
    </row>
    <row r="144" spans="1:15">
      <c r="A144" s="1555" t="s">
        <v>253</v>
      </c>
      <c r="B144" s="1556"/>
      <c r="C144" s="1557"/>
      <c r="D144" s="922" t="s">
        <v>132</v>
      </c>
      <c r="E144" s="923"/>
      <c r="F144" s="923"/>
      <c r="G144" s="925">
        <f>G41+G42+G55+G56</f>
        <v>5077</v>
      </c>
      <c r="H144" s="925">
        <f>G144+'25'!H144</f>
        <v>-10897.940000000024</v>
      </c>
      <c r="I144" s="944"/>
      <c r="J144" s="927">
        <f>H144/DAY(B2)</f>
        <v>-419.15153846153942</v>
      </c>
      <c r="K144" s="1023"/>
      <c r="L144" s="902"/>
      <c r="O144" s="929"/>
    </row>
    <row r="145" spans="1:15" ht="20.100000000000001" customHeight="1">
      <c r="A145" s="1555" t="s">
        <v>254</v>
      </c>
      <c r="B145" s="1556"/>
      <c r="C145" s="1557"/>
      <c r="D145" s="922" t="s">
        <v>24</v>
      </c>
      <c r="E145" s="923"/>
      <c r="F145" s="923"/>
      <c r="G145" s="1076">
        <f>G144/G7</f>
        <v>0.25036985896044978</v>
      </c>
      <c r="H145" s="925">
        <f>G145+'25'!H145</f>
        <v>6.2044132914377697</v>
      </c>
      <c r="I145" s="1077"/>
      <c r="J145" s="927">
        <f>H145/DAY(B2)</f>
        <v>0.23863128043991422</v>
      </c>
      <c r="K145" s="1023"/>
      <c r="L145" s="902"/>
      <c r="O145" s="929"/>
    </row>
    <row r="146" spans="1:15" ht="20.100000000000001" customHeight="1">
      <c r="A146" s="1555" t="s">
        <v>255</v>
      </c>
      <c r="B146" s="1556"/>
      <c r="C146" s="1557"/>
      <c r="D146" s="922" t="s">
        <v>132</v>
      </c>
      <c r="E146" s="923"/>
      <c r="F146" s="923"/>
      <c r="G146" s="925">
        <f>G39+G53</f>
        <v>4202</v>
      </c>
      <c r="H146" s="925">
        <f>G146+'25'!H146</f>
        <v>91522.38</v>
      </c>
      <c r="I146" s="1078"/>
      <c r="J146" s="927">
        <f>H146/DAY(B2)</f>
        <v>3520.0915384615387</v>
      </c>
      <c r="K146" s="1023"/>
      <c r="L146" s="902"/>
      <c r="O146" s="929"/>
    </row>
    <row r="147" spans="1:15" ht="20.100000000000001" customHeight="1">
      <c r="A147" s="1555" t="s">
        <v>256</v>
      </c>
      <c r="B147" s="1556"/>
      <c r="C147" s="1557"/>
      <c r="D147" s="922" t="s">
        <v>24</v>
      </c>
      <c r="E147" s="923"/>
      <c r="F147" s="923"/>
      <c r="G147" s="1076">
        <f>G146/G7</f>
        <v>0.20721964690797909</v>
      </c>
      <c r="H147" s="925">
        <f>G147+'25'!H147</f>
        <v>10.145367768181327</v>
      </c>
      <c r="I147" s="1078"/>
      <c r="J147" s="927">
        <f>H147/DAY(B2)</f>
        <v>0.3902064526223587</v>
      </c>
      <c r="O147" s="929"/>
    </row>
    <row r="148" spans="1:15" ht="20.100000000000001" customHeight="1">
      <c r="A148" s="1555" t="s">
        <v>257</v>
      </c>
      <c r="B148" s="1556"/>
      <c r="C148" s="1557"/>
      <c r="D148" s="922" t="s">
        <v>183</v>
      </c>
      <c r="E148" s="923"/>
      <c r="F148" s="923"/>
      <c r="G148" s="925">
        <f>G38+G52</f>
        <v>1988</v>
      </c>
      <c r="H148" s="925">
        <f>G148+'25'!H148</f>
        <v>-4497.2000000000189</v>
      </c>
      <c r="I148" s="944"/>
      <c r="J148" s="927">
        <f>H148/DAY(B2)</f>
        <v>-172.9692307692315</v>
      </c>
      <c r="K148" s="1079"/>
      <c r="O148" s="929"/>
    </row>
    <row r="149" spans="1:15" ht="20.100000000000001" customHeight="1">
      <c r="A149" s="1555" t="s">
        <v>258</v>
      </c>
      <c r="B149" s="1556"/>
      <c r="C149" s="1557"/>
      <c r="D149" s="922" t="s">
        <v>24</v>
      </c>
      <c r="E149" s="923"/>
      <c r="F149" s="923"/>
      <c r="G149" s="1076">
        <f>G148/G7</f>
        <v>9.8037281783213331E-2</v>
      </c>
      <c r="H149" s="925">
        <f>G149+'25'!H149</f>
        <v>2.5676347325712379</v>
      </c>
      <c r="I149" s="1078"/>
      <c r="J149" s="927">
        <f>H149/DAY(B2)</f>
        <v>9.8755182021970686E-2</v>
      </c>
      <c r="O149" s="929"/>
    </row>
    <row r="150" spans="1:15" ht="20.100000000000001" customHeight="1">
      <c r="A150" s="1555" t="s">
        <v>259</v>
      </c>
      <c r="B150" s="1556"/>
      <c r="C150" s="1557"/>
      <c r="D150" s="922" t="s">
        <v>183</v>
      </c>
      <c r="E150" s="923"/>
      <c r="F150" s="923"/>
      <c r="G150" s="925">
        <f>G36+G50</f>
        <v>1615</v>
      </c>
      <c r="H150" s="925">
        <f>G150+'25'!H150</f>
        <v>-3239.6000000000349</v>
      </c>
      <c r="I150" s="1078"/>
      <c r="J150" s="927">
        <f>H150/DAY(B2)</f>
        <v>-124.60000000000134</v>
      </c>
      <c r="O150" s="929"/>
    </row>
    <row r="151" spans="1:15" ht="20.100000000000001" customHeight="1">
      <c r="A151" s="1555" t="s">
        <v>260</v>
      </c>
      <c r="B151" s="1556"/>
      <c r="C151" s="1557"/>
      <c r="D151" s="922" t="s">
        <v>24</v>
      </c>
      <c r="E151" s="923"/>
      <c r="F151" s="923"/>
      <c r="G151" s="1076">
        <f>G150/G7</f>
        <v>7.9642962816845839E-2</v>
      </c>
      <c r="H151" s="925">
        <f>G151+'25'!H151</f>
        <v>2.4490419181006104</v>
      </c>
      <c r="I151" s="944"/>
      <c r="J151" s="927">
        <f>H151/DAY(B2)</f>
        <v>9.4193919926946562E-2</v>
      </c>
      <c r="O151" s="929"/>
    </row>
    <row r="152" spans="1:15" ht="20.100000000000001" customHeight="1">
      <c r="A152" s="1555" t="s">
        <v>261</v>
      </c>
      <c r="B152" s="1556"/>
      <c r="C152" s="1557"/>
      <c r="D152" s="922" t="s">
        <v>183</v>
      </c>
      <c r="E152" s="923"/>
      <c r="F152" s="923"/>
      <c r="G152" s="925">
        <f>G37+G51</f>
        <v>1421</v>
      </c>
      <c r="H152" s="925">
        <f>G152+'25'!H152</f>
        <v>32191.160000000003</v>
      </c>
      <c r="I152" s="944"/>
      <c r="J152" s="927">
        <f>H152/DAY(B2)</f>
        <v>1238.1215384615386</v>
      </c>
      <c r="O152" s="929"/>
    </row>
    <row r="153" spans="1:15" ht="20.100000000000001" customHeight="1" thickBot="1">
      <c r="A153" s="1598" t="s">
        <v>262</v>
      </c>
      <c r="B153" s="1599"/>
      <c r="C153" s="1600"/>
      <c r="D153" s="1080" t="s">
        <v>24</v>
      </c>
      <c r="E153" s="1081"/>
      <c r="F153" s="1081"/>
      <c r="G153" s="1082">
        <f>G152/G7</f>
        <v>7.0075944373212351E-2</v>
      </c>
      <c r="H153" s="925">
        <f>G153+'25'!H153</f>
        <v>3.5729838030762457</v>
      </c>
      <c r="I153" s="1083"/>
      <c r="J153" s="1084">
        <f>H153/DAY(B2)</f>
        <v>0.137422453964471</v>
      </c>
      <c r="O153" s="929"/>
    </row>
    <row r="154" spans="1:15" ht="44.25" customHeight="1">
      <c r="A154" s="1085"/>
      <c r="B154" s="1085"/>
      <c r="C154" s="1085"/>
      <c r="D154" s="1085"/>
      <c r="E154" s="1085"/>
      <c r="F154" s="1085"/>
      <c r="G154" s="1085"/>
      <c r="H154" s="1086"/>
      <c r="I154" s="1085"/>
      <c r="J154" s="1087"/>
      <c r="O154" s="92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75" t="s">
        <v>263</v>
      </c>
      <c r="B160" s="1075"/>
      <c r="C160" s="1075"/>
      <c r="D160" s="909" t="s">
        <v>187</v>
      </c>
      <c r="E160" s="923">
        <f>'25'!F160</f>
        <v>30541</v>
      </c>
      <c r="F160" s="1100">
        <v>30625</v>
      </c>
      <c r="G160" s="924">
        <f t="shared" ref="G160:G163" si="16">F160-E160</f>
        <v>84</v>
      </c>
    </row>
    <row r="161" spans="1:7" ht="21.75" customHeight="1">
      <c r="A161" s="1075" t="s">
        <v>264</v>
      </c>
      <c r="B161" s="1075"/>
      <c r="C161" s="1075"/>
      <c r="D161" s="909" t="s">
        <v>187</v>
      </c>
      <c r="E161" s="923">
        <f>'25'!F161</f>
        <v>53792.22</v>
      </c>
      <c r="F161" s="1100">
        <v>54238.47</v>
      </c>
      <c r="G161" s="924">
        <f t="shared" si="16"/>
        <v>446.25</v>
      </c>
    </row>
    <row r="162" spans="1:7" ht="21.75" customHeight="1">
      <c r="A162" s="1075" t="s">
        <v>265</v>
      </c>
      <c r="B162" s="1075"/>
      <c r="C162" s="1075"/>
      <c r="D162" s="909" t="s">
        <v>187</v>
      </c>
      <c r="E162" s="923">
        <f>'25'!F162</f>
        <v>19739</v>
      </c>
      <c r="F162" s="1100">
        <v>20018</v>
      </c>
      <c r="G162" s="924">
        <f t="shared" si="16"/>
        <v>279</v>
      </c>
    </row>
    <row r="163" spans="1:7" ht="21.75" customHeight="1">
      <c r="A163" s="1075" t="s">
        <v>266</v>
      </c>
      <c r="B163" s="1075"/>
      <c r="C163" s="1075"/>
      <c r="D163" s="909" t="s">
        <v>187</v>
      </c>
      <c r="E163" s="923">
        <f>'25'!F163</f>
        <v>5354</v>
      </c>
      <c r="F163" s="1100">
        <v>5371.89</v>
      </c>
      <c r="G163" s="924">
        <f t="shared" si="16"/>
        <v>17.890000000000327</v>
      </c>
    </row>
    <row r="164" spans="1:7" ht="21.75" customHeight="1">
      <c r="A164" s="1005" t="s">
        <v>98</v>
      </c>
      <c r="B164" s="1005"/>
      <c r="C164" s="1005"/>
      <c r="D164" s="909" t="s">
        <v>187</v>
      </c>
      <c r="E164" s="1006">
        <f>E62</f>
        <v>20419.18</v>
      </c>
      <c r="F164" s="1006">
        <f>F62</f>
        <v>20419.18</v>
      </c>
      <c r="G164" s="924">
        <f t="shared" ref="G164:G171" si="17">F164-E164</f>
        <v>0</v>
      </c>
    </row>
    <row r="165" spans="1:7" ht="21.75" customHeight="1">
      <c r="A165" s="1005" t="s">
        <v>188</v>
      </c>
      <c r="B165" s="1005"/>
      <c r="C165" s="1005"/>
      <c r="D165" s="909" t="s">
        <v>187</v>
      </c>
      <c r="E165" s="1006">
        <f t="shared" ref="E165:E171" si="18">E63</f>
        <v>1663</v>
      </c>
      <c r="F165" s="1006">
        <f t="shared" ref="F165:F171" si="19">F63</f>
        <v>1678</v>
      </c>
      <c r="G165" s="924">
        <f t="shared" si="17"/>
        <v>15</v>
      </c>
    </row>
    <row r="166" spans="1:7" ht="21.75" customHeight="1">
      <c r="A166" s="1607" t="s">
        <v>99</v>
      </c>
      <c r="B166" s="1607"/>
      <c r="C166" s="1607"/>
      <c r="D166" s="922" t="s">
        <v>187</v>
      </c>
      <c r="E166" s="1006">
        <f t="shared" si="18"/>
        <v>122093</v>
      </c>
      <c r="F166" s="1006">
        <f t="shared" si="19"/>
        <v>122649</v>
      </c>
      <c r="G166" s="924">
        <f t="shared" si="17"/>
        <v>556</v>
      </c>
    </row>
    <row r="167" spans="1:7" ht="21.75" customHeight="1">
      <c r="A167" s="1607" t="s">
        <v>100</v>
      </c>
      <c r="B167" s="1607"/>
      <c r="C167" s="1607"/>
      <c r="D167" s="922" t="s">
        <v>187</v>
      </c>
      <c r="E167" s="1006">
        <f t="shared" si="18"/>
        <v>131392</v>
      </c>
      <c r="F167" s="1006">
        <f t="shared" si="19"/>
        <v>131788</v>
      </c>
      <c r="G167" s="924">
        <f t="shared" si="17"/>
        <v>396</v>
      </c>
    </row>
    <row r="168" spans="1:7" ht="21.75" customHeight="1">
      <c r="A168" s="1607" t="s">
        <v>101</v>
      </c>
      <c r="B168" s="1607"/>
      <c r="C168" s="1607"/>
      <c r="D168" s="922" t="s">
        <v>187</v>
      </c>
      <c r="E168" s="1006">
        <f t="shared" si="18"/>
        <v>23979</v>
      </c>
      <c r="F168" s="1006">
        <f t="shared" si="19"/>
        <v>24369</v>
      </c>
      <c r="G168" s="924">
        <f t="shared" si="17"/>
        <v>390</v>
      </c>
    </row>
    <row r="169" spans="1:7" ht="21.75" customHeight="1">
      <c r="A169" s="1607" t="s">
        <v>102</v>
      </c>
      <c r="B169" s="1607"/>
      <c r="C169" s="1607"/>
      <c r="D169" s="922" t="s">
        <v>187</v>
      </c>
      <c r="E169" s="1006">
        <f t="shared" si="18"/>
        <v>205830</v>
      </c>
      <c r="F169" s="1006">
        <f t="shared" si="19"/>
        <v>206487</v>
      </c>
      <c r="G169" s="924">
        <f t="shared" si="17"/>
        <v>657</v>
      </c>
    </row>
    <row r="170" spans="1:7" ht="24" customHeight="1">
      <c r="A170" s="1607" t="s">
        <v>103</v>
      </c>
      <c r="B170" s="1607"/>
      <c r="C170" s="1607"/>
      <c r="D170" s="922" t="s">
        <v>187</v>
      </c>
      <c r="E170" s="1006">
        <f t="shared" si="18"/>
        <v>71669</v>
      </c>
      <c r="F170" s="1006">
        <f t="shared" si="19"/>
        <v>71975</v>
      </c>
      <c r="G170" s="924">
        <f t="shared" si="17"/>
        <v>306</v>
      </c>
    </row>
    <row r="171" spans="1:7">
      <c r="A171" s="1607" t="s">
        <v>104</v>
      </c>
      <c r="B171" s="1607"/>
      <c r="C171" s="1607"/>
      <c r="D171" s="922" t="s">
        <v>187</v>
      </c>
      <c r="E171" s="1006">
        <f t="shared" si="18"/>
        <v>63459</v>
      </c>
      <c r="F171" s="1006">
        <f t="shared" si="19"/>
        <v>63792</v>
      </c>
      <c r="G171" s="924">
        <f t="shared" si="17"/>
        <v>333</v>
      </c>
    </row>
    <row r="172" spans="1:7">
      <c r="G172" s="1090">
        <f>SUM(G160:G171)</f>
        <v>3480.1400000000003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10" zoomScale="55" zoomScaleSheetLayoutView="55" workbookViewId="0">
      <selection activeCell="F19" sqref="F19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4" s="281" customFormat="1" ht="27">
      <c r="A2" s="652" t="s">
        <v>337</v>
      </c>
      <c r="B2" s="1163">
        <v>43888</v>
      </c>
      <c r="C2" s="1231" t="s">
        <v>69</v>
      </c>
      <c r="D2" s="688">
        <v>0.49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4" s="281" customFormat="1" ht="27">
      <c r="A3" s="647"/>
      <c r="B3" s="691"/>
      <c r="C3" s="1231" t="s">
        <v>120</v>
      </c>
      <c r="D3" s="689">
        <v>22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1" t="s">
        <v>122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4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131</v>
      </c>
      <c r="B7" s="758"/>
      <c r="C7" s="758"/>
      <c r="D7" s="715" t="s">
        <v>132</v>
      </c>
      <c r="E7" s="710">
        <f>'26'!F7</f>
        <v>4402658</v>
      </c>
      <c r="F7" s="531">
        <v>4423259</v>
      </c>
      <c r="G7" s="759">
        <f>F7-E7</f>
        <v>20601</v>
      </c>
      <c r="H7" s="760">
        <f>G7+'26'!H7</f>
        <v>-21818</v>
      </c>
      <c r="I7" s="761">
        <f>'1'!I7</f>
        <v>12000</v>
      </c>
      <c r="J7" s="762">
        <f>H7/DAY(B2)</f>
        <v>-808.07407407407402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133</v>
      </c>
      <c r="B8" s="764"/>
      <c r="C8" s="765"/>
      <c r="D8" s="766" t="s">
        <v>25</v>
      </c>
      <c r="E8" s="710">
        <f>'26'!F8</f>
        <v>4430516</v>
      </c>
      <c r="F8" s="551">
        <v>4451214</v>
      </c>
      <c r="G8" s="770">
        <f>F8-E8</f>
        <v>20698</v>
      </c>
      <c r="H8" s="760">
        <f>G8+'26'!H8</f>
        <v>-21942</v>
      </c>
      <c r="I8" s="767">
        <f>'1'!I8</f>
        <v>12000</v>
      </c>
      <c r="J8" s="762">
        <f>H8/DAY(B2)</f>
        <v>-812.66666666666663</v>
      </c>
      <c r="K8" s="626"/>
      <c r="L8" s="464"/>
      <c r="M8" s="479"/>
      <c r="N8" s="784"/>
    </row>
    <row r="9" spans="1:14">
      <c r="A9" s="768" t="s">
        <v>134</v>
      </c>
      <c r="B9" s="769"/>
      <c r="C9" s="769"/>
      <c r="D9" s="715" t="s">
        <v>132</v>
      </c>
      <c r="E9" s="712">
        <f>'26'!F9</f>
        <v>58614</v>
      </c>
      <c r="F9" s="554">
        <v>72462.47</v>
      </c>
      <c r="G9" s="783">
        <f t="shared" ref="G9:G12" si="0">F9-E9</f>
        <v>13848.470000000001</v>
      </c>
      <c r="H9" s="760">
        <f>G9+'26'!H9</f>
        <v>184980.46</v>
      </c>
      <c r="I9" s="771">
        <f>I8-J8</f>
        <v>12812.666666666666</v>
      </c>
      <c r="J9" s="762">
        <f>H9/DAY(B2)</f>
        <v>6851.1281481481483</v>
      </c>
      <c r="K9" s="467"/>
      <c r="L9" s="408"/>
      <c r="N9" s="413"/>
    </row>
    <row r="10" spans="1:14">
      <c r="A10" s="757" t="s">
        <v>135</v>
      </c>
      <c r="B10" s="758"/>
      <c r="C10" s="758"/>
      <c r="D10" s="715" t="s">
        <v>132</v>
      </c>
      <c r="E10" s="712">
        <f>'26'!F10</f>
        <v>12787</v>
      </c>
      <c r="F10" s="554">
        <v>18982.07</v>
      </c>
      <c r="G10" s="770">
        <f t="shared" si="0"/>
        <v>6195.07</v>
      </c>
      <c r="H10" s="760">
        <f>G10+'26'!H10</f>
        <v>1383458.51</v>
      </c>
      <c r="I10" s="772"/>
      <c r="J10" s="762">
        <f>H10/DAY(B2)</f>
        <v>51239.204074074078</v>
      </c>
      <c r="K10" s="467"/>
      <c r="L10" s="408"/>
      <c r="N10" s="413"/>
    </row>
    <row r="11" spans="1:14">
      <c r="A11" s="757" t="s">
        <v>136</v>
      </c>
      <c r="B11" s="758"/>
      <c r="C11" s="758"/>
      <c r="D11" s="715" t="s">
        <v>132</v>
      </c>
      <c r="E11" s="710">
        <f>'26'!F11</f>
        <v>37000</v>
      </c>
      <c r="F11" s="531">
        <v>37000</v>
      </c>
      <c r="G11" s="770">
        <f t="shared" si="0"/>
        <v>0</v>
      </c>
      <c r="H11" s="760">
        <f>G11+'26'!H11</f>
        <v>-2000</v>
      </c>
      <c r="I11" s="772"/>
      <c r="J11" s="762">
        <f>H11/DAY(B2)</f>
        <v>-74.074074074074076</v>
      </c>
      <c r="K11" s="467"/>
      <c r="L11" s="408"/>
      <c r="N11" s="413"/>
    </row>
    <row r="12" spans="1:14">
      <c r="A12" s="757" t="s">
        <v>137</v>
      </c>
      <c r="B12" s="758"/>
      <c r="C12" s="758"/>
      <c r="D12" s="715" t="s">
        <v>132</v>
      </c>
      <c r="E12" s="712">
        <f>'26'!F12</f>
        <v>40010</v>
      </c>
      <c r="F12" s="554">
        <v>40010</v>
      </c>
      <c r="G12" s="770">
        <f t="shared" si="0"/>
        <v>0</v>
      </c>
      <c r="H12" s="760">
        <f>G12+'26'!H12</f>
        <v>-2000</v>
      </c>
      <c r="I12" s="772"/>
      <c r="J12" s="762">
        <f>H12/DAY(B2)</f>
        <v>-74.074074074074076</v>
      </c>
      <c r="K12" s="467"/>
      <c r="L12" s="408"/>
      <c r="N12" s="413"/>
    </row>
    <row r="13" spans="1:14">
      <c r="A13" s="773" t="s">
        <v>138</v>
      </c>
      <c r="B13" s="774"/>
      <c r="C13" s="774"/>
      <c r="D13" s="715"/>
      <c r="E13" s="710"/>
      <c r="F13" s="531"/>
      <c r="G13" s="775">
        <f>G9+G10+G11+G12</f>
        <v>20043.54</v>
      </c>
      <c r="H13" s="760">
        <f>G13+'26'!H13</f>
        <v>1543444.97</v>
      </c>
      <c r="I13" s="776">
        <f>G7-G13</f>
        <v>557.45999999999913</v>
      </c>
      <c r="J13" s="762">
        <f>H13/DAY(B2)</f>
        <v>57164.628518518519</v>
      </c>
      <c r="K13" s="467"/>
      <c r="L13" s="408"/>
      <c r="N13" s="413"/>
    </row>
    <row r="14" spans="1:14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140</v>
      </c>
      <c r="B15" s="747"/>
      <c r="C15" s="747"/>
      <c r="D15" s="748" t="s">
        <v>141</v>
      </c>
      <c r="E15" s="749">
        <f>'26'!F15</f>
        <v>1617857</v>
      </c>
      <c r="F15" s="781">
        <v>1618818.6029999999</v>
      </c>
      <c r="G15" s="745">
        <f>(F15-E15)</f>
        <v>961.60299999988638</v>
      </c>
      <c r="H15" s="751">
        <f>G15+'26'!H15</f>
        <v>-1060.0070000002161</v>
      </c>
      <c r="I15" s="752">
        <v>800</v>
      </c>
      <c r="J15" s="1374">
        <f>H15/DAY(B2)</f>
        <v>-39.259518518526519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839.25951851852653</v>
      </c>
      <c r="J16" s="753"/>
      <c r="K16" s="467"/>
      <c r="L16" s="408"/>
      <c r="N16" s="413"/>
    </row>
    <row r="17" spans="1:14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86" t="s">
        <v>143</v>
      </c>
      <c r="B18" s="1487"/>
      <c r="C18" s="1488"/>
      <c r="D18" s="715" t="s">
        <v>144</v>
      </c>
      <c r="E18" s="712">
        <f>'26'!F18</f>
        <v>12</v>
      </c>
      <c r="F18" s="554">
        <v>18</v>
      </c>
      <c r="G18" s="775">
        <f>F18*10</f>
        <v>180</v>
      </c>
      <c r="H18" s="760">
        <f>G18+'26'!H18</f>
        <v>4200</v>
      </c>
      <c r="I18" s="761">
        <f>'1'!I18</f>
        <v>65</v>
      </c>
      <c r="J18" s="762">
        <f>H18/DAY(B2)</f>
        <v>155.55555555555554</v>
      </c>
      <c r="K18" s="467"/>
      <c r="L18" s="408"/>
      <c r="N18" s="413"/>
    </row>
    <row r="19" spans="1:14" ht="27.75">
      <c r="A19" s="1486" t="s">
        <v>71</v>
      </c>
      <c r="B19" s="1487"/>
      <c r="C19" s="1488"/>
      <c r="D19" s="715" t="s">
        <v>144</v>
      </c>
      <c r="E19" s="712">
        <f>'26'!F19</f>
        <v>134362</v>
      </c>
      <c r="F19" s="554">
        <v>134416</v>
      </c>
      <c r="G19" s="770">
        <f t="shared" ref="G19" si="1">F19-E19</f>
        <v>54</v>
      </c>
      <c r="H19" s="760">
        <f>G19+'26'!H19</f>
        <v>-52</v>
      </c>
      <c r="I19" s="777"/>
      <c r="J19" s="762">
        <f>H19/DAY(B2)</f>
        <v>-1.9259259259259258</v>
      </c>
      <c r="K19" s="467"/>
      <c r="L19" s="408"/>
      <c r="N19" s="413"/>
    </row>
    <row r="20" spans="1:14">
      <c r="A20" s="773" t="s">
        <v>145</v>
      </c>
      <c r="B20" s="774"/>
      <c r="C20" s="774"/>
      <c r="D20" s="715"/>
      <c r="E20" s="715"/>
      <c r="F20" s="599"/>
      <c r="G20" s="778">
        <f>G18+G19</f>
        <v>234</v>
      </c>
      <c r="H20" s="760">
        <f>G20+'26'!H20</f>
        <v>4148</v>
      </c>
      <c r="I20" s="779">
        <f>I18-J20</f>
        <v>-88.629629629629619</v>
      </c>
      <c r="J20" s="762">
        <f>H20/DAY(B2)</f>
        <v>153.62962962962962</v>
      </c>
      <c r="K20" s="467"/>
      <c r="L20" s="408"/>
      <c r="N20" s="413"/>
    </row>
    <row r="21" spans="1:14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29" t="s">
        <v>147</v>
      </c>
      <c r="B22" s="666"/>
      <c r="C22" s="666"/>
      <c r="D22" s="599" t="s">
        <v>148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29" t="s">
        <v>149</v>
      </c>
      <c r="B23" s="666"/>
      <c r="C23" s="666"/>
      <c r="D23" s="599" t="s">
        <v>148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150</v>
      </c>
      <c r="B24" s="668"/>
      <c r="C24" s="668"/>
      <c r="D24" s="587" t="s">
        <v>148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20698</v>
      </c>
      <c r="F27" s="577">
        <v>9</v>
      </c>
      <c r="G27" s="578">
        <f>E27*F27</f>
        <v>186282</v>
      </c>
      <c r="H27" s="536">
        <f>G27+'26'!H27</f>
        <v>-197478</v>
      </c>
      <c r="I27" s="579"/>
      <c r="J27" s="629">
        <f>H27/DAY(B2)</f>
        <v>-7314</v>
      </c>
      <c r="K27" s="404"/>
      <c r="L27" s="484"/>
      <c r="N27" s="413"/>
    </row>
    <row r="28" spans="1:14" s="481" customFormat="1" ht="27.75">
      <c r="A28" s="669" t="s">
        <v>154</v>
      </c>
      <c r="B28" s="670"/>
      <c r="C28" s="671"/>
      <c r="D28" s="696" t="s">
        <v>155</v>
      </c>
      <c r="E28" s="780">
        <f>G15</f>
        <v>961.60299999988638</v>
      </c>
      <c r="F28" s="577">
        <v>43.5</v>
      </c>
      <c r="G28" s="578">
        <f>E28*F28</f>
        <v>41829.730499995057</v>
      </c>
      <c r="H28" s="536">
        <f>G28+'26'!H28</f>
        <v>-26804.766300009913</v>
      </c>
      <c r="I28" s="581"/>
      <c r="J28" s="629">
        <f>H28/DAY(B2)</f>
        <v>-992.76912222258932</v>
      </c>
      <c r="K28" s="404"/>
      <c r="L28" s="484"/>
      <c r="N28" s="413"/>
    </row>
    <row r="29" spans="1:14" s="481" customFormat="1" ht="27.7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158</v>
      </c>
      <c r="B30" s="670"/>
      <c r="C30" s="671"/>
      <c r="D30" s="696" t="s">
        <v>159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10720</v>
      </c>
      <c r="I30" s="581"/>
      <c r="J30" s="629">
        <f>H30/DAY(B2)</f>
        <v>397.03703703703701</v>
      </c>
      <c r="K30" s="404"/>
      <c r="L30" s="484"/>
      <c r="N30" s="413"/>
    </row>
    <row r="31" spans="1:14" s="481" customFormat="1" ht="27.75">
      <c r="A31" s="669" t="s">
        <v>160</v>
      </c>
      <c r="B31" s="670"/>
      <c r="C31" s="671"/>
      <c r="D31" s="696" t="s">
        <v>144</v>
      </c>
      <c r="E31" s="780">
        <f>G18</f>
        <v>180</v>
      </c>
      <c r="F31" s="577">
        <v>80</v>
      </c>
      <c r="G31" s="578">
        <f>E31*F31</f>
        <v>14400</v>
      </c>
      <c r="H31" s="536">
        <f>G31+'26'!H31</f>
        <v>325440</v>
      </c>
      <c r="I31" s="581"/>
      <c r="J31" s="629"/>
      <c r="K31" s="404"/>
      <c r="L31" s="484"/>
      <c r="N31" s="413"/>
    </row>
    <row r="32" spans="1:14" s="481" customFormat="1" ht="27.75">
      <c r="A32" s="672" t="s">
        <v>161</v>
      </c>
      <c r="B32" s="673"/>
      <c r="C32" s="674"/>
      <c r="D32" s="583"/>
      <c r="E32" s="583"/>
      <c r="F32" s="600"/>
      <c r="G32" s="584">
        <f>G27+G28+G29+G30+G31</f>
        <v>249747.73049999506</v>
      </c>
      <c r="H32" s="536">
        <f>G32+'26'!H32</f>
        <v>111877.23369999009</v>
      </c>
      <c r="I32" s="585"/>
      <c r="J32" s="629">
        <f>H32/DAY(B2)</f>
        <v>4143.601248147781</v>
      </c>
      <c r="K32" s="404"/>
      <c r="L32" s="484"/>
      <c r="N32" s="413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13"/>
    </row>
    <row r="34" spans="1:14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164</v>
      </c>
      <c r="B35" s="656"/>
      <c r="C35" s="656"/>
      <c r="D35" s="599" t="s">
        <v>132</v>
      </c>
      <c r="E35" s="586">
        <f>'26'!F35</f>
        <v>686650</v>
      </c>
      <c r="F35" s="586">
        <v>689771.35</v>
      </c>
      <c r="G35" s="549">
        <f t="shared" ref="G35:G46" si="3">F35-E35</f>
        <v>3121.3499999999767</v>
      </c>
      <c r="H35" s="536">
        <f>G35+'26'!H35</f>
        <v>-3316.2399999999907</v>
      </c>
      <c r="I35" s="531"/>
      <c r="J35" s="629">
        <f>H35/DAY(B2)</f>
        <v>-122.82370370370336</v>
      </c>
      <c r="K35" s="467"/>
      <c r="L35" s="408"/>
      <c r="N35" s="413"/>
    </row>
    <row r="36" spans="1:14">
      <c r="A36" s="655" t="s">
        <v>165</v>
      </c>
      <c r="B36" s="656"/>
      <c r="C36" s="656"/>
      <c r="D36" s="599" t="s">
        <v>132</v>
      </c>
      <c r="E36" s="586">
        <f>'26'!F36</f>
        <v>295269</v>
      </c>
      <c r="F36" s="586">
        <v>295831.33</v>
      </c>
      <c r="G36" s="549">
        <f t="shared" si="3"/>
        <v>562.3300000000163</v>
      </c>
      <c r="H36" s="536">
        <f>G36+'26'!H36</f>
        <v>-614.23999999999069</v>
      </c>
      <c r="I36" s="531"/>
      <c r="J36" s="629">
        <f>H36/DAY(B2)</f>
        <v>-22.749629629629286</v>
      </c>
      <c r="K36" s="467"/>
      <c r="L36" s="408"/>
      <c r="N36" s="705"/>
    </row>
    <row r="37" spans="1:14">
      <c r="A37" s="655" t="s">
        <v>166</v>
      </c>
      <c r="B37" s="656"/>
      <c r="C37" s="656"/>
      <c r="D37" s="599" t="s">
        <v>132</v>
      </c>
      <c r="E37" s="586">
        <f>'26'!F37</f>
        <v>29086</v>
      </c>
      <c r="F37" s="586">
        <v>30576.07</v>
      </c>
      <c r="G37" s="549">
        <f t="shared" si="3"/>
        <v>1490.0699999999997</v>
      </c>
      <c r="H37" s="536">
        <f>G37+'26'!H37</f>
        <v>33681.15</v>
      </c>
      <c r="I37" s="531"/>
      <c r="J37" s="629">
        <f>H37/DAY(B2)</f>
        <v>1247.45</v>
      </c>
      <c r="K37" s="467"/>
      <c r="L37" s="408"/>
      <c r="N37" s="706"/>
    </row>
    <row r="38" spans="1:14">
      <c r="A38" s="655" t="s">
        <v>167</v>
      </c>
      <c r="B38" s="656"/>
      <c r="C38" s="656"/>
      <c r="D38" s="599" t="s">
        <v>132</v>
      </c>
      <c r="E38" s="586">
        <f>'26'!F38</f>
        <v>39316</v>
      </c>
      <c r="F38" s="545">
        <v>41540.754999999997</v>
      </c>
      <c r="G38" s="549">
        <f t="shared" si="3"/>
        <v>2224.7549999999974</v>
      </c>
      <c r="H38" s="536">
        <f>G38+'26'!H38</f>
        <v>-2272.7350000000006</v>
      </c>
      <c r="I38" s="531"/>
      <c r="J38" s="629">
        <f>H38/DAY(B2)</f>
        <v>-84.175370370370388</v>
      </c>
      <c r="K38" s="467"/>
      <c r="L38" s="408"/>
      <c r="N38" s="413"/>
    </row>
    <row r="39" spans="1:14">
      <c r="A39" s="655" t="s">
        <v>168</v>
      </c>
      <c r="B39" s="656"/>
      <c r="C39" s="656"/>
      <c r="D39" s="599" t="s">
        <v>132</v>
      </c>
      <c r="E39" s="586">
        <f>'26'!F39</f>
        <v>82129</v>
      </c>
      <c r="F39" s="586">
        <v>86304.45</v>
      </c>
      <c r="G39" s="549">
        <f t="shared" si="3"/>
        <v>4175.4499999999971</v>
      </c>
      <c r="H39" s="536">
        <f>G39+'26'!H39</f>
        <v>95697.339999999982</v>
      </c>
      <c r="I39" s="531"/>
      <c r="J39" s="629">
        <f>H39/DAY(B2)</f>
        <v>3544.3459259259253</v>
      </c>
      <c r="K39" s="467"/>
      <c r="L39" s="408"/>
      <c r="N39" s="413"/>
    </row>
    <row r="40" spans="1:14">
      <c r="A40" s="676" t="s">
        <v>169</v>
      </c>
      <c r="B40" s="677"/>
      <c r="C40" s="677"/>
      <c r="D40" s="599" t="s">
        <v>132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-0.06</v>
      </c>
      <c r="I40" s="531"/>
      <c r="J40" s="629">
        <f>H40/DAY(B2)</f>
        <v>-2.2222222222222222E-3</v>
      </c>
      <c r="K40" s="468"/>
      <c r="L40" s="408"/>
      <c r="N40" s="413"/>
    </row>
    <row r="41" spans="1:14">
      <c r="A41" s="655" t="s">
        <v>170</v>
      </c>
      <c r="B41" s="656"/>
      <c r="C41" s="656"/>
      <c r="D41" s="599" t="s">
        <v>132</v>
      </c>
      <c r="E41" s="586">
        <f>'26'!F41</f>
        <v>63882</v>
      </c>
      <c r="F41" s="586">
        <v>63882.37</v>
      </c>
      <c r="G41" s="549">
        <f t="shared" si="3"/>
        <v>0.37000000000261934</v>
      </c>
      <c r="H41" s="536">
        <f>G41+'26'!H41</f>
        <v>0</v>
      </c>
      <c r="I41" s="531"/>
      <c r="J41" s="629">
        <f>H41/DAY(B2)</f>
        <v>0</v>
      </c>
      <c r="K41" s="467"/>
      <c r="L41" s="408"/>
      <c r="N41" s="413"/>
    </row>
    <row r="42" spans="1:14">
      <c r="A42" s="655" t="s">
        <v>171</v>
      </c>
      <c r="B42" s="656"/>
      <c r="C42" s="656"/>
      <c r="D42" s="599" t="s">
        <v>132</v>
      </c>
      <c r="E42" s="586">
        <f>'26'!F42</f>
        <v>59129</v>
      </c>
      <c r="F42" s="586">
        <v>59128.85</v>
      </c>
      <c r="G42" s="549">
        <f t="shared" si="3"/>
        <v>-0.15000000000145519</v>
      </c>
      <c r="H42" s="536">
        <f>G42+'26'!H42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172</v>
      </c>
      <c r="B43" s="656"/>
      <c r="C43" s="656"/>
      <c r="D43" s="599" t="s">
        <v>132</v>
      </c>
      <c r="E43" s="586">
        <f>'26'!F43</f>
        <v>821228</v>
      </c>
      <c r="F43" s="586">
        <v>823506.23</v>
      </c>
      <c r="G43" s="549">
        <f t="shared" si="3"/>
        <v>2278.2299999999814</v>
      </c>
      <c r="H43" s="536">
        <f>G43+'26'!H43</f>
        <v>-2391.5999999999767</v>
      </c>
      <c r="I43" s="531"/>
      <c r="J43" s="629">
        <f>H43/DAY(B2)</f>
        <v>-88.577777777776916</v>
      </c>
      <c r="K43" s="467"/>
      <c r="L43" s="408"/>
      <c r="N43" s="413"/>
    </row>
    <row r="44" spans="1:14">
      <c r="A44" s="655" t="s">
        <v>173</v>
      </c>
      <c r="B44" s="656"/>
      <c r="C44" s="656"/>
      <c r="D44" s="599" t="s">
        <v>132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174</v>
      </c>
      <c r="B45" s="656"/>
      <c r="C45" s="656"/>
      <c r="D45" s="599" t="s">
        <v>132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0</v>
      </c>
      <c r="I45" s="531"/>
      <c r="J45" s="629">
        <f>H45/DAY(B2)</f>
        <v>0</v>
      </c>
      <c r="K45" s="467"/>
      <c r="L45" s="408"/>
      <c r="N45" s="413"/>
    </row>
    <row r="46" spans="1:14">
      <c r="A46" s="655" t="s">
        <v>175</v>
      </c>
      <c r="B46" s="656"/>
      <c r="C46" s="656"/>
      <c r="D46" s="599" t="s">
        <v>132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0</v>
      </c>
      <c r="I46" s="531"/>
      <c r="J46" s="629">
        <f>H46/DAY(B2)</f>
        <v>0</v>
      </c>
      <c r="K46" s="467"/>
      <c r="L46" s="408"/>
      <c r="N46" s="413"/>
    </row>
    <row r="47" spans="1:14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13852.40499999997</v>
      </c>
      <c r="H47" s="536">
        <f>G47+'26'!H47</f>
        <v>120783.61500000001</v>
      </c>
      <c r="I47" s="531"/>
      <c r="J47" s="629">
        <f>H47/DAY(B2)</f>
        <v>4473.4672222222225</v>
      </c>
      <c r="K47" s="467"/>
      <c r="L47" s="408"/>
      <c r="N47" s="413"/>
    </row>
    <row r="48" spans="1:14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164</v>
      </c>
      <c r="B49" s="678"/>
      <c r="C49" s="678"/>
      <c r="D49" s="599" t="s">
        <v>132</v>
      </c>
      <c r="E49" s="586">
        <f>'26'!F49</f>
        <v>260732</v>
      </c>
      <c r="F49" s="586">
        <v>260732.13</v>
      </c>
      <c r="G49" s="549">
        <f t="shared" ref="G49:G58" si="4">F49-E49</f>
        <v>0.13000000000465661</v>
      </c>
      <c r="H49" s="536">
        <f>G49+'26'!H49</f>
        <v>0</v>
      </c>
      <c r="I49" s="531"/>
      <c r="J49" s="629">
        <f>H49/DAY(B2)</f>
        <v>0</v>
      </c>
      <c r="K49" s="467"/>
      <c r="L49" s="408"/>
      <c r="N49" s="413"/>
    </row>
    <row r="50" spans="1:14">
      <c r="A50" s="655" t="s">
        <v>178</v>
      </c>
      <c r="B50" s="678"/>
      <c r="C50" s="678"/>
      <c r="D50" s="599" t="s">
        <v>132</v>
      </c>
      <c r="E50" s="586">
        <f>'26'!F50</f>
        <v>400400</v>
      </c>
      <c r="F50" s="586">
        <v>401372.27</v>
      </c>
      <c r="G50" s="549">
        <f t="shared" si="4"/>
        <v>972.27000000001863</v>
      </c>
      <c r="H50" s="536">
        <f>G50+'26'!H50</f>
        <v>-2284.7600000000093</v>
      </c>
      <c r="I50" s="531"/>
      <c r="J50" s="629">
        <f>H50/DAY(B2)</f>
        <v>-84.620740740741084</v>
      </c>
      <c r="K50" s="467"/>
      <c r="L50" s="408"/>
      <c r="N50" s="413"/>
    </row>
    <row r="51" spans="1:14">
      <c r="A51" s="655" t="s">
        <v>166</v>
      </c>
      <c r="B51" s="678"/>
      <c r="C51" s="678"/>
      <c r="D51" s="599" t="s">
        <v>132</v>
      </c>
      <c r="E51" s="586">
        <f>'26'!F51</f>
        <v>120051</v>
      </c>
      <c r="F51" s="586">
        <v>120050.92</v>
      </c>
      <c r="G51" s="549">
        <f t="shared" si="4"/>
        <v>-8.000000000174623E-2</v>
      </c>
      <c r="H51" s="536">
        <f>G51+'26'!H51</f>
        <v>-1549</v>
      </c>
      <c r="I51" s="531"/>
      <c r="J51" s="629">
        <f>H51/DAY(B2)</f>
        <v>-57.370370370370374</v>
      </c>
      <c r="K51" s="467"/>
      <c r="L51" s="408"/>
      <c r="N51" s="413"/>
    </row>
    <row r="52" spans="1:14">
      <c r="A52" s="655" t="s">
        <v>179</v>
      </c>
      <c r="B52" s="678"/>
      <c r="C52" s="678"/>
      <c r="D52" s="599" t="s">
        <v>132</v>
      </c>
      <c r="E52" s="586">
        <f>'26'!F52</f>
        <v>507913</v>
      </c>
      <c r="F52" s="586">
        <v>507912.71</v>
      </c>
      <c r="G52" s="549">
        <f t="shared" si="4"/>
        <v>-0.28999999997904524</v>
      </c>
      <c r="H52" s="536">
        <f>G52+'26'!H52</f>
        <v>-2046</v>
      </c>
      <c r="I52" s="531"/>
      <c r="J52" s="629">
        <f>H52/DAY(B2)</f>
        <v>-75.777777777777771</v>
      </c>
      <c r="K52" s="467"/>
      <c r="L52" s="408"/>
      <c r="N52" s="413"/>
    </row>
    <row r="53" spans="1:14">
      <c r="A53" s="655" t="s">
        <v>168</v>
      </c>
      <c r="B53" s="678"/>
      <c r="C53" s="678"/>
      <c r="D53" s="599" t="s">
        <v>132</v>
      </c>
      <c r="E53" s="586">
        <f>'26'!F53</f>
        <v>331855</v>
      </c>
      <c r="F53" s="586">
        <v>331854.51</v>
      </c>
      <c r="G53" s="549">
        <f t="shared" si="4"/>
        <v>-0.48999999999068677</v>
      </c>
      <c r="H53" s="536">
        <f>G53+'26'!H53</f>
        <v>-4185</v>
      </c>
      <c r="I53" s="531"/>
      <c r="J53" s="629">
        <f>H53/DAY(B2)</f>
        <v>-155</v>
      </c>
      <c r="K53" s="467"/>
      <c r="L53" s="408"/>
      <c r="N53" s="413"/>
    </row>
    <row r="54" spans="1:14">
      <c r="A54" s="655" t="s">
        <v>180</v>
      </c>
      <c r="B54" s="678"/>
      <c r="C54" s="678"/>
      <c r="D54" s="599" t="s">
        <v>132</v>
      </c>
      <c r="E54" s="586">
        <f>'26'!F54</f>
        <v>7956</v>
      </c>
      <c r="F54" s="586">
        <v>8025.47</v>
      </c>
      <c r="G54" s="549">
        <f t="shared" si="4"/>
        <v>69.470000000000255</v>
      </c>
      <c r="H54" s="536">
        <f>G54+'26'!H54</f>
        <v>-70.159999999999854</v>
      </c>
      <c r="I54" s="531"/>
      <c r="J54" s="629">
        <f>H54/DAY(B2)</f>
        <v>-2.5985185185185133</v>
      </c>
      <c r="K54" s="467"/>
      <c r="L54" s="408"/>
      <c r="N54" s="413"/>
    </row>
    <row r="55" spans="1:14">
      <c r="A55" s="655" t="s">
        <v>181</v>
      </c>
      <c r="B55" s="678"/>
      <c r="C55" s="678"/>
      <c r="D55" s="599" t="s">
        <v>132</v>
      </c>
      <c r="E55" s="586">
        <f>'26'!F55</f>
        <v>106716</v>
      </c>
      <c r="F55" s="734">
        <v>111933.89</v>
      </c>
      <c r="G55" s="733">
        <f t="shared" si="4"/>
        <v>5217.8899999999994</v>
      </c>
      <c r="H55" s="787">
        <f>G55+'26'!H55</f>
        <v>-10650.800000000003</v>
      </c>
      <c r="I55" s="788"/>
      <c r="J55" s="789">
        <f>H55/DAY(B2)</f>
        <v>-394.47407407407417</v>
      </c>
      <c r="K55" s="467"/>
      <c r="L55" s="408"/>
      <c r="N55" s="413"/>
    </row>
    <row r="56" spans="1:14">
      <c r="A56" s="655" t="s">
        <v>182</v>
      </c>
      <c r="B56" s="678"/>
      <c r="C56" s="678"/>
      <c r="D56" s="599" t="s">
        <v>183</v>
      </c>
      <c r="E56" s="586">
        <f>'26'!F56</f>
        <v>586023</v>
      </c>
      <c r="F56" s="734">
        <v>586043.55000000005</v>
      </c>
      <c r="G56" s="549">
        <f t="shared" si="4"/>
        <v>20.550000000046566</v>
      </c>
      <c r="H56" s="536">
        <f>G56+'26'!H56</f>
        <v>-7.4799999999813735</v>
      </c>
      <c r="I56" s="531"/>
      <c r="J56" s="629">
        <f>H56/DAY(B2)</f>
        <v>-0.27703703703634719</v>
      </c>
      <c r="K56" s="466"/>
      <c r="L56" s="408"/>
      <c r="N56" s="413"/>
    </row>
    <row r="57" spans="1:14">
      <c r="A57" s="655" t="s">
        <v>172</v>
      </c>
      <c r="B57" s="678"/>
      <c r="C57" s="678"/>
      <c r="D57" s="599" t="s">
        <v>132</v>
      </c>
      <c r="E57" s="586">
        <f>'26'!F57</f>
        <v>7711</v>
      </c>
      <c r="F57" s="586">
        <v>7711.33</v>
      </c>
      <c r="G57" s="549">
        <f t="shared" si="4"/>
        <v>0.32999999999992724</v>
      </c>
      <c r="H57" s="536">
        <f>G57+'26'!H57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184</v>
      </c>
      <c r="B58" s="678"/>
      <c r="C58" s="678"/>
      <c r="D58" s="599" t="s">
        <v>132</v>
      </c>
      <c r="E58" s="586">
        <f>'26'!F58</f>
        <v>35454</v>
      </c>
      <c r="F58" s="734">
        <v>35673.660000000003</v>
      </c>
      <c r="G58" s="549">
        <f t="shared" si="4"/>
        <v>219.66000000000349</v>
      </c>
      <c r="H58" s="536">
        <f>G58+'26'!H58</f>
        <v>-391.0399999999936</v>
      </c>
      <c r="I58" s="531"/>
      <c r="J58" s="629">
        <f>H58/DAY(B2)</f>
        <v>-14.482962962962725</v>
      </c>
      <c r="K58" s="467"/>
      <c r="L58" s="408"/>
      <c r="N58" s="413"/>
    </row>
    <row r="59" spans="1:14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6499.4400000001015</v>
      </c>
      <c r="H59" s="536">
        <f>G59+'26'!H59</f>
        <v>-21184.239999999994</v>
      </c>
      <c r="I59" s="531">
        <f>G7-G60</f>
        <v>249.15499999992971</v>
      </c>
      <c r="J59" s="629">
        <f>H59/DAY(B2)</f>
        <v>-784.6014814814813</v>
      </c>
      <c r="K59" s="467"/>
      <c r="L59" s="408"/>
      <c r="N59" s="413"/>
    </row>
    <row r="60" spans="1:14">
      <c r="A60" s="655"/>
      <c r="B60" s="656"/>
      <c r="C60" s="656"/>
      <c r="D60" s="587" t="s">
        <v>185</v>
      </c>
      <c r="E60" s="587"/>
      <c r="F60" s="587"/>
      <c r="G60" s="557">
        <f>G47+G59</f>
        <v>20351.84500000007</v>
      </c>
      <c r="H60" s="536">
        <f>G60+'26'!H60</f>
        <v>113768.37499999996</v>
      </c>
      <c r="I60" s="531">
        <f>G13-G60</f>
        <v>-308.30500000006941</v>
      </c>
      <c r="J60" s="629">
        <f>H60/DAY(B2)</f>
        <v>4213.6435185185173</v>
      </c>
      <c r="K60" s="467"/>
      <c r="L60" s="408"/>
      <c r="N60" s="413"/>
    </row>
    <row r="61" spans="1:14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98</v>
      </c>
      <c r="B62" s="681"/>
      <c r="C62" s="681"/>
      <c r="D62" s="587" t="s">
        <v>187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-7.0000000014260877E-3</v>
      </c>
      <c r="I62" s="591"/>
      <c r="J62" s="629">
        <f>H62/DAY(B2)</f>
        <v>-2.5925925931207731E-4</v>
      </c>
      <c r="K62" s="467"/>
      <c r="L62" s="408"/>
      <c r="N62" s="413"/>
    </row>
    <row r="63" spans="1:14">
      <c r="A63" s="680" t="s">
        <v>188</v>
      </c>
      <c r="B63" s="681"/>
      <c r="C63" s="681"/>
      <c r="D63" s="587" t="s">
        <v>187</v>
      </c>
      <c r="E63" s="590">
        <f>'26'!F63</f>
        <v>1678</v>
      </c>
      <c r="F63" s="590">
        <v>1692.01</v>
      </c>
      <c r="G63" s="549">
        <f t="shared" si="5"/>
        <v>14.009999999999991</v>
      </c>
      <c r="H63" s="536">
        <f>G63+'26'!H63</f>
        <v>-15.349999999999909</v>
      </c>
      <c r="I63" s="591"/>
      <c r="J63" s="629">
        <f>H63/DAY(B2)</f>
        <v>-0.5685185185185152</v>
      </c>
      <c r="K63" s="467"/>
      <c r="L63" s="408"/>
      <c r="N63" s="413"/>
    </row>
    <row r="64" spans="1:14" ht="27.75">
      <c r="A64" s="1430" t="s">
        <v>99</v>
      </c>
      <c r="B64" s="1431"/>
      <c r="C64" s="1432"/>
      <c r="D64" s="599" t="s">
        <v>187</v>
      </c>
      <c r="E64" s="590">
        <f>'26'!F64</f>
        <v>122649</v>
      </c>
      <c r="F64" s="554">
        <v>123136.85</v>
      </c>
      <c r="G64" s="549">
        <f t="shared" si="5"/>
        <v>487.85000000000582</v>
      </c>
      <c r="H64" s="536">
        <f>G64+'26'!H64</f>
        <v>-490.44999999999709</v>
      </c>
      <c r="I64" s="556"/>
      <c r="J64" s="629">
        <f>H64/DAY(B2)</f>
        <v>-18.164814814814708</v>
      </c>
      <c r="K64" s="467"/>
      <c r="L64" s="408"/>
      <c r="N64" s="413"/>
    </row>
    <row r="65" spans="1:14" ht="27.75">
      <c r="A65" s="1430" t="s">
        <v>100</v>
      </c>
      <c r="B65" s="1431"/>
      <c r="C65" s="1432"/>
      <c r="D65" s="599" t="s">
        <v>187</v>
      </c>
      <c r="E65" s="590">
        <f>'26'!F65</f>
        <v>131788</v>
      </c>
      <c r="F65" s="732">
        <v>132180.92000000001</v>
      </c>
      <c r="G65" s="549">
        <f t="shared" si="5"/>
        <v>392.92000000001281</v>
      </c>
      <c r="H65" s="536">
        <f>G65+'26'!H65</f>
        <v>-416.37999999997555</v>
      </c>
      <c r="I65" s="565"/>
      <c r="J65" s="629">
        <f>H65/DAY(B2)</f>
        <v>-15.421481481480576</v>
      </c>
      <c r="K65" s="467"/>
      <c r="L65" s="408"/>
      <c r="N65" s="413"/>
    </row>
    <row r="66" spans="1:14" ht="27.75">
      <c r="A66" s="1430" t="s">
        <v>101</v>
      </c>
      <c r="B66" s="1431"/>
      <c r="C66" s="1432"/>
      <c r="D66" s="599" t="s">
        <v>187</v>
      </c>
      <c r="E66" s="590">
        <f>'26'!F66</f>
        <v>24369</v>
      </c>
      <c r="F66" s="554">
        <v>24755.439999999999</v>
      </c>
      <c r="G66" s="549">
        <f t="shared" si="5"/>
        <v>386.43999999999869</v>
      </c>
      <c r="H66" s="536">
        <f>G66+'26'!H66</f>
        <v>-404.31000000000131</v>
      </c>
      <c r="I66" s="556"/>
      <c r="J66" s="629">
        <f>H66/DAY(B2)</f>
        <v>-14.974444444444494</v>
      </c>
      <c r="K66" s="467"/>
      <c r="L66" s="408"/>
      <c r="N66" s="413"/>
    </row>
    <row r="67" spans="1:14" ht="27.75">
      <c r="A67" s="1430" t="s">
        <v>102</v>
      </c>
      <c r="B67" s="1431"/>
      <c r="C67" s="1432"/>
      <c r="D67" s="599" t="s">
        <v>187</v>
      </c>
      <c r="E67" s="590">
        <f>'26'!F67</f>
        <v>206487</v>
      </c>
      <c r="F67" s="554">
        <v>207148.43</v>
      </c>
      <c r="G67" s="549">
        <f t="shared" si="5"/>
        <v>661.42999999999302</v>
      </c>
      <c r="H67" s="536">
        <f>G67+'26'!H67</f>
        <v>-693.39999999999418</v>
      </c>
      <c r="I67" s="565"/>
      <c r="J67" s="629">
        <f>H67/DAY(B2)</f>
        <v>-25.681481481481267</v>
      </c>
      <c r="K67" s="468"/>
      <c r="L67" s="408"/>
      <c r="N67" s="413"/>
    </row>
    <row r="68" spans="1:14" ht="27.75">
      <c r="A68" s="1430" t="s">
        <v>103</v>
      </c>
      <c r="B68" s="1431"/>
      <c r="C68" s="1432"/>
      <c r="D68" s="599" t="s">
        <v>187</v>
      </c>
      <c r="E68" s="590">
        <f>'26'!F68</f>
        <v>71975</v>
      </c>
      <c r="F68" s="554">
        <v>72307.600000000006</v>
      </c>
      <c r="G68" s="549">
        <f t="shared" si="5"/>
        <v>332.60000000000582</v>
      </c>
      <c r="H68" s="536">
        <f>G68+'26'!H68</f>
        <v>629.08000000000175</v>
      </c>
      <c r="I68" s="592"/>
      <c r="J68" s="629">
        <f>H68/DAY(B2)</f>
        <v>23.299259259259323</v>
      </c>
      <c r="K68" s="469"/>
      <c r="L68" s="408"/>
      <c r="N68" s="413"/>
    </row>
    <row r="69" spans="1:14" ht="27.75">
      <c r="A69" s="1430" t="s">
        <v>104</v>
      </c>
      <c r="B69" s="1431"/>
      <c r="C69" s="1432"/>
      <c r="D69" s="599" t="s">
        <v>187</v>
      </c>
      <c r="E69" s="590">
        <f>'26'!F69</f>
        <v>63792</v>
      </c>
      <c r="F69" s="554">
        <v>64110.66</v>
      </c>
      <c r="G69" s="549">
        <f t="shared" si="5"/>
        <v>318.66000000000349</v>
      </c>
      <c r="H69" s="536">
        <f>G69+'26'!H69</f>
        <v>-341.42999999999302</v>
      </c>
      <c r="I69" s="592"/>
      <c r="J69" s="629">
        <f>H69/DAY(B2)</f>
        <v>-12.645555555555298</v>
      </c>
      <c r="K69" s="470"/>
      <c r="L69" s="408"/>
      <c r="N69" s="413"/>
    </row>
    <row r="70" spans="1:14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13"/>
    </row>
    <row r="72" spans="1:14" ht="27.75">
      <c r="A72" s="1430" t="s">
        <v>191</v>
      </c>
      <c r="B72" s="1431"/>
      <c r="C72" s="1432"/>
      <c r="D72" s="599" t="s">
        <v>187</v>
      </c>
      <c r="E72" s="595">
        <f>'26'!F72</f>
        <v>850432</v>
      </c>
      <c r="F72" s="735">
        <v>850511</v>
      </c>
      <c r="G72" s="549">
        <f t="shared" ref="G72:G84" si="6">F72-E72</f>
        <v>79</v>
      </c>
      <c r="H72" s="536">
        <f>G72+'26'!H72</f>
        <v>2118</v>
      </c>
      <c r="I72" s="556"/>
      <c r="J72" s="629">
        <f>H72/DAY(B2)</f>
        <v>78.444444444444443</v>
      </c>
      <c r="K72" s="470"/>
      <c r="L72" s="408"/>
      <c r="N72" s="413"/>
    </row>
    <row r="73" spans="1:14" ht="27.75">
      <c r="A73" s="1430" t="s">
        <v>192</v>
      </c>
      <c r="B73" s="1431"/>
      <c r="C73" s="1432"/>
      <c r="D73" s="599" t="s">
        <v>187</v>
      </c>
      <c r="E73" s="595">
        <f>'26'!F73</f>
        <v>885771</v>
      </c>
      <c r="F73" s="736">
        <v>885771</v>
      </c>
      <c r="G73" s="733">
        <f t="shared" si="6"/>
        <v>0</v>
      </c>
      <c r="H73" s="536">
        <f>G73+'26'!H73</f>
        <v>-1137</v>
      </c>
      <c r="I73" s="556"/>
      <c r="J73" s="629">
        <f>H73/DAY(B2)</f>
        <v>-42.111111111111114</v>
      </c>
      <c r="K73" s="469"/>
      <c r="L73" s="408"/>
      <c r="N73" s="413"/>
    </row>
    <row r="74" spans="1:14" ht="27.75">
      <c r="A74" s="1430" t="s">
        <v>193</v>
      </c>
      <c r="B74" s="1431"/>
      <c r="C74" s="1432"/>
      <c r="D74" s="599" t="s">
        <v>187</v>
      </c>
      <c r="E74" s="595">
        <f>'26'!F74</f>
        <v>516</v>
      </c>
      <c r="F74" s="736">
        <v>537.29999999999995</v>
      </c>
      <c r="G74" s="549">
        <f t="shared" si="6"/>
        <v>21.299999999999955</v>
      </c>
      <c r="H74" s="536">
        <f>G74+'26'!H74</f>
        <v>-48.870000000000118</v>
      </c>
      <c r="I74" s="556"/>
      <c r="J74" s="629">
        <f>H74/DAY(B2)</f>
        <v>-1.8100000000000043</v>
      </c>
      <c r="K74" s="470"/>
      <c r="L74" s="408"/>
      <c r="N74" s="413"/>
    </row>
    <row r="75" spans="1:14" ht="27.75">
      <c r="A75" s="1479" t="s">
        <v>194</v>
      </c>
      <c r="B75" s="1480"/>
      <c r="C75" s="1481"/>
      <c r="D75" s="599" t="s">
        <v>187</v>
      </c>
      <c r="E75" s="595">
        <f>'26'!F75</f>
        <v>3184</v>
      </c>
      <c r="F75" s="735">
        <v>3356.88</v>
      </c>
      <c r="G75" s="549">
        <f t="shared" si="6"/>
        <v>172.88000000000011</v>
      </c>
      <c r="H75" s="536">
        <f>G75+'26'!H75</f>
        <v>-162.33999999999924</v>
      </c>
      <c r="I75" s="556"/>
      <c r="J75" s="629">
        <f>H75/DAY(B2)</f>
        <v>-6.0125925925925641</v>
      </c>
      <c r="K75" s="469"/>
      <c r="L75" s="408"/>
      <c r="N75" s="413"/>
    </row>
    <row r="76" spans="1:14" ht="27.75">
      <c r="A76" s="1479" t="s">
        <v>195</v>
      </c>
      <c r="B76" s="1480"/>
      <c r="C76" s="1481"/>
      <c r="D76" s="599" t="s">
        <v>187</v>
      </c>
      <c r="E76" s="595">
        <f>'26'!F76</f>
        <v>1355</v>
      </c>
      <c r="F76" s="736">
        <v>1433.17</v>
      </c>
      <c r="G76" s="549">
        <f t="shared" si="6"/>
        <v>78.170000000000073</v>
      </c>
      <c r="H76" s="536">
        <f>G76+'26'!H76</f>
        <v>-1625.2499999999995</v>
      </c>
      <c r="I76" s="581"/>
      <c r="J76" s="629">
        <f>H76/DAY(B2)</f>
        <v>-60.194444444444429</v>
      </c>
      <c r="K76" s="469"/>
      <c r="L76" s="408"/>
      <c r="N76" s="413"/>
    </row>
    <row r="77" spans="1:14" ht="27.75">
      <c r="A77" s="1430" t="s">
        <v>196</v>
      </c>
      <c r="B77" s="1431"/>
      <c r="C77" s="1432"/>
      <c r="D77" s="599" t="s">
        <v>187</v>
      </c>
      <c r="E77" s="595">
        <f>'26'!F77</f>
        <v>698495</v>
      </c>
      <c r="F77" s="736">
        <v>698540</v>
      </c>
      <c r="G77" s="733">
        <f t="shared" si="6"/>
        <v>45</v>
      </c>
      <c r="H77" s="536">
        <f>G77+'26'!H77</f>
        <v>-48</v>
      </c>
      <c r="I77" s="581"/>
      <c r="J77" s="629">
        <f>H77/DAY(B2)</f>
        <v>-1.7777777777777777</v>
      </c>
      <c r="K77" s="469"/>
      <c r="L77" s="408"/>
      <c r="N77" s="413"/>
    </row>
    <row r="78" spans="1:14" ht="27.75">
      <c r="A78" s="1232" t="s">
        <v>197</v>
      </c>
      <c r="B78" s="1203"/>
      <c r="C78" s="1203"/>
      <c r="D78" s="599" t="s">
        <v>187</v>
      </c>
      <c r="E78" s="595">
        <f>'26'!F78</f>
        <v>652125</v>
      </c>
      <c r="F78" s="735">
        <v>652450</v>
      </c>
      <c r="G78" s="549">
        <f t="shared" si="6"/>
        <v>325</v>
      </c>
      <c r="H78" s="536">
        <f>G78+'26'!H78</f>
        <v>-413</v>
      </c>
      <c r="I78" s="581"/>
      <c r="J78" s="629">
        <f>H78/DAY(B2)</f>
        <v>-15.296296296296296</v>
      </c>
      <c r="K78" s="469"/>
      <c r="L78" s="408"/>
      <c r="N78" s="413"/>
    </row>
    <row r="79" spans="1:14" ht="27.75">
      <c r="A79" s="1479" t="s">
        <v>92</v>
      </c>
      <c r="B79" s="1480"/>
      <c r="C79" s="1481"/>
      <c r="D79" s="600" t="s">
        <v>187</v>
      </c>
      <c r="E79" s="595">
        <f>'26'!F79</f>
        <v>814690</v>
      </c>
      <c r="F79" s="735">
        <v>814871</v>
      </c>
      <c r="G79" s="549">
        <f t="shared" si="6"/>
        <v>181</v>
      </c>
      <c r="H79" s="536">
        <f>G79+'26'!H79</f>
        <v>-2865</v>
      </c>
      <c r="I79" s="581"/>
      <c r="J79" s="629">
        <f>H79/DAY(B2)</f>
        <v>-106.11111111111111</v>
      </c>
      <c r="K79" s="469"/>
      <c r="L79" s="408"/>
      <c r="N79" s="413"/>
    </row>
    <row r="80" spans="1:14" ht="27.75">
      <c r="A80" s="1479" t="s">
        <v>198</v>
      </c>
      <c r="B80" s="1480"/>
      <c r="C80" s="1481"/>
      <c r="D80" s="600" t="s">
        <v>187</v>
      </c>
      <c r="E80" s="595">
        <f>'26'!F80</f>
        <v>493896</v>
      </c>
      <c r="F80" s="736">
        <v>494265.84</v>
      </c>
      <c r="G80" s="549">
        <f t="shared" si="6"/>
        <v>369.84000000002561</v>
      </c>
      <c r="H80" s="536">
        <f>G80+'26'!H80</f>
        <v>2266.1600000000326</v>
      </c>
      <c r="I80" s="581"/>
      <c r="J80" s="629">
        <f>H80/DAY(B2)</f>
        <v>83.931851851853054</v>
      </c>
      <c r="K80" s="469"/>
      <c r="L80" s="408"/>
      <c r="N80" s="413"/>
    </row>
    <row r="81" spans="1:15" ht="27.75">
      <c r="A81" s="1479" t="s">
        <v>199</v>
      </c>
      <c r="B81" s="1480"/>
      <c r="C81" s="1481"/>
      <c r="D81" s="600" t="s">
        <v>187</v>
      </c>
      <c r="E81" s="595">
        <f>'26'!F81</f>
        <v>625674</v>
      </c>
      <c r="F81" s="736">
        <v>625798.52</v>
      </c>
      <c r="G81" s="549">
        <f t="shared" si="6"/>
        <v>124.52000000001863</v>
      </c>
      <c r="H81" s="536">
        <f>G81+'26'!H81</f>
        <v>-145.31999999994878</v>
      </c>
      <c r="I81" s="581"/>
      <c r="J81" s="629">
        <f>H81/DAY(B2)</f>
        <v>-5.3822222222203253</v>
      </c>
      <c r="K81" s="469"/>
      <c r="L81" s="408"/>
      <c r="N81" s="413"/>
    </row>
    <row r="82" spans="1:15" ht="27.75">
      <c r="A82" s="1479" t="s">
        <v>93</v>
      </c>
      <c r="B82" s="1480"/>
      <c r="C82" s="1481"/>
      <c r="D82" s="561" t="s">
        <v>132</v>
      </c>
      <c r="E82" s="595">
        <f>'26'!F82</f>
        <v>106159</v>
      </c>
      <c r="F82" s="732">
        <v>106185.82</v>
      </c>
      <c r="G82" s="549">
        <f t="shared" si="6"/>
        <v>26.820000000006985</v>
      </c>
      <c r="H82" s="536">
        <f>G82+'26'!H82</f>
        <v>-16.659999999988941</v>
      </c>
      <c r="I82" s="562"/>
      <c r="J82" s="629">
        <f>H82/DAY(B2)</f>
        <v>-0.61703703703662738</v>
      </c>
      <c r="K82" s="469"/>
      <c r="L82" s="408"/>
      <c r="N82" s="413"/>
    </row>
    <row r="83" spans="1:15" ht="27.75">
      <c r="A83" s="1479" t="s">
        <v>200</v>
      </c>
      <c r="B83" s="1480"/>
      <c r="C83" s="1481"/>
      <c r="D83" s="697" t="s">
        <v>132</v>
      </c>
      <c r="E83" s="595">
        <f>'26'!F83</f>
        <v>995362</v>
      </c>
      <c r="F83" s="697">
        <v>995838</v>
      </c>
      <c r="G83" s="549">
        <f t="shared" si="6"/>
        <v>476</v>
      </c>
      <c r="H83" s="536">
        <f>G83+'26'!H83</f>
        <v>999241</v>
      </c>
      <c r="I83" s="557"/>
      <c r="J83" s="629">
        <f>H83/DAY(B2)</f>
        <v>37008.925925925927</v>
      </c>
      <c r="K83" s="468"/>
      <c r="L83" s="408"/>
      <c r="N83" s="413"/>
    </row>
    <row r="84" spans="1:15">
      <c r="A84" s="1233" t="s">
        <v>201</v>
      </c>
      <c r="B84" s="648"/>
      <c r="C84" s="648"/>
      <c r="D84" s="554" t="s">
        <v>132</v>
      </c>
      <c r="E84" s="595">
        <f>'26'!F84</f>
        <v>429387</v>
      </c>
      <c r="F84" s="600">
        <v>430059</v>
      </c>
      <c r="G84" s="549">
        <f t="shared" si="6"/>
        <v>672</v>
      </c>
      <c r="H84" s="536">
        <f>G84+'26'!H84</f>
        <v>-739</v>
      </c>
      <c r="I84" s="557"/>
      <c r="J84" s="629">
        <f>H84/DAY(B2)</f>
        <v>-27.37037037037037</v>
      </c>
      <c r="K84" s="411"/>
      <c r="L84" s="408"/>
      <c r="N84" s="413"/>
    </row>
    <row r="85" spans="1:15" s="410" customFormat="1">
      <c r="A85" s="682" t="s">
        <v>202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2571.5300000000516</v>
      </c>
      <c r="H85" s="536">
        <f>G85+'26'!H85</f>
        <v>994833.46</v>
      </c>
      <c r="I85" s="557"/>
      <c r="J85" s="629">
        <f>H85/DAY(B2)</f>
        <v>36845.683703703704</v>
      </c>
      <c r="K85" s="411"/>
      <c r="L85" s="409"/>
      <c r="N85" s="413"/>
    </row>
    <row r="86" spans="1:15" s="817" customFormat="1">
      <c r="A86" s="812" t="s">
        <v>94</v>
      </c>
      <c r="B86" s="813"/>
      <c r="C86" s="813"/>
      <c r="D86" s="814" t="s">
        <v>183</v>
      </c>
      <c r="E86" s="704">
        <f>'26'!F86</f>
        <v>450219</v>
      </c>
      <c r="F86" s="728">
        <v>450283.44</v>
      </c>
      <c r="G86" s="787">
        <f>F86-E86</f>
        <v>64.440000000002328</v>
      </c>
      <c r="H86" s="787">
        <f t="shared" ref="H86:H88" si="7">G86</f>
        <v>64.440000000002328</v>
      </c>
      <c r="I86" s="733"/>
      <c r="J86" s="789">
        <f>H86/DAY(B2)</f>
        <v>2.3866666666667529</v>
      </c>
      <c r="K86" s="815"/>
      <c r="L86" s="816"/>
      <c r="O86" s="795"/>
    </row>
    <row r="87" spans="1:15" s="817" customFormat="1">
      <c r="A87" s="812" t="s">
        <v>95</v>
      </c>
      <c r="B87" s="813"/>
      <c r="C87" s="813"/>
      <c r="D87" s="814" t="s">
        <v>183</v>
      </c>
      <c r="E87" s="704">
        <f>'26'!F87</f>
        <v>79167.199999999997</v>
      </c>
      <c r="F87" s="728">
        <v>79194.600000000006</v>
      </c>
      <c r="G87" s="787">
        <f t="shared" ref="G87:G90" si="8">F87-E87</f>
        <v>27.400000000008731</v>
      </c>
      <c r="H87" s="787">
        <f t="shared" si="7"/>
        <v>27.400000000008731</v>
      </c>
      <c r="I87" s="733"/>
      <c r="J87" s="789">
        <f>H87/DAY(B2)</f>
        <v>1.0148148148151381</v>
      </c>
      <c r="K87" s="815"/>
      <c r="L87" s="816"/>
      <c r="O87" s="795"/>
    </row>
    <row r="88" spans="1:15" s="817" customFormat="1">
      <c r="A88" s="812" t="s">
        <v>96</v>
      </c>
      <c r="B88" s="813"/>
      <c r="C88" s="813"/>
      <c r="D88" s="814" t="s">
        <v>183</v>
      </c>
      <c r="E88" s="704">
        <f>'26'!F88</f>
        <v>148201</v>
      </c>
      <c r="F88" s="728">
        <v>148233.9</v>
      </c>
      <c r="G88" s="787">
        <f t="shared" si="8"/>
        <v>32.899999999994179</v>
      </c>
      <c r="H88" s="787">
        <f t="shared" si="7"/>
        <v>32.899999999994179</v>
      </c>
      <c r="I88" s="733"/>
      <c r="J88" s="789">
        <f>H88/DAY(B2)</f>
        <v>1.218518518518303</v>
      </c>
      <c r="K88" s="815"/>
      <c r="L88" s="816"/>
      <c r="O88" s="795"/>
    </row>
    <row r="89" spans="1:15" s="817" customFormat="1">
      <c r="A89" s="812" t="s">
        <v>204</v>
      </c>
      <c r="B89" s="813"/>
      <c r="C89" s="813"/>
      <c r="D89" s="814" t="s">
        <v>183</v>
      </c>
      <c r="E89" s="704">
        <f>'26'!F89</f>
        <v>61568</v>
      </c>
      <c r="F89" s="728">
        <v>61623.6</v>
      </c>
      <c r="G89" s="787">
        <f t="shared" si="8"/>
        <v>55.599999999998545</v>
      </c>
      <c r="H89" s="787">
        <f>G89</f>
        <v>55.599999999998545</v>
      </c>
      <c r="I89" s="733"/>
      <c r="J89" s="789">
        <f>H89/DAY(B2)</f>
        <v>2.0592592592592052</v>
      </c>
      <c r="K89" s="815"/>
      <c r="L89" s="816"/>
      <c r="N89" s="860"/>
      <c r="O89" s="413"/>
    </row>
    <row r="90" spans="1:15" s="817" customFormat="1">
      <c r="A90" s="812" t="s">
        <v>204</v>
      </c>
      <c r="B90" s="813"/>
      <c r="C90" s="813"/>
      <c r="D90" s="814" t="s">
        <v>183</v>
      </c>
      <c r="E90" s="704">
        <f>'26'!F90</f>
        <v>3160</v>
      </c>
      <c r="F90" s="728">
        <v>3161.9</v>
      </c>
      <c r="G90" s="787">
        <f t="shared" si="8"/>
        <v>1.9000000000000909</v>
      </c>
      <c r="H90" s="787">
        <f>G90</f>
        <v>1.9000000000000909</v>
      </c>
      <c r="I90" s="733"/>
      <c r="J90" s="789">
        <f>H90/DAY(B2)</f>
        <v>7.0370370370373733E-2</v>
      </c>
      <c r="K90" s="815"/>
      <c r="L90" s="816"/>
      <c r="N90" s="860"/>
      <c r="O90" s="413"/>
    </row>
    <row r="91" spans="1:15" s="410" customFormat="1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33" t="s">
        <v>206</v>
      </c>
      <c r="B92" s="1434"/>
      <c r="C92" s="1435"/>
      <c r="D92" s="599" t="s">
        <v>144</v>
      </c>
      <c r="E92" s="560">
        <f>'26'!F92</f>
        <v>239405</v>
      </c>
      <c r="F92" s="554">
        <v>239551</v>
      </c>
      <c r="G92" s="549">
        <f t="shared" ref="G92:G93" si="9">F92-E92</f>
        <v>146</v>
      </c>
      <c r="H92" s="536">
        <f>G92+'26'!H92</f>
        <v>-144</v>
      </c>
      <c r="I92" s="556"/>
      <c r="J92" s="629">
        <f>H92/DAY(B2)</f>
        <v>-5.333333333333333</v>
      </c>
      <c r="K92" s="468"/>
      <c r="L92" s="408"/>
      <c r="N92" s="413"/>
    </row>
    <row r="93" spans="1:15" ht="27.75">
      <c r="A93" s="1433" t="s">
        <v>207</v>
      </c>
      <c r="B93" s="1434"/>
      <c r="C93" s="1435"/>
      <c r="D93" s="599" t="s">
        <v>144</v>
      </c>
      <c r="E93" s="560">
        <f>'26'!F93</f>
        <v>175308</v>
      </c>
      <c r="F93" s="561">
        <v>175460</v>
      </c>
      <c r="G93" s="549">
        <f t="shared" si="9"/>
        <v>152</v>
      </c>
      <c r="H93" s="536">
        <f>G93+'26'!H93</f>
        <v>-201</v>
      </c>
      <c r="I93" s="556"/>
      <c r="J93" s="629">
        <f>H93/DAY(B2)</f>
        <v>-7.4444444444444446</v>
      </c>
      <c r="K93" s="411"/>
      <c r="L93" s="408"/>
      <c r="N93" s="413"/>
    </row>
    <row r="94" spans="1:15">
      <c r="A94" s="1427" t="s">
        <v>208</v>
      </c>
      <c r="B94" s="1428"/>
      <c r="C94" s="1429"/>
      <c r="D94" s="599"/>
      <c r="E94" s="560">
        <f>'26'!F94</f>
        <v>0</v>
      </c>
      <c r="F94" s="554"/>
      <c r="G94" s="549">
        <f>G92+G93</f>
        <v>298</v>
      </c>
      <c r="H94" s="536">
        <f>G94+'26'!H94</f>
        <v>-611</v>
      </c>
      <c r="I94" s="556"/>
      <c r="J94" s="629">
        <f>H94/DAY(B2)</f>
        <v>-22.62962962962963</v>
      </c>
      <c r="K94" s="411"/>
      <c r="L94" s="408"/>
      <c r="N94" s="413"/>
    </row>
    <row r="95" spans="1:15" ht="27.75">
      <c r="A95" s="1433" t="s">
        <v>209</v>
      </c>
      <c r="B95" s="1434"/>
      <c r="C95" s="1435"/>
      <c r="D95" s="599" t="s">
        <v>144</v>
      </c>
      <c r="E95" s="560">
        <f>'26'!F95</f>
        <v>407981</v>
      </c>
      <c r="F95" s="554">
        <v>408066</v>
      </c>
      <c r="G95" s="549">
        <f t="shared" ref="G95:G100" si="10">F95-E95</f>
        <v>85</v>
      </c>
      <c r="H95" s="536">
        <f>G95+'26'!H95</f>
        <v>-90</v>
      </c>
      <c r="I95" s="556"/>
      <c r="J95" s="629">
        <f>H95/DAY(B2)</f>
        <v>-3.3333333333333335</v>
      </c>
      <c r="K95" s="411"/>
      <c r="L95" s="408"/>
      <c r="N95" s="413"/>
    </row>
    <row r="96" spans="1:15" ht="27.75">
      <c r="A96" s="1229" t="s">
        <v>210</v>
      </c>
      <c r="B96" s="1230"/>
      <c r="C96" s="1230"/>
      <c r="D96" s="599" t="s">
        <v>144</v>
      </c>
      <c r="E96" s="560">
        <f>'26'!F96</f>
        <v>101276</v>
      </c>
      <c r="F96" s="554">
        <v>101292</v>
      </c>
      <c r="G96" s="549">
        <f t="shared" si="10"/>
        <v>16</v>
      </c>
      <c r="H96" s="536">
        <f>G96+'26'!H96</f>
        <v>-40</v>
      </c>
      <c r="I96" s="556"/>
      <c r="J96" s="629">
        <f>H96/DAY(B2)</f>
        <v>-1.4814814814814814</v>
      </c>
      <c r="K96" s="466"/>
      <c r="L96" s="408"/>
      <c r="N96" s="413"/>
    </row>
    <row r="97" spans="1:14" ht="27.75">
      <c r="A97" s="1229" t="s">
        <v>211</v>
      </c>
      <c r="B97" s="1230"/>
      <c r="C97" s="1230"/>
      <c r="D97" s="599" t="s">
        <v>144</v>
      </c>
      <c r="E97" s="560">
        <f>'26'!F97</f>
        <v>96388</v>
      </c>
      <c r="F97" s="554">
        <v>96419</v>
      </c>
      <c r="G97" s="549">
        <f t="shared" si="10"/>
        <v>31</v>
      </c>
      <c r="H97" s="536">
        <f>G97+'26'!H97</f>
        <v>-30</v>
      </c>
      <c r="I97" s="556"/>
      <c r="J97" s="629">
        <f>H97/DAY(B2)</f>
        <v>-1.1111111111111112</v>
      </c>
      <c r="K97" s="471"/>
      <c r="L97" s="408"/>
      <c r="N97" s="888"/>
    </row>
    <row r="98" spans="1:14" ht="27.75">
      <c r="A98" s="1229" t="s">
        <v>212</v>
      </c>
      <c r="B98" s="1230"/>
      <c r="C98" s="1230"/>
      <c r="D98" s="599" t="s">
        <v>144</v>
      </c>
      <c r="E98" s="560">
        <f>'26'!F98</f>
        <v>147477</v>
      </c>
      <c r="F98" s="554">
        <v>147539</v>
      </c>
      <c r="G98" s="549">
        <f t="shared" si="10"/>
        <v>62</v>
      </c>
      <c r="H98" s="536">
        <f>G98+'26'!H98</f>
        <v>-69</v>
      </c>
      <c r="I98" s="556"/>
      <c r="J98" s="629">
        <f>H98/DAY(B2)</f>
        <v>-2.5555555555555554</v>
      </c>
      <c r="K98" s="411"/>
      <c r="L98" s="408"/>
      <c r="N98" s="1114"/>
    </row>
    <row r="99" spans="1:14" ht="27.75">
      <c r="A99" s="1229" t="s">
        <v>213</v>
      </c>
      <c r="B99" s="1230"/>
      <c r="C99" s="1230"/>
      <c r="D99" s="599" t="s">
        <v>144</v>
      </c>
      <c r="E99" s="560">
        <f>'26'!F99</f>
        <v>6362</v>
      </c>
      <c r="F99" s="554">
        <v>6381</v>
      </c>
      <c r="G99" s="549">
        <f t="shared" si="10"/>
        <v>19</v>
      </c>
      <c r="H99" s="536">
        <f>G99+'26'!H99</f>
        <v>-27</v>
      </c>
      <c r="I99" s="556"/>
      <c r="J99" s="629">
        <f>H99/DAY(B2)</f>
        <v>-1</v>
      </c>
      <c r="K99" s="411"/>
      <c r="L99" s="408"/>
      <c r="N99" s="888"/>
    </row>
    <row r="100" spans="1:14" ht="27.75">
      <c r="A100" s="1229" t="s">
        <v>214</v>
      </c>
      <c r="B100" s="1230"/>
      <c r="C100" s="1230"/>
      <c r="D100" s="599" t="s">
        <v>144</v>
      </c>
      <c r="E100" s="560">
        <f>'26'!F100</f>
        <v>4477</v>
      </c>
      <c r="F100" s="554">
        <v>4511</v>
      </c>
      <c r="G100" s="549">
        <f t="shared" si="10"/>
        <v>34</v>
      </c>
      <c r="H100" s="536">
        <f>G100+'26'!H100</f>
        <v>-32</v>
      </c>
      <c r="I100" s="556"/>
      <c r="J100" s="629">
        <f>H100/DAY(B2)</f>
        <v>-1.1851851851851851</v>
      </c>
      <c r="K100" s="411"/>
      <c r="L100" s="408"/>
      <c r="N100" s="888"/>
    </row>
    <row r="101" spans="1:14">
      <c r="A101" s="1427" t="s">
        <v>216</v>
      </c>
      <c r="B101" s="1428"/>
      <c r="C101" s="1429"/>
      <c r="D101" s="600"/>
      <c r="E101" s="600"/>
      <c r="F101" s="600"/>
      <c r="G101" s="601">
        <f>SUM(G95:G100)</f>
        <v>247</v>
      </c>
      <c r="H101" s="536">
        <f>G101+'26'!H101</f>
        <v>-288</v>
      </c>
      <c r="I101" s="602"/>
      <c r="J101" s="629">
        <f>H101/DAY(B2)</f>
        <v>-10.666666666666666</v>
      </c>
      <c r="K101" s="411"/>
      <c r="L101" s="408"/>
      <c r="N101" s="888"/>
    </row>
    <row r="102" spans="1:14" s="481" customFormat="1" ht="27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36" t="s">
        <v>218</v>
      </c>
      <c r="B103" s="1437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38" t="s">
        <v>219</v>
      </c>
      <c r="B104" s="1439"/>
      <c r="C104" s="1228"/>
      <c r="D104" s="699" t="s">
        <v>144</v>
      </c>
      <c r="E104" s="608">
        <f>'26'!F104</f>
        <v>7128</v>
      </c>
      <c r="F104" s="739">
        <v>7128</v>
      </c>
      <c r="G104" s="608">
        <f>F104-E104</f>
        <v>0</v>
      </c>
      <c r="H104" s="609">
        <f>SUM(G104+'1'!G76)</f>
        <v>79.150000000000091</v>
      </c>
      <c r="I104" s="608"/>
      <c r="J104" s="635">
        <f>H104/DAY(B2)</f>
        <v>2.9314814814814847</v>
      </c>
      <c r="N104" s="413"/>
    </row>
    <row r="105" spans="1:14" s="481" customFormat="1" ht="27.75">
      <c r="A105" s="1438" t="s">
        <v>77</v>
      </c>
      <c r="B105" s="1439"/>
      <c r="C105" s="1228"/>
      <c r="D105" s="699" t="s">
        <v>144</v>
      </c>
      <c r="E105" s="608">
        <f>'26'!F105</f>
        <v>35390</v>
      </c>
      <c r="F105" s="886">
        <v>35398</v>
      </c>
      <c r="G105" s="608">
        <f t="shared" ref="G105:G106" si="11">F105-E105</f>
        <v>8</v>
      </c>
      <c r="H105" s="609">
        <f>SUM(G105+'1'!G77)</f>
        <v>53</v>
      </c>
      <c r="I105" s="608"/>
      <c r="J105" s="635">
        <f>H105/DAY(B2)</f>
        <v>1.962962962962963</v>
      </c>
      <c r="N105" s="413"/>
    </row>
    <row r="106" spans="1:14" s="481" customFormat="1" ht="27.75">
      <c r="A106" s="1438" t="s">
        <v>78</v>
      </c>
      <c r="B106" s="1440"/>
      <c r="C106" s="1439"/>
      <c r="D106" s="699" t="s">
        <v>144</v>
      </c>
      <c r="E106" s="608">
        <f>'26'!F106</f>
        <v>19235</v>
      </c>
      <c r="F106" s="740">
        <v>19241</v>
      </c>
      <c r="G106" s="608">
        <f t="shared" si="11"/>
        <v>6</v>
      </c>
      <c r="H106" s="609">
        <f>SUM(G106+'1'!G78)</f>
        <v>396</v>
      </c>
      <c r="I106" s="608"/>
      <c r="J106" s="635">
        <f>H106/DAY(B2)</f>
        <v>14.666666666666666</v>
      </c>
      <c r="N106" s="413"/>
    </row>
    <row r="107" spans="1:14" s="481" customFormat="1" ht="27.75">
      <c r="A107" s="1441" t="s">
        <v>202</v>
      </c>
      <c r="B107" s="1442"/>
      <c r="C107" s="1228"/>
      <c r="D107" s="699"/>
      <c r="E107" s="608">
        <f>'26'!F107</f>
        <v>0</v>
      </c>
      <c r="F107" s="740"/>
      <c r="G107" s="608">
        <f>SUM(G104:G106)</f>
        <v>14</v>
      </c>
      <c r="H107" s="609">
        <f>SUM(G107+'1'!G79)</f>
        <v>206</v>
      </c>
      <c r="I107" s="608"/>
      <c r="J107" s="635">
        <f>H107/DAY(B2)</f>
        <v>7.6296296296296298</v>
      </c>
      <c r="N107" s="413"/>
    </row>
    <row r="108" spans="1:14" s="481" customFormat="1" ht="27.75">
      <c r="A108" s="1443" t="s">
        <v>79</v>
      </c>
      <c r="B108" s="1444"/>
      <c r="C108" s="1228"/>
      <c r="D108" s="699" t="s">
        <v>144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438" t="s">
        <v>220</v>
      </c>
      <c r="B109" s="1439"/>
      <c r="C109" s="1228"/>
      <c r="D109" s="699" t="s">
        <v>144</v>
      </c>
      <c r="E109" s="608">
        <f>'26'!F109</f>
        <v>56210</v>
      </c>
      <c r="F109" s="886">
        <v>56292</v>
      </c>
      <c r="G109" s="608">
        <f>F109-E109</f>
        <v>82</v>
      </c>
      <c r="H109" s="609">
        <f>SUM(G109+'1'!G81)</f>
        <v>194.56000000005588</v>
      </c>
      <c r="I109" s="608"/>
      <c r="J109" s="635">
        <f>H109/DAY(B2)</f>
        <v>7.2059259259279953</v>
      </c>
      <c r="N109" s="413"/>
    </row>
    <row r="110" spans="1:14" s="481" customFormat="1" ht="27.75">
      <c r="A110" s="1438" t="s">
        <v>221</v>
      </c>
      <c r="B110" s="1439"/>
      <c r="C110" s="1228"/>
      <c r="D110" s="699" t="s">
        <v>144</v>
      </c>
      <c r="E110" s="608">
        <f>'26'!F110</f>
        <v>30383</v>
      </c>
      <c r="F110" s="886">
        <v>30478</v>
      </c>
      <c r="G110" s="608">
        <f t="shared" ref="G110:G111" si="12">F110-E110</f>
        <v>95</v>
      </c>
      <c r="H110" s="609">
        <f>SUM(G110+'1'!G82)</f>
        <v>113.16999999999825</v>
      </c>
      <c r="I110" s="608"/>
      <c r="J110" s="635">
        <f>H110/DAY(B2)</f>
        <v>4.191481481481417</v>
      </c>
      <c r="N110" s="413"/>
    </row>
    <row r="111" spans="1:14" s="481" customFormat="1" ht="27.75">
      <c r="A111" s="1438" t="s">
        <v>222</v>
      </c>
      <c r="B111" s="1439"/>
      <c r="C111" s="1228"/>
      <c r="D111" s="699" t="s">
        <v>144</v>
      </c>
      <c r="E111" s="608">
        <f>'26'!F111</f>
        <v>3973</v>
      </c>
      <c r="F111" s="740">
        <v>3980</v>
      </c>
      <c r="G111" s="610">
        <f t="shared" si="12"/>
        <v>7</v>
      </c>
      <c r="H111" s="609">
        <f>SUM(G111+'1'!G83)</f>
        <v>527</v>
      </c>
      <c r="I111" s="608"/>
      <c r="J111" s="635">
        <f>H111/DAY(B2)</f>
        <v>19.518518518518519</v>
      </c>
      <c r="N111" s="413"/>
    </row>
    <row r="112" spans="1:14" s="481" customFormat="1" ht="27.75">
      <c r="A112" s="1441" t="s">
        <v>110</v>
      </c>
      <c r="B112" s="1442"/>
      <c r="C112" s="1228"/>
      <c r="D112" s="699"/>
      <c r="E112" s="608">
        <f>'26'!F112</f>
        <v>0</v>
      </c>
      <c r="F112" s="740"/>
      <c r="G112" s="608">
        <f>SUM(G109:G111)</f>
        <v>184</v>
      </c>
      <c r="H112" s="609">
        <f>SUM(G112+'1'!G84)</f>
        <v>874</v>
      </c>
      <c r="I112" s="608"/>
      <c r="J112" s="635">
        <f>H112/DAY(B2)</f>
        <v>32.370370370370374</v>
      </c>
      <c r="N112" s="413"/>
    </row>
    <row r="113" spans="1:14" s="481" customFormat="1" ht="27.75">
      <c r="A113" s="1443" t="s">
        <v>223</v>
      </c>
      <c r="B113" s="1444"/>
      <c r="C113" s="1228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438" t="s">
        <v>224</v>
      </c>
      <c r="B114" s="1439"/>
      <c r="C114" s="651"/>
      <c r="D114" s="699" t="s">
        <v>144</v>
      </c>
      <c r="E114" s="608">
        <f>'26'!F114</f>
        <v>10268</v>
      </c>
      <c r="F114" s="740">
        <v>10290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0.81481481481481477</v>
      </c>
      <c r="N114" s="413"/>
    </row>
    <row r="115" spans="1:14" s="481" customFormat="1" ht="27.75">
      <c r="A115" s="1438" t="s">
        <v>225</v>
      </c>
      <c r="B115" s="1439"/>
      <c r="C115" s="651"/>
      <c r="D115" s="699" t="s">
        <v>144</v>
      </c>
      <c r="E115" s="608">
        <f>'26'!F115</f>
        <v>7619</v>
      </c>
      <c r="F115" s="740">
        <v>7644</v>
      </c>
      <c r="G115" s="610">
        <f t="shared" ref="G115:G116" si="13">F115-E115</f>
        <v>25</v>
      </c>
      <c r="H115" s="609">
        <f>SUM(G115+'1'!G92)</f>
        <v>147</v>
      </c>
      <c r="I115" s="608"/>
      <c r="J115" s="635">
        <f>H115/DAY(B2)</f>
        <v>5.4444444444444446</v>
      </c>
      <c r="N115" s="413"/>
    </row>
    <row r="116" spans="1:14" s="481" customFormat="1" ht="27.75">
      <c r="A116" s="1438" t="s">
        <v>226</v>
      </c>
      <c r="B116" s="1439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144</v>
      </c>
      <c r="I116" s="608"/>
      <c r="J116" s="635">
        <f>H116/DAY(B2)</f>
        <v>5.333333333333333</v>
      </c>
      <c r="N116" s="413"/>
    </row>
    <row r="117" spans="1:14" s="494" customFormat="1" ht="27.75">
      <c r="A117" s="1441" t="s">
        <v>202</v>
      </c>
      <c r="B117" s="1442"/>
      <c r="C117" s="651"/>
      <c r="D117" s="700"/>
      <c r="E117" s="610"/>
      <c r="F117" s="740"/>
      <c r="G117" s="610">
        <f>SUM(G114:G116)</f>
        <v>47</v>
      </c>
      <c r="H117" s="609">
        <f>SUM(G117+'1'!G95)</f>
        <v>123</v>
      </c>
      <c r="I117" s="610"/>
      <c r="J117" s="635">
        <f>H117/DAY(B2)</f>
        <v>4.5555555555555554</v>
      </c>
      <c r="N117" s="413"/>
    </row>
    <row r="118" spans="1:14" s="495" customFormat="1" ht="27.75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200</v>
      </c>
      <c r="G118" s="612">
        <f>SUM(G19+G92)</f>
        <v>200</v>
      </c>
      <c r="H118" s="609">
        <f>SUM(G118+'1'!G96)</f>
        <v>213</v>
      </c>
      <c r="I118" s="611"/>
      <c r="J118" s="636">
        <f>H118/DAY(B2)</f>
        <v>7.8888888888888893</v>
      </c>
      <c r="N118" s="413"/>
    </row>
    <row r="119" spans="1:14" s="495" customFormat="1" ht="27.75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185</v>
      </c>
      <c r="G119" s="612">
        <f>SUM(G95,G96,G97,G99,G100)</f>
        <v>185</v>
      </c>
      <c r="H119" s="609">
        <f>SUM(G119+'1'!G98)</f>
        <v>255</v>
      </c>
      <c r="I119" s="611"/>
      <c r="J119" s="636">
        <f>H119/DAY(B2)</f>
        <v>9.4444444444444446</v>
      </c>
      <c r="N119" s="413"/>
    </row>
    <row r="120" spans="1:14" s="495" customFormat="1" ht="27.75">
      <c r="A120" s="1472" t="s">
        <v>229</v>
      </c>
      <c r="B120" s="1473"/>
      <c r="C120" s="1226"/>
      <c r="D120" s="701" t="s">
        <v>144</v>
      </c>
      <c r="E120" s="610"/>
      <c r="F120" s="740">
        <f>SUM(G112)</f>
        <v>184</v>
      </c>
      <c r="G120" s="610">
        <f>SUM(G112)</f>
        <v>184</v>
      </c>
      <c r="H120" s="609">
        <f>SUM(G120+'1'!G100)</f>
        <v>198</v>
      </c>
      <c r="I120" s="611"/>
      <c r="J120" s="636">
        <f>H120/DAY(B2)</f>
        <v>7.333333333333333</v>
      </c>
      <c r="N120" s="413"/>
    </row>
    <row r="121" spans="1:14" s="481" customFormat="1" ht="27.75">
      <c r="A121" s="1474"/>
      <c r="B121" s="1475"/>
      <c r="C121" s="1227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29" t="s">
        <v>231</v>
      </c>
      <c r="B123" s="1230"/>
      <c r="C123" s="1230"/>
      <c r="D123" s="599" t="s">
        <v>141</v>
      </c>
      <c r="E123" s="554">
        <f>'26'!F123</f>
        <v>810481</v>
      </c>
      <c r="F123" s="554">
        <v>810733.098</v>
      </c>
      <c r="G123" s="549">
        <f t="shared" ref="G123:G127" si="14">F123-E123</f>
        <v>252.09799999999814</v>
      </c>
      <c r="H123" s="536">
        <f>G123+'26'!H123</f>
        <v>-273.74199999996927</v>
      </c>
      <c r="I123" s="602">
        <f>G123/5</f>
        <v>50.419599999999626</v>
      </c>
      <c r="J123" s="629">
        <f>H123/DAY(B2)</f>
        <v>-10.138592592591454</v>
      </c>
      <c r="K123" s="411"/>
      <c r="L123" s="408"/>
      <c r="N123" s="413"/>
    </row>
    <row r="124" spans="1:14" ht="27.75">
      <c r="A124" s="1229" t="s">
        <v>232</v>
      </c>
      <c r="B124" s="1230"/>
      <c r="C124" s="1230"/>
      <c r="D124" s="599" t="s">
        <v>141</v>
      </c>
      <c r="E124" s="554">
        <f>'26'!F124</f>
        <v>73583</v>
      </c>
      <c r="F124" s="703">
        <v>73583.399999999994</v>
      </c>
      <c r="G124" s="549">
        <f t="shared" si="14"/>
        <v>0.39999999999417923</v>
      </c>
      <c r="H124" s="536">
        <f>G124+'26'!H124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430" t="s">
        <v>233</v>
      </c>
      <c r="B125" s="1431"/>
      <c r="C125" s="1432"/>
      <c r="D125" s="599" t="s">
        <v>141</v>
      </c>
      <c r="E125" s="554">
        <f>'26'!F125</f>
        <v>139833</v>
      </c>
      <c r="F125" s="561">
        <v>139911.53</v>
      </c>
      <c r="G125" s="549">
        <f t="shared" si="14"/>
        <v>78.529999999998836</v>
      </c>
      <c r="H125" s="536">
        <f>G125+'26'!H125</f>
        <v>-67.809999999997672</v>
      </c>
      <c r="I125" s="602"/>
      <c r="J125" s="629">
        <f>H125/DAY(B2)</f>
        <v>-2.5114814814813951</v>
      </c>
      <c r="K125" s="411"/>
      <c r="L125" s="408"/>
      <c r="N125" s="413"/>
    </row>
    <row r="126" spans="1:14" ht="27.75">
      <c r="A126" s="686" t="s">
        <v>234</v>
      </c>
      <c r="B126" s="1230"/>
      <c r="C126" s="1230"/>
      <c r="D126" s="599" t="s">
        <v>141</v>
      </c>
      <c r="E126" s="554">
        <f>'26'!F126</f>
        <v>59240</v>
      </c>
      <c r="F126" s="703">
        <v>59265.5</v>
      </c>
      <c r="G126" s="549">
        <f t="shared" si="14"/>
        <v>25.5</v>
      </c>
      <c r="H126" s="536">
        <f>G126+'26'!H126</f>
        <v>-41.400000000001455</v>
      </c>
      <c r="I126" s="602"/>
      <c r="J126" s="629">
        <f>H126/DAY(B2)</f>
        <v>-1.5333333333333872</v>
      </c>
      <c r="K126" s="411"/>
      <c r="L126" s="408"/>
      <c r="N126" s="413"/>
    </row>
    <row r="127" spans="1:14" ht="27.75">
      <c r="A127" s="686" t="s">
        <v>235</v>
      </c>
      <c r="B127" s="1230"/>
      <c r="C127" s="1230"/>
      <c r="D127" s="599" t="s">
        <v>141</v>
      </c>
      <c r="E127" s="554">
        <f>'26'!F127</f>
        <v>8883</v>
      </c>
      <c r="F127" s="703">
        <v>8885.4</v>
      </c>
      <c r="G127" s="549">
        <f t="shared" si="14"/>
        <v>2.3999999999996362</v>
      </c>
      <c r="H127" s="536">
        <f>G127+'26'!H127</f>
        <v>-2.3999999999996362</v>
      </c>
      <c r="I127" s="556"/>
      <c r="J127" s="629">
        <f>H127/DAY(B2)</f>
        <v>-8.8888888888875417E-2</v>
      </c>
      <c r="K127" s="411"/>
      <c r="L127" s="408"/>
      <c r="N127" s="413"/>
    </row>
    <row r="128" spans="1:14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602.67499999989559</v>
      </c>
      <c r="H128" s="536">
        <f>G128+'26'!H128</f>
        <v>6679.1849999997485</v>
      </c>
      <c r="I128" s="556"/>
      <c r="J128" s="629">
        <f>H128/DAY(B2)</f>
        <v>247.37722222221291</v>
      </c>
      <c r="K128" s="391"/>
      <c r="L128" s="293"/>
      <c r="N128" s="413"/>
    </row>
    <row r="129" spans="1:1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29" t="s">
        <v>238</v>
      </c>
      <c r="B130" s="1230"/>
      <c r="C130" s="1230"/>
      <c r="D130" s="599" t="s">
        <v>239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29" t="s">
        <v>240</v>
      </c>
      <c r="B131" s="1230"/>
      <c r="C131" s="1230"/>
      <c r="D131" s="599" t="s">
        <v>239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29" t="s">
        <v>241</v>
      </c>
      <c r="B132" s="1230"/>
      <c r="C132" s="1230"/>
      <c r="D132" s="599" t="s">
        <v>239</v>
      </c>
      <c r="E132" s="560">
        <f>'26'!F132</f>
        <v>38829.480000000003</v>
      </c>
      <c r="F132" s="561">
        <v>38829.480000000003</v>
      </c>
      <c r="G132" s="549">
        <f t="shared" si="15"/>
        <v>0</v>
      </c>
      <c r="H132" s="536">
        <f>G132+'26'!H132</f>
        <v>386.52999999999884</v>
      </c>
      <c r="I132" s="556"/>
      <c r="J132" s="629">
        <f>H132/DAY(B2)</f>
        <v>14.315925925925884</v>
      </c>
      <c r="N132" s="413"/>
    </row>
    <row r="133" spans="1:14" ht="27.75">
      <c r="A133" s="1229" t="s">
        <v>242</v>
      </c>
      <c r="B133" s="1230"/>
      <c r="C133" s="1230"/>
      <c r="D133" s="599" t="s">
        <v>239</v>
      </c>
      <c r="E133" s="560">
        <f>'26'!F133</f>
        <v>299.52</v>
      </c>
      <c r="F133" s="732">
        <v>299.52</v>
      </c>
      <c r="G133" s="549">
        <f t="shared" si="15"/>
        <v>0</v>
      </c>
      <c r="H133" s="536">
        <f>G133+'26'!H133</f>
        <v>-0.48000000000001819</v>
      </c>
      <c r="I133" s="556">
        <f>G130+G131+G132+G133</f>
        <v>0</v>
      </c>
      <c r="J133" s="629">
        <f>H133/DAY(B2)</f>
        <v>-1.7777777777778451E-2</v>
      </c>
      <c r="N133" s="413"/>
    </row>
    <row r="134" spans="1:14" ht="27.75">
      <c r="A134" s="1229" t="s">
        <v>243</v>
      </c>
      <c r="B134" s="1230"/>
      <c r="C134" s="1230"/>
      <c r="D134" s="599" t="s">
        <v>239</v>
      </c>
      <c r="E134" s="560">
        <f>'26'!F134</f>
        <v>40319.120000000003</v>
      </c>
      <c r="F134" s="561">
        <v>40343</v>
      </c>
      <c r="G134" s="549">
        <f t="shared" si="15"/>
        <v>23.879999999997381</v>
      </c>
      <c r="H134" s="536">
        <f>G134+'26'!H134</f>
        <v>106.4800000000032</v>
      </c>
      <c r="I134" s="556"/>
      <c r="J134" s="629">
        <f>H134/DAY(B2)</f>
        <v>3.9437037037038221</v>
      </c>
      <c r="N134" s="413"/>
    </row>
    <row r="135" spans="1:14" ht="27.75">
      <c r="A135" s="1229" t="s">
        <v>244</v>
      </c>
      <c r="B135" s="1230"/>
      <c r="C135" s="1230"/>
      <c r="D135" s="599" t="s">
        <v>239</v>
      </c>
      <c r="E135" s="560">
        <f>'26'!F135</f>
        <v>32571</v>
      </c>
      <c r="F135" s="561">
        <v>32571</v>
      </c>
      <c r="G135" s="549">
        <f t="shared" si="15"/>
        <v>0</v>
      </c>
      <c r="H135" s="536">
        <f>G135+'26'!H135</f>
        <v>29.520000000000437</v>
      </c>
      <c r="I135" s="556"/>
      <c r="J135" s="629">
        <f>H135/DAY(B2)</f>
        <v>1.0933333333333495</v>
      </c>
      <c r="N135" s="413"/>
    </row>
    <row r="136" spans="1:14" ht="27.75">
      <c r="A136" s="1229" t="s">
        <v>245</v>
      </c>
      <c r="B136" s="1230"/>
      <c r="C136" s="1230"/>
      <c r="D136" s="599" t="s">
        <v>239</v>
      </c>
      <c r="E136" s="560">
        <f>'26'!F136</f>
        <v>22200.6</v>
      </c>
      <c r="F136" s="561">
        <v>22212.54</v>
      </c>
      <c r="G136" s="549">
        <f t="shared" si="15"/>
        <v>11.940000000002328</v>
      </c>
      <c r="H136" s="536">
        <f>G136+'26'!H136</f>
        <v>-9.6699999999982538</v>
      </c>
      <c r="I136" s="556">
        <f>G134+G135+G136</f>
        <v>35.819999999999709</v>
      </c>
      <c r="J136" s="629">
        <f>H136/DAY(B2)</f>
        <v>-0.35814814814808349</v>
      </c>
      <c r="N136" s="413"/>
    </row>
    <row r="137" spans="1:14" ht="27.75">
      <c r="A137" s="1229" t="s">
        <v>246</v>
      </c>
      <c r="B137" s="1230"/>
      <c r="C137" s="1230"/>
      <c r="D137" s="599" t="s">
        <v>239</v>
      </c>
      <c r="E137" s="560">
        <f>'26'!F137</f>
        <v>25044.31</v>
      </c>
      <c r="F137" s="732">
        <v>25044.31</v>
      </c>
      <c r="G137" s="549">
        <f t="shared" si="15"/>
        <v>0</v>
      </c>
      <c r="H137" s="536">
        <f>G137+'26'!H137</f>
        <v>15.75</v>
      </c>
      <c r="I137" s="556"/>
      <c r="J137" s="629">
        <f>H137/DAY(B2)</f>
        <v>0.58333333333333337</v>
      </c>
      <c r="N137" s="413"/>
    </row>
    <row r="138" spans="1:14" ht="27.75">
      <c r="A138" s="1229" t="s">
        <v>247</v>
      </c>
      <c r="B138" s="1230"/>
      <c r="C138" s="1230"/>
      <c r="D138" s="599" t="s">
        <v>239</v>
      </c>
      <c r="E138" s="560">
        <f>'26'!F138</f>
        <v>70137.81</v>
      </c>
      <c r="F138" s="561">
        <v>70141.899999999994</v>
      </c>
      <c r="G138" s="549">
        <f t="shared" si="15"/>
        <v>4.0899999999965075</v>
      </c>
      <c r="H138" s="536">
        <f>G138+'26'!H138</f>
        <v>26.049999999988358</v>
      </c>
      <c r="I138" s="556">
        <f>G137+G138</f>
        <v>4.0899999999965075</v>
      </c>
      <c r="J138" s="629">
        <f>H138/DAY(B2)</f>
        <v>0.96481481481438369</v>
      </c>
      <c r="N138" s="413"/>
    </row>
    <row r="139" spans="1:14" ht="27.75">
      <c r="A139" s="1229" t="s">
        <v>248</v>
      </c>
      <c r="B139" s="1230"/>
      <c r="C139" s="1230"/>
      <c r="D139" s="599" t="s">
        <v>239</v>
      </c>
      <c r="E139" s="560">
        <f>'26'!F139</f>
        <v>1408</v>
      </c>
      <c r="F139" s="561">
        <v>1415.3</v>
      </c>
      <c r="G139" s="549">
        <f t="shared" si="15"/>
        <v>7.2999999999999545</v>
      </c>
      <c r="H139" s="536">
        <f>G139+'26'!H139</f>
        <v>-7.8400000000001455</v>
      </c>
      <c r="I139" s="619"/>
      <c r="J139" s="629">
        <f>H139/DAY(B2)</f>
        <v>-0.29037037037037577</v>
      </c>
      <c r="N139" s="413"/>
    </row>
    <row r="140" spans="1:14" ht="27.75">
      <c r="A140" s="1229" t="s">
        <v>249</v>
      </c>
      <c r="B140" s="1230"/>
      <c r="C140" s="1230"/>
      <c r="D140" s="599" t="s">
        <v>239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-0.47000000000025466</v>
      </c>
      <c r="I140" s="619"/>
      <c r="J140" s="629">
        <f>H140/DAY(B2)</f>
        <v>-1.740740740741684E-2</v>
      </c>
      <c r="N140" s="413"/>
    </row>
    <row r="141" spans="1:14">
      <c r="A141" s="1468" t="s">
        <v>250</v>
      </c>
      <c r="B141" s="1469"/>
      <c r="C141" s="1235"/>
      <c r="D141" s="548"/>
      <c r="E141" s="548"/>
      <c r="F141" s="548" t="s">
        <v>215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5400.0399999999627</v>
      </c>
      <c r="H142" s="536">
        <f>G142+'26'!H142</f>
        <v>-7405.2799999999279</v>
      </c>
      <c r="I142" s="556"/>
      <c r="J142" s="629">
        <f>H142/DAY(B2)</f>
        <v>-274.26962962962693</v>
      </c>
      <c r="K142" s="411"/>
      <c r="L142" s="408"/>
      <c r="N142" s="413"/>
    </row>
    <row r="143" spans="1:14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0.26212513955633038</v>
      </c>
      <c r="H143" s="536">
        <f>G143+'26'!H143</f>
        <v>6.8521457436194773</v>
      </c>
      <c r="I143" s="621"/>
      <c r="J143" s="629">
        <f>H143/DAY(B2)</f>
        <v>0.25378317568961029</v>
      </c>
      <c r="K143" s="411"/>
      <c r="L143" s="408"/>
      <c r="N143" s="413"/>
    </row>
    <row r="144" spans="1:14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5238.6600000000471</v>
      </c>
      <c r="H144" s="536">
        <f>G144+'26'!H144</f>
        <v>-5659.279999999977</v>
      </c>
      <c r="I144" s="556"/>
      <c r="J144" s="629">
        <f>H144/DAY(B2)</f>
        <v>-209.60296296296212</v>
      </c>
      <c r="K144" s="411"/>
      <c r="L144" s="408"/>
      <c r="N144" s="413"/>
    </row>
    <row r="145" spans="1:14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0.25429153924567</v>
      </c>
      <c r="H145" s="536">
        <f>G145+'26'!H145</f>
        <v>6.4587048306834394</v>
      </c>
      <c r="I145" s="621"/>
      <c r="J145" s="629">
        <f>H145/DAY(B2)</f>
        <v>0.23921129002531258</v>
      </c>
      <c r="K145" s="411"/>
      <c r="L145" s="408"/>
      <c r="N145" s="413"/>
    </row>
    <row r="146" spans="1:14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4174.9600000000064</v>
      </c>
      <c r="H146" s="536">
        <f>G146+'26'!H146</f>
        <v>95697.340000000011</v>
      </c>
      <c r="I146" s="622"/>
      <c r="J146" s="629">
        <f>H146/DAY(B2)</f>
        <v>3544.3459259259262</v>
      </c>
      <c r="K146" s="411"/>
      <c r="L146" s="408"/>
      <c r="N146" s="413"/>
    </row>
    <row r="147" spans="1:14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0.20265812339206865</v>
      </c>
      <c r="H147" s="536">
        <f>G147+'26'!H147</f>
        <v>10.348025891573396</v>
      </c>
      <c r="I147" s="622"/>
      <c r="J147" s="629">
        <f>H147/DAY(B2)</f>
        <v>0.38326021820642209</v>
      </c>
      <c r="N147" s="413"/>
    </row>
    <row r="148" spans="1:14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2224.4650000000183</v>
      </c>
      <c r="H148" s="536">
        <f>G148+'26'!H148</f>
        <v>-2272.7350000000006</v>
      </c>
      <c r="I148" s="556"/>
      <c r="J148" s="629">
        <f>H148/DAY(B2)</f>
        <v>-84.175370370370388</v>
      </c>
      <c r="K148" s="412"/>
      <c r="N148" s="413"/>
    </row>
    <row r="149" spans="1:14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0.10797849618950625</v>
      </c>
      <c r="H149" s="536">
        <f>G149+'26'!H149</f>
        <v>2.6756132287607439</v>
      </c>
      <c r="I149" s="622"/>
      <c r="J149" s="629">
        <f>H149/DAY(B2)</f>
        <v>9.9096786250397917E-2</v>
      </c>
      <c r="N149" s="413"/>
    </row>
    <row r="150" spans="1:14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1534.6000000000349</v>
      </c>
      <c r="H150" s="536">
        <f>G150+'26'!H150</f>
        <v>-1705</v>
      </c>
      <c r="I150" s="622"/>
      <c r="J150" s="629">
        <f>H150/DAY(B2)</f>
        <v>-63.148148148148145</v>
      </c>
      <c r="N150" s="413"/>
    </row>
    <row r="151" spans="1:14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7.449152953740279E-2</v>
      </c>
      <c r="H151" s="536">
        <f>G151+'26'!H151</f>
        <v>2.5235334476380133</v>
      </c>
      <c r="I151" s="556"/>
      <c r="J151" s="629">
        <f>H151/DAY(B2)</f>
        <v>9.3464201764370869E-2</v>
      </c>
      <c r="N151" s="413"/>
    </row>
    <row r="152" spans="1:14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1489.989999999998</v>
      </c>
      <c r="H152" s="536">
        <f>G152+'26'!H152</f>
        <v>33681.15</v>
      </c>
      <c r="I152" s="556"/>
      <c r="J152" s="629">
        <f>H152/DAY(B2)</f>
        <v>1247.45</v>
      </c>
      <c r="N152" s="413"/>
    </row>
    <row r="153" spans="1:14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7.2326100674724433E-2</v>
      </c>
      <c r="H153" s="536">
        <f>G153+'26'!H153</f>
        <v>3.6453099037509702</v>
      </c>
      <c r="I153" s="645"/>
      <c r="J153" s="646">
        <f>H153/DAY(B2)</f>
        <v>0.13501147791670259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67" t="s">
        <v>263</v>
      </c>
      <c r="B160" s="868"/>
      <c r="C160" s="868"/>
      <c r="D160" s="587" t="s">
        <v>187</v>
      </c>
      <c r="E160" s="618">
        <f>'26'!F160</f>
        <v>30625</v>
      </c>
      <c r="F160" s="739">
        <v>30709.599999999999</v>
      </c>
      <c r="G160" s="549">
        <f t="shared" ref="G160:G163" si="16">F160-E160</f>
        <v>84.599999999998545</v>
      </c>
    </row>
    <row r="161" spans="1:7">
      <c r="A161" s="867" t="s">
        <v>264</v>
      </c>
      <c r="B161" s="868"/>
      <c r="C161" s="868"/>
      <c r="D161" s="587" t="s">
        <v>187</v>
      </c>
      <c r="E161" s="618">
        <f>'26'!F161</f>
        <v>54238.47</v>
      </c>
      <c r="F161" s="739">
        <v>54674.61</v>
      </c>
      <c r="G161" s="549">
        <f t="shared" si="16"/>
        <v>436.13999999999942</v>
      </c>
    </row>
    <row r="162" spans="1:7">
      <c r="A162" s="867" t="s">
        <v>265</v>
      </c>
      <c r="B162" s="868"/>
      <c r="C162" s="868"/>
      <c r="D162" s="587" t="s">
        <v>187</v>
      </c>
      <c r="E162" s="618">
        <f>'26'!F162</f>
        <v>20018</v>
      </c>
      <c r="F162" s="739">
        <v>20285.330000000002</v>
      </c>
      <c r="G162" s="549">
        <f t="shared" si="16"/>
        <v>267.33000000000175</v>
      </c>
    </row>
    <row r="163" spans="1:7">
      <c r="A163" s="867" t="s">
        <v>266</v>
      </c>
      <c r="B163" s="868"/>
      <c r="C163" s="868"/>
      <c r="D163" s="587" t="s">
        <v>187</v>
      </c>
      <c r="E163" s="618">
        <f>'26'!F163</f>
        <v>5371.89</v>
      </c>
      <c r="F163" s="739">
        <v>5399.6</v>
      </c>
      <c r="G163" s="549">
        <f t="shared" si="16"/>
        <v>27.710000000000036</v>
      </c>
    </row>
    <row r="164" spans="1:7">
      <c r="A164" s="869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69" t="s">
        <v>188</v>
      </c>
      <c r="B165" s="681"/>
      <c r="C165" s="681"/>
      <c r="D165" s="587" t="s">
        <v>187</v>
      </c>
      <c r="E165" s="590">
        <f t="shared" ref="E165:E171" si="18">E63</f>
        <v>1678</v>
      </c>
      <c r="F165" s="590">
        <f t="shared" ref="F165:F171" si="19">F63</f>
        <v>1692.01</v>
      </c>
      <c r="G165" s="549">
        <f t="shared" si="17"/>
        <v>14.009999999999991</v>
      </c>
    </row>
    <row r="166" spans="1:7" ht="27.75">
      <c r="A166" s="1482" t="s">
        <v>99</v>
      </c>
      <c r="B166" s="1482"/>
      <c r="C166" s="1482"/>
      <c r="D166" s="599" t="s">
        <v>187</v>
      </c>
      <c r="E166" s="590">
        <f t="shared" si="18"/>
        <v>122649</v>
      </c>
      <c r="F166" s="590">
        <f t="shared" si="19"/>
        <v>123136.85</v>
      </c>
      <c r="G166" s="549">
        <f t="shared" si="17"/>
        <v>487.85000000000582</v>
      </c>
    </row>
    <row r="167" spans="1:7" ht="27.75">
      <c r="A167" s="1482" t="s">
        <v>100</v>
      </c>
      <c r="B167" s="1482"/>
      <c r="C167" s="1482"/>
      <c r="D167" s="599" t="s">
        <v>187</v>
      </c>
      <c r="E167" s="590">
        <f t="shared" si="18"/>
        <v>131788</v>
      </c>
      <c r="F167" s="590">
        <f t="shared" si="19"/>
        <v>132180.92000000001</v>
      </c>
      <c r="G167" s="549">
        <f t="shared" si="17"/>
        <v>392.92000000001281</v>
      </c>
    </row>
    <row r="168" spans="1:7" ht="27.75">
      <c r="A168" s="1482" t="s">
        <v>101</v>
      </c>
      <c r="B168" s="1482"/>
      <c r="C168" s="1482"/>
      <c r="D168" s="599" t="s">
        <v>187</v>
      </c>
      <c r="E168" s="590">
        <f t="shared" si="18"/>
        <v>24369</v>
      </c>
      <c r="F168" s="590">
        <f t="shared" si="19"/>
        <v>24755.439999999999</v>
      </c>
      <c r="G168" s="549">
        <f t="shared" si="17"/>
        <v>386.43999999999869</v>
      </c>
    </row>
    <row r="169" spans="1:7" ht="27.75">
      <c r="A169" s="1482" t="s">
        <v>102</v>
      </c>
      <c r="B169" s="1482"/>
      <c r="C169" s="1482"/>
      <c r="D169" s="599" t="s">
        <v>187</v>
      </c>
      <c r="E169" s="590">
        <f t="shared" si="18"/>
        <v>206487</v>
      </c>
      <c r="F169" s="590">
        <f t="shared" si="19"/>
        <v>207148.43</v>
      </c>
      <c r="G169" s="549">
        <f t="shared" si="17"/>
        <v>661.42999999999302</v>
      </c>
    </row>
    <row r="170" spans="1:7" ht="27.75">
      <c r="A170" s="1482" t="s">
        <v>103</v>
      </c>
      <c r="B170" s="1482"/>
      <c r="C170" s="1482"/>
      <c r="D170" s="599" t="s">
        <v>187</v>
      </c>
      <c r="E170" s="590">
        <f t="shared" si="18"/>
        <v>71975</v>
      </c>
      <c r="F170" s="590">
        <f t="shared" si="19"/>
        <v>72307.600000000006</v>
      </c>
      <c r="G170" s="549">
        <f t="shared" si="17"/>
        <v>332.60000000000582</v>
      </c>
    </row>
    <row r="171" spans="1:7" ht="27.75">
      <c r="A171" s="1482" t="s">
        <v>104</v>
      </c>
      <c r="B171" s="1482"/>
      <c r="C171" s="1482"/>
      <c r="D171" s="599" t="s">
        <v>187</v>
      </c>
      <c r="E171" s="590">
        <f t="shared" si="18"/>
        <v>63792</v>
      </c>
      <c r="F171" s="590">
        <f t="shared" si="19"/>
        <v>64110.66</v>
      </c>
      <c r="G171" s="549">
        <f t="shared" si="17"/>
        <v>318.66000000000349</v>
      </c>
    </row>
    <row r="172" spans="1:7">
      <c r="G172" s="616">
        <f>SUM(G160:G171)</f>
        <v>3409.6900000000196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H11" sqref="H11:H12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188" customWidth="1"/>
    <col min="15" max="17" width="22.33203125" style="852"/>
    <col min="18" max="16384" width="22.33203125" style="407"/>
  </cols>
  <sheetData>
    <row r="1" spans="1:17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7" s="281" customFormat="1" ht="27">
      <c r="A2" s="652" t="s">
        <v>338</v>
      </c>
      <c r="B2" s="890">
        <v>43889</v>
      </c>
      <c r="C2" s="1231" t="s">
        <v>69</v>
      </c>
      <c r="D2" s="688">
        <v>0.52</v>
      </c>
      <c r="E2" s="818"/>
      <c r="F2" s="818"/>
      <c r="G2" s="537" t="s">
        <v>118</v>
      </c>
      <c r="H2" s="537" t="s">
        <v>6</v>
      </c>
      <c r="I2" s="537" t="s">
        <v>8</v>
      </c>
      <c r="J2" s="690" t="s">
        <v>119</v>
      </c>
      <c r="N2" s="1188"/>
      <c r="O2" s="852"/>
      <c r="P2" s="852"/>
      <c r="Q2" s="852"/>
    </row>
    <row r="3" spans="1:17" s="281" customFormat="1" ht="27">
      <c r="A3" s="647"/>
      <c r="B3" s="691"/>
      <c r="C3" s="1231" t="s">
        <v>120</v>
      </c>
      <c r="D3" s="689">
        <v>23</v>
      </c>
      <c r="E3" s="1454" t="s">
        <v>121</v>
      </c>
      <c r="F3" s="1455"/>
      <c r="G3" s="538"/>
      <c r="H3" s="539"/>
      <c r="I3" s="539"/>
      <c r="J3" s="692"/>
      <c r="K3" s="402"/>
      <c r="L3" s="293"/>
      <c r="N3" s="1188"/>
      <c r="O3" s="852"/>
      <c r="P3" s="852"/>
      <c r="Q3" s="852"/>
    </row>
    <row r="4" spans="1:17" s="281" customFormat="1" ht="27">
      <c r="A4" s="653"/>
      <c r="B4" s="693"/>
      <c r="C4" s="1231" t="s">
        <v>122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188"/>
      <c r="O4" s="852"/>
      <c r="P4" s="854"/>
      <c r="Q4" s="852"/>
    </row>
    <row r="5" spans="1:17">
      <c r="A5" s="654" t="s">
        <v>123</v>
      </c>
      <c r="B5" s="535"/>
      <c r="C5" s="535"/>
      <c r="D5" s="587" t="s">
        <v>124</v>
      </c>
      <c r="E5" s="590" t="s">
        <v>125</v>
      </c>
      <c r="F5" s="590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P5" s="854"/>
    </row>
    <row r="6" spans="1:17">
      <c r="A6" s="1448" t="s">
        <v>130</v>
      </c>
      <c r="B6" s="1449"/>
      <c r="C6" s="1450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131</v>
      </c>
      <c r="B7" s="758"/>
      <c r="C7" s="758"/>
      <c r="D7" s="715" t="s">
        <v>132</v>
      </c>
      <c r="E7" s="760">
        <f>'27'!F7</f>
        <v>4423259</v>
      </c>
      <c r="F7" s="536">
        <v>4445077</v>
      </c>
      <c r="G7" s="759">
        <f>F7-E7</f>
        <v>21818</v>
      </c>
      <c r="H7" s="760">
        <f>G7+'27'!H7</f>
        <v>0</v>
      </c>
      <c r="I7" s="761">
        <f>'1'!I7</f>
        <v>12000</v>
      </c>
      <c r="J7" s="762">
        <f>H7/DAY(B2)</f>
        <v>0</v>
      </c>
      <c r="K7" s="626"/>
      <c r="L7" s="408"/>
      <c r="N7" s="1189">
        <f>F7-'1'!E7</f>
        <v>0</v>
      </c>
    </row>
    <row r="8" spans="1:17" ht="27.75" thickBot="1">
      <c r="A8" s="763" t="s">
        <v>133</v>
      </c>
      <c r="B8" s="764"/>
      <c r="C8" s="765"/>
      <c r="D8" s="766" t="s">
        <v>25</v>
      </c>
      <c r="E8" s="760">
        <f>'27'!F8</f>
        <v>4451214</v>
      </c>
      <c r="F8" s="819">
        <v>4473156</v>
      </c>
      <c r="G8" s="770">
        <f>F8-E8</f>
        <v>21942</v>
      </c>
      <c r="H8" s="760">
        <f>G8+'27'!H8</f>
        <v>0</v>
      </c>
      <c r="I8" s="767">
        <f>'1'!I8</f>
        <v>12000</v>
      </c>
      <c r="J8" s="762">
        <f>H8/DAY(B2)</f>
        <v>0</v>
      </c>
      <c r="K8" s="626"/>
      <c r="L8" s="464">
        <v>1375467</v>
      </c>
      <c r="M8" s="479">
        <v>1703438</v>
      </c>
      <c r="N8" s="1189">
        <f>F8-'1'!E8</f>
        <v>0</v>
      </c>
    </row>
    <row r="9" spans="1:17">
      <c r="A9" s="768" t="s">
        <v>134</v>
      </c>
      <c r="B9" s="769"/>
      <c r="C9" s="769"/>
      <c r="D9" s="715" t="s">
        <v>132</v>
      </c>
      <c r="E9" s="760">
        <f>'27'!F9</f>
        <v>72462.47</v>
      </c>
      <c r="F9" s="820">
        <v>86909.01</v>
      </c>
      <c r="G9" s="783">
        <f t="shared" ref="G9:G12" si="0">F9-E9</f>
        <v>14446.539999999994</v>
      </c>
      <c r="H9" s="760">
        <f>G9+'27'!H9</f>
        <v>199427</v>
      </c>
      <c r="I9" s="771">
        <f>I8-J8</f>
        <v>12000</v>
      </c>
      <c r="J9" s="762">
        <f>H9/DAY(B2)</f>
        <v>7122.3928571428569</v>
      </c>
      <c r="K9" s="467"/>
      <c r="L9" s="408"/>
      <c r="N9" s="1189">
        <f>F9-'1'!E9</f>
        <v>0</v>
      </c>
    </row>
    <row r="10" spans="1:17">
      <c r="A10" s="757" t="s">
        <v>135</v>
      </c>
      <c r="B10" s="758"/>
      <c r="C10" s="758"/>
      <c r="D10" s="715" t="s">
        <v>132</v>
      </c>
      <c r="E10" s="760">
        <f>'27'!F10</f>
        <v>18982.07</v>
      </c>
      <c r="F10" s="820">
        <v>25695.56</v>
      </c>
      <c r="G10" s="770">
        <f t="shared" si="0"/>
        <v>6713.4900000000016</v>
      </c>
      <c r="H10" s="760">
        <f>G10+'27'!H10</f>
        <v>1390172</v>
      </c>
      <c r="I10" s="772"/>
      <c r="J10" s="762">
        <f>H10/DAY(B2)</f>
        <v>49649</v>
      </c>
      <c r="K10" s="467"/>
      <c r="L10" s="408"/>
      <c r="M10" s="407">
        <f>170</f>
        <v>170</v>
      </c>
      <c r="N10" s="1189">
        <f>F10-'1'!E10</f>
        <v>0</v>
      </c>
    </row>
    <row r="11" spans="1:17">
      <c r="A11" s="757" t="s">
        <v>136</v>
      </c>
      <c r="B11" s="758"/>
      <c r="C11" s="758"/>
      <c r="D11" s="715" t="s">
        <v>132</v>
      </c>
      <c r="E11" s="760">
        <f>'27'!F11</f>
        <v>37000</v>
      </c>
      <c r="F11" s="536">
        <v>37000</v>
      </c>
      <c r="G11" s="770">
        <f t="shared" si="0"/>
        <v>0</v>
      </c>
      <c r="H11" s="760">
        <f>G11+'27'!H11</f>
        <v>-2000</v>
      </c>
      <c r="I11" s="772"/>
      <c r="J11" s="762">
        <f>H11/DAY(B2)</f>
        <v>-71.428571428571431</v>
      </c>
      <c r="K11" s="467"/>
      <c r="L11" s="408"/>
      <c r="N11" s="1189">
        <f>F11-'1'!E11</f>
        <v>0</v>
      </c>
    </row>
    <row r="12" spans="1:17">
      <c r="A12" s="757" t="s">
        <v>137</v>
      </c>
      <c r="B12" s="758"/>
      <c r="C12" s="758"/>
      <c r="D12" s="715" t="s">
        <v>132</v>
      </c>
      <c r="E12" s="760">
        <f>'27'!F12</f>
        <v>40010</v>
      </c>
      <c r="F12" s="820">
        <v>40010</v>
      </c>
      <c r="G12" s="770">
        <f t="shared" si="0"/>
        <v>0</v>
      </c>
      <c r="H12" s="760">
        <f>G12+'27'!H12</f>
        <v>-2000</v>
      </c>
      <c r="I12" s="772"/>
      <c r="J12" s="762">
        <f>H12/DAY(B2)</f>
        <v>-71.428571428571431</v>
      </c>
      <c r="K12" s="467"/>
      <c r="L12" s="408"/>
      <c r="N12" s="1189">
        <f>F12-'1'!E12</f>
        <v>0</v>
      </c>
    </row>
    <row r="13" spans="1:17">
      <c r="A13" s="773" t="s">
        <v>138</v>
      </c>
      <c r="B13" s="774"/>
      <c r="C13" s="774"/>
      <c r="D13" s="715"/>
      <c r="E13" s="760"/>
      <c r="F13" s="536"/>
      <c r="G13" s="775">
        <f>G9+G10+G11+G12</f>
        <v>21160.029999999995</v>
      </c>
      <c r="H13" s="760">
        <f>G13+'27'!H13</f>
        <v>1564605</v>
      </c>
      <c r="I13" s="776">
        <f>G7-G13</f>
        <v>657.9700000000048</v>
      </c>
      <c r="J13" s="762">
        <f>H13/DAY(B2)</f>
        <v>55878.75</v>
      </c>
      <c r="K13" s="467"/>
      <c r="L13" s="408"/>
      <c r="N13" s="1189">
        <f>F13-'1'!E13</f>
        <v>0</v>
      </c>
    </row>
    <row r="14" spans="1:17">
      <c r="A14" s="1451" t="s">
        <v>139</v>
      </c>
      <c r="B14" s="1452"/>
      <c r="C14" s="1453"/>
      <c r="D14" s="548"/>
      <c r="E14" s="821"/>
      <c r="F14" s="821"/>
      <c r="G14" s="559"/>
      <c r="H14" s="548"/>
      <c r="I14" s="548"/>
      <c r="J14" s="628"/>
      <c r="K14" s="468"/>
      <c r="L14" s="408"/>
      <c r="N14" s="1189">
        <f>F14-'1'!E14</f>
        <v>0</v>
      </c>
    </row>
    <row r="15" spans="1:17">
      <c r="A15" s="746" t="s">
        <v>140</v>
      </c>
      <c r="B15" s="747"/>
      <c r="C15" s="747"/>
      <c r="D15" s="748" t="s">
        <v>141</v>
      </c>
      <c r="E15" s="839">
        <f>'27'!F15</f>
        <v>1618818.6029999999</v>
      </c>
      <c r="F15" s="822">
        <v>1619878.61</v>
      </c>
      <c r="G15" s="745">
        <f>(F15-E15)</f>
        <v>1060.0070000002161</v>
      </c>
      <c r="H15" s="1174">
        <f>G15+'27'!H15</f>
        <v>0</v>
      </c>
      <c r="I15" s="1175">
        <v>800</v>
      </c>
      <c r="J15" s="1176">
        <f>H15/DAY(B2)</f>
        <v>0</v>
      </c>
      <c r="K15" s="467"/>
      <c r="L15" s="408"/>
      <c r="N15" s="1189">
        <f>F15-'1'!E15</f>
        <v>0</v>
      </c>
    </row>
    <row r="16" spans="1:17">
      <c r="A16" s="754"/>
      <c r="B16" s="755"/>
      <c r="C16" s="755"/>
      <c r="D16" s="748"/>
      <c r="E16" s="839"/>
      <c r="F16" s="822"/>
      <c r="G16" s="750"/>
      <c r="H16" s="1174"/>
      <c r="I16" s="1177">
        <f>I15-J15</f>
        <v>800</v>
      </c>
      <c r="J16" s="1176"/>
      <c r="K16" s="467"/>
      <c r="L16" s="408"/>
      <c r="N16" s="1189">
        <f>F16-'1'!E16</f>
        <v>0</v>
      </c>
    </row>
    <row r="17" spans="1:17">
      <c r="A17" s="1451" t="s">
        <v>142</v>
      </c>
      <c r="B17" s="1452"/>
      <c r="C17" s="1453"/>
      <c r="D17" s="548"/>
      <c r="E17" s="821"/>
      <c r="F17" s="821"/>
      <c r="G17" s="564"/>
      <c r="H17" s="548"/>
      <c r="I17" s="548"/>
      <c r="J17" s="628"/>
      <c r="K17" s="467"/>
      <c r="L17" s="408"/>
      <c r="N17" s="1189">
        <f>F17-'1'!E17</f>
        <v>0</v>
      </c>
    </row>
    <row r="18" spans="1:17" ht="27.75">
      <c r="A18" s="1486" t="s">
        <v>143</v>
      </c>
      <c r="B18" s="1487"/>
      <c r="C18" s="1488"/>
      <c r="D18" s="715" t="s">
        <v>144</v>
      </c>
      <c r="E18" s="840">
        <f>'27'!F18</f>
        <v>18</v>
      </c>
      <c r="F18" s="820">
        <v>17</v>
      </c>
      <c r="G18" s="775">
        <f>F18*10</f>
        <v>170</v>
      </c>
      <c r="H18" s="760">
        <f>G18+'27'!H18</f>
        <v>4370</v>
      </c>
      <c r="I18" s="761">
        <f>'1'!I18</f>
        <v>65</v>
      </c>
      <c r="J18" s="762">
        <f>H18/DAY(B2)</f>
        <v>156.07142857142858</v>
      </c>
      <c r="K18" s="467"/>
      <c r="L18" s="408"/>
      <c r="N18" s="1189">
        <f>F18-'1'!E18</f>
        <v>0</v>
      </c>
    </row>
    <row r="19" spans="1:17" ht="27.75">
      <c r="A19" s="1486" t="s">
        <v>71</v>
      </c>
      <c r="B19" s="1487"/>
      <c r="C19" s="1488"/>
      <c r="D19" s="715" t="s">
        <v>144</v>
      </c>
      <c r="E19" s="840">
        <f>'27'!F19</f>
        <v>134416</v>
      </c>
      <c r="F19" s="820">
        <v>134468</v>
      </c>
      <c r="G19" s="770">
        <f t="shared" ref="G19" si="1">F19-E19</f>
        <v>52</v>
      </c>
      <c r="H19" s="760">
        <f>G19+'27'!H19</f>
        <v>0</v>
      </c>
      <c r="I19" s="777"/>
      <c r="J19" s="762">
        <f>H19/DAY(B2)</f>
        <v>0</v>
      </c>
      <c r="K19" s="467"/>
      <c r="L19" s="408"/>
      <c r="N19" s="1189">
        <f>F19-'1'!E19</f>
        <v>0</v>
      </c>
    </row>
    <row r="20" spans="1:17">
      <c r="A20" s="773" t="s">
        <v>145</v>
      </c>
      <c r="B20" s="774"/>
      <c r="C20" s="774"/>
      <c r="D20" s="715"/>
      <c r="E20" s="760"/>
      <c r="F20" s="536"/>
      <c r="G20" s="778">
        <f>G18+G19</f>
        <v>222</v>
      </c>
      <c r="H20" s="760">
        <f>G20+'27'!H20</f>
        <v>4370</v>
      </c>
      <c r="I20" s="779">
        <f>I18-J20</f>
        <v>-91.071428571428584</v>
      </c>
      <c r="J20" s="762">
        <f>H20/DAY(B2)</f>
        <v>156.07142857142858</v>
      </c>
      <c r="K20" s="467"/>
      <c r="L20" s="408"/>
      <c r="N20" s="1189">
        <f>F20-'1'!E20</f>
        <v>0</v>
      </c>
    </row>
    <row r="21" spans="1:17">
      <c r="A21" s="1451" t="s">
        <v>146</v>
      </c>
      <c r="B21" s="1452"/>
      <c r="C21" s="1453"/>
      <c r="D21" s="548"/>
      <c r="E21" s="821"/>
      <c r="F21" s="821"/>
      <c r="G21" s="559"/>
      <c r="H21" s="548"/>
      <c r="I21" s="548"/>
      <c r="J21" s="628"/>
      <c r="K21" s="467"/>
      <c r="L21" s="408"/>
      <c r="N21" s="1189">
        <f>F21-'1'!E21</f>
        <v>0</v>
      </c>
    </row>
    <row r="22" spans="1:17">
      <c r="A22" s="1229" t="s">
        <v>147</v>
      </c>
      <c r="B22" s="666"/>
      <c r="C22" s="666"/>
      <c r="D22" s="599" t="s">
        <v>148</v>
      </c>
      <c r="E22" s="841">
        <f>'27'!F22</f>
        <v>2970</v>
      </c>
      <c r="F22" s="820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189">
        <f>F22-'1'!E22</f>
        <v>0</v>
      </c>
    </row>
    <row r="23" spans="1:17">
      <c r="A23" s="1229" t="s">
        <v>149</v>
      </c>
      <c r="B23" s="666"/>
      <c r="C23" s="666"/>
      <c r="D23" s="599" t="s">
        <v>148</v>
      </c>
      <c r="E23" s="841">
        <f>'27'!F23</f>
        <v>1900</v>
      </c>
      <c r="F23" s="820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189">
        <f>F23-'1'!E23</f>
        <v>0</v>
      </c>
    </row>
    <row r="24" spans="1:17">
      <c r="A24" s="667" t="s">
        <v>150</v>
      </c>
      <c r="B24" s="668"/>
      <c r="C24" s="668"/>
      <c r="D24" s="587" t="s">
        <v>148</v>
      </c>
      <c r="E24" s="842">
        <f>'27'!F24</f>
        <v>4970</v>
      </c>
      <c r="F24" s="823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189">
        <f>F24-'1'!E24</f>
        <v>0</v>
      </c>
    </row>
    <row r="25" spans="1:17" s="481" customFormat="1" ht="27">
      <c r="A25" s="1456" t="s">
        <v>151</v>
      </c>
      <c r="B25" s="1457"/>
      <c r="C25" s="1458"/>
      <c r="D25" s="547"/>
      <c r="E25" s="571"/>
      <c r="F25" s="571"/>
      <c r="G25" s="570"/>
      <c r="H25" s="571"/>
      <c r="I25" s="572"/>
      <c r="J25" s="631"/>
      <c r="K25" s="404"/>
      <c r="L25" s="484"/>
      <c r="N25" s="1189">
        <f>F25-'1'!E25</f>
        <v>0</v>
      </c>
      <c r="O25" s="852"/>
      <c r="P25" s="852"/>
      <c r="Q25" s="852"/>
    </row>
    <row r="26" spans="1:17" s="481" customFormat="1" ht="27">
      <c r="A26" s="669" t="s">
        <v>152</v>
      </c>
      <c r="B26" s="670"/>
      <c r="C26" s="671"/>
      <c r="D26" s="695" t="s">
        <v>153</v>
      </c>
      <c r="E26" s="843"/>
      <c r="F26" s="536"/>
      <c r="G26" s="574"/>
      <c r="H26" s="536"/>
      <c r="I26" s="575"/>
      <c r="J26" s="629"/>
      <c r="K26" s="405"/>
      <c r="L26" s="484"/>
      <c r="N26" s="1189">
        <f>F26-'1'!E26</f>
        <v>0</v>
      </c>
      <c r="O26" s="852"/>
      <c r="P26" s="852"/>
      <c r="Q26" s="852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21942</v>
      </c>
      <c r="F27" s="577">
        <v>9</v>
      </c>
      <c r="G27" s="578">
        <f>E27*F27</f>
        <v>197478</v>
      </c>
      <c r="H27" s="536">
        <f>G27+'27'!H27</f>
        <v>0</v>
      </c>
      <c r="I27" s="579"/>
      <c r="J27" s="629">
        <f>H27/DAY(B2)</f>
        <v>0</v>
      </c>
      <c r="K27" s="404"/>
      <c r="L27" s="484"/>
      <c r="N27" s="1189">
        <f>F27-'1'!E27</f>
        <v>-22545</v>
      </c>
      <c r="O27" s="852"/>
      <c r="P27" s="852"/>
      <c r="Q27" s="852"/>
    </row>
    <row r="28" spans="1:17" s="481" customFormat="1" ht="27">
      <c r="A28" s="669" t="s">
        <v>154</v>
      </c>
      <c r="B28" s="670"/>
      <c r="C28" s="671"/>
      <c r="D28" s="696" t="s">
        <v>155</v>
      </c>
      <c r="E28" s="780">
        <f>G15</f>
        <v>1060.0070000002161</v>
      </c>
      <c r="F28" s="577">
        <v>43.5</v>
      </c>
      <c r="G28" s="578">
        <f>E28*F28</f>
        <v>46110.304500009399</v>
      </c>
      <c r="H28" s="536">
        <f>G28+'27'!H28</f>
        <v>19305.538199999486</v>
      </c>
      <c r="I28" s="581"/>
      <c r="J28" s="629">
        <f>H28/DAY(B2)</f>
        <v>689.48350714283879</v>
      </c>
      <c r="K28" s="404"/>
      <c r="L28" s="484"/>
      <c r="N28" s="1189">
        <f>F28-'1'!E28</f>
        <v>-837.13199999998324</v>
      </c>
      <c r="O28" s="852"/>
      <c r="P28" s="852"/>
      <c r="Q28" s="852"/>
    </row>
    <row r="29" spans="1:17" s="481" customFormat="1" ht="27">
      <c r="A29" s="669" t="s">
        <v>156</v>
      </c>
      <c r="B29" s="670"/>
      <c r="C29" s="671"/>
      <c r="D29" s="696" t="s">
        <v>157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0</v>
      </c>
      <c r="I29" s="581"/>
      <c r="J29" s="629">
        <f>H29/DAY(B2)</f>
        <v>0</v>
      </c>
      <c r="K29" s="404"/>
      <c r="L29" s="484"/>
      <c r="N29" s="1189">
        <f>F29-'1'!E29</f>
        <v>69</v>
      </c>
      <c r="O29" s="852"/>
      <c r="P29" s="852"/>
      <c r="Q29" s="852"/>
    </row>
    <row r="30" spans="1:17" s="481" customFormat="1" ht="27">
      <c r="A30" s="669" t="s">
        <v>158</v>
      </c>
      <c r="B30" s="670"/>
      <c r="C30" s="671"/>
      <c r="D30" s="696" t="s">
        <v>159</v>
      </c>
      <c r="E30" s="780">
        <f>G19</f>
        <v>52</v>
      </c>
      <c r="F30" s="780">
        <v>134</v>
      </c>
      <c r="G30" s="578">
        <f>E30*F30</f>
        <v>6968</v>
      </c>
      <c r="H30" s="536">
        <f>G30+'27'!H30</f>
        <v>17688</v>
      </c>
      <c r="I30" s="581"/>
      <c r="J30" s="629">
        <f>H30/DAY(B2)</f>
        <v>631.71428571428567</v>
      </c>
      <c r="K30" s="404"/>
      <c r="L30" s="484"/>
      <c r="N30" s="1189">
        <f>F30-'1'!E30</f>
        <v>-46</v>
      </c>
      <c r="O30" s="852"/>
      <c r="P30" s="852"/>
      <c r="Q30" s="852"/>
    </row>
    <row r="31" spans="1:17" s="481" customFormat="1" ht="27">
      <c r="A31" s="669" t="s">
        <v>160</v>
      </c>
      <c r="B31" s="670"/>
      <c r="C31" s="671"/>
      <c r="D31" s="696" t="s">
        <v>144</v>
      </c>
      <c r="E31" s="780">
        <f>G18</f>
        <v>170</v>
      </c>
      <c r="F31" s="780">
        <v>80</v>
      </c>
      <c r="G31" s="578">
        <f>E31*F31</f>
        <v>13600</v>
      </c>
      <c r="H31" s="536">
        <f>G31+'27'!H31</f>
        <v>339040</v>
      </c>
      <c r="I31" s="581"/>
      <c r="J31" s="629"/>
      <c r="K31" s="404"/>
      <c r="L31" s="484"/>
      <c r="N31" s="1189">
        <f>F31-'1'!E31</f>
        <v>32</v>
      </c>
      <c r="O31" s="852"/>
      <c r="P31" s="852"/>
      <c r="Q31" s="852"/>
    </row>
    <row r="32" spans="1:17" s="481" customFormat="1" ht="27">
      <c r="A32" s="672" t="s">
        <v>161</v>
      </c>
      <c r="B32" s="673"/>
      <c r="C32" s="674"/>
      <c r="D32" s="583"/>
      <c r="E32" s="844"/>
      <c r="F32" s="562"/>
      <c r="G32" s="584">
        <f>G27+G28+G29+G30+G31</f>
        <v>264156.3045000094</v>
      </c>
      <c r="H32" s="536">
        <f>G32+'27'!H32</f>
        <v>376033.53819999949</v>
      </c>
      <c r="I32" s="585"/>
      <c r="J32" s="629">
        <f>H32/DAY(B2)</f>
        <v>13429.769221428553</v>
      </c>
      <c r="K32" s="404"/>
      <c r="L32" s="484"/>
      <c r="N32" s="1189">
        <f>F32-'1'!E32</f>
        <v>0</v>
      </c>
      <c r="O32" s="852"/>
      <c r="P32" s="852"/>
      <c r="Q32" s="852"/>
    </row>
    <row r="33" spans="1:14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1189">
        <f>F33-'1'!E33</f>
        <v>0</v>
      </c>
    </row>
    <row r="34" spans="1:14">
      <c r="A34" s="675" t="s">
        <v>163</v>
      </c>
      <c r="B34" s="1234"/>
      <c r="C34" s="1234"/>
      <c r="D34" s="548"/>
      <c r="E34" s="571"/>
      <c r="F34" s="571"/>
      <c r="G34" s="548"/>
      <c r="H34" s="548"/>
      <c r="I34" s="548"/>
      <c r="J34" s="628"/>
      <c r="K34" s="467"/>
      <c r="L34" s="408"/>
      <c r="N34" s="1189">
        <f>F34-'1'!E34</f>
        <v>0</v>
      </c>
    </row>
    <row r="35" spans="1:14">
      <c r="A35" s="655" t="s">
        <v>164</v>
      </c>
      <c r="B35" s="656"/>
      <c r="C35" s="656"/>
      <c r="D35" s="599" t="s">
        <v>132</v>
      </c>
      <c r="E35" s="824">
        <f>'27'!F35</f>
        <v>689771.35</v>
      </c>
      <c r="F35" s="824">
        <v>693087.59</v>
      </c>
      <c r="G35" s="549">
        <f t="shared" ref="G35:G46" si="3">F35-E35</f>
        <v>3316.2399999999907</v>
      </c>
      <c r="H35" s="536">
        <f>G35+'27'!H35</f>
        <v>0</v>
      </c>
      <c r="I35" s="531"/>
      <c r="J35" s="629">
        <f>H35/DAY(B2)</f>
        <v>0</v>
      </c>
      <c r="K35" s="467"/>
      <c r="L35" s="408"/>
      <c r="N35" s="1189">
        <f>F35-'1'!E35</f>
        <v>0</v>
      </c>
    </row>
    <row r="36" spans="1:14">
      <c r="A36" s="655" t="s">
        <v>165</v>
      </c>
      <c r="B36" s="656"/>
      <c r="C36" s="656"/>
      <c r="D36" s="599" t="s">
        <v>132</v>
      </c>
      <c r="E36" s="824">
        <f>'27'!F36</f>
        <v>295831.33</v>
      </c>
      <c r="F36" s="824">
        <v>296445.57</v>
      </c>
      <c r="G36" s="549">
        <f t="shared" si="3"/>
        <v>614.23999999999069</v>
      </c>
      <c r="H36" s="536">
        <f>G36+'27'!H36</f>
        <v>0</v>
      </c>
      <c r="I36" s="531"/>
      <c r="J36" s="629">
        <f>H36/DAY(B2)</f>
        <v>0</v>
      </c>
      <c r="K36" s="467"/>
      <c r="L36" s="408"/>
      <c r="N36" s="1189">
        <f>F36-'1'!E36</f>
        <v>0</v>
      </c>
    </row>
    <row r="37" spans="1:14">
      <c r="A37" s="655" t="s">
        <v>166</v>
      </c>
      <c r="B37" s="656"/>
      <c r="C37" s="656"/>
      <c r="D37" s="599" t="s">
        <v>132</v>
      </c>
      <c r="E37" s="824">
        <f>'27'!F37</f>
        <v>30576.07</v>
      </c>
      <c r="F37" s="824">
        <v>32062.1</v>
      </c>
      <c r="G37" s="549">
        <f t="shared" si="3"/>
        <v>1486.0299999999988</v>
      </c>
      <c r="H37" s="536">
        <f>G37+'27'!H37</f>
        <v>35167.18</v>
      </c>
      <c r="I37" s="531"/>
      <c r="J37" s="629">
        <f>H37/DAY(B2)</f>
        <v>1255.9707142857144</v>
      </c>
      <c r="K37" s="467"/>
      <c r="L37" s="408"/>
      <c r="N37" s="1189">
        <f>F37-'1'!E37</f>
        <v>0</v>
      </c>
    </row>
    <row r="38" spans="1:14">
      <c r="A38" s="655" t="s">
        <v>167</v>
      </c>
      <c r="B38" s="656"/>
      <c r="C38" s="656"/>
      <c r="D38" s="599" t="s">
        <v>132</v>
      </c>
      <c r="E38" s="824">
        <f>'27'!F38</f>
        <v>41540.754999999997</v>
      </c>
      <c r="F38" s="546">
        <v>43813.49</v>
      </c>
      <c r="G38" s="549">
        <f t="shared" si="3"/>
        <v>2272.7350000000006</v>
      </c>
      <c r="H38" s="536">
        <f>G38+'27'!H38</f>
        <v>0</v>
      </c>
      <c r="I38" s="531"/>
      <c r="J38" s="629">
        <f>H38/DAY(B2)</f>
        <v>0</v>
      </c>
      <c r="K38" s="467"/>
      <c r="L38" s="408"/>
      <c r="N38" s="1189">
        <f>F38-'1'!E38</f>
        <v>0</v>
      </c>
    </row>
    <row r="39" spans="1:14">
      <c r="A39" s="655" t="s">
        <v>168</v>
      </c>
      <c r="B39" s="656"/>
      <c r="C39" s="656"/>
      <c r="D39" s="599" t="s">
        <v>132</v>
      </c>
      <c r="E39" s="824">
        <f>'27'!F39</f>
        <v>86304.45</v>
      </c>
      <c r="F39" s="824">
        <v>90675.39</v>
      </c>
      <c r="G39" s="549">
        <f>F39-E39</f>
        <v>4370.9400000000023</v>
      </c>
      <c r="H39" s="536">
        <f>G39+'27'!H39</f>
        <v>100068.27999999998</v>
      </c>
      <c r="I39" s="531"/>
      <c r="J39" s="629">
        <f>H39/DAY(B2)</f>
        <v>3573.8671428571424</v>
      </c>
      <c r="K39" s="467"/>
      <c r="L39" s="408"/>
      <c r="N39" s="1189">
        <f>F39-'1'!E39</f>
        <v>0</v>
      </c>
    </row>
    <row r="40" spans="1:14">
      <c r="A40" s="676" t="s">
        <v>169</v>
      </c>
      <c r="B40" s="677"/>
      <c r="C40" s="677"/>
      <c r="D40" s="599" t="s">
        <v>132</v>
      </c>
      <c r="E40" s="824">
        <f>'27'!F40</f>
        <v>0</v>
      </c>
      <c r="F40" s="824">
        <v>0</v>
      </c>
      <c r="G40" s="549">
        <f t="shared" si="3"/>
        <v>0</v>
      </c>
      <c r="H40" s="536">
        <f>G40+'27'!H40</f>
        <v>-0.06</v>
      </c>
      <c r="I40" s="531"/>
      <c r="J40" s="629">
        <f>H40/DAY(B2)</f>
        <v>-2.142857142857143E-3</v>
      </c>
      <c r="K40" s="468"/>
      <c r="L40" s="408"/>
      <c r="N40" s="1189">
        <f>F40-'1'!E40</f>
        <v>0</v>
      </c>
    </row>
    <row r="41" spans="1:14">
      <c r="A41" s="655" t="s">
        <v>170</v>
      </c>
      <c r="B41" s="656"/>
      <c r="C41" s="656"/>
      <c r="D41" s="599" t="s">
        <v>132</v>
      </c>
      <c r="E41" s="824">
        <f>'27'!F41</f>
        <v>63882.37</v>
      </c>
      <c r="F41" s="824">
        <v>63882.37</v>
      </c>
      <c r="G41" s="549">
        <f t="shared" si="3"/>
        <v>0</v>
      </c>
      <c r="H41" s="536">
        <f>G41+'27'!H41</f>
        <v>0</v>
      </c>
      <c r="I41" s="531"/>
      <c r="J41" s="629">
        <f>H41/DAY(B2)</f>
        <v>0</v>
      </c>
      <c r="K41" s="467"/>
      <c r="L41" s="408"/>
      <c r="N41" s="1189">
        <f>F41-'1'!E41</f>
        <v>0</v>
      </c>
    </row>
    <row r="42" spans="1:14">
      <c r="A42" s="655" t="s">
        <v>171</v>
      </c>
      <c r="B42" s="656"/>
      <c r="C42" s="656"/>
      <c r="D42" s="599" t="s">
        <v>132</v>
      </c>
      <c r="E42" s="824">
        <f>'27'!F42</f>
        <v>59128.85</v>
      </c>
      <c r="F42" s="824">
        <v>59128.85</v>
      </c>
      <c r="G42" s="549">
        <f t="shared" si="3"/>
        <v>0</v>
      </c>
      <c r="H42" s="536">
        <f>G42+'27'!H42</f>
        <v>0</v>
      </c>
      <c r="I42" s="531"/>
      <c r="J42" s="629">
        <f>H42/DAY(B2)</f>
        <v>0</v>
      </c>
      <c r="K42" s="467"/>
      <c r="L42" s="408"/>
      <c r="N42" s="1189">
        <f>F42-'1'!E42</f>
        <v>0</v>
      </c>
    </row>
    <row r="43" spans="1:14">
      <c r="A43" s="655" t="s">
        <v>172</v>
      </c>
      <c r="B43" s="656"/>
      <c r="C43" s="656"/>
      <c r="D43" s="599" t="s">
        <v>132</v>
      </c>
      <c r="E43" s="824">
        <f>'27'!F43</f>
        <v>823506.23</v>
      </c>
      <c r="F43" s="824">
        <v>825897.83</v>
      </c>
      <c r="G43" s="549">
        <f t="shared" si="3"/>
        <v>2391.5999999999767</v>
      </c>
      <c r="H43" s="536">
        <f>G43+'27'!H43</f>
        <v>0</v>
      </c>
      <c r="I43" s="531"/>
      <c r="J43" s="629">
        <f>H43/DAY(B2)</f>
        <v>0</v>
      </c>
      <c r="K43" s="467"/>
      <c r="L43" s="408"/>
      <c r="N43" s="1189">
        <f>F43-'1'!E43</f>
        <v>0</v>
      </c>
    </row>
    <row r="44" spans="1:14">
      <c r="A44" s="655" t="s">
        <v>173</v>
      </c>
      <c r="B44" s="656"/>
      <c r="C44" s="656"/>
      <c r="D44" s="599" t="s">
        <v>132</v>
      </c>
      <c r="E44" s="824">
        <f>'27'!F44</f>
        <v>0</v>
      </c>
      <c r="F44" s="824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189">
        <f>F44-'1'!E44</f>
        <v>0</v>
      </c>
    </row>
    <row r="45" spans="1:14">
      <c r="A45" s="655" t="s">
        <v>174</v>
      </c>
      <c r="B45" s="656"/>
      <c r="C45" s="656"/>
      <c r="D45" s="599" t="s">
        <v>132</v>
      </c>
      <c r="E45" s="824">
        <f>'27'!F45</f>
        <v>614</v>
      </c>
      <c r="F45" s="824">
        <v>614</v>
      </c>
      <c r="G45" s="549">
        <f t="shared" si="3"/>
        <v>0</v>
      </c>
      <c r="H45" s="536">
        <f>G45+'27'!H45</f>
        <v>0</v>
      </c>
      <c r="I45" s="531"/>
      <c r="J45" s="629">
        <f>H45/DAY(B2)</f>
        <v>0</v>
      </c>
      <c r="K45" s="467"/>
      <c r="L45" s="408"/>
      <c r="N45" s="1189">
        <f>F45-'1'!E45</f>
        <v>0</v>
      </c>
    </row>
    <row r="46" spans="1:14">
      <c r="A46" s="655" t="s">
        <v>175</v>
      </c>
      <c r="B46" s="656"/>
      <c r="C46" s="656"/>
      <c r="D46" s="599" t="s">
        <v>132</v>
      </c>
      <c r="E46" s="824">
        <f>'27'!F46</f>
        <v>187</v>
      </c>
      <c r="F46" s="824">
        <v>187</v>
      </c>
      <c r="G46" s="549">
        <f t="shared" si="3"/>
        <v>0</v>
      </c>
      <c r="H46" s="536">
        <f>G46+'27'!H46</f>
        <v>0</v>
      </c>
      <c r="I46" s="531"/>
      <c r="J46" s="629">
        <f>H46/DAY(B2)</f>
        <v>0</v>
      </c>
      <c r="K46" s="467"/>
      <c r="L46" s="408"/>
      <c r="N46" s="1189">
        <f>F46-'1'!E46</f>
        <v>0</v>
      </c>
    </row>
    <row r="47" spans="1:14">
      <c r="A47" s="662" t="s">
        <v>176</v>
      </c>
      <c r="B47" s="663"/>
      <c r="C47" s="663"/>
      <c r="D47" s="546"/>
      <c r="E47" s="546"/>
      <c r="F47" s="546"/>
      <c r="G47" s="557">
        <f>G35+G36+G37+G38+G39+G40+G41+G42+G43+G44+G45+G46</f>
        <v>14451.78499999996</v>
      </c>
      <c r="H47" s="536">
        <f>G47+'27'!H47</f>
        <v>135235.39999999997</v>
      </c>
      <c r="I47" s="531"/>
      <c r="J47" s="629">
        <f>H47/DAY(B2)</f>
        <v>4829.835714285713</v>
      </c>
      <c r="K47" s="467"/>
      <c r="L47" s="408"/>
      <c r="N47" s="1189">
        <f>F47-'1'!E47</f>
        <v>0</v>
      </c>
    </row>
    <row r="48" spans="1:14">
      <c r="A48" s="675" t="s">
        <v>177</v>
      </c>
      <c r="B48" s="1234"/>
      <c r="C48" s="1234"/>
      <c r="D48" s="548"/>
      <c r="E48" s="571"/>
      <c r="F48" s="571"/>
      <c r="G48" s="548"/>
      <c r="H48" s="548"/>
      <c r="I48" s="548"/>
      <c r="J48" s="628"/>
      <c r="K48" s="467"/>
      <c r="L48" s="408"/>
      <c r="N48" s="1189">
        <f>F48-'1'!E48</f>
        <v>0</v>
      </c>
    </row>
    <row r="49" spans="1:14">
      <c r="A49" s="655" t="s">
        <v>164</v>
      </c>
      <c r="B49" s="678"/>
      <c r="C49" s="678"/>
      <c r="D49" s="599" t="s">
        <v>132</v>
      </c>
      <c r="E49" s="824">
        <f>'27'!F49</f>
        <v>260732.13</v>
      </c>
      <c r="F49" s="824">
        <v>260732.13</v>
      </c>
      <c r="G49" s="549">
        <f t="shared" ref="G49:G58" si="4">F49-E49</f>
        <v>0</v>
      </c>
      <c r="H49" s="536">
        <f>G49+'27'!H49</f>
        <v>0</v>
      </c>
      <c r="I49" s="531"/>
      <c r="J49" s="629">
        <f>H49/DAY(B2)</f>
        <v>0</v>
      </c>
      <c r="K49" s="467"/>
      <c r="L49" s="408"/>
      <c r="N49" s="1189">
        <f>F49-'1'!E49</f>
        <v>0</v>
      </c>
    </row>
    <row r="50" spans="1:14">
      <c r="A50" s="655" t="s">
        <v>178</v>
      </c>
      <c r="B50" s="678"/>
      <c r="C50" s="678"/>
      <c r="D50" s="599" t="s">
        <v>132</v>
      </c>
      <c r="E50" s="824">
        <f>'27'!F50</f>
        <v>401372.27</v>
      </c>
      <c r="F50" s="824">
        <v>402463.03</v>
      </c>
      <c r="G50" s="549">
        <f t="shared" si="4"/>
        <v>1090.7600000000093</v>
      </c>
      <c r="H50" s="536">
        <f>G50+'27'!H50</f>
        <v>-1194</v>
      </c>
      <c r="I50" s="531"/>
      <c r="J50" s="629">
        <f>H50/DAY(B2)</f>
        <v>-42.642857142857146</v>
      </c>
      <c r="K50" s="467"/>
      <c r="L50" s="408"/>
      <c r="N50" s="1189">
        <f>F50-'1'!E50</f>
        <v>0</v>
      </c>
    </row>
    <row r="51" spans="1:14">
      <c r="A51" s="655" t="s">
        <v>166</v>
      </c>
      <c r="B51" s="678"/>
      <c r="C51" s="678"/>
      <c r="D51" s="599" t="s">
        <v>132</v>
      </c>
      <c r="E51" s="824">
        <f>'27'!F51</f>
        <v>120050.92</v>
      </c>
      <c r="F51" s="824">
        <v>120050.92</v>
      </c>
      <c r="G51" s="549">
        <f t="shared" si="4"/>
        <v>0</v>
      </c>
      <c r="H51" s="536">
        <f>G51+'27'!H51</f>
        <v>-1549</v>
      </c>
      <c r="I51" s="531"/>
      <c r="J51" s="629">
        <f>H51/DAY(B2)</f>
        <v>-55.321428571428569</v>
      </c>
      <c r="K51" s="467"/>
      <c r="L51" s="408"/>
      <c r="N51" s="1189">
        <f>F51-'1'!E51</f>
        <v>0</v>
      </c>
    </row>
    <row r="52" spans="1:14">
      <c r="A52" s="655" t="s">
        <v>179</v>
      </c>
      <c r="B52" s="678"/>
      <c r="C52" s="678"/>
      <c r="D52" s="599" t="s">
        <v>132</v>
      </c>
      <c r="E52" s="824">
        <f>'27'!F52</f>
        <v>507912.71</v>
      </c>
      <c r="F52" s="824">
        <v>507912.71</v>
      </c>
      <c r="G52" s="549">
        <f t="shared" si="4"/>
        <v>0</v>
      </c>
      <c r="H52" s="536">
        <f>G52+'27'!H52</f>
        <v>-2046</v>
      </c>
      <c r="I52" s="531"/>
      <c r="J52" s="629">
        <f>H52/DAY(B2)</f>
        <v>-73.071428571428569</v>
      </c>
      <c r="K52" s="467"/>
      <c r="L52" s="408"/>
      <c r="N52" s="1189">
        <f>F52-'1'!E52</f>
        <v>0</v>
      </c>
    </row>
    <row r="53" spans="1:14">
      <c r="A53" s="655" t="s">
        <v>168</v>
      </c>
      <c r="B53" s="678"/>
      <c r="C53" s="678"/>
      <c r="D53" s="599" t="s">
        <v>132</v>
      </c>
      <c r="E53" s="824">
        <f>'27'!F53</f>
        <v>331854.51</v>
      </c>
      <c r="F53" s="824">
        <v>331854.51</v>
      </c>
      <c r="G53" s="549">
        <f t="shared" si="4"/>
        <v>0</v>
      </c>
      <c r="H53" s="536">
        <f>G53+'27'!H53</f>
        <v>-4185</v>
      </c>
      <c r="I53" s="531"/>
      <c r="J53" s="629">
        <f>H53/DAY(B2)</f>
        <v>-149.46428571428572</v>
      </c>
      <c r="K53" s="467"/>
      <c r="L53" s="408"/>
      <c r="N53" s="1189">
        <f>F53-'1'!E53</f>
        <v>0</v>
      </c>
    </row>
    <row r="54" spans="1:14">
      <c r="A54" s="655" t="s">
        <v>180</v>
      </c>
      <c r="B54" s="678"/>
      <c r="C54" s="678"/>
      <c r="D54" s="599" t="s">
        <v>132</v>
      </c>
      <c r="E54" s="824">
        <f>'27'!F54</f>
        <v>8025.47</v>
      </c>
      <c r="F54" s="824">
        <v>8095.63</v>
      </c>
      <c r="G54" s="549">
        <f t="shared" si="4"/>
        <v>70.159999999999854</v>
      </c>
      <c r="H54" s="536">
        <f>G54+'27'!H54</f>
        <v>0</v>
      </c>
      <c r="I54" s="531"/>
      <c r="J54" s="629">
        <f>H54/DAY(B2)</f>
        <v>0</v>
      </c>
      <c r="K54" s="467"/>
      <c r="L54" s="408"/>
      <c r="N54" s="1189">
        <f>F54-'1'!E54</f>
        <v>0</v>
      </c>
    </row>
    <row r="55" spans="1:14">
      <c r="A55" s="655" t="s">
        <v>181</v>
      </c>
      <c r="B55" s="678"/>
      <c r="C55" s="678"/>
      <c r="D55" s="599" t="s">
        <v>132</v>
      </c>
      <c r="E55" s="824">
        <f>'27'!F55</f>
        <v>111933.89</v>
      </c>
      <c r="F55" s="825">
        <v>117585.69</v>
      </c>
      <c r="G55" s="733">
        <f t="shared" si="4"/>
        <v>5651.8000000000029</v>
      </c>
      <c r="H55" s="787">
        <f>G55+'27'!H55</f>
        <v>-4999</v>
      </c>
      <c r="I55" s="788"/>
      <c r="J55" s="789">
        <f>H55/DAY(B2)</f>
        <v>-178.53571428571428</v>
      </c>
      <c r="K55" s="467"/>
      <c r="L55" s="408"/>
      <c r="N55" s="1189">
        <f>F55-'1'!E55</f>
        <v>0</v>
      </c>
    </row>
    <row r="56" spans="1:14">
      <c r="A56" s="655" t="s">
        <v>182</v>
      </c>
      <c r="B56" s="678"/>
      <c r="C56" s="678"/>
      <c r="D56" s="599" t="s">
        <v>183</v>
      </c>
      <c r="E56" s="824">
        <f>'27'!F56</f>
        <v>586043.55000000005</v>
      </c>
      <c r="F56" s="825">
        <v>586051.03</v>
      </c>
      <c r="G56" s="549">
        <f t="shared" si="4"/>
        <v>7.4799999999813735</v>
      </c>
      <c r="H56" s="536">
        <f>G56+'27'!H56</f>
        <v>0</v>
      </c>
      <c r="I56" s="531"/>
      <c r="J56" s="629">
        <f>H56/DAY(B2)</f>
        <v>0</v>
      </c>
      <c r="K56" s="466"/>
      <c r="L56" s="408"/>
      <c r="N56" s="1189">
        <f>F56-'1'!E56</f>
        <v>0</v>
      </c>
    </row>
    <row r="57" spans="1:14">
      <c r="A57" s="655" t="s">
        <v>172</v>
      </c>
      <c r="B57" s="678"/>
      <c r="C57" s="678"/>
      <c r="D57" s="599" t="s">
        <v>132</v>
      </c>
      <c r="E57" s="824">
        <f>'27'!F57</f>
        <v>7711.33</v>
      </c>
      <c r="F57" s="824">
        <v>7711.33</v>
      </c>
      <c r="G57" s="549">
        <f t="shared" si="4"/>
        <v>0</v>
      </c>
      <c r="H57" s="536">
        <f>G57+'27'!H57</f>
        <v>0</v>
      </c>
      <c r="I57" s="531"/>
      <c r="J57" s="629">
        <f>H57/DAY(B2)</f>
        <v>0</v>
      </c>
      <c r="K57" s="467"/>
      <c r="L57" s="408"/>
      <c r="N57" s="1189">
        <f>F57-'1'!E57</f>
        <v>0</v>
      </c>
    </row>
    <row r="58" spans="1:14">
      <c r="A58" s="655" t="s">
        <v>184</v>
      </c>
      <c r="B58" s="678"/>
      <c r="C58" s="678"/>
      <c r="D58" s="599" t="s">
        <v>132</v>
      </c>
      <c r="E58" s="824">
        <f>'27'!F58</f>
        <v>35673.660000000003</v>
      </c>
      <c r="F58" s="1322">
        <v>35868.699999999997</v>
      </c>
      <c r="G58" s="549">
        <f t="shared" si="4"/>
        <v>195.0399999999936</v>
      </c>
      <c r="H58" s="536">
        <f>G58+'27'!H58</f>
        <v>-196</v>
      </c>
      <c r="I58" s="531"/>
      <c r="J58" s="629">
        <f>H58/DAY(B2)</f>
        <v>-7</v>
      </c>
      <c r="K58" s="467"/>
      <c r="L58" s="408"/>
      <c r="N58" s="1189">
        <f>F58-'1'!E58</f>
        <v>0</v>
      </c>
    </row>
    <row r="59" spans="1:14">
      <c r="A59" s="662" t="s">
        <v>176</v>
      </c>
      <c r="B59" s="663"/>
      <c r="C59" s="663"/>
      <c r="D59" s="587"/>
      <c r="E59" s="546"/>
      <c r="F59" s="546"/>
      <c r="G59" s="557">
        <f>G49+G50+G51+G52+G53+G54+G55+G56+G57+G58</f>
        <v>7015.239999999987</v>
      </c>
      <c r="H59" s="536">
        <f>G59+'27'!H59</f>
        <v>-14169.000000000007</v>
      </c>
      <c r="I59" s="531">
        <f>G7-G60</f>
        <v>350.97500000005311</v>
      </c>
      <c r="J59" s="629">
        <f>H59/DAY(B2)</f>
        <v>-506.03571428571456</v>
      </c>
      <c r="K59" s="467"/>
      <c r="L59" s="408"/>
      <c r="N59" s="1189">
        <f>F59-'1'!E59</f>
        <v>0</v>
      </c>
    </row>
    <row r="60" spans="1:14">
      <c r="A60" s="655"/>
      <c r="B60" s="656"/>
      <c r="C60" s="656"/>
      <c r="D60" s="587" t="s">
        <v>185</v>
      </c>
      <c r="E60" s="546"/>
      <c r="F60" s="546"/>
      <c r="G60" s="557">
        <f>G47+G59</f>
        <v>21467.024999999947</v>
      </c>
      <c r="H60" s="536">
        <f>G60+'27'!H60</f>
        <v>135235.39999999991</v>
      </c>
      <c r="I60" s="531">
        <f>G13-G60</f>
        <v>-306.99499999995169</v>
      </c>
      <c r="J60" s="629">
        <f>H60/DAY(B2)</f>
        <v>4829.8357142857112</v>
      </c>
      <c r="K60" s="467"/>
      <c r="L60" s="408"/>
      <c r="N60" s="1189">
        <f>F60-'1'!E60</f>
        <v>0</v>
      </c>
    </row>
    <row r="61" spans="1:14">
      <c r="A61" s="679" t="s">
        <v>186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  <c r="N61" s="1189">
        <f>F61-'1'!E61</f>
        <v>0</v>
      </c>
    </row>
    <row r="62" spans="1:14">
      <c r="A62" s="680" t="s">
        <v>98</v>
      </c>
      <c r="B62" s="681"/>
      <c r="C62" s="681"/>
      <c r="D62" s="587" t="s">
        <v>187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0</v>
      </c>
      <c r="I62" s="591"/>
      <c r="J62" s="629">
        <f>H62/DAY(B2)</f>
        <v>0</v>
      </c>
      <c r="K62" s="467"/>
      <c r="L62" s="408"/>
      <c r="N62" s="1189">
        <f>F62-'1'!E62</f>
        <v>0</v>
      </c>
    </row>
    <row r="63" spans="1:14">
      <c r="A63" s="680" t="s">
        <v>188</v>
      </c>
      <c r="B63" s="681"/>
      <c r="C63" s="681"/>
      <c r="D63" s="587" t="s">
        <v>187</v>
      </c>
      <c r="E63" s="590">
        <f>'27'!F63</f>
        <v>1692.01</v>
      </c>
      <c r="F63" s="590">
        <v>1707.36</v>
      </c>
      <c r="G63" s="549">
        <f t="shared" si="5"/>
        <v>15.349999999999909</v>
      </c>
      <c r="H63" s="536">
        <f>G63+'27'!H63</f>
        <v>0</v>
      </c>
      <c r="I63" s="591"/>
      <c r="J63" s="629">
        <f>H63/DAY(B2)</f>
        <v>0</v>
      </c>
      <c r="K63" s="467"/>
      <c r="L63" s="408"/>
      <c r="N63" s="1189">
        <f>F63-'1'!E63</f>
        <v>0</v>
      </c>
    </row>
    <row r="64" spans="1:14" ht="27.75">
      <c r="A64" s="1430" t="s">
        <v>99</v>
      </c>
      <c r="B64" s="1431"/>
      <c r="C64" s="1432"/>
      <c r="D64" s="599" t="s">
        <v>187</v>
      </c>
      <c r="E64" s="590">
        <f>'27'!F64</f>
        <v>123136.85</v>
      </c>
      <c r="F64" s="820">
        <v>123627.3</v>
      </c>
      <c r="G64" s="549">
        <f t="shared" si="5"/>
        <v>490.44999999999709</v>
      </c>
      <c r="H64" s="536">
        <f>G64+'27'!H64</f>
        <v>0</v>
      </c>
      <c r="I64" s="556"/>
      <c r="J64" s="629">
        <f>H64/DAY(B2)</f>
        <v>0</v>
      </c>
      <c r="K64" s="467"/>
      <c r="L64" s="408"/>
      <c r="N64" s="1189">
        <f>F64-'1'!E64</f>
        <v>0</v>
      </c>
    </row>
    <row r="65" spans="1:14" ht="27.75">
      <c r="A65" s="1430" t="s">
        <v>100</v>
      </c>
      <c r="B65" s="1431"/>
      <c r="C65" s="1432"/>
      <c r="D65" s="599" t="s">
        <v>187</v>
      </c>
      <c r="E65" s="590">
        <f>'27'!F65</f>
        <v>132180.92000000001</v>
      </c>
      <c r="F65" s="827">
        <v>132597.29999999999</v>
      </c>
      <c r="G65" s="549">
        <f t="shared" si="5"/>
        <v>416.37999999997555</v>
      </c>
      <c r="H65" s="536">
        <f>G65+'27'!H65</f>
        <v>0</v>
      </c>
      <c r="I65" s="565"/>
      <c r="J65" s="629">
        <f>H65/DAY(B2)</f>
        <v>0</v>
      </c>
      <c r="K65" s="467"/>
      <c r="L65" s="408"/>
      <c r="N65" s="1189">
        <f>F65-'1'!E65</f>
        <v>0</v>
      </c>
    </row>
    <row r="66" spans="1:14" ht="27.75">
      <c r="A66" s="1430" t="s">
        <v>101</v>
      </c>
      <c r="B66" s="1431"/>
      <c r="C66" s="1432"/>
      <c r="D66" s="599" t="s">
        <v>187</v>
      </c>
      <c r="E66" s="590">
        <f>'27'!F66</f>
        <v>24755.439999999999</v>
      </c>
      <c r="F66" s="820">
        <v>25159.75</v>
      </c>
      <c r="G66" s="549">
        <f t="shared" si="5"/>
        <v>404.31000000000131</v>
      </c>
      <c r="H66" s="536">
        <f>G66+'27'!H66</f>
        <v>0</v>
      </c>
      <c r="I66" s="556"/>
      <c r="J66" s="629">
        <f>H66/DAY(B2)</f>
        <v>0</v>
      </c>
      <c r="K66" s="467"/>
      <c r="L66" s="408"/>
      <c r="N66" s="1189">
        <f>F66-'1'!E66</f>
        <v>0</v>
      </c>
    </row>
    <row r="67" spans="1:14" ht="27.75">
      <c r="A67" s="1430" t="s">
        <v>102</v>
      </c>
      <c r="B67" s="1431"/>
      <c r="C67" s="1432"/>
      <c r="D67" s="599" t="s">
        <v>187</v>
      </c>
      <c r="E67" s="590">
        <f>'27'!F67</f>
        <v>207148.43</v>
      </c>
      <c r="F67" s="820">
        <v>207841.83</v>
      </c>
      <c r="G67" s="549">
        <f t="shared" si="5"/>
        <v>693.39999999999418</v>
      </c>
      <c r="H67" s="536">
        <f>G67+'27'!H67</f>
        <v>0</v>
      </c>
      <c r="I67" s="565"/>
      <c r="J67" s="629">
        <f>H67/DAY(B2)</f>
        <v>0</v>
      </c>
      <c r="K67" s="468"/>
      <c r="L67" s="408"/>
      <c r="N67" s="1189">
        <f>F67-'1'!E67</f>
        <v>0</v>
      </c>
    </row>
    <row r="68" spans="1:14" ht="27.75">
      <c r="A68" s="1430" t="s">
        <v>103</v>
      </c>
      <c r="B68" s="1431"/>
      <c r="C68" s="1432"/>
      <c r="D68" s="599" t="s">
        <v>187</v>
      </c>
      <c r="E68" s="590">
        <f>'27'!F68</f>
        <v>72307.600000000006</v>
      </c>
      <c r="F68" s="820">
        <v>72678.52</v>
      </c>
      <c r="G68" s="549">
        <f t="shared" si="5"/>
        <v>370.91999999999825</v>
      </c>
      <c r="H68" s="536">
        <f>G68+'27'!H68</f>
        <v>1000</v>
      </c>
      <c r="I68" s="592"/>
      <c r="J68" s="629">
        <f>H68/DAY(B2)</f>
        <v>35.714285714285715</v>
      </c>
      <c r="K68" s="469"/>
      <c r="L68" s="408"/>
      <c r="N68" s="1189">
        <f>F68-'1'!E68</f>
        <v>0</v>
      </c>
    </row>
    <row r="69" spans="1:14" ht="27.75">
      <c r="A69" s="1430" t="s">
        <v>104</v>
      </c>
      <c r="B69" s="1431"/>
      <c r="C69" s="1432"/>
      <c r="D69" s="599" t="s">
        <v>187</v>
      </c>
      <c r="E69" s="590">
        <f>'27'!F69</f>
        <v>64110.66</v>
      </c>
      <c r="F69" s="820">
        <v>64452.09</v>
      </c>
      <c r="G69" s="549">
        <f t="shared" si="5"/>
        <v>341.42999999999302</v>
      </c>
      <c r="H69" s="536">
        <f>G69+'27'!H69</f>
        <v>0</v>
      </c>
      <c r="I69" s="592"/>
      <c r="J69" s="629">
        <f>H69/DAY(B2)</f>
        <v>0</v>
      </c>
      <c r="K69" s="470"/>
      <c r="L69" s="408"/>
      <c r="N69" s="1189">
        <f>F69-'1'!E69</f>
        <v>0</v>
      </c>
    </row>
    <row r="70" spans="1:14" ht="27.75">
      <c r="A70" s="1462" t="s">
        <v>189</v>
      </c>
      <c r="B70" s="1463"/>
      <c r="C70" s="1464"/>
      <c r="D70" s="599" t="s">
        <v>187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  <c r="N70" s="1189">
        <f>F70-'1'!E70</f>
        <v>0</v>
      </c>
    </row>
    <row r="71" spans="1:14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1189">
        <f>F71-'1'!E71</f>
        <v>0</v>
      </c>
    </row>
    <row r="72" spans="1:14" ht="27.75">
      <c r="A72" s="1430" t="s">
        <v>191</v>
      </c>
      <c r="B72" s="1431"/>
      <c r="C72" s="1432"/>
      <c r="D72" s="599" t="s">
        <v>187</v>
      </c>
      <c r="E72" s="845">
        <f>'27'!F72</f>
        <v>850511</v>
      </c>
      <c r="F72" s="829">
        <v>850592</v>
      </c>
      <c r="G72" s="549">
        <f t="shared" ref="G72:G84" si="6">F72-E72</f>
        <v>81</v>
      </c>
      <c r="H72" s="536">
        <f>G72+'27'!H72</f>
        <v>2199</v>
      </c>
      <c r="I72" s="556"/>
      <c r="J72" s="629">
        <f>H72/DAY(B2)</f>
        <v>78.535714285714292</v>
      </c>
      <c r="K72" s="470"/>
      <c r="L72" s="408"/>
      <c r="N72" s="1189">
        <f>F72-'1'!E72</f>
        <v>0</v>
      </c>
    </row>
    <row r="73" spans="1:14" ht="27.75">
      <c r="A73" s="1430" t="s">
        <v>192</v>
      </c>
      <c r="B73" s="1431"/>
      <c r="C73" s="1432"/>
      <c r="D73" s="599" t="s">
        <v>187</v>
      </c>
      <c r="E73" s="845">
        <f>'27'!F73</f>
        <v>885771</v>
      </c>
      <c r="F73" s="830">
        <v>885772</v>
      </c>
      <c r="G73" s="733">
        <f t="shared" si="6"/>
        <v>1</v>
      </c>
      <c r="H73" s="536">
        <f>G73+'27'!H73</f>
        <v>-1136</v>
      </c>
      <c r="I73" s="556"/>
      <c r="J73" s="629">
        <f>H73/DAY(B2)</f>
        <v>-40.571428571428569</v>
      </c>
      <c r="K73" s="469"/>
      <c r="L73" s="408"/>
      <c r="N73" s="1189">
        <f>F73-'1'!E73</f>
        <v>0</v>
      </c>
    </row>
    <row r="74" spans="1:14" ht="27.75">
      <c r="A74" s="1430" t="s">
        <v>193</v>
      </c>
      <c r="B74" s="1431"/>
      <c r="C74" s="1432"/>
      <c r="D74" s="599" t="s">
        <v>187</v>
      </c>
      <c r="E74" s="845">
        <f>'27'!F74</f>
        <v>537.29999999999995</v>
      </c>
      <c r="F74" s="830">
        <v>586.16999999999996</v>
      </c>
      <c r="G74" s="549">
        <f t="shared" si="6"/>
        <v>48.870000000000005</v>
      </c>
      <c r="H74" s="536">
        <f>G74+'27'!H74</f>
        <v>-1.1368683772161603E-13</v>
      </c>
      <c r="I74" s="556"/>
      <c r="J74" s="629">
        <f>H74/DAY(B2)</f>
        <v>-4.0602442043434294E-15</v>
      </c>
      <c r="K74" s="470"/>
      <c r="L74" s="408"/>
      <c r="N74" s="1189">
        <f>F74-'1'!E74</f>
        <v>0</v>
      </c>
    </row>
    <row r="75" spans="1:14" ht="27.75">
      <c r="A75" s="1479" t="s">
        <v>194</v>
      </c>
      <c r="B75" s="1480"/>
      <c r="C75" s="1481"/>
      <c r="D75" s="599" t="s">
        <v>187</v>
      </c>
      <c r="E75" s="845">
        <f>'27'!F75</f>
        <v>3356.88</v>
      </c>
      <c r="F75" s="830">
        <v>3519.22</v>
      </c>
      <c r="G75" s="549">
        <f t="shared" si="6"/>
        <v>162.33999999999969</v>
      </c>
      <c r="H75" s="536">
        <f>G75+'27'!H75</f>
        <v>4.5474735088646412E-13</v>
      </c>
      <c r="I75" s="556"/>
      <c r="J75" s="629">
        <f>H75/DAY(B2)</f>
        <v>1.6240976817373718E-14</v>
      </c>
      <c r="K75" s="469"/>
      <c r="L75" s="408"/>
      <c r="N75" s="1189">
        <f>F75-'1'!E75</f>
        <v>0</v>
      </c>
    </row>
    <row r="76" spans="1:14" ht="27.75">
      <c r="A76" s="1479" t="s">
        <v>195</v>
      </c>
      <c r="B76" s="1480"/>
      <c r="C76" s="1481"/>
      <c r="D76" s="599" t="s">
        <v>187</v>
      </c>
      <c r="E76" s="845">
        <f>'27'!F76</f>
        <v>1433.17</v>
      </c>
      <c r="F76" s="830">
        <v>1514.34</v>
      </c>
      <c r="G76" s="549">
        <f t="shared" si="6"/>
        <v>81.169999999999845</v>
      </c>
      <c r="H76" s="536">
        <f>G76+'27'!H76</f>
        <v>-1544.0799999999997</v>
      </c>
      <c r="I76" s="581"/>
      <c r="J76" s="629">
        <f>H76/DAY(B2)</f>
        <v>-55.145714285714277</v>
      </c>
      <c r="K76" s="469"/>
      <c r="L76" s="408"/>
      <c r="N76" s="1189">
        <f>F76-'1'!E76</f>
        <v>0</v>
      </c>
    </row>
    <row r="77" spans="1:14" ht="27.75">
      <c r="A77" s="1430" t="s">
        <v>196</v>
      </c>
      <c r="B77" s="1431"/>
      <c r="C77" s="1432"/>
      <c r="D77" s="599" t="s">
        <v>187</v>
      </c>
      <c r="E77" s="845">
        <f>'27'!F77</f>
        <v>698540</v>
      </c>
      <c r="F77" s="830">
        <v>698588</v>
      </c>
      <c r="G77" s="733">
        <f t="shared" si="6"/>
        <v>48</v>
      </c>
      <c r="H77" s="536">
        <f>G77+'27'!H77</f>
        <v>0</v>
      </c>
      <c r="I77" s="581"/>
      <c r="J77" s="629">
        <f>H77/DAY(B2)</f>
        <v>0</v>
      </c>
      <c r="K77" s="469"/>
      <c r="L77" s="408"/>
      <c r="N77" s="1189">
        <f>F77-'1'!E77</f>
        <v>0</v>
      </c>
    </row>
    <row r="78" spans="1:14" ht="27.75">
      <c r="A78" s="1232" t="s">
        <v>197</v>
      </c>
      <c r="B78" s="1203"/>
      <c r="C78" s="1203"/>
      <c r="D78" s="599" t="s">
        <v>187</v>
      </c>
      <c r="E78" s="845">
        <f>'27'!F78</f>
        <v>652450</v>
      </c>
      <c r="F78" s="830">
        <v>652863</v>
      </c>
      <c r="G78" s="733">
        <f t="shared" si="6"/>
        <v>413</v>
      </c>
      <c r="H78" s="536">
        <f>G78+'27'!H78</f>
        <v>0</v>
      </c>
      <c r="I78" s="581"/>
      <c r="J78" s="629">
        <f>H78/DAY(B2)</f>
        <v>0</v>
      </c>
      <c r="K78" s="469"/>
      <c r="L78" s="408"/>
      <c r="N78" s="1189">
        <f>F78-'1'!E78</f>
        <v>0</v>
      </c>
    </row>
    <row r="79" spans="1:14" ht="27.75">
      <c r="A79" s="1479" t="s">
        <v>92</v>
      </c>
      <c r="B79" s="1480"/>
      <c r="C79" s="1481"/>
      <c r="D79" s="600" t="s">
        <v>187</v>
      </c>
      <c r="E79" s="845">
        <f>'27'!F79</f>
        <v>814871</v>
      </c>
      <c r="F79" s="831">
        <v>815109</v>
      </c>
      <c r="G79" s="549">
        <f t="shared" si="6"/>
        <v>238</v>
      </c>
      <c r="H79" s="536">
        <f>G79+'27'!H79</f>
        <v>-2627</v>
      </c>
      <c r="I79" s="581"/>
      <c r="J79" s="629">
        <f>H79/DAY(B2)</f>
        <v>-93.821428571428569</v>
      </c>
      <c r="K79" s="469"/>
      <c r="L79" s="408"/>
      <c r="N79" s="1189">
        <f>F79-'1'!E79</f>
        <v>0</v>
      </c>
    </row>
    <row r="80" spans="1:14" ht="27.75">
      <c r="A80" s="1479" t="s">
        <v>198</v>
      </c>
      <c r="B80" s="1480"/>
      <c r="C80" s="1481"/>
      <c r="D80" s="600" t="s">
        <v>187</v>
      </c>
      <c r="E80" s="845">
        <f>'27'!F80</f>
        <v>494265.84</v>
      </c>
      <c r="F80" s="830">
        <v>494673.64</v>
      </c>
      <c r="G80" s="549">
        <f t="shared" si="6"/>
        <v>407.79999999998836</v>
      </c>
      <c r="H80" s="536">
        <f>G80+'27'!H80</f>
        <v>2673.960000000021</v>
      </c>
      <c r="I80" s="581"/>
      <c r="J80" s="629">
        <f>H80/DAY(B2)</f>
        <v>95.498571428572177</v>
      </c>
      <c r="K80" s="469"/>
      <c r="L80" s="408"/>
      <c r="N80" s="1189">
        <f>F80-'1'!E80</f>
        <v>0</v>
      </c>
    </row>
    <row r="81" spans="1:17" ht="27.75">
      <c r="A81" s="1479" t="s">
        <v>199</v>
      </c>
      <c r="B81" s="1480"/>
      <c r="C81" s="1481"/>
      <c r="D81" s="600" t="s">
        <v>187</v>
      </c>
      <c r="E81" s="845">
        <f>'27'!F81</f>
        <v>625798.52</v>
      </c>
      <c r="F81" s="830">
        <v>625943.84</v>
      </c>
      <c r="G81" s="549">
        <f t="shared" si="6"/>
        <v>145.31999999994878</v>
      </c>
      <c r="H81" s="536">
        <f>G81+'27'!H81</f>
        <v>0</v>
      </c>
      <c r="I81" s="581"/>
      <c r="J81" s="629">
        <f>H81/DAY(B2)</f>
        <v>0</v>
      </c>
      <c r="K81" s="469"/>
      <c r="L81" s="408"/>
      <c r="N81" s="1189">
        <f>F81-'1'!E81</f>
        <v>0</v>
      </c>
    </row>
    <row r="82" spans="1:17" ht="27.75">
      <c r="A82" s="1479" t="s">
        <v>93</v>
      </c>
      <c r="B82" s="1480"/>
      <c r="C82" s="1481"/>
      <c r="D82" s="561" t="s">
        <v>132</v>
      </c>
      <c r="E82" s="845">
        <f>'27'!F82</f>
        <v>106185.82</v>
      </c>
      <c r="F82" s="827">
        <v>106202.48</v>
      </c>
      <c r="G82" s="549">
        <f t="shared" si="6"/>
        <v>16.659999999988941</v>
      </c>
      <c r="H82" s="536">
        <f>G82+'27'!H82</f>
        <v>0</v>
      </c>
      <c r="I82" s="562"/>
      <c r="J82" s="629">
        <f>H82/DAY(B2)</f>
        <v>0</v>
      </c>
      <c r="K82" s="469"/>
      <c r="L82" s="408"/>
      <c r="N82" s="1189">
        <f>F82-'1'!E82</f>
        <v>0</v>
      </c>
    </row>
    <row r="83" spans="1:17" ht="27.75">
      <c r="A83" s="1479" t="s">
        <v>200</v>
      </c>
      <c r="B83" s="1480"/>
      <c r="C83" s="1481"/>
      <c r="D83" s="697" t="s">
        <v>132</v>
      </c>
      <c r="E83" s="845">
        <f>'27'!F83</f>
        <v>995838</v>
      </c>
      <c r="F83" s="546">
        <v>996449</v>
      </c>
      <c r="G83" s="549">
        <f t="shared" si="6"/>
        <v>611</v>
      </c>
      <c r="H83" s="536">
        <f>G83+'27'!H83</f>
        <v>999852</v>
      </c>
      <c r="I83" s="557"/>
      <c r="J83" s="629">
        <f>H83/DAY(B2)</f>
        <v>35709</v>
      </c>
      <c r="K83" s="468"/>
      <c r="L83" s="408"/>
      <c r="N83" s="1189">
        <f>F83-'1'!E83</f>
        <v>0</v>
      </c>
    </row>
    <row r="84" spans="1:17">
      <c r="A84" s="1233" t="s">
        <v>201</v>
      </c>
      <c r="B84" s="648"/>
      <c r="C84" s="648"/>
      <c r="D84" s="554" t="s">
        <v>132</v>
      </c>
      <c r="E84" s="845">
        <f>'27'!F84</f>
        <v>430059</v>
      </c>
      <c r="F84" s="787">
        <v>430798</v>
      </c>
      <c r="G84" s="549">
        <f t="shared" si="6"/>
        <v>739</v>
      </c>
      <c r="H84" s="536">
        <f>G84+'27'!H84</f>
        <v>0</v>
      </c>
      <c r="I84" s="557"/>
      <c r="J84" s="629">
        <f>H84/DAY(B2)</f>
        <v>0</v>
      </c>
      <c r="K84" s="411"/>
      <c r="L84" s="408"/>
      <c r="N84" s="1189">
        <f>F84-'1'!E84</f>
        <v>0</v>
      </c>
    </row>
    <row r="85" spans="1:17" s="410" customFormat="1">
      <c r="A85" s="682" t="s">
        <v>202</v>
      </c>
      <c r="B85" s="649"/>
      <c r="C85" s="649"/>
      <c r="D85" s="565"/>
      <c r="E85" s="787">
        <f>'27'!F85</f>
        <v>0</v>
      </c>
      <c r="F85" s="536"/>
      <c r="G85" s="536">
        <f xml:space="preserve"> SUM(G72:G84)</f>
        <v>2993.1599999999257</v>
      </c>
      <c r="H85" s="536">
        <f>G85+'27'!H85</f>
        <v>997826.61999999988</v>
      </c>
      <c r="I85" s="557"/>
      <c r="J85" s="629">
        <f>H85/DAY(B2)</f>
        <v>35636.664999999994</v>
      </c>
      <c r="K85" s="411"/>
      <c r="L85" s="409"/>
      <c r="N85" s="1189">
        <f>F85-'1'!E85</f>
        <v>0</v>
      </c>
      <c r="O85" s="852"/>
      <c r="P85" s="852"/>
      <c r="Q85" s="852"/>
    </row>
    <row r="86" spans="1:17" s="817" customFormat="1">
      <c r="A86" s="812" t="s">
        <v>94</v>
      </c>
      <c r="B86" s="813"/>
      <c r="C86" s="813"/>
      <c r="D86" s="814" t="s">
        <v>183</v>
      </c>
      <c r="E86" s="787">
        <f>'27'!F86</f>
        <v>450283.44</v>
      </c>
      <c r="F86" s="832">
        <v>450368.53</v>
      </c>
      <c r="G86" s="787">
        <f t="shared" ref="G86:G88" si="7">F86-E86</f>
        <v>85.090000000025611</v>
      </c>
      <c r="H86" s="787">
        <f t="shared" ref="H86:H88" si="8">G86</f>
        <v>85.090000000025611</v>
      </c>
      <c r="I86" s="733"/>
      <c r="J86" s="789">
        <f>H86/DAY(B2)</f>
        <v>3.0389285714294862</v>
      </c>
      <c r="K86" s="815"/>
      <c r="L86" s="816"/>
      <c r="N86" s="1189">
        <f>F86-'1'!E86</f>
        <v>0</v>
      </c>
      <c r="O86" s="852"/>
      <c r="P86" s="852"/>
      <c r="Q86" s="853"/>
    </row>
    <row r="87" spans="1:17" s="817" customFormat="1">
      <c r="A87" s="812" t="s">
        <v>95</v>
      </c>
      <c r="B87" s="813"/>
      <c r="C87" s="813"/>
      <c r="D87" s="814" t="s">
        <v>183</v>
      </c>
      <c r="E87" s="787">
        <f>'27'!F87</f>
        <v>79194.600000000006</v>
      </c>
      <c r="F87" s="832">
        <v>79207.7</v>
      </c>
      <c r="G87" s="787">
        <f t="shared" si="7"/>
        <v>13.099999999991269</v>
      </c>
      <c r="H87" s="787">
        <f t="shared" si="8"/>
        <v>13.099999999991269</v>
      </c>
      <c r="I87" s="733"/>
      <c r="J87" s="789">
        <f>H87/DAY(B2)</f>
        <v>0.46785714285683105</v>
      </c>
      <c r="K87" s="815"/>
      <c r="L87" s="816"/>
      <c r="N87" s="1189">
        <f>F87-'1'!E87</f>
        <v>0</v>
      </c>
      <c r="O87" s="852"/>
      <c r="P87" s="852"/>
      <c r="Q87" s="853"/>
    </row>
    <row r="88" spans="1:17" s="817" customFormat="1">
      <c r="A88" s="812" t="s">
        <v>96</v>
      </c>
      <c r="B88" s="813"/>
      <c r="C88" s="813"/>
      <c r="D88" s="814" t="s">
        <v>183</v>
      </c>
      <c r="E88" s="787">
        <f>'27'!F88</f>
        <v>148233.9</v>
      </c>
      <c r="F88" s="832">
        <v>148264.60999999999</v>
      </c>
      <c r="G88" s="787">
        <f t="shared" si="7"/>
        <v>30.709999999991851</v>
      </c>
      <c r="H88" s="787">
        <f t="shared" si="8"/>
        <v>30.709999999991851</v>
      </c>
      <c r="I88" s="733"/>
      <c r="J88" s="789">
        <f>H88/DAY(B2)</f>
        <v>1.0967857142854232</v>
      </c>
      <c r="K88" s="815"/>
      <c r="L88" s="816"/>
      <c r="N88" s="1189">
        <f>F88-'1'!E88</f>
        <v>0</v>
      </c>
      <c r="O88" s="852"/>
      <c r="P88" s="852"/>
      <c r="Q88" s="853"/>
    </row>
    <row r="89" spans="1:17" s="817" customFormat="1">
      <c r="A89" s="812" t="s">
        <v>204</v>
      </c>
      <c r="B89" s="813"/>
      <c r="C89" s="813"/>
      <c r="D89" s="814" t="s">
        <v>183</v>
      </c>
      <c r="E89" s="787">
        <f>'27'!F89</f>
        <v>61623.6</v>
      </c>
      <c r="F89" s="832">
        <v>61675.1</v>
      </c>
      <c r="G89" s="787">
        <f t="shared" ref="G89:G90" si="9">F89-E89</f>
        <v>51.5</v>
      </c>
      <c r="H89" s="787">
        <f t="shared" ref="H89:H90" si="10">G89</f>
        <v>51.5</v>
      </c>
      <c r="I89" s="733"/>
      <c r="J89" s="789">
        <f>H89/DAY(B2)</f>
        <v>1.8392857142857142</v>
      </c>
      <c r="K89" s="815"/>
      <c r="L89" s="816"/>
      <c r="N89" s="1189">
        <f>F89-'1'!E89</f>
        <v>0</v>
      </c>
      <c r="O89" s="413"/>
    </row>
    <row r="90" spans="1:17" s="817" customFormat="1">
      <c r="A90" s="812" t="s">
        <v>204</v>
      </c>
      <c r="B90" s="813"/>
      <c r="C90" s="813"/>
      <c r="D90" s="814" t="s">
        <v>183</v>
      </c>
      <c r="E90" s="787">
        <f>'27'!F90</f>
        <v>3161.9</v>
      </c>
      <c r="F90" s="832">
        <v>3162.9</v>
      </c>
      <c r="G90" s="787">
        <f t="shared" si="9"/>
        <v>1</v>
      </c>
      <c r="H90" s="787">
        <f t="shared" si="10"/>
        <v>1</v>
      </c>
      <c r="I90" s="733"/>
      <c r="J90" s="789">
        <f>H90/DAY(B2)</f>
        <v>3.5714285714285712E-2</v>
      </c>
      <c r="K90" s="815"/>
      <c r="L90" s="816"/>
      <c r="N90" s="1189">
        <f>F90-'1'!E90</f>
        <v>0</v>
      </c>
      <c r="O90" s="413"/>
    </row>
    <row r="91" spans="1:17" s="410" customFormat="1">
      <c r="A91" s="683" t="s">
        <v>205</v>
      </c>
      <c r="B91" s="1235"/>
      <c r="C91" s="1235"/>
      <c r="D91" s="548"/>
      <c r="E91" s="821"/>
      <c r="F91" s="821"/>
      <c r="G91" s="564"/>
      <c r="H91" s="548"/>
      <c r="I91" s="548"/>
      <c r="J91" s="628"/>
      <c r="K91" s="411"/>
      <c r="L91" s="409"/>
      <c r="N91" s="1189">
        <f>F91-'1'!E91</f>
        <v>0</v>
      </c>
      <c r="O91" s="852"/>
      <c r="P91" s="852"/>
      <c r="Q91" s="852"/>
    </row>
    <row r="92" spans="1:17" ht="27.75">
      <c r="A92" s="1433" t="s">
        <v>206</v>
      </c>
      <c r="B92" s="1434"/>
      <c r="C92" s="1435"/>
      <c r="D92" s="599" t="s">
        <v>144</v>
      </c>
      <c r="E92" s="841">
        <f>'27'!F92</f>
        <v>239551</v>
      </c>
      <c r="F92" s="820">
        <v>239695</v>
      </c>
      <c r="G92" s="549">
        <f t="shared" ref="G92:G93" si="11">F92-E92</f>
        <v>144</v>
      </c>
      <c r="H92" s="536">
        <f>G92+'27'!H92</f>
        <v>0</v>
      </c>
      <c r="I92" s="556"/>
      <c r="J92" s="629">
        <f>H92/DAY(B2)</f>
        <v>0</v>
      </c>
      <c r="K92" s="468"/>
      <c r="L92" s="408"/>
      <c r="N92" s="1189">
        <f>F92-'1'!E92</f>
        <v>0</v>
      </c>
    </row>
    <row r="93" spans="1:17" ht="27.75">
      <c r="A93" s="1433" t="s">
        <v>207</v>
      </c>
      <c r="B93" s="1434"/>
      <c r="C93" s="1435"/>
      <c r="D93" s="599" t="s">
        <v>144</v>
      </c>
      <c r="E93" s="841">
        <f>'27'!F93</f>
        <v>175460</v>
      </c>
      <c r="F93" s="820">
        <v>175661</v>
      </c>
      <c r="G93" s="549">
        <f t="shared" si="11"/>
        <v>201</v>
      </c>
      <c r="H93" s="536">
        <f>G93+'27'!H93</f>
        <v>0</v>
      </c>
      <c r="I93" s="556"/>
      <c r="J93" s="629">
        <f>H93/DAY(B2)</f>
        <v>0</v>
      </c>
      <c r="K93" s="411"/>
      <c r="L93" s="408"/>
      <c r="N93" s="1189">
        <f>F93-'1'!E93</f>
        <v>0</v>
      </c>
    </row>
    <row r="94" spans="1:17">
      <c r="A94" s="1427" t="s">
        <v>208</v>
      </c>
      <c r="B94" s="1428"/>
      <c r="C94" s="1429"/>
      <c r="D94" s="599"/>
      <c r="E94" s="841">
        <f>'27'!F94</f>
        <v>0</v>
      </c>
      <c r="F94" s="820"/>
      <c r="G94" s="549">
        <f>G92+G93</f>
        <v>345</v>
      </c>
      <c r="H94" s="536">
        <f>G94+'27'!H94</f>
        <v>-266</v>
      </c>
      <c r="I94" s="556"/>
      <c r="J94" s="629">
        <f>H94/DAY(B2)</f>
        <v>-9.5</v>
      </c>
      <c r="K94" s="411"/>
      <c r="L94" s="408"/>
      <c r="N94" s="1189">
        <f>F94-'1'!E94</f>
        <v>0</v>
      </c>
    </row>
    <row r="95" spans="1:17" ht="27.75">
      <c r="A95" s="1433" t="s">
        <v>209</v>
      </c>
      <c r="B95" s="1434"/>
      <c r="C95" s="1435"/>
      <c r="D95" s="599" t="s">
        <v>144</v>
      </c>
      <c r="E95" s="841">
        <f>'27'!F95</f>
        <v>408066</v>
      </c>
      <c r="F95" s="820">
        <v>408156</v>
      </c>
      <c r="G95" s="549">
        <f t="shared" ref="G95:G100" si="12">F95-E95</f>
        <v>90</v>
      </c>
      <c r="H95" s="536">
        <f>G95+'27'!H95</f>
        <v>0</v>
      </c>
      <c r="I95" s="556"/>
      <c r="J95" s="629">
        <f>H95/DAY(B2)</f>
        <v>0</v>
      </c>
      <c r="K95" s="411"/>
      <c r="L95" s="408"/>
      <c r="N95" s="1189">
        <f>F95-'1'!E95</f>
        <v>0</v>
      </c>
    </row>
    <row r="96" spans="1:17" ht="27.75">
      <c r="A96" s="1229" t="s">
        <v>210</v>
      </c>
      <c r="B96" s="1230"/>
      <c r="C96" s="1230"/>
      <c r="D96" s="599" t="s">
        <v>144</v>
      </c>
      <c r="E96" s="841">
        <f>'27'!F96</f>
        <v>101292</v>
      </c>
      <c r="F96" s="820">
        <v>101332</v>
      </c>
      <c r="G96" s="549">
        <f t="shared" si="12"/>
        <v>40</v>
      </c>
      <c r="H96" s="536">
        <f>G96+'27'!H96</f>
        <v>0</v>
      </c>
      <c r="I96" s="556"/>
      <c r="J96" s="629">
        <f>H96/DAY(B2)</f>
        <v>0</v>
      </c>
      <c r="K96" s="466"/>
      <c r="L96" s="408"/>
      <c r="N96" s="1189">
        <f>F96-'1'!E96</f>
        <v>0</v>
      </c>
    </row>
    <row r="97" spans="1:17" ht="27.75">
      <c r="A97" s="1229" t="s">
        <v>211</v>
      </c>
      <c r="B97" s="1230"/>
      <c r="C97" s="1230"/>
      <c r="D97" s="599" t="s">
        <v>144</v>
      </c>
      <c r="E97" s="841">
        <f>'27'!F97</f>
        <v>96419</v>
      </c>
      <c r="F97" s="820">
        <v>96449</v>
      </c>
      <c r="G97" s="549">
        <f t="shared" si="12"/>
        <v>30</v>
      </c>
      <c r="H97" s="536">
        <f>G97+'27'!H97</f>
        <v>0</v>
      </c>
      <c r="I97" s="556"/>
      <c r="J97" s="629">
        <f>H97/DAY(B2)</f>
        <v>0</v>
      </c>
      <c r="K97" s="471"/>
      <c r="L97" s="408"/>
      <c r="N97" s="1189">
        <f>F97-'1'!E97</f>
        <v>0</v>
      </c>
    </row>
    <row r="98" spans="1:17" ht="27.75">
      <c r="A98" s="1229" t="s">
        <v>212</v>
      </c>
      <c r="B98" s="1230"/>
      <c r="C98" s="1230"/>
      <c r="D98" s="599" t="s">
        <v>144</v>
      </c>
      <c r="E98" s="841">
        <f>'27'!F98</f>
        <v>147539</v>
      </c>
      <c r="F98" s="820">
        <v>147608</v>
      </c>
      <c r="G98" s="549">
        <f t="shared" si="12"/>
        <v>69</v>
      </c>
      <c r="H98" s="536">
        <f>G98+'27'!H98</f>
        <v>0</v>
      </c>
      <c r="I98" s="556"/>
      <c r="J98" s="629">
        <f>H98/DAY(B2)</f>
        <v>0</v>
      </c>
      <c r="K98" s="411"/>
      <c r="L98" s="408"/>
      <c r="N98" s="1189">
        <f>F98-'1'!E98</f>
        <v>0</v>
      </c>
    </row>
    <row r="99" spans="1:17" ht="27.75">
      <c r="A99" s="1229" t="s">
        <v>213</v>
      </c>
      <c r="B99" s="1230"/>
      <c r="C99" s="1230"/>
      <c r="D99" s="599" t="s">
        <v>144</v>
      </c>
      <c r="E99" s="841">
        <f>'27'!F99</f>
        <v>6381</v>
      </c>
      <c r="F99" s="820">
        <v>6408</v>
      </c>
      <c r="G99" s="549">
        <f t="shared" si="12"/>
        <v>27</v>
      </c>
      <c r="H99" s="536">
        <f>G99+'27'!H99</f>
        <v>0</v>
      </c>
      <c r="I99" s="556"/>
      <c r="J99" s="629">
        <f>H99/DAY(B2)</f>
        <v>0</v>
      </c>
      <c r="K99" s="411"/>
      <c r="L99" s="408"/>
      <c r="N99" s="1189">
        <f>F99-'1'!E99</f>
        <v>0</v>
      </c>
    </row>
    <row r="100" spans="1:17" ht="27.75">
      <c r="A100" s="1229" t="s">
        <v>214</v>
      </c>
      <c r="B100" s="1230"/>
      <c r="C100" s="1230"/>
      <c r="D100" s="599" t="s">
        <v>144</v>
      </c>
      <c r="E100" s="841">
        <f>'27'!F100</f>
        <v>4511</v>
      </c>
      <c r="F100" s="820">
        <v>4543</v>
      </c>
      <c r="G100" s="549">
        <f t="shared" si="12"/>
        <v>32</v>
      </c>
      <c r="H100" s="536">
        <f>G100+'27'!H100</f>
        <v>0</v>
      </c>
      <c r="I100" s="556"/>
      <c r="J100" s="629">
        <f>H100/DAY(B2)</f>
        <v>0</v>
      </c>
      <c r="K100" s="411"/>
      <c r="L100" s="408"/>
      <c r="N100" s="1189">
        <f>F100-'1'!E100</f>
        <v>0</v>
      </c>
    </row>
    <row r="101" spans="1:17">
      <c r="A101" s="1427" t="s">
        <v>216</v>
      </c>
      <c r="B101" s="1428"/>
      <c r="C101" s="1429"/>
      <c r="D101" s="600"/>
      <c r="E101" s="562"/>
      <c r="F101" s="562"/>
      <c r="G101" s="601">
        <f>SUM(G95:G100)</f>
        <v>288</v>
      </c>
      <c r="H101" s="536">
        <f>G101+'27'!H101</f>
        <v>0</v>
      </c>
      <c r="I101" s="602"/>
      <c r="J101" s="629">
        <f>H101/DAY(B2)</f>
        <v>0</v>
      </c>
      <c r="K101" s="411"/>
      <c r="L101" s="408"/>
      <c r="N101" s="1189">
        <f>F101-'1'!E101</f>
        <v>0</v>
      </c>
    </row>
    <row r="102" spans="1:17" s="481" customFormat="1" ht="27">
      <c r="A102" s="684" t="s">
        <v>217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1189">
        <f>F102-'1'!E102</f>
        <v>0</v>
      </c>
      <c r="O102" s="852"/>
      <c r="P102" s="852"/>
      <c r="Q102" s="852"/>
    </row>
    <row r="103" spans="1:17" s="481" customFormat="1" ht="27">
      <c r="A103" s="1436" t="s">
        <v>218</v>
      </c>
      <c r="B103" s="1437"/>
      <c r="C103" s="650"/>
      <c r="D103" s="699"/>
      <c r="E103" s="609"/>
      <c r="F103" s="834"/>
      <c r="G103" s="608"/>
      <c r="H103" s="609"/>
      <c r="I103" s="608"/>
      <c r="J103" s="635"/>
      <c r="N103" s="1189">
        <f>F103-'1'!E103</f>
        <v>0</v>
      </c>
      <c r="O103" s="852"/>
      <c r="P103" s="852"/>
      <c r="Q103" s="852"/>
    </row>
    <row r="104" spans="1:17" s="481" customFormat="1" ht="27">
      <c r="A104" s="1438" t="s">
        <v>219</v>
      </c>
      <c r="B104" s="1439"/>
      <c r="C104" s="1228"/>
      <c r="D104" s="699" t="s">
        <v>144</v>
      </c>
      <c r="E104" s="609">
        <f>'27'!F104</f>
        <v>7128</v>
      </c>
      <c r="F104" s="834">
        <v>7128</v>
      </c>
      <c r="G104" s="608">
        <f>F104-E104</f>
        <v>0</v>
      </c>
      <c r="H104" s="609">
        <f>SUM(G104+'1'!G76)</f>
        <v>79.150000000000091</v>
      </c>
      <c r="I104" s="608"/>
      <c r="J104" s="635">
        <f>H104/DAY(B2)</f>
        <v>2.8267857142857173</v>
      </c>
      <c r="N104" s="1189">
        <f>F104-'1'!E104</f>
        <v>0</v>
      </c>
      <c r="O104" s="852"/>
      <c r="P104" s="852"/>
      <c r="Q104" s="852"/>
    </row>
    <row r="105" spans="1:17" s="481" customFormat="1" ht="27">
      <c r="A105" s="1438" t="s">
        <v>77</v>
      </c>
      <c r="B105" s="1439"/>
      <c r="C105" s="1228"/>
      <c r="D105" s="699" t="s">
        <v>144</v>
      </c>
      <c r="E105" s="609">
        <f>'27'!F105</f>
        <v>35398</v>
      </c>
      <c r="F105" s="741">
        <v>35407</v>
      </c>
      <c r="G105" s="608">
        <f t="shared" ref="G105" si="13">F105-E105</f>
        <v>9</v>
      </c>
      <c r="H105" s="609">
        <f>SUM(G105+'1'!G77)</f>
        <v>54</v>
      </c>
      <c r="I105" s="608"/>
      <c r="J105" s="635">
        <f>H105/DAY(B2)</f>
        <v>1.9285714285714286</v>
      </c>
      <c r="N105" s="1189">
        <f>F105-'1'!E105</f>
        <v>0</v>
      </c>
      <c r="O105" s="852"/>
      <c r="P105" s="852"/>
      <c r="Q105" s="852"/>
    </row>
    <row r="106" spans="1:17" s="481" customFormat="1" ht="27">
      <c r="A106" s="1438" t="s">
        <v>78</v>
      </c>
      <c r="B106" s="1440"/>
      <c r="C106" s="1439"/>
      <c r="D106" s="699" t="s">
        <v>144</v>
      </c>
      <c r="E106" s="609">
        <f>'27'!F106</f>
        <v>19241</v>
      </c>
      <c r="F106" s="741">
        <v>19247</v>
      </c>
      <c r="G106" s="608">
        <f>F106-E106</f>
        <v>6</v>
      </c>
      <c r="H106" s="609">
        <f>SUM(G106+'1'!G78)</f>
        <v>396</v>
      </c>
      <c r="I106" s="608"/>
      <c r="J106" s="635">
        <f>H106/DAY(B2)</f>
        <v>14.142857142857142</v>
      </c>
      <c r="N106" s="1189">
        <f>F106-'1'!E106</f>
        <v>0</v>
      </c>
      <c r="O106" s="852"/>
      <c r="P106" s="852"/>
      <c r="Q106" s="852"/>
    </row>
    <row r="107" spans="1:17" s="481" customFormat="1" ht="27">
      <c r="A107" s="1441" t="s">
        <v>202</v>
      </c>
      <c r="B107" s="1442"/>
      <c r="C107" s="1228"/>
      <c r="D107" s="699"/>
      <c r="E107" s="609">
        <f>'27'!F107</f>
        <v>0</v>
      </c>
      <c r="F107" s="741"/>
      <c r="G107" s="608">
        <f>SUM(G104:G106)</f>
        <v>15</v>
      </c>
      <c r="H107" s="609">
        <f>SUM(G107+'1'!G79)</f>
        <v>207</v>
      </c>
      <c r="I107" s="608"/>
      <c r="J107" s="635">
        <f>H107/DAY(B2)</f>
        <v>7.3928571428571432</v>
      </c>
      <c r="N107" s="1189">
        <f>F107-'1'!E107</f>
        <v>0</v>
      </c>
      <c r="O107" s="852"/>
      <c r="P107" s="852"/>
      <c r="Q107" s="852"/>
    </row>
    <row r="108" spans="1:17" s="481" customFormat="1" ht="27">
      <c r="A108" s="1443" t="s">
        <v>79</v>
      </c>
      <c r="B108" s="1444"/>
      <c r="C108" s="1228"/>
      <c r="D108" s="699" t="s">
        <v>144</v>
      </c>
      <c r="E108" s="609">
        <f>'27'!F108</f>
        <v>0</v>
      </c>
      <c r="F108" s="741"/>
      <c r="G108" s="608"/>
      <c r="H108" s="609"/>
      <c r="I108" s="608"/>
      <c r="J108" s="635"/>
      <c r="N108" s="1189">
        <f>F108-'1'!E108</f>
        <v>0</v>
      </c>
      <c r="O108" s="852"/>
      <c r="P108" s="852"/>
      <c r="Q108" s="852"/>
    </row>
    <row r="109" spans="1:17" s="481" customFormat="1" ht="27">
      <c r="A109" s="1438" t="s">
        <v>220</v>
      </c>
      <c r="B109" s="1439"/>
      <c r="C109" s="1228"/>
      <c r="D109" s="699" t="s">
        <v>144</v>
      </c>
      <c r="E109" s="609">
        <f>'27'!F109</f>
        <v>56292</v>
      </c>
      <c r="F109" s="741">
        <v>56353</v>
      </c>
      <c r="G109" s="608">
        <f>F109-E109</f>
        <v>61</v>
      </c>
      <c r="H109" s="609">
        <f>SUM(G109+'1'!G81)</f>
        <v>173.56000000005588</v>
      </c>
      <c r="I109" s="608"/>
      <c r="J109" s="635">
        <f>H109/DAY(B2)</f>
        <v>6.1985714285734241</v>
      </c>
      <c r="N109" s="1189">
        <f>F109-'1'!E109</f>
        <v>0</v>
      </c>
      <c r="O109" s="852"/>
      <c r="P109" s="852"/>
      <c r="Q109" s="852"/>
    </row>
    <row r="110" spans="1:17" s="481" customFormat="1" ht="27">
      <c r="A110" s="1438" t="s">
        <v>221</v>
      </c>
      <c r="B110" s="1439"/>
      <c r="C110" s="1228"/>
      <c r="D110" s="699" t="s">
        <v>144</v>
      </c>
      <c r="E110" s="609">
        <f>'27'!F110</f>
        <v>30478</v>
      </c>
      <c r="F110" s="741">
        <v>30527</v>
      </c>
      <c r="G110" s="608">
        <f t="shared" ref="G110:G111" si="14">F110-E110</f>
        <v>49</v>
      </c>
      <c r="H110" s="609">
        <f>SUM(G110+'1'!G82)</f>
        <v>67.169999999998254</v>
      </c>
      <c r="I110" s="608"/>
      <c r="J110" s="635">
        <f>H110/DAY(B2)</f>
        <v>2.3989285714285091</v>
      </c>
      <c r="N110" s="1189">
        <f>F110-'1'!E110</f>
        <v>0</v>
      </c>
      <c r="O110" s="852"/>
      <c r="P110" s="852"/>
      <c r="Q110" s="852"/>
    </row>
    <row r="111" spans="1:17" s="481" customFormat="1" ht="27">
      <c r="A111" s="1438" t="s">
        <v>222</v>
      </c>
      <c r="B111" s="1439"/>
      <c r="C111" s="1228"/>
      <c r="D111" s="699" t="s">
        <v>144</v>
      </c>
      <c r="E111" s="609">
        <f>'27'!F111</f>
        <v>3980</v>
      </c>
      <c r="F111" s="741">
        <v>3980</v>
      </c>
      <c r="G111" s="610">
        <f t="shared" si="14"/>
        <v>0</v>
      </c>
      <c r="H111" s="609">
        <f>SUM(G111+'1'!G83)</f>
        <v>520</v>
      </c>
      <c r="I111" s="608"/>
      <c r="J111" s="635">
        <f>H111/DAY(B2)</f>
        <v>18.571428571428573</v>
      </c>
      <c r="N111" s="1189">
        <f>F111-'1'!E111</f>
        <v>0</v>
      </c>
      <c r="O111" s="852"/>
      <c r="P111" s="852"/>
      <c r="Q111" s="852"/>
    </row>
    <row r="112" spans="1:17" s="481" customFormat="1" ht="27">
      <c r="A112" s="1441" t="s">
        <v>110</v>
      </c>
      <c r="B112" s="1442"/>
      <c r="C112" s="1228"/>
      <c r="D112" s="699"/>
      <c r="E112" s="609">
        <f>'27'!F112</f>
        <v>0</v>
      </c>
      <c r="F112" s="741"/>
      <c r="G112" s="608">
        <f>SUM(G109:G111)</f>
        <v>110</v>
      </c>
      <c r="H112" s="609">
        <f>SUM(G112+'1'!G84)</f>
        <v>800</v>
      </c>
      <c r="I112" s="608"/>
      <c r="J112" s="635">
        <f>H112/DAY(B2)</f>
        <v>28.571428571428573</v>
      </c>
      <c r="N112" s="1189">
        <f>F112-'1'!E112</f>
        <v>0</v>
      </c>
      <c r="O112" s="852"/>
      <c r="P112" s="852"/>
      <c r="Q112" s="852"/>
    </row>
    <row r="113" spans="1:17" s="481" customFormat="1" ht="27">
      <c r="A113" s="1443" t="s">
        <v>223</v>
      </c>
      <c r="B113" s="1444"/>
      <c r="C113" s="1228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189">
        <f>F113-'1'!E113</f>
        <v>0</v>
      </c>
      <c r="O113" s="852"/>
      <c r="P113" s="852"/>
      <c r="Q113" s="852"/>
    </row>
    <row r="114" spans="1:17" s="481" customFormat="1" ht="27">
      <c r="A114" s="1438" t="s">
        <v>224</v>
      </c>
      <c r="B114" s="1439"/>
      <c r="C114" s="651"/>
      <c r="D114" s="699" t="s">
        <v>144</v>
      </c>
      <c r="E114" s="609">
        <f>'27'!F114</f>
        <v>10290</v>
      </c>
      <c r="F114" s="741">
        <v>10322</v>
      </c>
      <c r="G114" s="610">
        <f>F114-E114</f>
        <v>32</v>
      </c>
      <c r="H114" s="609">
        <f>SUM(G114+'1'!G91)</f>
        <v>32</v>
      </c>
      <c r="I114" s="608"/>
      <c r="J114" s="635">
        <f>H114/DAY(B2)</f>
        <v>1.1428571428571428</v>
      </c>
      <c r="N114" s="1189">
        <f>F114-'1'!E114</f>
        <v>0</v>
      </c>
      <c r="O114" s="852"/>
      <c r="P114" s="852"/>
      <c r="Q114" s="852"/>
    </row>
    <row r="115" spans="1:17" s="481" customFormat="1" ht="27">
      <c r="A115" s="1438" t="s">
        <v>225</v>
      </c>
      <c r="B115" s="1439"/>
      <c r="C115" s="651"/>
      <c r="D115" s="699" t="s">
        <v>144</v>
      </c>
      <c r="E115" s="609">
        <f>'27'!F115</f>
        <v>7644</v>
      </c>
      <c r="F115" s="741">
        <v>7667</v>
      </c>
      <c r="G115" s="610">
        <f t="shared" ref="G115:G116" si="15">F115-E115</f>
        <v>23</v>
      </c>
      <c r="H115" s="609">
        <f>SUM(G115+'1'!G92)</f>
        <v>145</v>
      </c>
      <c r="I115" s="608"/>
      <c r="J115" s="635">
        <f>H115/DAY(B2)</f>
        <v>5.1785714285714288</v>
      </c>
      <c r="N115" s="1189">
        <f>F115-'1'!E115</f>
        <v>0</v>
      </c>
      <c r="O115" s="852"/>
      <c r="P115" s="852"/>
      <c r="Q115" s="852"/>
    </row>
    <row r="116" spans="1:17" s="481" customFormat="1" ht="27">
      <c r="A116" s="1438" t="s">
        <v>226</v>
      </c>
      <c r="B116" s="1439"/>
      <c r="C116" s="651"/>
      <c r="D116" s="699" t="s">
        <v>144</v>
      </c>
      <c r="E116" s="612"/>
      <c r="F116" s="741"/>
      <c r="G116" s="610">
        <f t="shared" si="15"/>
        <v>0</v>
      </c>
      <c r="H116" s="609">
        <f>SUM(G116+'1'!G93)</f>
        <v>144</v>
      </c>
      <c r="I116" s="608"/>
      <c r="J116" s="635">
        <f>H116/DAY(B2)</f>
        <v>5.1428571428571432</v>
      </c>
      <c r="N116" s="1189">
        <f>F116-'1'!E116</f>
        <v>0</v>
      </c>
      <c r="O116" s="852"/>
      <c r="P116" s="852"/>
      <c r="Q116" s="852"/>
    </row>
    <row r="117" spans="1:17" s="494" customFormat="1" ht="27">
      <c r="A117" s="1441" t="s">
        <v>202</v>
      </c>
      <c r="B117" s="1442"/>
      <c r="C117" s="651"/>
      <c r="D117" s="700"/>
      <c r="E117" s="612"/>
      <c r="F117" s="741"/>
      <c r="G117" s="610">
        <f>SUM(G114:G116)</f>
        <v>55</v>
      </c>
      <c r="H117" s="609">
        <f>SUM(G117+'1'!G95)</f>
        <v>131</v>
      </c>
      <c r="I117" s="610"/>
      <c r="J117" s="635">
        <f>H117/DAY(B2)</f>
        <v>4.6785714285714288</v>
      </c>
      <c r="N117" s="1189">
        <f>F117-'1'!E117</f>
        <v>0</v>
      </c>
      <c r="O117" s="852"/>
      <c r="P117" s="852"/>
      <c r="Q117" s="853"/>
    </row>
    <row r="118" spans="1:17" s="495" customFormat="1" ht="27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196</v>
      </c>
      <c r="G118" s="612">
        <f>SUM(G19+G92)</f>
        <v>196</v>
      </c>
      <c r="H118" s="609">
        <f>SUM(G118+'1'!G96)</f>
        <v>209</v>
      </c>
      <c r="I118" s="611"/>
      <c r="J118" s="636">
        <f>H118/DAY(B2)</f>
        <v>7.4642857142857144</v>
      </c>
      <c r="N118" s="1189">
        <f>F118-'1'!E118</f>
        <v>-374137</v>
      </c>
      <c r="O118" s="852"/>
      <c r="P118" s="852"/>
      <c r="Q118" s="853"/>
    </row>
    <row r="119" spans="1:17" s="495" customFormat="1" ht="27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219</v>
      </c>
      <c r="G119" s="612">
        <f>SUM(G95,G96,G97,G99,G100)</f>
        <v>219</v>
      </c>
      <c r="H119" s="609">
        <f>SUM(G119+'1'!G98)</f>
        <v>289</v>
      </c>
      <c r="I119" s="611"/>
      <c r="J119" s="636">
        <f>H119/DAY(B2)</f>
        <v>10.321428571428571</v>
      </c>
      <c r="N119" s="1189">
        <f>F119-'1'!E119</f>
        <v>-616813</v>
      </c>
      <c r="O119" s="852"/>
      <c r="P119" s="852"/>
      <c r="Q119" s="853"/>
    </row>
    <row r="120" spans="1:17" s="495" customFormat="1" ht="27">
      <c r="A120" s="1472" t="s">
        <v>229</v>
      </c>
      <c r="B120" s="1473"/>
      <c r="C120" s="1226"/>
      <c r="D120" s="701" t="s">
        <v>144</v>
      </c>
      <c r="E120" s="612"/>
      <c r="F120" s="741">
        <f>SUM(G112)</f>
        <v>110</v>
      </c>
      <c r="G120" s="610">
        <f>SUM(G112)</f>
        <v>110</v>
      </c>
      <c r="H120" s="609">
        <f>SUM(G120+'1'!G100)</f>
        <v>124</v>
      </c>
      <c r="I120" s="611"/>
      <c r="J120" s="636">
        <f>H120/DAY(B2)</f>
        <v>4.4285714285714288</v>
      </c>
      <c r="N120" s="1189">
        <f>F120-'1'!E120</f>
        <v>110</v>
      </c>
      <c r="O120" s="852"/>
      <c r="P120" s="852"/>
      <c r="Q120" s="853"/>
    </row>
    <row r="121" spans="1:17" s="481" customFormat="1" ht="27">
      <c r="A121" s="1474"/>
      <c r="B121" s="1475"/>
      <c r="C121" s="1227"/>
      <c r="D121" s="637"/>
      <c r="E121" s="848"/>
      <c r="F121" s="835" t="s">
        <v>215</v>
      </c>
      <c r="G121" s="637"/>
      <c r="H121" s="638"/>
      <c r="I121" s="637"/>
      <c r="J121" s="639"/>
      <c r="N121" s="1189" t="e">
        <f>F121-'1'!E121</f>
        <v>#VALUE!</v>
      </c>
      <c r="O121" s="852"/>
      <c r="P121" s="852"/>
      <c r="Q121" s="852"/>
    </row>
    <row r="122" spans="1:17">
      <c r="A122" s="1424" t="s">
        <v>230</v>
      </c>
      <c r="B122" s="1425"/>
      <c r="C122" s="1426"/>
      <c r="D122" s="548"/>
      <c r="E122" s="821"/>
      <c r="F122" s="821"/>
      <c r="G122" s="559"/>
      <c r="H122" s="559"/>
      <c r="I122" s="559"/>
      <c r="J122" s="640"/>
      <c r="K122" s="411"/>
      <c r="L122" s="408"/>
      <c r="N122" s="1189">
        <f>F122-'1'!E122</f>
        <v>0</v>
      </c>
    </row>
    <row r="123" spans="1:17" ht="27.75">
      <c r="A123" s="1229" t="s">
        <v>231</v>
      </c>
      <c r="B123" s="1230"/>
      <c r="C123" s="1230"/>
      <c r="D123" s="599" t="s">
        <v>141</v>
      </c>
      <c r="E123" s="820">
        <f>'27'!F123</f>
        <v>810733.098</v>
      </c>
      <c r="F123" s="820">
        <v>811006.84</v>
      </c>
      <c r="G123" s="549">
        <f t="shared" ref="G123:G127" si="16">F123-E123</f>
        <v>273.74199999996927</v>
      </c>
      <c r="H123" s="536">
        <f>G123+'27'!H123</f>
        <v>0</v>
      </c>
      <c r="I123" s="602"/>
      <c r="J123" s="629">
        <f>H123/DAY(B2)</f>
        <v>0</v>
      </c>
      <c r="K123" s="411"/>
      <c r="L123" s="408"/>
      <c r="N123" s="1189">
        <f>F123-'1'!E123</f>
        <v>0</v>
      </c>
    </row>
    <row r="124" spans="1:17" ht="27.75">
      <c r="A124" s="1229" t="s">
        <v>232</v>
      </c>
      <c r="B124" s="1230"/>
      <c r="C124" s="1230"/>
      <c r="D124" s="599" t="s">
        <v>141</v>
      </c>
      <c r="E124" s="820">
        <f>'27'!F124</f>
        <v>73583.399999999994</v>
      </c>
      <c r="F124" s="836">
        <v>73583.399999999994</v>
      </c>
      <c r="G124" s="549">
        <f t="shared" si="16"/>
        <v>0</v>
      </c>
      <c r="H124" s="536">
        <f>G124+'27'!H124</f>
        <v>0</v>
      </c>
      <c r="I124" s="602"/>
      <c r="J124" s="629">
        <f>H124/DAY(B2)</f>
        <v>0</v>
      </c>
      <c r="K124" s="411"/>
      <c r="L124" s="408"/>
      <c r="N124" s="1189">
        <f>F124-'1'!E124</f>
        <v>0</v>
      </c>
    </row>
    <row r="125" spans="1:17" ht="27.75">
      <c r="A125" s="1430" t="s">
        <v>233</v>
      </c>
      <c r="B125" s="1431"/>
      <c r="C125" s="1432"/>
      <c r="D125" s="599" t="s">
        <v>141</v>
      </c>
      <c r="E125" s="820">
        <f>'27'!F125</f>
        <v>139911.53</v>
      </c>
      <c r="F125" s="820">
        <v>139979.34</v>
      </c>
      <c r="G125" s="549">
        <f t="shared" si="16"/>
        <v>67.809999999997672</v>
      </c>
      <c r="H125" s="536">
        <f>G125+'27'!H125</f>
        <v>0</v>
      </c>
      <c r="I125" s="602"/>
      <c r="J125" s="629">
        <f>H125/DAY(B2)</f>
        <v>0</v>
      </c>
      <c r="K125" s="411"/>
      <c r="L125" s="408"/>
      <c r="N125" s="1189">
        <f>F125-'1'!E125</f>
        <v>0</v>
      </c>
    </row>
    <row r="126" spans="1:17" ht="27.75">
      <c r="A126" s="686" t="s">
        <v>234</v>
      </c>
      <c r="B126" s="1230"/>
      <c r="C126" s="1230"/>
      <c r="D126" s="599" t="s">
        <v>141</v>
      </c>
      <c r="E126" s="820">
        <f>'27'!F126</f>
        <v>59265.5</v>
      </c>
      <c r="F126" s="836">
        <v>59306.9</v>
      </c>
      <c r="G126" s="549">
        <f t="shared" si="16"/>
        <v>41.400000000001455</v>
      </c>
      <c r="H126" s="536">
        <f>G126+'27'!H126</f>
        <v>0</v>
      </c>
      <c r="I126" s="602"/>
      <c r="J126" s="629">
        <f>H126/DAY(B2)</f>
        <v>0</v>
      </c>
      <c r="K126" s="411"/>
      <c r="L126" s="408"/>
      <c r="N126" s="1189">
        <f>F126-'1'!E126</f>
        <v>0</v>
      </c>
    </row>
    <row r="127" spans="1:17" ht="27.75">
      <c r="A127" s="686" t="s">
        <v>235</v>
      </c>
      <c r="B127" s="1230"/>
      <c r="C127" s="1230"/>
      <c r="D127" s="599" t="s">
        <v>141</v>
      </c>
      <c r="E127" s="820">
        <f>'27'!F127</f>
        <v>8885.4</v>
      </c>
      <c r="F127" s="836">
        <v>8887.7999999999993</v>
      </c>
      <c r="G127" s="549">
        <f t="shared" si="16"/>
        <v>2.3999999999996362</v>
      </c>
      <c r="H127" s="536">
        <f>G127+'27'!H127</f>
        <v>0</v>
      </c>
      <c r="I127" s="556"/>
      <c r="J127" s="629">
        <f>H127/DAY(B2)</f>
        <v>0</v>
      </c>
      <c r="K127" s="411"/>
      <c r="L127" s="408"/>
      <c r="N127" s="1189">
        <f>F127-'1'!E127</f>
        <v>0</v>
      </c>
    </row>
    <row r="128" spans="1:17" s="281" customFormat="1" ht="27">
      <c r="A128" s="686" t="s">
        <v>236</v>
      </c>
      <c r="B128" s="1230"/>
      <c r="C128" s="1230"/>
      <c r="D128" s="599"/>
      <c r="E128" s="820"/>
      <c r="F128" s="820"/>
      <c r="G128" s="549">
        <f>G15-SUM(G123:G127)</f>
        <v>674.65500000024804</v>
      </c>
      <c r="H128" s="536"/>
      <c r="I128" s="556"/>
      <c r="J128" s="629"/>
      <c r="K128" s="391"/>
      <c r="L128" s="293"/>
      <c r="N128" s="1189">
        <f>F128-'1'!E128</f>
        <v>0</v>
      </c>
      <c r="O128" s="852"/>
      <c r="P128" s="852"/>
      <c r="Q128" s="852"/>
    </row>
    <row r="129" spans="1:12">
      <c r="A129" s="687" t="s">
        <v>237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29" t="s">
        <v>238</v>
      </c>
      <c r="B130" s="1230"/>
      <c r="C130" s="1230"/>
      <c r="D130" s="599" t="s">
        <v>239</v>
      </c>
      <c r="E130" s="841">
        <f>'27'!F130</f>
        <v>0</v>
      </c>
      <c r="F130" s="820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29" t="s">
        <v>240</v>
      </c>
      <c r="B131" s="1230"/>
      <c r="C131" s="1230"/>
      <c r="D131" s="599" t="s">
        <v>239</v>
      </c>
      <c r="E131" s="841">
        <f>'27'!F131</f>
        <v>0</v>
      </c>
      <c r="F131" s="820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29" t="s">
        <v>241</v>
      </c>
      <c r="B132" s="1230"/>
      <c r="C132" s="1230"/>
      <c r="D132" s="599" t="s">
        <v>239</v>
      </c>
      <c r="E132" s="850">
        <f>'27'!F132</f>
        <v>38829.480000000003</v>
      </c>
      <c r="F132" s="836">
        <v>38829</v>
      </c>
      <c r="G132" s="549">
        <f t="shared" si="17"/>
        <v>-0.48000000000320142</v>
      </c>
      <c r="H132" s="536">
        <f>G132+'27'!H132</f>
        <v>386.04999999999563</v>
      </c>
      <c r="I132" s="556"/>
      <c r="J132" s="629">
        <f>H132/DAY(B2)</f>
        <v>13.787499999999843</v>
      </c>
    </row>
    <row r="133" spans="1:12" ht="27.75">
      <c r="A133" s="1229" t="s">
        <v>242</v>
      </c>
      <c r="B133" s="1230"/>
      <c r="C133" s="1230"/>
      <c r="D133" s="599" t="s">
        <v>239</v>
      </c>
      <c r="E133" s="850">
        <f>'27'!F133</f>
        <v>299.52</v>
      </c>
      <c r="F133" s="836">
        <v>300</v>
      </c>
      <c r="G133" s="549">
        <f t="shared" si="17"/>
        <v>0.48000000000001819</v>
      </c>
      <c r="H133" s="536">
        <f>G133+'27'!H133</f>
        <v>0</v>
      </c>
      <c r="I133" s="556">
        <f>G130+G131+G132+G133</f>
        <v>-3.1832314562052488E-12</v>
      </c>
      <c r="J133" s="629">
        <f>H133/DAY(B2)</f>
        <v>0</v>
      </c>
    </row>
    <row r="134" spans="1:12" ht="27.75">
      <c r="A134" s="1229" t="s">
        <v>243</v>
      </c>
      <c r="B134" s="1230"/>
      <c r="C134" s="1230"/>
      <c r="D134" s="599" t="s">
        <v>239</v>
      </c>
      <c r="E134" s="850">
        <f>'27'!F134</f>
        <v>40343</v>
      </c>
      <c r="F134" s="836">
        <v>40367.14</v>
      </c>
      <c r="G134" s="549">
        <f t="shared" si="17"/>
        <v>24.139999999999418</v>
      </c>
      <c r="H134" s="536">
        <f>G134+'27'!H134</f>
        <v>130.62000000000262</v>
      </c>
      <c r="I134" s="556"/>
      <c r="J134" s="629">
        <f>H134/DAY(B2)</f>
        <v>4.6650000000000933</v>
      </c>
    </row>
    <row r="135" spans="1:12" ht="27.75">
      <c r="A135" s="1229" t="s">
        <v>244</v>
      </c>
      <c r="B135" s="1230"/>
      <c r="C135" s="1230"/>
      <c r="D135" s="599" t="s">
        <v>239</v>
      </c>
      <c r="E135" s="849">
        <f>'27'!F135</f>
        <v>32571</v>
      </c>
      <c r="F135" s="827">
        <v>32571</v>
      </c>
      <c r="G135" s="549">
        <f t="shared" si="17"/>
        <v>0</v>
      </c>
      <c r="H135" s="536">
        <f>G135+'27'!H135</f>
        <v>29.520000000000437</v>
      </c>
      <c r="I135" s="556"/>
      <c r="J135" s="629">
        <f>H135/DAY(B2)</f>
        <v>1.0542857142857298</v>
      </c>
    </row>
    <row r="136" spans="1:12" ht="27.75">
      <c r="A136" s="1229" t="s">
        <v>245</v>
      </c>
      <c r="B136" s="1230"/>
      <c r="C136" s="1230"/>
      <c r="D136" s="599" t="s">
        <v>239</v>
      </c>
      <c r="E136" s="849">
        <f>'27'!F136</f>
        <v>22212.54</v>
      </c>
      <c r="F136" s="827">
        <v>22222.21</v>
      </c>
      <c r="G136" s="549">
        <f t="shared" si="17"/>
        <v>9.6699999999982538</v>
      </c>
      <c r="H136" s="536">
        <f>G136+'27'!H136</f>
        <v>0</v>
      </c>
      <c r="I136" s="556">
        <f>G134+G135+G136</f>
        <v>33.809999999997672</v>
      </c>
      <c r="J136" s="629">
        <f>H136/DAY(B2)</f>
        <v>0</v>
      </c>
    </row>
    <row r="137" spans="1:12" ht="27.75">
      <c r="A137" s="1229" t="s">
        <v>246</v>
      </c>
      <c r="B137" s="1230"/>
      <c r="C137" s="1230"/>
      <c r="D137" s="599" t="s">
        <v>239</v>
      </c>
      <c r="E137" s="849">
        <f>'27'!F137</f>
        <v>25044.31</v>
      </c>
      <c r="F137" s="827">
        <v>25044.31</v>
      </c>
      <c r="G137" s="549">
        <f t="shared" si="17"/>
        <v>0</v>
      </c>
      <c r="H137" s="536">
        <f>G137+'27'!H137</f>
        <v>15.75</v>
      </c>
      <c r="I137" s="556"/>
      <c r="J137" s="629">
        <f>H137/DAY(B2)</f>
        <v>0.5625</v>
      </c>
    </row>
    <row r="138" spans="1:12" ht="27.75">
      <c r="A138" s="1229" t="s">
        <v>247</v>
      </c>
      <c r="B138" s="1230"/>
      <c r="C138" s="1230"/>
      <c r="D138" s="599" t="s">
        <v>239</v>
      </c>
      <c r="E138" s="849">
        <f>'27'!F138</f>
        <v>70141.899999999994</v>
      </c>
      <c r="F138" s="827">
        <v>70147.34</v>
      </c>
      <c r="G138" s="549">
        <f t="shared" si="17"/>
        <v>5.4400000000023283</v>
      </c>
      <c r="H138" s="536">
        <f>G138+'27'!H138</f>
        <v>31.489999999990687</v>
      </c>
      <c r="I138" s="556">
        <f>G137+G138</f>
        <v>5.4400000000023283</v>
      </c>
      <c r="J138" s="629">
        <f>H138/DAY(B2)</f>
        <v>1.1246428571425244</v>
      </c>
    </row>
    <row r="139" spans="1:12" ht="27.75">
      <c r="A139" s="1229" t="s">
        <v>248</v>
      </c>
      <c r="B139" s="1230"/>
      <c r="C139" s="1230"/>
      <c r="D139" s="599" t="s">
        <v>239</v>
      </c>
      <c r="E139" s="850">
        <f>'27'!F139</f>
        <v>1415.3</v>
      </c>
      <c r="F139" s="836">
        <v>1423.14</v>
      </c>
      <c r="G139" s="549">
        <f t="shared" si="17"/>
        <v>7.8400000000001455</v>
      </c>
      <c r="H139" s="536">
        <f>G139+'27'!H139</f>
        <v>0</v>
      </c>
      <c r="I139" s="619"/>
      <c r="J139" s="629">
        <f>H139/DAY(B2)</f>
        <v>0</v>
      </c>
    </row>
    <row r="140" spans="1:12" ht="27.75">
      <c r="A140" s="1229" t="s">
        <v>249</v>
      </c>
      <c r="B140" s="1230"/>
      <c r="C140" s="1230"/>
      <c r="D140" s="599" t="s">
        <v>239</v>
      </c>
      <c r="E140" s="849">
        <f>'27'!F140</f>
        <v>4333.53</v>
      </c>
      <c r="F140" s="820">
        <v>4334</v>
      </c>
      <c r="G140" s="549">
        <f t="shared" si="17"/>
        <v>0.47000000000025466</v>
      </c>
      <c r="H140" s="536">
        <f>G140+'27'!H140</f>
        <v>0</v>
      </c>
      <c r="I140" s="619"/>
      <c r="J140" s="629">
        <f>H140/DAY(B2)</f>
        <v>0</v>
      </c>
    </row>
    <row r="141" spans="1:12">
      <c r="A141" s="1468" t="s">
        <v>250</v>
      </c>
      <c r="B141" s="1469"/>
      <c r="C141" s="1235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33" t="s">
        <v>251</v>
      </c>
      <c r="B142" s="1434"/>
      <c r="C142" s="1435"/>
      <c r="D142" s="599" t="s">
        <v>132</v>
      </c>
      <c r="E142" s="536"/>
      <c r="F142" s="536"/>
      <c r="G142" s="536">
        <f>G35+G43+G49+G57</f>
        <v>5707.8399999999674</v>
      </c>
      <c r="H142" s="536">
        <f>G142+'27'!H142</f>
        <v>-1697.4399999999605</v>
      </c>
      <c r="I142" s="556"/>
      <c r="J142" s="629">
        <f>H142/DAY(B2)</f>
        <v>-60.622857142855729</v>
      </c>
      <c r="K142" s="411"/>
      <c r="L142" s="408"/>
    </row>
    <row r="143" spans="1:12" ht="27.75">
      <c r="A143" s="1433" t="s">
        <v>252</v>
      </c>
      <c r="B143" s="1434"/>
      <c r="C143" s="1435"/>
      <c r="D143" s="599" t="s">
        <v>24</v>
      </c>
      <c r="E143" s="546"/>
      <c r="F143" s="546"/>
      <c r="G143" s="620">
        <f>G142/G7</f>
        <v>0.26161151342927708</v>
      </c>
      <c r="H143" s="536">
        <f>G143+'27'!H143</f>
        <v>7.1137572570487544</v>
      </c>
      <c r="I143" s="621"/>
      <c r="J143" s="629">
        <f>H143/DAY(B2)</f>
        <v>0.25406275918031268</v>
      </c>
      <c r="K143" s="411"/>
      <c r="L143" s="408"/>
    </row>
    <row r="144" spans="1:12" ht="27.75">
      <c r="A144" s="1433" t="s">
        <v>253</v>
      </c>
      <c r="B144" s="1434"/>
      <c r="C144" s="1435"/>
      <c r="D144" s="599" t="s">
        <v>132</v>
      </c>
      <c r="E144" s="536"/>
      <c r="F144" s="536"/>
      <c r="G144" s="536">
        <f>G41+G42+G55+G56</f>
        <v>5659.2799999999843</v>
      </c>
      <c r="H144" s="536">
        <f>G144+'27'!H144</f>
        <v>7.2759576141834259E-12</v>
      </c>
      <c r="I144" s="556"/>
      <c r="J144" s="629">
        <f>H144/DAY(B2)</f>
        <v>2.5985562907797948E-13</v>
      </c>
      <c r="K144" s="411"/>
      <c r="L144" s="408"/>
    </row>
    <row r="145" spans="1:12" ht="27.75">
      <c r="A145" s="1433" t="s">
        <v>254</v>
      </c>
      <c r="B145" s="1434"/>
      <c r="C145" s="1435"/>
      <c r="D145" s="599" t="s">
        <v>24</v>
      </c>
      <c r="E145" s="536"/>
      <c r="F145" s="536"/>
      <c r="G145" s="620">
        <f>G144/G7</f>
        <v>0.25938582821523443</v>
      </c>
      <c r="H145" s="536">
        <f>G145+'27'!H145</f>
        <v>6.7180906588986735</v>
      </c>
      <c r="I145" s="621"/>
      <c r="J145" s="629">
        <f>H145/DAY(B2)</f>
        <v>0.23993180924638119</v>
      </c>
      <c r="K145" s="411"/>
      <c r="L145" s="408"/>
    </row>
    <row r="146" spans="1:12" ht="27.75">
      <c r="A146" s="1433" t="s">
        <v>255</v>
      </c>
      <c r="B146" s="1434"/>
      <c r="C146" s="1435"/>
      <c r="D146" s="599" t="s">
        <v>132</v>
      </c>
      <c r="E146" s="536"/>
      <c r="F146" s="536"/>
      <c r="G146" s="536">
        <f>G39+G53</f>
        <v>4370.9400000000023</v>
      </c>
      <c r="H146" s="536">
        <f>G146+'27'!H146</f>
        <v>100068.28000000001</v>
      </c>
      <c r="I146" s="622"/>
      <c r="J146" s="629">
        <f>H146/DAY(B2)</f>
        <v>3573.8671428571433</v>
      </c>
      <c r="K146" s="411"/>
      <c r="L146" s="408"/>
    </row>
    <row r="147" spans="1:12" ht="27.75">
      <c r="A147" s="1433" t="s">
        <v>256</v>
      </c>
      <c r="B147" s="1434"/>
      <c r="C147" s="1435"/>
      <c r="D147" s="599" t="s">
        <v>24</v>
      </c>
      <c r="E147" s="536"/>
      <c r="F147" s="536"/>
      <c r="G147" s="620">
        <f>G146/G7</f>
        <v>0.20033641947016237</v>
      </c>
      <c r="H147" s="536">
        <f>G147+'27'!H147</f>
        <v>10.548362311043558</v>
      </c>
      <c r="I147" s="622"/>
      <c r="J147" s="629">
        <f>H147/DAY(B2)</f>
        <v>0.37672722539441278</v>
      </c>
    </row>
    <row r="148" spans="1:12" ht="27.75">
      <c r="A148" s="1433" t="s">
        <v>257</v>
      </c>
      <c r="B148" s="1434"/>
      <c r="C148" s="1435"/>
      <c r="D148" s="599" t="s">
        <v>183</v>
      </c>
      <c r="E148" s="536"/>
      <c r="F148" s="536"/>
      <c r="G148" s="536">
        <f>G38+G52</f>
        <v>2272.7350000000006</v>
      </c>
      <c r="H148" s="536">
        <f>G148+'27'!H148</f>
        <v>0</v>
      </c>
      <c r="I148" s="556"/>
      <c r="J148" s="629">
        <f>H148/DAY(B2)</f>
        <v>0</v>
      </c>
      <c r="K148" s="412"/>
    </row>
    <row r="149" spans="1:12" ht="27.75">
      <c r="A149" s="1433" t="s">
        <v>258</v>
      </c>
      <c r="B149" s="1434"/>
      <c r="C149" s="1435"/>
      <c r="D149" s="599" t="s">
        <v>24</v>
      </c>
      <c r="E149" s="536"/>
      <c r="F149" s="536"/>
      <c r="G149" s="620">
        <f>G148/G7</f>
        <v>0.10416788889907419</v>
      </c>
      <c r="H149" s="536">
        <f>G149+'27'!H149</f>
        <v>2.7797811176598182</v>
      </c>
      <c r="I149" s="622"/>
      <c r="J149" s="629">
        <f>H149/DAY(B2)</f>
        <v>9.9277897059279224E-2</v>
      </c>
    </row>
    <row r="150" spans="1:12" ht="27.75">
      <c r="A150" s="1433" t="s">
        <v>259</v>
      </c>
      <c r="B150" s="1434"/>
      <c r="C150" s="1435"/>
      <c r="D150" s="599" t="s">
        <v>183</v>
      </c>
      <c r="E150" s="536"/>
      <c r="F150" s="536"/>
      <c r="G150" s="536">
        <f>G36+G50</f>
        <v>1705</v>
      </c>
      <c r="H150" s="536">
        <f>G150+'27'!H150</f>
        <v>0</v>
      </c>
      <c r="I150" s="622"/>
      <c r="J150" s="629">
        <f>H150/DAY(B2)</f>
        <v>0</v>
      </c>
    </row>
    <row r="151" spans="1:12" ht="27.75">
      <c r="A151" s="1433" t="s">
        <v>260</v>
      </c>
      <c r="B151" s="1434"/>
      <c r="C151" s="1435"/>
      <c r="D151" s="599" t="s">
        <v>24</v>
      </c>
      <c r="E151" s="536"/>
      <c r="F151" s="536"/>
      <c r="G151" s="620">
        <f>G150/G7</f>
        <v>7.8146484554037957E-2</v>
      </c>
      <c r="H151" s="536">
        <f>G151+'27'!H151</f>
        <v>2.6016799321920514</v>
      </c>
      <c r="I151" s="556"/>
      <c r="J151" s="629">
        <f>H151/DAY(B2)</f>
        <v>9.2917140435430409E-2</v>
      </c>
    </row>
    <row r="152" spans="1:12" ht="27.75">
      <c r="A152" s="1433" t="s">
        <v>261</v>
      </c>
      <c r="B152" s="1434"/>
      <c r="C152" s="1435"/>
      <c r="D152" s="599" t="s">
        <v>183</v>
      </c>
      <c r="E152" s="536"/>
      <c r="F152" s="536"/>
      <c r="G152" s="536">
        <f>G37+G51</f>
        <v>1486.0299999999988</v>
      </c>
      <c r="H152" s="536">
        <f>G152+'27'!H152</f>
        <v>35167.18</v>
      </c>
      <c r="I152" s="556"/>
      <c r="J152" s="629">
        <f>H152/DAY(B2)</f>
        <v>1255.9707142857144</v>
      </c>
    </row>
    <row r="153" spans="1:12" ht="28.5" thickBot="1">
      <c r="A153" s="1465" t="s">
        <v>262</v>
      </c>
      <c r="B153" s="1466"/>
      <c r="C153" s="1467"/>
      <c r="D153" s="702" t="s">
        <v>24</v>
      </c>
      <c r="E153" s="644"/>
      <c r="F153" s="644"/>
      <c r="G153" s="643">
        <f>G152/G7</f>
        <v>6.8110275918965943E-2</v>
      </c>
      <c r="H153" s="536">
        <f>G153+'27'!H153</f>
        <v>3.713420179669936</v>
      </c>
      <c r="I153" s="645"/>
      <c r="J153" s="646">
        <f>H153/DAY(B2)</f>
        <v>0.13262214927392629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67" t="s">
        <v>263</v>
      </c>
      <c r="B160" s="868"/>
      <c r="C160" s="868"/>
      <c r="D160" s="587" t="s">
        <v>187</v>
      </c>
      <c r="E160" s="849">
        <f>'27'!F160</f>
        <v>30709.599999999999</v>
      </c>
      <c r="F160" s="739">
        <v>30795.64</v>
      </c>
      <c r="G160" s="549">
        <f t="shared" ref="G160:G163" si="18">F160-E160</f>
        <v>86.040000000000873</v>
      </c>
    </row>
    <row r="161" spans="1:7">
      <c r="A161" s="867" t="s">
        <v>264</v>
      </c>
      <c r="B161" s="868"/>
      <c r="C161" s="868"/>
      <c r="D161" s="587" t="s">
        <v>187</v>
      </c>
      <c r="E161" s="849">
        <f>'27'!F161</f>
        <v>54674.61</v>
      </c>
      <c r="F161" s="739">
        <v>55098.17</v>
      </c>
      <c r="G161" s="549">
        <f t="shared" si="18"/>
        <v>423.55999999999767</v>
      </c>
    </row>
    <row r="162" spans="1:7">
      <c r="A162" s="867" t="s">
        <v>265</v>
      </c>
      <c r="B162" s="868"/>
      <c r="C162" s="868"/>
      <c r="D162" s="587" t="s">
        <v>187</v>
      </c>
      <c r="E162" s="849">
        <f>'27'!F162</f>
        <v>20285.330000000002</v>
      </c>
      <c r="F162" s="739">
        <v>20562.32</v>
      </c>
      <c r="G162" s="549">
        <f t="shared" si="18"/>
        <v>276.98999999999796</v>
      </c>
    </row>
    <row r="163" spans="1:7">
      <c r="A163" s="867" t="s">
        <v>266</v>
      </c>
      <c r="B163" s="868"/>
      <c r="C163" s="868"/>
      <c r="D163" s="587" t="s">
        <v>187</v>
      </c>
      <c r="E163" s="849">
        <f>'27'!F163</f>
        <v>5399.6</v>
      </c>
      <c r="F163" s="739">
        <v>5427.51</v>
      </c>
      <c r="G163" s="549">
        <f t="shared" si="18"/>
        <v>27.909999999999854</v>
      </c>
    </row>
    <row r="164" spans="1:7">
      <c r="A164" s="869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69" t="s">
        <v>188</v>
      </c>
      <c r="B165" s="681"/>
      <c r="C165" s="681"/>
      <c r="D165" s="587" t="s">
        <v>187</v>
      </c>
      <c r="E165" s="590">
        <f t="shared" ref="E165:E171" si="20">E63</f>
        <v>1692.01</v>
      </c>
      <c r="F165" s="590">
        <f t="shared" ref="F165:F171" si="21">F63</f>
        <v>1707.36</v>
      </c>
      <c r="G165" s="549">
        <f t="shared" si="19"/>
        <v>15.349999999999909</v>
      </c>
    </row>
    <row r="166" spans="1:7" ht="27.75">
      <c r="A166" s="1482" t="s">
        <v>99</v>
      </c>
      <c r="B166" s="1482"/>
      <c r="C166" s="1482"/>
      <c r="D166" s="599" t="s">
        <v>187</v>
      </c>
      <c r="E166" s="590">
        <f t="shared" si="20"/>
        <v>123136.85</v>
      </c>
      <c r="F166" s="590">
        <f t="shared" si="21"/>
        <v>123627.3</v>
      </c>
      <c r="G166" s="549">
        <f t="shared" si="19"/>
        <v>490.44999999999709</v>
      </c>
    </row>
    <row r="167" spans="1:7" ht="27.75">
      <c r="A167" s="1482" t="s">
        <v>100</v>
      </c>
      <c r="B167" s="1482"/>
      <c r="C167" s="1482"/>
      <c r="D167" s="599" t="s">
        <v>187</v>
      </c>
      <c r="E167" s="590">
        <f t="shared" si="20"/>
        <v>132180.92000000001</v>
      </c>
      <c r="F167" s="590">
        <f t="shared" si="21"/>
        <v>132597.29999999999</v>
      </c>
      <c r="G167" s="549">
        <f t="shared" si="19"/>
        <v>416.37999999997555</v>
      </c>
    </row>
    <row r="168" spans="1:7" ht="27.75">
      <c r="A168" s="1482" t="s">
        <v>101</v>
      </c>
      <c r="B168" s="1482"/>
      <c r="C168" s="1482"/>
      <c r="D168" s="599" t="s">
        <v>187</v>
      </c>
      <c r="E168" s="590">
        <f t="shared" si="20"/>
        <v>24755.439999999999</v>
      </c>
      <c r="F168" s="590">
        <f t="shared" si="21"/>
        <v>25159.75</v>
      </c>
      <c r="G168" s="549">
        <f t="shared" si="19"/>
        <v>404.31000000000131</v>
      </c>
    </row>
    <row r="169" spans="1:7" ht="27.75">
      <c r="A169" s="1482" t="s">
        <v>102</v>
      </c>
      <c r="B169" s="1482"/>
      <c r="C169" s="1482"/>
      <c r="D169" s="599" t="s">
        <v>187</v>
      </c>
      <c r="E169" s="590">
        <f t="shared" si="20"/>
        <v>207148.43</v>
      </c>
      <c r="F169" s="590">
        <f t="shared" si="21"/>
        <v>207841.83</v>
      </c>
      <c r="G169" s="549">
        <f t="shared" si="19"/>
        <v>693.39999999999418</v>
      </c>
    </row>
    <row r="170" spans="1:7" ht="27.75">
      <c r="A170" s="1482" t="s">
        <v>103</v>
      </c>
      <c r="B170" s="1482"/>
      <c r="C170" s="1482"/>
      <c r="D170" s="599" t="s">
        <v>187</v>
      </c>
      <c r="E170" s="590">
        <f t="shared" si="20"/>
        <v>72307.600000000006</v>
      </c>
      <c r="F170" s="590">
        <f t="shared" si="21"/>
        <v>72678.52</v>
      </c>
      <c r="G170" s="549">
        <f t="shared" si="19"/>
        <v>370.91999999999825</v>
      </c>
    </row>
    <row r="171" spans="1:7" ht="27.75">
      <c r="A171" s="1482" t="s">
        <v>104</v>
      </c>
      <c r="B171" s="1482"/>
      <c r="C171" s="1482"/>
      <c r="D171" s="599" t="s">
        <v>187</v>
      </c>
      <c r="E171" s="590">
        <f t="shared" si="20"/>
        <v>64110.66</v>
      </c>
      <c r="F171" s="590">
        <f t="shared" si="21"/>
        <v>64452.09</v>
      </c>
      <c r="G171" s="549">
        <f t="shared" si="19"/>
        <v>341.42999999999302</v>
      </c>
    </row>
    <row r="172" spans="1:7">
      <c r="G172" s="616">
        <f>SUM(G160:G171)</f>
        <v>3546.7469999999571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52"/>
    <col min="16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273</v>
      </c>
      <c r="B2" s="1163">
        <v>43859</v>
      </c>
      <c r="C2" s="1231" t="s">
        <v>69</v>
      </c>
      <c r="D2" s="688">
        <v>0.66</v>
      </c>
      <c r="E2" s="818"/>
      <c r="F2" s="818"/>
      <c r="G2" s="537" t="s">
        <v>118</v>
      </c>
      <c r="H2" s="537" t="s">
        <v>6</v>
      </c>
      <c r="I2" s="537" t="s">
        <v>8</v>
      </c>
      <c r="J2" s="690" t="s">
        <v>119</v>
      </c>
      <c r="N2" s="852"/>
      <c r="O2" s="852"/>
    </row>
    <row r="3" spans="1:15" s="281" customFormat="1" ht="27">
      <c r="A3" s="647"/>
      <c r="B3" s="691"/>
      <c r="C3" s="1231" t="s">
        <v>120</v>
      </c>
      <c r="D3" s="689">
        <v>24</v>
      </c>
      <c r="E3" s="1454" t="s">
        <v>121</v>
      </c>
      <c r="F3" s="1455"/>
      <c r="G3" s="538"/>
      <c r="H3" s="539"/>
      <c r="I3" s="539"/>
      <c r="J3" s="692"/>
      <c r="K3" s="402"/>
      <c r="L3" s="293"/>
      <c r="N3" s="852"/>
      <c r="O3" s="852"/>
    </row>
    <row r="4" spans="1:15" s="281" customFormat="1" ht="27">
      <c r="A4" s="653"/>
      <c r="B4" s="693"/>
      <c r="C4" s="1231" t="s">
        <v>122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54"/>
      <c r="O4" s="852"/>
    </row>
    <row r="5" spans="1:15">
      <c r="A5" s="654" t="s">
        <v>123</v>
      </c>
      <c r="B5" s="535"/>
      <c r="C5" s="535"/>
      <c r="D5" s="587" t="s">
        <v>124</v>
      </c>
      <c r="E5" s="590" t="s">
        <v>125</v>
      </c>
      <c r="F5" s="590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N5" s="854"/>
    </row>
    <row r="6" spans="1:15">
      <c r="A6" s="1448" t="s">
        <v>130</v>
      </c>
      <c r="B6" s="1449"/>
      <c r="C6" s="1450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131</v>
      </c>
      <c r="B7" s="758"/>
      <c r="C7" s="758"/>
      <c r="D7" s="715" t="s">
        <v>132</v>
      </c>
      <c r="E7" s="760">
        <f>'28'!F7</f>
        <v>4445077</v>
      </c>
      <c r="F7" s="536">
        <v>3850820</v>
      </c>
      <c r="G7" s="759">
        <f>F7-E7</f>
        <v>-594257</v>
      </c>
      <c r="H7" s="760">
        <f>G7+'28'!H7</f>
        <v>-594257</v>
      </c>
      <c r="I7" s="761">
        <f>'1'!I7</f>
        <v>12000</v>
      </c>
      <c r="J7" s="762">
        <f>H7/DAY(B2)</f>
        <v>-20491.620689655174</v>
      </c>
      <c r="K7" s="626">
        <v>1703438</v>
      </c>
      <c r="L7" s="408">
        <v>1715917</v>
      </c>
      <c r="O7" s="855"/>
    </row>
    <row r="8" spans="1:15" ht="27.75" thickBot="1">
      <c r="A8" s="763" t="s">
        <v>133</v>
      </c>
      <c r="B8" s="764"/>
      <c r="C8" s="765"/>
      <c r="D8" s="766" t="s">
        <v>25</v>
      </c>
      <c r="E8" s="760">
        <f>'28'!F8</f>
        <v>4473156</v>
      </c>
      <c r="F8" s="819">
        <v>3875075</v>
      </c>
      <c r="G8" s="770">
        <f>F8-E8</f>
        <v>-598081</v>
      </c>
      <c r="H8" s="760">
        <f>G8+'28'!H8</f>
        <v>-598081</v>
      </c>
      <c r="I8" s="767"/>
      <c r="J8" s="762">
        <f>H8/DAY(B2)</f>
        <v>-20623.482758620688</v>
      </c>
      <c r="K8" s="626">
        <v>1375467</v>
      </c>
      <c r="L8" s="464"/>
      <c r="M8" s="479"/>
      <c r="O8" s="855"/>
    </row>
    <row r="9" spans="1:15">
      <c r="A9" s="768" t="s">
        <v>134</v>
      </c>
      <c r="B9" s="769"/>
      <c r="C9" s="769"/>
      <c r="D9" s="715" t="s">
        <v>132</v>
      </c>
      <c r="E9" s="760">
        <f>'28'!F9</f>
        <v>86909.01</v>
      </c>
      <c r="F9" s="820">
        <v>2522775</v>
      </c>
      <c r="G9" s="783">
        <f t="shared" ref="G9:G12" si="0">F9-E9</f>
        <v>2435865.9900000002</v>
      </c>
      <c r="H9" s="760">
        <f>G9+'28'!H9</f>
        <v>2635292.9900000002</v>
      </c>
      <c r="I9" s="771">
        <f>I7-J7</f>
        <v>32491.620689655174</v>
      </c>
      <c r="J9" s="762">
        <f>H9/DAY(B2)</f>
        <v>90872.172068965519</v>
      </c>
      <c r="K9" s="467"/>
      <c r="L9" s="408"/>
      <c r="O9" s="855"/>
    </row>
    <row r="10" spans="1:15">
      <c r="A10" s="757" t="s">
        <v>135</v>
      </c>
      <c r="B10" s="758"/>
      <c r="C10" s="758"/>
      <c r="D10" s="715" t="s">
        <v>132</v>
      </c>
      <c r="E10" s="760">
        <f>'28'!F10</f>
        <v>25695.56</v>
      </c>
      <c r="F10" s="820">
        <v>1177122</v>
      </c>
      <c r="G10" s="770">
        <f t="shared" si="0"/>
        <v>1151426.44</v>
      </c>
      <c r="H10" s="760">
        <f>G10+'28'!H10</f>
        <v>2541598.44</v>
      </c>
      <c r="I10" s="772"/>
      <c r="J10" s="762">
        <f>H10/DAY(B2)</f>
        <v>87641.325517241377</v>
      </c>
      <c r="K10" s="467"/>
      <c r="L10" s="408"/>
    </row>
    <row r="11" spans="1:15">
      <c r="A11" s="757" t="s">
        <v>136</v>
      </c>
      <c r="B11" s="758"/>
      <c r="C11" s="758"/>
      <c r="D11" s="715" t="s">
        <v>132</v>
      </c>
      <c r="E11" s="760">
        <f>'28'!F11</f>
        <v>37000</v>
      </c>
      <c r="F11" s="536">
        <v>35390</v>
      </c>
      <c r="G11" s="770">
        <f t="shared" si="0"/>
        <v>-1610</v>
      </c>
      <c r="H11" s="760">
        <f>G11+'28'!H11</f>
        <v>-3610</v>
      </c>
      <c r="I11" s="772"/>
      <c r="J11" s="762">
        <f>H11/DAY(B2)</f>
        <v>-124.48275862068965</v>
      </c>
      <c r="K11" s="467"/>
      <c r="L11" s="408"/>
    </row>
    <row r="12" spans="1:15">
      <c r="A12" s="757" t="s">
        <v>137</v>
      </c>
      <c r="B12" s="758"/>
      <c r="C12" s="758"/>
      <c r="D12" s="1184" t="s">
        <v>132</v>
      </c>
      <c r="E12" s="1178">
        <f>'28'!F12</f>
        <v>40010</v>
      </c>
      <c r="F12" s="820">
        <v>37630</v>
      </c>
      <c r="G12" s="770">
        <f t="shared" si="0"/>
        <v>-2380</v>
      </c>
      <c r="H12" s="760">
        <f>G12+'28'!H12</f>
        <v>-4380</v>
      </c>
      <c r="I12" s="772"/>
      <c r="J12" s="762">
        <f>H12/DAY(B2)</f>
        <v>-151.0344827586207</v>
      </c>
      <c r="K12" s="467"/>
      <c r="L12" s="408"/>
    </row>
    <row r="13" spans="1:15">
      <c r="A13" s="773" t="s">
        <v>138</v>
      </c>
      <c r="B13" s="774"/>
      <c r="C13" s="774"/>
      <c r="D13" s="1184"/>
      <c r="E13" s="1178"/>
      <c r="F13" s="536"/>
      <c r="G13" s="775">
        <f>G9+G10+G11+G12</f>
        <v>3583302.43</v>
      </c>
      <c r="H13" s="1178">
        <f>G13+'28'!H13</f>
        <v>5147907.43</v>
      </c>
      <c r="I13" s="1179">
        <f>G7-G13</f>
        <v>-4177559.43</v>
      </c>
      <c r="J13" s="1180">
        <f>H13/DAY(B2)</f>
        <v>177514.04931034482</v>
      </c>
      <c r="K13" s="467"/>
      <c r="L13" s="408"/>
    </row>
    <row r="14" spans="1:15">
      <c r="A14" s="1451" t="s">
        <v>139</v>
      </c>
      <c r="B14" s="1452"/>
      <c r="C14" s="1453"/>
      <c r="D14" s="1181"/>
      <c r="E14" s="1185"/>
      <c r="F14" s="821"/>
      <c r="G14" s="559"/>
      <c r="H14" s="1181"/>
      <c r="I14" s="1181"/>
      <c r="J14" s="1182"/>
      <c r="K14" s="468"/>
      <c r="L14" s="408"/>
    </row>
    <row r="15" spans="1:15">
      <c r="A15" s="746" t="s">
        <v>140</v>
      </c>
      <c r="B15" s="747"/>
      <c r="C15" s="747"/>
      <c r="D15" s="1186" t="s">
        <v>141</v>
      </c>
      <c r="E15" s="1187">
        <f>'28'!F15</f>
        <v>1619878.61</v>
      </c>
      <c r="F15" s="822">
        <v>1592900.97</v>
      </c>
      <c r="G15" s="745">
        <f>(F15-E15)</f>
        <v>-26977.64000000013</v>
      </c>
      <c r="H15" s="1174">
        <f>G15+'28'!H15</f>
        <v>-26977.64000000013</v>
      </c>
      <c r="I15" s="1175">
        <f>'1'!I15</f>
        <v>800</v>
      </c>
      <c r="J15" s="1176">
        <f>H15/DAY(B2)</f>
        <v>-930.26344827586661</v>
      </c>
      <c r="K15" s="467"/>
      <c r="L15" s="408"/>
    </row>
    <row r="16" spans="1:15">
      <c r="A16" s="754"/>
      <c r="B16" s="755"/>
      <c r="C16" s="755"/>
      <c r="D16" s="1186"/>
      <c r="E16" s="1187"/>
      <c r="F16" s="822"/>
      <c r="G16" s="750"/>
      <c r="H16" s="1174"/>
      <c r="I16" s="1177">
        <f>I15-J15</f>
        <v>1730.2634482758667</v>
      </c>
      <c r="J16" s="1176"/>
      <c r="K16" s="467"/>
      <c r="L16" s="408"/>
    </row>
    <row r="17" spans="1:15">
      <c r="A17" s="1451" t="s">
        <v>142</v>
      </c>
      <c r="B17" s="1452"/>
      <c r="C17" s="1453"/>
      <c r="D17" s="1181"/>
      <c r="E17" s="1185"/>
      <c r="F17" s="821"/>
      <c r="G17" s="564"/>
      <c r="H17" s="1181"/>
      <c r="I17" s="1181"/>
      <c r="J17" s="1182"/>
      <c r="K17" s="467"/>
      <c r="L17" s="408"/>
    </row>
    <row r="18" spans="1:15" ht="27.75">
      <c r="A18" s="1486" t="s">
        <v>143</v>
      </c>
      <c r="B18" s="1487"/>
      <c r="C18" s="1488"/>
      <c r="D18" s="715" t="s">
        <v>144</v>
      </c>
      <c r="E18" s="840">
        <f>'28'!F18</f>
        <v>17</v>
      </c>
      <c r="F18" s="820">
        <v>10</v>
      </c>
      <c r="G18" s="775">
        <f>F18*10</f>
        <v>100</v>
      </c>
      <c r="H18" s="1178">
        <f>G18+'28'!H18</f>
        <v>4470</v>
      </c>
      <c r="I18" s="1183">
        <f>'1'!I18</f>
        <v>65</v>
      </c>
      <c r="J18" s="1180">
        <f>H18/DAY(B2)</f>
        <v>154.13793103448276</v>
      </c>
      <c r="K18" s="467"/>
      <c r="L18" s="408"/>
    </row>
    <row r="19" spans="1:15" ht="27.75">
      <c r="A19" s="1486" t="s">
        <v>71</v>
      </c>
      <c r="B19" s="1487"/>
      <c r="C19" s="1488"/>
      <c r="D19" s="715" t="s">
        <v>144</v>
      </c>
      <c r="E19" s="840">
        <f>'28'!F19</f>
        <v>134468</v>
      </c>
      <c r="F19" s="820">
        <v>132943</v>
      </c>
      <c r="G19" s="770">
        <f t="shared" ref="G19" si="1">F19-E19</f>
        <v>-1525</v>
      </c>
      <c r="H19" s="760">
        <f>G19+'28'!H19</f>
        <v>-1525</v>
      </c>
      <c r="I19" s="777"/>
      <c r="J19" s="762">
        <f>H19/DAY(B2)</f>
        <v>-52.586206896551722</v>
      </c>
      <c r="K19" s="467"/>
      <c r="L19" s="408"/>
    </row>
    <row r="20" spans="1:15">
      <c r="A20" s="773" t="s">
        <v>145</v>
      </c>
      <c r="B20" s="774"/>
      <c r="C20" s="774"/>
      <c r="D20" s="715"/>
      <c r="E20" s="760"/>
      <c r="F20" s="536"/>
      <c r="G20" s="778">
        <f>G18+G19</f>
        <v>-1425</v>
      </c>
      <c r="H20" s="760">
        <f>G20+'28'!H20</f>
        <v>2945</v>
      </c>
      <c r="I20" s="779">
        <f>I18-J20</f>
        <v>-36.551724137931032</v>
      </c>
      <c r="J20" s="762">
        <f>H20/DAY(B2)</f>
        <v>101.55172413793103</v>
      </c>
      <c r="K20" s="467"/>
      <c r="L20" s="408"/>
    </row>
    <row r="21" spans="1:15">
      <c r="A21" s="1451" t="s">
        <v>146</v>
      </c>
      <c r="B21" s="1452"/>
      <c r="C21" s="1453"/>
      <c r="D21" s="548"/>
      <c r="E21" s="821"/>
      <c r="F21" s="821"/>
      <c r="G21" s="559"/>
      <c r="H21" s="548"/>
      <c r="I21" s="548"/>
      <c r="J21" s="628"/>
      <c r="K21" s="467"/>
      <c r="L21" s="408"/>
    </row>
    <row r="22" spans="1:15">
      <c r="A22" s="1229" t="s">
        <v>147</v>
      </c>
      <c r="B22" s="666"/>
      <c r="C22" s="666"/>
      <c r="D22" s="599" t="s">
        <v>148</v>
      </c>
      <c r="E22" s="841">
        <f>'28'!F22</f>
        <v>2970</v>
      </c>
      <c r="F22" s="820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29" t="s">
        <v>149</v>
      </c>
      <c r="B23" s="666"/>
      <c r="C23" s="666"/>
      <c r="D23" s="599" t="s">
        <v>148</v>
      </c>
      <c r="E23" s="841">
        <f>'28'!F23</f>
        <v>1900</v>
      </c>
      <c r="F23" s="820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150</v>
      </c>
      <c r="B24" s="668"/>
      <c r="C24" s="668"/>
      <c r="D24" s="587" t="s">
        <v>148</v>
      </c>
      <c r="E24" s="842">
        <f>'28'!F24</f>
        <v>4970</v>
      </c>
      <c r="F24" s="823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456" t="s">
        <v>151</v>
      </c>
      <c r="B25" s="1457"/>
      <c r="C25" s="1458"/>
      <c r="D25" s="547"/>
      <c r="E25" s="571"/>
      <c r="F25" s="571"/>
      <c r="G25" s="570"/>
      <c r="H25" s="571"/>
      <c r="I25" s="572"/>
      <c r="J25" s="631"/>
      <c r="K25" s="404"/>
      <c r="L25" s="484"/>
      <c r="N25" s="852"/>
      <c r="O25" s="852"/>
    </row>
    <row r="26" spans="1:15" s="481" customFormat="1" ht="27">
      <c r="A26" s="669" t="s">
        <v>152</v>
      </c>
      <c r="B26" s="670"/>
      <c r="C26" s="671"/>
      <c r="D26" s="695" t="s">
        <v>153</v>
      </c>
      <c r="E26" s="843"/>
      <c r="F26" s="536"/>
      <c r="G26" s="574"/>
      <c r="H26" s="536"/>
      <c r="I26" s="575"/>
      <c r="J26" s="629"/>
      <c r="K26" s="405"/>
      <c r="L26" s="484"/>
      <c r="N26" s="852"/>
      <c r="O26" s="852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-598081</v>
      </c>
      <c r="F27" s="577">
        <v>9</v>
      </c>
      <c r="G27" s="578">
        <f>E27*F27</f>
        <v>-5382729</v>
      </c>
      <c r="H27" s="536">
        <f>G27+'28'!H27</f>
        <v>-5382729</v>
      </c>
      <c r="I27" s="579"/>
      <c r="J27" s="629">
        <f>H27/DAY(B2)</f>
        <v>-185611.3448275862</v>
      </c>
      <c r="K27" s="404"/>
      <c r="L27" s="484"/>
      <c r="N27" s="852"/>
      <c r="O27" s="852"/>
    </row>
    <row r="28" spans="1:15" s="481" customFormat="1" ht="27">
      <c r="A28" s="669" t="s">
        <v>154</v>
      </c>
      <c r="B28" s="670"/>
      <c r="C28" s="671"/>
      <c r="D28" s="696" t="s">
        <v>155</v>
      </c>
      <c r="E28" s="780">
        <f>G15</f>
        <v>-26977.64000000013</v>
      </c>
      <c r="F28" s="577">
        <v>43.5</v>
      </c>
      <c r="G28" s="578">
        <f>E28*F28</f>
        <v>-1173527.3400000057</v>
      </c>
      <c r="H28" s="536">
        <f>G28+'28'!H28</f>
        <v>-1154221.8018000061</v>
      </c>
      <c r="I28" s="581"/>
      <c r="J28" s="629">
        <f>H28/DAY(B2)</f>
        <v>-39800.751786207104</v>
      </c>
      <c r="K28" s="404"/>
      <c r="L28" s="484"/>
      <c r="N28" s="852"/>
      <c r="O28" s="852"/>
    </row>
    <row r="29" spans="1:15" s="481" customFormat="1" ht="27">
      <c r="A29" s="669" t="s">
        <v>156</v>
      </c>
      <c r="B29" s="670"/>
      <c r="C29" s="671"/>
      <c r="D29" s="696" t="s">
        <v>157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0</v>
      </c>
      <c r="I29" s="581"/>
      <c r="J29" s="629">
        <f>H29/DAY(B2)</f>
        <v>0</v>
      </c>
      <c r="K29" s="404"/>
      <c r="L29" s="484"/>
      <c r="N29" s="852"/>
      <c r="O29" s="852"/>
    </row>
    <row r="30" spans="1:15" s="481" customFormat="1" ht="27">
      <c r="A30" s="669" t="s">
        <v>158</v>
      </c>
      <c r="B30" s="670"/>
      <c r="C30" s="671"/>
      <c r="D30" s="696" t="s">
        <v>159</v>
      </c>
      <c r="E30" s="780">
        <f>G19</f>
        <v>-1525</v>
      </c>
      <c r="F30" s="780">
        <v>134</v>
      </c>
      <c r="G30" s="578">
        <f>E30*F30</f>
        <v>-204350</v>
      </c>
      <c r="H30" s="536">
        <f>G30+'28'!H30</f>
        <v>-186662</v>
      </c>
      <c r="I30" s="581"/>
      <c r="J30" s="629">
        <f>H30/DAY(B2)</f>
        <v>-6436.6206896551721</v>
      </c>
      <c r="K30" s="404"/>
      <c r="L30" s="484"/>
      <c r="N30" s="852"/>
      <c r="O30" s="852"/>
    </row>
    <row r="31" spans="1:15" s="481" customFormat="1" ht="27">
      <c r="A31" s="669" t="s">
        <v>160</v>
      </c>
      <c r="B31" s="670"/>
      <c r="C31" s="671"/>
      <c r="D31" s="696" t="s">
        <v>144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347040</v>
      </c>
      <c r="I31" s="581"/>
      <c r="J31" s="629"/>
      <c r="K31" s="404"/>
      <c r="L31" s="484"/>
      <c r="N31" s="852"/>
      <c r="O31" s="852"/>
    </row>
    <row r="32" spans="1:15" s="481" customFormat="1" ht="27">
      <c r="A32" s="672" t="s">
        <v>161</v>
      </c>
      <c r="B32" s="673"/>
      <c r="C32" s="674"/>
      <c r="D32" s="583"/>
      <c r="E32" s="844"/>
      <c r="F32" s="562"/>
      <c r="G32" s="584">
        <f>G27+G28+G29+G30+G31</f>
        <v>-6752606.3400000054</v>
      </c>
      <c r="H32" s="536">
        <f>G32+'28'!H32</f>
        <v>-6376572.8018000061</v>
      </c>
      <c r="I32" s="585"/>
      <c r="J32" s="629">
        <f>H32/DAY(B2)</f>
        <v>-219881.82075172436</v>
      </c>
      <c r="K32" s="404"/>
      <c r="L32" s="484"/>
      <c r="N32" s="852"/>
      <c r="O32" s="852"/>
    </row>
    <row r="33" spans="1:15" ht="25.5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</row>
    <row r="34" spans="1:15">
      <c r="A34" s="675" t="s">
        <v>163</v>
      </c>
      <c r="B34" s="1234"/>
      <c r="C34" s="1234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164</v>
      </c>
      <c r="B35" s="656"/>
      <c r="C35" s="656"/>
      <c r="D35" s="599" t="s">
        <v>132</v>
      </c>
      <c r="E35" s="824">
        <f>'28'!F35</f>
        <v>693087.59</v>
      </c>
      <c r="F35" s="824">
        <v>629028</v>
      </c>
      <c r="G35" s="549">
        <f t="shared" ref="G35:G46" si="3">F35-E35</f>
        <v>-64059.589999999967</v>
      </c>
      <c r="H35" s="536">
        <f>G35+'28'!H35</f>
        <v>-64059.589999999967</v>
      </c>
      <c r="I35" s="531"/>
      <c r="J35" s="629">
        <f>H35/DAY(B2)</f>
        <v>-2208.9513793103438</v>
      </c>
      <c r="K35" s="467"/>
      <c r="L35" s="408"/>
    </row>
    <row r="36" spans="1:15">
      <c r="A36" s="655" t="s">
        <v>165</v>
      </c>
      <c r="B36" s="656"/>
      <c r="C36" s="656"/>
      <c r="D36" s="599" t="s">
        <v>132</v>
      </c>
      <c r="E36" s="824">
        <f>'28'!F36</f>
        <v>296445.57</v>
      </c>
      <c r="F36" s="824">
        <v>275372.73</v>
      </c>
      <c r="G36" s="549">
        <f t="shared" si="3"/>
        <v>-21072.840000000026</v>
      </c>
      <c r="H36" s="536">
        <f>G36+'28'!H36</f>
        <v>-21072.840000000026</v>
      </c>
      <c r="I36" s="531"/>
      <c r="J36" s="629">
        <f>H36/DAY(B2)</f>
        <v>-726.64965517241467</v>
      </c>
      <c r="K36" s="467"/>
      <c r="L36" s="408"/>
    </row>
    <row r="37" spans="1:15" s="480" customFormat="1">
      <c r="A37" s="1190" t="s">
        <v>166</v>
      </c>
      <c r="B37" s="1194"/>
      <c r="C37" s="1194"/>
      <c r="D37" s="704" t="s">
        <v>132</v>
      </c>
      <c r="E37" s="825">
        <f>'28'!F37</f>
        <v>32062.1</v>
      </c>
      <c r="F37" s="825">
        <v>415066</v>
      </c>
      <c r="G37" s="733">
        <f t="shared" si="3"/>
        <v>383003.9</v>
      </c>
      <c r="H37" s="787">
        <f>G37+'28'!H37</f>
        <v>418171.08</v>
      </c>
      <c r="I37" s="788"/>
      <c r="J37" s="789">
        <f>H37/DAY(B2)</f>
        <v>14419.692413793104</v>
      </c>
      <c r="K37" s="1192"/>
      <c r="L37" s="1193"/>
      <c r="N37" s="853"/>
      <c r="O37" s="853"/>
    </row>
    <row r="38" spans="1:15" s="480" customFormat="1">
      <c r="A38" s="1190" t="s">
        <v>167</v>
      </c>
      <c r="B38" s="1194"/>
      <c r="C38" s="1194"/>
      <c r="D38" s="704" t="s">
        <v>132</v>
      </c>
      <c r="E38" s="825">
        <f>'28'!F38</f>
        <v>43813.49</v>
      </c>
      <c r="F38" s="1195">
        <v>150714</v>
      </c>
      <c r="G38" s="733">
        <f t="shared" si="3"/>
        <v>106900.51000000001</v>
      </c>
      <c r="H38" s="787">
        <f>G38+'28'!H38</f>
        <v>106900.51000000001</v>
      </c>
      <c r="I38" s="788"/>
      <c r="J38" s="789">
        <f>H38/DAY(B2)</f>
        <v>3686.224482758621</v>
      </c>
      <c r="K38" s="1192"/>
      <c r="L38" s="1193"/>
      <c r="N38" s="853"/>
      <c r="O38" s="853"/>
    </row>
    <row r="39" spans="1:15" s="480" customFormat="1">
      <c r="A39" s="1190" t="s">
        <v>168</v>
      </c>
      <c r="B39" s="1194"/>
      <c r="C39" s="1194"/>
      <c r="D39" s="704" t="s">
        <v>132</v>
      </c>
      <c r="E39" s="825">
        <f>'28'!F39</f>
        <v>90675.39</v>
      </c>
      <c r="F39" s="825">
        <v>912480</v>
      </c>
      <c r="G39" s="733">
        <f t="shared" si="3"/>
        <v>821804.61</v>
      </c>
      <c r="H39" s="787">
        <f>G39+'28'!H39</f>
        <v>921872.89</v>
      </c>
      <c r="I39" s="788"/>
      <c r="J39" s="789">
        <f>H39/DAY(B2)</f>
        <v>31788.720344827587</v>
      </c>
      <c r="K39" s="1192"/>
      <c r="L39" s="1193"/>
      <c r="N39" s="853"/>
      <c r="O39" s="853"/>
    </row>
    <row r="40" spans="1:15" s="480" customFormat="1">
      <c r="A40" s="1196" t="s">
        <v>169</v>
      </c>
      <c r="B40" s="1197"/>
      <c r="C40" s="1197"/>
      <c r="D40" s="704" t="s">
        <v>132</v>
      </c>
      <c r="E40" s="825">
        <f>'28'!F40</f>
        <v>0</v>
      </c>
      <c r="F40" s="825">
        <v>0</v>
      </c>
      <c r="G40" s="733">
        <f t="shared" si="3"/>
        <v>0</v>
      </c>
      <c r="H40" s="787">
        <f>G40+'28'!H40</f>
        <v>-0.06</v>
      </c>
      <c r="I40" s="788"/>
      <c r="J40" s="789">
        <f>H40/DAY(B2)</f>
        <v>-2.0689655172413794E-3</v>
      </c>
      <c r="K40" s="1198"/>
      <c r="L40" s="1193"/>
      <c r="N40" s="853"/>
      <c r="O40" s="853"/>
    </row>
    <row r="41" spans="1:15" s="480" customFormat="1">
      <c r="A41" s="1190" t="s">
        <v>170</v>
      </c>
      <c r="B41" s="1194"/>
      <c r="C41" s="1194"/>
      <c r="D41" s="704" t="s">
        <v>132</v>
      </c>
      <c r="E41" s="825">
        <f>'28'!F41</f>
        <v>63882.37</v>
      </c>
      <c r="F41" s="825">
        <v>37220</v>
      </c>
      <c r="G41" s="733">
        <f>F41-E41</f>
        <v>-26662.370000000003</v>
      </c>
      <c r="H41" s="787">
        <f>G41+'28'!H41</f>
        <v>-26662.370000000003</v>
      </c>
      <c r="I41" s="788"/>
      <c r="J41" s="789">
        <f>H41/DAY(B2)</f>
        <v>-919.3920689655173</v>
      </c>
      <c r="K41" s="1192"/>
      <c r="L41" s="1193"/>
      <c r="N41" s="853"/>
      <c r="O41" s="853"/>
    </row>
    <row r="42" spans="1:15">
      <c r="A42" s="655" t="s">
        <v>171</v>
      </c>
      <c r="B42" s="656"/>
      <c r="C42" s="656"/>
      <c r="D42" s="599" t="s">
        <v>132</v>
      </c>
      <c r="E42" s="824">
        <f>'28'!F42</f>
        <v>59128.85</v>
      </c>
      <c r="F42" s="824">
        <v>58926</v>
      </c>
      <c r="G42" s="549">
        <f t="shared" si="3"/>
        <v>-202.84999999999854</v>
      </c>
      <c r="H42" s="536">
        <f>G42+'28'!H42</f>
        <v>-202.84999999999854</v>
      </c>
      <c r="I42" s="531"/>
      <c r="J42" s="629">
        <f>H42/DAY(B2)</f>
        <v>-6.9948275862068465</v>
      </c>
      <c r="K42" s="467"/>
      <c r="L42" s="408"/>
    </row>
    <row r="43" spans="1:15">
      <c r="A43" s="655" t="s">
        <v>172</v>
      </c>
      <c r="B43" s="656"/>
      <c r="C43" s="656"/>
      <c r="D43" s="599" t="s">
        <v>132</v>
      </c>
      <c r="E43" s="824">
        <f>'28'!F43</f>
        <v>825897.83</v>
      </c>
      <c r="F43" s="824">
        <v>763162.63</v>
      </c>
      <c r="G43" s="549">
        <f t="shared" si="3"/>
        <v>-62735.199999999953</v>
      </c>
      <c r="H43" s="536">
        <f>G43+'28'!H43</f>
        <v>-62735.199999999953</v>
      </c>
      <c r="I43" s="531"/>
      <c r="J43" s="629">
        <f>H43/DAY(B2)</f>
        <v>-2163.2827586206881</v>
      </c>
      <c r="K43" s="467"/>
      <c r="L43" s="408"/>
    </row>
    <row r="44" spans="1:15">
      <c r="A44" s="655" t="s">
        <v>173</v>
      </c>
      <c r="B44" s="656"/>
      <c r="C44" s="656"/>
      <c r="D44" s="599" t="s">
        <v>132</v>
      </c>
      <c r="E44" s="824">
        <f>'28'!F44</f>
        <v>0</v>
      </c>
      <c r="F44" s="824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174</v>
      </c>
      <c r="B45" s="656"/>
      <c r="C45" s="656"/>
      <c r="D45" s="599" t="s">
        <v>132</v>
      </c>
      <c r="E45" s="824">
        <f>'28'!F45</f>
        <v>614</v>
      </c>
      <c r="F45" s="824">
        <v>614.48</v>
      </c>
      <c r="G45" s="549">
        <f t="shared" si="3"/>
        <v>0.48000000000001819</v>
      </c>
      <c r="H45" s="536">
        <f>G45+'28'!H45</f>
        <v>0.48000000000001819</v>
      </c>
      <c r="I45" s="531"/>
      <c r="J45" s="629">
        <f>H45/DAY(B2)</f>
        <v>1.6551724137931663E-2</v>
      </c>
      <c r="K45" s="467"/>
      <c r="L45" s="408"/>
    </row>
    <row r="46" spans="1:15">
      <c r="A46" s="655" t="s">
        <v>175</v>
      </c>
      <c r="B46" s="656"/>
      <c r="C46" s="656"/>
      <c r="D46" s="599" t="s">
        <v>132</v>
      </c>
      <c r="E46" s="824">
        <f>'28'!F46</f>
        <v>187</v>
      </c>
      <c r="F46" s="824">
        <v>187.49</v>
      </c>
      <c r="G46" s="549">
        <f t="shared" si="3"/>
        <v>0.49000000000000909</v>
      </c>
      <c r="H46" s="536">
        <f>G46+'28'!H46</f>
        <v>0.49000000000000909</v>
      </c>
      <c r="I46" s="531"/>
      <c r="J46" s="629">
        <f>H46/DAY(B2)</f>
        <v>1.6896551724138245E-2</v>
      </c>
      <c r="K46" s="467"/>
      <c r="L46" s="408"/>
    </row>
    <row r="47" spans="1:15">
      <c r="A47" s="662" t="s">
        <v>176</v>
      </c>
      <c r="B47" s="663"/>
      <c r="C47" s="663"/>
      <c r="D47" s="546"/>
      <c r="E47" s="546"/>
      <c r="F47" s="546"/>
      <c r="G47" s="557">
        <f>G35+G36+G37+G38+G39+G40+G41+G42+G43+G44+G45+G46</f>
        <v>1136977.1399999999</v>
      </c>
      <c r="H47" s="536">
        <f>G47+'28'!H47</f>
        <v>1272212.5399999998</v>
      </c>
      <c r="I47" s="531"/>
      <c r="J47" s="629">
        <f>H47/DAY(B2)</f>
        <v>43869.397931034473</v>
      </c>
      <c r="K47" s="467"/>
      <c r="L47" s="408"/>
    </row>
    <row r="48" spans="1:15">
      <c r="A48" s="675" t="s">
        <v>177</v>
      </c>
      <c r="B48" s="1234"/>
      <c r="C48" s="1234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190" t="s">
        <v>164</v>
      </c>
      <c r="B49" s="1191"/>
      <c r="C49" s="1191"/>
      <c r="D49" s="704" t="s">
        <v>132</v>
      </c>
      <c r="E49" s="825">
        <f>'28'!F49</f>
        <v>260732.13</v>
      </c>
      <c r="F49" s="825">
        <v>239985.55</v>
      </c>
      <c r="G49" s="733">
        <f t="shared" ref="G49:G58" si="4">F49-E49</f>
        <v>-20746.580000000016</v>
      </c>
      <c r="H49" s="787">
        <f>G49+'28'!H49</f>
        <v>-20746.580000000016</v>
      </c>
      <c r="I49" s="788"/>
      <c r="J49" s="789">
        <f>H49/DAY(B2)</f>
        <v>-715.39931034482811</v>
      </c>
      <c r="K49" s="1192"/>
      <c r="L49" s="1193"/>
      <c r="N49" s="853"/>
      <c r="O49" s="853"/>
    </row>
    <row r="50" spans="1:15" s="480" customFormat="1">
      <c r="A50" s="1190" t="s">
        <v>178</v>
      </c>
      <c r="B50" s="1191" t="s">
        <v>282</v>
      </c>
      <c r="C50" s="1191"/>
      <c r="D50" s="704" t="s">
        <v>132</v>
      </c>
      <c r="E50" s="825">
        <f>'28'!F50</f>
        <v>402463.03</v>
      </c>
      <c r="F50" s="825">
        <v>366480.97</v>
      </c>
      <c r="G50" s="733">
        <f t="shared" si="4"/>
        <v>-35982.060000000056</v>
      </c>
      <c r="H50" s="787">
        <f>G50+'28'!H50</f>
        <v>-37176.060000000056</v>
      </c>
      <c r="I50" s="788"/>
      <c r="J50" s="789">
        <f>H50/DAY(B2)</f>
        <v>-1281.9331034482777</v>
      </c>
      <c r="K50" s="1192"/>
      <c r="L50" s="1193"/>
      <c r="N50" s="853"/>
      <c r="O50" s="853"/>
    </row>
    <row r="51" spans="1:15" s="480" customFormat="1">
      <c r="A51" s="1190" t="s">
        <v>166</v>
      </c>
      <c r="B51" s="1191"/>
      <c r="C51" s="1191"/>
      <c r="D51" s="704" t="s">
        <v>132</v>
      </c>
      <c r="E51" s="825">
        <f>'28'!F51</f>
        <v>120050.92</v>
      </c>
      <c r="F51" s="825">
        <v>107035</v>
      </c>
      <c r="G51" s="733">
        <f t="shared" si="4"/>
        <v>-13015.919999999998</v>
      </c>
      <c r="H51" s="787">
        <f>G51+'28'!H51</f>
        <v>-14564.919999999998</v>
      </c>
      <c r="I51" s="788"/>
      <c r="J51" s="789">
        <f>H51/DAY(B2)</f>
        <v>-502.23862068965514</v>
      </c>
      <c r="K51" s="1192"/>
      <c r="L51" s="1193"/>
      <c r="N51" s="853"/>
      <c r="O51" s="853"/>
    </row>
    <row r="52" spans="1:15" s="480" customFormat="1">
      <c r="A52" s="1190" t="s">
        <v>179</v>
      </c>
      <c r="B52" s="1191"/>
      <c r="C52" s="1191"/>
      <c r="D52" s="704" t="s">
        <v>132</v>
      </c>
      <c r="E52" s="825">
        <f>'28'!F52</f>
        <v>507912.71</v>
      </c>
      <c r="F52" s="825">
        <v>489802</v>
      </c>
      <c r="G52" s="733">
        <f t="shared" si="4"/>
        <v>-18110.710000000021</v>
      </c>
      <c r="H52" s="787">
        <f>G52+'28'!H52</f>
        <v>-20156.710000000021</v>
      </c>
      <c r="I52" s="788"/>
      <c r="J52" s="789">
        <f>H52/DAY(B2)</f>
        <v>-695.05896551724209</v>
      </c>
      <c r="K52" s="1192"/>
      <c r="L52" s="1193"/>
      <c r="N52" s="853"/>
      <c r="O52" s="853"/>
    </row>
    <row r="53" spans="1:15" s="480" customFormat="1">
      <c r="A53" s="1190" t="s">
        <v>168</v>
      </c>
      <c r="B53" s="1191"/>
      <c r="C53" s="1191"/>
      <c r="D53" s="704" t="s">
        <v>132</v>
      </c>
      <c r="E53" s="825">
        <f>'28'!F53</f>
        <v>331854.51</v>
      </c>
      <c r="F53" s="825">
        <v>295932.96999999997</v>
      </c>
      <c r="G53" s="733">
        <f t="shared" si="4"/>
        <v>-35921.540000000037</v>
      </c>
      <c r="H53" s="787">
        <f>G53+'28'!H53</f>
        <v>-40106.540000000037</v>
      </c>
      <c r="I53" s="788"/>
      <c r="J53" s="789">
        <f>H53/DAY(B2)</f>
        <v>-1382.9841379310358</v>
      </c>
      <c r="K53" s="1192"/>
      <c r="L53" s="1193"/>
      <c r="N53" s="853"/>
      <c r="O53" s="853"/>
    </row>
    <row r="54" spans="1:15">
      <c r="A54" s="655" t="s">
        <v>180</v>
      </c>
      <c r="B54" s="678"/>
      <c r="C54" s="678"/>
      <c r="D54" s="599" t="s">
        <v>132</v>
      </c>
      <c r="E54" s="825">
        <f>'28'!F54</f>
        <v>8095.63</v>
      </c>
      <c r="F54" s="824">
        <v>6228.8</v>
      </c>
      <c r="G54" s="549">
        <f t="shared" si="4"/>
        <v>-1866.83</v>
      </c>
      <c r="H54" s="536">
        <f>G54+'28'!H54</f>
        <v>-1866.83</v>
      </c>
      <c r="I54" s="531"/>
      <c r="J54" s="629">
        <f>H54/DAY(B2)</f>
        <v>-64.37344827586206</v>
      </c>
      <c r="K54" s="467"/>
      <c r="L54" s="408"/>
    </row>
    <row r="55" spans="1:15">
      <c r="A55" s="655" t="s">
        <v>181</v>
      </c>
      <c r="B55" s="678"/>
      <c r="C55" s="678"/>
      <c r="D55" s="599" t="s">
        <v>132</v>
      </c>
      <c r="E55" s="825">
        <f>'28'!F55</f>
        <v>117585.69</v>
      </c>
      <c r="F55" s="825">
        <v>39121</v>
      </c>
      <c r="G55" s="733">
        <f t="shared" si="4"/>
        <v>-78464.69</v>
      </c>
      <c r="H55" s="787">
        <f>G55+'28'!H55</f>
        <v>-83463.69</v>
      </c>
      <c r="I55" s="788"/>
      <c r="J55" s="789">
        <f>H55/DAY(B2)</f>
        <v>-2878.058275862069</v>
      </c>
      <c r="K55" s="467"/>
      <c r="L55" s="408"/>
    </row>
    <row r="56" spans="1:15">
      <c r="A56" s="655" t="s">
        <v>182</v>
      </c>
      <c r="B56" s="678"/>
      <c r="C56" s="678"/>
      <c r="D56" s="599" t="s">
        <v>183</v>
      </c>
      <c r="E56" s="825">
        <f>'28'!F56</f>
        <v>586051.03</v>
      </c>
      <c r="F56" s="825">
        <v>557730</v>
      </c>
      <c r="G56" s="549">
        <f t="shared" si="4"/>
        <v>-28321.030000000028</v>
      </c>
      <c r="H56" s="536">
        <f>G56+'28'!H56</f>
        <v>-28321.030000000028</v>
      </c>
      <c r="I56" s="531"/>
      <c r="J56" s="629">
        <f>H56/DAY(B2)</f>
        <v>-976.58724137931131</v>
      </c>
      <c r="K56" s="466"/>
      <c r="L56" s="408"/>
    </row>
    <row r="57" spans="1:15">
      <c r="A57" s="655" t="s">
        <v>172</v>
      </c>
      <c r="B57" s="678"/>
      <c r="C57" s="678"/>
      <c r="D57" s="599" t="s">
        <v>132</v>
      </c>
      <c r="E57" s="825">
        <f>'28'!F57</f>
        <v>7711.33</v>
      </c>
      <c r="F57" s="824">
        <v>0</v>
      </c>
      <c r="G57" s="549">
        <f t="shared" si="4"/>
        <v>-7711.33</v>
      </c>
      <c r="H57" s="536">
        <f>G57+'28'!H57</f>
        <v>-7711.33</v>
      </c>
      <c r="I57" s="531"/>
      <c r="J57" s="629">
        <f>H57/DAY(B2)</f>
        <v>-265.90793103448277</v>
      </c>
      <c r="K57" s="467"/>
      <c r="L57" s="408"/>
    </row>
    <row r="58" spans="1:15">
      <c r="A58" s="655" t="s">
        <v>184</v>
      </c>
      <c r="B58" s="678"/>
      <c r="C58" s="678"/>
      <c r="D58" s="599" t="s">
        <v>132</v>
      </c>
      <c r="E58" s="825">
        <f>'28'!F58</f>
        <v>35868.699999999997</v>
      </c>
      <c r="F58" s="825">
        <v>30214.39</v>
      </c>
      <c r="G58" s="549">
        <f t="shared" si="4"/>
        <v>-5654.3099999999977</v>
      </c>
      <c r="H58" s="536">
        <f>G58+'28'!H58</f>
        <v>-5850.3099999999977</v>
      </c>
      <c r="I58" s="531"/>
      <c r="J58" s="629">
        <f>H58/DAY(B2)</f>
        <v>-201.73482758620682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-245795.00000000015</v>
      </c>
      <c r="H59" s="536">
        <f>G59+'28'!H59</f>
        <v>-259964.00000000015</v>
      </c>
      <c r="I59" s="531">
        <f>G7-G60</f>
        <v>-1485439.1399999997</v>
      </c>
      <c r="J59" s="629">
        <f>H59/DAY(B2)</f>
        <v>-8964.275862068971</v>
      </c>
      <c r="K59" s="467"/>
      <c r="L59" s="408"/>
      <c r="O59" s="852">
        <f>159+122+341+154</f>
        <v>776</v>
      </c>
    </row>
    <row r="60" spans="1:15">
      <c r="A60" s="655"/>
      <c r="B60" s="656"/>
      <c r="C60" s="656"/>
      <c r="D60" s="587" t="s">
        <v>185</v>
      </c>
      <c r="E60" s="546"/>
      <c r="F60" s="546"/>
      <c r="G60" s="557">
        <f>G47+G59</f>
        <v>891182.13999999978</v>
      </c>
      <c r="H60" s="536">
        <f>G60+'28'!H60</f>
        <v>1026417.5399999997</v>
      </c>
      <c r="I60" s="531">
        <f>G13-G60</f>
        <v>2692120.2900000005</v>
      </c>
      <c r="J60" s="629">
        <f>H60/DAY(B2)</f>
        <v>35393.70827586206</v>
      </c>
      <c r="K60" s="467"/>
      <c r="L60" s="408"/>
    </row>
    <row r="61" spans="1:15">
      <c r="A61" s="679" t="s">
        <v>186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</row>
    <row r="62" spans="1:15">
      <c r="A62" s="680" t="s">
        <v>98</v>
      </c>
      <c r="B62" s="681"/>
      <c r="C62" s="681"/>
      <c r="D62" s="587" t="s">
        <v>187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-7.0000000014260877E-3</v>
      </c>
      <c r="I62" s="591"/>
      <c r="J62" s="629">
        <f>H62/DAY(B2)</f>
        <v>-2.4137931039400302E-4</v>
      </c>
      <c r="K62" s="467"/>
      <c r="L62" s="408"/>
    </row>
    <row r="63" spans="1:15">
      <c r="A63" s="680" t="s">
        <v>188</v>
      </c>
      <c r="B63" s="681"/>
      <c r="C63" s="681"/>
      <c r="D63" s="587" t="s">
        <v>187</v>
      </c>
      <c r="E63" s="590">
        <f>'28'!F63</f>
        <v>1707.36</v>
      </c>
      <c r="F63" s="590">
        <v>1305.8900000000001</v>
      </c>
      <c r="G63" s="549">
        <f t="shared" si="5"/>
        <v>-401.4699999999998</v>
      </c>
      <c r="H63" s="536">
        <f>G63+'28'!H63</f>
        <v>-401.4699999999998</v>
      </c>
      <c r="I63" s="591"/>
      <c r="J63" s="629">
        <f>H63/DAY(B2)</f>
        <v>-13.843793103448268</v>
      </c>
      <c r="K63" s="467"/>
      <c r="L63" s="408"/>
    </row>
    <row r="64" spans="1:15" ht="27.75">
      <c r="A64" s="1430" t="s">
        <v>99</v>
      </c>
      <c r="B64" s="1431"/>
      <c r="C64" s="1432"/>
      <c r="D64" s="599" t="s">
        <v>187</v>
      </c>
      <c r="E64" s="590">
        <f>'28'!F64</f>
        <v>123627.3</v>
      </c>
      <c r="F64" s="820">
        <v>110461.4</v>
      </c>
      <c r="G64" s="549">
        <f t="shared" si="5"/>
        <v>-13165.900000000009</v>
      </c>
      <c r="H64" s="536">
        <f>G64+'28'!H64</f>
        <v>-13165.900000000009</v>
      </c>
      <c r="I64" s="556"/>
      <c r="J64" s="629">
        <f>H64/DAY(B2)</f>
        <v>-453.99655172413821</v>
      </c>
      <c r="K64" s="467"/>
      <c r="L64" s="408"/>
    </row>
    <row r="65" spans="1:12" ht="27.75">
      <c r="A65" s="1430" t="s">
        <v>100</v>
      </c>
      <c r="B65" s="1431"/>
      <c r="C65" s="1432"/>
      <c r="D65" s="599" t="s">
        <v>187</v>
      </c>
      <c r="E65" s="590">
        <f>'28'!F65</f>
        <v>132597.29999999999</v>
      </c>
      <c r="F65" s="827">
        <v>120948.65</v>
      </c>
      <c r="G65" s="549">
        <f t="shared" si="5"/>
        <v>-11648.649999999994</v>
      </c>
      <c r="H65" s="536">
        <f>G65+'28'!H65</f>
        <v>-11648.649999999994</v>
      </c>
      <c r="I65" s="565"/>
      <c r="J65" s="629">
        <f>H65/DAY(B2)</f>
        <v>-401.67758620689636</v>
      </c>
      <c r="K65" s="467"/>
      <c r="L65" s="408"/>
    </row>
    <row r="66" spans="1:12" ht="27.75">
      <c r="A66" s="1430" t="s">
        <v>101</v>
      </c>
      <c r="B66" s="1431"/>
      <c r="C66" s="1432"/>
      <c r="D66" s="599" t="s">
        <v>187</v>
      </c>
      <c r="E66" s="590">
        <f>'28'!F66</f>
        <v>25159.75</v>
      </c>
      <c r="F66" s="820">
        <v>13320.84</v>
      </c>
      <c r="G66" s="549">
        <f t="shared" si="5"/>
        <v>-11838.91</v>
      </c>
      <c r="H66" s="536">
        <f>G66+'28'!H66</f>
        <v>-11838.91</v>
      </c>
      <c r="I66" s="556"/>
      <c r="J66" s="629">
        <f>H66/DAY(B2)</f>
        <v>-408.23827586206897</v>
      </c>
      <c r="K66" s="467"/>
      <c r="L66" s="408"/>
    </row>
    <row r="67" spans="1:12" ht="27.75">
      <c r="A67" s="1430" t="s">
        <v>102</v>
      </c>
      <c r="B67" s="1431"/>
      <c r="C67" s="1432"/>
      <c r="D67" s="599" t="s">
        <v>187</v>
      </c>
      <c r="E67" s="590">
        <f>'28'!F67</f>
        <v>207841.83</v>
      </c>
      <c r="F67" s="820">
        <v>187269.37</v>
      </c>
      <c r="G67" s="549">
        <f t="shared" si="5"/>
        <v>-20572.459999999992</v>
      </c>
      <c r="H67" s="536">
        <f>G67+'28'!H67</f>
        <v>-20572.459999999992</v>
      </c>
      <c r="I67" s="565"/>
      <c r="J67" s="629">
        <f>H67/DAY(B2)</f>
        <v>-709.39517241379281</v>
      </c>
      <c r="K67" s="468"/>
      <c r="L67" s="408"/>
    </row>
    <row r="68" spans="1:12" ht="27.75">
      <c r="A68" s="1430" t="s">
        <v>103</v>
      </c>
      <c r="B68" s="1431"/>
      <c r="C68" s="1432"/>
      <c r="D68" s="599" t="s">
        <v>187</v>
      </c>
      <c r="E68" s="590">
        <f>'28'!F68</f>
        <v>72678.52</v>
      </c>
      <c r="F68" s="820">
        <v>62687.79</v>
      </c>
      <c r="G68" s="549">
        <f t="shared" si="5"/>
        <v>-9990.7300000000032</v>
      </c>
      <c r="H68" s="536">
        <f>G68+'28'!H68</f>
        <v>-8990.7300000000032</v>
      </c>
      <c r="I68" s="592"/>
      <c r="J68" s="629">
        <f>H68/DAY(B2)</f>
        <v>-310.0251724137932</v>
      </c>
      <c r="K68" s="469"/>
      <c r="L68" s="408"/>
    </row>
    <row r="69" spans="1:12" ht="27.75">
      <c r="A69" s="1430" t="s">
        <v>104</v>
      </c>
      <c r="B69" s="1431"/>
      <c r="C69" s="1432"/>
      <c r="D69" s="599" t="s">
        <v>187</v>
      </c>
      <c r="E69" s="590">
        <f>'28'!F69</f>
        <v>64452.09</v>
      </c>
      <c r="F69" s="820">
        <v>55093</v>
      </c>
      <c r="G69" s="549">
        <f t="shared" si="5"/>
        <v>-9359.0899999999965</v>
      </c>
      <c r="H69" s="536">
        <f>G69+'28'!H69</f>
        <v>-9359.0899999999965</v>
      </c>
      <c r="I69" s="592"/>
      <c r="J69" s="629">
        <f>H69/DAY(B2)</f>
        <v>-322.72724137931021</v>
      </c>
      <c r="K69" s="470"/>
      <c r="L69" s="408"/>
    </row>
    <row r="70" spans="1:12" ht="27.75">
      <c r="A70" s="1462" t="s">
        <v>189</v>
      </c>
      <c r="B70" s="1463"/>
      <c r="C70" s="1464"/>
      <c r="D70" s="599" t="s">
        <v>187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</row>
    <row r="72" spans="1:12" ht="27.75">
      <c r="A72" s="1430" t="s">
        <v>191</v>
      </c>
      <c r="B72" s="1431"/>
      <c r="C72" s="1432"/>
      <c r="D72" s="599" t="s">
        <v>187</v>
      </c>
      <c r="E72" s="845">
        <f>'28'!F72</f>
        <v>850592</v>
      </c>
      <c r="F72" s="829">
        <v>848280</v>
      </c>
      <c r="G72" s="549">
        <f t="shared" ref="G72:G84" si="6">F72-E72</f>
        <v>-2312</v>
      </c>
      <c r="H72" s="536">
        <f>G72+'28'!H72</f>
        <v>-113</v>
      </c>
      <c r="I72" s="556"/>
      <c r="J72" s="629">
        <f>H72/DAY(B2)</f>
        <v>-3.896551724137931</v>
      </c>
      <c r="K72" s="470"/>
      <c r="L72" s="408"/>
    </row>
    <row r="73" spans="1:12" ht="27.75">
      <c r="A73" s="1430" t="s">
        <v>192</v>
      </c>
      <c r="B73" s="1431"/>
      <c r="C73" s="1432"/>
      <c r="D73" s="599" t="s">
        <v>187</v>
      </c>
      <c r="E73" s="845">
        <f>'28'!F73</f>
        <v>885772</v>
      </c>
      <c r="F73" s="830">
        <v>885728</v>
      </c>
      <c r="G73" s="733">
        <f>F73-E73</f>
        <v>-44</v>
      </c>
      <c r="H73" s="536">
        <f>G73+'28'!H73</f>
        <v>-1180</v>
      </c>
      <c r="I73" s="556"/>
      <c r="J73" s="629">
        <f>H73/DAY(B2)</f>
        <v>-40.689655172413794</v>
      </c>
      <c r="K73" s="469"/>
      <c r="L73" s="408"/>
    </row>
    <row r="74" spans="1:12" ht="27.75">
      <c r="A74" s="1430" t="s">
        <v>193</v>
      </c>
      <c r="B74" s="1431"/>
      <c r="C74" s="1432"/>
      <c r="D74" s="599" t="s">
        <v>187</v>
      </c>
      <c r="E74" s="845">
        <f>'28'!F74</f>
        <v>586.16999999999996</v>
      </c>
      <c r="F74" s="830">
        <v>882303</v>
      </c>
      <c r="G74" s="549">
        <f t="shared" si="6"/>
        <v>881716.83</v>
      </c>
      <c r="H74" s="536">
        <f>G74+'28'!H74</f>
        <v>881716.83</v>
      </c>
      <c r="I74" s="556"/>
      <c r="J74" s="629">
        <f>H74/DAY(B2)</f>
        <v>30404.028620689653</v>
      </c>
      <c r="K74" s="470"/>
      <c r="L74" s="408"/>
    </row>
    <row r="75" spans="1:12" ht="27.75">
      <c r="A75" s="1479" t="s">
        <v>194</v>
      </c>
      <c r="B75" s="1480"/>
      <c r="C75" s="1481"/>
      <c r="D75" s="599" t="s">
        <v>187</v>
      </c>
      <c r="E75" s="845">
        <f>'28'!F75</f>
        <v>3519.22</v>
      </c>
      <c r="F75" s="830">
        <v>737120</v>
      </c>
      <c r="G75" s="549">
        <f t="shared" si="6"/>
        <v>733600.78</v>
      </c>
      <c r="H75" s="536">
        <f>G75+'28'!H75</f>
        <v>733600.78</v>
      </c>
      <c r="I75" s="556"/>
      <c r="J75" s="629">
        <f>H75/DAY(B2)</f>
        <v>25296.578620689656</v>
      </c>
      <c r="K75" s="469"/>
      <c r="L75" s="408"/>
    </row>
    <row r="76" spans="1:12" ht="27.75">
      <c r="A76" s="1479" t="s">
        <v>195</v>
      </c>
      <c r="B76" s="1480"/>
      <c r="C76" s="1481"/>
      <c r="D76" s="599" t="s">
        <v>187</v>
      </c>
      <c r="E76" s="845">
        <f>'28'!F76</f>
        <v>1514.34</v>
      </c>
      <c r="F76" s="830">
        <v>686870</v>
      </c>
      <c r="G76" s="549">
        <f t="shared" si="6"/>
        <v>685355.66</v>
      </c>
      <c r="H76" s="536">
        <f>G76+'28'!H76</f>
        <v>683811.58000000007</v>
      </c>
      <c r="I76" s="581"/>
      <c r="J76" s="629">
        <f>H76/DAY(B2)</f>
        <v>23579.709655172417</v>
      </c>
      <c r="K76" s="469"/>
      <c r="L76" s="408"/>
    </row>
    <row r="77" spans="1:12" ht="27.75">
      <c r="A77" s="1430" t="s">
        <v>196</v>
      </c>
      <c r="B77" s="1431"/>
      <c r="C77" s="1432"/>
      <c r="D77" s="599" t="s">
        <v>187</v>
      </c>
      <c r="E77" s="845">
        <f>'28'!F77</f>
        <v>698588</v>
      </c>
      <c r="F77" s="830">
        <v>697002</v>
      </c>
      <c r="G77" s="733">
        <f t="shared" si="6"/>
        <v>-1586</v>
      </c>
      <c r="H77" s="536">
        <f>G77+'28'!H77</f>
        <v>-1586</v>
      </c>
      <c r="I77" s="581"/>
      <c r="J77" s="629">
        <f>H77/DAY(B2)</f>
        <v>-54.689655172413794</v>
      </c>
      <c r="K77" s="469"/>
      <c r="L77" s="408"/>
    </row>
    <row r="78" spans="1:12" ht="27.75">
      <c r="A78" s="1232" t="s">
        <v>197</v>
      </c>
      <c r="B78" s="1203"/>
      <c r="C78" s="1203"/>
      <c r="D78" s="599" t="s">
        <v>187</v>
      </c>
      <c r="E78" s="845">
        <f>'28'!F78</f>
        <v>652863</v>
      </c>
      <c r="F78" s="830">
        <v>641105</v>
      </c>
      <c r="G78" s="733">
        <f t="shared" si="6"/>
        <v>-11758</v>
      </c>
      <c r="H78" s="536">
        <f>G78+'28'!H78</f>
        <v>-11758</v>
      </c>
      <c r="I78" s="581"/>
      <c r="J78" s="629">
        <f>H78/DAY(B2)</f>
        <v>-405.44827586206895</v>
      </c>
      <c r="K78" s="469"/>
      <c r="L78" s="408"/>
    </row>
    <row r="79" spans="1:12" ht="27.75">
      <c r="A79" s="1479" t="s">
        <v>92</v>
      </c>
      <c r="B79" s="1480"/>
      <c r="C79" s="1481"/>
      <c r="D79" s="600" t="s">
        <v>187</v>
      </c>
      <c r="E79" s="845">
        <f>'28'!F79</f>
        <v>815109</v>
      </c>
      <c r="F79" s="831">
        <v>809323</v>
      </c>
      <c r="G79" s="549">
        <f t="shared" si="6"/>
        <v>-5786</v>
      </c>
      <c r="H79" s="536">
        <f>G79+'28'!H79</f>
        <v>-8413</v>
      </c>
      <c r="I79" s="581"/>
      <c r="J79" s="629">
        <f>H79/DAY(B2)</f>
        <v>-290.10344827586209</v>
      </c>
      <c r="K79" s="469"/>
      <c r="L79" s="408"/>
    </row>
    <row r="80" spans="1:12" ht="27.75">
      <c r="A80" s="1479" t="s">
        <v>198</v>
      </c>
      <c r="B80" s="1480"/>
      <c r="C80" s="1481"/>
      <c r="D80" s="600" t="s">
        <v>187</v>
      </c>
      <c r="E80" s="845">
        <f>'28'!F80</f>
        <v>494673.64</v>
      </c>
      <c r="F80" s="830">
        <v>484503</v>
      </c>
      <c r="G80" s="549">
        <f t="shared" si="6"/>
        <v>-10170.640000000014</v>
      </c>
      <c r="H80" s="536">
        <f>G80+'28'!H80</f>
        <v>-7496.679999999993</v>
      </c>
      <c r="I80" s="581"/>
      <c r="J80" s="629">
        <f>H80/DAY(B2)</f>
        <v>-258.50620689655148</v>
      </c>
      <c r="K80" s="469"/>
      <c r="L80" s="408"/>
    </row>
    <row r="81" spans="1:15" ht="27.75">
      <c r="A81" s="1479" t="s">
        <v>199</v>
      </c>
      <c r="B81" s="1480"/>
      <c r="C81" s="1481"/>
      <c r="D81" s="600" t="s">
        <v>187</v>
      </c>
      <c r="E81" s="845">
        <f>'28'!F81</f>
        <v>625943.84</v>
      </c>
      <c r="F81" s="830">
        <v>622568</v>
      </c>
      <c r="G81" s="549">
        <f t="shared" si="6"/>
        <v>-3375.8399999999674</v>
      </c>
      <c r="H81" s="536">
        <f>G81+'28'!H81</f>
        <v>-3375.8399999999674</v>
      </c>
      <c r="I81" s="581"/>
      <c r="J81" s="629">
        <f>H81/DAY(B2)</f>
        <v>-116.40827586206784</v>
      </c>
      <c r="K81" s="469"/>
      <c r="L81" s="408"/>
    </row>
    <row r="82" spans="1:15" ht="27.75">
      <c r="A82" s="1479" t="s">
        <v>93</v>
      </c>
      <c r="B82" s="1480"/>
      <c r="C82" s="1481"/>
      <c r="D82" s="561" t="s">
        <v>132</v>
      </c>
      <c r="E82" s="845">
        <f>'28'!F82</f>
        <v>106202.48</v>
      </c>
      <c r="F82" s="827">
        <v>105339.54</v>
      </c>
      <c r="G82" s="549">
        <f t="shared" si="6"/>
        <v>-862.94000000000233</v>
      </c>
      <c r="H82" s="536">
        <f>G82+'28'!H82</f>
        <v>-862.94000000000233</v>
      </c>
      <c r="I82" s="562"/>
      <c r="J82" s="629">
        <f>H82/DAY(B2)</f>
        <v>-29.75655172413801</v>
      </c>
      <c r="K82" s="469"/>
      <c r="L82" s="408"/>
    </row>
    <row r="83" spans="1:15" ht="27.75">
      <c r="A83" s="1479" t="s">
        <v>200</v>
      </c>
      <c r="B83" s="1480"/>
      <c r="C83" s="1481"/>
      <c r="D83" s="697" t="s">
        <v>132</v>
      </c>
      <c r="E83" s="845">
        <f>'28'!F83</f>
        <v>996449</v>
      </c>
      <c r="F83" s="546">
        <v>982952</v>
      </c>
      <c r="G83" s="549">
        <f t="shared" si="6"/>
        <v>-13497</v>
      </c>
      <c r="H83" s="536">
        <f>G83+'28'!H83</f>
        <v>986355</v>
      </c>
      <c r="I83" s="557"/>
      <c r="J83" s="629">
        <f>H83/DAY(B2)</f>
        <v>34012.241379310348</v>
      </c>
      <c r="K83" s="468"/>
      <c r="L83" s="408"/>
    </row>
    <row r="84" spans="1:15">
      <c r="A84" s="1233" t="s">
        <v>201</v>
      </c>
      <c r="B84" s="648"/>
      <c r="C84" s="648"/>
      <c r="D84" s="554" t="s">
        <v>132</v>
      </c>
      <c r="E84" s="845">
        <f>'28'!F84</f>
        <v>430798</v>
      </c>
      <c r="F84" s="787">
        <v>415080</v>
      </c>
      <c r="G84" s="549">
        <f t="shared" si="6"/>
        <v>-15718</v>
      </c>
      <c r="H84" s="536">
        <f>G84+'28'!H84</f>
        <v>-15718</v>
      </c>
      <c r="I84" s="557"/>
      <c r="J84" s="629">
        <f>H84/DAY(B2)</f>
        <v>-542</v>
      </c>
      <c r="K84" s="411"/>
      <c r="L84" s="408"/>
    </row>
    <row r="85" spans="1:15" s="410" customFormat="1">
      <c r="A85" s="682" t="s">
        <v>202</v>
      </c>
      <c r="B85" s="649"/>
      <c r="C85" s="649"/>
      <c r="D85" s="565"/>
      <c r="E85" s="787">
        <f>'28'!F85</f>
        <v>0</v>
      </c>
      <c r="F85" s="536"/>
      <c r="G85" s="536">
        <f xml:space="preserve"> SUM(G72:G84)</f>
        <v>2235562.85</v>
      </c>
      <c r="H85" s="536">
        <f>G85+'28'!H85</f>
        <v>3233389.4699999997</v>
      </c>
      <c r="I85" s="557"/>
      <c r="J85" s="629">
        <f>H85/DAY(B2)</f>
        <v>111496.18862068965</v>
      </c>
      <c r="K85" s="411"/>
      <c r="L85" s="409"/>
      <c r="N85" s="852"/>
      <c r="O85" s="852"/>
    </row>
    <row r="86" spans="1:15" s="817" customFormat="1">
      <c r="A86" s="812" t="s">
        <v>94</v>
      </c>
      <c r="B86" s="813"/>
      <c r="C86" s="813"/>
      <c r="D86" s="814" t="s">
        <v>183</v>
      </c>
      <c r="E86" s="787">
        <f>'28'!F86</f>
        <v>450368.53</v>
      </c>
      <c r="F86" s="832">
        <v>446888</v>
      </c>
      <c r="G86" s="787">
        <f t="shared" ref="G86:G90" si="7">F86-E86</f>
        <v>-3480.5300000000279</v>
      </c>
      <c r="H86" s="787">
        <f t="shared" ref="H86:H88" si="8">G86</f>
        <v>-3480.5300000000279</v>
      </c>
      <c r="I86" s="733"/>
      <c r="J86" s="789">
        <f>H86/DAY(B2)</f>
        <v>-120.01827586206993</v>
      </c>
      <c r="K86" s="815"/>
      <c r="L86" s="816"/>
      <c r="N86" s="853"/>
      <c r="O86" s="853"/>
    </row>
    <row r="87" spans="1:15" s="817" customFormat="1">
      <c r="A87" s="812" t="s">
        <v>95</v>
      </c>
      <c r="B87" s="813"/>
      <c r="C87" s="813"/>
      <c r="D87" s="814" t="s">
        <v>183</v>
      </c>
      <c r="E87" s="787">
        <f>'28'!F87</f>
        <v>79207.7</v>
      </c>
      <c r="F87" s="832">
        <v>78411</v>
      </c>
      <c r="G87" s="787">
        <f t="shared" si="7"/>
        <v>-796.69999999999709</v>
      </c>
      <c r="H87" s="787">
        <f t="shared" si="8"/>
        <v>-796.69999999999709</v>
      </c>
      <c r="I87" s="733"/>
      <c r="J87" s="789">
        <f>H87/DAY(B2)</f>
        <v>-27.47241379310335</v>
      </c>
      <c r="K87" s="815"/>
      <c r="L87" s="816"/>
      <c r="N87" s="853"/>
      <c r="O87" s="853"/>
    </row>
    <row r="88" spans="1:15" s="817" customFormat="1">
      <c r="A88" s="812" t="s">
        <v>96</v>
      </c>
      <c r="B88" s="813"/>
      <c r="C88" s="813"/>
      <c r="D88" s="814" t="s">
        <v>183</v>
      </c>
      <c r="E88" s="787">
        <f>'28'!F88</f>
        <v>148264.60999999999</v>
      </c>
      <c r="F88" s="832">
        <v>146382.95000000001</v>
      </c>
      <c r="G88" s="787">
        <f t="shared" si="7"/>
        <v>-1881.6599999999744</v>
      </c>
      <c r="H88" s="787">
        <f t="shared" si="8"/>
        <v>-1881.6599999999744</v>
      </c>
      <c r="I88" s="733"/>
      <c r="J88" s="789">
        <f>H88/DAY(B2)</f>
        <v>-64.884827586206015</v>
      </c>
      <c r="K88" s="815"/>
      <c r="L88" s="816"/>
      <c r="N88" s="853">
        <f>122+359</f>
        <v>481</v>
      </c>
      <c r="O88" s="853"/>
    </row>
    <row r="89" spans="1:15" s="817" customFormat="1">
      <c r="A89" s="812" t="s">
        <v>204</v>
      </c>
      <c r="B89" s="813"/>
      <c r="C89" s="813"/>
      <c r="D89" s="814" t="s">
        <v>183</v>
      </c>
      <c r="E89" s="787">
        <f>'28'!F89</f>
        <v>61675.1</v>
      </c>
      <c r="F89" s="728">
        <v>59670.8</v>
      </c>
      <c r="G89" s="787">
        <f t="shared" si="7"/>
        <v>-2004.2999999999956</v>
      </c>
      <c r="H89" s="787">
        <f>G89</f>
        <v>-2004.2999999999956</v>
      </c>
      <c r="I89" s="733"/>
      <c r="J89" s="789">
        <f>H89/DAY(B2)</f>
        <v>-69.113793103448131</v>
      </c>
      <c r="K89" s="815"/>
      <c r="L89" s="816"/>
    </row>
    <row r="90" spans="1:15" s="817" customFormat="1">
      <c r="A90" s="812" t="s">
        <v>204</v>
      </c>
      <c r="B90" s="813"/>
      <c r="C90" s="813"/>
      <c r="D90" s="814" t="s">
        <v>183</v>
      </c>
      <c r="E90" s="787">
        <f>'28'!F90</f>
        <v>3162.9</v>
      </c>
      <c r="F90" s="728">
        <v>3061.9</v>
      </c>
      <c r="G90" s="787">
        <f t="shared" si="7"/>
        <v>-101</v>
      </c>
      <c r="H90" s="787">
        <f>G90</f>
        <v>-101</v>
      </c>
      <c r="I90" s="733"/>
      <c r="J90" s="789">
        <f>H90/DAY(B2)</f>
        <v>-3.4827586206896552</v>
      </c>
      <c r="K90" s="815"/>
      <c r="L90" s="816"/>
    </row>
    <row r="91" spans="1:15" s="410" customFormat="1">
      <c r="A91" s="683" t="s">
        <v>205</v>
      </c>
      <c r="B91" s="1235"/>
      <c r="C91" s="1235"/>
      <c r="D91" s="548"/>
      <c r="E91" s="821"/>
      <c r="F91" s="821"/>
      <c r="G91" s="564"/>
      <c r="H91" s="548"/>
      <c r="I91" s="548"/>
      <c r="J91" s="628"/>
      <c r="K91" s="411"/>
      <c r="L91" s="409"/>
      <c r="N91" s="852"/>
      <c r="O91" s="852"/>
    </row>
    <row r="92" spans="1:15" ht="27.75">
      <c r="A92" s="1433" t="s">
        <v>206</v>
      </c>
      <c r="B92" s="1434"/>
      <c r="C92" s="1435"/>
      <c r="D92" s="599" t="s">
        <v>144</v>
      </c>
      <c r="E92" s="841">
        <f>'28'!F92</f>
        <v>239695</v>
      </c>
      <c r="F92" s="820">
        <v>236405</v>
      </c>
      <c r="G92" s="549">
        <f t="shared" ref="G92:G93" si="9">F92-E92</f>
        <v>-3290</v>
      </c>
      <c r="H92" s="536">
        <f>G92+'28'!H92</f>
        <v>-3290</v>
      </c>
      <c r="I92" s="556"/>
      <c r="J92" s="629">
        <f>H92/DAY(B2)</f>
        <v>-113.44827586206897</v>
      </c>
      <c r="K92" s="468"/>
      <c r="L92" s="408"/>
    </row>
    <row r="93" spans="1:15" ht="27.75">
      <c r="A93" s="1433" t="s">
        <v>207</v>
      </c>
      <c r="B93" s="1434"/>
      <c r="C93" s="1435"/>
      <c r="D93" s="599" t="s">
        <v>144</v>
      </c>
      <c r="E93" s="841">
        <f>'28'!F93</f>
        <v>175661</v>
      </c>
      <c r="F93" s="820">
        <v>170864</v>
      </c>
      <c r="G93" s="549">
        <f t="shared" si="9"/>
        <v>-4797</v>
      </c>
      <c r="H93" s="536">
        <f>G93+'28'!H93</f>
        <v>-4797</v>
      </c>
      <c r="I93" s="556"/>
      <c r="J93" s="629">
        <f>H93/DAY(B2)</f>
        <v>-165.41379310344828</v>
      </c>
      <c r="K93" s="411"/>
      <c r="L93" s="408"/>
    </row>
    <row r="94" spans="1:15">
      <c r="A94" s="1427" t="s">
        <v>208</v>
      </c>
      <c r="B94" s="1428"/>
      <c r="C94" s="1429"/>
      <c r="D94" s="599"/>
      <c r="E94" s="841"/>
      <c r="F94" s="820"/>
      <c r="G94" s="549">
        <f>G92+G93</f>
        <v>-8087</v>
      </c>
      <c r="H94" s="536">
        <f>G94+'28'!H94</f>
        <v>-8353</v>
      </c>
      <c r="I94" s="556"/>
      <c r="J94" s="629">
        <f>H94/DAY(B2)</f>
        <v>-288.0344827586207</v>
      </c>
      <c r="K94" s="411"/>
      <c r="L94" s="408"/>
    </row>
    <row r="95" spans="1:15" ht="27.75">
      <c r="A95" s="1433" t="s">
        <v>209</v>
      </c>
      <c r="B95" s="1434"/>
      <c r="C95" s="1435"/>
      <c r="D95" s="599" t="s">
        <v>144</v>
      </c>
      <c r="E95" s="841">
        <f>'28'!F95</f>
        <v>408156</v>
      </c>
      <c r="F95" s="820">
        <v>405753</v>
      </c>
      <c r="G95" s="549">
        <f t="shared" ref="G95:G100" si="10">F95-E95</f>
        <v>-2403</v>
      </c>
      <c r="H95" s="536">
        <f>G95+'28'!H95</f>
        <v>-2403</v>
      </c>
      <c r="I95" s="556"/>
      <c r="J95" s="629">
        <f>H95/DAY(B2)</f>
        <v>-82.862068965517238</v>
      </c>
      <c r="K95" s="411"/>
      <c r="L95" s="408"/>
    </row>
    <row r="96" spans="1:15" ht="27.75">
      <c r="A96" s="1229" t="s">
        <v>210</v>
      </c>
      <c r="B96" s="1230"/>
      <c r="C96" s="1230"/>
      <c r="D96" s="599" t="s">
        <v>144</v>
      </c>
      <c r="E96" s="841">
        <f>'28'!F96</f>
        <v>101332</v>
      </c>
      <c r="F96" s="820">
        <v>100470</v>
      </c>
      <c r="G96" s="549">
        <f t="shared" si="10"/>
        <v>-862</v>
      </c>
      <c r="H96" s="536">
        <f>G96+'28'!H96</f>
        <v>-862</v>
      </c>
      <c r="I96" s="556"/>
      <c r="J96" s="629">
        <f>H96/DAY(B2)</f>
        <v>-29.724137931034484</v>
      </c>
      <c r="K96" s="466"/>
      <c r="L96" s="408"/>
    </row>
    <row r="97" spans="1:15" ht="27.75">
      <c r="A97" s="1229" t="s">
        <v>211</v>
      </c>
      <c r="B97" s="1230"/>
      <c r="C97" s="1230"/>
      <c r="D97" s="599" t="s">
        <v>144</v>
      </c>
      <c r="E97" s="841">
        <f>'28'!F97</f>
        <v>96449</v>
      </c>
      <c r="F97" s="820">
        <v>95625</v>
      </c>
      <c r="G97" s="549">
        <f t="shared" si="10"/>
        <v>-824</v>
      </c>
      <c r="H97" s="536">
        <f>G97+'28'!H97</f>
        <v>-824</v>
      </c>
      <c r="I97" s="556"/>
      <c r="J97" s="629">
        <f>H97/DAY(B2)</f>
        <v>-28.413793103448278</v>
      </c>
      <c r="K97" s="471"/>
      <c r="L97" s="408"/>
    </row>
    <row r="98" spans="1:15" ht="27.75">
      <c r="A98" s="1229" t="s">
        <v>212</v>
      </c>
      <c r="B98" s="1230"/>
      <c r="C98" s="1230"/>
      <c r="D98" s="599" t="s">
        <v>144</v>
      </c>
      <c r="E98" s="841">
        <f>'28'!F98</f>
        <v>147608</v>
      </c>
      <c r="F98" s="820">
        <v>145422</v>
      </c>
      <c r="G98" s="549">
        <f t="shared" si="10"/>
        <v>-2186</v>
      </c>
      <c r="H98" s="536">
        <f>G98+'28'!H98</f>
        <v>-2186</v>
      </c>
      <c r="I98" s="556"/>
      <c r="J98" s="629">
        <f>H98/DAY(B2)</f>
        <v>-75.379310344827587</v>
      </c>
      <c r="K98" s="411"/>
      <c r="L98" s="408"/>
    </row>
    <row r="99" spans="1:15" ht="27.75">
      <c r="A99" s="1229" t="s">
        <v>213</v>
      </c>
      <c r="B99" s="1230"/>
      <c r="C99" s="1230"/>
      <c r="D99" s="599" t="s">
        <v>144</v>
      </c>
      <c r="E99" s="841">
        <f>'28'!F99</f>
        <v>6408</v>
      </c>
      <c r="F99" s="820">
        <v>5946</v>
      </c>
      <c r="G99" s="549">
        <f t="shared" si="10"/>
        <v>-462</v>
      </c>
      <c r="H99" s="536">
        <f>G99+'28'!H99</f>
        <v>-462</v>
      </c>
      <c r="I99" s="556"/>
      <c r="J99" s="629">
        <f>H99/DAY(B2)</f>
        <v>-15.931034482758621</v>
      </c>
      <c r="K99" s="411"/>
      <c r="L99" s="408"/>
    </row>
    <row r="100" spans="1:15" ht="27.75">
      <c r="A100" s="1229" t="s">
        <v>214</v>
      </c>
      <c r="B100" s="1230"/>
      <c r="C100" s="1230"/>
      <c r="D100" s="599" t="s">
        <v>144</v>
      </c>
      <c r="E100" s="841">
        <f>'28'!F100</f>
        <v>4543</v>
      </c>
      <c r="F100" s="820">
        <v>4225</v>
      </c>
      <c r="G100" s="549">
        <f t="shared" si="10"/>
        <v>-318</v>
      </c>
      <c r="H100" s="536">
        <f>G100+'28'!H100</f>
        <v>-318</v>
      </c>
      <c r="I100" s="556"/>
      <c r="J100" s="629">
        <f>H100/DAY(B2)</f>
        <v>-10.96551724137931</v>
      </c>
      <c r="K100" s="411"/>
      <c r="L100" s="408"/>
    </row>
    <row r="101" spans="1:15">
      <c r="A101" s="1427" t="s">
        <v>216</v>
      </c>
      <c r="B101" s="1428"/>
      <c r="C101" s="1429"/>
      <c r="D101" s="600"/>
      <c r="E101" s="562"/>
      <c r="F101" s="562"/>
      <c r="G101" s="601">
        <f>SUM(G95:G100)</f>
        <v>-7055</v>
      </c>
      <c r="H101" s="536">
        <f>G101+'28'!H101</f>
        <v>-7055</v>
      </c>
      <c r="I101" s="602"/>
      <c r="J101" s="629">
        <f>H101/DAY(B2)</f>
        <v>-243.27586206896552</v>
      </c>
      <c r="K101" s="411"/>
      <c r="L101" s="408"/>
    </row>
    <row r="102" spans="1:15" s="481" customFormat="1" ht="27">
      <c r="A102" s="684" t="s">
        <v>217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852"/>
      <c r="O102" s="852"/>
    </row>
    <row r="103" spans="1:15" s="481" customFormat="1" ht="27">
      <c r="A103" s="1436" t="s">
        <v>218</v>
      </c>
      <c r="B103" s="1437"/>
      <c r="C103" s="650"/>
      <c r="D103" s="699"/>
      <c r="E103" s="609"/>
      <c r="F103" s="834"/>
      <c r="G103" s="608"/>
      <c r="H103" s="609"/>
      <c r="I103" s="608"/>
      <c r="J103" s="635"/>
      <c r="N103" s="852"/>
      <c r="O103" s="852"/>
    </row>
    <row r="104" spans="1:15" s="481" customFormat="1" ht="27">
      <c r="A104" s="1438" t="s">
        <v>219</v>
      </c>
      <c r="B104" s="1439"/>
      <c r="C104" s="1228"/>
      <c r="D104" s="699" t="s">
        <v>144</v>
      </c>
      <c r="E104" s="609">
        <f>'28'!F104</f>
        <v>7128</v>
      </c>
      <c r="F104" s="834">
        <v>7010</v>
      </c>
      <c r="G104" s="608">
        <f>F104-E104</f>
        <v>-118</v>
      </c>
      <c r="H104" s="609">
        <f>SUM(G104+'1'!G76)</f>
        <v>-38.849999999999909</v>
      </c>
      <c r="I104" s="608"/>
      <c r="J104" s="635">
        <f>H104/DAY(B2)</f>
        <v>-1.33965517241379</v>
      </c>
      <c r="N104" s="852"/>
      <c r="O104" s="852"/>
    </row>
    <row r="105" spans="1:15" s="481" customFormat="1" ht="27">
      <c r="A105" s="1438" t="s">
        <v>77</v>
      </c>
      <c r="B105" s="1439"/>
      <c r="C105" s="1228"/>
      <c r="D105" s="699" t="s">
        <v>144</v>
      </c>
      <c r="E105" s="609">
        <f>'28'!F105</f>
        <v>35407</v>
      </c>
      <c r="F105" s="741">
        <v>35146</v>
      </c>
      <c r="G105" s="608">
        <f t="shared" ref="G105:G106" si="11">F105-E105</f>
        <v>-261</v>
      </c>
      <c r="H105" s="609">
        <f>SUM(G105+'1'!G77)</f>
        <v>-216</v>
      </c>
      <c r="I105" s="608"/>
      <c r="J105" s="635">
        <f>H105/DAY(B2)</f>
        <v>-7.4482758620689653</v>
      </c>
      <c r="N105" s="852"/>
      <c r="O105" s="852"/>
    </row>
    <row r="106" spans="1:15" s="481" customFormat="1" ht="27">
      <c r="A106" s="1438" t="s">
        <v>78</v>
      </c>
      <c r="B106" s="1440"/>
      <c r="C106" s="1439"/>
      <c r="D106" s="699" t="s">
        <v>144</v>
      </c>
      <c r="E106" s="609">
        <f>'28'!F106</f>
        <v>19247</v>
      </c>
      <c r="F106" s="741">
        <v>19070</v>
      </c>
      <c r="G106" s="608">
        <f t="shared" si="11"/>
        <v>-177</v>
      </c>
      <c r="H106" s="609">
        <f>SUM(G106+'1'!G78)</f>
        <v>213</v>
      </c>
      <c r="I106" s="608"/>
      <c r="J106" s="635">
        <f>H106/DAY(B2)</f>
        <v>7.3448275862068968</v>
      </c>
      <c r="N106" s="852"/>
      <c r="O106" s="852"/>
    </row>
    <row r="107" spans="1:15" s="481" customFormat="1" ht="27">
      <c r="A107" s="1441" t="s">
        <v>202</v>
      </c>
      <c r="B107" s="1442"/>
      <c r="C107" s="1228"/>
      <c r="D107" s="699"/>
      <c r="E107" s="609">
        <f>'28'!F107</f>
        <v>0</v>
      </c>
      <c r="F107" s="741"/>
      <c r="G107" s="608">
        <f>SUM(G104:G106)</f>
        <v>-556</v>
      </c>
      <c r="H107" s="609">
        <f>SUM(G107+'1'!G79)</f>
        <v>-364</v>
      </c>
      <c r="I107" s="608"/>
      <c r="J107" s="635">
        <f>H107/DAY(B2)</f>
        <v>-12.551724137931034</v>
      </c>
      <c r="N107" s="852"/>
      <c r="O107" s="852"/>
    </row>
    <row r="108" spans="1:15" s="481" customFormat="1" ht="27">
      <c r="A108" s="1443" t="s">
        <v>79</v>
      </c>
      <c r="B108" s="1444"/>
      <c r="C108" s="1228"/>
      <c r="D108" s="699" t="s">
        <v>144</v>
      </c>
      <c r="E108" s="609">
        <f>'28'!F108</f>
        <v>0</v>
      </c>
      <c r="F108" s="741"/>
      <c r="G108" s="608"/>
      <c r="H108" s="609"/>
      <c r="I108" s="608"/>
      <c r="J108" s="635"/>
      <c r="N108" s="852"/>
      <c r="O108" s="852"/>
    </row>
    <row r="109" spans="1:15" s="481" customFormat="1" ht="27">
      <c r="A109" s="1438" t="s">
        <v>220</v>
      </c>
      <c r="B109" s="1439"/>
      <c r="C109" s="1228"/>
      <c r="D109" s="699" t="s">
        <v>144</v>
      </c>
      <c r="E109" s="609">
        <f>'28'!F109</f>
        <v>56353</v>
      </c>
      <c r="F109" s="741">
        <v>54545</v>
      </c>
      <c r="G109" s="608">
        <f>F109-E109</f>
        <v>-1808</v>
      </c>
      <c r="H109" s="609">
        <f>SUM(G109+'1'!G81)</f>
        <v>-1695.4399999999441</v>
      </c>
      <c r="I109" s="608"/>
      <c r="J109" s="635">
        <f>H109/DAY(B2)</f>
        <v>-58.463448275860145</v>
      </c>
      <c r="N109" s="852"/>
      <c r="O109" s="852"/>
    </row>
    <row r="110" spans="1:15" s="481" customFormat="1" ht="27">
      <c r="A110" s="1438" t="s">
        <v>221</v>
      </c>
      <c r="B110" s="1439"/>
      <c r="C110" s="1228"/>
      <c r="D110" s="699" t="s">
        <v>144</v>
      </c>
      <c r="E110" s="609">
        <f>'28'!F110</f>
        <v>30527</v>
      </c>
      <c r="F110" s="741">
        <v>28383</v>
      </c>
      <c r="G110" s="608">
        <f t="shared" ref="G110:G111" si="12">F110-E110</f>
        <v>-2144</v>
      </c>
      <c r="H110" s="609">
        <f>SUM(G110+'1'!G82)</f>
        <v>-2125.8300000000017</v>
      </c>
      <c r="I110" s="608"/>
      <c r="J110" s="635">
        <f>H110/DAY(B2)</f>
        <v>-73.30448275862075</v>
      </c>
      <c r="N110" s="852"/>
      <c r="O110" s="852"/>
    </row>
    <row r="111" spans="1:15" s="481" customFormat="1" ht="27">
      <c r="A111" s="1438" t="s">
        <v>222</v>
      </c>
      <c r="B111" s="1439"/>
      <c r="C111" s="1228"/>
      <c r="D111" s="699" t="s">
        <v>144</v>
      </c>
      <c r="E111" s="609">
        <f>'28'!F111</f>
        <v>3980</v>
      </c>
      <c r="F111" s="741">
        <v>3726</v>
      </c>
      <c r="G111" s="610">
        <f t="shared" si="12"/>
        <v>-254</v>
      </c>
      <c r="H111" s="609">
        <f>SUM(G111+'1'!G83)</f>
        <v>266</v>
      </c>
      <c r="I111" s="608"/>
      <c r="J111" s="635">
        <f>H111/DAY(B2)</f>
        <v>9.1724137931034484</v>
      </c>
      <c r="N111" s="852"/>
      <c r="O111" s="852"/>
    </row>
    <row r="112" spans="1:15" s="481" customFormat="1" ht="27">
      <c r="A112" s="1441" t="s">
        <v>110</v>
      </c>
      <c r="B112" s="1442"/>
      <c r="C112" s="1228"/>
      <c r="D112" s="699"/>
      <c r="E112" s="609">
        <f>'28'!F112</f>
        <v>0</v>
      </c>
      <c r="F112" s="741"/>
      <c r="G112" s="608">
        <f>SUM(G109:G111)</f>
        <v>-4206</v>
      </c>
      <c r="H112" s="609">
        <f>SUM(G112+'1'!G84)</f>
        <v>-3516</v>
      </c>
      <c r="I112" s="608"/>
      <c r="J112" s="635">
        <f>H112/DAY(B2)</f>
        <v>-121.24137931034483</v>
      </c>
      <c r="N112" s="852"/>
      <c r="O112" s="852"/>
    </row>
    <row r="113" spans="1:15" s="481" customFormat="1" ht="27">
      <c r="A113" s="1443" t="s">
        <v>223</v>
      </c>
      <c r="B113" s="1444"/>
      <c r="C113" s="1228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52"/>
      <c r="O113" s="852"/>
    </row>
    <row r="114" spans="1:15" s="481" customFormat="1" ht="27">
      <c r="A114" s="1438" t="s">
        <v>224</v>
      </c>
      <c r="B114" s="1439"/>
      <c r="C114" s="651"/>
      <c r="D114" s="699" t="s">
        <v>144</v>
      </c>
      <c r="E114" s="609">
        <f>'28'!F114</f>
        <v>10322</v>
      </c>
      <c r="F114" s="741">
        <v>9768</v>
      </c>
      <c r="G114" s="610">
        <f>F114-E114</f>
        <v>-554</v>
      </c>
      <c r="H114" s="609">
        <f>SUM(G114+'1'!G91)</f>
        <v>-554</v>
      </c>
      <c r="I114" s="608"/>
      <c r="J114" s="635">
        <f>H114/DAY(B2)</f>
        <v>-19.103448275862068</v>
      </c>
      <c r="N114" s="852"/>
      <c r="O114" s="852"/>
    </row>
    <row r="115" spans="1:15" s="481" customFormat="1" ht="27">
      <c r="A115" s="1438" t="s">
        <v>225</v>
      </c>
      <c r="B115" s="1439"/>
      <c r="C115" s="651"/>
      <c r="D115" s="699" t="s">
        <v>144</v>
      </c>
      <c r="E115" s="609">
        <f>'28'!F115</f>
        <v>7667</v>
      </c>
      <c r="F115" s="741">
        <v>7415</v>
      </c>
      <c r="G115" s="610">
        <f t="shared" ref="G115:G116" si="13">F115-E115</f>
        <v>-252</v>
      </c>
      <c r="H115" s="609">
        <f>SUM(G115+'1'!G92)</f>
        <v>-130</v>
      </c>
      <c r="I115" s="608"/>
      <c r="J115" s="635">
        <f>H115/DAY(B2)</f>
        <v>-4.4827586206896548</v>
      </c>
      <c r="N115" s="852"/>
      <c r="O115" s="852"/>
    </row>
    <row r="116" spans="1:15" s="481" customFormat="1" ht="27">
      <c r="A116" s="1438" t="s">
        <v>226</v>
      </c>
      <c r="B116" s="1439"/>
      <c r="C116" s="651"/>
      <c r="D116" s="699" t="s">
        <v>144</v>
      </c>
      <c r="E116" s="612"/>
      <c r="F116" s="741"/>
      <c r="G116" s="610">
        <f t="shared" si="13"/>
        <v>0</v>
      </c>
      <c r="H116" s="609">
        <f>SUM(G116+'1'!G93)</f>
        <v>144</v>
      </c>
      <c r="I116" s="608"/>
      <c r="J116" s="635">
        <f>H116/DAY(B2)</f>
        <v>4.9655172413793105</v>
      </c>
      <c r="N116" s="852"/>
      <c r="O116" s="852"/>
    </row>
    <row r="117" spans="1:15" s="494" customFormat="1" ht="27">
      <c r="A117" s="1441" t="s">
        <v>202</v>
      </c>
      <c r="B117" s="1442"/>
      <c r="C117" s="651"/>
      <c r="D117" s="700"/>
      <c r="E117" s="612"/>
      <c r="F117" s="741"/>
      <c r="G117" s="610">
        <f>SUM(G114:G116)</f>
        <v>-806</v>
      </c>
      <c r="H117" s="609">
        <f>SUM(G117+'1'!G95)</f>
        <v>-730</v>
      </c>
      <c r="I117" s="610"/>
      <c r="J117" s="635">
        <f>H117/DAY(B2)</f>
        <v>-25.172413793103448</v>
      </c>
      <c r="N117" s="852"/>
      <c r="O117" s="853"/>
    </row>
    <row r="118" spans="1:15" s="495" customFormat="1" ht="27">
      <c r="A118" s="1472" t="s">
        <v>227</v>
      </c>
      <c r="B118" s="1473"/>
      <c r="C118" s="1226"/>
      <c r="D118" s="701" t="s">
        <v>144</v>
      </c>
      <c r="E118" s="612"/>
      <c r="F118" s="741">
        <f>SUM(G19+G92)</f>
        <v>-4815</v>
      </c>
      <c r="G118" s="612">
        <f>SUM(G19+G92)</f>
        <v>-4815</v>
      </c>
      <c r="H118" s="609">
        <f>SUM(G118+'1'!G96)</f>
        <v>-4802</v>
      </c>
      <c r="I118" s="611"/>
      <c r="J118" s="636">
        <f>H118/DAY(B2)</f>
        <v>-165.58620689655172</v>
      </c>
      <c r="N118" s="852"/>
      <c r="O118" s="853"/>
    </row>
    <row r="119" spans="1:15" s="495" customFormat="1" ht="27">
      <c r="A119" s="1472" t="s">
        <v>228</v>
      </c>
      <c r="B119" s="1473"/>
      <c r="C119" s="1226"/>
      <c r="D119" s="701" t="s">
        <v>144</v>
      </c>
      <c r="E119" s="612"/>
      <c r="F119" s="741">
        <f>SUM(G95,G96,G97,G99,G100)</f>
        <v>-4869</v>
      </c>
      <c r="G119" s="612">
        <f>SUM(G95,G96,G97,G99,G100)</f>
        <v>-4869</v>
      </c>
      <c r="H119" s="609">
        <f>SUM(G119+'1'!G98)</f>
        <v>-4799</v>
      </c>
      <c r="I119" s="611"/>
      <c r="J119" s="636">
        <f>H119/DAY(B2)</f>
        <v>-165.48275862068965</v>
      </c>
      <c r="N119" s="852"/>
      <c r="O119" s="853"/>
    </row>
    <row r="120" spans="1:15" s="495" customFormat="1" ht="27">
      <c r="A120" s="1472" t="s">
        <v>229</v>
      </c>
      <c r="B120" s="1473"/>
      <c r="C120" s="1226"/>
      <c r="D120" s="701" t="s">
        <v>144</v>
      </c>
      <c r="E120" s="612"/>
      <c r="F120" s="741">
        <f>SUM(G112)</f>
        <v>-4206</v>
      </c>
      <c r="G120" s="610">
        <f>SUM(G112)</f>
        <v>-4206</v>
      </c>
      <c r="H120" s="609">
        <f>SUM(G120+'1'!G100)</f>
        <v>-4192</v>
      </c>
      <c r="I120" s="611"/>
      <c r="J120" s="636">
        <f>H120/DAY(B2)</f>
        <v>-144.55172413793105</v>
      </c>
      <c r="N120" s="852"/>
      <c r="O120" s="853"/>
    </row>
    <row r="121" spans="1:15" s="481" customFormat="1" ht="27">
      <c r="A121" s="1474"/>
      <c r="B121" s="1475"/>
      <c r="C121" s="1227"/>
      <c r="D121" s="637"/>
      <c r="E121" s="848"/>
      <c r="F121" s="835" t="s">
        <v>215</v>
      </c>
      <c r="G121" s="637"/>
      <c r="H121" s="638"/>
      <c r="I121" s="637"/>
      <c r="J121" s="639"/>
      <c r="N121" s="852"/>
      <c r="O121" s="852"/>
    </row>
    <row r="122" spans="1:15">
      <c r="A122" s="1424" t="s">
        <v>230</v>
      </c>
      <c r="B122" s="1425"/>
      <c r="C122" s="1426"/>
      <c r="D122" s="548"/>
      <c r="E122" s="821"/>
      <c r="F122" s="821"/>
      <c r="G122" s="559"/>
      <c r="H122" s="559"/>
      <c r="I122" s="559"/>
      <c r="J122" s="640"/>
      <c r="K122" s="411"/>
      <c r="L122" s="408"/>
    </row>
    <row r="123" spans="1:15" ht="27.75">
      <c r="A123" s="1229" t="s">
        <v>231</v>
      </c>
      <c r="B123" s="1230"/>
      <c r="C123" s="1230"/>
      <c r="D123" s="599" t="s">
        <v>141</v>
      </c>
      <c r="E123" s="820">
        <f>'28'!F123</f>
        <v>811006.84</v>
      </c>
      <c r="F123" s="820">
        <v>802782.99</v>
      </c>
      <c r="G123" s="549">
        <f t="shared" ref="G123:G127" si="14">F123-E123</f>
        <v>-8223.8499999999767</v>
      </c>
      <c r="H123" s="536">
        <f>G123+'28'!H123</f>
        <v>-8223.8499999999767</v>
      </c>
      <c r="I123" s="602"/>
      <c r="J123" s="629">
        <f>H123/DAY(B2)</f>
        <v>-283.58103448275784</v>
      </c>
      <c r="K123" s="411"/>
      <c r="L123" s="408"/>
    </row>
    <row r="124" spans="1:15" ht="27.75">
      <c r="A124" s="1229" t="s">
        <v>232</v>
      </c>
      <c r="B124" s="1230"/>
      <c r="C124" s="1230"/>
      <c r="D124" s="599" t="s">
        <v>141</v>
      </c>
      <c r="E124" s="820">
        <f>'28'!F124</f>
        <v>73583.399999999994</v>
      </c>
      <c r="F124" s="836">
        <v>73582</v>
      </c>
      <c r="G124" s="549">
        <f t="shared" si="14"/>
        <v>-1.3999999999941792</v>
      </c>
      <c r="H124" s="536">
        <f>G124+'28'!H124</f>
        <v>-1.3999999999941792</v>
      </c>
      <c r="I124" s="602"/>
      <c r="J124" s="629">
        <f>H124/DAY(B2)</f>
        <v>-4.8275862068764802E-2</v>
      </c>
      <c r="K124" s="411"/>
      <c r="L124" s="408"/>
    </row>
    <row r="125" spans="1:15" ht="27.75">
      <c r="A125" s="1430" t="s">
        <v>233</v>
      </c>
      <c r="B125" s="1431"/>
      <c r="C125" s="1432"/>
      <c r="D125" s="599" t="s">
        <v>141</v>
      </c>
      <c r="E125" s="820">
        <f>'28'!F125</f>
        <v>139979.34</v>
      </c>
      <c r="F125" s="820">
        <v>137739.76999999999</v>
      </c>
      <c r="G125" s="549">
        <f t="shared" si="14"/>
        <v>-2239.570000000007</v>
      </c>
      <c r="H125" s="536">
        <f>G125+'28'!H125</f>
        <v>-2239.570000000007</v>
      </c>
      <c r="I125" s="602"/>
      <c r="J125" s="629">
        <f>H125/DAY(B2)</f>
        <v>-77.226551724138176</v>
      </c>
      <c r="K125" s="411"/>
      <c r="L125" s="408"/>
    </row>
    <row r="126" spans="1:15" ht="27.75">
      <c r="A126" s="686" t="s">
        <v>234</v>
      </c>
      <c r="B126" s="1230"/>
      <c r="C126" s="1230"/>
      <c r="D126" s="599" t="s">
        <v>141</v>
      </c>
      <c r="E126" s="820">
        <f>'28'!F126</f>
        <v>59306.9</v>
      </c>
      <c r="F126" s="836">
        <v>58320</v>
      </c>
      <c r="G126" s="549">
        <f t="shared" si="14"/>
        <v>-986.90000000000146</v>
      </c>
      <c r="H126" s="536">
        <f>G126+'28'!H126</f>
        <v>-986.90000000000146</v>
      </c>
      <c r="I126" s="602"/>
      <c r="J126" s="629">
        <f>H126/DAY(B2)</f>
        <v>-34.03103448275867</v>
      </c>
      <c r="K126" s="411"/>
      <c r="L126" s="408"/>
    </row>
    <row r="127" spans="1:15" ht="27.75">
      <c r="A127" s="686" t="s">
        <v>235</v>
      </c>
      <c r="B127" s="1230"/>
      <c r="C127" s="1230"/>
      <c r="D127" s="599" t="s">
        <v>141</v>
      </c>
      <c r="E127" s="820">
        <f>'28'!F127</f>
        <v>8887.7999999999993</v>
      </c>
      <c r="F127" s="836">
        <v>8807</v>
      </c>
      <c r="G127" s="549">
        <f t="shared" si="14"/>
        <v>-80.799999999999272</v>
      </c>
      <c r="H127" s="536">
        <f>G127+'28'!H127</f>
        <v>-80.799999999999272</v>
      </c>
      <c r="I127" s="556"/>
      <c r="J127" s="629">
        <f>H127/DAY(B2)</f>
        <v>-2.7862068965516991</v>
      </c>
      <c r="K127" s="411"/>
      <c r="L127" s="408"/>
    </row>
    <row r="128" spans="1:15" s="281" customFormat="1" ht="27">
      <c r="A128" s="686" t="s">
        <v>236</v>
      </c>
      <c r="B128" s="1230"/>
      <c r="C128" s="1230"/>
      <c r="D128" s="599"/>
      <c r="E128" s="820"/>
      <c r="F128" s="820"/>
      <c r="G128" s="549">
        <f>G15-SUM(G123:G127)</f>
        <v>-15445.120000000152</v>
      </c>
      <c r="H128" s="536"/>
      <c r="I128" s="556"/>
      <c r="J128" s="629"/>
      <c r="K128" s="391"/>
      <c r="L128" s="293"/>
      <c r="N128" s="852"/>
      <c r="O128" s="852"/>
    </row>
    <row r="129" spans="1:12">
      <c r="A129" s="687" t="s">
        <v>237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29" t="s">
        <v>238</v>
      </c>
      <c r="B130" s="1230"/>
      <c r="C130" s="1230"/>
      <c r="D130" s="599" t="s">
        <v>239</v>
      </c>
      <c r="E130" s="841">
        <f>'28'!F130</f>
        <v>0</v>
      </c>
      <c r="F130" s="820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29" t="s">
        <v>240</v>
      </c>
      <c r="B131" s="1230"/>
      <c r="C131" s="1230"/>
      <c r="D131" s="599" t="s">
        <v>239</v>
      </c>
      <c r="E131" s="841">
        <f>'28'!F131</f>
        <v>0</v>
      </c>
      <c r="F131" s="820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29" t="s">
        <v>241</v>
      </c>
      <c r="B132" s="1230"/>
      <c r="C132" s="1230"/>
      <c r="D132" s="599" t="s">
        <v>239</v>
      </c>
      <c r="E132" s="850">
        <f>'28'!F132</f>
        <v>38829</v>
      </c>
      <c r="F132" s="836">
        <v>39056.54</v>
      </c>
      <c r="G132" s="549">
        <f t="shared" si="15"/>
        <v>227.54000000000087</v>
      </c>
      <c r="H132" s="536">
        <f>G132+'28'!H132</f>
        <v>613.58999999999651</v>
      </c>
      <c r="I132" s="556"/>
      <c r="J132" s="629">
        <f>H132/DAY(B2)</f>
        <v>21.158275862068844</v>
      </c>
    </row>
    <row r="133" spans="1:12" ht="27.75">
      <c r="A133" s="1229" t="s">
        <v>242</v>
      </c>
      <c r="B133" s="1230"/>
      <c r="C133" s="1230"/>
      <c r="D133" s="599" t="s">
        <v>239</v>
      </c>
      <c r="E133" s="850">
        <f>'28'!F133</f>
        <v>300</v>
      </c>
      <c r="F133" s="836">
        <v>299</v>
      </c>
      <c r="G133" s="549">
        <f t="shared" si="15"/>
        <v>-1</v>
      </c>
      <c r="H133" s="536">
        <f>G133+'28'!H133</f>
        <v>-1</v>
      </c>
      <c r="I133" s="556">
        <f>G130+G131+G132+G133</f>
        <v>226.54000000000087</v>
      </c>
      <c r="J133" s="629">
        <f>H133/DAY(B2)</f>
        <v>-3.4482758620689655E-2</v>
      </c>
    </row>
    <row r="134" spans="1:12" ht="27.75">
      <c r="A134" s="1229" t="s">
        <v>243</v>
      </c>
      <c r="B134" s="1230"/>
      <c r="C134" s="1230"/>
      <c r="D134" s="599" t="s">
        <v>239</v>
      </c>
      <c r="E134" s="850">
        <f>'28'!F134</f>
        <v>40367.14</v>
      </c>
      <c r="F134" s="836">
        <v>39951</v>
      </c>
      <c r="G134" s="549">
        <f t="shared" si="15"/>
        <v>-416.13999999999942</v>
      </c>
      <c r="H134" s="536">
        <f>G134+'28'!H134</f>
        <v>-285.5199999999968</v>
      </c>
      <c r="I134" s="556"/>
      <c r="J134" s="629">
        <f>H134/DAY(B2)</f>
        <v>-9.8455172413792003</v>
      </c>
    </row>
    <row r="135" spans="1:12" ht="27.75">
      <c r="A135" s="1229" t="s">
        <v>244</v>
      </c>
      <c r="B135" s="1230"/>
      <c r="C135" s="1230"/>
      <c r="D135" s="599" t="s">
        <v>239</v>
      </c>
      <c r="E135" s="846">
        <f>'28'!F135</f>
        <v>32571</v>
      </c>
      <c r="F135" s="823">
        <v>32423</v>
      </c>
      <c r="G135" s="549">
        <f t="shared" si="15"/>
        <v>-148</v>
      </c>
      <c r="H135" s="536">
        <f>G135+'28'!H135</f>
        <v>-118.47999999999956</v>
      </c>
      <c r="I135" s="556"/>
      <c r="J135" s="629">
        <f>H135/DAY(B2)</f>
        <v>-4.0855172413792955</v>
      </c>
    </row>
    <row r="136" spans="1:12" ht="27.75">
      <c r="A136" s="1229" t="s">
        <v>245</v>
      </c>
      <c r="B136" s="1230"/>
      <c r="C136" s="1230"/>
      <c r="D136" s="599" t="s">
        <v>239</v>
      </c>
      <c r="E136" s="849">
        <f>'28'!F136</f>
        <v>22222.21</v>
      </c>
      <c r="F136" s="827">
        <v>21988.73</v>
      </c>
      <c r="G136" s="549">
        <f t="shared" si="15"/>
        <v>-233.47999999999956</v>
      </c>
      <c r="H136" s="536">
        <f>G136+'28'!H136</f>
        <v>-233.47999999999956</v>
      </c>
      <c r="I136" s="556">
        <f>G134+G135+G136</f>
        <v>-797.61999999999898</v>
      </c>
      <c r="J136" s="629">
        <f>H136/DAY(B2)</f>
        <v>-8.051034482758606</v>
      </c>
    </row>
    <row r="137" spans="1:12" ht="27.75">
      <c r="A137" s="1229" t="s">
        <v>246</v>
      </c>
      <c r="B137" s="1230"/>
      <c r="C137" s="1230"/>
      <c r="D137" s="599" t="s">
        <v>239</v>
      </c>
      <c r="E137" s="849">
        <f>'28'!F137</f>
        <v>25044.31</v>
      </c>
      <c r="F137" s="827">
        <v>25019.94</v>
      </c>
      <c r="G137" s="549">
        <f t="shared" si="15"/>
        <v>-24.370000000002619</v>
      </c>
      <c r="H137" s="536">
        <f>G137+'28'!H137</f>
        <v>-8.6200000000026193</v>
      </c>
      <c r="I137" s="556"/>
      <c r="J137" s="629">
        <f>H137/DAY(B2)</f>
        <v>-0.29724137931043515</v>
      </c>
    </row>
    <row r="138" spans="1:12" ht="27.75">
      <c r="A138" s="1229" t="s">
        <v>247</v>
      </c>
      <c r="B138" s="1230"/>
      <c r="C138" s="1230"/>
      <c r="D138" s="599" t="s">
        <v>239</v>
      </c>
      <c r="E138" s="849">
        <f>'28'!F138</f>
        <v>70147.34</v>
      </c>
      <c r="F138" s="827">
        <v>70059.78</v>
      </c>
      <c r="G138" s="549">
        <f t="shared" si="15"/>
        <v>-87.559999999997672</v>
      </c>
      <c r="H138" s="536">
        <f>G138+'28'!H138</f>
        <v>-56.070000000006985</v>
      </c>
      <c r="I138" s="556">
        <f>G137+G138</f>
        <v>-111.93000000000029</v>
      </c>
      <c r="J138" s="629">
        <f>H138/DAY(B2)</f>
        <v>-1.9334482758623097</v>
      </c>
    </row>
    <row r="139" spans="1:12" ht="27.75">
      <c r="A139" s="1229" t="s">
        <v>248</v>
      </c>
      <c r="B139" s="1230"/>
      <c r="C139" s="1230"/>
      <c r="D139" s="599" t="s">
        <v>239</v>
      </c>
      <c r="E139" s="850">
        <f>'28'!F139</f>
        <v>1423.14</v>
      </c>
      <c r="F139" s="836">
        <v>1184.42</v>
      </c>
      <c r="G139" s="549">
        <f t="shared" si="15"/>
        <v>-238.72000000000003</v>
      </c>
      <c r="H139" s="536">
        <f>G139+'28'!H139</f>
        <v>-238.72000000000003</v>
      </c>
      <c r="I139" s="619"/>
      <c r="J139" s="629">
        <f>H139/DAY(B2)</f>
        <v>-8.2317241379310353</v>
      </c>
    </row>
    <row r="140" spans="1:12" ht="27.75">
      <c r="A140" s="1229" t="s">
        <v>249</v>
      </c>
      <c r="B140" s="1230"/>
      <c r="C140" s="1230"/>
      <c r="D140" s="599" t="s">
        <v>239</v>
      </c>
      <c r="E140" s="849">
        <f>'28'!F140</f>
        <v>4334</v>
      </c>
      <c r="F140" s="820">
        <v>4334</v>
      </c>
      <c r="G140" s="549">
        <f t="shared" si="15"/>
        <v>0</v>
      </c>
      <c r="H140" s="536">
        <f>G140+'28'!H140</f>
        <v>0</v>
      </c>
      <c r="I140" s="619"/>
      <c r="J140" s="629">
        <f>H140/DAY(B2)</f>
        <v>0</v>
      </c>
    </row>
    <row r="141" spans="1:12">
      <c r="A141" s="1468" t="s">
        <v>250</v>
      </c>
      <c r="B141" s="1469"/>
      <c r="C141" s="1235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33" t="s">
        <v>251</v>
      </c>
      <c r="B142" s="1434"/>
      <c r="C142" s="1435"/>
      <c r="D142" s="599" t="s">
        <v>132</v>
      </c>
      <c r="E142" s="536"/>
      <c r="F142" s="536"/>
      <c r="G142" s="536">
        <f>G35+G43+G49+G57</f>
        <v>-155252.69999999992</v>
      </c>
      <c r="H142" s="536">
        <f>G142+'28'!H142</f>
        <v>-156950.1399999999</v>
      </c>
      <c r="I142" s="556"/>
      <c r="J142" s="629">
        <f>H142/DAY(B2)</f>
        <v>-5412.0737931034446</v>
      </c>
      <c r="K142" s="411"/>
      <c r="L142" s="408"/>
    </row>
    <row r="143" spans="1:12" ht="27.75">
      <c r="A143" s="1433" t="s">
        <v>252</v>
      </c>
      <c r="B143" s="1434"/>
      <c r="C143" s="1435"/>
      <c r="D143" s="599" t="s">
        <v>24</v>
      </c>
      <c r="E143" s="546"/>
      <c r="F143" s="546"/>
      <c r="G143" s="620">
        <f>G142/G7</f>
        <v>0.26125514718379411</v>
      </c>
      <c r="H143" s="536">
        <f>G143+'28'!H143</f>
        <v>7.3750124042325487</v>
      </c>
      <c r="I143" s="621"/>
      <c r="J143" s="629">
        <f>H143/DAY(B2)</f>
        <v>0.25431077255974305</v>
      </c>
      <c r="K143" s="411"/>
      <c r="L143" s="408"/>
    </row>
    <row r="144" spans="1:12" ht="27.75">
      <c r="A144" s="1433" t="s">
        <v>253</v>
      </c>
      <c r="B144" s="1434"/>
      <c r="C144" s="1435"/>
      <c r="D144" s="599" t="s">
        <v>132</v>
      </c>
      <c r="E144" s="536"/>
      <c r="F144" s="536"/>
      <c r="G144" s="536">
        <f>G41+G42+G55+G56</f>
        <v>-133650.94000000003</v>
      </c>
      <c r="H144" s="536">
        <f>G144+'28'!H144</f>
        <v>-133650.94000000003</v>
      </c>
      <c r="I144" s="556"/>
      <c r="J144" s="629">
        <f>H144/DAY(B2)</f>
        <v>-4608.6531034482769</v>
      </c>
      <c r="K144" s="411"/>
      <c r="L144" s="408"/>
    </row>
    <row r="145" spans="1:12" ht="27.75">
      <c r="A145" s="1433" t="s">
        <v>254</v>
      </c>
      <c r="B145" s="1434"/>
      <c r="C145" s="1435"/>
      <c r="D145" s="599" t="s">
        <v>24</v>
      </c>
      <c r="E145" s="536"/>
      <c r="F145" s="536"/>
      <c r="G145" s="620">
        <f>G144/G7</f>
        <v>0.22490427542292313</v>
      </c>
      <c r="H145" s="536">
        <f>G145+'28'!H145</f>
        <v>6.9429949343215966</v>
      </c>
      <c r="I145" s="621"/>
      <c r="J145" s="629">
        <f>H145/DAY(B2)</f>
        <v>0.23941361842488265</v>
      </c>
      <c r="K145" s="411"/>
      <c r="L145" s="408"/>
    </row>
    <row r="146" spans="1:12" ht="27.75">
      <c r="A146" s="1433" t="s">
        <v>255</v>
      </c>
      <c r="B146" s="1434"/>
      <c r="C146" s="1435"/>
      <c r="D146" s="599" t="s">
        <v>132</v>
      </c>
      <c r="E146" s="536"/>
      <c r="F146" s="536"/>
      <c r="G146" s="536">
        <f>G39+G53</f>
        <v>785883.07</v>
      </c>
      <c r="H146" s="536">
        <f>G146+'28'!H146</f>
        <v>885951.35</v>
      </c>
      <c r="I146" s="622"/>
      <c r="J146" s="629">
        <f>H146/DAY(B2)</f>
        <v>30550.046551724135</v>
      </c>
      <c r="K146" s="411"/>
      <c r="L146" s="408"/>
    </row>
    <row r="147" spans="1:12" ht="27.75">
      <c r="A147" s="1433" t="s">
        <v>256</v>
      </c>
      <c r="B147" s="1434"/>
      <c r="C147" s="1435"/>
      <c r="D147" s="599" t="s">
        <v>24</v>
      </c>
      <c r="E147" s="536"/>
      <c r="F147" s="536"/>
      <c r="G147" s="620">
        <f>G146/G7</f>
        <v>-1.3224632945005275</v>
      </c>
      <c r="H147" s="536">
        <f>G147+'28'!H147</f>
        <v>9.2258990165430301</v>
      </c>
      <c r="I147" s="622"/>
      <c r="J147" s="629">
        <f>H147/DAY(B2)</f>
        <v>0.31813444884631137</v>
      </c>
    </row>
    <row r="148" spans="1:12" ht="27.75">
      <c r="A148" s="1433" t="s">
        <v>257</v>
      </c>
      <c r="B148" s="1434"/>
      <c r="C148" s="1435"/>
      <c r="D148" s="599" t="s">
        <v>183</v>
      </c>
      <c r="E148" s="536"/>
      <c r="F148" s="536"/>
      <c r="G148" s="536">
        <f>G38+G52</f>
        <v>88789.799999999988</v>
      </c>
      <c r="H148" s="536">
        <f>G148+'28'!H148</f>
        <v>88789.799999999988</v>
      </c>
      <c r="I148" s="556"/>
      <c r="J148" s="629">
        <f>H148/DAY(B2)</f>
        <v>3061.7172413793101</v>
      </c>
      <c r="K148" s="412"/>
    </row>
    <row r="149" spans="1:12" ht="27.75">
      <c r="A149" s="1433" t="s">
        <v>258</v>
      </c>
      <c r="B149" s="1434"/>
      <c r="C149" s="1435"/>
      <c r="D149" s="599" t="s">
        <v>24</v>
      </c>
      <c r="E149" s="536"/>
      <c r="F149" s="536"/>
      <c r="G149" s="620">
        <f>G148/G7</f>
        <v>-0.14941313270184448</v>
      </c>
      <c r="H149" s="536">
        <f>G149+'28'!H149</f>
        <v>2.6303679849579735</v>
      </c>
      <c r="I149" s="622"/>
      <c r="J149" s="629">
        <f>H149/DAY(B2)</f>
        <v>9.0702344308895635E-2</v>
      </c>
    </row>
    <row r="150" spans="1:12" ht="27.75">
      <c r="A150" s="1433" t="s">
        <v>259</v>
      </c>
      <c r="B150" s="1434"/>
      <c r="C150" s="1435"/>
      <c r="D150" s="599" t="s">
        <v>183</v>
      </c>
      <c r="E150" s="536"/>
      <c r="F150" s="536"/>
      <c r="G150" s="536">
        <f>G36+G50</f>
        <v>-57054.900000000081</v>
      </c>
      <c r="H150" s="536">
        <f>G150+'28'!H150</f>
        <v>-57054.900000000081</v>
      </c>
      <c r="I150" s="622"/>
      <c r="J150" s="629">
        <f>H150/DAY(B2)</f>
        <v>-1967.4103448275889</v>
      </c>
    </row>
    <row r="151" spans="1:12" ht="27.75">
      <c r="A151" s="1433" t="s">
        <v>260</v>
      </c>
      <c r="B151" s="1434"/>
      <c r="C151" s="1435"/>
      <c r="D151" s="599" t="s">
        <v>24</v>
      </c>
      <c r="E151" s="536"/>
      <c r="F151" s="536"/>
      <c r="G151" s="620">
        <f>G150/G7</f>
        <v>9.6010480314072999E-2</v>
      </c>
      <c r="H151" s="536">
        <f>G151+'28'!H151</f>
        <v>2.6976904125061245</v>
      </c>
      <c r="I151" s="556"/>
      <c r="J151" s="629">
        <f>H151/DAY(B2)</f>
        <v>9.30238073277974E-2</v>
      </c>
    </row>
    <row r="152" spans="1:12" ht="27.75">
      <c r="A152" s="1433" t="s">
        <v>261</v>
      </c>
      <c r="B152" s="1434"/>
      <c r="C152" s="1435"/>
      <c r="D152" s="599" t="s">
        <v>183</v>
      </c>
      <c r="E152" s="536"/>
      <c r="F152" s="536"/>
      <c r="G152" s="536">
        <f>G37+G51</f>
        <v>369987.98000000004</v>
      </c>
      <c r="H152" s="536">
        <f>G152+'28'!H152</f>
        <v>405155.16000000003</v>
      </c>
      <c r="I152" s="556"/>
      <c r="J152" s="629">
        <f>H152/DAY(B2)</f>
        <v>13970.867586206898</v>
      </c>
    </row>
    <row r="153" spans="1:12" ht="28.5" thickBot="1">
      <c r="A153" s="1465" t="s">
        <v>262</v>
      </c>
      <c r="B153" s="1466"/>
      <c r="C153" s="1467"/>
      <c r="D153" s="702" t="s">
        <v>24</v>
      </c>
      <c r="E153" s="644"/>
      <c r="F153" s="644"/>
      <c r="G153" s="643">
        <f>G152/G7</f>
        <v>-0.62260601053079734</v>
      </c>
      <c r="H153" s="536">
        <f>G153+'28'!H153</f>
        <v>3.0908141691391386</v>
      </c>
      <c r="I153" s="645"/>
      <c r="J153" s="646">
        <f>H153/DAY(B2)</f>
        <v>0.10657979893583237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77" t="s">
        <v>263</v>
      </c>
      <c r="B160" s="878"/>
      <c r="C160" s="878"/>
      <c r="D160" s="697" t="s">
        <v>187</v>
      </c>
      <c r="E160" s="846">
        <f>'28'!F160</f>
        <v>30795.64</v>
      </c>
      <c r="F160" s="886">
        <v>28266.89</v>
      </c>
      <c r="G160" s="549">
        <f t="shared" ref="G160:G163" si="16">F160-E160</f>
        <v>-2528.75</v>
      </c>
    </row>
    <row r="161" spans="1:7">
      <c r="A161" s="877" t="s">
        <v>264</v>
      </c>
      <c r="B161" s="878"/>
      <c r="C161" s="878"/>
      <c r="D161" s="697" t="s">
        <v>187</v>
      </c>
      <c r="E161" s="846">
        <f>'28'!F161</f>
        <v>55098.17</v>
      </c>
      <c r="F161" s="886">
        <v>41680.800000000003</v>
      </c>
      <c r="G161" s="549">
        <f t="shared" si="16"/>
        <v>-13417.369999999995</v>
      </c>
    </row>
    <row r="162" spans="1:7">
      <c r="A162" s="877" t="s">
        <v>265</v>
      </c>
      <c r="B162" s="878"/>
      <c r="C162" s="878"/>
      <c r="D162" s="697" t="s">
        <v>187</v>
      </c>
      <c r="E162" s="846">
        <f>'28'!F162</f>
        <v>20562.32</v>
      </c>
      <c r="F162" s="886">
        <v>12319</v>
      </c>
      <c r="G162" s="549">
        <f t="shared" si="16"/>
        <v>-8243.32</v>
      </c>
    </row>
    <row r="163" spans="1:7">
      <c r="A163" s="877" t="s">
        <v>266</v>
      </c>
      <c r="B163" s="878"/>
      <c r="C163" s="878"/>
      <c r="D163" s="697" t="s">
        <v>187</v>
      </c>
      <c r="E163" s="846">
        <f>'28'!F163</f>
        <v>5427.51</v>
      </c>
      <c r="F163" s="886">
        <v>4960.6400000000003</v>
      </c>
      <c r="G163" s="549">
        <f t="shared" si="16"/>
        <v>-466.86999999999989</v>
      </c>
    </row>
    <row r="164" spans="1:7">
      <c r="A164" s="879" t="s">
        <v>98</v>
      </c>
      <c r="B164" s="880"/>
      <c r="C164" s="880"/>
      <c r="D164" s="697" t="s">
        <v>187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879" t="s">
        <v>188</v>
      </c>
      <c r="B165" s="880"/>
      <c r="C165" s="880"/>
      <c r="D165" s="697" t="s">
        <v>187</v>
      </c>
      <c r="E165" s="590">
        <f t="shared" ref="E165:E171" si="18">E63</f>
        <v>1707.36</v>
      </c>
      <c r="F165" s="590">
        <f t="shared" ref="F165:F171" si="19">F63</f>
        <v>1305.8900000000001</v>
      </c>
      <c r="G165" s="549">
        <f t="shared" si="17"/>
        <v>-401.4699999999998</v>
      </c>
    </row>
    <row r="166" spans="1:7" ht="27.75">
      <c r="A166" s="1492" t="s">
        <v>99</v>
      </c>
      <c r="B166" s="1492"/>
      <c r="C166" s="1492"/>
      <c r="D166" s="600" t="s">
        <v>187</v>
      </c>
      <c r="E166" s="590">
        <f t="shared" si="18"/>
        <v>123627.3</v>
      </c>
      <c r="F166" s="590">
        <f t="shared" si="19"/>
        <v>110461.4</v>
      </c>
      <c r="G166" s="549">
        <f t="shared" si="17"/>
        <v>-13165.900000000009</v>
      </c>
    </row>
    <row r="167" spans="1:7" ht="27.75">
      <c r="A167" s="1492" t="s">
        <v>100</v>
      </c>
      <c r="B167" s="1492"/>
      <c r="C167" s="1492"/>
      <c r="D167" s="600" t="s">
        <v>187</v>
      </c>
      <c r="E167" s="590">
        <f t="shared" si="18"/>
        <v>132597.29999999999</v>
      </c>
      <c r="F167" s="590">
        <f t="shared" si="19"/>
        <v>120948.65</v>
      </c>
      <c r="G167" s="549">
        <f t="shared" si="17"/>
        <v>-11648.649999999994</v>
      </c>
    </row>
    <row r="168" spans="1:7" ht="27.75">
      <c r="A168" s="1492" t="s">
        <v>101</v>
      </c>
      <c r="B168" s="1492"/>
      <c r="C168" s="1492"/>
      <c r="D168" s="600" t="s">
        <v>187</v>
      </c>
      <c r="E168" s="590">
        <f t="shared" si="18"/>
        <v>25159.75</v>
      </c>
      <c r="F168" s="590">
        <f t="shared" si="19"/>
        <v>13320.84</v>
      </c>
      <c r="G168" s="549">
        <f t="shared" si="17"/>
        <v>-11838.91</v>
      </c>
    </row>
    <row r="169" spans="1:7" ht="27.75">
      <c r="A169" s="1492" t="s">
        <v>102</v>
      </c>
      <c r="B169" s="1492"/>
      <c r="C169" s="1492"/>
      <c r="D169" s="600" t="s">
        <v>187</v>
      </c>
      <c r="E169" s="590">
        <f t="shared" si="18"/>
        <v>207841.83</v>
      </c>
      <c r="F169" s="590">
        <f t="shared" si="19"/>
        <v>187269.37</v>
      </c>
      <c r="G169" s="549">
        <f t="shared" si="17"/>
        <v>-20572.459999999992</v>
      </c>
    </row>
    <row r="170" spans="1:7" ht="27.75">
      <c r="A170" s="1492" t="s">
        <v>103</v>
      </c>
      <c r="B170" s="1492"/>
      <c r="C170" s="1492"/>
      <c r="D170" s="600" t="s">
        <v>187</v>
      </c>
      <c r="E170" s="590">
        <f t="shared" si="18"/>
        <v>72678.52</v>
      </c>
      <c r="F170" s="590">
        <f t="shared" si="19"/>
        <v>62687.79</v>
      </c>
      <c r="G170" s="549">
        <f t="shared" si="17"/>
        <v>-9990.7300000000032</v>
      </c>
    </row>
    <row r="171" spans="1:7" ht="27.75">
      <c r="A171" s="1492" t="s">
        <v>104</v>
      </c>
      <c r="B171" s="1492"/>
      <c r="C171" s="1492"/>
      <c r="D171" s="600" t="s">
        <v>187</v>
      </c>
      <c r="E171" s="590">
        <f t="shared" si="18"/>
        <v>64452.09</v>
      </c>
      <c r="F171" s="590">
        <f t="shared" si="19"/>
        <v>55093</v>
      </c>
      <c r="G171" s="549">
        <f t="shared" si="17"/>
        <v>-9359.0899999999965</v>
      </c>
    </row>
    <row r="172" spans="1:7">
      <c r="A172" s="881"/>
      <c r="B172" s="882"/>
      <c r="C172" s="882"/>
      <c r="D172" s="883"/>
      <c r="E172" s="885"/>
      <c r="F172" s="1115"/>
      <c r="G172" s="885">
        <f>SUM(G160:G171)</f>
        <v>-101633.527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308</v>
      </c>
      <c r="B2" s="1199">
        <v>43860</v>
      </c>
      <c r="C2" s="1231" t="s">
        <v>69</v>
      </c>
      <c r="D2" s="688">
        <v>0.83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O2" s="293"/>
    </row>
    <row r="3" spans="1:15" s="281" customFormat="1" ht="27">
      <c r="A3" s="647"/>
      <c r="B3" s="691"/>
      <c r="C3" s="1231" t="s">
        <v>120</v>
      </c>
      <c r="D3" s="689">
        <v>24</v>
      </c>
      <c r="E3" s="1634" t="s">
        <v>121</v>
      </c>
      <c r="F3" s="1634"/>
      <c r="G3" s="538"/>
      <c r="H3" s="539"/>
      <c r="I3" s="539"/>
      <c r="J3" s="692"/>
      <c r="K3" s="402"/>
      <c r="L3" s="293"/>
      <c r="O3" s="1107"/>
    </row>
    <row r="4" spans="1:15" s="281" customFormat="1" ht="27">
      <c r="A4" s="653"/>
      <c r="B4" s="693"/>
      <c r="C4" s="1231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ht="21.95" customHeight="1">
      <c r="A6" s="1635" t="s">
        <v>130</v>
      </c>
      <c r="B6" s="1636"/>
      <c r="C6" s="1636"/>
      <c r="D6" s="547"/>
      <c r="E6" s="547"/>
      <c r="F6" s="547"/>
      <c r="G6" s="547"/>
      <c r="H6" s="548"/>
      <c r="I6" s="548"/>
      <c r="J6" s="628"/>
      <c r="K6" s="466"/>
      <c r="L6" s="408"/>
      <c r="O6" s="1108"/>
    </row>
    <row r="7" spans="1:15" ht="21.95" customHeight="1" thickBot="1">
      <c r="A7" s="655" t="s">
        <v>131</v>
      </c>
      <c r="B7" s="656"/>
      <c r="C7" s="656"/>
      <c r="D7" s="599" t="s">
        <v>132</v>
      </c>
      <c r="E7" s="531">
        <f>'29'!F7</f>
        <v>3850820</v>
      </c>
      <c r="F7" s="531">
        <v>3869737</v>
      </c>
      <c r="G7" s="856">
        <f>F7-E7</f>
        <v>18917</v>
      </c>
      <c r="H7" s="536">
        <f>G7+'29'!H7</f>
        <v>-575340</v>
      </c>
      <c r="I7" s="550">
        <f>'1'!I7</f>
        <v>12000</v>
      </c>
      <c r="J7" s="629">
        <f>H7/DAY(B2)</f>
        <v>-19178</v>
      </c>
      <c r="K7" s="626">
        <v>1375467</v>
      </c>
      <c r="L7" s="408"/>
      <c r="N7" s="479">
        <f>F7-'1'!E7</f>
        <v>-575340</v>
      </c>
      <c r="O7" s="888"/>
    </row>
    <row r="8" spans="1:15" ht="21.95" customHeight="1" thickBot="1">
      <c r="A8" s="657" t="s">
        <v>133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-578958</v>
      </c>
      <c r="I8" s="553"/>
      <c r="J8" s="629">
        <f>H8/DAY(B2)</f>
        <v>-19298.599999999999</v>
      </c>
      <c r="K8" s="626">
        <v>1715917</v>
      </c>
      <c r="L8" s="464">
        <v>1728480</v>
      </c>
      <c r="M8" s="479">
        <f>L8-K8</f>
        <v>12563</v>
      </c>
      <c r="N8" s="479">
        <f>F8-'1'!E8</f>
        <v>-578958</v>
      </c>
      <c r="O8" s="888"/>
    </row>
    <row r="9" spans="1:15" ht="21.95" customHeight="1">
      <c r="A9" s="660" t="s">
        <v>134</v>
      </c>
      <c r="B9" s="661"/>
      <c r="C9" s="661"/>
      <c r="D9" s="599" t="s">
        <v>132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2641713.9900000002</v>
      </c>
      <c r="I9" s="555">
        <f>I7-J7</f>
        <v>31178</v>
      </c>
      <c r="J9" s="629">
        <f>H9/DAY(B2)</f>
        <v>88057.133000000002</v>
      </c>
      <c r="K9" s="467">
        <f>K8-100</f>
        <v>1715817</v>
      </c>
      <c r="L9" s="408"/>
      <c r="N9" s="479">
        <f>F9-'1'!E9</f>
        <v>2442286.9900000002</v>
      </c>
      <c r="O9" s="888"/>
    </row>
    <row r="10" spans="1:15" ht="21.95" customHeight="1">
      <c r="A10" s="655" t="s">
        <v>135</v>
      </c>
      <c r="B10" s="656"/>
      <c r="C10" s="656"/>
      <c r="D10" s="599" t="s">
        <v>132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2553449.34</v>
      </c>
      <c r="I10" s="556"/>
      <c r="J10" s="629">
        <f>H10/DAY(B2)</f>
        <v>85114.977999999988</v>
      </c>
      <c r="K10" s="467"/>
      <c r="L10" s="408"/>
      <c r="N10" s="479">
        <f>F10-'1'!E10</f>
        <v>1163277.3399999999</v>
      </c>
      <c r="O10" s="888"/>
    </row>
    <row r="11" spans="1:15" ht="21.95" customHeight="1">
      <c r="A11" s="655" t="s">
        <v>136</v>
      </c>
      <c r="B11" s="656"/>
      <c r="C11" s="656"/>
      <c r="D11" s="599" t="s">
        <v>132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-3610</v>
      </c>
      <c r="I11" s="556"/>
      <c r="J11" s="629">
        <f>H11/DAY(B2)</f>
        <v>-120.33333333333333</v>
      </c>
      <c r="K11" s="467"/>
      <c r="L11" s="408"/>
      <c r="N11" s="479">
        <f>F11-'1'!E11</f>
        <v>-1610</v>
      </c>
      <c r="O11" s="888"/>
    </row>
    <row r="12" spans="1:15" ht="21.95" customHeight="1">
      <c r="A12" s="655" t="s">
        <v>137</v>
      </c>
      <c r="B12" s="656"/>
      <c r="C12" s="656"/>
      <c r="D12" s="599" t="s">
        <v>132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-4380</v>
      </c>
      <c r="I12" s="556"/>
      <c r="J12" s="629">
        <f>H12/DAY(B2)</f>
        <v>-146</v>
      </c>
      <c r="K12" s="467"/>
      <c r="L12" s="408"/>
      <c r="N12" s="479">
        <f>F12-'1'!E12</f>
        <v>-2380</v>
      </c>
      <c r="O12" s="888"/>
    </row>
    <row r="13" spans="1:15" ht="21.95" customHeight="1">
      <c r="A13" s="662" t="s">
        <v>138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5166179.33</v>
      </c>
      <c r="I13" s="558">
        <f>G7-G13</f>
        <v>645.10000000009313</v>
      </c>
      <c r="J13" s="629">
        <f>H13/DAY(B2)</f>
        <v>172205.97766666667</v>
      </c>
      <c r="K13" s="467"/>
      <c r="L13" s="408"/>
      <c r="N13" s="479">
        <f>F13-'1'!E13</f>
        <v>0</v>
      </c>
      <c r="O13" s="888"/>
    </row>
    <row r="14" spans="1:15" ht="29.25">
      <c r="A14" s="1628" t="s">
        <v>139</v>
      </c>
      <c r="B14" s="1629"/>
      <c r="C14" s="1629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888"/>
    </row>
    <row r="15" spans="1:15" ht="21.95" customHeight="1">
      <c r="A15" s="1229" t="s">
        <v>140</v>
      </c>
      <c r="B15" s="666"/>
      <c r="C15" s="666"/>
      <c r="D15" s="599" t="s">
        <v>141</v>
      </c>
      <c r="E15" s="531">
        <f>'29'!F15</f>
        <v>1592900.97</v>
      </c>
      <c r="F15" s="560">
        <v>1593568.73</v>
      </c>
      <c r="G15" s="856">
        <f>(F15-E15)</f>
        <v>667.76000000000931</v>
      </c>
      <c r="H15" s="536">
        <f>G15+'29'!H15</f>
        <v>-26309.880000000121</v>
      </c>
      <c r="I15" s="550">
        <f>'1'!I15</f>
        <v>800</v>
      </c>
      <c r="J15" s="629">
        <f>H15/DAY(B2)</f>
        <v>-876.99600000000407</v>
      </c>
      <c r="K15" s="467"/>
      <c r="L15" s="408"/>
      <c r="N15" s="479">
        <f>F15-'1'!E15</f>
        <v>-26309.880000000121</v>
      </c>
      <c r="O15" s="888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1676.9960000000042</v>
      </c>
      <c r="J16" s="630"/>
      <c r="K16" s="467"/>
      <c r="L16" s="408"/>
      <c r="N16" s="479">
        <f>F16-'1'!E16</f>
        <v>0</v>
      </c>
      <c r="O16" s="888"/>
    </row>
    <row r="17" spans="1:15" ht="29.25">
      <c r="A17" s="1628" t="s">
        <v>142</v>
      </c>
      <c r="B17" s="1629"/>
      <c r="C17" s="1629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888"/>
    </row>
    <row r="18" spans="1:15" ht="27.75">
      <c r="A18" s="1610" t="s">
        <v>143</v>
      </c>
      <c r="B18" s="1611"/>
      <c r="C18" s="1611"/>
      <c r="D18" s="599" t="s">
        <v>144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4590</v>
      </c>
      <c r="I18" s="550">
        <f>'1'!I18</f>
        <v>65</v>
      </c>
      <c r="J18" s="629">
        <f>H18/DAY(B2)</f>
        <v>153</v>
      </c>
      <c r="K18" s="467"/>
      <c r="L18" s="408"/>
      <c r="N18" s="479">
        <f>F18-'1'!E18</f>
        <v>-5</v>
      </c>
      <c r="O18" s="888"/>
    </row>
    <row r="19" spans="1:15" ht="27.75">
      <c r="A19" s="1610" t="s">
        <v>71</v>
      </c>
      <c r="B19" s="1611"/>
      <c r="C19" s="1611"/>
      <c r="D19" s="599" t="s">
        <v>144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-1474</v>
      </c>
      <c r="I19" s="565"/>
      <c r="J19" s="629">
        <f>H19/DAY(B2)</f>
        <v>-49.133333333333333</v>
      </c>
      <c r="K19" s="467"/>
      <c r="L19" s="408"/>
      <c r="N19" s="479">
        <f>F19-'1'!E19</f>
        <v>-1474</v>
      </c>
      <c r="O19" s="888"/>
    </row>
    <row r="20" spans="1:15" ht="21.95" customHeight="1">
      <c r="A20" s="662" t="s">
        <v>145</v>
      </c>
      <c r="B20" s="663"/>
      <c r="C20" s="663"/>
      <c r="D20" s="566"/>
      <c r="E20" s="566"/>
      <c r="F20" s="566"/>
      <c r="G20" s="1106">
        <f>G18+G19</f>
        <v>171</v>
      </c>
      <c r="H20" s="536">
        <f>G20+'29'!H20</f>
        <v>3116</v>
      </c>
      <c r="I20" s="568">
        <f>I18-J20</f>
        <v>-38.86666666666666</v>
      </c>
      <c r="J20" s="629">
        <f>H20/DAY(B2)</f>
        <v>103.86666666666666</v>
      </c>
      <c r="K20" s="467"/>
      <c r="L20" s="408"/>
      <c r="N20" s="479">
        <f>F20-'1'!E20</f>
        <v>0</v>
      </c>
      <c r="O20" s="888"/>
    </row>
    <row r="21" spans="1:15" ht="29.25">
      <c r="A21" s="1628" t="s">
        <v>146</v>
      </c>
      <c r="B21" s="1629"/>
      <c r="C21" s="1629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888"/>
    </row>
    <row r="22" spans="1:15" ht="21.95" customHeight="1">
      <c r="A22" s="1229" t="s">
        <v>147</v>
      </c>
      <c r="B22" s="666"/>
      <c r="C22" s="666"/>
      <c r="D22" s="599" t="s">
        <v>148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-720</v>
      </c>
      <c r="O22" s="888"/>
    </row>
    <row r="23" spans="1:15" ht="21.95" customHeight="1">
      <c r="A23" s="1229" t="s">
        <v>149</v>
      </c>
      <c r="B23" s="666"/>
      <c r="C23" s="666"/>
      <c r="D23" s="599" t="s">
        <v>148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100</v>
      </c>
      <c r="O23" s="888"/>
    </row>
    <row r="24" spans="1:15" ht="21.95" customHeight="1">
      <c r="A24" s="667" t="s">
        <v>150</v>
      </c>
      <c r="B24" s="668"/>
      <c r="C24" s="668"/>
      <c r="D24" s="587" t="s">
        <v>148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-720</v>
      </c>
      <c r="O24" s="888"/>
    </row>
    <row r="25" spans="1:15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888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888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09">
        <f>E27*F27</f>
        <v>172107</v>
      </c>
      <c r="H27" s="536">
        <f>G27+'29'!H27</f>
        <v>-5210622</v>
      </c>
      <c r="I27" s="579"/>
      <c r="J27" s="629">
        <f>H27/DAY(B2)</f>
        <v>-173687.4</v>
      </c>
      <c r="K27" s="404"/>
      <c r="L27" s="484"/>
      <c r="N27" s="479"/>
      <c r="O27" s="888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80">
        <f>G15</f>
        <v>667.76000000000931</v>
      </c>
      <c r="F28" s="577">
        <v>43.5</v>
      </c>
      <c r="G28" s="1109">
        <f>E28*F28</f>
        <v>29047.560000000405</v>
      </c>
      <c r="H28" s="536">
        <f>G28+'29'!H28</f>
        <v>-1125174.2418000055</v>
      </c>
      <c r="I28" s="581"/>
      <c r="J28" s="629">
        <f>H28/DAY(B2)</f>
        <v>-37505.808060000185</v>
      </c>
      <c r="K28" s="404"/>
      <c r="L28" s="484"/>
      <c r="N28" s="479"/>
      <c r="O28" s="888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82">
        <f>G24</f>
        <v>0</v>
      </c>
      <c r="F29" s="577">
        <v>69</v>
      </c>
      <c r="G29" s="1109">
        <f>E29*F29</f>
        <v>0</v>
      </c>
      <c r="H29" s="536">
        <f>G29+'29'!H29</f>
        <v>0</v>
      </c>
      <c r="I29" s="581"/>
      <c r="J29" s="629">
        <f>H29/DAY(B2)</f>
        <v>0</v>
      </c>
      <c r="K29" s="404"/>
      <c r="L29" s="484"/>
      <c r="N29" s="479"/>
      <c r="O29" s="888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82">
        <f>G19</f>
        <v>51</v>
      </c>
      <c r="F30" s="577">
        <v>134</v>
      </c>
      <c r="G30" s="1109">
        <f>E30*F30</f>
        <v>6834</v>
      </c>
      <c r="H30" s="536">
        <f>G30+'29'!H30</f>
        <v>-179828</v>
      </c>
      <c r="I30" s="581"/>
      <c r="J30" s="629">
        <f>H30/DAY(B2)</f>
        <v>-5994.2666666666664</v>
      </c>
      <c r="K30" s="404"/>
      <c r="L30" s="484"/>
      <c r="N30" s="479"/>
      <c r="O30" s="888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82">
        <f>G18</f>
        <v>120</v>
      </c>
      <c r="F31" s="577">
        <v>80</v>
      </c>
      <c r="G31" s="1109">
        <f>E31*F31</f>
        <v>9600</v>
      </c>
      <c r="H31" s="536">
        <f>G31+'29'!H31</f>
        <v>356640</v>
      </c>
      <c r="I31" s="581"/>
      <c r="J31" s="629"/>
      <c r="K31" s="404"/>
      <c r="L31" s="484"/>
      <c r="N31" s="479"/>
      <c r="O31" s="888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217588.56000000041</v>
      </c>
      <c r="H32" s="536">
        <f>G32+'29'!H32</f>
        <v>-6158984.2418000055</v>
      </c>
      <c r="I32" s="585"/>
      <c r="J32" s="629">
        <f>H32/DAY(B2)</f>
        <v>-205299.47472666684</v>
      </c>
      <c r="K32" s="404"/>
      <c r="L32" s="484"/>
      <c r="N32" s="479"/>
      <c r="O32" s="888"/>
    </row>
    <row r="33" spans="1:15" ht="25.5">
      <c r="A33" s="1630" t="s">
        <v>162</v>
      </c>
      <c r="B33" s="1631"/>
      <c r="C33" s="1631"/>
      <c r="D33" s="1631"/>
      <c r="E33" s="1631"/>
      <c r="F33" s="1631"/>
      <c r="G33" s="1631"/>
      <c r="H33" s="1631"/>
      <c r="I33" s="1631"/>
      <c r="J33" s="1632"/>
      <c r="K33" s="467"/>
      <c r="L33" s="408"/>
      <c r="N33" s="479"/>
      <c r="O33" s="888"/>
    </row>
    <row r="34" spans="1:15" ht="21.95" customHeight="1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888"/>
    </row>
    <row r="35" spans="1:15" ht="21.95" customHeight="1">
      <c r="A35" s="655" t="s">
        <v>164</v>
      </c>
      <c r="B35" s="656"/>
      <c r="C35" s="656"/>
      <c r="D35" s="599" t="s">
        <v>132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-64059.589999999967</v>
      </c>
      <c r="I35" s="531"/>
      <c r="J35" s="629">
        <f>H35/DAY(B2)</f>
        <v>-2135.3196666666654</v>
      </c>
      <c r="K35" s="467"/>
      <c r="L35" s="408"/>
      <c r="N35" s="479">
        <f>F35-'1'!E35</f>
        <v>-64059.589999999967</v>
      </c>
      <c r="O35" s="888"/>
    </row>
    <row r="36" spans="1:15" ht="21.95" customHeight="1">
      <c r="A36" s="655" t="s">
        <v>165</v>
      </c>
      <c r="B36" s="656"/>
      <c r="C36" s="656"/>
      <c r="D36" s="599" t="s">
        <v>132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-20485.640000000014</v>
      </c>
      <c r="I36" s="531"/>
      <c r="J36" s="629">
        <f>H36/DAY(B2)</f>
        <v>-682.85466666666719</v>
      </c>
      <c r="K36" s="467"/>
      <c r="L36" s="408"/>
      <c r="N36" s="479">
        <f>F36-'1'!E36</f>
        <v>-20485.640000000014</v>
      </c>
      <c r="O36" s="888"/>
    </row>
    <row r="37" spans="1:15" ht="21.95" customHeight="1">
      <c r="A37" s="655" t="s">
        <v>166</v>
      </c>
      <c r="B37" s="656"/>
      <c r="C37" s="656"/>
      <c r="D37" s="599" t="s">
        <v>132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418171.08</v>
      </c>
      <c r="I37" s="531"/>
      <c r="J37" s="629">
        <f>H37/DAY(B2)</f>
        <v>13939.036</v>
      </c>
      <c r="K37" s="467"/>
      <c r="L37" s="408"/>
      <c r="N37" s="479">
        <f>F37-'1'!E37</f>
        <v>383003.9</v>
      </c>
      <c r="O37" s="888"/>
    </row>
    <row r="38" spans="1:15" ht="21.95" customHeight="1">
      <c r="A38" s="655" t="s">
        <v>167</v>
      </c>
      <c r="B38" s="656"/>
      <c r="C38" s="656"/>
      <c r="D38" s="599" t="s">
        <v>132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106900.51000000001</v>
      </c>
      <c r="I38" s="531"/>
      <c r="J38" s="629">
        <f>H38/DAY(B2)</f>
        <v>3563.3503333333338</v>
      </c>
      <c r="K38" s="467"/>
      <c r="L38" s="408"/>
      <c r="N38" s="479"/>
      <c r="O38" s="888"/>
    </row>
    <row r="39" spans="1:15" ht="21.95" customHeight="1">
      <c r="A39" s="655" t="s">
        <v>168</v>
      </c>
      <c r="B39" s="656"/>
      <c r="C39" s="656"/>
      <c r="D39" s="599" t="s">
        <v>132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921872.89</v>
      </c>
      <c r="I39" s="531"/>
      <c r="J39" s="629">
        <f>H39/DAY(B2)</f>
        <v>30729.096333333335</v>
      </c>
      <c r="K39" s="467"/>
      <c r="L39" s="408"/>
      <c r="N39" s="479">
        <f>F39-'1'!E39</f>
        <v>821804.61</v>
      </c>
      <c r="O39" s="888"/>
    </row>
    <row r="40" spans="1:15" ht="21.95" customHeight="1">
      <c r="A40" s="676" t="s">
        <v>169</v>
      </c>
      <c r="B40" s="677"/>
      <c r="C40" s="677"/>
      <c r="D40" s="599" t="s">
        <v>132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-0.06</v>
      </c>
      <c r="I40" s="531"/>
      <c r="J40" s="629">
        <f>H40/DAY(B2)</f>
        <v>-2E-3</v>
      </c>
      <c r="K40" s="468"/>
      <c r="L40" s="408"/>
      <c r="N40" s="479">
        <f>F40-'1'!E40</f>
        <v>0</v>
      </c>
      <c r="O40" s="888"/>
    </row>
    <row r="41" spans="1:15" ht="21.95" customHeight="1">
      <c r="A41" s="655" t="s">
        <v>170</v>
      </c>
      <c r="B41" s="656"/>
      <c r="C41" s="656"/>
      <c r="D41" s="599" t="s">
        <v>132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-22893.420000000006</v>
      </c>
      <c r="I41" s="531"/>
      <c r="J41" s="629">
        <f>H41/DAY(B2)</f>
        <v>-763.11400000000015</v>
      </c>
      <c r="K41" s="467"/>
      <c r="L41" s="408"/>
      <c r="N41" s="479">
        <f>F41-'1'!E41</f>
        <v>-22893.420000000006</v>
      </c>
      <c r="O41" s="888"/>
    </row>
    <row r="42" spans="1:15" ht="21.95" customHeight="1">
      <c r="A42" s="655" t="s">
        <v>171</v>
      </c>
      <c r="B42" s="656"/>
      <c r="C42" s="656"/>
      <c r="D42" s="599" t="s">
        <v>132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-202.84999999999854</v>
      </c>
      <c r="I42" s="531"/>
      <c r="J42" s="629">
        <f>H42/DAY(B2)</f>
        <v>-6.7616666666666179</v>
      </c>
      <c r="K42" s="467"/>
      <c r="L42" s="408"/>
      <c r="N42" s="479">
        <f>F42-'1'!E42</f>
        <v>-202.84999999999854</v>
      </c>
      <c r="O42" s="888"/>
    </row>
    <row r="43" spans="1:15" ht="21.95" customHeight="1">
      <c r="A43" s="655" t="s">
        <v>172</v>
      </c>
      <c r="B43" s="656"/>
      <c r="C43" s="656"/>
      <c r="D43" s="599" t="s">
        <v>132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-60398.319999999949</v>
      </c>
      <c r="I43" s="531"/>
      <c r="J43" s="629">
        <f>H43/DAY(B2)</f>
        <v>-2013.2773333333316</v>
      </c>
      <c r="K43" s="467"/>
      <c r="L43" s="408"/>
      <c r="N43" s="479">
        <f>F43-'1'!E43</f>
        <v>-60398.319999999949</v>
      </c>
      <c r="O43" s="888"/>
    </row>
    <row r="44" spans="1:15" ht="21.95" customHeight="1">
      <c r="A44" s="655" t="s">
        <v>173</v>
      </c>
      <c r="B44" s="656"/>
      <c r="C44" s="656"/>
      <c r="D44" s="599" t="s">
        <v>132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888"/>
    </row>
    <row r="45" spans="1:15" ht="21.95" customHeight="1">
      <c r="A45" s="655" t="s">
        <v>174</v>
      </c>
      <c r="B45" s="656"/>
      <c r="C45" s="656"/>
      <c r="D45" s="599" t="s">
        <v>132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0.48000000000001819</v>
      </c>
      <c r="I45" s="531"/>
      <c r="J45" s="629">
        <f>H45/DAY(B2)</f>
        <v>1.6000000000000607E-2</v>
      </c>
      <c r="K45" s="467"/>
      <c r="L45" s="408"/>
      <c r="N45" s="479">
        <f>F45-'1'!E45</f>
        <v>0.48000000000001819</v>
      </c>
      <c r="O45" s="888"/>
    </row>
    <row r="46" spans="1:15" ht="21.95" customHeight="1">
      <c r="A46" s="655" t="s">
        <v>175</v>
      </c>
      <c r="B46" s="656"/>
      <c r="C46" s="656"/>
      <c r="D46" s="599" t="s">
        <v>132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0.49000000000000909</v>
      </c>
      <c r="I46" s="531"/>
      <c r="J46" s="629">
        <f>H46/DAY(B2)</f>
        <v>1.6333333333333637E-2</v>
      </c>
      <c r="K46" s="467"/>
      <c r="L46" s="408"/>
      <c r="N46" s="479">
        <f>F46-'1'!E46</f>
        <v>0.49000000000000909</v>
      </c>
      <c r="O46" s="888"/>
    </row>
    <row r="47" spans="1:15" ht="21.95" customHeight="1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1278905.5699999998</v>
      </c>
      <c r="I47" s="531"/>
      <c r="J47" s="629">
        <f>H47/DAY(B2)</f>
        <v>42630.185666666664</v>
      </c>
      <c r="K47" s="467"/>
      <c r="L47" s="408"/>
      <c r="N47" s="479">
        <f>F47-'1'!E47</f>
        <v>0</v>
      </c>
      <c r="O47" s="888"/>
    </row>
    <row r="48" spans="1:15" ht="29.25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O48" s="888"/>
    </row>
    <row r="49" spans="1:15" ht="29.25">
      <c r="A49" s="655" t="s">
        <v>164</v>
      </c>
      <c r="B49" s="678"/>
      <c r="C49" s="678"/>
      <c r="D49" s="599" t="s">
        <v>132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-17776.580000000016</v>
      </c>
      <c r="I49" s="531"/>
      <c r="J49" s="629">
        <f>H49/DAY(B2)</f>
        <v>-592.55266666666716</v>
      </c>
      <c r="K49" s="467"/>
      <c r="L49" s="408"/>
      <c r="O49" s="888"/>
    </row>
    <row r="50" spans="1:15" ht="29.25">
      <c r="A50" s="655" t="s">
        <v>178</v>
      </c>
      <c r="B50" s="678"/>
      <c r="C50" s="678"/>
      <c r="D50" s="599" t="s">
        <v>132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-36062.030000000028</v>
      </c>
      <c r="I50" s="531"/>
      <c r="J50" s="629">
        <f>H50/DAY(B2)</f>
        <v>-1202.0676666666675</v>
      </c>
      <c r="K50" s="467"/>
      <c r="L50" s="408"/>
      <c r="O50" s="888"/>
    </row>
    <row r="51" spans="1:15" ht="29.25">
      <c r="A51" s="655" t="s">
        <v>166</v>
      </c>
      <c r="B51" s="678"/>
      <c r="C51" s="678"/>
      <c r="D51" s="599" t="s">
        <v>132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-13049.059999999998</v>
      </c>
      <c r="I51" s="531"/>
      <c r="J51" s="629">
        <f>H51/DAY(B2)</f>
        <v>-434.96866666666659</v>
      </c>
      <c r="K51" s="467"/>
      <c r="L51" s="408"/>
      <c r="O51" s="888"/>
    </row>
    <row r="52" spans="1:15" ht="29.25">
      <c r="A52" s="655" t="s">
        <v>179</v>
      </c>
      <c r="B52" s="678"/>
      <c r="C52" s="678"/>
      <c r="D52" s="599" t="s">
        <v>132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-18159.800000000047</v>
      </c>
      <c r="I52" s="531"/>
      <c r="J52" s="629">
        <f>H52/DAY(B2)</f>
        <v>-605.32666666666819</v>
      </c>
      <c r="K52" s="467"/>
      <c r="L52" s="408"/>
      <c r="O52" s="888"/>
    </row>
    <row r="53" spans="1:15" ht="29.25">
      <c r="A53" s="655" t="s">
        <v>168</v>
      </c>
      <c r="B53" s="678"/>
      <c r="C53" s="678"/>
      <c r="D53" s="599" t="s">
        <v>132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-35947.510000000009</v>
      </c>
      <c r="I53" s="531"/>
      <c r="J53" s="629">
        <f>H53/DAY(B2)</f>
        <v>-1198.2503333333336</v>
      </c>
      <c r="K53" s="467"/>
      <c r="L53" s="408"/>
      <c r="O53" s="888"/>
    </row>
    <row r="54" spans="1:15" ht="29.25">
      <c r="A54" s="655" t="s">
        <v>180</v>
      </c>
      <c r="B54" s="678"/>
      <c r="C54" s="678"/>
      <c r="D54" s="599" t="s">
        <v>132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-1815.9099999999999</v>
      </c>
      <c r="I54" s="531"/>
      <c r="J54" s="629">
        <f>H54/DAY(B2)</f>
        <v>-60.530333333333331</v>
      </c>
      <c r="K54" s="467"/>
      <c r="L54" s="408"/>
      <c r="O54" s="888"/>
    </row>
    <row r="55" spans="1:15" ht="29.25">
      <c r="A55" s="655" t="s">
        <v>181</v>
      </c>
      <c r="B55" s="678"/>
      <c r="C55" s="678"/>
      <c r="D55" s="599" t="s">
        <v>132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-83463.69</v>
      </c>
      <c r="I55" s="531"/>
      <c r="J55" s="629">
        <f>H55/DAY(B2)</f>
        <v>-2782.123</v>
      </c>
      <c r="K55" s="467"/>
      <c r="L55" s="408"/>
      <c r="O55" s="888"/>
    </row>
    <row r="56" spans="1:15" ht="29.25">
      <c r="A56" s="655" t="s">
        <v>182</v>
      </c>
      <c r="B56" s="678"/>
      <c r="C56" s="678"/>
      <c r="D56" s="599" t="s">
        <v>183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-28321.030000000028</v>
      </c>
      <c r="I56" s="531"/>
      <c r="J56" s="629">
        <f>H56/DAY(B2)</f>
        <v>-944.0343333333343</v>
      </c>
      <c r="K56" s="466"/>
      <c r="L56" s="408"/>
      <c r="O56" s="888"/>
    </row>
    <row r="57" spans="1:15" ht="29.25">
      <c r="A57" s="655" t="s">
        <v>172</v>
      </c>
      <c r="B57" s="678"/>
      <c r="C57" s="678"/>
      <c r="D57" s="599" t="s">
        <v>132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-7711.33</v>
      </c>
      <c r="I57" s="531"/>
      <c r="J57" s="629">
        <f>H57/DAY(B2)</f>
        <v>-257.04433333333333</v>
      </c>
      <c r="K57" s="467"/>
      <c r="L57" s="408"/>
      <c r="O57" s="888"/>
    </row>
    <row r="58" spans="1:15" ht="29.25">
      <c r="A58" s="655" t="s">
        <v>184</v>
      </c>
      <c r="B58" s="678"/>
      <c r="C58" s="678"/>
      <c r="D58" s="599" t="s">
        <v>132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-5742.4599999999955</v>
      </c>
      <c r="I58" s="531"/>
      <c r="J58" s="629">
        <f>H58/DAY(B2)</f>
        <v>-191.41533333333319</v>
      </c>
      <c r="K58" s="467"/>
      <c r="L58" s="408"/>
      <c r="O58" s="888"/>
    </row>
    <row r="59" spans="1:15" ht="29.2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-248049.40000000011</v>
      </c>
      <c r="I59" s="531">
        <f>G7-G60</f>
        <v>309.36999999995169</v>
      </c>
      <c r="J59" s="629">
        <f>H59/DAY(B2)</f>
        <v>-8268.3133333333371</v>
      </c>
      <c r="K59" s="467"/>
      <c r="L59" s="408"/>
      <c r="O59" s="888"/>
    </row>
    <row r="60" spans="1:15" ht="29.25">
      <c r="A60" s="655"/>
      <c r="B60" s="656"/>
      <c r="C60" s="656"/>
      <c r="D60" s="587" t="s">
        <v>185</v>
      </c>
      <c r="E60" s="587"/>
      <c r="F60" s="587"/>
      <c r="G60" s="557">
        <f>G47+G59</f>
        <v>18607.630000000048</v>
      </c>
      <c r="H60" s="536">
        <f>G60+'29'!H60</f>
        <v>1045025.1699999997</v>
      </c>
      <c r="I60" s="531">
        <f>G13-G60</f>
        <v>-335.73000000014144</v>
      </c>
      <c r="J60" s="629">
        <f>H60/DAY(B2)</f>
        <v>34834.172333333321</v>
      </c>
      <c r="K60" s="467"/>
      <c r="L60" s="408"/>
      <c r="O60" s="888"/>
    </row>
    <row r="61" spans="1:15" ht="29.2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888"/>
    </row>
    <row r="62" spans="1:15" ht="29.25">
      <c r="A62" s="680" t="s">
        <v>98</v>
      </c>
      <c r="B62" s="681"/>
      <c r="C62" s="681"/>
      <c r="D62" s="587" t="s">
        <v>187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-7.0000000014260877E-3</v>
      </c>
      <c r="I62" s="591"/>
      <c r="J62" s="629">
        <f>H62/DAY(B2)</f>
        <v>-2.3333333338086958E-4</v>
      </c>
      <c r="K62" s="467"/>
      <c r="L62" s="408"/>
      <c r="O62" s="888"/>
    </row>
    <row r="63" spans="1:15" ht="29.25">
      <c r="A63" s="680" t="s">
        <v>188</v>
      </c>
      <c r="B63" s="681"/>
      <c r="C63" s="681"/>
      <c r="D63" s="587" t="s">
        <v>187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-388.70999999999981</v>
      </c>
      <c r="I63" s="591"/>
      <c r="J63" s="629">
        <f>H63/DAY(B2)</f>
        <v>-12.956999999999994</v>
      </c>
      <c r="K63" s="467"/>
      <c r="L63" s="408"/>
      <c r="O63" s="888"/>
    </row>
    <row r="64" spans="1:15" ht="27.75">
      <c r="A64" s="1616" t="s">
        <v>99</v>
      </c>
      <c r="B64" s="1482"/>
      <c r="C64" s="1482"/>
      <c r="D64" s="599" t="s">
        <v>187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-12764.300000000003</v>
      </c>
      <c r="I64" s="556"/>
      <c r="J64" s="629">
        <f>H64/DAY(B2)</f>
        <v>-425.47666666666674</v>
      </c>
      <c r="K64" s="467"/>
      <c r="L64" s="408"/>
      <c r="O64" s="888"/>
    </row>
    <row r="65" spans="1:15" ht="27.75">
      <c r="A65" s="1616" t="s">
        <v>100</v>
      </c>
      <c r="B65" s="1482"/>
      <c r="C65" s="1482"/>
      <c r="D65" s="599" t="s">
        <v>187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-11259.299999999988</v>
      </c>
      <c r="I65" s="565"/>
      <c r="J65" s="629">
        <f>H65/DAY(B2)</f>
        <v>-375.3099999999996</v>
      </c>
      <c r="K65" s="467"/>
      <c r="L65" s="408"/>
      <c r="O65" s="888"/>
    </row>
    <row r="66" spans="1:15" ht="27.75">
      <c r="A66" s="1616" t="s">
        <v>101</v>
      </c>
      <c r="B66" s="1482"/>
      <c r="C66" s="1482"/>
      <c r="D66" s="599" t="s">
        <v>187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-11415.75</v>
      </c>
      <c r="I66" s="556"/>
      <c r="J66" s="629">
        <f>H66/DAY(B2)</f>
        <v>-380.52499999999998</v>
      </c>
      <c r="K66" s="467"/>
      <c r="L66" s="408"/>
      <c r="O66" s="888"/>
    </row>
    <row r="67" spans="1:15" ht="27.75">
      <c r="A67" s="1616" t="s">
        <v>102</v>
      </c>
      <c r="B67" s="1482"/>
      <c r="C67" s="1482"/>
      <c r="D67" s="599" t="s">
        <v>187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-19894.829999999987</v>
      </c>
      <c r="I67" s="565"/>
      <c r="J67" s="629">
        <f>H67/DAY(B2)</f>
        <v>-663.1609999999996</v>
      </c>
      <c r="K67" s="468"/>
      <c r="L67" s="408"/>
      <c r="O67" s="888"/>
    </row>
    <row r="68" spans="1:15" ht="27.75">
      <c r="A68" s="1616" t="s">
        <v>103</v>
      </c>
      <c r="B68" s="1482"/>
      <c r="C68" s="1482"/>
      <c r="D68" s="599" t="s">
        <v>187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-8675.5200000000041</v>
      </c>
      <c r="I68" s="592"/>
      <c r="J68" s="629">
        <f>H68/DAY(B2)</f>
        <v>-289.18400000000014</v>
      </c>
      <c r="K68" s="469"/>
      <c r="L68" s="408"/>
      <c r="O68" s="888"/>
    </row>
    <row r="69" spans="1:15" ht="27.75">
      <c r="A69" s="1616" t="s">
        <v>104</v>
      </c>
      <c r="B69" s="1482"/>
      <c r="C69" s="1482"/>
      <c r="D69" s="599" t="s">
        <v>187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-9044.5299999999988</v>
      </c>
      <c r="I69" s="592"/>
      <c r="J69" s="629">
        <f>H69/DAY(B2)</f>
        <v>-301.48433333333327</v>
      </c>
      <c r="K69" s="470"/>
      <c r="L69" s="408"/>
      <c r="O69" s="888"/>
    </row>
    <row r="70" spans="1:15" ht="27.75">
      <c r="A70" s="1633" t="s">
        <v>189</v>
      </c>
      <c r="B70" s="1492"/>
      <c r="C70" s="1492"/>
      <c r="D70" s="599" t="s">
        <v>187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888"/>
    </row>
    <row r="71" spans="1:15" ht="31.5">
      <c r="A71" s="1625" t="s">
        <v>190</v>
      </c>
      <c r="B71" s="1626"/>
      <c r="C71" s="1626"/>
      <c r="D71" s="1626"/>
      <c r="E71" s="1626"/>
      <c r="F71" s="1626"/>
      <c r="G71" s="1626"/>
      <c r="H71" s="1626"/>
      <c r="I71" s="1626"/>
      <c r="J71" s="1627"/>
      <c r="K71" s="469"/>
      <c r="L71" s="408"/>
      <c r="O71" s="888"/>
    </row>
    <row r="72" spans="1:15" ht="27.75">
      <c r="A72" s="1616" t="s">
        <v>191</v>
      </c>
      <c r="B72" s="1482"/>
      <c r="C72" s="1482"/>
      <c r="D72" s="599" t="s">
        <v>187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-29</v>
      </c>
      <c r="I72" s="556"/>
      <c r="J72" s="629">
        <f>H72/DAY(B2)</f>
        <v>-0.96666666666666667</v>
      </c>
      <c r="K72" s="470"/>
      <c r="L72" s="408"/>
      <c r="O72" s="888"/>
    </row>
    <row r="73" spans="1:15" ht="27.75">
      <c r="A73" s="1616" t="s">
        <v>192</v>
      </c>
      <c r="B73" s="1482"/>
      <c r="C73" s="1482"/>
      <c r="D73" s="599" t="s">
        <v>187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-1180</v>
      </c>
      <c r="I73" s="556"/>
      <c r="J73" s="629">
        <f>H73/DAY(B2)</f>
        <v>-39.333333333333336</v>
      </c>
      <c r="K73" s="469"/>
      <c r="L73" s="408"/>
      <c r="O73" s="888"/>
    </row>
    <row r="74" spans="1:15" ht="27.75">
      <c r="A74" s="1616" t="s">
        <v>193</v>
      </c>
      <c r="B74" s="1482"/>
      <c r="C74" s="1482"/>
      <c r="D74" s="599" t="s">
        <v>187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881749.83</v>
      </c>
      <c r="I74" s="556"/>
      <c r="J74" s="629">
        <f>H74/DAY(B2)</f>
        <v>29391.661</v>
      </c>
      <c r="K74" s="470"/>
      <c r="L74" s="408"/>
      <c r="O74" s="888"/>
    </row>
    <row r="75" spans="1:15" ht="27.75">
      <c r="A75" s="1623" t="s">
        <v>194</v>
      </c>
      <c r="B75" s="1624"/>
      <c r="C75" s="1624"/>
      <c r="D75" s="599" t="s">
        <v>187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733782.78</v>
      </c>
      <c r="I75" s="556"/>
      <c r="J75" s="629">
        <f>H75/DAY(B2)</f>
        <v>24459.425999999999</v>
      </c>
      <c r="K75" s="469"/>
      <c r="L75" s="408"/>
      <c r="O75" s="888"/>
    </row>
    <row r="76" spans="1:15" ht="27.75">
      <c r="A76" s="1623" t="s">
        <v>195</v>
      </c>
      <c r="B76" s="1624"/>
      <c r="C76" s="1624"/>
      <c r="D76" s="599" t="s">
        <v>187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683881.58000000007</v>
      </c>
      <c r="I76" s="581"/>
      <c r="J76" s="629">
        <f>H76/DAY(B2)</f>
        <v>22796.05266666667</v>
      </c>
      <c r="K76" s="469"/>
      <c r="L76" s="408"/>
      <c r="O76" s="888"/>
    </row>
    <row r="77" spans="1:15" ht="27.75">
      <c r="A77" s="1616" t="s">
        <v>196</v>
      </c>
      <c r="B77" s="1482"/>
      <c r="C77" s="1482"/>
      <c r="D77" s="599" t="s">
        <v>187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-1542</v>
      </c>
      <c r="I77" s="581"/>
      <c r="J77" s="629">
        <f>H77/DAY(B2)</f>
        <v>-51.4</v>
      </c>
      <c r="K77" s="469"/>
      <c r="L77" s="408"/>
      <c r="O77" s="888"/>
    </row>
    <row r="78" spans="1:15" ht="27.75">
      <c r="A78" s="1232" t="s">
        <v>197</v>
      </c>
      <c r="B78" s="1203"/>
      <c r="C78" s="1203"/>
      <c r="D78" s="599" t="s">
        <v>187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-11382</v>
      </c>
      <c r="I78" s="581"/>
      <c r="J78" s="629">
        <f>H78/DAY(B2)</f>
        <v>-379.4</v>
      </c>
      <c r="K78" s="469"/>
      <c r="L78" s="408"/>
      <c r="O78" s="888"/>
    </row>
    <row r="79" spans="1:15" ht="27.75">
      <c r="A79" s="1623" t="s">
        <v>92</v>
      </c>
      <c r="B79" s="1624"/>
      <c r="C79" s="1624"/>
      <c r="D79" s="600" t="s">
        <v>187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-8234</v>
      </c>
      <c r="I79" s="581"/>
      <c r="J79" s="629">
        <f>H79/DAY(B2)</f>
        <v>-274.46666666666664</v>
      </c>
      <c r="K79" s="469"/>
      <c r="L79" s="408"/>
      <c r="O79" s="888"/>
    </row>
    <row r="80" spans="1:15" ht="27.75">
      <c r="A80" s="1623" t="s">
        <v>198</v>
      </c>
      <c r="B80" s="1624"/>
      <c r="C80" s="1624"/>
      <c r="D80" s="600" t="s">
        <v>187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-7205.679999999993</v>
      </c>
      <c r="I80" s="581"/>
      <c r="J80" s="629">
        <f>H80/DAY(B2)</f>
        <v>-240.18933333333311</v>
      </c>
      <c r="K80" s="469"/>
      <c r="L80" s="408"/>
      <c r="O80" s="888"/>
    </row>
    <row r="81" spans="1:15" ht="27.75">
      <c r="A81" s="1623" t="s">
        <v>199</v>
      </c>
      <c r="B81" s="1624"/>
      <c r="C81" s="1624"/>
      <c r="D81" s="600" t="s">
        <v>187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-3281.3199999999488</v>
      </c>
      <c r="I81" s="581"/>
      <c r="J81" s="629">
        <f>H81/DAY(B2)</f>
        <v>-109.37733333333162</v>
      </c>
      <c r="K81" s="469"/>
      <c r="L81" s="408"/>
      <c r="O81" s="888"/>
    </row>
    <row r="82" spans="1:15" ht="27.75">
      <c r="A82" s="1623" t="s">
        <v>93</v>
      </c>
      <c r="B82" s="1624"/>
      <c r="C82" s="1624"/>
      <c r="D82" s="561" t="s">
        <v>132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-814.56999999999243</v>
      </c>
      <c r="I82" s="562"/>
      <c r="J82" s="629">
        <f>H82/DAY(B2)</f>
        <v>-27.152333333333083</v>
      </c>
      <c r="K82" s="469"/>
      <c r="L82" s="408"/>
      <c r="O82" s="888"/>
    </row>
    <row r="83" spans="1:15" ht="27.75">
      <c r="A83" s="1623" t="s">
        <v>200</v>
      </c>
      <c r="B83" s="1624"/>
      <c r="C83" s="1624"/>
      <c r="D83" s="697" t="s">
        <v>132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986729</v>
      </c>
      <c r="I83" s="557"/>
      <c r="J83" s="629">
        <f>H83/DAY(B2)</f>
        <v>32890.966666666667</v>
      </c>
      <c r="K83" s="468"/>
      <c r="L83" s="408"/>
      <c r="O83" s="888"/>
    </row>
    <row r="84" spans="1:15" ht="29.25">
      <c r="A84" s="1233" t="s">
        <v>201</v>
      </c>
      <c r="B84" s="648"/>
      <c r="C84" s="648"/>
      <c r="D84" s="554" t="s">
        <v>132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-15229</v>
      </c>
      <c r="I84" s="557"/>
      <c r="J84" s="629">
        <f>H84/DAY(B2)</f>
        <v>-507.63333333333333</v>
      </c>
      <c r="K84" s="411"/>
      <c r="L84" s="408"/>
      <c r="O84" s="888"/>
    </row>
    <row r="85" spans="1:15" s="410" customFormat="1" ht="21.95" customHeight="1">
      <c r="A85" s="682" t="s">
        <v>202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3235654.36</v>
      </c>
      <c r="I85" s="557"/>
      <c r="J85" s="629">
        <f>H85/DAY(B2)</f>
        <v>107855.14533333333</v>
      </c>
      <c r="K85" s="411"/>
      <c r="L85" s="409"/>
      <c r="O85" s="888"/>
    </row>
    <row r="86" spans="1:15" s="817" customFormat="1" ht="29.25">
      <c r="A86" s="812" t="s">
        <v>94</v>
      </c>
      <c r="B86" s="813"/>
      <c r="C86" s="813"/>
      <c r="D86" s="814" t="s">
        <v>183</v>
      </c>
      <c r="E86" s="531">
        <f>'29'!F86</f>
        <v>446888</v>
      </c>
      <c r="F86" s="728">
        <v>447033</v>
      </c>
      <c r="G86" s="787">
        <f t="shared" ref="G86:G90" si="7">F86-E86</f>
        <v>145</v>
      </c>
      <c r="H86" s="787">
        <f t="shared" ref="H86:H88" si="8">G86</f>
        <v>145</v>
      </c>
      <c r="I86" s="733"/>
      <c r="J86" s="789">
        <f>H86/DAY(B2)</f>
        <v>4.833333333333333</v>
      </c>
      <c r="K86" s="815"/>
      <c r="L86" s="816"/>
      <c r="O86" s="888"/>
    </row>
    <row r="87" spans="1:15" s="817" customFormat="1" ht="27.75" customHeight="1">
      <c r="A87" s="812" t="s">
        <v>95</v>
      </c>
      <c r="B87" s="813"/>
      <c r="C87" s="813"/>
      <c r="D87" s="814" t="s">
        <v>183</v>
      </c>
      <c r="E87" s="531">
        <f>'29'!F87</f>
        <v>78411</v>
      </c>
      <c r="F87" s="728">
        <v>78432.5</v>
      </c>
      <c r="G87" s="787">
        <f t="shared" si="7"/>
        <v>21.5</v>
      </c>
      <c r="H87" s="787">
        <f t="shared" si="8"/>
        <v>21.5</v>
      </c>
      <c r="I87" s="733"/>
      <c r="J87" s="789">
        <f>H87/DAY(B2)</f>
        <v>0.71666666666666667</v>
      </c>
      <c r="K87" s="815"/>
      <c r="L87" s="816"/>
      <c r="O87" s="888"/>
    </row>
    <row r="88" spans="1:15" s="817" customFormat="1" ht="29.25">
      <c r="A88" s="812" t="s">
        <v>96</v>
      </c>
      <c r="B88" s="813"/>
      <c r="C88" s="813"/>
      <c r="D88" s="814" t="s">
        <v>183</v>
      </c>
      <c r="E88" s="531">
        <f>'29'!F88</f>
        <v>146382.95000000001</v>
      </c>
      <c r="F88" s="728">
        <v>146464</v>
      </c>
      <c r="G88" s="787">
        <f t="shared" si="7"/>
        <v>81.049999999988358</v>
      </c>
      <c r="H88" s="787">
        <f t="shared" si="8"/>
        <v>81.049999999988358</v>
      </c>
      <c r="I88" s="733"/>
      <c r="J88" s="789">
        <f>H88/DAY(B2)</f>
        <v>2.7016666666662785</v>
      </c>
      <c r="K88" s="815"/>
      <c r="L88" s="816"/>
      <c r="O88" s="888"/>
    </row>
    <row r="89" spans="1:15" s="817" customFormat="1" ht="29.25">
      <c r="A89" s="812" t="s">
        <v>204</v>
      </c>
      <c r="B89" s="813"/>
      <c r="C89" s="813"/>
      <c r="D89" s="814" t="s">
        <v>183</v>
      </c>
      <c r="E89" s="531">
        <f>'29'!F89</f>
        <v>59670.8</v>
      </c>
      <c r="F89" s="728">
        <v>59738</v>
      </c>
      <c r="G89" s="787">
        <f t="shared" si="7"/>
        <v>67.19999999999709</v>
      </c>
      <c r="H89" s="787">
        <f>G89</f>
        <v>67.19999999999709</v>
      </c>
      <c r="I89" s="733"/>
      <c r="J89" s="789">
        <f>H89/DAY(B2)</f>
        <v>2.239999999999903</v>
      </c>
      <c r="K89" s="815"/>
      <c r="L89" s="816"/>
      <c r="N89" s="860"/>
      <c r="O89" s="888"/>
    </row>
    <row r="90" spans="1:15" s="817" customFormat="1" ht="29.25">
      <c r="A90" s="812" t="s">
        <v>204</v>
      </c>
      <c r="B90" s="813"/>
      <c r="C90" s="813"/>
      <c r="D90" s="814" t="s">
        <v>183</v>
      </c>
      <c r="E90" s="531">
        <f>'29'!F90</f>
        <v>3061.9</v>
      </c>
      <c r="F90" s="728">
        <v>3064</v>
      </c>
      <c r="G90" s="787">
        <f t="shared" si="7"/>
        <v>2.0999999999999091</v>
      </c>
      <c r="H90" s="787">
        <f>G90</f>
        <v>2.0999999999999091</v>
      </c>
      <c r="I90" s="733"/>
      <c r="J90" s="789">
        <f>H90/DAY(B2)</f>
        <v>6.9999999999996967E-2</v>
      </c>
      <c r="K90" s="815"/>
      <c r="L90" s="816"/>
      <c r="N90" s="860"/>
      <c r="O90" s="888"/>
    </row>
    <row r="91" spans="1:15" s="410" customFormat="1" ht="29.25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O91" s="888"/>
    </row>
    <row r="92" spans="1:15" ht="27.75">
      <c r="A92" s="1610" t="s">
        <v>206</v>
      </c>
      <c r="B92" s="1611"/>
      <c r="C92" s="1611"/>
      <c r="D92" s="599" t="s">
        <v>144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-3216</v>
      </c>
      <c r="I92" s="556"/>
      <c r="J92" s="629">
        <f>H92/DAY(B2)</f>
        <v>-107.2</v>
      </c>
      <c r="K92" s="468"/>
      <c r="L92" s="408"/>
      <c r="O92" s="888"/>
    </row>
    <row r="93" spans="1:15" ht="27.75">
      <c r="A93" s="1610" t="s">
        <v>207</v>
      </c>
      <c r="B93" s="1611"/>
      <c r="C93" s="1611"/>
      <c r="D93" s="599" t="s">
        <v>144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-4679</v>
      </c>
      <c r="I93" s="556"/>
      <c r="J93" s="629">
        <f>H93/DAY(B2)</f>
        <v>-155.96666666666667</v>
      </c>
      <c r="K93" s="411"/>
      <c r="L93" s="408"/>
      <c r="O93" s="888"/>
    </row>
    <row r="94" spans="1:15" ht="29.25">
      <c r="A94" s="1612" t="s">
        <v>208</v>
      </c>
      <c r="B94" s="1613"/>
      <c r="C94" s="1613"/>
      <c r="D94" s="599"/>
      <c r="E94" s="531"/>
      <c r="F94" s="560"/>
      <c r="G94" s="549">
        <f>G92+G93</f>
        <v>192</v>
      </c>
      <c r="H94" s="536">
        <f>G94+'29'!H94</f>
        <v>-8161</v>
      </c>
      <c r="I94" s="556"/>
      <c r="J94" s="629">
        <f>H94/DAY(B2)</f>
        <v>-272.03333333333336</v>
      </c>
      <c r="K94" s="411"/>
      <c r="L94" s="408"/>
      <c r="O94" s="888"/>
    </row>
    <row r="95" spans="1:15" ht="27.75">
      <c r="A95" s="1610" t="s">
        <v>209</v>
      </c>
      <c r="B95" s="1611"/>
      <c r="C95" s="1611"/>
      <c r="D95" s="599" t="s">
        <v>144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-2349</v>
      </c>
      <c r="I95" s="556"/>
      <c r="J95" s="629">
        <f>H95/DAY(B2)</f>
        <v>-78.3</v>
      </c>
      <c r="K95" s="411"/>
      <c r="L95" s="408"/>
      <c r="O95" s="888"/>
    </row>
    <row r="96" spans="1:15" ht="27.75">
      <c r="A96" s="1229" t="s">
        <v>210</v>
      </c>
      <c r="B96" s="1230"/>
      <c r="C96" s="1230"/>
      <c r="D96" s="599" t="s">
        <v>144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-824</v>
      </c>
      <c r="I96" s="556"/>
      <c r="J96" s="629">
        <f>H96/DAY(B2)</f>
        <v>-27.466666666666665</v>
      </c>
      <c r="K96" s="466"/>
      <c r="L96" s="408"/>
      <c r="O96" s="888"/>
    </row>
    <row r="97" spans="1:15" ht="27.75">
      <c r="A97" s="1229" t="s">
        <v>211</v>
      </c>
      <c r="B97" s="1230"/>
      <c r="C97" s="1230"/>
      <c r="D97" s="599" t="s">
        <v>144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-801</v>
      </c>
      <c r="I97" s="556"/>
      <c r="J97" s="629">
        <f>H97/DAY(B2)</f>
        <v>-26.7</v>
      </c>
      <c r="K97" s="471"/>
      <c r="L97" s="408"/>
      <c r="O97" s="888"/>
    </row>
    <row r="98" spans="1:15" ht="27.75">
      <c r="A98" s="1229" t="s">
        <v>212</v>
      </c>
      <c r="B98" s="1230"/>
      <c r="C98" s="1230"/>
      <c r="D98" s="599" t="s">
        <v>144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-2129</v>
      </c>
      <c r="I98" s="556"/>
      <c r="J98" s="629">
        <f>H98/DAY(B2)</f>
        <v>-70.966666666666669</v>
      </c>
      <c r="K98" s="411"/>
      <c r="L98" s="408"/>
      <c r="O98" s="888"/>
    </row>
    <row r="99" spans="1:15" ht="27.75">
      <c r="A99" s="1229" t="s">
        <v>213</v>
      </c>
      <c r="B99" s="1230"/>
      <c r="C99" s="1230"/>
      <c r="D99" s="599" t="s">
        <v>144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-451</v>
      </c>
      <c r="I99" s="556"/>
      <c r="J99" s="629">
        <f>H99/DAY(B2)</f>
        <v>-15.033333333333333</v>
      </c>
      <c r="K99" s="411"/>
      <c r="L99" s="408"/>
      <c r="O99" s="888"/>
    </row>
    <row r="100" spans="1:15" ht="27.75">
      <c r="A100" s="1229" t="s">
        <v>214</v>
      </c>
      <c r="B100" s="1230"/>
      <c r="C100" s="1230"/>
      <c r="D100" s="599" t="s">
        <v>144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-312</v>
      </c>
      <c r="I100" s="556"/>
      <c r="J100" s="629">
        <f>H100/DAY(B2)</f>
        <v>-10.4</v>
      </c>
      <c r="K100" s="411"/>
      <c r="L100" s="408"/>
      <c r="O100" s="888"/>
    </row>
    <row r="101" spans="1:15" ht="29.25">
      <c r="A101" s="1612" t="s">
        <v>216</v>
      </c>
      <c r="B101" s="1613"/>
      <c r="C101" s="1613"/>
      <c r="D101" s="600"/>
      <c r="E101" s="600"/>
      <c r="F101" s="600"/>
      <c r="G101" s="601">
        <f>SUM(G95:G100)</f>
        <v>189</v>
      </c>
      <c r="H101" s="536">
        <f>G101+'29'!H101</f>
        <v>-6866</v>
      </c>
      <c r="I101" s="602"/>
      <c r="J101" s="629">
        <f>H101/DAY(B2)</f>
        <v>-228.86666666666667</v>
      </c>
      <c r="K101" s="411"/>
      <c r="L101" s="408"/>
      <c r="O101" s="888"/>
    </row>
    <row r="102" spans="1:15" s="481" customFormat="1" ht="27">
      <c r="A102" s="684" t="s">
        <v>217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888"/>
    </row>
    <row r="103" spans="1:15" s="481" customFormat="1" ht="27.75">
      <c r="A103" s="1619" t="s">
        <v>218</v>
      </c>
      <c r="B103" s="1620"/>
      <c r="C103" s="650"/>
      <c r="D103" s="699"/>
      <c r="E103" s="608"/>
      <c r="F103" s="608"/>
      <c r="G103" s="608"/>
      <c r="H103" s="609"/>
      <c r="I103" s="608"/>
      <c r="J103" s="635"/>
      <c r="O103" s="888"/>
    </row>
    <row r="104" spans="1:15" s="481" customFormat="1" ht="27.75">
      <c r="A104" s="1621" t="s">
        <v>219</v>
      </c>
      <c r="B104" s="1622"/>
      <c r="C104" s="1227"/>
      <c r="D104" s="699" t="s">
        <v>144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79.150000000000091</v>
      </c>
      <c r="I104" s="608"/>
      <c r="J104" s="635">
        <f>H104/DAY(B2)</f>
        <v>2.6383333333333363</v>
      </c>
      <c r="O104" s="888"/>
    </row>
    <row r="105" spans="1:15" s="481" customFormat="1" ht="27.75">
      <c r="A105" s="1621" t="s">
        <v>77</v>
      </c>
      <c r="B105" s="1622"/>
      <c r="C105" s="1227"/>
      <c r="D105" s="699" t="s">
        <v>144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48</v>
      </c>
      <c r="I105" s="608"/>
      <c r="J105" s="635">
        <f>H105/DAY(B2)</f>
        <v>1.6</v>
      </c>
      <c r="O105" s="888"/>
    </row>
    <row r="106" spans="1:15" s="481" customFormat="1" ht="27.75">
      <c r="A106" s="1621" t="s">
        <v>78</v>
      </c>
      <c r="B106" s="1622"/>
      <c r="C106" s="1622"/>
      <c r="D106" s="699" t="s">
        <v>144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395</v>
      </c>
      <c r="I106" s="608"/>
      <c r="J106" s="635">
        <f>H106/DAY(B2)</f>
        <v>13.166666666666666</v>
      </c>
      <c r="O106" s="888"/>
    </row>
    <row r="107" spans="1:15" s="481" customFormat="1" ht="27.75">
      <c r="A107" s="1637" t="s">
        <v>202</v>
      </c>
      <c r="B107" s="1638"/>
      <c r="C107" s="1227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200</v>
      </c>
      <c r="I107" s="608"/>
      <c r="J107" s="635">
        <f>H107/DAY(B2)</f>
        <v>6.666666666666667</v>
      </c>
      <c r="O107" s="888"/>
    </row>
    <row r="108" spans="1:15" s="481" customFormat="1" ht="27.75">
      <c r="A108" s="1639" t="s">
        <v>79</v>
      </c>
      <c r="B108" s="1640"/>
      <c r="C108" s="1227"/>
      <c r="D108" s="699" t="s">
        <v>144</v>
      </c>
      <c r="E108" s="608">
        <f>'29'!F108</f>
        <v>0</v>
      </c>
      <c r="F108" s="608"/>
      <c r="G108" s="608"/>
      <c r="H108" s="609"/>
      <c r="I108" s="608"/>
      <c r="J108" s="635"/>
      <c r="O108" s="888"/>
    </row>
    <row r="109" spans="1:15" s="481" customFormat="1" ht="27.75">
      <c r="A109" s="1621" t="s">
        <v>220</v>
      </c>
      <c r="B109" s="1622"/>
      <c r="C109" s="1227"/>
      <c r="D109" s="699" t="s">
        <v>144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175.56000000005588</v>
      </c>
      <c r="I109" s="608"/>
      <c r="J109" s="635">
        <f>H109/DAY(B2)</f>
        <v>5.8520000000018628</v>
      </c>
      <c r="O109" s="888"/>
    </row>
    <row r="110" spans="1:15" s="481" customFormat="1" ht="27.75">
      <c r="A110" s="1621" t="s">
        <v>221</v>
      </c>
      <c r="B110" s="1622"/>
      <c r="C110" s="1227"/>
      <c r="D110" s="699" t="s">
        <v>144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109.16999999999825</v>
      </c>
      <c r="I110" s="608"/>
      <c r="J110" s="635">
        <f>H110/DAY(B2)</f>
        <v>3.6389999999999416</v>
      </c>
      <c r="O110" s="888"/>
    </row>
    <row r="111" spans="1:15" s="481" customFormat="1" ht="27.75">
      <c r="A111" s="1621" t="s">
        <v>222</v>
      </c>
      <c r="B111" s="1622"/>
      <c r="C111" s="1227"/>
      <c r="D111" s="699" t="s">
        <v>144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548</v>
      </c>
      <c r="I111" s="608"/>
      <c r="J111" s="635">
        <f>H111/DAY(B2)</f>
        <v>18.266666666666666</v>
      </c>
      <c r="O111" s="888"/>
    </row>
    <row r="112" spans="1:15" s="481" customFormat="1" ht="27.75">
      <c r="A112" s="1641" t="s">
        <v>110</v>
      </c>
      <c r="B112" s="1642"/>
      <c r="C112" s="1227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872</v>
      </c>
      <c r="I112" s="608"/>
      <c r="J112" s="635">
        <f>H112/DAY(B2)</f>
        <v>29.066666666666666</v>
      </c>
      <c r="O112" s="888"/>
    </row>
    <row r="113" spans="1:15" s="481" customFormat="1" ht="27.75">
      <c r="A113" s="1639" t="s">
        <v>223</v>
      </c>
      <c r="B113" s="1640"/>
      <c r="C113" s="1227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888"/>
    </row>
    <row r="114" spans="1:15" s="481" customFormat="1" ht="27.75">
      <c r="A114" s="1621" t="s">
        <v>224</v>
      </c>
      <c r="B114" s="1622"/>
      <c r="C114" s="651"/>
      <c r="D114" s="699" t="s">
        <v>144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888"/>
    </row>
    <row r="115" spans="1:15" s="481" customFormat="1" ht="27.75">
      <c r="A115" s="1621" t="s">
        <v>225</v>
      </c>
      <c r="B115" s="1622"/>
      <c r="C115" s="651"/>
      <c r="D115" s="699" t="s">
        <v>144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128</v>
      </c>
      <c r="I115" s="608"/>
      <c r="J115" s="635">
        <f>H115/DAY(B2)</f>
        <v>4.2666666666666666</v>
      </c>
      <c r="O115" s="888"/>
    </row>
    <row r="116" spans="1:15" s="481" customFormat="1" ht="27.75">
      <c r="A116" s="1621" t="s">
        <v>226</v>
      </c>
      <c r="B116" s="1622"/>
      <c r="C116" s="651"/>
      <c r="D116" s="699" t="s">
        <v>144</v>
      </c>
      <c r="E116" s="610"/>
      <c r="F116" s="610"/>
      <c r="G116" s="610">
        <f t="shared" si="13"/>
        <v>0</v>
      </c>
      <c r="H116" s="610">
        <f>SUM(G116+'1'!G93)</f>
        <v>144</v>
      </c>
      <c r="I116" s="608"/>
      <c r="J116" s="635">
        <f>H116/DAY(B2)</f>
        <v>4.8</v>
      </c>
      <c r="O116" s="888"/>
    </row>
    <row r="117" spans="1:15" s="494" customFormat="1" ht="27.75">
      <c r="A117" s="1637" t="s">
        <v>202</v>
      </c>
      <c r="B117" s="1638"/>
      <c r="C117" s="651"/>
      <c r="D117" s="700"/>
      <c r="E117" s="610"/>
      <c r="F117" s="610"/>
      <c r="G117" s="610">
        <f>SUM(G114:G116)</f>
        <v>19</v>
      </c>
      <c r="H117" s="610">
        <f>SUM(G117+'1'!G95)</f>
        <v>95</v>
      </c>
      <c r="I117" s="610"/>
      <c r="J117" s="635">
        <f>H117/DAY(B2)</f>
        <v>3.1666666666666665</v>
      </c>
      <c r="O117" s="888"/>
    </row>
    <row r="118" spans="1:15" s="495" customFormat="1" ht="27.75">
      <c r="A118" s="1643" t="s">
        <v>227</v>
      </c>
      <c r="B118" s="1644"/>
      <c r="C118" s="1226"/>
      <c r="D118" s="701" t="s">
        <v>144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138</v>
      </c>
      <c r="I118" s="611"/>
      <c r="J118" s="636">
        <f>H118/DAY(B2)</f>
        <v>4.5999999999999996</v>
      </c>
      <c r="O118" s="888"/>
    </row>
    <row r="119" spans="1:15" s="495" customFormat="1" ht="27.75">
      <c r="A119" s="1643" t="s">
        <v>228</v>
      </c>
      <c r="B119" s="1644"/>
      <c r="C119" s="1226"/>
      <c r="D119" s="701" t="s">
        <v>144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202</v>
      </c>
      <c r="I119" s="611"/>
      <c r="J119" s="636">
        <f>H119/DAY(B2)</f>
        <v>6.7333333333333334</v>
      </c>
      <c r="O119" s="888"/>
    </row>
    <row r="120" spans="1:15" s="495" customFormat="1" ht="27.75">
      <c r="A120" s="1643" t="s">
        <v>229</v>
      </c>
      <c r="B120" s="1644"/>
      <c r="C120" s="1226"/>
      <c r="D120" s="701" t="s">
        <v>144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196</v>
      </c>
      <c r="I120" s="611"/>
      <c r="J120" s="636">
        <f>H120/DAY(B2)</f>
        <v>6.5333333333333332</v>
      </c>
      <c r="O120" s="888"/>
    </row>
    <row r="121" spans="1:15" s="481" customFormat="1" ht="27.75">
      <c r="A121" s="1645"/>
      <c r="B121" s="1646"/>
      <c r="C121" s="1227"/>
      <c r="D121" s="637"/>
      <c r="E121" s="637"/>
      <c r="F121" s="637" t="s">
        <v>215</v>
      </c>
      <c r="G121" s="637"/>
      <c r="H121" s="638"/>
      <c r="I121" s="637"/>
      <c r="J121" s="639"/>
      <c r="O121" s="888"/>
    </row>
    <row r="122" spans="1:15" ht="29.25">
      <c r="A122" s="1614" t="s">
        <v>230</v>
      </c>
      <c r="B122" s="1615"/>
      <c r="C122" s="1615"/>
      <c r="D122" s="548"/>
      <c r="E122" s="548"/>
      <c r="F122" s="548"/>
      <c r="G122" s="559"/>
      <c r="H122" s="559"/>
      <c r="I122" s="559"/>
      <c r="J122" s="640"/>
      <c r="K122" s="411"/>
      <c r="L122" s="408"/>
      <c r="O122" s="888"/>
    </row>
    <row r="123" spans="1:15" ht="21.95" customHeight="1">
      <c r="A123" s="1229" t="s">
        <v>231</v>
      </c>
      <c r="B123" s="1230"/>
      <c r="C123" s="1230"/>
      <c r="D123" s="599" t="s">
        <v>141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-7953.8399999999674</v>
      </c>
      <c r="I123" s="602"/>
      <c r="J123" s="629">
        <f>H123/DAY(B2)</f>
        <v>-265.12799999999891</v>
      </c>
      <c r="K123" s="411"/>
      <c r="L123" s="408"/>
      <c r="O123" s="888"/>
    </row>
    <row r="124" spans="1:15" ht="21.95" customHeight="1">
      <c r="A124" s="1229" t="s">
        <v>232</v>
      </c>
      <c r="B124" s="1230"/>
      <c r="C124" s="1230"/>
      <c r="D124" s="599" t="s">
        <v>141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-1.3999999999941792</v>
      </c>
      <c r="I124" s="602"/>
      <c r="J124" s="629">
        <f>H124/DAY(B2)</f>
        <v>-4.6666666666472643E-2</v>
      </c>
      <c r="K124" s="411"/>
      <c r="L124" s="408"/>
      <c r="O124" s="888"/>
    </row>
    <row r="125" spans="1:15" ht="21.95" customHeight="1">
      <c r="A125" s="1616" t="s">
        <v>233</v>
      </c>
      <c r="B125" s="1482"/>
      <c r="C125" s="1482"/>
      <c r="D125" s="599" t="s">
        <v>141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-2187.3399999999965</v>
      </c>
      <c r="I125" s="602"/>
      <c r="J125" s="629">
        <f>H125/DAY(B2)</f>
        <v>-72.911333333333218</v>
      </c>
      <c r="K125" s="411"/>
      <c r="L125" s="408"/>
      <c r="O125" s="888"/>
    </row>
    <row r="126" spans="1:15" ht="21.95" customHeight="1">
      <c r="A126" s="686" t="s">
        <v>234</v>
      </c>
      <c r="B126" s="1230"/>
      <c r="C126" s="1230"/>
      <c r="D126" s="599" t="s">
        <v>141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-955.90000000000146</v>
      </c>
      <c r="I126" s="602"/>
      <c r="J126" s="629">
        <f>H126/DAY(B2)</f>
        <v>-31.863333333333383</v>
      </c>
      <c r="K126" s="411"/>
      <c r="L126" s="408"/>
      <c r="O126" s="888"/>
    </row>
    <row r="127" spans="1:15" ht="21.95" customHeight="1">
      <c r="A127" s="686" t="s">
        <v>235</v>
      </c>
      <c r="B127" s="1230"/>
      <c r="C127" s="1230"/>
      <c r="D127" s="599" t="s">
        <v>141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-75.799999999999272</v>
      </c>
      <c r="I127" s="556"/>
      <c r="J127" s="629">
        <f>H127/DAY(B2)</f>
        <v>-2.5266666666666424</v>
      </c>
      <c r="K127" s="411"/>
      <c r="L127" s="408"/>
      <c r="O127" s="888"/>
    </row>
    <row r="128" spans="1:15" s="281" customFormat="1" ht="21.75" customHeight="1">
      <c r="A128" s="686" t="s">
        <v>236</v>
      </c>
      <c r="B128" s="1230"/>
      <c r="C128" s="1230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888"/>
    </row>
    <row r="129" spans="1:15" ht="29.2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888"/>
    </row>
    <row r="130" spans="1:15" ht="27.75">
      <c r="A130" s="1229" t="s">
        <v>238</v>
      </c>
      <c r="B130" s="1230"/>
      <c r="C130" s="1230"/>
      <c r="D130" s="599" t="s">
        <v>239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888"/>
    </row>
    <row r="131" spans="1:15" ht="27.75">
      <c r="A131" s="1229" t="s">
        <v>240</v>
      </c>
      <c r="B131" s="1230"/>
      <c r="C131" s="1230"/>
      <c r="D131" s="599" t="s">
        <v>239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888"/>
    </row>
    <row r="132" spans="1:15" ht="27.75">
      <c r="A132" s="1229" t="s">
        <v>241</v>
      </c>
      <c r="B132" s="1230"/>
      <c r="C132" s="1230"/>
      <c r="D132" s="599" t="s">
        <v>239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637.45999999999913</v>
      </c>
      <c r="I132" s="556"/>
      <c r="J132" s="629">
        <f>H132/DAY(B2)</f>
        <v>21.248666666666637</v>
      </c>
      <c r="O132" s="888"/>
    </row>
    <row r="133" spans="1:15" ht="27.75">
      <c r="A133" s="1229" t="s">
        <v>242</v>
      </c>
      <c r="B133" s="1230"/>
      <c r="C133" s="1230"/>
      <c r="D133" s="599" t="s">
        <v>239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-1</v>
      </c>
      <c r="I133" s="556">
        <f>G130+G131+G132+G133</f>
        <v>23.870000000002619</v>
      </c>
      <c r="J133" s="629">
        <f>H133/DAY(B2)</f>
        <v>-3.3333333333333333E-2</v>
      </c>
      <c r="O133" s="888"/>
    </row>
    <row r="134" spans="1:15" ht="27.75">
      <c r="A134" s="1229" t="s">
        <v>243</v>
      </c>
      <c r="B134" s="1230"/>
      <c r="C134" s="1230"/>
      <c r="D134" s="599" t="s">
        <v>239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-285.5199999999968</v>
      </c>
      <c r="I134" s="556"/>
      <c r="J134" s="629">
        <f>H134/DAY(B2)</f>
        <v>-9.5173333333332266</v>
      </c>
      <c r="O134" s="888"/>
    </row>
    <row r="135" spans="1:15" ht="27.75">
      <c r="A135" s="1229" t="s">
        <v>244</v>
      </c>
      <c r="B135" s="1230"/>
      <c r="C135" s="1230"/>
      <c r="D135" s="599" t="s">
        <v>239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-118.47999999999956</v>
      </c>
      <c r="I135" s="556"/>
      <c r="J135" s="629">
        <f>H135/DAY(B2)</f>
        <v>-3.9493333333333189</v>
      </c>
      <c r="O135" s="888"/>
    </row>
    <row r="136" spans="1:15" ht="27.75">
      <c r="A136" s="1229" t="s">
        <v>245</v>
      </c>
      <c r="B136" s="1230"/>
      <c r="C136" s="1230"/>
      <c r="D136" s="599" t="s">
        <v>239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-229.72999999999956</v>
      </c>
      <c r="I136" s="556">
        <f>G134+G135+G136</f>
        <v>3.75</v>
      </c>
      <c r="J136" s="629">
        <f>H136/DAY(B2)</f>
        <v>-7.6576666666666524</v>
      </c>
      <c r="O136" s="888"/>
    </row>
    <row r="137" spans="1:15" ht="27.75">
      <c r="A137" s="1229" t="s">
        <v>246</v>
      </c>
      <c r="B137" s="1230"/>
      <c r="C137" s="1230"/>
      <c r="D137" s="599" t="s">
        <v>239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-8.6200000000026193</v>
      </c>
      <c r="I137" s="556"/>
      <c r="J137" s="629">
        <f>H137/DAY(B2)</f>
        <v>-0.28733333333342065</v>
      </c>
      <c r="O137" s="888"/>
    </row>
    <row r="138" spans="1:15" ht="27.75">
      <c r="A138" s="1229" t="s">
        <v>247</v>
      </c>
      <c r="B138" s="1230"/>
      <c r="C138" s="1230"/>
      <c r="D138" s="599" t="s">
        <v>239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-51.960000000006403</v>
      </c>
      <c r="I138" s="556">
        <f>G137+G138</f>
        <v>4.1100000000005821</v>
      </c>
      <c r="J138" s="629">
        <f>H138/DAY(B2)</f>
        <v>-1.7320000000002134</v>
      </c>
      <c r="O138" s="888"/>
    </row>
    <row r="139" spans="1:15" ht="27.75">
      <c r="A139" s="1229" t="s">
        <v>248</v>
      </c>
      <c r="B139" s="1230"/>
      <c r="C139" s="1230"/>
      <c r="D139" s="599" t="s">
        <v>239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-230.80000000000018</v>
      </c>
      <c r="I139" s="619"/>
      <c r="J139" s="629">
        <f>H139/DAY(B2)</f>
        <v>-7.6933333333333396</v>
      </c>
      <c r="O139" s="888"/>
    </row>
    <row r="140" spans="1:15" ht="27.75">
      <c r="A140" s="1229" t="s">
        <v>249</v>
      </c>
      <c r="B140" s="1230"/>
      <c r="C140" s="1230"/>
      <c r="D140" s="599" t="s">
        <v>239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0</v>
      </c>
      <c r="I140" s="619"/>
      <c r="J140" s="629">
        <f>H140/DAY(B2)</f>
        <v>0</v>
      </c>
      <c r="O140" s="888"/>
    </row>
    <row r="141" spans="1:15" ht="21.95" customHeight="1">
      <c r="A141" s="1617" t="s">
        <v>250</v>
      </c>
      <c r="B141" s="1618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O141" s="888"/>
    </row>
    <row r="142" spans="1:15" ht="21.95" customHeight="1">
      <c r="A142" s="1610" t="s">
        <v>251</v>
      </c>
      <c r="B142" s="1611"/>
      <c r="C142" s="1611"/>
      <c r="D142" s="599" t="s">
        <v>132</v>
      </c>
      <c r="E142" s="599"/>
      <c r="F142" s="599"/>
      <c r="G142" s="536">
        <f>G35+G43+G49+G57</f>
        <v>5306.8800000000047</v>
      </c>
      <c r="H142" s="536">
        <f>G142+'29'!H142</f>
        <v>-151643.25999999989</v>
      </c>
      <c r="I142" s="556"/>
      <c r="J142" s="629">
        <f>H142/DAY(B2)</f>
        <v>-5054.7753333333294</v>
      </c>
      <c r="K142" s="411"/>
      <c r="L142" s="408"/>
      <c r="O142" s="888"/>
    </row>
    <row r="143" spans="1:15" ht="21.95" customHeight="1">
      <c r="A143" s="1610" t="s">
        <v>252</v>
      </c>
      <c r="B143" s="1611"/>
      <c r="C143" s="1611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7.6555473727793588</v>
      </c>
      <c r="I143" s="621"/>
      <c r="J143" s="629">
        <f>H143/DAY(B2)</f>
        <v>0.25518491242597863</v>
      </c>
      <c r="K143" s="411"/>
      <c r="L143" s="408"/>
      <c r="O143" s="888"/>
    </row>
    <row r="144" spans="1:15" ht="21.95" customHeight="1">
      <c r="A144" s="1610" t="s">
        <v>253</v>
      </c>
      <c r="B144" s="1611"/>
      <c r="C144" s="1611"/>
      <c r="D144" s="599" t="s">
        <v>132</v>
      </c>
      <c r="E144" s="531"/>
      <c r="F144" s="531"/>
      <c r="G144" s="536">
        <f>G41+G42+G55+G56</f>
        <v>3768.9499999999971</v>
      </c>
      <c r="H144" s="536">
        <f>G144+'29'!H144</f>
        <v>-129881.99000000003</v>
      </c>
      <c r="I144" s="556"/>
      <c r="J144" s="629">
        <f>H144/DAY(B2)</f>
        <v>-4329.3996666666681</v>
      </c>
      <c r="K144" s="411"/>
      <c r="L144" s="408"/>
      <c r="O144" s="888"/>
    </row>
    <row r="145" spans="1:15" ht="21.95" customHeight="1">
      <c r="A145" s="1610" t="s">
        <v>254</v>
      </c>
      <c r="B145" s="1611"/>
      <c r="C145" s="1611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7.1422310711297587</v>
      </c>
      <c r="I145" s="621"/>
      <c r="J145" s="629">
        <f>H145/DAY(B2)</f>
        <v>0.23807436903765863</v>
      </c>
      <c r="K145" s="411"/>
      <c r="L145" s="408"/>
      <c r="O145" s="888"/>
    </row>
    <row r="146" spans="1:15" ht="21.95" customHeight="1">
      <c r="A146" s="1610" t="s">
        <v>255</v>
      </c>
      <c r="B146" s="1611"/>
      <c r="C146" s="1611"/>
      <c r="D146" s="599" t="s">
        <v>132</v>
      </c>
      <c r="E146" s="531"/>
      <c r="F146" s="531"/>
      <c r="G146" s="536">
        <f>G39+G53</f>
        <v>4159.0300000000279</v>
      </c>
      <c r="H146" s="536">
        <f>G146+'29'!H146</f>
        <v>890110.38</v>
      </c>
      <c r="I146" s="622"/>
      <c r="J146" s="629">
        <f>H146/DAY(B2)</f>
        <v>29670.346000000001</v>
      </c>
      <c r="K146" s="411"/>
      <c r="L146" s="408"/>
      <c r="O146" s="888"/>
    </row>
    <row r="147" spans="1:15" ht="21.95" customHeight="1">
      <c r="A147" s="1610" t="s">
        <v>256</v>
      </c>
      <c r="B147" s="1611"/>
      <c r="C147" s="1611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9.4457557591554959</v>
      </c>
      <c r="I147" s="622"/>
      <c r="J147" s="629">
        <f>H147/DAY(B2)</f>
        <v>0.31485852530518321</v>
      </c>
      <c r="O147" s="888"/>
    </row>
    <row r="148" spans="1:15" ht="21.95" customHeight="1">
      <c r="A148" s="1610" t="s">
        <v>257</v>
      </c>
      <c r="B148" s="1611"/>
      <c r="C148" s="1611"/>
      <c r="D148" s="599" t="s">
        <v>183</v>
      </c>
      <c r="E148" s="531"/>
      <c r="F148" s="531"/>
      <c r="G148" s="536">
        <f>G38+G52</f>
        <v>1996.9099999999744</v>
      </c>
      <c r="H148" s="536">
        <f>G148+'29'!H148</f>
        <v>90786.709999999963</v>
      </c>
      <c r="I148" s="556"/>
      <c r="J148" s="629">
        <f>H148/DAY(B2)</f>
        <v>3026.2236666666654</v>
      </c>
      <c r="K148" s="412"/>
      <c r="O148" s="888"/>
    </row>
    <row r="149" spans="1:15" ht="21.95" customHeight="1">
      <c r="A149" s="1610" t="s">
        <v>258</v>
      </c>
      <c r="B149" s="1611"/>
      <c r="C149" s="1611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2.7359296490696177</v>
      </c>
      <c r="I149" s="622"/>
      <c r="J149" s="629">
        <f>H149/DAY(B2)</f>
        <v>9.1197654968987255E-2</v>
      </c>
      <c r="O149" s="888"/>
    </row>
    <row r="150" spans="1:15" ht="21.95" customHeight="1">
      <c r="A150" s="1610" t="s">
        <v>259</v>
      </c>
      <c r="B150" s="1611"/>
      <c r="C150" s="1611"/>
      <c r="D150" s="599" t="s">
        <v>183</v>
      </c>
      <c r="E150" s="531"/>
      <c r="F150" s="531"/>
      <c r="G150" s="536">
        <f>G36+G50</f>
        <v>1701.2300000000396</v>
      </c>
      <c r="H150" s="536">
        <f>G150+'29'!H150</f>
        <v>-55353.670000000042</v>
      </c>
      <c r="I150" s="622"/>
      <c r="J150" s="629">
        <f>H150/DAY(B2)</f>
        <v>-1845.1223333333348</v>
      </c>
      <c r="O150" s="888"/>
    </row>
    <row r="151" spans="1:15" ht="21.95" customHeight="1">
      <c r="A151" s="1610" t="s">
        <v>260</v>
      </c>
      <c r="B151" s="1611"/>
      <c r="C151" s="1611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2.7876216912501137</v>
      </c>
      <c r="I151" s="556"/>
      <c r="J151" s="629">
        <f>H151/DAY(B2)</f>
        <v>9.2920723041670455E-2</v>
      </c>
      <c r="O151" s="888"/>
    </row>
    <row r="152" spans="1:15" ht="27.75">
      <c r="A152" s="1610" t="s">
        <v>261</v>
      </c>
      <c r="B152" s="1611"/>
      <c r="C152" s="1611"/>
      <c r="D152" s="599" t="s">
        <v>183</v>
      </c>
      <c r="E152" s="531"/>
      <c r="F152" s="531"/>
      <c r="G152" s="536">
        <f>G37+G51</f>
        <v>1515.8600000000006</v>
      </c>
      <c r="H152" s="536">
        <f>G152+'29'!H152</f>
        <v>406671.02</v>
      </c>
      <c r="I152" s="556"/>
      <c r="J152" s="629">
        <f>H152/DAY(B2)</f>
        <v>13555.700666666668</v>
      </c>
      <c r="O152" s="888"/>
    </row>
    <row r="153" spans="1:15" ht="28.5" thickBot="1">
      <c r="A153" s="1608" t="s">
        <v>262</v>
      </c>
      <c r="B153" s="1609"/>
      <c r="C153" s="1609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3.1709463254007022</v>
      </c>
      <c r="I153" s="645"/>
      <c r="J153" s="646">
        <f>H153/DAY(B2)</f>
        <v>0.10569821084669008</v>
      </c>
      <c r="O153" s="888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67" t="s">
        <v>263</v>
      </c>
      <c r="B160" s="868"/>
      <c r="C160" s="868"/>
      <c r="D160" s="587" t="s">
        <v>187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>
      <c r="A161" s="867" t="s">
        <v>264</v>
      </c>
      <c r="B161" s="868"/>
      <c r="C161" s="868"/>
      <c r="D161" s="587" t="s">
        <v>187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>
      <c r="A162" s="867" t="s">
        <v>265</v>
      </c>
      <c r="B162" s="868"/>
      <c r="C162" s="868"/>
      <c r="D162" s="587" t="s">
        <v>187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>
      <c r="A163" s="867" t="s">
        <v>266</v>
      </c>
      <c r="B163" s="868"/>
      <c r="C163" s="868"/>
      <c r="D163" s="587" t="s">
        <v>187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>
      <c r="A164" s="869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69" t="s">
        <v>188</v>
      </c>
      <c r="B165" s="681"/>
      <c r="C165" s="681"/>
      <c r="D165" s="587" t="s">
        <v>187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>
      <c r="A166" s="1482" t="s">
        <v>99</v>
      </c>
      <c r="B166" s="1482"/>
      <c r="C166" s="1482"/>
      <c r="D166" s="599" t="s">
        <v>187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>
      <c r="A167" s="1482" t="s">
        <v>100</v>
      </c>
      <c r="B167" s="1482"/>
      <c r="C167" s="1482"/>
      <c r="D167" s="599" t="s">
        <v>187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>
      <c r="A168" s="1482" t="s">
        <v>101</v>
      </c>
      <c r="B168" s="1482"/>
      <c r="C168" s="1482"/>
      <c r="D168" s="599" t="s">
        <v>187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>
      <c r="A169" s="1482" t="s">
        <v>102</v>
      </c>
      <c r="B169" s="1482"/>
      <c r="C169" s="1482"/>
      <c r="D169" s="599" t="s">
        <v>187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>
      <c r="A170" s="1482" t="s">
        <v>103</v>
      </c>
      <c r="B170" s="1482"/>
      <c r="C170" s="1482"/>
      <c r="D170" s="599" t="s">
        <v>187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>
      <c r="A171" s="1482" t="s">
        <v>104</v>
      </c>
      <c r="B171" s="1482"/>
      <c r="C171" s="1482"/>
      <c r="D171" s="599" t="s">
        <v>187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>
      <c r="G172" s="616">
        <f>SUM(G160:G171)</f>
        <v>3309.3200000000097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142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5" t="s">
        <v>117</v>
      </c>
      <c r="B1" s="1446"/>
      <c r="C1" s="1446"/>
      <c r="D1" s="1446"/>
      <c r="E1" s="1446"/>
      <c r="F1" s="1446"/>
      <c r="G1" s="1446"/>
      <c r="H1" s="1446"/>
      <c r="I1" s="1446"/>
      <c r="J1" s="1447"/>
    </row>
    <row r="2" spans="1:15" s="281" customFormat="1" ht="27">
      <c r="A2" s="652" t="s">
        <v>268</v>
      </c>
      <c r="B2" s="1199">
        <v>44227</v>
      </c>
      <c r="C2" s="1231" t="s">
        <v>69</v>
      </c>
      <c r="D2" s="688">
        <v>0.59599999999999997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>
      <c r="A3" s="647"/>
      <c r="B3" s="691"/>
      <c r="C3" s="1231" t="s">
        <v>120</v>
      </c>
      <c r="D3" s="689">
        <v>24</v>
      </c>
      <c r="E3" s="1454" t="s">
        <v>121</v>
      </c>
      <c r="F3" s="1455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1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ht="21.95" customHeight="1">
      <c r="A6" s="1448" t="s">
        <v>130</v>
      </c>
      <c r="B6" s="1449"/>
      <c r="C6" s="1450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131</v>
      </c>
      <c r="B7" s="656"/>
      <c r="C7" s="656"/>
      <c r="D7" s="599" t="s">
        <v>132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-556879</v>
      </c>
      <c r="I7" s="550">
        <f>'1'!I7</f>
        <v>12000</v>
      </c>
      <c r="J7" s="629">
        <f>H7/DAY(B2)</f>
        <v>-17963.83870967742</v>
      </c>
      <c r="K7" s="626">
        <v>1375467</v>
      </c>
      <c r="L7" s="408"/>
      <c r="N7" s="479">
        <f>F7-'1'!E7</f>
        <v>-556879</v>
      </c>
      <c r="O7" s="413"/>
    </row>
    <row r="8" spans="1:15" ht="21.95" customHeight="1" thickBot="1">
      <c r="A8" s="657" t="s">
        <v>133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-560305</v>
      </c>
      <c r="I8" s="553"/>
      <c r="J8" s="629">
        <f>H8/DAY(B2)</f>
        <v>-18074.354838709678</v>
      </c>
      <c r="K8" s="626">
        <v>1715917</v>
      </c>
      <c r="L8" s="464">
        <v>1728480</v>
      </c>
      <c r="M8" s="479">
        <f>L8-K8</f>
        <v>12563</v>
      </c>
      <c r="N8" s="479">
        <f>F8-'1'!E8</f>
        <v>-560305</v>
      </c>
      <c r="O8" s="413"/>
    </row>
    <row r="9" spans="1:15" ht="21.95" customHeight="1">
      <c r="A9" s="660" t="s">
        <v>134</v>
      </c>
      <c r="B9" s="661"/>
      <c r="C9" s="661"/>
      <c r="D9" s="599" t="s">
        <v>132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2647646.4900000002</v>
      </c>
      <c r="I9" s="555">
        <f>I7-J7</f>
        <v>29963.83870967742</v>
      </c>
      <c r="J9" s="629">
        <f>H9/DAY(B2)</f>
        <v>85407.951290322584</v>
      </c>
      <c r="K9" s="467">
        <f>K8-100</f>
        <v>1715817</v>
      </c>
      <c r="L9" s="408"/>
      <c r="N9" s="479">
        <f>F9-'1'!E9</f>
        <v>2448219.4900000002</v>
      </c>
      <c r="O9" s="413"/>
    </row>
    <row r="10" spans="1:15" ht="21.95" customHeight="1">
      <c r="A10" s="655" t="s">
        <v>135</v>
      </c>
      <c r="B10" s="656"/>
      <c r="C10" s="656"/>
      <c r="D10" s="599" t="s">
        <v>132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2565350.84</v>
      </c>
      <c r="I10" s="556"/>
      <c r="J10" s="629">
        <f>H10/DAY(B2)</f>
        <v>82753.252903225803</v>
      </c>
      <c r="K10" s="467"/>
      <c r="L10" s="408"/>
      <c r="N10" s="479">
        <f>F10-'1'!E10</f>
        <v>1175178.8399999999</v>
      </c>
      <c r="O10" s="413"/>
    </row>
    <row r="11" spans="1:15" ht="21.95" customHeight="1">
      <c r="A11" s="655" t="s">
        <v>136</v>
      </c>
      <c r="B11" s="656"/>
      <c r="C11" s="656"/>
      <c r="D11" s="599" t="s">
        <v>132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-3610</v>
      </c>
      <c r="I11" s="556"/>
      <c r="J11" s="629">
        <f>H11/DAY(B2)</f>
        <v>-116.45161290322581</v>
      </c>
      <c r="K11" s="467"/>
      <c r="L11" s="408"/>
      <c r="N11" s="479">
        <f>F11-'1'!E11</f>
        <v>-1610</v>
      </c>
      <c r="O11" s="413"/>
    </row>
    <row r="12" spans="1:15" ht="21.95" customHeight="1">
      <c r="A12" s="655" t="s">
        <v>137</v>
      </c>
      <c r="B12" s="656"/>
      <c r="C12" s="656"/>
      <c r="D12" s="599" t="s">
        <v>132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-4380</v>
      </c>
      <c r="I12" s="556"/>
      <c r="J12" s="629">
        <f>H12/DAY(B2)</f>
        <v>-141.29032258064515</v>
      </c>
      <c r="K12" s="467"/>
      <c r="L12" s="408"/>
      <c r="N12" s="479">
        <f>F12-'1'!E12</f>
        <v>-2380</v>
      </c>
      <c r="O12" s="413"/>
    </row>
    <row r="13" spans="1:15" ht="21.95" customHeight="1">
      <c r="A13" s="662" t="s">
        <v>138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5184013.33</v>
      </c>
      <c r="I13" s="558">
        <f>G7-G13</f>
        <v>627</v>
      </c>
      <c r="J13" s="629">
        <f>H13/DAY(B2)</f>
        <v>167226.2364516129</v>
      </c>
      <c r="K13" s="467"/>
      <c r="L13" s="408"/>
      <c r="N13" s="479">
        <f>F13-'1'!E13</f>
        <v>0</v>
      </c>
      <c r="O13" s="413"/>
    </row>
    <row r="14" spans="1:15" ht="29.25">
      <c r="A14" s="1451" t="s">
        <v>139</v>
      </c>
      <c r="B14" s="1452"/>
      <c r="C14" s="1453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29" t="s">
        <v>140</v>
      </c>
      <c r="B15" s="666"/>
      <c r="C15" s="666"/>
      <c r="D15" s="599" t="s">
        <v>141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'30'!H15</f>
        <v>-26309.880000000121</v>
      </c>
      <c r="I15" s="550">
        <f>'1'!I15</f>
        <v>800</v>
      </c>
      <c r="J15" s="629">
        <f>H15/DAY(B2)</f>
        <v>-848.70580645161681</v>
      </c>
      <c r="K15" s="467"/>
      <c r="L15" s="408"/>
      <c r="N15" s="479">
        <f>F15-'1'!E15</f>
        <v>-25441.460000000196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1648.7058064516168</v>
      </c>
      <c r="J16" s="630"/>
      <c r="K16" s="467"/>
      <c r="L16" s="408"/>
      <c r="N16" s="479">
        <f>F16-'1'!E16</f>
        <v>0</v>
      </c>
      <c r="O16" s="413"/>
    </row>
    <row r="17" spans="1:15" ht="29.25">
      <c r="A17" s="1451" t="s">
        <v>142</v>
      </c>
      <c r="B17" s="1452"/>
      <c r="C17" s="1453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433" t="s">
        <v>143</v>
      </c>
      <c r="B18" s="1434"/>
      <c r="C18" s="1435"/>
      <c r="D18" s="599" t="s">
        <v>144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4710</v>
      </c>
      <c r="I18" s="550">
        <f>'1'!I18</f>
        <v>65</v>
      </c>
      <c r="J18" s="629">
        <f>H18/DAY(B2)</f>
        <v>151.93548387096774</v>
      </c>
      <c r="K18" s="467"/>
      <c r="L18" s="408"/>
      <c r="N18" s="479">
        <f>F18-'1'!E18</f>
        <v>-5</v>
      </c>
      <c r="O18" s="413"/>
    </row>
    <row r="19" spans="1:15" ht="27.75">
      <c r="A19" s="1433" t="s">
        <v>71</v>
      </c>
      <c r="B19" s="1434"/>
      <c r="C19" s="1435"/>
      <c r="D19" s="599" t="s">
        <v>144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-1420</v>
      </c>
      <c r="I19" s="565"/>
      <c r="J19" s="629">
        <f>H19/DAY(B2)</f>
        <v>-45.806451612903224</v>
      </c>
      <c r="K19" s="467"/>
      <c r="L19" s="408"/>
      <c r="N19" s="479">
        <f>F19-'1'!E19</f>
        <v>-1420</v>
      </c>
      <c r="O19" s="413"/>
    </row>
    <row r="20" spans="1:15" ht="29.25">
      <c r="A20" s="662" t="s">
        <v>145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3290</v>
      </c>
      <c r="I20" s="568">
        <f>I18-J20</f>
        <v>-41.129032258064512</v>
      </c>
      <c r="J20" s="629">
        <f>H20/DAY(B2)</f>
        <v>106.12903225806451</v>
      </c>
      <c r="K20" s="467"/>
      <c r="L20" s="408"/>
      <c r="N20" s="479">
        <f>F20-'1'!E20</f>
        <v>0</v>
      </c>
      <c r="O20" s="413"/>
    </row>
    <row r="21" spans="1:15" ht="29.25">
      <c r="A21" s="1451" t="s">
        <v>146</v>
      </c>
      <c r="B21" s="1452"/>
      <c r="C21" s="1453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29" t="s">
        <v>147</v>
      </c>
      <c r="B22" s="666"/>
      <c r="C22" s="666"/>
      <c r="D22" s="599" t="s">
        <v>148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-720</v>
      </c>
      <c r="O22" s="413"/>
    </row>
    <row r="23" spans="1:15" ht="29.25">
      <c r="A23" s="1229" t="s">
        <v>149</v>
      </c>
      <c r="B23" s="666"/>
      <c r="C23" s="666"/>
      <c r="D23" s="599" t="s">
        <v>148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100</v>
      </c>
      <c r="O23" s="413"/>
    </row>
    <row r="24" spans="1:15" ht="29.25">
      <c r="A24" s="667" t="s">
        <v>150</v>
      </c>
      <c r="B24" s="668"/>
      <c r="C24" s="668"/>
      <c r="D24" s="587" t="s">
        <v>148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-720</v>
      </c>
      <c r="O24" s="413"/>
    </row>
    <row r="25" spans="1:15" s="481" customFormat="1" ht="27">
      <c r="A25" s="1456" t="s">
        <v>151</v>
      </c>
      <c r="B25" s="1457"/>
      <c r="C25" s="1458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-5042745</v>
      </c>
      <c r="I27" s="579"/>
      <c r="J27" s="629">
        <f>H27/DAY(B2)</f>
        <v>-162669.19354838709</v>
      </c>
      <c r="K27" s="404"/>
      <c r="L27" s="484"/>
      <c r="N27" s="479">
        <f>F27-'1'!E27</f>
        <v>-22545</v>
      </c>
      <c r="O27" s="413"/>
    </row>
    <row r="28" spans="1:15" s="481" customFormat="1" ht="27.75">
      <c r="A28" s="669" t="s">
        <v>154</v>
      </c>
      <c r="B28" s="670"/>
      <c r="C28" s="671"/>
      <c r="D28" s="696" t="s">
        <v>155</v>
      </c>
      <c r="E28" s="580">
        <f>G15</f>
        <v>868.41999999992549</v>
      </c>
      <c r="F28" s="577">
        <v>43.5</v>
      </c>
      <c r="G28" s="578">
        <f>E28*F28</f>
        <v>37776.269999996759</v>
      </c>
      <c r="H28" s="536">
        <f>G28+'30'!H28</f>
        <v>-1087397.9718000088</v>
      </c>
      <c r="I28" s="581"/>
      <c r="J28" s="629">
        <f>H28/DAY(B2)</f>
        <v>-35077.353929032543</v>
      </c>
      <c r="K28" s="404"/>
      <c r="L28" s="484"/>
      <c r="N28" s="479">
        <f>F28-'1'!E28</f>
        <v>-837.13199999998324</v>
      </c>
      <c r="O28" s="413"/>
    </row>
    <row r="29" spans="1:15" s="481" customFormat="1" ht="27.75">
      <c r="A29" s="669" t="s">
        <v>156</v>
      </c>
      <c r="B29" s="670"/>
      <c r="C29" s="671"/>
      <c r="D29" s="696" t="s">
        <v>157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0</v>
      </c>
      <c r="I29" s="581"/>
      <c r="J29" s="629">
        <f>H29/DAY(B2)</f>
        <v>0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158</v>
      </c>
      <c r="B30" s="670"/>
      <c r="C30" s="671"/>
      <c r="D30" s="696" t="s">
        <v>159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-172592</v>
      </c>
      <c r="I30" s="581"/>
      <c r="J30" s="629">
        <f>H30/DAY(B2)</f>
        <v>-5567.4838709677415</v>
      </c>
      <c r="K30" s="404"/>
      <c r="L30" s="484"/>
      <c r="N30" s="479">
        <f>F30-'1'!E30</f>
        <v>-46</v>
      </c>
      <c r="O30" s="413"/>
    </row>
    <row r="31" spans="1:15" s="481" customFormat="1" ht="27.75">
      <c r="A31" s="669" t="s">
        <v>160</v>
      </c>
      <c r="B31" s="670"/>
      <c r="C31" s="671"/>
      <c r="D31" s="696" t="s">
        <v>144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366240</v>
      </c>
      <c r="I31" s="581"/>
      <c r="J31" s="629"/>
      <c r="K31" s="404"/>
      <c r="L31" s="484"/>
      <c r="N31" s="479">
        <f>F31-'1'!E31</f>
        <v>32</v>
      </c>
      <c r="O31" s="413"/>
    </row>
    <row r="32" spans="1:15" s="481" customFormat="1" ht="27.75">
      <c r="A32" s="672" t="s">
        <v>161</v>
      </c>
      <c r="B32" s="673"/>
      <c r="C32" s="674"/>
      <c r="D32" s="583"/>
      <c r="E32" s="583"/>
      <c r="F32" s="583"/>
      <c r="G32" s="584">
        <f>G27+G28+G29+G30+G31</f>
        <v>222489.26999999676</v>
      </c>
      <c r="H32" s="536">
        <f>G32+'30'!H32</f>
        <v>-5936494.9718000088</v>
      </c>
      <c r="I32" s="585"/>
      <c r="J32" s="629">
        <f>H32/DAY(B2)</f>
        <v>-191499.83780000027</v>
      </c>
      <c r="K32" s="404"/>
      <c r="L32" s="484"/>
      <c r="N32" s="479">
        <f>F32-'1'!E32</f>
        <v>0</v>
      </c>
      <c r="O32" s="413"/>
    </row>
    <row r="33" spans="1:15" ht="25.5" customHeight="1">
      <c r="A33" s="1459" t="s">
        <v>162</v>
      </c>
      <c r="B33" s="1460"/>
      <c r="C33" s="1460"/>
      <c r="D33" s="1460"/>
      <c r="E33" s="1460"/>
      <c r="F33" s="1460"/>
      <c r="G33" s="1460"/>
      <c r="H33" s="1460"/>
      <c r="I33" s="1460"/>
      <c r="J33" s="1461"/>
      <c r="K33" s="467"/>
      <c r="L33" s="408"/>
      <c r="N33" s="479">
        <f>F33-'1'!E33</f>
        <v>0</v>
      </c>
      <c r="O33" s="413"/>
    </row>
    <row r="34" spans="1:15" ht="29.25">
      <c r="A34" s="675" t="s">
        <v>163</v>
      </c>
      <c r="B34" s="1234"/>
      <c r="C34" s="1234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164</v>
      </c>
      <c r="B35" s="656"/>
      <c r="C35" s="656"/>
      <c r="D35" s="599" t="s">
        <v>132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-64059.919999999925</v>
      </c>
      <c r="I35" s="531"/>
      <c r="J35" s="629">
        <f>H35/DAY(B2)</f>
        <v>-2066.4490322580623</v>
      </c>
      <c r="K35" s="467"/>
      <c r="L35" s="408"/>
      <c r="N35" s="479">
        <f>F35-'1'!E35</f>
        <v>-64059.919999999925</v>
      </c>
      <c r="O35" s="413"/>
    </row>
    <row r="36" spans="1:15" ht="29.25">
      <c r="A36" s="655" t="s">
        <v>165</v>
      </c>
      <c r="B36" s="656"/>
      <c r="C36" s="656"/>
      <c r="D36" s="599" t="s">
        <v>132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-19954.119999999995</v>
      </c>
      <c r="I36" s="531"/>
      <c r="J36" s="629">
        <f>H36/DAY(B2)</f>
        <v>-643.68129032258048</v>
      </c>
      <c r="K36" s="467"/>
      <c r="L36" s="408"/>
      <c r="N36" s="479">
        <f>F36-'1'!E36</f>
        <v>-19954.119999999995</v>
      </c>
      <c r="O36" s="705"/>
    </row>
    <row r="37" spans="1:15" ht="29.25">
      <c r="A37" s="655" t="s">
        <v>166</v>
      </c>
      <c r="B37" s="656"/>
      <c r="C37" s="656"/>
      <c r="D37" s="599" t="s">
        <v>132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418171.08</v>
      </c>
      <c r="I37" s="531"/>
      <c r="J37" s="629">
        <f>H37/DAY(B2)</f>
        <v>13489.389677419354</v>
      </c>
      <c r="K37" s="467"/>
      <c r="L37" s="408"/>
      <c r="N37" s="479">
        <f>F37-'1'!E37</f>
        <v>383003.9</v>
      </c>
      <c r="O37" s="706"/>
    </row>
    <row r="38" spans="1:15" ht="29.25">
      <c r="A38" s="655" t="s">
        <v>167</v>
      </c>
      <c r="B38" s="656"/>
      <c r="C38" s="656"/>
      <c r="D38" s="599" t="s">
        <v>132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106998.39000000001</v>
      </c>
      <c r="I38" s="531"/>
      <c r="J38" s="629">
        <f>H38/DAY(B2)</f>
        <v>3451.5609677419361</v>
      </c>
      <c r="K38" s="467"/>
      <c r="L38" s="408"/>
      <c r="N38" s="479">
        <f>F38-'1'!E38</f>
        <v>-43715.61</v>
      </c>
      <c r="O38" s="413"/>
    </row>
    <row r="39" spans="1:15" ht="29.25">
      <c r="A39" s="655" t="s">
        <v>168</v>
      </c>
      <c r="B39" s="656"/>
      <c r="C39" s="656"/>
      <c r="D39" s="599" t="s">
        <v>132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921872.89</v>
      </c>
      <c r="I39" s="531"/>
      <c r="J39" s="629">
        <f>H39/DAY(B2)</f>
        <v>29737.835161290324</v>
      </c>
      <c r="K39" s="467"/>
      <c r="L39" s="408"/>
      <c r="N39" s="479">
        <f>F39-'1'!E39</f>
        <v>821804.61</v>
      </c>
      <c r="O39" s="413"/>
    </row>
    <row r="40" spans="1:15" ht="29.25">
      <c r="A40" s="676" t="s">
        <v>169</v>
      </c>
      <c r="B40" s="677"/>
      <c r="C40" s="677"/>
      <c r="D40" s="599" t="s">
        <v>132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-0.06</v>
      </c>
      <c r="I40" s="531"/>
      <c r="J40" s="629">
        <f>H40/DAY(B2)</f>
        <v>-1.9354838709677419E-3</v>
      </c>
      <c r="K40" s="468"/>
      <c r="L40" s="408"/>
      <c r="N40" s="479">
        <f>F40-'1'!E40</f>
        <v>0</v>
      </c>
      <c r="O40" s="413"/>
    </row>
    <row r="41" spans="1:15" ht="29.25">
      <c r="A41" s="655" t="s">
        <v>170</v>
      </c>
      <c r="B41" s="656"/>
      <c r="C41" s="656"/>
      <c r="D41" s="599" t="s">
        <v>132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-19259.850000000006</v>
      </c>
      <c r="I41" s="531"/>
      <c r="J41" s="629">
        <f>H41/DAY(B2)</f>
        <v>-621.28548387096794</v>
      </c>
      <c r="K41" s="467"/>
      <c r="L41" s="408"/>
      <c r="N41" s="479">
        <f>H41-'1'!E41</f>
        <v>-83142.22</v>
      </c>
      <c r="O41" s="413"/>
    </row>
    <row r="42" spans="1:15" ht="29.25">
      <c r="A42" s="655" t="s">
        <v>171</v>
      </c>
      <c r="B42" s="656"/>
      <c r="C42" s="656"/>
      <c r="D42" s="599" t="s">
        <v>132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-202.84999999999854</v>
      </c>
      <c r="I42" s="531"/>
      <c r="J42" s="629">
        <f>H42/DAY(B2)</f>
        <v>-6.5435483870967275</v>
      </c>
      <c r="K42" s="467"/>
      <c r="L42" s="408"/>
      <c r="N42" s="479">
        <f>H42-'1'!E42</f>
        <v>-59331.7</v>
      </c>
      <c r="O42" s="413"/>
    </row>
    <row r="43" spans="1:15" ht="29.25">
      <c r="A43" s="655" t="s">
        <v>172</v>
      </c>
      <c r="B43" s="656"/>
      <c r="C43" s="656"/>
      <c r="D43" s="599" t="s">
        <v>132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-58085.919999999925</v>
      </c>
      <c r="I43" s="531"/>
      <c r="J43" s="629">
        <f>H43/DAY(B2)</f>
        <v>-1873.7393548387072</v>
      </c>
      <c r="K43" s="467"/>
      <c r="L43" s="408"/>
      <c r="N43" s="479">
        <f>H43-'1'!E43</f>
        <v>-883983.74999999988</v>
      </c>
      <c r="O43" s="413"/>
    </row>
    <row r="44" spans="1:15" ht="29.25">
      <c r="A44" s="655" t="s">
        <v>173</v>
      </c>
      <c r="B44" s="656"/>
      <c r="C44" s="656"/>
      <c r="D44" s="599" t="s">
        <v>132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174</v>
      </c>
      <c r="B45" s="656"/>
      <c r="C45" s="656"/>
      <c r="D45" s="599" t="s">
        <v>132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0.48000000000001819</v>
      </c>
      <c r="I45" s="531"/>
      <c r="J45" s="629">
        <f>H45/DAY(B2)</f>
        <v>1.5483870967742522E-2</v>
      </c>
      <c r="K45" s="467"/>
      <c r="L45" s="408"/>
      <c r="N45" s="479">
        <f>H45-'1'!E45</f>
        <v>-613.52</v>
      </c>
      <c r="O45" s="413"/>
    </row>
    <row r="46" spans="1:15" ht="29.25">
      <c r="A46" s="655" t="s">
        <v>175</v>
      </c>
      <c r="B46" s="656"/>
      <c r="C46" s="656"/>
      <c r="D46" s="599" t="s">
        <v>132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0.49000000000000909</v>
      </c>
      <c r="I46" s="531"/>
      <c r="J46" s="629">
        <f>H46/DAY(B2)</f>
        <v>1.5806451612903519E-2</v>
      </c>
      <c r="K46" s="467"/>
      <c r="L46" s="408"/>
      <c r="N46" s="479">
        <f>H46-'1'!E46</f>
        <v>-186.51</v>
      </c>
      <c r="O46" s="413"/>
    </row>
    <row r="47" spans="1:15" ht="29.2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1285480.6099999999</v>
      </c>
      <c r="I47" s="531"/>
      <c r="J47" s="629">
        <f>H47/DAY(B2)</f>
        <v>41467.116451612899</v>
      </c>
      <c r="K47" s="467"/>
      <c r="L47" s="408"/>
      <c r="N47" s="479">
        <f>H47-'1'!E47</f>
        <v>1285480.6099999999</v>
      </c>
      <c r="O47" s="413"/>
    </row>
    <row r="48" spans="1:15" ht="29.25">
      <c r="A48" s="675" t="s">
        <v>177</v>
      </c>
      <c r="B48" s="1234"/>
      <c r="C48" s="1234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164</v>
      </c>
      <c r="B49" s="678"/>
      <c r="C49" s="678"/>
      <c r="D49" s="599" t="s">
        <v>132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-14833.080000000016</v>
      </c>
      <c r="I49" s="531"/>
      <c r="J49" s="629">
        <f>H49/DAY(B2)</f>
        <v>-478.48645161290375</v>
      </c>
      <c r="K49" s="467"/>
      <c r="L49" s="408"/>
      <c r="N49" s="479">
        <f>H49-'1'!E49</f>
        <v>-275565.21000000002</v>
      </c>
      <c r="O49" s="413"/>
    </row>
    <row r="50" spans="1:15" ht="29.25">
      <c r="A50" s="655" t="s">
        <v>178</v>
      </c>
      <c r="B50" s="678"/>
      <c r="C50" s="678"/>
      <c r="D50" s="599" t="s">
        <v>132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-35039.72000000003</v>
      </c>
      <c r="I50" s="531"/>
      <c r="J50" s="629">
        <f>H50/DAY(B2)</f>
        <v>-1130.3135483870979</v>
      </c>
      <c r="K50" s="467"/>
      <c r="L50" s="408"/>
      <c r="N50" s="479">
        <f>H50-'1'!E50</f>
        <v>-437502.75000000006</v>
      </c>
      <c r="O50" s="413"/>
    </row>
    <row r="51" spans="1:15" ht="29.25">
      <c r="A51" s="655" t="s">
        <v>166</v>
      </c>
      <c r="B51" s="678"/>
      <c r="C51" s="678"/>
      <c r="D51" s="599" t="s">
        <v>132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-11500.179999999993</v>
      </c>
      <c r="I51" s="531"/>
      <c r="J51" s="629">
        <f>H51/DAY(B2)</f>
        <v>-370.97354838709657</v>
      </c>
      <c r="K51" s="467"/>
      <c r="L51" s="408"/>
      <c r="N51" s="479">
        <f>H51-'1'!E51</f>
        <v>-131551.09999999998</v>
      </c>
      <c r="O51" s="413"/>
    </row>
    <row r="52" spans="1:15" ht="29.25">
      <c r="A52" s="655" t="s">
        <v>179</v>
      </c>
      <c r="B52" s="678"/>
      <c r="C52" s="678"/>
      <c r="D52" s="599" t="s">
        <v>132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-16150.040000000037</v>
      </c>
      <c r="I52" s="531"/>
      <c r="J52" s="629">
        <f>H52/DAY(B2)</f>
        <v>-520.96903225806568</v>
      </c>
      <c r="K52" s="467"/>
      <c r="L52" s="408"/>
      <c r="N52" s="479">
        <f>H52-'1'!E52</f>
        <v>-524062.75000000006</v>
      </c>
      <c r="O52" s="413"/>
    </row>
    <row r="53" spans="1:15" ht="29.25">
      <c r="A53" s="655" t="s">
        <v>168</v>
      </c>
      <c r="B53" s="678"/>
      <c r="C53" s="678"/>
      <c r="D53" s="599" t="s">
        <v>132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-31741.239999999991</v>
      </c>
      <c r="I53" s="531"/>
      <c r="J53" s="629">
        <f>H53/DAY(B2)</f>
        <v>-1023.9109677419352</v>
      </c>
      <c r="K53" s="467"/>
      <c r="L53" s="408"/>
      <c r="N53" s="479">
        <f>H53-'1'!E53</f>
        <v>-363595.75</v>
      </c>
      <c r="O53" s="413"/>
    </row>
    <row r="54" spans="1:15" ht="29.25">
      <c r="A54" s="655" t="s">
        <v>180</v>
      </c>
      <c r="B54" s="678"/>
      <c r="C54" s="678"/>
      <c r="D54" s="599" t="s">
        <v>132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-1778.9899999999998</v>
      </c>
      <c r="I54" s="531"/>
      <c r="J54" s="629">
        <f>H54/DAY(B2)</f>
        <v>-57.386774193548383</v>
      </c>
      <c r="K54" s="467"/>
      <c r="L54" s="408"/>
      <c r="N54" s="479">
        <f>H54-'1'!E54</f>
        <v>-9874.619999999999</v>
      </c>
      <c r="O54" s="413"/>
    </row>
    <row r="55" spans="1:15" ht="29.25">
      <c r="A55" s="655" t="s">
        <v>181</v>
      </c>
      <c r="B55" s="678"/>
      <c r="C55" s="678"/>
      <c r="D55" s="599" t="s">
        <v>132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-83464.11</v>
      </c>
      <c r="I55" s="531"/>
      <c r="J55" s="629">
        <f>H55/DAY(B2)</f>
        <v>-2692.3906451612902</v>
      </c>
      <c r="K55" s="467"/>
      <c r="L55" s="408"/>
      <c r="N55" s="479">
        <f>H55-'1'!E55</f>
        <v>-201049.8</v>
      </c>
      <c r="O55" s="413"/>
    </row>
    <row r="56" spans="1:15" ht="29.25">
      <c r="A56" s="655" t="s">
        <v>182</v>
      </c>
      <c r="B56" s="678"/>
      <c r="C56" s="678"/>
      <c r="D56" s="599" t="s">
        <v>183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-28319.119999999995</v>
      </c>
      <c r="I56" s="531"/>
      <c r="J56" s="629">
        <f>H56/DAY(B2)</f>
        <v>-913.51999999999987</v>
      </c>
      <c r="K56" s="466"/>
      <c r="L56" s="408"/>
      <c r="N56" s="479">
        <f>H56-'1'!E56</f>
        <v>-614370.15</v>
      </c>
      <c r="O56" s="413"/>
    </row>
    <row r="57" spans="1:15" ht="29.25">
      <c r="A57" s="655" t="s">
        <v>172</v>
      </c>
      <c r="B57" s="678"/>
      <c r="C57" s="678"/>
      <c r="D57" s="599" t="s">
        <v>132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-7711.33</v>
      </c>
      <c r="I57" s="531"/>
      <c r="J57" s="629">
        <f>H57/DAY(B2)</f>
        <v>-248.75258064516129</v>
      </c>
      <c r="K57" s="467"/>
      <c r="L57" s="408"/>
      <c r="N57" s="479">
        <f>H57-'1'!E57</f>
        <v>-15422.66</v>
      </c>
      <c r="O57" s="413"/>
    </row>
    <row r="58" spans="1:15" ht="29.25">
      <c r="A58" s="655" t="s">
        <v>184</v>
      </c>
      <c r="B58" s="678"/>
      <c r="C58" s="678"/>
      <c r="D58" s="599" t="s">
        <v>132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-5532.7899999999972</v>
      </c>
      <c r="I58" s="531"/>
      <c r="J58" s="629">
        <f>H58/DAY(B2)</f>
        <v>-178.47709677419346</v>
      </c>
      <c r="K58" s="467"/>
      <c r="L58" s="408"/>
      <c r="N58" s="479">
        <f>H58-'1'!E58</f>
        <v>-41401.489999999991</v>
      </c>
      <c r="O58" s="413"/>
    </row>
    <row r="59" spans="1:15" ht="29.2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-236070.60000000003</v>
      </c>
      <c r="I59" s="531">
        <f>G7-G60</f>
        <v>-92.840000000145665</v>
      </c>
      <c r="J59" s="629">
        <f>H59/DAY(B2)</f>
        <v>-7615.1806451612911</v>
      </c>
      <c r="K59" s="467"/>
      <c r="L59" s="408"/>
      <c r="N59" s="479">
        <f>H59-'1'!E59</f>
        <v>-236070.60000000003</v>
      </c>
      <c r="O59" s="413"/>
    </row>
    <row r="60" spans="1:15" ht="29.25">
      <c r="A60" s="655"/>
      <c r="B60" s="656"/>
      <c r="C60" s="656"/>
      <c r="D60" s="587" t="s">
        <v>185</v>
      </c>
      <c r="E60" s="587"/>
      <c r="F60" s="587"/>
      <c r="G60" s="557">
        <f>G47+G59</f>
        <v>18553.840000000146</v>
      </c>
      <c r="H60" s="536">
        <f>G60+'30'!H60</f>
        <v>1063579.0099999998</v>
      </c>
      <c r="I60" s="531">
        <f>G13-G60</f>
        <v>-719.84000000014566</v>
      </c>
      <c r="J60" s="629">
        <f>H60/DAY(B2)</f>
        <v>34309.000322580636</v>
      </c>
      <c r="K60" s="467"/>
      <c r="L60" s="408"/>
      <c r="N60" s="479">
        <f>H60-'1'!E60</f>
        <v>1063579.0099999998</v>
      </c>
      <c r="O60" s="413"/>
    </row>
    <row r="61" spans="1:15" ht="29.2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98</v>
      </c>
      <c r="B62" s="681"/>
      <c r="C62" s="681"/>
      <c r="D62" s="587" t="s">
        <v>187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1.9999999967694748E-3</v>
      </c>
      <c r="I62" s="591"/>
      <c r="J62" s="629">
        <f>H62/DAY(B2)</f>
        <v>6.4516128928047577E-5</v>
      </c>
      <c r="K62" s="467"/>
      <c r="L62" s="408"/>
      <c r="N62" s="479">
        <f>H62-'1'!E62</f>
        <v>-20419.185000000005</v>
      </c>
      <c r="O62" s="413"/>
    </row>
    <row r="63" spans="1:15" ht="29.25">
      <c r="A63" s="680" t="s">
        <v>188</v>
      </c>
      <c r="B63" s="681"/>
      <c r="C63" s="681"/>
      <c r="D63" s="587" t="s">
        <v>187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-374.82999999999993</v>
      </c>
      <c r="I63" s="591"/>
      <c r="J63" s="629">
        <f>H63/DAY(B2)</f>
        <v>-12.091290322580642</v>
      </c>
      <c r="K63" s="467"/>
      <c r="L63" s="408"/>
      <c r="N63" s="479">
        <f>H63-'1'!E63</f>
        <v>-2082.1899999999996</v>
      </c>
      <c r="O63" s="413"/>
    </row>
    <row r="64" spans="1:15" ht="27.75">
      <c r="A64" s="1430" t="s">
        <v>99</v>
      </c>
      <c r="B64" s="1431"/>
      <c r="C64" s="1432"/>
      <c r="D64" s="599" t="s">
        <v>187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-12343.839999999997</v>
      </c>
      <c r="I64" s="556"/>
      <c r="J64" s="629">
        <f>H64/DAY(B2)</f>
        <v>-398.18838709677408</v>
      </c>
      <c r="K64" s="467"/>
      <c r="L64" s="408"/>
      <c r="N64" s="479">
        <f>H64-'1'!E64</f>
        <v>-135971.14000000001</v>
      </c>
      <c r="O64" s="413"/>
    </row>
    <row r="65" spans="1:15" ht="27.75">
      <c r="A65" s="1430" t="s">
        <v>100</v>
      </c>
      <c r="B65" s="1431"/>
      <c r="C65" s="1432"/>
      <c r="D65" s="599" t="s">
        <v>187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-10864.189999999988</v>
      </c>
      <c r="I65" s="565"/>
      <c r="J65" s="629">
        <f>H65/DAY(B2)</f>
        <v>-350.45774193548345</v>
      </c>
      <c r="K65" s="467"/>
      <c r="L65" s="408"/>
      <c r="N65" s="479">
        <f>H65-'1'!E65</f>
        <v>-143461.49</v>
      </c>
      <c r="O65" s="413"/>
    </row>
    <row r="66" spans="1:15" ht="27.75">
      <c r="A66" s="1430" t="s">
        <v>101</v>
      </c>
      <c r="B66" s="1431"/>
      <c r="C66" s="1432"/>
      <c r="D66" s="599" t="s">
        <v>187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-11000.01</v>
      </c>
      <c r="I66" s="556"/>
      <c r="J66" s="629">
        <f>H66/DAY(B2)</f>
        <v>-354.83903225806455</v>
      </c>
      <c r="K66" s="467"/>
      <c r="L66" s="408"/>
      <c r="N66" s="479">
        <f>H66-'1'!E66</f>
        <v>-36159.760000000002</v>
      </c>
      <c r="O66" s="413"/>
    </row>
    <row r="67" spans="1:15" ht="27.75">
      <c r="A67" s="1430" t="s">
        <v>102</v>
      </c>
      <c r="B67" s="1431"/>
      <c r="C67" s="1432"/>
      <c r="D67" s="599" t="s">
        <v>187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-19167.299999999988</v>
      </c>
      <c r="I67" s="565"/>
      <c r="J67" s="629">
        <f>H67/DAY(B2)</f>
        <v>-618.29999999999961</v>
      </c>
      <c r="K67" s="468"/>
      <c r="L67" s="408"/>
      <c r="N67" s="479">
        <f>H67-'1'!E67</f>
        <v>-227009.12999999998</v>
      </c>
      <c r="O67" s="413"/>
    </row>
    <row r="68" spans="1:15" ht="27.75">
      <c r="A68" s="1430" t="s">
        <v>103</v>
      </c>
      <c r="B68" s="1431"/>
      <c r="C68" s="1432"/>
      <c r="D68" s="599" t="s">
        <v>187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-8378.6600000000035</v>
      </c>
      <c r="I68" s="592"/>
      <c r="J68" s="629">
        <f>H68/DAY(B2)</f>
        <v>-270.27935483870976</v>
      </c>
      <c r="K68" s="469"/>
      <c r="L68" s="408"/>
      <c r="N68" s="479">
        <f>H68-'1'!E68</f>
        <v>-81057.180000000008</v>
      </c>
      <c r="O68" s="413"/>
    </row>
    <row r="69" spans="1:15" ht="27.75">
      <c r="A69" s="1430" t="s">
        <v>104</v>
      </c>
      <c r="B69" s="1431"/>
      <c r="C69" s="1432"/>
      <c r="D69" s="599" t="s">
        <v>187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-8728.3799999999974</v>
      </c>
      <c r="I69" s="592"/>
      <c r="J69" s="629">
        <f>H69/DAY(B2)</f>
        <v>-281.56064516129021</v>
      </c>
      <c r="K69" s="470"/>
      <c r="L69" s="408"/>
      <c r="N69" s="479">
        <f>H69-'1'!E69</f>
        <v>-73180.47</v>
      </c>
      <c r="O69" s="413"/>
    </row>
    <row r="70" spans="1:15" ht="27.75">
      <c r="A70" s="1462" t="s">
        <v>189</v>
      </c>
      <c r="B70" s="1463"/>
      <c r="C70" s="1464"/>
      <c r="D70" s="599" t="s">
        <v>187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476" t="s">
        <v>190</v>
      </c>
      <c r="B71" s="1477"/>
      <c r="C71" s="1477"/>
      <c r="D71" s="1477"/>
      <c r="E71" s="1477"/>
      <c r="F71" s="1477"/>
      <c r="G71" s="1477"/>
      <c r="H71" s="1477"/>
      <c r="I71" s="1477"/>
      <c r="J71" s="1478"/>
      <c r="K71" s="469"/>
      <c r="L71" s="408"/>
      <c r="N71" s="479">
        <f>H71-'1'!E71</f>
        <v>0</v>
      </c>
      <c r="O71" s="413"/>
    </row>
    <row r="72" spans="1:15" ht="27.75">
      <c r="A72" s="1430" t="s">
        <v>191</v>
      </c>
      <c r="B72" s="1431"/>
      <c r="C72" s="1432"/>
      <c r="D72" s="599" t="s">
        <v>187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72</v>
      </c>
      <c r="I72" s="556"/>
      <c r="J72" s="629">
        <f>H72/DAY(B2)</f>
        <v>2.3225806451612905</v>
      </c>
      <c r="K72" s="470"/>
      <c r="L72" s="408"/>
      <c r="N72" s="479">
        <f>H72-'1'!E72</f>
        <v>-850520</v>
      </c>
      <c r="O72" s="413"/>
    </row>
    <row r="73" spans="1:15" ht="27.75">
      <c r="A73" s="1430" t="s">
        <v>192</v>
      </c>
      <c r="B73" s="1431"/>
      <c r="C73" s="1432"/>
      <c r="D73" s="599" t="s">
        <v>187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-1180</v>
      </c>
      <c r="I73" s="556"/>
      <c r="J73" s="629">
        <f>H73/DAY(B2)</f>
        <v>-38.064516129032256</v>
      </c>
      <c r="K73" s="469"/>
      <c r="L73" s="408"/>
      <c r="N73" s="479">
        <f>H73-'1'!E73</f>
        <v>-886952</v>
      </c>
      <c r="O73" s="413"/>
    </row>
    <row r="74" spans="1:15" ht="27.75">
      <c r="A74" s="1430" t="s">
        <v>193</v>
      </c>
      <c r="B74" s="1431"/>
      <c r="C74" s="1432"/>
      <c r="D74" s="599" t="s">
        <v>187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881782.83</v>
      </c>
      <c r="I74" s="556"/>
      <c r="J74" s="629">
        <f>H74/DAY(B2)</f>
        <v>28444.607419354837</v>
      </c>
      <c r="K74" s="470"/>
      <c r="L74" s="408"/>
      <c r="N74" s="479">
        <f>H74-'1'!E74</f>
        <v>881196.65999999992</v>
      </c>
      <c r="O74" s="413"/>
    </row>
    <row r="75" spans="1:15" ht="27.75">
      <c r="A75" s="1479" t="s">
        <v>194</v>
      </c>
      <c r="B75" s="1480"/>
      <c r="C75" s="1481"/>
      <c r="D75" s="599" t="s">
        <v>187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733999.78</v>
      </c>
      <c r="I75" s="556"/>
      <c r="J75" s="629">
        <f>H75/DAY(B2)</f>
        <v>23677.412258064516</v>
      </c>
      <c r="K75" s="469"/>
      <c r="L75" s="408"/>
      <c r="N75" s="479">
        <f>H75-'1'!E75</f>
        <v>730480.56</v>
      </c>
      <c r="O75" s="413"/>
    </row>
    <row r="76" spans="1:15" ht="27.75">
      <c r="A76" s="1479" t="s">
        <v>195</v>
      </c>
      <c r="B76" s="1480"/>
      <c r="C76" s="1481"/>
      <c r="D76" s="599" t="s">
        <v>187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683955.58000000007</v>
      </c>
      <c r="I76" s="581"/>
      <c r="J76" s="629">
        <f>H76/DAY(B2)</f>
        <v>22063.083225806455</v>
      </c>
      <c r="K76" s="469"/>
      <c r="L76" s="408"/>
      <c r="N76" s="479">
        <f>H76-'1'!E76</f>
        <v>682441.24000000011</v>
      </c>
      <c r="O76" s="413"/>
    </row>
    <row r="77" spans="1:15" ht="27.75">
      <c r="A77" s="1430" t="s">
        <v>196</v>
      </c>
      <c r="B77" s="1431"/>
      <c r="C77" s="1432"/>
      <c r="D77" s="599" t="s">
        <v>187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-1481</v>
      </c>
      <c r="I77" s="581"/>
      <c r="J77" s="629">
        <f>H77/DAY(B2)</f>
        <v>-47.774193548387096</v>
      </c>
      <c r="K77" s="469"/>
      <c r="L77" s="408"/>
      <c r="N77" s="479">
        <f>H77-'1'!E77</f>
        <v>-700069</v>
      </c>
      <c r="O77" s="413"/>
    </row>
    <row r="78" spans="1:15" ht="27.75">
      <c r="A78" s="1232" t="s">
        <v>197</v>
      </c>
      <c r="B78" s="1203"/>
      <c r="C78" s="1203"/>
      <c r="D78" s="599" t="s">
        <v>187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-10910</v>
      </c>
      <c r="I78" s="581"/>
      <c r="J78" s="629">
        <f>H78/DAY(B2)</f>
        <v>-351.93548387096774</v>
      </c>
      <c r="K78" s="469"/>
      <c r="L78" s="408"/>
      <c r="N78" s="479">
        <f>H78-'1'!E78</f>
        <v>-663773</v>
      </c>
      <c r="O78" s="413"/>
    </row>
    <row r="79" spans="1:15" ht="27.75">
      <c r="A79" s="1479" t="s">
        <v>92</v>
      </c>
      <c r="B79" s="1480"/>
      <c r="C79" s="1481"/>
      <c r="D79" s="600" t="s">
        <v>187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-8045</v>
      </c>
      <c r="I79" s="581"/>
      <c r="J79" s="629">
        <f>H79/DAY(B2)</f>
        <v>-259.51612903225805</v>
      </c>
      <c r="K79" s="469"/>
      <c r="L79" s="408"/>
      <c r="N79" s="479">
        <f>H79-'1'!E79</f>
        <v>-823154</v>
      </c>
      <c r="O79" s="413"/>
    </row>
    <row r="80" spans="1:15" ht="27.75">
      <c r="A80" s="1479" t="s">
        <v>198</v>
      </c>
      <c r="B80" s="1480"/>
      <c r="C80" s="1481"/>
      <c r="D80" s="600" t="s">
        <v>187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-6872.679999999993</v>
      </c>
      <c r="I80" s="581"/>
      <c r="J80" s="629">
        <f>H80/DAY(B2)</f>
        <v>-221.69935483870944</v>
      </c>
      <c r="K80" s="469"/>
      <c r="L80" s="408"/>
      <c r="N80" s="479">
        <f>H80-'1'!E80</f>
        <v>-501546.32</v>
      </c>
      <c r="O80" s="413"/>
    </row>
    <row r="81" spans="1:15" ht="27.75">
      <c r="A81" s="1479" t="s">
        <v>199</v>
      </c>
      <c r="B81" s="1480"/>
      <c r="C81" s="1481"/>
      <c r="D81" s="600" t="s">
        <v>187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-3168.8399999999674</v>
      </c>
      <c r="I81" s="581"/>
      <c r="J81" s="629">
        <f>H81/DAY(B2)</f>
        <v>-102.22064516128927</v>
      </c>
      <c r="K81" s="469"/>
      <c r="L81" s="408"/>
      <c r="N81" s="479">
        <f>H81-'1'!E81</f>
        <v>-629112.67999999993</v>
      </c>
      <c r="O81" s="413"/>
    </row>
    <row r="82" spans="1:15" ht="27.75">
      <c r="A82" s="1479" t="s">
        <v>93</v>
      </c>
      <c r="B82" s="1480"/>
      <c r="C82" s="1481"/>
      <c r="D82" s="561" t="s">
        <v>132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-762.47999999999593</v>
      </c>
      <c r="I82" s="562"/>
      <c r="J82" s="629">
        <f>H82/DAY(B2)</f>
        <v>-24.596129032257934</v>
      </c>
      <c r="K82" s="469"/>
      <c r="L82" s="408"/>
      <c r="N82" s="479">
        <f>H82-'1'!E82</f>
        <v>-106964.95999999999</v>
      </c>
      <c r="O82" s="413"/>
    </row>
    <row r="83" spans="1:15" ht="27.75">
      <c r="A83" s="1479" t="s">
        <v>200</v>
      </c>
      <c r="B83" s="1480"/>
      <c r="C83" s="1481"/>
      <c r="D83" s="697" t="s">
        <v>132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987144</v>
      </c>
      <c r="I83" s="557"/>
      <c r="J83" s="629">
        <f>H83/DAY(B2)</f>
        <v>31843.354838709678</v>
      </c>
      <c r="K83" s="468"/>
      <c r="L83" s="408"/>
      <c r="N83" s="479">
        <f>H83-'1'!E83</f>
        <v>-9305</v>
      </c>
      <c r="O83" s="413"/>
    </row>
    <row r="84" spans="1:15" ht="29.25">
      <c r="A84" s="1233" t="s">
        <v>201</v>
      </c>
      <c r="B84" s="648"/>
      <c r="C84" s="648"/>
      <c r="D84" s="554" t="s">
        <v>132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-14725</v>
      </c>
      <c r="I84" s="557"/>
      <c r="J84" s="629">
        <f>H84/DAY(B2)</f>
        <v>-475</v>
      </c>
      <c r="K84" s="411"/>
      <c r="L84" s="408"/>
      <c r="N84" s="479">
        <f>H84-'1'!E84</f>
        <v>-445523</v>
      </c>
      <c r="O84" s="413"/>
    </row>
    <row r="85" spans="1:15" s="410" customFormat="1" ht="29.2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3238217.9299999997</v>
      </c>
      <c r="I85" s="557"/>
      <c r="J85" s="629">
        <f>H85/DAY(B2)</f>
        <v>104458.6429032258</v>
      </c>
      <c r="K85" s="411"/>
      <c r="L85" s="409"/>
      <c r="N85" s="479">
        <f>H85-'1'!E85</f>
        <v>3238217.9299999997</v>
      </c>
      <c r="O85" s="413"/>
    </row>
    <row r="86" spans="1:15" s="817" customFormat="1" ht="29.25">
      <c r="A86" s="812" t="s">
        <v>94</v>
      </c>
      <c r="B86" s="813"/>
      <c r="C86" s="813"/>
      <c r="D86" s="814" t="s">
        <v>183</v>
      </c>
      <c r="E86" s="531">
        <f>'30'!F86</f>
        <v>447033</v>
      </c>
      <c r="F86" s="728">
        <v>447106</v>
      </c>
      <c r="G86" s="787">
        <f t="shared" ref="G86:G90" si="7">F86-E86</f>
        <v>73</v>
      </c>
      <c r="H86" s="536">
        <f>G86+'30'!H86</f>
        <v>218</v>
      </c>
      <c r="I86" s="733"/>
      <c r="J86" s="789">
        <f>H86/DAY(B2)</f>
        <v>7.032258064516129</v>
      </c>
      <c r="K86" s="815"/>
      <c r="L86" s="816"/>
      <c r="N86" s="479">
        <f>H86-'1'!E86</f>
        <v>-450150.53</v>
      </c>
      <c r="O86" s="795"/>
    </row>
    <row r="87" spans="1:15" s="817" customFormat="1" ht="29.25">
      <c r="A87" s="812" t="s">
        <v>95</v>
      </c>
      <c r="B87" s="813"/>
      <c r="C87" s="813"/>
      <c r="D87" s="814" t="s">
        <v>183</v>
      </c>
      <c r="E87" s="531">
        <f>'30'!F87</f>
        <v>78432.5</v>
      </c>
      <c r="F87" s="728">
        <v>78446.3</v>
      </c>
      <c r="G87" s="787">
        <f t="shared" si="7"/>
        <v>13.80000000000291</v>
      </c>
      <c r="H87" s="536">
        <f>G87+'30'!H87</f>
        <v>35.30000000000291</v>
      </c>
      <c r="I87" s="733"/>
      <c r="J87" s="789">
        <f>H87/DAY(B2)</f>
        <v>1.1387096774194487</v>
      </c>
      <c r="K87" s="815"/>
      <c r="L87" s="816"/>
      <c r="N87" s="479">
        <f>H87-'1'!E87</f>
        <v>-79172.399999999994</v>
      </c>
      <c r="O87" s="795"/>
    </row>
    <row r="88" spans="1:15" s="817" customFormat="1" ht="29.25">
      <c r="A88" s="812" t="s">
        <v>96</v>
      </c>
      <c r="B88" s="813"/>
      <c r="C88" s="813"/>
      <c r="D88" s="814" t="s">
        <v>183</v>
      </c>
      <c r="E88" s="531">
        <f>'30'!F88</f>
        <v>146464</v>
      </c>
      <c r="F88" s="728">
        <v>146502</v>
      </c>
      <c r="G88" s="787">
        <f t="shared" si="7"/>
        <v>38</v>
      </c>
      <c r="H88" s="536">
        <f>G88+'30'!H88</f>
        <v>119.04999999998836</v>
      </c>
      <c r="I88" s="733"/>
      <c r="J88" s="789">
        <f>H88/DAY(B2)</f>
        <v>3.8403225806447856</v>
      </c>
      <c r="K88" s="815"/>
      <c r="L88" s="816"/>
      <c r="N88" s="479">
        <f>H88-'1'!E88</f>
        <v>-148145.56</v>
      </c>
      <c r="O88" s="795"/>
    </row>
    <row r="89" spans="1:15" s="817" customFormat="1" ht="29.25">
      <c r="A89" s="812" t="s">
        <v>204</v>
      </c>
      <c r="B89" s="813"/>
      <c r="C89" s="813"/>
      <c r="D89" s="814" t="s">
        <v>183</v>
      </c>
      <c r="E89" s="531">
        <f>'30'!F89</f>
        <v>59738</v>
      </c>
      <c r="F89" s="728">
        <v>59802</v>
      </c>
      <c r="G89" s="787">
        <f t="shared" si="7"/>
        <v>64</v>
      </c>
      <c r="H89" s="536">
        <f>G89+'30'!H89</f>
        <v>131.19999999999709</v>
      </c>
      <c r="I89" s="733"/>
      <c r="J89" s="789">
        <f>H89/DAY(B2)</f>
        <v>4.232258064516035</v>
      </c>
      <c r="K89" s="815"/>
      <c r="L89" s="816"/>
      <c r="N89" s="479">
        <f>H89-'1'!E89</f>
        <v>-61543.9</v>
      </c>
      <c r="O89" s="413"/>
    </row>
    <row r="90" spans="1:15" s="817" customFormat="1" ht="29.25">
      <c r="A90" s="812" t="s">
        <v>204</v>
      </c>
      <c r="B90" s="813"/>
      <c r="C90" s="813"/>
      <c r="D90" s="814" t="s">
        <v>183</v>
      </c>
      <c r="E90" s="531">
        <f>'30'!F90</f>
        <v>3064</v>
      </c>
      <c r="F90" s="728">
        <v>3065.9</v>
      </c>
      <c r="G90" s="787">
        <f t="shared" si="7"/>
        <v>1.9000000000000909</v>
      </c>
      <c r="H90" s="536">
        <f>G90+'30'!H90</f>
        <v>4</v>
      </c>
      <c r="I90" s="733"/>
      <c r="J90" s="789">
        <f>H90/DAY(B2)</f>
        <v>0.12903225806451613</v>
      </c>
      <c r="K90" s="815"/>
      <c r="L90" s="816"/>
      <c r="N90" s="479">
        <f>H90-'1'!E90</f>
        <v>-3158.9</v>
      </c>
      <c r="O90" s="413"/>
    </row>
    <row r="91" spans="1:15" s="410" customFormat="1" ht="29.25">
      <c r="A91" s="683" t="s">
        <v>205</v>
      </c>
      <c r="B91" s="1235"/>
      <c r="C91" s="1235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433" t="s">
        <v>206</v>
      </c>
      <c r="B92" s="1434"/>
      <c r="C92" s="1435"/>
      <c r="D92" s="599" t="s">
        <v>144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-3125</v>
      </c>
      <c r="I92" s="556"/>
      <c r="J92" s="629">
        <f>H92/DAY(B2)</f>
        <v>-100.80645161290323</v>
      </c>
      <c r="K92" s="468"/>
      <c r="L92" s="408"/>
      <c r="N92" s="479">
        <f>H92-'1'!E92</f>
        <v>-242820</v>
      </c>
      <c r="O92" s="413"/>
    </row>
    <row r="93" spans="1:15" ht="27.75">
      <c r="A93" s="1433" t="s">
        <v>207</v>
      </c>
      <c r="B93" s="1434"/>
      <c r="C93" s="1435"/>
      <c r="D93" s="599" t="s">
        <v>144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-4485</v>
      </c>
      <c r="I93" s="556"/>
      <c r="J93" s="629">
        <f>H93/DAY(B2)</f>
        <v>-144.67741935483872</v>
      </c>
      <c r="K93" s="411"/>
      <c r="L93" s="408"/>
      <c r="N93" s="479">
        <f>H93-'1'!E93</f>
        <v>-180146</v>
      </c>
      <c r="O93" s="413"/>
    </row>
    <row r="94" spans="1:15" ht="29.25">
      <c r="A94" s="1427" t="s">
        <v>208</v>
      </c>
      <c r="B94" s="1428"/>
      <c r="C94" s="1429"/>
      <c r="D94" s="599"/>
      <c r="E94" s="560"/>
      <c r="F94" s="560"/>
      <c r="G94" s="549">
        <f>G92+G93</f>
        <v>285</v>
      </c>
      <c r="H94" s="536">
        <f>G94+'30'!H94</f>
        <v>-7876</v>
      </c>
      <c r="I94" s="556"/>
      <c r="J94" s="629">
        <f>H94/DAY(B2)</f>
        <v>-254.06451612903226</v>
      </c>
      <c r="K94" s="411"/>
      <c r="L94" s="408"/>
      <c r="N94" s="479">
        <f>H94-'1'!E94</f>
        <v>-7876</v>
      </c>
      <c r="O94" s="413"/>
    </row>
    <row r="95" spans="1:15" ht="27.75">
      <c r="A95" s="1433" t="s">
        <v>209</v>
      </c>
      <c r="B95" s="1434"/>
      <c r="C95" s="1435"/>
      <c r="D95" s="599" t="s">
        <v>144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-2280</v>
      </c>
      <c r="I95" s="556"/>
      <c r="J95" s="629">
        <f>H95/DAY(B2)</f>
        <v>-73.548387096774192</v>
      </c>
      <c r="K95" s="411"/>
      <c r="L95" s="408"/>
      <c r="N95" s="479">
        <f>H95-'1'!E95</f>
        <v>-410436</v>
      </c>
      <c r="O95" s="413"/>
    </row>
    <row r="96" spans="1:15" ht="27.75">
      <c r="A96" s="1229" t="s">
        <v>210</v>
      </c>
      <c r="B96" s="1230"/>
      <c r="C96" s="1230"/>
      <c r="D96" s="599" t="s">
        <v>144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-798</v>
      </c>
      <c r="I96" s="556"/>
      <c r="J96" s="629">
        <f>H96/DAY(B2)</f>
        <v>-25.741935483870968</v>
      </c>
      <c r="K96" s="466"/>
      <c r="L96" s="408"/>
      <c r="N96" s="479">
        <f>H96-'1'!E96</f>
        <v>-102130</v>
      </c>
      <c r="O96" s="413"/>
    </row>
    <row r="97" spans="1:15" ht="27.75">
      <c r="A97" s="1229" t="s">
        <v>211</v>
      </c>
      <c r="B97" s="1230"/>
      <c r="C97" s="1230"/>
      <c r="D97" s="599" t="s">
        <v>144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-772</v>
      </c>
      <c r="I97" s="556"/>
      <c r="J97" s="629">
        <f>H97/DAY(B2)</f>
        <v>-24.903225806451612</v>
      </c>
      <c r="K97" s="471"/>
      <c r="L97" s="408"/>
      <c r="N97" s="479">
        <f>H97-'1'!E97</f>
        <v>-97221</v>
      </c>
      <c r="O97" s="413"/>
    </row>
    <row r="98" spans="1:15" ht="27.75">
      <c r="A98" s="1229" t="s">
        <v>212</v>
      </c>
      <c r="B98" s="1230"/>
      <c r="C98" s="1230"/>
      <c r="D98" s="599" t="s">
        <v>144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-2054</v>
      </c>
      <c r="I98" s="556"/>
      <c r="J98" s="629">
        <f>H98/DAY(B2)</f>
        <v>-66.258064516129039</v>
      </c>
      <c r="K98" s="411"/>
      <c r="L98" s="408"/>
      <c r="N98" s="479">
        <f>H98-'1'!E98</f>
        <v>-149662</v>
      </c>
      <c r="O98" s="413"/>
    </row>
    <row r="99" spans="1:15" ht="27.75">
      <c r="A99" s="1229" t="s">
        <v>213</v>
      </c>
      <c r="B99" s="1230"/>
      <c r="C99" s="1230"/>
      <c r="D99" s="599" t="s">
        <v>144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-434</v>
      </c>
      <c r="I99" s="556"/>
      <c r="J99" s="629">
        <f>H99/DAY(B2)</f>
        <v>-14</v>
      </c>
      <c r="K99" s="411"/>
      <c r="L99" s="408"/>
      <c r="N99" s="479">
        <f>H99-'1'!E99</f>
        <v>-6842</v>
      </c>
      <c r="O99" s="413"/>
    </row>
    <row r="100" spans="1:15" ht="27.75">
      <c r="A100" s="1229" t="s">
        <v>214</v>
      </c>
      <c r="B100" s="1230"/>
      <c r="C100" s="1230"/>
      <c r="D100" s="599" t="s">
        <v>144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-306</v>
      </c>
      <c r="I100" s="556"/>
      <c r="J100" s="629">
        <f>H100/DAY(B2)</f>
        <v>-9.870967741935484</v>
      </c>
      <c r="K100" s="411"/>
      <c r="L100" s="408"/>
      <c r="N100" s="479">
        <f>H100-'1'!E100</f>
        <v>-4849</v>
      </c>
      <c r="O100" s="413"/>
    </row>
    <row r="101" spans="1:15" ht="29.25">
      <c r="A101" s="1427" t="s">
        <v>216</v>
      </c>
      <c r="B101" s="1428"/>
      <c r="C101" s="1429"/>
      <c r="D101" s="600"/>
      <c r="E101" s="600"/>
      <c r="F101" s="600"/>
      <c r="G101" s="601">
        <f>SUM(G95:G100)</f>
        <v>222</v>
      </c>
      <c r="H101" s="536">
        <f>G101+'30'!H101</f>
        <v>-6644</v>
      </c>
      <c r="I101" s="602"/>
      <c r="J101" s="629">
        <f>H101/DAY(B2)</f>
        <v>-214.32258064516128</v>
      </c>
      <c r="K101" s="411"/>
      <c r="L101" s="408"/>
      <c r="N101" s="479">
        <f>H101-'1'!E101</f>
        <v>-6644</v>
      </c>
      <c r="O101" s="413"/>
    </row>
    <row r="102" spans="1:15" s="481" customFormat="1" ht="27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436" t="s">
        <v>218</v>
      </c>
      <c r="B103" s="1437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438" t="s">
        <v>219</v>
      </c>
      <c r="B104" s="1439"/>
      <c r="C104" s="1227"/>
      <c r="D104" s="699" t="s">
        <v>144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79.150000000000091</v>
      </c>
      <c r="I104" s="608"/>
      <c r="J104" s="635">
        <f>H104/DAY(B2)</f>
        <v>2.553225806451616</v>
      </c>
      <c r="N104" s="479">
        <f>H104-'1'!E104</f>
        <v>-7048.85</v>
      </c>
      <c r="O104" s="413"/>
    </row>
    <row r="105" spans="1:15" s="481" customFormat="1" ht="27.75">
      <c r="A105" s="1438" t="s">
        <v>77</v>
      </c>
      <c r="B105" s="1439"/>
      <c r="C105" s="1227"/>
      <c r="D105" s="699" t="s">
        <v>144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60</v>
      </c>
      <c r="I105" s="608"/>
      <c r="J105" s="635">
        <f>H105/DAY(B2)</f>
        <v>1.935483870967742</v>
      </c>
      <c r="N105" s="479">
        <f>H105-'1'!E105</f>
        <v>-35347</v>
      </c>
      <c r="O105" s="413"/>
    </row>
    <row r="106" spans="1:15" s="481" customFormat="1" ht="27.75">
      <c r="A106" s="1438" t="s">
        <v>78</v>
      </c>
      <c r="B106" s="1440"/>
      <c r="C106" s="1439"/>
      <c r="D106" s="699" t="s">
        <v>144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400</v>
      </c>
      <c r="I106" s="608"/>
      <c r="J106" s="635">
        <f>H106/DAY(B2)</f>
        <v>12.903225806451612</v>
      </c>
      <c r="N106" s="479">
        <f>H106-'1'!E106</f>
        <v>-18847</v>
      </c>
      <c r="O106" s="413"/>
    </row>
    <row r="107" spans="1:15" s="481" customFormat="1" ht="27.75">
      <c r="A107" s="1441" t="s">
        <v>202</v>
      </c>
      <c r="B107" s="1442"/>
      <c r="C107" s="1227"/>
      <c r="D107" s="699"/>
      <c r="E107" s="608"/>
      <c r="F107" s="608"/>
      <c r="G107" s="608">
        <f>SUM(G104:G106)</f>
        <v>17</v>
      </c>
      <c r="H107" s="536">
        <f>G107+'30'!H107</f>
        <v>217</v>
      </c>
      <c r="I107" s="608"/>
      <c r="J107" s="635">
        <f>H107/DAY(B2)</f>
        <v>7</v>
      </c>
      <c r="N107" s="479">
        <f>H107-'1'!E107</f>
        <v>217</v>
      </c>
      <c r="O107" s="413"/>
    </row>
    <row r="108" spans="1:15" s="481" customFormat="1" ht="27.75">
      <c r="A108" s="1443" t="s">
        <v>79</v>
      </c>
      <c r="B108" s="1444"/>
      <c r="C108" s="1227"/>
      <c r="D108" s="699" t="s">
        <v>144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438" t="s">
        <v>220</v>
      </c>
      <c r="B109" s="1439"/>
      <c r="C109" s="1227"/>
      <c r="D109" s="699" t="s">
        <v>144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241.56000000005588</v>
      </c>
      <c r="I109" s="608"/>
      <c r="J109" s="635">
        <f>H109/DAY(B2)</f>
        <v>7.7922580645179318</v>
      </c>
      <c r="N109" s="479">
        <f>H109-'1'!E109</f>
        <v>-56111.439999999944</v>
      </c>
      <c r="O109" s="413"/>
    </row>
    <row r="110" spans="1:15" s="481" customFormat="1" ht="27.75">
      <c r="A110" s="1438" t="s">
        <v>221</v>
      </c>
      <c r="B110" s="1439"/>
      <c r="C110" s="1227"/>
      <c r="D110" s="699" t="s">
        <v>144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176.16999999999825</v>
      </c>
      <c r="I110" s="608"/>
      <c r="J110" s="635">
        <f>H110/DAY(B2)</f>
        <v>5.6829032258063954</v>
      </c>
      <c r="N110" s="479">
        <f>H110-'1'!E110</f>
        <v>-30350.83</v>
      </c>
      <c r="O110" s="413"/>
    </row>
    <row r="111" spans="1:15" s="481" customFormat="1" ht="27.75">
      <c r="A111" s="1438" t="s">
        <v>222</v>
      </c>
      <c r="B111" s="1439"/>
      <c r="C111" s="1227"/>
      <c r="D111" s="699" t="s">
        <v>144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548</v>
      </c>
      <c r="I111" s="608"/>
      <c r="J111" s="635">
        <f>H111/DAY(B2)</f>
        <v>17.677419354838708</v>
      </c>
      <c r="N111" s="479">
        <f>H111-'1'!E111</f>
        <v>-3432</v>
      </c>
      <c r="O111" s="413"/>
    </row>
    <row r="112" spans="1:15" s="481" customFormat="1" ht="27.75">
      <c r="A112" s="1470" t="s">
        <v>110</v>
      </c>
      <c r="B112" s="1471"/>
      <c r="C112" s="1227"/>
      <c r="D112" s="699"/>
      <c r="E112" s="608"/>
      <c r="F112" s="608"/>
      <c r="G112" s="608">
        <f>SUM(G109:G111)</f>
        <v>133</v>
      </c>
      <c r="H112" s="536">
        <f>G112+'30'!H112</f>
        <v>1005</v>
      </c>
      <c r="I112" s="608"/>
      <c r="J112" s="635">
        <f>H112/DAY(B2)</f>
        <v>32.41935483870968</v>
      </c>
      <c r="N112" s="479">
        <f>H112-'1'!E112</f>
        <v>1005</v>
      </c>
      <c r="O112" s="413"/>
    </row>
    <row r="113" spans="1:15" s="481" customFormat="1" ht="27.75">
      <c r="A113" s="1443" t="s">
        <v>223</v>
      </c>
      <c r="B113" s="1444"/>
      <c r="C113" s="1227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438" t="s">
        <v>224</v>
      </c>
      <c r="B114" s="1439"/>
      <c r="C114" s="651"/>
      <c r="D114" s="699" t="s">
        <v>144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-10289</v>
      </c>
      <c r="O114" s="413"/>
    </row>
    <row r="115" spans="1:15" s="481" customFormat="1" ht="27.75">
      <c r="A115" s="1438" t="s">
        <v>225</v>
      </c>
      <c r="B115" s="1439"/>
      <c r="C115" s="651"/>
      <c r="D115" s="699" t="s">
        <v>144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134</v>
      </c>
      <c r="I115" s="608"/>
      <c r="J115" s="635">
        <f>H115/DAY(B2)</f>
        <v>4.32258064516129</v>
      </c>
      <c r="N115" s="479">
        <f>H115-'1'!E115</f>
        <v>-7533</v>
      </c>
      <c r="O115" s="413"/>
    </row>
    <row r="116" spans="1:15" s="481" customFormat="1" ht="27.75">
      <c r="A116" s="1438" t="s">
        <v>226</v>
      </c>
      <c r="B116" s="1439"/>
      <c r="C116" s="651"/>
      <c r="D116" s="699" t="s">
        <v>144</v>
      </c>
      <c r="E116" s="610"/>
      <c r="F116" s="610"/>
      <c r="G116" s="610">
        <f t="shared" si="12"/>
        <v>0</v>
      </c>
      <c r="H116" s="536">
        <f>G116+'30'!H116</f>
        <v>144</v>
      </c>
      <c r="I116" s="608"/>
      <c r="J116" s="635">
        <f>H116/DAY(B2)</f>
        <v>4.645161290322581</v>
      </c>
      <c r="N116" s="479">
        <f>H116-'1'!E116</f>
        <v>144</v>
      </c>
      <c r="O116" s="413"/>
    </row>
    <row r="117" spans="1:15" s="494" customFormat="1" ht="27.75">
      <c r="A117" s="1441" t="s">
        <v>202</v>
      </c>
      <c r="B117" s="1442"/>
      <c r="C117" s="651"/>
      <c r="D117" s="700"/>
      <c r="E117" s="610"/>
      <c r="F117" s="610"/>
      <c r="G117" s="610">
        <f>SUM(G114:G116)</f>
        <v>26</v>
      </c>
      <c r="H117" s="536">
        <f>G117+'30'!H117</f>
        <v>121</v>
      </c>
      <c r="I117" s="610"/>
      <c r="J117" s="635">
        <f>H117/DAY(B2)</f>
        <v>3.903225806451613</v>
      </c>
      <c r="N117" s="479">
        <f>H117-'1'!E117</f>
        <v>121</v>
      </c>
      <c r="O117" s="413"/>
    </row>
    <row r="118" spans="1:15" s="495" customFormat="1" ht="27.75">
      <c r="A118" s="1472" t="s">
        <v>227</v>
      </c>
      <c r="B118" s="1473"/>
      <c r="C118" s="1226"/>
      <c r="D118" s="701" t="s">
        <v>144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283</v>
      </c>
      <c r="I118" s="611"/>
      <c r="J118" s="636">
        <f>H118/DAY(B2)</f>
        <v>9.129032258064516</v>
      </c>
      <c r="N118" s="479">
        <f>H118-'1'!E118</f>
        <v>-374050</v>
      </c>
      <c r="O118" s="413"/>
    </row>
    <row r="119" spans="1:15" s="495" customFormat="1" ht="27.75">
      <c r="A119" s="1472" t="s">
        <v>228</v>
      </c>
      <c r="B119" s="1473"/>
      <c r="C119" s="1226"/>
      <c r="D119" s="701" t="s">
        <v>144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349</v>
      </c>
      <c r="I119" s="611"/>
      <c r="J119" s="636">
        <f>H119/DAY(B2)</f>
        <v>11.258064516129032</v>
      </c>
      <c r="N119" s="479">
        <f>H119-'1'!E119</f>
        <v>-616683</v>
      </c>
      <c r="O119" s="413"/>
    </row>
    <row r="120" spans="1:15" s="495" customFormat="1" ht="27.75">
      <c r="A120" s="1472" t="s">
        <v>229</v>
      </c>
      <c r="B120" s="1473"/>
      <c r="C120" s="1226"/>
      <c r="D120" s="701" t="s">
        <v>144</v>
      </c>
      <c r="E120" s="610"/>
      <c r="F120" s="610">
        <f>SUM(G112)</f>
        <v>133</v>
      </c>
      <c r="G120" s="610">
        <f>SUM(G112)</f>
        <v>133</v>
      </c>
      <c r="H120" s="536">
        <f>G120+'30'!H120</f>
        <v>329</v>
      </c>
      <c r="I120" s="611"/>
      <c r="J120" s="636">
        <f>H120/DAY(B2)</f>
        <v>10.612903225806452</v>
      </c>
      <c r="N120" s="479">
        <f>H120-'1'!E120</f>
        <v>329</v>
      </c>
      <c r="O120" s="413"/>
    </row>
    <row r="121" spans="1:15" s="481" customFormat="1" ht="27.75">
      <c r="A121" s="1474"/>
      <c r="B121" s="1475"/>
      <c r="C121" s="1227"/>
      <c r="D121" s="637"/>
      <c r="E121" s="637" t="s">
        <v>215</v>
      </c>
      <c r="F121" s="637" t="s">
        <v>215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424" t="s">
        <v>230</v>
      </c>
      <c r="B122" s="1425"/>
      <c r="C122" s="1426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29" t="s">
        <v>231</v>
      </c>
      <c r="B123" s="1230"/>
      <c r="C123" s="1230"/>
      <c r="D123" s="599" t="s">
        <v>141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-7671.4399999999441</v>
      </c>
      <c r="I123" s="602"/>
      <c r="J123" s="629">
        <f>H123/DAY(B2)</f>
        <v>-247.46580645161109</v>
      </c>
      <c r="K123" s="411"/>
      <c r="L123" s="408"/>
      <c r="N123" s="479">
        <f>H123-'1'!E123</f>
        <v>-818678.27999999991</v>
      </c>
      <c r="O123" s="413"/>
    </row>
    <row r="124" spans="1:15" ht="27.75">
      <c r="A124" s="1229" t="s">
        <v>232</v>
      </c>
      <c r="B124" s="1230"/>
      <c r="C124" s="1230"/>
      <c r="D124" s="599" t="s">
        <v>141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-1.3999999999941792</v>
      </c>
      <c r="I124" s="602"/>
      <c r="J124" s="629">
        <f>H124/DAY(B2)</f>
        <v>-4.5161290322392876E-2</v>
      </c>
      <c r="K124" s="411"/>
      <c r="L124" s="408"/>
      <c r="N124" s="479">
        <f>H124-'1'!E124</f>
        <v>-73584.799999999988</v>
      </c>
      <c r="O124" s="413"/>
    </row>
    <row r="125" spans="1:15" ht="27.75">
      <c r="A125" s="1430" t="s">
        <v>233</v>
      </c>
      <c r="B125" s="1431"/>
      <c r="C125" s="1432"/>
      <c r="D125" s="599" t="s">
        <v>141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-2131.3399999999965</v>
      </c>
      <c r="I125" s="602"/>
      <c r="J125" s="629">
        <f>H125/DAY(B2)</f>
        <v>-68.752903225806335</v>
      </c>
      <c r="K125" s="411"/>
      <c r="L125" s="408"/>
      <c r="N125" s="479">
        <f>H125-'1'!E125</f>
        <v>-142110.68</v>
      </c>
      <c r="O125" s="413"/>
    </row>
    <row r="126" spans="1:15" ht="27.75">
      <c r="A126" s="686" t="s">
        <v>234</v>
      </c>
      <c r="B126" s="1230"/>
      <c r="C126" s="1230"/>
      <c r="D126" s="599" t="s">
        <v>141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-915.20000000000437</v>
      </c>
      <c r="I126" s="602"/>
      <c r="J126" s="629">
        <f>H126/DAY(B2)</f>
        <v>-29.52258064516143</v>
      </c>
      <c r="K126" s="411"/>
      <c r="L126" s="408"/>
      <c r="N126" s="479">
        <f>H126-'1'!E126</f>
        <v>-60222.100000000006</v>
      </c>
      <c r="O126" s="413"/>
    </row>
    <row r="127" spans="1:15" ht="27.75">
      <c r="A127" s="686" t="s">
        <v>235</v>
      </c>
      <c r="B127" s="1230"/>
      <c r="C127" s="1230"/>
      <c r="D127" s="599" t="s">
        <v>141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-71.799999999999272</v>
      </c>
      <c r="I127" s="556"/>
      <c r="J127" s="629">
        <f>H127/DAY(B2)</f>
        <v>-2.3161290322580412</v>
      </c>
      <c r="K127" s="411"/>
      <c r="L127" s="408"/>
      <c r="N127" s="479">
        <f>H127-'1'!E127</f>
        <v>-8959.5999999999985</v>
      </c>
      <c r="O127" s="413"/>
    </row>
    <row r="128" spans="1:15" s="281" customFormat="1" ht="27.75">
      <c r="A128" s="686" t="s">
        <v>236</v>
      </c>
      <c r="B128" s="1230"/>
      <c r="C128" s="1230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29" t="s">
        <v>238</v>
      </c>
      <c r="B130" s="1230"/>
      <c r="C130" s="1230"/>
      <c r="D130" s="599" t="s">
        <v>239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29" t="s">
        <v>240</v>
      </c>
      <c r="B131" s="1230"/>
      <c r="C131" s="1230"/>
      <c r="D131" s="599" t="s">
        <v>239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29" t="s">
        <v>241</v>
      </c>
      <c r="B132" s="1230"/>
      <c r="C132" s="1230"/>
      <c r="D132" s="599" t="s">
        <v>239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661.48999999999796</v>
      </c>
      <c r="I132" s="556"/>
      <c r="J132" s="629">
        <f>H132/DAY(B2)</f>
        <v>21.338387096774127</v>
      </c>
      <c r="O132" s="413"/>
    </row>
    <row r="133" spans="1:15" ht="27.75">
      <c r="A133" s="1229" t="s">
        <v>242</v>
      </c>
      <c r="B133" s="1230"/>
      <c r="C133" s="1230"/>
      <c r="D133" s="599" t="s">
        <v>239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-1</v>
      </c>
      <c r="I133" s="556">
        <f>G130+G131+G132+G133</f>
        <v>24.029999999998836</v>
      </c>
      <c r="J133" s="629">
        <f>H133/DAY(B2)</f>
        <v>-3.2258064516129031E-2</v>
      </c>
      <c r="O133" s="413"/>
    </row>
    <row r="134" spans="1:15" ht="27.75">
      <c r="A134" s="1229" t="s">
        <v>243</v>
      </c>
      <c r="B134" s="1230"/>
      <c r="C134" s="1230"/>
      <c r="D134" s="599" t="s">
        <v>239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-285.5199999999968</v>
      </c>
      <c r="I134" s="556"/>
      <c r="J134" s="629">
        <f>H134/DAY(B2)</f>
        <v>-9.2103225806450588</v>
      </c>
      <c r="O134" s="413"/>
    </row>
    <row r="135" spans="1:15" ht="27.75">
      <c r="A135" s="1229" t="s">
        <v>244</v>
      </c>
      <c r="B135" s="1230"/>
      <c r="C135" s="1230"/>
      <c r="D135" s="599" t="s">
        <v>239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-118.47999999999956</v>
      </c>
      <c r="I135" s="556"/>
      <c r="J135" s="629">
        <f>H135/DAY(B2)</f>
        <v>-3.8219354838709538</v>
      </c>
      <c r="O135" s="413"/>
    </row>
    <row r="136" spans="1:15" ht="27.75">
      <c r="A136" s="1229" t="s">
        <v>245</v>
      </c>
      <c r="B136" s="1230"/>
      <c r="C136" s="1230"/>
      <c r="D136" s="599" t="s">
        <v>239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-220.25</v>
      </c>
      <c r="I136" s="556">
        <f>G134+G135+G136</f>
        <v>9.4799999999995634</v>
      </c>
      <c r="J136" s="629">
        <f>H136/DAY(B2)</f>
        <v>-7.104838709677419</v>
      </c>
      <c r="O136" s="413"/>
    </row>
    <row r="137" spans="1:15" ht="27.75">
      <c r="A137" s="1229" t="s">
        <v>246</v>
      </c>
      <c r="B137" s="1230"/>
      <c r="C137" s="1230"/>
      <c r="D137" s="599" t="s">
        <v>239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-8.6200000000026193</v>
      </c>
      <c r="I137" s="556"/>
      <c r="J137" s="629">
        <f>H137/DAY(B2)</f>
        <v>-0.27806451612911676</v>
      </c>
      <c r="O137" s="413"/>
    </row>
    <row r="138" spans="1:15" ht="27.75">
      <c r="A138" s="1229" t="s">
        <v>247</v>
      </c>
      <c r="B138" s="1230"/>
      <c r="C138" s="1230"/>
      <c r="D138" s="599" t="s">
        <v>239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-51.960000000006403</v>
      </c>
      <c r="I138" s="556">
        <f>G137+G138</f>
        <v>0</v>
      </c>
      <c r="J138" s="629">
        <f>H138/DAY(B2)</f>
        <v>-1.6761290322582711</v>
      </c>
      <c r="O138" s="413"/>
    </row>
    <row r="139" spans="1:15" ht="27.75">
      <c r="A139" s="1229" t="s">
        <v>248</v>
      </c>
      <c r="B139" s="1230"/>
      <c r="C139" s="1230"/>
      <c r="D139" s="599" t="s">
        <v>239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-222.55000000000018</v>
      </c>
      <c r="I139" s="619"/>
      <c r="J139" s="629">
        <f>H139/DAY(B2)</f>
        <v>-7.1790322580645221</v>
      </c>
      <c r="O139" s="413"/>
    </row>
    <row r="140" spans="1:15" ht="27.75">
      <c r="A140" s="1229" t="s">
        <v>249</v>
      </c>
      <c r="B140" s="1230"/>
      <c r="C140" s="1230"/>
      <c r="D140" s="599" t="s">
        <v>239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0</v>
      </c>
      <c r="I140" s="619"/>
      <c r="J140" s="629">
        <f>H140/DAY(B2)</f>
        <v>0</v>
      </c>
      <c r="O140" s="413"/>
    </row>
    <row r="141" spans="1:15" ht="29.25">
      <c r="A141" s="1468" t="s">
        <v>250</v>
      </c>
      <c r="B141" s="1469"/>
      <c r="C141" s="1235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33" t="s">
        <v>251</v>
      </c>
      <c r="B142" s="1434"/>
      <c r="C142" s="1435"/>
      <c r="D142" s="599" t="s">
        <v>132</v>
      </c>
      <c r="E142" s="599"/>
      <c r="F142" s="599"/>
      <c r="G142" s="536">
        <f>G35+G43+G49+G57</f>
        <v>5255.5700000000652</v>
      </c>
      <c r="H142" s="536">
        <f>G142+'30'!H142</f>
        <v>-146387.68999999983</v>
      </c>
      <c r="I142" s="556"/>
      <c r="J142" s="629">
        <f>H142/DAY(B2)</f>
        <v>-4722.1835483870909</v>
      </c>
      <c r="K142" s="411"/>
      <c r="L142" s="408"/>
      <c r="O142" s="413"/>
    </row>
    <row r="143" spans="1:15" ht="27.75">
      <c r="A143" s="1433" t="s">
        <v>252</v>
      </c>
      <c r="B143" s="1434"/>
      <c r="C143" s="1435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7.9402323844255349</v>
      </c>
      <c r="I143" s="621"/>
      <c r="J143" s="629">
        <f>H143/DAY(B2)</f>
        <v>0.25613652852985597</v>
      </c>
      <c r="K143" s="411"/>
      <c r="L143" s="408"/>
      <c r="O143" s="413"/>
    </row>
    <row r="144" spans="1:15" ht="27.75">
      <c r="A144" s="1433" t="s">
        <v>253</v>
      </c>
      <c r="B144" s="1434"/>
      <c r="C144" s="1435"/>
      <c r="D144" s="599" t="s">
        <v>132</v>
      </c>
      <c r="E144" s="531"/>
      <c r="F144" s="531"/>
      <c r="G144" s="536">
        <f>G41+G42+G55+G56</f>
        <v>3635.0600000000341</v>
      </c>
      <c r="H144" s="536">
        <f>G144+'30'!H144</f>
        <v>-126246.93</v>
      </c>
      <c r="I144" s="556"/>
      <c r="J144" s="629">
        <f>H144/DAY(B2)</f>
        <v>-4072.4816129032256</v>
      </c>
      <c r="K144" s="411"/>
      <c r="L144" s="408"/>
      <c r="O144" s="413"/>
    </row>
    <row r="145" spans="1:15" ht="27.75">
      <c r="A145" s="1433" t="s">
        <v>254</v>
      </c>
      <c r="B145" s="1434"/>
      <c r="C145" s="1435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7.3391358975205305</v>
      </c>
      <c r="I145" s="621"/>
      <c r="J145" s="629">
        <f>H145/DAY(B2)</f>
        <v>0.23674631927485582</v>
      </c>
      <c r="K145" s="411"/>
      <c r="L145" s="408"/>
      <c r="O145" s="413"/>
    </row>
    <row r="146" spans="1:15" ht="27.75">
      <c r="A146" s="1433" t="s">
        <v>255</v>
      </c>
      <c r="B146" s="1434"/>
      <c r="C146" s="1435"/>
      <c r="D146" s="599" t="s">
        <v>132</v>
      </c>
      <c r="E146" s="531"/>
      <c r="F146" s="531"/>
      <c r="G146" s="536">
        <f>G39+G53</f>
        <v>4206.2700000000186</v>
      </c>
      <c r="H146" s="536">
        <f>G146+'30'!H146</f>
        <v>894316.65</v>
      </c>
      <c r="I146" s="622"/>
      <c r="J146" s="629">
        <f>H146/DAY(B2)</f>
        <v>28848.924193548388</v>
      </c>
      <c r="K146" s="411"/>
      <c r="L146" s="408"/>
      <c r="O146" s="413"/>
    </row>
    <row r="147" spans="1:15" ht="27.75">
      <c r="A147" s="1433" t="s">
        <v>256</v>
      </c>
      <c r="B147" s="1434"/>
      <c r="C147" s="1435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9.67360202967172</v>
      </c>
      <c r="I147" s="622"/>
      <c r="J147" s="629">
        <f>H147/DAY(B2)</f>
        <v>0.3120516783765071</v>
      </c>
      <c r="O147" s="413"/>
    </row>
    <row r="148" spans="1:15" ht="27.75">
      <c r="A148" s="1433" t="s">
        <v>257</v>
      </c>
      <c r="B148" s="1434"/>
      <c r="C148" s="1435"/>
      <c r="D148" s="599" t="s">
        <v>183</v>
      </c>
      <c r="E148" s="531"/>
      <c r="F148" s="531"/>
      <c r="G148" s="536">
        <f>G38+G52</f>
        <v>2107.6400000000094</v>
      </c>
      <c r="H148" s="536">
        <f>G148+'30'!H148</f>
        <v>92894.349999999977</v>
      </c>
      <c r="I148" s="556"/>
      <c r="J148" s="629">
        <f>H148/DAY(B2)</f>
        <v>2996.5919354838702</v>
      </c>
      <c r="K148" s="412"/>
      <c r="O148" s="413"/>
    </row>
    <row r="149" spans="1:15" ht="27.75">
      <c r="A149" s="1433" t="s">
        <v>258</v>
      </c>
      <c r="B149" s="1434"/>
      <c r="C149" s="1435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2.8500968122785451</v>
      </c>
      <c r="I149" s="622"/>
      <c r="J149" s="629">
        <f>H149/DAY(B2)</f>
        <v>9.1938606847695004E-2</v>
      </c>
      <c r="O149" s="413"/>
    </row>
    <row r="150" spans="1:15" ht="27.75">
      <c r="A150" s="1433" t="s">
        <v>259</v>
      </c>
      <c r="B150" s="1434"/>
      <c r="C150" s="1435"/>
      <c r="D150" s="599" t="s">
        <v>183</v>
      </c>
      <c r="E150" s="531"/>
      <c r="F150" s="531"/>
      <c r="G150" s="536">
        <f>G36+G50</f>
        <v>1553.8300000000163</v>
      </c>
      <c r="H150" s="536">
        <f>G150+'30'!H150</f>
        <v>-53799.840000000026</v>
      </c>
      <c r="I150" s="622"/>
      <c r="J150" s="629">
        <f>H150/DAY(B2)</f>
        <v>-1735.4787096774203</v>
      </c>
      <c r="O150" s="413"/>
    </row>
    <row r="151" spans="1:15" ht="27.75">
      <c r="A151" s="1433" t="s">
        <v>260</v>
      </c>
      <c r="B151" s="1434"/>
      <c r="C151" s="1435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2.8717899378239728</v>
      </c>
      <c r="I151" s="556"/>
      <c r="J151" s="629">
        <f>H151/DAY(B2)</f>
        <v>9.2638385091095898E-2</v>
      </c>
      <c r="O151" s="413"/>
    </row>
    <row r="152" spans="1:15" ht="27.75">
      <c r="A152" s="1433" t="s">
        <v>261</v>
      </c>
      <c r="B152" s="1434"/>
      <c r="C152" s="1435"/>
      <c r="D152" s="599" t="s">
        <v>183</v>
      </c>
      <c r="E152" s="531"/>
      <c r="F152" s="531"/>
      <c r="G152" s="536">
        <f>G37+G51</f>
        <v>1548.8800000000047</v>
      </c>
      <c r="H152" s="536">
        <f>G152+'30'!H152</f>
        <v>408219.9</v>
      </c>
      <c r="I152" s="556"/>
      <c r="J152" s="629">
        <f>H152/DAY(B2)</f>
        <v>13168.383870967742</v>
      </c>
      <c r="O152" s="413"/>
    </row>
    <row r="153" spans="1:15" ht="28.5" thickBot="1">
      <c r="A153" s="1465" t="s">
        <v>262</v>
      </c>
      <c r="B153" s="1466"/>
      <c r="C153" s="1467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3.2548464391540204</v>
      </c>
      <c r="I153" s="645"/>
      <c r="J153" s="646">
        <f>H153/DAY(B2)</f>
        <v>0.10499504642432324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67" t="s">
        <v>263</v>
      </c>
      <c r="B160" s="868"/>
      <c r="C160" s="868"/>
      <c r="D160" s="587" t="s">
        <v>187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>
      <c r="A161" s="867" t="s">
        <v>264</v>
      </c>
      <c r="B161" s="868"/>
      <c r="C161" s="868"/>
      <c r="D161" s="587" t="s">
        <v>187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>
      <c r="A162" s="867" t="s">
        <v>265</v>
      </c>
      <c r="B162" s="868"/>
      <c r="C162" s="868"/>
      <c r="D162" s="587" t="s">
        <v>187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>
      <c r="A163" s="867" t="s">
        <v>266</v>
      </c>
      <c r="B163" s="868"/>
      <c r="C163" s="868"/>
      <c r="D163" s="587" t="s">
        <v>187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>
      <c r="A164" s="869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69" t="s">
        <v>188</v>
      </c>
      <c r="B165" s="681"/>
      <c r="C165" s="681"/>
      <c r="D165" s="587" t="s">
        <v>187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>
      <c r="A166" s="1482" t="s">
        <v>99</v>
      </c>
      <c r="B166" s="1482"/>
      <c r="C166" s="1482"/>
      <c r="D166" s="599" t="s">
        <v>187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>
      <c r="A167" s="1482" t="s">
        <v>100</v>
      </c>
      <c r="B167" s="1482"/>
      <c r="C167" s="1482"/>
      <c r="D167" s="599" t="s">
        <v>187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>
      <c r="A168" s="1482" t="s">
        <v>101</v>
      </c>
      <c r="B168" s="1482"/>
      <c r="C168" s="1482"/>
      <c r="D168" s="599" t="s">
        <v>187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>
      <c r="A169" s="1482" t="s">
        <v>102</v>
      </c>
      <c r="B169" s="1482"/>
      <c r="C169" s="1482"/>
      <c r="D169" s="599" t="s">
        <v>187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>
      <c r="A170" s="1482" t="s">
        <v>103</v>
      </c>
      <c r="B170" s="1482"/>
      <c r="C170" s="1482"/>
      <c r="D170" s="599" t="s">
        <v>187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>
      <c r="A171" s="1482" t="s">
        <v>104</v>
      </c>
      <c r="B171" s="1482"/>
      <c r="C171" s="1482"/>
      <c r="D171" s="599" t="s">
        <v>187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>
      <c r="G172" s="616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06"/>
      <c r="B1" s="1406"/>
      <c r="C1" s="1406"/>
      <c r="D1" s="1406"/>
      <c r="E1" s="1406"/>
      <c r="F1" s="1406"/>
      <c r="G1" s="1406"/>
      <c r="H1" s="1406"/>
      <c r="I1" s="1406"/>
      <c r="J1" s="1406"/>
      <c r="K1" s="1406"/>
      <c r="L1" s="1406"/>
      <c r="M1" s="1406"/>
      <c r="N1" s="1406"/>
      <c r="O1" s="1406"/>
    </row>
    <row r="2" spans="1:15" ht="28.5" customHeight="1">
      <c r="A2" s="1" t="s">
        <v>0</v>
      </c>
      <c r="B2" s="1" t="s">
        <v>0</v>
      </c>
      <c r="C2" s="1201" t="s">
        <v>1</v>
      </c>
      <c r="D2" s="4" t="s">
        <v>4</v>
      </c>
      <c r="E2" s="1408" t="s">
        <v>7</v>
      </c>
      <c r="F2" s="1408"/>
      <c r="G2" s="1408"/>
      <c r="H2" s="1414" t="s">
        <v>15</v>
      </c>
      <c r="I2" s="1414"/>
      <c r="J2" s="1414"/>
      <c r="K2" s="1201" t="s">
        <v>16</v>
      </c>
      <c r="L2" s="1414" t="s">
        <v>17</v>
      </c>
      <c r="M2" s="1414"/>
      <c r="N2" s="1414"/>
      <c r="O2" s="1201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283</v>
      </c>
      <c r="O3" s="12"/>
    </row>
    <row r="4" spans="1:15">
      <c r="A4" s="16">
        <v>1</v>
      </c>
      <c r="B4" s="17">
        <v>1</v>
      </c>
      <c r="C4" s="18"/>
      <c r="D4" s="19">
        <f>'1'!F8</f>
        <v>4495710</v>
      </c>
      <c r="E4" s="19">
        <f>'1'!G96</f>
        <v>13</v>
      </c>
      <c r="F4" s="19">
        <f>'1'!F141</f>
        <v>0</v>
      </c>
      <c r="G4" s="21">
        <f>E4*F4</f>
        <v>0</v>
      </c>
      <c r="H4" s="19">
        <f>'1'!G68</f>
        <v>348.89999999999418</v>
      </c>
      <c r="I4" s="19">
        <f>'1'!G69</f>
        <v>324.00100000000384</v>
      </c>
      <c r="J4" s="19">
        <f>'1'!G70</f>
        <v>0</v>
      </c>
      <c r="K4" s="23">
        <f>H4+I4</f>
        <v>672.90099999999802</v>
      </c>
      <c r="L4" s="19">
        <f>'1'!G71</f>
        <v>0</v>
      </c>
      <c r="M4" s="19">
        <f>'1'!G72</f>
        <v>70</v>
      </c>
      <c r="N4" s="19">
        <v>0</v>
      </c>
      <c r="O4" s="23">
        <f>L4+M4+N4</f>
        <v>70</v>
      </c>
    </row>
    <row r="5" spans="1:15">
      <c r="A5" s="16">
        <v>2</v>
      </c>
      <c r="B5" s="26">
        <v>2</v>
      </c>
      <c r="C5" s="26"/>
      <c r="D5" s="19">
        <f>'2'!F8</f>
        <v>4518306</v>
      </c>
      <c r="E5" s="19">
        <f>'2'!G95</f>
        <v>85</v>
      </c>
      <c r="F5" s="19">
        <f>'2'!F122</f>
        <v>0</v>
      </c>
      <c r="G5" s="21">
        <f t="shared" ref="G5:G18" si="0">E5*F5</f>
        <v>0</v>
      </c>
      <c r="H5" s="19">
        <f>'2'!G68</f>
        <v>364.49000000000524</v>
      </c>
      <c r="I5" s="19">
        <f>'2'!G69</f>
        <v>327.02900000000227</v>
      </c>
      <c r="J5" s="19">
        <f>'2'!G70</f>
        <v>0</v>
      </c>
      <c r="K5" s="23">
        <f t="shared" ref="K5:K18" si="1">H5+I5</f>
        <v>691.51900000000751</v>
      </c>
      <c r="L5" s="19">
        <f>'2'!G71</f>
        <v>0</v>
      </c>
      <c r="M5" s="19">
        <f>'2'!G72</f>
        <v>73</v>
      </c>
      <c r="N5" s="19">
        <v>0</v>
      </c>
      <c r="O5" s="23">
        <f t="shared" ref="O5:O18" si="2">L5+M5+N5</f>
        <v>73</v>
      </c>
    </row>
    <row r="6" spans="1:15">
      <c r="A6" s="16">
        <v>3</v>
      </c>
      <c r="B6" s="26">
        <v>3</v>
      </c>
      <c r="C6" s="26"/>
      <c r="D6" s="19">
        <f>'4'!F8</f>
        <v>4559427</v>
      </c>
      <c r="E6" s="19">
        <f>'3'!G95</f>
        <v>76</v>
      </c>
      <c r="F6" s="19">
        <f>'3'!F122</f>
        <v>0</v>
      </c>
      <c r="G6" s="21">
        <f t="shared" si="0"/>
        <v>0</v>
      </c>
      <c r="H6" s="19">
        <f>'4'!G68</f>
        <v>331.85000000000582</v>
      </c>
      <c r="I6" s="19">
        <f>'4'!G69</f>
        <v>314.91000000000349</v>
      </c>
      <c r="J6" s="19">
        <f>'4'!G70</f>
        <v>0</v>
      </c>
      <c r="K6" s="23">
        <f t="shared" si="1"/>
        <v>646.76000000000931</v>
      </c>
      <c r="L6" s="19">
        <f>'4'!G71</f>
        <v>0</v>
      </c>
      <c r="M6" s="19">
        <f>'4'!G72</f>
        <v>90</v>
      </c>
      <c r="N6" s="19">
        <v>0</v>
      </c>
      <c r="O6" s="23">
        <f t="shared" si="2"/>
        <v>90</v>
      </c>
    </row>
    <row r="7" spans="1:15">
      <c r="A7" s="16">
        <v>4</v>
      </c>
      <c r="B7" s="27">
        <v>4</v>
      </c>
      <c r="C7" s="27"/>
      <c r="D7" s="19">
        <f>'3'!F8</f>
        <v>4539500</v>
      </c>
      <c r="E7" s="19">
        <f>'4'!G95</f>
        <v>98</v>
      </c>
      <c r="F7" s="19">
        <f>'1'!F141</f>
        <v>0</v>
      </c>
      <c r="G7" s="21">
        <f t="shared" si="0"/>
        <v>0</v>
      </c>
      <c r="H7" s="19">
        <f>'3'!G68</f>
        <v>359.23999999999069</v>
      </c>
      <c r="I7" s="19">
        <f>'3'!G69</f>
        <v>321.96999999999389</v>
      </c>
      <c r="J7" s="19">
        <f>'3'!G70</f>
        <v>0</v>
      </c>
      <c r="K7" s="23">
        <f t="shared" si="1"/>
        <v>681.20999999998457</v>
      </c>
      <c r="L7" s="19">
        <f>'3'!G71</f>
        <v>0</v>
      </c>
      <c r="M7" s="19">
        <f>'3'!G72</f>
        <v>98</v>
      </c>
      <c r="N7" s="19">
        <v>0</v>
      </c>
      <c r="O7" s="23">
        <f t="shared" si="2"/>
        <v>98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4601933</v>
      </c>
      <c r="E9" s="19">
        <f>'6'!G95</f>
        <v>120</v>
      </c>
      <c r="F9" s="19">
        <f>'1'!F141</f>
        <v>0</v>
      </c>
      <c r="G9" s="21">
        <f t="shared" si="0"/>
        <v>0</v>
      </c>
      <c r="H9" s="19">
        <f>'6'!G68</f>
        <v>335</v>
      </c>
      <c r="I9" s="19">
        <f>'6'!G69</f>
        <v>332</v>
      </c>
      <c r="J9" s="19">
        <f>'6'!G70</f>
        <v>0</v>
      </c>
      <c r="K9" s="23">
        <f t="shared" si="1"/>
        <v>667</v>
      </c>
      <c r="L9" s="19">
        <f>'6'!G71</f>
        <v>0</v>
      </c>
      <c r="M9" s="19">
        <f>'6'!G72</f>
        <v>75</v>
      </c>
      <c r="N9" s="19">
        <v>0</v>
      </c>
      <c r="O9" s="23">
        <f t="shared" si="2"/>
        <v>75</v>
      </c>
    </row>
    <row r="10" spans="1:15">
      <c r="A10" s="16">
        <v>7</v>
      </c>
      <c r="B10" s="26">
        <v>7</v>
      </c>
      <c r="C10" s="27"/>
      <c r="D10" s="19">
        <f>'7'!F8</f>
        <v>4623614</v>
      </c>
      <c r="E10" s="19">
        <f>'7'!G95</f>
        <v>119</v>
      </c>
      <c r="F10" s="19">
        <f>'1'!F141</f>
        <v>0</v>
      </c>
      <c r="G10" s="21">
        <f t="shared" si="0"/>
        <v>0</v>
      </c>
      <c r="H10" s="19">
        <f>'7'!G68</f>
        <v>324</v>
      </c>
      <c r="I10" s="19">
        <f>'7'!G69</f>
        <v>329</v>
      </c>
      <c r="J10" s="19">
        <f>'7'!G70</f>
        <v>0</v>
      </c>
      <c r="K10" s="23">
        <f t="shared" si="1"/>
        <v>653</v>
      </c>
      <c r="L10" s="19">
        <f>'7'!G71</f>
        <v>0</v>
      </c>
      <c r="M10" s="19">
        <f>'7'!G72</f>
        <v>72</v>
      </c>
      <c r="N10" s="19">
        <v>0</v>
      </c>
      <c r="O10" s="23">
        <f t="shared" si="2"/>
        <v>72</v>
      </c>
    </row>
    <row r="11" spans="1:15">
      <c r="A11" s="16">
        <v>8</v>
      </c>
      <c r="B11" s="26">
        <v>8</v>
      </c>
      <c r="C11" s="18"/>
      <c r="D11" s="19">
        <f>'8'!F8</f>
        <v>4646286</v>
      </c>
      <c r="E11" s="19">
        <f>'8'!G95</f>
        <v>72</v>
      </c>
      <c r="F11" s="19">
        <f>'1'!F141</f>
        <v>0</v>
      </c>
      <c r="G11" s="21">
        <f t="shared" si="0"/>
        <v>0</v>
      </c>
      <c r="H11" s="19">
        <f>'8'!G68</f>
        <v>343</v>
      </c>
      <c r="I11" s="19">
        <f>'8'!G69</f>
        <v>331</v>
      </c>
      <c r="J11" s="19">
        <f>'8'!G70</f>
        <v>0</v>
      </c>
      <c r="K11" s="23">
        <f t="shared" si="1"/>
        <v>674</v>
      </c>
      <c r="L11" s="19">
        <f>'8'!G71</f>
        <v>0</v>
      </c>
      <c r="M11" s="19">
        <f>'8'!G72</f>
        <v>106</v>
      </c>
      <c r="N11" s="19">
        <v>0</v>
      </c>
      <c r="O11" s="23">
        <f t="shared" si="2"/>
        <v>106</v>
      </c>
    </row>
    <row r="12" spans="1:15">
      <c r="A12" s="16">
        <v>9</v>
      </c>
      <c r="B12" s="27">
        <v>9</v>
      </c>
      <c r="C12" s="26"/>
      <c r="D12" s="19">
        <f>'9'!F8</f>
        <v>4667409</v>
      </c>
      <c r="E12" s="19">
        <f>'9'!G95</f>
        <v>91</v>
      </c>
      <c r="F12" s="19">
        <f>'1'!F141</f>
        <v>0</v>
      </c>
      <c r="G12" s="21">
        <f t="shared" si="0"/>
        <v>0</v>
      </c>
      <c r="H12" s="19">
        <f>'9'!G68</f>
        <v>337</v>
      </c>
      <c r="I12" s="19">
        <f>'9'!G69</f>
        <v>332</v>
      </c>
      <c r="J12" s="19">
        <f>'9'!G70</f>
        <v>0</v>
      </c>
      <c r="K12" s="23">
        <f t="shared" si="1"/>
        <v>669</v>
      </c>
      <c r="L12" s="19">
        <f>'9'!G71</f>
        <v>0</v>
      </c>
      <c r="M12" s="19">
        <f>'9'!G72</f>
        <v>100</v>
      </c>
      <c r="N12" s="19">
        <v>0</v>
      </c>
      <c r="O12" s="23">
        <f t="shared" si="2"/>
        <v>100</v>
      </c>
    </row>
    <row r="13" spans="1:15">
      <c r="A13" s="16">
        <v>10</v>
      </c>
      <c r="B13" s="27">
        <v>10</v>
      </c>
      <c r="C13" s="26"/>
      <c r="D13" s="19">
        <f>'10'!F8</f>
        <v>4689349</v>
      </c>
      <c r="E13" s="19">
        <f>'10'!G95</f>
        <v>68</v>
      </c>
      <c r="F13" s="19">
        <f>'1'!F141</f>
        <v>0</v>
      </c>
      <c r="G13" s="21">
        <f t="shared" si="0"/>
        <v>0</v>
      </c>
      <c r="H13" s="19">
        <f>'10'!G68</f>
        <v>328</v>
      </c>
      <c r="I13" s="19">
        <f>'10'!G69</f>
        <v>327</v>
      </c>
      <c r="J13" s="19">
        <f>'10'!G70</f>
        <v>0</v>
      </c>
      <c r="K13" s="23">
        <f t="shared" si="1"/>
        <v>655</v>
      </c>
      <c r="L13" s="19">
        <f>'10'!G71</f>
        <v>0</v>
      </c>
      <c r="M13" s="19">
        <f>'10'!G72</f>
        <v>87</v>
      </c>
      <c r="N13" s="19">
        <v>0</v>
      </c>
      <c r="O13" s="23">
        <f t="shared" si="2"/>
        <v>87</v>
      </c>
    </row>
    <row r="14" spans="1:15">
      <c r="A14" s="16">
        <v>11</v>
      </c>
      <c r="B14" s="17">
        <v>11</v>
      </c>
      <c r="C14" s="27"/>
      <c r="D14" s="19">
        <f>'11'!F8</f>
        <v>4710747</v>
      </c>
      <c r="E14" s="19">
        <f>'11'!G95</f>
        <v>79</v>
      </c>
      <c r="F14" s="19">
        <f>'1'!F141</f>
        <v>0</v>
      </c>
      <c r="G14" s="21">
        <f t="shared" si="0"/>
        <v>0</v>
      </c>
      <c r="H14" s="19">
        <f>'11'!G68</f>
        <v>302</v>
      </c>
      <c r="I14" s="19">
        <f>'11'!G69</f>
        <v>330</v>
      </c>
      <c r="J14" s="19">
        <f>'11'!G70</f>
        <v>0</v>
      </c>
      <c r="K14" s="23">
        <f t="shared" si="1"/>
        <v>632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4732018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333</v>
      </c>
      <c r="I15" s="19">
        <f>'12'!G69</f>
        <v>328</v>
      </c>
      <c r="J15" s="19">
        <f>'12'!G70</f>
        <v>0</v>
      </c>
      <c r="K15" s="23">
        <f t="shared" si="1"/>
        <v>661</v>
      </c>
      <c r="L15" s="19">
        <f>'12'!G71</f>
        <v>0</v>
      </c>
      <c r="M15" s="19">
        <f>'12'!G72</f>
        <v>87</v>
      </c>
      <c r="N15" s="19">
        <v>0</v>
      </c>
      <c r="O15" s="23">
        <f t="shared" si="2"/>
        <v>87</v>
      </c>
    </row>
    <row r="16" spans="1:15">
      <c r="A16" s="16">
        <v>13</v>
      </c>
      <c r="B16" s="26">
        <v>13</v>
      </c>
      <c r="C16" s="26"/>
      <c r="D16" s="19">
        <f>'13'!F8</f>
        <v>4157819</v>
      </c>
      <c r="E16" s="19">
        <f>'13'!G95</f>
        <v>-2406</v>
      </c>
      <c r="F16" s="19">
        <f>'1'!F141</f>
        <v>0</v>
      </c>
      <c r="G16" s="20">
        <f t="shared" si="0"/>
        <v>0</v>
      </c>
      <c r="H16" s="19">
        <f>'13'!G68</f>
        <v>-8971.2299999999959</v>
      </c>
      <c r="I16" s="19">
        <f>'13'!G69</f>
        <v>-8725.9599999999991</v>
      </c>
      <c r="J16" s="19">
        <f>'13'!G70</f>
        <v>0</v>
      </c>
      <c r="K16" s="23">
        <f t="shared" si="1"/>
        <v>-17697.189999999995</v>
      </c>
      <c r="L16" s="19">
        <f>'13'!G71</f>
        <v>0</v>
      </c>
      <c r="M16" s="19">
        <f>'13'!G72</f>
        <v>-2199</v>
      </c>
      <c r="N16" s="19">
        <v>0</v>
      </c>
      <c r="O16" s="23">
        <f t="shared" si="2"/>
        <v>-2199</v>
      </c>
    </row>
    <row r="17" spans="1:15">
      <c r="A17" s="16">
        <v>14</v>
      </c>
      <c r="B17" s="17">
        <v>14</v>
      </c>
      <c r="C17" s="27"/>
      <c r="D17" s="19">
        <f>'14'!F8</f>
        <v>4180498</v>
      </c>
      <c r="E17" s="19">
        <f>'14'!G95</f>
        <v>121</v>
      </c>
      <c r="F17" s="19">
        <f>'1'!F141</f>
        <v>0</v>
      </c>
      <c r="G17" s="20">
        <f t="shared" si="0"/>
        <v>0</v>
      </c>
      <c r="H17" s="19">
        <f>'14'!G68</f>
        <v>357.76699999999255</v>
      </c>
      <c r="I17" s="19">
        <f>'14'!G69</f>
        <v>312.34999999999854</v>
      </c>
      <c r="J17" s="19">
        <f>'14'!G71</f>
        <v>0</v>
      </c>
      <c r="K17" s="23">
        <f t="shared" si="1"/>
        <v>670.11699999999109</v>
      </c>
      <c r="L17" s="19">
        <f>'14'!G72</f>
        <v>103</v>
      </c>
      <c r="M17" s="19">
        <f>'14'!G73</f>
        <v>1</v>
      </c>
      <c r="N17" s="19">
        <v>0</v>
      </c>
      <c r="O17" s="23">
        <f t="shared" si="2"/>
        <v>104</v>
      </c>
    </row>
    <row r="18" spans="1:15">
      <c r="A18" s="16">
        <v>15</v>
      </c>
      <c r="B18" s="26">
        <v>15</v>
      </c>
      <c r="C18" s="18"/>
      <c r="D18" s="19">
        <f>'15'!F8</f>
        <v>4203853</v>
      </c>
      <c r="E18" s="19">
        <f>'15'!G95</f>
        <v>131</v>
      </c>
      <c r="F18" s="19">
        <f>'1'!F141</f>
        <v>0</v>
      </c>
      <c r="G18" s="20">
        <f t="shared" si="0"/>
        <v>0</v>
      </c>
      <c r="H18" s="19">
        <f>'15'!G68</f>
        <v>337.84300000000803</v>
      </c>
      <c r="I18" s="19">
        <f>'15'!G69</f>
        <v>305.81999999999971</v>
      </c>
      <c r="J18" s="19">
        <f>'15'!G71</f>
        <v>0</v>
      </c>
      <c r="K18" s="23">
        <f t="shared" si="1"/>
        <v>643.66300000000774</v>
      </c>
      <c r="L18" s="19">
        <f>'15'!G72</f>
        <v>93</v>
      </c>
      <c r="M18" s="19">
        <f>'15'!G73</f>
        <v>1</v>
      </c>
      <c r="N18" s="19">
        <v>0</v>
      </c>
      <c r="O18" s="23">
        <f t="shared" si="2"/>
        <v>94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47" t="s">
        <v>117</v>
      </c>
      <c r="B1" s="1647"/>
      <c r="C1" s="1647"/>
      <c r="D1" s="1647"/>
      <c r="E1" s="1647"/>
      <c r="F1" s="1647"/>
      <c r="G1" s="1647"/>
      <c r="H1" s="1647"/>
      <c r="I1" s="1647"/>
      <c r="J1" s="1647"/>
    </row>
    <row r="2" spans="1:12" ht="23.25" customHeight="1">
      <c r="A2" s="214" t="s">
        <v>284</v>
      </c>
      <c r="B2" s="195">
        <v>42328</v>
      </c>
      <c r="C2" s="1648" t="s">
        <v>285</v>
      </c>
      <c r="D2" s="1649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223" t="s">
        <v>286</v>
      </c>
      <c r="B3" s="189"/>
      <c r="C3" s="189"/>
      <c r="D3" s="1224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287</v>
      </c>
      <c r="J3" s="42" t="s">
        <v>288</v>
      </c>
      <c r="K3" s="116"/>
      <c r="L3" s="117"/>
    </row>
    <row r="4" spans="1:12" ht="18.75" customHeight="1">
      <c r="A4" s="45" t="s">
        <v>289</v>
      </c>
      <c r="B4" s="46" t="s">
        <v>290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664" t="s">
        <v>130</v>
      </c>
      <c r="B6" s="1665"/>
      <c r="C6" s="1666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61" t="s">
        <v>139</v>
      </c>
      <c r="B14" s="1662"/>
      <c r="C14" s="1663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61" t="s">
        <v>142</v>
      </c>
      <c r="B17" s="1662"/>
      <c r="C17" s="1663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67" t="s">
        <v>143</v>
      </c>
      <c r="B18" s="1668"/>
      <c r="C18" s="1669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67" t="s">
        <v>71</v>
      </c>
      <c r="B19" s="1668"/>
      <c r="C19" s="1669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61" t="s">
        <v>146</v>
      </c>
      <c r="B21" s="1662"/>
      <c r="C21" s="1663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20" t="s">
        <v>147</v>
      </c>
      <c r="B22" s="1221"/>
      <c r="C22" s="1222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20" t="s">
        <v>149</v>
      </c>
      <c r="B23" s="1221"/>
      <c r="C23" s="1222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70" t="s">
        <v>151</v>
      </c>
      <c r="B25" s="1671"/>
      <c r="C25" s="1672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50" t="s">
        <v>162</v>
      </c>
      <c r="B32" s="1651"/>
      <c r="C32" s="1651"/>
      <c r="D32" s="1651"/>
      <c r="E32" s="1651"/>
      <c r="F32" s="1651"/>
      <c r="G32" s="1651"/>
      <c r="H32" s="1651"/>
      <c r="I32" s="1651"/>
      <c r="J32" s="1652"/>
      <c r="K32" s="59"/>
      <c r="L32" s="117"/>
    </row>
    <row r="33" spans="1:12" ht="18.75" customHeight="1">
      <c r="A33" s="1236" t="s">
        <v>163</v>
      </c>
      <c r="B33" s="1237"/>
      <c r="C33" s="1238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36" t="s">
        <v>177</v>
      </c>
      <c r="B47" s="1237"/>
      <c r="C47" s="1238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55" t="s">
        <v>99</v>
      </c>
      <c r="B63" s="1656"/>
      <c r="C63" s="1657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55" t="s">
        <v>100</v>
      </c>
      <c r="B64" s="1656"/>
      <c r="C64" s="1657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55" t="s">
        <v>101</v>
      </c>
      <c r="B65" s="1656"/>
      <c r="C65" s="1657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55" t="s">
        <v>102</v>
      </c>
      <c r="B66" s="1656"/>
      <c r="C66" s="1657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55" t="s">
        <v>103</v>
      </c>
      <c r="B67" s="1656"/>
      <c r="C67" s="1657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55" t="s">
        <v>104</v>
      </c>
      <c r="B68" s="1656"/>
      <c r="C68" s="1657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55" t="s">
        <v>191</v>
      </c>
      <c r="B70" s="1656"/>
      <c r="C70" s="1657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55" t="s">
        <v>192</v>
      </c>
      <c r="B71" s="1656"/>
      <c r="C71" s="1657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55" t="s">
        <v>193</v>
      </c>
      <c r="B72" s="1656"/>
      <c r="C72" s="1657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58" t="s">
        <v>194</v>
      </c>
      <c r="B73" s="1659"/>
      <c r="C73" s="1660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58" t="s">
        <v>195</v>
      </c>
      <c r="B74" s="1659"/>
      <c r="C74" s="1660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55" t="s">
        <v>196</v>
      </c>
      <c r="B75" s="1656"/>
      <c r="C75" s="1657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73" t="s">
        <v>92</v>
      </c>
      <c r="B76" s="1674"/>
      <c r="C76" s="1675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73" t="s">
        <v>198</v>
      </c>
      <c r="B77" s="1674"/>
      <c r="C77" s="1675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73" t="s">
        <v>199</v>
      </c>
      <c r="B78" s="1674"/>
      <c r="C78" s="1675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76" t="s">
        <v>93</v>
      </c>
      <c r="B79" s="1674"/>
      <c r="C79" s="1675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76" t="s">
        <v>200</v>
      </c>
      <c r="B80" s="1674"/>
      <c r="C80" s="1675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76" t="s">
        <v>291</v>
      </c>
      <c r="B81" s="1674"/>
      <c r="C81" s="1675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67" t="s">
        <v>207</v>
      </c>
      <c r="B84" s="1668"/>
      <c r="C84" s="1669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67" t="s">
        <v>209</v>
      </c>
      <c r="B85" s="1668"/>
      <c r="C85" s="1669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67" t="s">
        <v>210</v>
      </c>
      <c r="B86" s="1668"/>
      <c r="C86" s="1669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67" t="s">
        <v>211</v>
      </c>
      <c r="B87" s="1668"/>
      <c r="C87" s="1669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67" t="s">
        <v>212</v>
      </c>
      <c r="B88" s="1668"/>
      <c r="C88" s="1669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67" t="s">
        <v>213</v>
      </c>
      <c r="B89" s="1668"/>
      <c r="C89" s="1669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67" t="s">
        <v>214</v>
      </c>
      <c r="B90" s="1668"/>
      <c r="C90" s="1669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67" t="s">
        <v>219</v>
      </c>
      <c r="B91" s="1668"/>
      <c r="C91" s="1669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67" t="s">
        <v>77</v>
      </c>
      <c r="B92" s="1668"/>
      <c r="C92" s="1669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67" t="s">
        <v>78</v>
      </c>
      <c r="B93" s="1668"/>
      <c r="C93" s="1669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67" t="s">
        <v>206</v>
      </c>
      <c r="B94" s="1668"/>
      <c r="C94" s="1669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77" t="s">
        <v>230</v>
      </c>
      <c r="B95" s="1678"/>
      <c r="C95" s="1679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221"/>
      <c r="C97" s="1222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53" t="s">
        <v>250</v>
      </c>
      <c r="B98" s="1654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67" t="s">
        <v>251</v>
      </c>
      <c r="B99" s="1668"/>
      <c r="C99" s="1669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67" t="s">
        <v>252</v>
      </c>
      <c r="B100" s="1668"/>
      <c r="C100" s="1669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67" t="s">
        <v>253</v>
      </c>
      <c r="B101" s="1668"/>
      <c r="C101" s="1669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67" t="s">
        <v>254</v>
      </c>
      <c r="B102" s="1668"/>
      <c r="C102" s="1669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67" t="s">
        <v>255</v>
      </c>
      <c r="B103" s="1668"/>
      <c r="C103" s="1669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67" t="s">
        <v>256</v>
      </c>
      <c r="B104" s="1668"/>
      <c r="C104" s="1669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67" t="s">
        <v>257</v>
      </c>
      <c r="B105" s="1668"/>
      <c r="C105" s="1669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67" t="s">
        <v>258</v>
      </c>
      <c r="B106" s="1668"/>
      <c r="C106" s="1669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67" t="s">
        <v>259</v>
      </c>
      <c r="B107" s="1668"/>
      <c r="C107" s="1669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67" t="s">
        <v>260</v>
      </c>
      <c r="B108" s="1668"/>
      <c r="C108" s="1669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67" t="s">
        <v>261</v>
      </c>
      <c r="B109" s="1668"/>
      <c r="C109" s="1669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667" t="s">
        <v>262</v>
      </c>
      <c r="B110" s="1668"/>
      <c r="C110" s="1669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47" t="s">
        <v>117</v>
      </c>
      <c r="B1" s="1647"/>
      <c r="C1" s="1647"/>
      <c r="D1" s="1647"/>
      <c r="E1" s="1647"/>
      <c r="F1" s="1647"/>
      <c r="G1" s="1647"/>
      <c r="H1" s="1647"/>
      <c r="I1" s="1647"/>
      <c r="J1" s="1647"/>
    </row>
    <row r="2" spans="1:12" ht="23.25" customHeight="1">
      <c r="A2" s="282" t="s">
        <v>292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219" t="s">
        <v>120</v>
      </c>
      <c r="D3" s="418">
        <v>32</v>
      </c>
      <c r="E3" s="1506" t="s">
        <v>121</v>
      </c>
      <c r="F3" s="150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122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123</v>
      </c>
      <c r="B5" s="299"/>
      <c r="C5" s="300"/>
      <c r="D5" s="301" t="s">
        <v>124</v>
      </c>
      <c r="E5" s="302" t="s">
        <v>125</v>
      </c>
      <c r="F5" s="302" t="s">
        <v>112</v>
      </c>
      <c r="G5" s="303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500" t="s">
        <v>130</v>
      </c>
      <c r="B6" s="1501"/>
      <c r="C6" s="1502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131</v>
      </c>
      <c r="B7" s="309"/>
      <c r="C7" s="310"/>
      <c r="D7" s="311" t="s">
        <v>132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-829205.10000000009</v>
      </c>
      <c r="I7" s="276">
        <f>'1'!I7</f>
        <v>12000</v>
      </c>
      <c r="J7" s="58">
        <f>H7/DAY(B2)</f>
        <v>-27640.170000000002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134</v>
      </c>
      <c r="B9" s="323"/>
      <c r="C9" s="324"/>
      <c r="D9" s="268" t="s">
        <v>132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2400832.6900000004</v>
      </c>
      <c r="I9" s="278">
        <f>I7-J7</f>
        <v>39640.17</v>
      </c>
      <c r="J9" s="58">
        <f>H9/DAY(B2)</f>
        <v>80027.756333333353</v>
      </c>
      <c r="K9" s="59"/>
      <c r="L9" s="117"/>
    </row>
    <row r="10" spans="1:12" ht="23.25" customHeight="1">
      <c r="A10" s="327" t="s">
        <v>135</v>
      </c>
      <c r="B10" s="328"/>
      <c r="C10" s="329"/>
      <c r="D10" s="268" t="s">
        <v>132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2590535.84</v>
      </c>
      <c r="I10" s="69"/>
      <c r="J10" s="58">
        <f>H10/DAY(B2)</f>
        <v>86351.194666666663</v>
      </c>
      <c r="K10" s="59"/>
      <c r="L10" s="117"/>
    </row>
    <row r="11" spans="1:12" ht="23.25" customHeight="1">
      <c r="A11" s="327" t="s">
        <v>136</v>
      </c>
      <c r="B11" s="328"/>
      <c r="C11" s="329"/>
      <c r="D11" s="268" t="s">
        <v>132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-5140</v>
      </c>
      <c r="I11" s="69"/>
      <c r="J11" s="58">
        <f>H11/DAY(B2)</f>
        <v>-171.33333333333334</v>
      </c>
      <c r="K11" s="59"/>
      <c r="L11" s="117"/>
    </row>
    <row r="12" spans="1:12" ht="23.25" customHeight="1">
      <c r="A12" s="327" t="s">
        <v>137</v>
      </c>
      <c r="B12" s="328"/>
      <c r="C12" s="329"/>
      <c r="D12" s="268" t="s">
        <v>132</v>
      </c>
      <c r="E12" s="56">
        <f>'29'!F12</f>
        <v>37630</v>
      </c>
      <c r="F12" s="264">
        <v>3760</v>
      </c>
      <c r="G12" s="325">
        <v>0</v>
      </c>
      <c r="H12" s="57">
        <f>G12+'29'!H12</f>
        <v>-4380</v>
      </c>
      <c r="I12" s="69"/>
      <c r="J12" s="58">
        <f>H12/DAY(B2)</f>
        <v>-146</v>
      </c>
      <c r="K12" s="59"/>
      <c r="L12" s="117"/>
    </row>
    <row r="13" spans="1:12" ht="23.25" customHeight="1">
      <c r="A13" s="437" t="s">
        <v>138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4960854.5299999993</v>
      </c>
      <c r="I13" s="400">
        <f>G7-G13</f>
        <v>-47895.200000000186</v>
      </c>
      <c r="J13" s="314">
        <f>H13/DAY(B2)</f>
        <v>165361.81766666664</v>
      </c>
      <c r="K13" s="59"/>
      <c r="L13" s="117"/>
    </row>
    <row r="14" spans="1:12" ht="23.25" customHeight="1">
      <c r="A14" s="1503" t="s">
        <v>139</v>
      </c>
      <c r="B14" s="1504"/>
      <c r="C14" s="1505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140</v>
      </c>
      <c r="B15" s="332"/>
      <c r="C15" s="333"/>
      <c r="D15" s="311" t="s">
        <v>141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-579304.93000000005</v>
      </c>
      <c r="I15" s="276">
        <f>'1'!I15</f>
        <v>800</v>
      </c>
      <c r="J15" s="58">
        <f>H15/DAY(B2)</f>
        <v>-19310.164333333334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20110.164333333334</v>
      </c>
      <c r="J16" s="229"/>
      <c r="K16" s="59"/>
      <c r="L16" s="117"/>
    </row>
    <row r="17" spans="1:12" ht="23.25" customHeight="1">
      <c r="A17" s="1503" t="s">
        <v>142</v>
      </c>
      <c r="B17" s="1504"/>
      <c r="C17" s="1505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508" t="s">
        <v>143</v>
      </c>
      <c r="B18" s="1509"/>
      <c r="C18" s="1510"/>
      <c r="D18" s="268" t="s">
        <v>144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4710</v>
      </c>
      <c r="I18" s="158">
        <f>'1'!I18</f>
        <v>65</v>
      </c>
      <c r="J18" s="58">
        <f>H18/DAY(B2)</f>
        <v>157</v>
      </c>
      <c r="K18" s="59"/>
      <c r="L18" s="117"/>
    </row>
    <row r="19" spans="1:12" ht="23.25" customHeight="1">
      <c r="A19" s="1508" t="s">
        <v>71</v>
      </c>
      <c r="B19" s="1509"/>
      <c r="C19" s="1510"/>
      <c r="D19" s="268" t="s">
        <v>144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-34690</v>
      </c>
      <c r="I19" s="80"/>
      <c r="J19" s="58">
        <f>H19/DAY(B2)</f>
        <v>-1156.3333333333333</v>
      </c>
      <c r="K19" s="59"/>
      <c r="L19" s="117"/>
    </row>
    <row r="20" spans="1:12" ht="23.25" customHeight="1">
      <c r="A20" s="437" t="s">
        <v>145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-29980</v>
      </c>
      <c r="I20" s="127">
        <f>J20-I18</f>
        <v>-1064.3333333333335</v>
      </c>
      <c r="J20" s="58">
        <f>H20/DAY(B2)</f>
        <v>-999.33333333333337</v>
      </c>
      <c r="K20" s="59"/>
      <c r="L20" s="117"/>
    </row>
    <row r="21" spans="1:12" ht="23.25" customHeight="1">
      <c r="A21" s="1503" t="s">
        <v>146</v>
      </c>
      <c r="B21" s="1504"/>
      <c r="C21" s="1505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11" t="s">
        <v>147</v>
      </c>
      <c r="B22" s="1212"/>
      <c r="C22" s="1213"/>
      <c r="D22" s="268" t="s">
        <v>148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11" t="s">
        <v>149</v>
      </c>
      <c r="B23" s="1212"/>
      <c r="C23" s="1213"/>
      <c r="D23" s="268" t="s">
        <v>148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150</v>
      </c>
      <c r="B24" s="441"/>
      <c r="C24" s="442"/>
      <c r="D24" s="269" t="s">
        <v>148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514" t="s">
        <v>151</v>
      </c>
      <c r="B25" s="1515"/>
      <c r="C25" s="1516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152</v>
      </c>
      <c r="B26" s="346"/>
      <c r="C26" s="347"/>
      <c r="D26" s="348" t="s">
        <v>153</v>
      </c>
      <c r="E26" s="349" t="s">
        <v>293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132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154</v>
      </c>
      <c r="B28" s="346"/>
      <c r="C28" s="347"/>
      <c r="D28" s="352" t="s">
        <v>155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156</v>
      </c>
      <c r="B29" s="346"/>
      <c r="C29" s="347"/>
      <c r="D29" s="352" t="s">
        <v>157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159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161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50" t="s">
        <v>162</v>
      </c>
      <c r="B32" s="1651"/>
      <c r="C32" s="1651"/>
      <c r="D32" s="1651"/>
      <c r="E32" s="1651"/>
      <c r="F32" s="1651"/>
      <c r="G32" s="1651"/>
      <c r="H32" s="1651"/>
      <c r="I32" s="1651"/>
      <c r="J32" s="1652"/>
      <c r="K32" s="59"/>
      <c r="L32" s="117"/>
    </row>
    <row r="33" spans="1:12" ht="23.25" customHeight="1">
      <c r="A33" s="1206" t="s">
        <v>163</v>
      </c>
      <c r="B33" s="1207"/>
      <c r="C33" s="1208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164</v>
      </c>
      <c r="B34" s="328"/>
      <c r="C34" s="329"/>
      <c r="D34" s="268" t="s">
        <v>132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-693087.59</v>
      </c>
      <c r="I34" s="56"/>
      <c r="J34" s="58">
        <f>H34/DAY(B2)</f>
        <v>-23102.919666666665</v>
      </c>
      <c r="K34" s="59"/>
      <c r="L34" s="117"/>
    </row>
    <row r="35" spans="1:12" ht="23.25" customHeight="1">
      <c r="A35" s="327" t="s">
        <v>165</v>
      </c>
      <c r="B35" s="328"/>
      <c r="C35" s="329"/>
      <c r="D35" s="268" t="s">
        <v>132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397876.89999999997</v>
      </c>
      <c r="I35" s="56"/>
      <c r="J35" s="58">
        <f>H35/DAY(B2)</f>
        <v>13262.563333333332</v>
      </c>
      <c r="K35" s="59"/>
      <c r="L35" s="117"/>
    </row>
    <row r="36" spans="1:12" ht="23.25" customHeight="1">
      <c r="A36" s="327" t="s">
        <v>166</v>
      </c>
      <c r="B36" s="328"/>
      <c r="C36" s="329"/>
      <c r="D36" s="268" t="s">
        <v>132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395813.95</v>
      </c>
      <c r="I36" s="56"/>
      <c r="J36" s="58">
        <f>H36/DAY(B2)</f>
        <v>13193.798333333334</v>
      </c>
      <c r="K36" s="59"/>
      <c r="L36" s="117"/>
    </row>
    <row r="37" spans="1:12" ht="23.25" customHeight="1">
      <c r="A37" s="327" t="s">
        <v>167</v>
      </c>
      <c r="B37" s="328"/>
      <c r="C37" s="329"/>
      <c r="D37" s="268" t="s">
        <v>132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631692.26</v>
      </c>
      <c r="I37" s="56"/>
      <c r="J37" s="58">
        <f>H37/DAY(B2)</f>
        <v>21056.408666666666</v>
      </c>
      <c r="K37" s="59"/>
      <c r="L37" s="117"/>
    </row>
    <row r="38" spans="1:12" ht="23.25" customHeight="1">
      <c r="A38" s="327" t="s">
        <v>168</v>
      </c>
      <c r="B38" s="328"/>
      <c r="C38" s="329"/>
      <c r="D38" s="268" t="s">
        <v>132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2507158.9900000002</v>
      </c>
      <c r="I38" s="56"/>
      <c r="J38" s="58">
        <f>H38/DAY(B2)</f>
        <v>83571.966333333345</v>
      </c>
      <c r="K38" s="59"/>
      <c r="L38" s="117"/>
    </row>
    <row r="39" spans="1:12" ht="23.25" customHeight="1">
      <c r="A39" s="362" t="s">
        <v>169</v>
      </c>
      <c r="B39" s="363"/>
      <c r="C39" s="364"/>
      <c r="D39" s="268" t="s">
        <v>132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7" t="s">
        <v>170</v>
      </c>
      <c r="B40" s="328"/>
      <c r="C40" s="329"/>
      <c r="D40" s="268" t="s">
        <v>132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1074134.1299999999</v>
      </c>
      <c r="I40" s="56"/>
      <c r="J40" s="58">
        <f>H40/DAY(B2)</f>
        <v>35804.470999999998</v>
      </c>
      <c r="K40" s="59"/>
      <c r="L40" s="117"/>
    </row>
    <row r="41" spans="1:12" ht="23.25" customHeight="1">
      <c r="A41" s="327" t="s">
        <v>171</v>
      </c>
      <c r="B41" s="328"/>
      <c r="C41" s="329"/>
      <c r="D41" s="268" t="s">
        <v>132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1192654.95</v>
      </c>
      <c r="I41" s="56"/>
      <c r="J41" s="58">
        <f>H41/DAY(B2)</f>
        <v>39755.165000000001</v>
      </c>
      <c r="K41" s="59"/>
      <c r="L41" s="117"/>
    </row>
    <row r="42" spans="1:12" ht="23.25" customHeight="1">
      <c r="A42" s="327" t="s">
        <v>172</v>
      </c>
      <c r="B42" s="328"/>
      <c r="C42" s="329"/>
      <c r="D42" s="268" t="s">
        <v>132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653951.06999999995</v>
      </c>
      <c r="I42" s="56"/>
      <c r="J42" s="58">
        <f>H42/DAY(B2)</f>
        <v>21798.368999999999</v>
      </c>
      <c r="K42" s="59"/>
      <c r="L42" s="117"/>
    </row>
    <row r="43" spans="1:12" ht="23.25" customHeight="1">
      <c r="A43" s="327" t="s">
        <v>173</v>
      </c>
      <c r="B43" s="328"/>
      <c r="C43" s="329"/>
      <c r="D43" s="268" t="s">
        <v>132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174</v>
      </c>
      <c r="B44" s="328"/>
      <c r="C44" s="329"/>
      <c r="D44" s="268" t="s">
        <v>132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>
      <c r="A45" s="327" t="s">
        <v>175</v>
      </c>
      <c r="B45" s="328"/>
      <c r="C45" s="329"/>
      <c r="D45" s="268" t="s">
        <v>132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188</v>
      </c>
      <c r="I45" s="56"/>
      <c r="J45" s="58">
        <f>H45/DAY(B2)</f>
        <v>6.2666666666666666</v>
      </c>
      <c r="K45" s="59"/>
      <c r="L45" s="117"/>
    </row>
    <row r="46" spans="1:12" ht="23.25" customHeight="1">
      <c r="A46" s="437" t="s">
        <v>176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6161613.5999999987</v>
      </c>
      <c r="I46" s="56"/>
      <c r="J46" s="58">
        <f>H46/DAY(B2)</f>
        <v>205387.11999999997</v>
      </c>
      <c r="K46" s="59"/>
      <c r="L46" s="117"/>
    </row>
    <row r="47" spans="1:12" ht="23.25" customHeight="1">
      <c r="A47" s="1206" t="s">
        <v>177</v>
      </c>
      <c r="B47" s="1207"/>
      <c r="C47" s="1208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164</v>
      </c>
      <c r="B48" s="366"/>
      <c r="C48" s="367"/>
      <c r="D48" s="268" t="s">
        <v>132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532972.57999999984</v>
      </c>
      <c r="I48" s="56"/>
      <c r="J48" s="58">
        <f>H48/DAY(B2)</f>
        <v>17765.75266666666</v>
      </c>
      <c r="K48" s="59"/>
      <c r="L48" s="117"/>
    </row>
    <row r="49" spans="1:12" ht="23.25" customHeight="1">
      <c r="A49" s="327" t="s">
        <v>178</v>
      </c>
      <c r="B49" s="366"/>
      <c r="C49" s="367"/>
      <c r="D49" s="268" t="s">
        <v>132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304196.71999999997</v>
      </c>
      <c r="I49" s="56"/>
      <c r="J49" s="58">
        <f>H49/DAY(B2)</f>
        <v>10139.890666666666</v>
      </c>
      <c r="K49" s="59"/>
      <c r="L49" s="117"/>
    </row>
    <row r="50" spans="1:12" ht="23.25" customHeight="1">
      <c r="A50" s="327" t="s">
        <v>166</v>
      </c>
      <c r="B50" s="366"/>
      <c r="C50" s="367"/>
      <c r="D50" s="268" t="s">
        <v>132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430502.14999999997</v>
      </c>
      <c r="I50" s="56"/>
      <c r="J50" s="58">
        <f>H50/DAY(B2)</f>
        <v>14350.071666666665</v>
      </c>
      <c r="K50" s="59"/>
      <c r="L50" s="117"/>
    </row>
    <row r="51" spans="1:12" ht="23.25" customHeight="1">
      <c r="A51" s="327" t="s">
        <v>179</v>
      </c>
      <c r="B51" s="366"/>
      <c r="C51" s="367"/>
      <c r="D51" s="268" t="s">
        <v>132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734102.29</v>
      </c>
      <c r="I51" s="56"/>
      <c r="J51" s="58">
        <f>H51/DAY(B2)</f>
        <v>24470.076333333334</v>
      </c>
      <c r="K51" s="59"/>
      <c r="L51" s="117"/>
    </row>
    <row r="52" spans="1:12" ht="23.25" customHeight="1">
      <c r="A52" s="327" t="s">
        <v>168</v>
      </c>
      <c r="B52" s="366"/>
      <c r="C52" s="367"/>
      <c r="D52" s="268" t="s">
        <v>132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159764.08000000002</v>
      </c>
      <c r="I52" s="56"/>
      <c r="J52" s="58">
        <f>H52/DAY(B2)</f>
        <v>5325.4693333333335</v>
      </c>
      <c r="K52" s="59"/>
      <c r="L52" s="117"/>
    </row>
    <row r="53" spans="1:12" ht="23.25" customHeight="1">
      <c r="A53" s="327" t="s">
        <v>180</v>
      </c>
      <c r="B53" s="366"/>
      <c r="C53" s="367"/>
      <c r="D53" s="268" t="s">
        <v>132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47375.38</v>
      </c>
      <c r="I53" s="56"/>
      <c r="J53" s="58">
        <f>H53/DAY(B2)</f>
        <v>1579.1793333333333</v>
      </c>
      <c r="K53" s="59"/>
      <c r="L53" s="117"/>
    </row>
    <row r="54" spans="1:12" ht="23.25" customHeight="1">
      <c r="A54" s="327" t="s">
        <v>181</v>
      </c>
      <c r="B54" s="366"/>
      <c r="C54" s="367"/>
      <c r="D54" s="268" t="s">
        <v>132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618926.89999999991</v>
      </c>
      <c r="I54" s="56"/>
      <c r="J54" s="58">
        <f>H54/DAY(B2)</f>
        <v>20630.896666666664</v>
      </c>
      <c r="K54" s="59"/>
      <c r="L54" s="117"/>
    </row>
    <row r="55" spans="1:12" ht="23.25" customHeight="1">
      <c r="A55" s="327" t="s">
        <v>182</v>
      </c>
      <c r="B55" s="366"/>
      <c r="C55" s="367"/>
      <c r="D55" s="268" t="s">
        <v>183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-251085.03000000003</v>
      </c>
      <c r="I55" s="56"/>
      <c r="J55" s="58">
        <f>H55/DAY(B2)</f>
        <v>-8369.5010000000002</v>
      </c>
      <c r="K55" s="43"/>
      <c r="L55" s="117"/>
    </row>
    <row r="56" spans="1:12" ht="23.25" customHeight="1">
      <c r="A56" s="327" t="s">
        <v>172</v>
      </c>
      <c r="B56" s="366"/>
      <c r="C56" s="367"/>
      <c r="D56" s="268" t="s">
        <v>132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-7711.33</v>
      </c>
      <c r="I56" s="56"/>
      <c r="J56" s="58">
        <f>H56/DAY(B2)</f>
        <v>-257.04433333333333</v>
      </c>
      <c r="K56" s="59"/>
      <c r="L56" s="117"/>
    </row>
    <row r="57" spans="1:12" ht="23.25" customHeight="1">
      <c r="A57" s="327" t="s">
        <v>184</v>
      </c>
      <c r="B57" s="366"/>
      <c r="C57" s="367"/>
      <c r="D57" s="268" t="s">
        <v>132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-33998.75</v>
      </c>
      <c r="I57" s="56"/>
      <c r="J57" s="58">
        <f>H57/DAY(B2)</f>
        <v>-1133.2916666666667</v>
      </c>
      <c r="K57" s="59"/>
      <c r="L57" s="117"/>
    </row>
    <row r="58" spans="1:12" ht="23.25" customHeight="1">
      <c r="A58" s="437" t="s">
        <v>176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2535044.9899999998</v>
      </c>
      <c r="I58" s="56">
        <f>G7-G59</f>
        <v>-7919358.1499999985</v>
      </c>
      <c r="J58" s="58">
        <f>H58/DAY(B2)</f>
        <v>84501.499666666656</v>
      </c>
      <c r="K58" s="59"/>
      <c r="L58" s="117"/>
    </row>
    <row r="59" spans="1:12" ht="23.25" customHeight="1">
      <c r="A59" s="368"/>
      <c r="B59" s="368"/>
      <c r="C59" s="368"/>
      <c r="D59" s="269" t="s">
        <v>185</v>
      </c>
      <c r="E59" s="269"/>
      <c r="F59" s="269"/>
      <c r="G59" s="279">
        <f>G46+G58</f>
        <v>7684410.0499999989</v>
      </c>
      <c r="H59" s="57">
        <f>G59+'29'!H60</f>
        <v>8710827.589999998</v>
      </c>
      <c r="I59" s="56">
        <f>G13-G59</f>
        <v>-7871462.9499999993</v>
      </c>
      <c r="J59" s="58">
        <f>H59/DAY(B2)</f>
        <v>290360.9196666666</v>
      </c>
      <c r="K59" s="59"/>
      <c r="L59" s="117"/>
    </row>
    <row r="60" spans="1:12" ht="23.25" customHeight="1">
      <c r="A60" s="429" t="s">
        <v>186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98</v>
      </c>
      <c r="B61" s="370"/>
      <c r="C61" s="371"/>
      <c r="D61" s="269" t="s">
        <v>187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34665.812999999995</v>
      </c>
      <c r="I61" s="201"/>
      <c r="J61" s="58">
        <f>H61/DAY(B2)</f>
        <v>1155.5270999999998</v>
      </c>
      <c r="K61" s="59"/>
      <c r="L61" s="117"/>
    </row>
    <row r="62" spans="1:12" ht="23.25" customHeight="1">
      <c r="A62" s="369" t="s">
        <v>188</v>
      </c>
      <c r="B62" s="370"/>
      <c r="C62" s="371"/>
      <c r="D62" s="269" t="s">
        <v>187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111653.38</v>
      </c>
      <c r="I62" s="201"/>
      <c r="J62" s="58">
        <f>H62/DAY(B2)</f>
        <v>3721.7793333333334</v>
      </c>
      <c r="K62" s="59"/>
      <c r="L62" s="117"/>
    </row>
    <row r="63" spans="1:12" ht="23.25" customHeight="1">
      <c r="A63" s="1517" t="s">
        <v>99</v>
      </c>
      <c r="B63" s="1518"/>
      <c r="C63" s="1519"/>
      <c r="D63" s="268" t="s">
        <v>187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150461.70000000001</v>
      </c>
      <c r="I63" s="69"/>
      <c r="J63" s="58">
        <f>H63/DAY(B2)</f>
        <v>5015.3900000000003</v>
      </c>
      <c r="K63" s="59"/>
      <c r="L63" s="117"/>
    </row>
    <row r="64" spans="1:12" ht="23.25" customHeight="1">
      <c r="A64" s="1517" t="s">
        <v>100</v>
      </c>
      <c r="B64" s="1518"/>
      <c r="C64" s="1519"/>
      <c r="D64" s="268" t="s">
        <v>187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85505.13</v>
      </c>
      <c r="I64" s="80"/>
      <c r="J64" s="58">
        <f>H64/DAY(B2)</f>
        <v>2850.1710000000003</v>
      </c>
      <c r="K64" s="59"/>
      <c r="L64" s="117"/>
    </row>
    <row r="65" spans="1:12" ht="23.25" customHeight="1">
      <c r="A65" s="1517" t="s">
        <v>101</v>
      </c>
      <c r="B65" s="1518"/>
      <c r="C65" s="1519"/>
      <c r="D65" s="268" t="s">
        <v>187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-17181.830000000002</v>
      </c>
      <c r="I65" s="69"/>
      <c r="J65" s="58">
        <f>H65/DAY(B2)</f>
        <v>-572.72766666666678</v>
      </c>
      <c r="K65" s="59"/>
      <c r="L65" s="117"/>
    </row>
    <row r="66" spans="1:12" ht="23.25" customHeight="1">
      <c r="A66" s="1517" t="s">
        <v>102</v>
      </c>
      <c r="B66" s="1518"/>
      <c r="C66" s="1519"/>
      <c r="D66" s="268" t="s">
        <v>187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142348.20000000004</v>
      </c>
      <c r="I66" s="80"/>
      <c r="J66" s="58">
        <f>H66/DAY(B2)</f>
        <v>4744.9400000000014</v>
      </c>
      <c r="K66" s="75"/>
      <c r="L66" s="117"/>
    </row>
    <row r="67" spans="1:12" ht="23.25" customHeight="1">
      <c r="A67" s="1517" t="s">
        <v>103</v>
      </c>
      <c r="B67" s="1518"/>
      <c r="C67" s="1519"/>
      <c r="D67" s="268" t="s">
        <v>187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-71678.52</v>
      </c>
      <c r="I67" s="105"/>
      <c r="J67" s="58">
        <f>H67/DAY(B2)</f>
        <v>-2389.2840000000001</v>
      </c>
      <c r="K67" s="83"/>
      <c r="L67" s="117"/>
    </row>
    <row r="68" spans="1:12" ht="23.25" customHeight="1">
      <c r="A68" s="1517" t="s">
        <v>104</v>
      </c>
      <c r="B68" s="1518"/>
      <c r="C68" s="1519"/>
      <c r="D68" s="268" t="s">
        <v>187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91642</v>
      </c>
      <c r="I68" s="105"/>
      <c r="J68" s="58">
        <f>H68/DAY(B2)</f>
        <v>3054.7333333333331</v>
      </c>
      <c r="K68" s="85"/>
      <c r="L68" s="117"/>
    </row>
    <row r="69" spans="1:12" ht="23.25" customHeight="1">
      <c r="A69" s="1526" t="s">
        <v>189</v>
      </c>
      <c r="B69" s="1527"/>
      <c r="C69" s="1528"/>
      <c r="D69" s="268" t="s">
        <v>187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523" t="s">
        <v>190</v>
      </c>
      <c r="B70" s="1524"/>
      <c r="C70" s="1524"/>
      <c r="D70" s="1524"/>
      <c r="E70" s="1524"/>
      <c r="F70" s="1524"/>
      <c r="G70" s="1524"/>
      <c r="H70" s="1524"/>
      <c r="I70" s="1524"/>
      <c r="J70" s="1525"/>
      <c r="K70" s="83"/>
      <c r="L70" s="117"/>
    </row>
    <row r="71" spans="1:12" ht="23.25" customHeight="1">
      <c r="A71" s="1517" t="s">
        <v>191</v>
      </c>
      <c r="B71" s="1518"/>
      <c r="C71" s="1519"/>
      <c r="D71" s="268" t="s">
        <v>187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-59645</v>
      </c>
      <c r="I71" s="69"/>
      <c r="J71" s="58">
        <f>H71/DAY(B2)</f>
        <v>-1988.1666666666667</v>
      </c>
      <c r="K71" s="85"/>
      <c r="L71" s="117"/>
    </row>
    <row r="72" spans="1:12" ht="23.25" customHeight="1">
      <c r="A72" s="1517" t="s">
        <v>192</v>
      </c>
      <c r="B72" s="1518"/>
      <c r="C72" s="1519"/>
      <c r="D72" s="268" t="s">
        <v>187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-3138</v>
      </c>
      <c r="I72" s="69"/>
      <c r="J72" s="58">
        <f>H72/DAY(B2)</f>
        <v>-104.6</v>
      </c>
      <c r="K72" s="83"/>
      <c r="L72" s="117"/>
    </row>
    <row r="73" spans="1:12" ht="23.25" customHeight="1">
      <c r="A73" s="1517" t="s">
        <v>193</v>
      </c>
      <c r="B73" s="1518"/>
      <c r="C73" s="1519"/>
      <c r="D73" s="268" t="s">
        <v>187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782555.83</v>
      </c>
      <c r="I73" s="69"/>
      <c r="J73" s="58">
        <f>H73/DAY(B2)</f>
        <v>26085.194333333333</v>
      </c>
      <c r="K73" s="85"/>
      <c r="L73" s="117"/>
    </row>
    <row r="74" spans="1:12" ht="23.25" customHeight="1">
      <c r="A74" s="1520" t="s">
        <v>194</v>
      </c>
      <c r="B74" s="1521"/>
      <c r="C74" s="1522"/>
      <c r="D74" s="268" t="s">
        <v>187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637884.78</v>
      </c>
      <c r="I74" s="69"/>
      <c r="J74" s="58">
        <f>H74/DAY(B2)</f>
        <v>21262.826000000001</v>
      </c>
      <c r="K74" s="83"/>
      <c r="L74" s="117"/>
    </row>
    <row r="75" spans="1:12" ht="23.25" customHeight="1">
      <c r="A75" s="1520" t="s">
        <v>195</v>
      </c>
      <c r="B75" s="1521"/>
      <c r="C75" s="1522"/>
      <c r="D75" s="268" t="s">
        <v>187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612544.58000000007</v>
      </c>
      <c r="I75" s="112"/>
      <c r="J75" s="58">
        <f>H75/DAY(B2)</f>
        <v>20418.152666666669</v>
      </c>
      <c r="K75" s="83"/>
      <c r="L75" s="117"/>
    </row>
    <row r="76" spans="1:12" ht="23.25" customHeight="1">
      <c r="A76" s="1517" t="s">
        <v>196</v>
      </c>
      <c r="B76" s="1518"/>
      <c r="C76" s="1519"/>
      <c r="D76" s="268" t="s">
        <v>187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-28683</v>
      </c>
      <c r="I76" s="112"/>
      <c r="J76" s="58">
        <f>H76/DAY(B2)</f>
        <v>-956.1</v>
      </c>
      <c r="K76" s="83"/>
      <c r="L76" s="117"/>
    </row>
    <row r="77" spans="1:12" ht="23.25" customHeight="1">
      <c r="A77" s="1214" t="s">
        <v>197</v>
      </c>
      <c r="B77" s="1215"/>
      <c r="C77" s="1216"/>
      <c r="D77" s="268" t="s">
        <v>187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-165549</v>
      </c>
      <c r="I77" s="112"/>
      <c r="J77" s="58">
        <f>H77/DAY(B2)</f>
        <v>-5518.3</v>
      </c>
      <c r="K77" s="83"/>
      <c r="L77" s="117"/>
    </row>
    <row r="78" spans="1:12" ht="23.25" customHeight="1">
      <c r="A78" s="1529" t="s">
        <v>92</v>
      </c>
      <c r="B78" s="1530"/>
      <c r="C78" s="1531"/>
      <c r="D78" s="376" t="s">
        <v>187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-140579</v>
      </c>
      <c r="I78" s="112"/>
      <c r="J78" s="58">
        <f>H78/DAY(B2)</f>
        <v>-4685.9666666666662</v>
      </c>
      <c r="K78" s="83"/>
      <c r="L78" s="117"/>
    </row>
    <row r="79" spans="1:12" ht="23.25" customHeight="1">
      <c r="A79" s="1529" t="s">
        <v>198</v>
      </c>
      <c r="B79" s="1530"/>
      <c r="C79" s="1531"/>
      <c r="D79" s="376" t="s">
        <v>187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-150927.08000000002</v>
      </c>
      <c r="I79" s="112"/>
      <c r="J79" s="58">
        <f>H79/DAY(B2)</f>
        <v>-5030.9026666666668</v>
      </c>
      <c r="K79" s="83"/>
      <c r="L79" s="117"/>
    </row>
    <row r="80" spans="1:12" ht="23.25" customHeight="1">
      <c r="A80" s="1529" t="s">
        <v>199</v>
      </c>
      <c r="B80" s="1530"/>
      <c r="C80" s="1531"/>
      <c r="D80" s="376" t="s">
        <v>187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-218355.63999999996</v>
      </c>
      <c r="I80" s="112"/>
      <c r="J80" s="58">
        <f>H80/DAY(B2)</f>
        <v>-7278.5213333333322</v>
      </c>
      <c r="K80" s="83"/>
      <c r="L80" s="117"/>
    </row>
    <row r="81" spans="1:12" ht="23.25" customHeight="1">
      <c r="A81" s="1535" t="s">
        <v>93</v>
      </c>
      <c r="B81" s="1530"/>
      <c r="C81" s="1531"/>
      <c r="D81" s="377" t="s">
        <v>132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-33616.36</v>
      </c>
      <c r="I81" s="206"/>
      <c r="J81" s="58">
        <f>H81/DAY(B2)</f>
        <v>-1120.5453333333332</v>
      </c>
      <c r="K81" s="83"/>
      <c r="L81" s="117"/>
    </row>
    <row r="82" spans="1:12" ht="23.25" customHeight="1">
      <c r="A82" s="1535" t="s">
        <v>200</v>
      </c>
      <c r="B82" s="1530"/>
      <c r="C82" s="1531"/>
      <c r="D82" s="273" t="s">
        <v>132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729250</v>
      </c>
      <c r="I82" s="68"/>
      <c r="J82" s="58">
        <f>H82/DAY(B2)</f>
        <v>24308.333333333332</v>
      </c>
      <c r="K82" s="75"/>
      <c r="L82" s="117"/>
    </row>
    <row r="83" spans="1:12" ht="23.25" customHeight="1">
      <c r="A83" s="1217" t="s">
        <v>201</v>
      </c>
      <c r="B83" s="1217"/>
      <c r="C83" s="1218"/>
      <c r="D83" s="379" t="s">
        <v>132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529972</v>
      </c>
      <c r="I83" s="68"/>
      <c r="J83" s="58">
        <f>H83/DAY(B2)</f>
        <v>17665.733333333334</v>
      </c>
      <c r="K83" s="88"/>
      <c r="L83" s="117"/>
    </row>
    <row r="84" spans="1:12" s="38" customFormat="1" ht="23.25" customHeight="1">
      <c r="A84" s="446" t="s">
        <v>202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2490122.8499999996</v>
      </c>
      <c r="I84" s="68"/>
      <c r="J84" s="58">
        <f>H84/DAY(B2)</f>
        <v>83004.094999999987</v>
      </c>
      <c r="K84" s="88"/>
      <c r="L84" s="44"/>
    </row>
    <row r="85" spans="1:12" s="38" customFormat="1" ht="23.25" customHeight="1">
      <c r="A85" s="1209" t="s">
        <v>205</v>
      </c>
      <c r="B85" s="435"/>
      <c r="C85" s="1210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508" t="s">
        <v>206</v>
      </c>
      <c r="B86" s="1509"/>
      <c r="C86" s="1510"/>
      <c r="D86" s="268" t="s">
        <v>144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-64184</v>
      </c>
      <c r="I86" s="69"/>
      <c r="J86" s="58">
        <f>H86/DAY(B2)</f>
        <v>-2139.4666666666667</v>
      </c>
      <c r="K86" s="75"/>
      <c r="L86" s="117"/>
    </row>
    <row r="87" spans="1:12" ht="23.25" customHeight="1">
      <c r="A87" s="1508" t="s">
        <v>207</v>
      </c>
      <c r="B87" s="1509"/>
      <c r="C87" s="1510"/>
      <c r="D87" s="268" t="s">
        <v>144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-115325</v>
      </c>
      <c r="I87" s="69"/>
      <c r="J87" s="58">
        <f>H87/DAY(B2)</f>
        <v>-3844.1666666666665</v>
      </c>
      <c r="K87" s="88"/>
      <c r="L87" s="117"/>
    </row>
    <row r="88" spans="1:12" ht="23.25" customHeight="1">
      <c r="A88" s="1532" t="s">
        <v>208</v>
      </c>
      <c r="B88" s="1533"/>
      <c r="C88" s="1534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-179775</v>
      </c>
      <c r="I88" s="69"/>
      <c r="J88" s="58">
        <f>H88/DAY(B2)</f>
        <v>-5992.5</v>
      </c>
      <c r="K88" s="88"/>
      <c r="L88" s="117"/>
    </row>
    <row r="89" spans="1:12" ht="23.25" customHeight="1">
      <c r="A89" s="1508" t="s">
        <v>209</v>
      </c>
      <c r="B89" s="1509"/>
      <c r="C89" s="1510"/>
      <c r="D89" s="268" t="s">
        <v>144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-56970</v>
      </c>
      <c r="I89" s="69"/>
      <c r="J89" s="58">
        <f>H89/DAY(B2)</f>
        <v>-1899</v>
      </c>
      <c r="K89" s="88"/>
      <c r="L89" s="117"/>
    </row>
    <row r="90" spans="1:12" ht="23.25" customHeight="1">
      <c r="A90" s="1211" t="s">
        <v>210</v>
      </c>
      <c r="B90" s="1212"/>
      <c r="C90" s="1213"/>
      <c r="D90" s="268" t="s">
        <v>144</v>
      </c>
      <c r="E90" s="56">
        <v>72</v>
      </c>
      <c r="F90" s="267">
        <v>84</v>
      </c>
      <c r="G90" s="325">
        <f t="shared" si="8"/>
        <v>12</v>
      </c>
      <c r="H90" s="57">
        <f>G90+'29'!H96</f>
        <v>-850</v>
      </c>
      <c r="I90" s="69"/>
      <c r="J90" s="58">
        <f>H90/DAY(B2)</f>
        <v>-28.333333333333332</v>
      </c>
      <c r="K90" s="43"/>
      <c r="L90" s="117"/>
    </row>
    <row r="91" spans="1:12" ht="23.25" customHeight="1">
      <c r="A91" s="1211" t="s">
        <v>211</v>
      </c>
      <c r="B91" s="1212"/>
      <c r="C91" s="1213"/>
      <c r="D91" s="268" t="s">
        <v>144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-14116</v>
      </c>
      <c r="I91" s="69"/>
      <c r="J91" s="58">
        <f>H91/DAY(B2)</f>
        <v>-470.53333333333336</v>
      </c>
      <c r="K91" s="51"/>
      <c r="L91" s="117"/>
    </row>
    <row r="92" spans="1:12" ht="23.25" customHeight="1">
      <c r="A92" s="1211" t="s">
        <v>212</v>
      </c>
      <c r="B92" s="1212"/>
      <c r="C92" s="1213"/>
      <c r="D92" s="268" t="s">
        <v>144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-31660</v>
      </c>
      <c r="I92" s="69"/>
      <c r="J92" s="58">
        <f>H92/DAY(B2)</f>
        <v>-1055.3333333333333</v>
      </c>
      <c r="K92" s="88"/>
      <c r="L92" s="117"/>
    </row>
    <row r="93" spans="1:12" ht="23.25" customHeight="1">
      <c r="A93" s="1211" t="s">
        <v>213</v>
      </c>
      <c r="B93" s="1212"/>
      <c r="C93" s="1213"/>
      <c r="D93" s="268" t="s">
        <v>144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-3750</v>
      </c>
      <c r="I93" s="69"/>
      <c r="J93" s="58">
        <f>H93/DAY(B2)</f>
        <v>-125</v>
      </c>
      <c r="K93" s="88"/>
      <c r="L93" s="117"/>
    </row>
    <row r="94" spans="1:12" ht="23.25" customHeight="1">
      <c r="A94" s="1211" t="s">
        <v>214</v>
      </c>
      <c r="B94" s="1212"/>
      <c r="C94" s="1213"/>
      <c r="D94" s="268" t="s">
        <v>144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-2036</v>
      </c>
      <c r="I94" s="69"/>
      <c r="J94" s="58">
        <f>H94/DAY(B2)</f>
        <v>-67.86666666666666</v>
      </c>
      <c r="K94" s="88"/>
      <c r="L94" s="117"/>
    </row>
    <row r="95" spans="1:12" ht="23.25" customHeight="1">
      <c r="A95" s="1532" t="s">
        <v>216</v>
      </c>
      <c r="B95" s="1533"/>
      <c r="C95" s="1534"/>
      <c r="D95" s="274"/>
      <c r="E95" s="453"/>
      <c r="F95" s="274"/>
      <c r="G95" s="448">
        <f>SUM(G89:G94)</f>
        <v>-102327</v>
      </c>
      <c r="H95" s="57">
        <f>G95+'29'!H101</f>
        <v>-109382</v>
      </c>
      <c r="I95" s="140"/>
      <c r="J95" s="58">
        <f>H95/DAY(B2)</f>
        <v>-3646.0666666666666</v>
      </c>
      <c r="K95" s="88"/>
      <c r="L95" s="117"/>
    </row>
    <row r="96" spans="1:12" ht="23.25" customHeight="1">
      <c r="A96" s="1536" t="s">
        <v>230</v>
      </c>
      <c r="B96" s="1537"/>
      <c r="C96" s="1538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231</v>
      </c>
      <c r="B97" s="386"/>
      <c r="C97" s="387"/>
      <c r="D97" s="319" t="s">
        <v>141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-160814.13</v>
      </c>
      <c r="I97" s="87"/>
      <c r="J97" s="58">
        <f>H97/DAY(B2)</f>
        <v>-5360.4710000000005</v>
      </c>
      <c r="K97" s="88"/>
      <c r="L97" s="117"/>
    </row>
    <row r="98" spans="1:12" ht="23.25" customHeight="1">
      <c r="A98" s="385" t="s">
        <v>232</v>
      </c>
      <c r="B98" s="386"/>
      <c r="C98" s="387"/>
      <c r="D98" s="319" t="s">
        <v>141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-22213.399999999994</v>
      </c>
      <c r="I98" s="389"/>
      <c r="J98" s="58">
        <f>H98/DAY(B2)</f>
        <v>-740.44666666666649</v>
      </c>
      <c r="K98" s="88"/>
      <c r="L98" s="117"/>
    </row>
    <row r="99" spans="1:12" ht="23.25" customHeight="1">
      <c r="A99" s="1517" t="s">
        <v>233</v>
      </c>
      <c r="B99" s="1518"/>
      <c r="C99" s="1519"/>
      <c r="D99" s="268" t="s">
        <v>141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-56684.849999999991</v>
      </c>
      <c r="I99" s="389"/>
      <c r="J99" s="58">
        <f>H99/DAY(B2)</f>
        <v>-1889.4949999999997</v>
      </c>
      <c r="K99" s="88"/>
      <c r="L99" s="117"/>
    </row>
    <row r="100" spans="1:12" ht="23.25" customHeight="1">
      <c r="A100" s="416" t="s">
        <v>234</v>
      </c>
      <c r="B100" s="1212"/>
      <c r="C100" s="1213"/>
      <c r="D100" s="268" t="s">
        <v>141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-19640.900000000001</v>
      </c>
      <c r="I100" s="389"/>
      <c r="J100" s="58">
        <f>H100/DAY(B2)</f>
        <v>-654.69666666666672</v>
      </c>
      <c r="K100" s="88"/>
      <c r="L100" s="117"/>
    </row>
    <row r="101" spans="1:12" ht="23.25" customHeight="1">
      <c r="A101" s="416" t="s">
        <v>235</v>
      </c>
      <c r="B101" s="1212"/>
      <c r="C101" s="1213"/>
      <c r="D101" s="268" t="s">
        <v>141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-2666.4999999999991</v>
      </c>
      <c r="I101" s="326"/>
      <c r="J101" s="314">
        <f>H101/DAY(B2)</f>
        <v>-88.883333333333297</v>
      </c>
      <c r="K101" s="88"/>
      <c r="L101" s="117"/>
    </row>
    <row r="102" spans="1:12" ht="23.25" customHeight="1">
      <c r="A102" s="1539" t="s">
        <v>250</v>
      </c>
      <c r="B102" s="1540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508" t="s">
        <v>251</v>
      </c>
      <c r="B103" s="1509"/>
      <c r="C103" s="1510"/>
      <c r="D103" s="268" t="s">
        <v>132</v>
      </c>
      <c r="E103" s="268"/>
      <c r="F103" s="268"/>
      <c r="G103" s="277">
        <f>G34+G42+G48+G56</f>
        <v>641377.42999999982</v>
      </c>
      <c r="H103" s="57">
        <f>G103+'29'!H142</f>
        <v>484427.28999999992</v>
      </c>
      <c r="I103" s="69"/>
      <c r="J103" s="58">
        <f>H103/DAY(B2)</f>
        <v>16147.576333333331</v>
      </c>
      <c r="K103" s="88"/>
      <c r="L103" s="117"/>
    </row>
    <row r="104" spans="1:12" ht="23.25" customHeight="1">
      <c r="A104" s="1508" t="s">
        <v>252</v>
      </c>
      <c r="B104" s="1509"/>
      <c r="C104" s="1510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4.6451438502838274</v>
      </c>
      <c r="I104" s="84"/>
      <c r="J104" s="58">
        <f>H104/DAY(B2)</f>
        <v>0.15483812834279426</v>
      </c>
      <c r="K104" s="111"/>
      <c r="L104" s="117"/>
    </row>
    <row r="105" spans="1:12" ht="23.25" customHeight="1">
      <c r="A105" s="1508" t="s">
        <v>253</v>
      </c>
      <c r="B105" s="1509"/>
      <c r="C105" s="1510"/>
      <c r="D105" s="268" t="s">
        <v>132</v>
      </c>
      <c r="E105" s="265"/>
      <c r="F105" s="265"/>
      <c r="G105" s="277">
        <f>G40+G41+G54+G55</f>
        <v>2773280.8899999997</v>
      </c>
      <c r="H105" s="57">
        <f>G105+'29'!H144</f>
        <v>2639629.9499999997</v>
      </c>
      <c r="I105" s="69"/>
      <c r="J105" s="58">
        <f>H105/DAY(B2)</f>
        <v>87987.664999999994</v>
      </c>
      <c r="K105" s="111"/>
      <c r="L105" s="117"/>
    </row>
    <row r="106" spans="1:12" ht="23.25" customHeight="1">
      <c r="A106" s="1508" t="s">
        <v>254</v>
      </c>
      <c r="B106" s="1509"/>
      <c r="C106" s="1510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-4.8608072245381617</v>
      </c>
      <c r="I106" s="84"/>
      <c r="J106" s="58">
        <f>H106/DAY(B2)</f>
        <v>-0.16202690748460538</v>
      </c>
      <c r="K106" s="111"/>
      <c r="L106" s="117"/>
    </row>
    <row r="107" spans="1:12" ht="23.25" customHeight="1">
      <c r="A107" s="1508" t="s">
        <v>255</v>
      </c>
      <c r="B107" s="1509"/>
      <c r="C107" s="1510"/>
      <c r="D107" s="268" t="s">
        <v>132</v>
      </c>
      <c r="E107" s="265"/>
      <c r="F107" s="265"/>
      <c r="G107" s="277">
        <f>G38+G52</f>
        <v>1785156.7200000002</v>
      </c>
      <c r="H107" s="57">
        <f>G107+'29'!H146</f>
        <v>2671108.0700000003</v>
      </c>
      <c r="I107" s="86"/>
      <c r="J107" s="58">
        <f>H107/DAY(B2)</f>
        <v>89036.935666666672</v>
      </c>
      <c r="K107" s="111"/>
      <c r="L107" s="117"/>
    </row>
    <row r="108" spans="1:12" ht="23.25" customHeight="1">
      <c r="A108" s="1508" t="s">
        <v>256</v>
      </c>
      <c r="B108" s="1509"/>
      <c r="C108" s="1510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1.6278093958991535</v>
      </c>
      <c r="I108" s="86"/>
      <c r="J108" s="58">
        <f>H108/DAY(B2)</f>
        <v>5.4260313196638453E-2</v>
      </c>
    </row>
    <row r="109" spans="1:12" ht="23.25" customHeight="1">
      <c r="A109" s="1508" t="s">
        <v>257</v>
      </c>
      <c r="B109" s="1509"/>
      <c r="C109" s="1510"/>
      <c r="D109" s="268" t="s">
        <v>183</v>
      </c>
      <c r="E109" s="265"/>
      <c r="F109" s="265"/>
      <c r="G109" s="277">
        <f>G37+G51</f>
        <v>1279050.75</v>
      </c>
      <c r="H109" s="57">
        <f>G109+'29'!H148</f>
        <v>1367840.55</v>
      </c>
      <c r="I109" s="69"/>
      <c r="J109" s="58">
        <f>H109/DAY(B2)</f>
        <v>45594.685000000005</v>
      </c>
      <c r="K109" s="153"/>
    </row>
    <row r="110" spans="1:12" ht="23.25" customHeight="1">
      <c r="A110" s="1508" t="s">
        <v>258</v>
      </c>
      <c r="B110" s="1509"/>
      <c r="C110" s="1510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-2.8136034708656723</v>
      </c>
      <c r="I110" s="86"/>
      <c r="J110" s="58">
        <f>H110/DAY(B2)</f>
        <v>-9.3786782362189083E-2</v>
      </c>
    </row>
    <row r="111" spans="1:12" ht="23.25" customHeight="1">
      <c r="A111" s="1508" t="s">
        <v>259</v>
      </c>
      <c r="B111" s="1509"/>
      <c r="C111" s="1510"/>
      <c r="D111" s="268" t="s">
        <v>183</v>
      </c>
      <c r="E111" s="265"/>
      <c r="F111" s="265"/>
      <c r="G111" s="277">
        <f>G35+G49</f>
        <v>760322.52</v>
      </c>
      <c r="H111" s="57">
        <f>G111+'29'!H150</f>
        <v>703267.61999999988</v>
      </c>
      <c r="I111" s="86"/>
      <c r="J111" s="58">
        <f>H111/DAY(B2)</f>
        <v>23442.253999999997</v>
      </c>
    </row>
    <row r="112" spans="1:12" ht="23.25" customHeight="1">
      <c r="A112" s="1508" t="s">
        <v>260</v>
      </c>
      <c r="B112" s="1509"/>
      <c r="C112" s="1510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-0.53843926890010829</v>
      </c>
      <c r="I112" s="69"/>
      <c r="J112" s="58">
        <f>H112/DAY(B2)</f>
        <v>-1.794797563000361E-2</v>
      </c>
    </row>
    <row r="113" spans="1:10" ht="23.25" customHeight="1">
      <c r="A113" s="1508" t="s">
        <v>261</v>
      </c>
      <c r="B113" s="1509"/>
      <c r="C113" s="1510"/>
      <c r="D113" s="268" t="s">
        <v>183</v>
      </c>
      <c r="E113" s="265"/>
      <c r="F113" s="265"/>
      <c r="G113" s="277">
        <f>G36+G50</f>
        <v>422709.93999999994</v>
      </c>
      <c r="H113" s="57">
        <f>G113+'29'!H152</f>
        <v>827865.1</v>
      </c>
      <c r="I113" s="69"/>
      <c r="J113" s="58">
        <f>H113/DAY(B2)</f>
        <v>27595.503333333334</v>
      </c>
    </row>
    <row r="114" spans="1:10" ht="23.25" customHeight="1">
      <c r="A114" s="1508" t="s">
        <v>262</v>
      </c>
      <c r="B114" s="1509"/>
      <c r="C114" s="1510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1.2916511199380607</v>
      </c>
      <c r="I114" s="69"/>
      <c r="J114" s="58">
        <f>H114/DAY(B2)</f>
        <v>4.305503733126869E-2</v>
      </c>
    </row>
    <row r="115" spans="1:10" ht="23.25" customHeight="1">
      <c r="A115" s="422" t="s">
        <v>237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238</v>
      </c>
      <c r="B116" s="475"/>
      <c r="C116" s="475"/>
      <c r="D116" s="268" t="s">
        <v>239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240</v>
      </c>
      <c r="B117" s="475"/>
      <c r="C117" s="475"/>
      <c r="D117" s="268" t="s">
        <v>239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241</v>
      </c>
      <c r="B118" s="475"/>
      <c r="C118" s="475"/>
      <c r="D118" s="268" t="s">
        <v>239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-2246.9500000000044</v>
      </c>
      <c r="I118" s="69"/>
      <c r="J118" s="58">
        <f>H118/DAY(B2)</f>
        <v>-74.898333333333483</v>
      </c>
    </row>
    <row r="119" spans="1:10" ht="23.25" customHeight="1">
      <c r="A119" s="475" t="s">
        <v>242</v>
      </c>
      <c r="B119" s="475"/>
      <c r="C119" s="475"/>
      <c r="D119" s="268" t="s">
        <v>239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32097.32</v>
      </c>
      <c r="I119" s="69">
        <f>G116+G117+G118+G119</f>
        <v>29237.78</v>
      </c>
      <c r="J119" s="58">
        <f>H119/DAY(B2)</f>
        <v>1069.9106666666667</v>
      </c>
    </row>
    <row r="120" spans="1:10" ht="23.25" customHeight="1">
      <c r="A120" s="475" t="s">
        <v>243</v>
      </c>
      <c r="B120" s="475"/>
      <c r="C120" s="475"/>
      <c r="D120" s="268" t="s">
        <v>239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-9741.2699999999968</v>
      </c>
      <c r="I120" s="69"/>
      <c r="J120" s="58">
        <f>H120/DAY(B2)</f>
        <v>-324.70899999999989</v>
      </c>
    </row>
    <row r="121" spans="1:10" ht="23.25" customHeight="1">
      <c r="A121" s="475" t="s">
        <v>244</v>
      </c>
      <c r="B121" s="475"/>
      <c r="C121" s="475"/>
      <c r="D121" s="268" t="s">
        <v>239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-6858.2200000000012</v>
      </c>
      <c r="I121" s="69"/>
      <c r="J121" s="58">
        <f>H121/DAY(B2)</f>
        <v>-228.60733333333337</v>
      </c>
    </row>
    <row r="122" spans="1:10" ht="23.25" customHeight="1">
      <c r="A122" s="475" t="s">
        <v>245</v>
      </c>
      <c r="B122" s="475"/>
      <c r="C122" s="475"/>
      <c r="D122" s="268" t="s">
        <v>239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-936.71999999999753</v>
      </c>
      <c r="I122" s="69">
        <f>G120+G121+G122</f>
        <v>-16898.73</v>
      </c>
      <c r="J122" s="58">
        <f>H122/DAY(B2)</f>
        <v>-31.223999999999918</v>
      </c>
    </row>
    <row r="123" spans="1:10" ht="23.25" customHeight="1">
      <c r="A123" s="475" t="s">
        <v>246</v>
      </c>
      <c r="B123" s="475"/>
      <c r="C123" s="475"/>
      <c r="D123" s="268" t="s">
        <v>239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-2673.84</v>
      </c>
      <c r="I123" s="69"/>
      <c r="J123" s="58">
        <f>H123/DAY(B2)</f>
        <v>-89.128</v>
      </c>
    </row>
    <row r="124" spans="1:10" ht="23.25" customHeight="1">
      <c r="A124" s="475" t="s">
        <v>247</v>
      </c>
      <c r="B124" s="475"/>
      <c r="C124" s="475"/>
      <c r="D124" s="268" t="s">
        <v>239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-5326.4800000000032</v>
      </c>
      <c r="I124" s="69">
        <f>G123+G124</f>
        <v>-7935.6299999999937</v>
      </c>
      <c r="J124" s="58">
        <f>H124/DAY(B2)</f>
        <v>-177.54933333333344</v>
      </c>
    </row>
    <row r="125" spans="1:10" ht="23.25" customHeight="1">
      <c r="A125" s="475" t="s">
        <v>248</v>
      </c>
      <c r="B125" s="475"/>
      <c r="C125" s="475"/>
      <c r="D125" s="268" t="s">
        <v>239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-1405.24</v>
      </c>
      <c r="J125" s="58">
        <f>H125/DAY(B2)</f>
        <v>-46.841333333333331</v>
      </c>
    </row>
    <row r="126" spans="1:10" ht="23.25" customHeight="1" thickBot="1">
      <c r="A126" s="475" t="s">
        <v>249</v>
      </c>
      <c r="B126" s="475"/>
      <c r="C126" s="475"/>
      <c r="D126" s="268" t="s">
        <v>239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22397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22379</v>
      </c>
      <c r="B4" s="213"/>
    </row>
    <row r="5" spans="1:9">
      <c r="A5" s="213">
        <f>'3'!G7</f>
        <v>21109</v>
      </c>
    </row>
    <row r="6" spans="1:9">
      <c r="A6" s="213">
        <f>'4'!G7</f>
        <v>19792</v>
      </c>
    </row>
    <row r="7" spans="1:9">
      <c r="A7" s="213">
        <f>'5'!G7</f>
        <v>20391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2021-03-13T12:00:24Z</dcterms:modified>
</cp:coreProperties>
</file>