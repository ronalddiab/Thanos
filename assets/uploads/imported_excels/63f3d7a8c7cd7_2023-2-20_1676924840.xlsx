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10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showInkAnnotation="0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Salaheddine.Lasmar\Desktop\HEP FINAL\HEP 2022\"/>
    </mc:Choice>
  </mc:AlternateContent>
  <xr:revisionPtr revIDLastSave="0" documentId="13_ncr:1_{5465A94D-850A-425D-9D0D-1EB3967F1985}" xr6:coauthVersionLast="47" xr6:coauthVersionMax="47" xr10:uidLastSave="{00000000-0000-0000-0000-000000000000}"/>
  <bookViews>
    <workbookView xWindow="-120" yWindow="-120" windowWidth="29040" windowHeight="15840" tabRatio="764" xr2:uid="{00000000-000D-0000-FFFF-FFFF00000000}"/>
  </bookViews>
  <sheets>
    <sheet name="TOTAL" sheetId="22" r:id="rId1"/>
    <sheet name="submetering" sheetId="21" r:id="rId2"/>
    <sheet name="Consommation mensuel énergie" sheetId="2" r:id="rId3"/>
    <sheet name="Suivi EAU-ELEC" sheetId="6" r:id="rId4"/>
    <sheet name="Suvi Gaz" sheetId="4" r:id="rId5"/>
    <sheet name="Facture journalier D'élect" sheetId="19" r:id="rId6"/>
    <sheet name="facture électricité" sheetId="10" r:id="rId7"/>
    <sheet name="facture d'eau" sheetId="11" r:id="rId8"/>
    <sheet name="Facture journalier d'eau" sheetId="20" r:id="rId9"/>
    <sheet name="facture incendie" sheetId="18" r:id="rId10"/>
    <sheet name="cons annuel électr" sheetId="12" r:id="rId11"/>
    <sheet name="cons annuel EAU  " sheetId="16" r:id="rId12"/>
    <sheet name="livraison annuel GAZ" sheetId="17" r:id="rId13"/>
    <sheet name="Feuil1" sheetId="8" state="hidden" r:id="rId14"/>
  </sheets>
  <definedNames>
    <definedName name="_xlnm.Print_Area" localSheetId="2">'Consommation mensuel énergie'!$A$1:$Y$50</definedName>
    <definedName name="_xlnm.Print_Area" localSheetId="6">'facture électricité'!$A$1:$J$33</definedName>
    <definedName name="_xlnm.Print_Area" localSheetId="3">'Suivi EAU-ELEC'!$A$1:$K$40</definedName>
    <definedName name="_xlnm.Print_Area" localSheetId="4">'Suvi Gaz'!$A$1:$AC$48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1" i="2" l="1"/>
  <c r="X12" i="2"/>
  <c r="X13" i="2"/>
  <c r="X14" i="2"/>
  <c r="X15" i="2"/>
  <c r="X16" i="2"/>
  <c r="X17" i="2"/>
  <c r="X18" i="2"/>
  <c r="X19" i="2"/>
  <c r="X20" i="2"/>
  <c r="X21" i="2"/>
  <c r="X22" i="2"/>
  <c r="X23" i="2"/>
  <c r="X24" i="2"/>
  <c r="X25" i="2"/>
  <c r="X26" i="2"/>
  <c r="X27" i="2"/>
  <c r="X28" i="2"/>
  <c r="X29" i="2"/>
  <c r="X30" i="2"/>
  <c r="X31" i="2"/>
  <c r="X32" i="2"/>
  <c r="X33" i="2"/>
  <c r="X34" i="2"/>
  <c r="X35" i="2"/>
  <c r="X36" i="2"/>
  <c r="X37" i="2"/>
  <c r="X38" i="2"/>
  <c r="X39" i="2"/>
  <c r="X40" i="2"/>
  <c r="Q11" i="2"/>
  <c r="Q12" i="2"/>
  <c r="Q13" i="2"/>
  <c r="Q14" i="2"/>
  <c r="Q15" i="2"/>
  <c r="O5" i="4"/>
  <c r="O6" i="4"/>
  <c r="O7" i="4"/>
  <c r="O8" i="4"/>
  <c r="O9" i="4"/>
  <c r="O10" i="4"/>
  <c r="O11" i="4"/>
  <c r="O12" i="4"/>
  <c r="O13" i="4"/>
  <c r="O14" i="4"/>
  <c r="O15" i="4"/>
  <c r="O16" i="4"/>
  <c r="O17" i="4"/>
  <c r="O18" i="4"/>
  <c r="O19" i="4"/>
  <c r="O20" i="4"/>
  <c r="V26" i="2" s="1"/>
  <c r="O21" i="4"/>
  <c r="O22" i="4"/>
  <c r="O23" i="4"/>
  <c r="O24" i="4"/>
  <c r="O25" i="4"/>
  <c r="O26" i="4"/>
  <c r="O27" i="4"/>
  <c r="O28" i="4"/>
  <c r="O29" i="4"/>
  <c r="O30" i="4"/>
  <c r="O31" i="4"/>
  <c r="O32" i="4"/>
  <c r="O33" i="4"/>
  <c r="O34" i="4"/>
  <c r="N11" i="2"/>
  <c r="G3" i="21" s="1"/>
  <c r="N12" i="2"/>
  <c r="N13" i="2"/>
  <c r="N14" i="2"/>
  <c r="G6" i="21" s="1"/>
  <c r="N15" i="2"/>
  <c r="N16" i="2"/>
  <c r="N17" i="2"/>
  <c r="G9" i="21" s="1"/>
  <c r="N18" i="2"/>
  <c r="G10" i="21" s="1"/>
  <c r="N19" i="2"/>
  <c r="G11" i="21" s="1"/>
  <c r="N20" i="2"/>
  <c r="N21" i="2"/>
  <c r="N22" i="2"/>
  <c r="G14" i="21" s="1"/>
  <c r="N23" i="2"/>
  <c r="N24" i="2"/>
  <c r="N25" i="2"/>
  <c r="G17" i="21" s="1"/>
  <c r="N26" i="2"/>
  <c r="G18" i="21" s="1"/>
  <c r="N27" i="2"/>
  <c r="G19" i="21" s="1"/>
  <c r="N28" i="2"/>
  <c r="N29" i="2"/>
  <c r="N30" i="2"/>
  <c r="G22" i="21" s="1"/>
  <c r="N31" i="2"/>
  <c r="N32" i="2"/>
  <c r="N33" i="2"/>
  <c r="G25" i="21" s="1"/>
  <c r="N34" i="2"/>
  <c r="G26" i="21" s="1"/>
  <c r="N35" i="2"/>
  <c r="G27" i="21" s="1"/>
  <c r="N36" i="2"/>
  <c r="N37" i="2"/>
  <c r="N38" i="2"/>
  <c r="G30" i="21" s="1"/>
  <c r="N39" i="2"/>
  <c r="N40" i="2"/>
  <c r="M11" i="2"/>
  <c r="M12" i="2"/>
  <c r="M13" i="2"/>
  <c r="M14" i="2"/>
  <c r="M15" i="2"/>
  <c r="M16" i="2"/>
  <c r="F8" i="21" s="1"/>
  <c r="M17" i="2"/>
  <c r="M18" i="2"/>
  <c r="M19" i="2"/>
  <c r="M20" i="2"/>
  <c r="M21" i="2"/>
  <c r="M22" i="2"/>
  <c r="M23" i="2"/>
  <c r="M24" i="2"/>
  <c r="F16" i="21" s="1"/>
  <c r="M25" i="2"/>
  <c r="M26" i="2"/>
  <c r="M27" i="2"/>
  <c r="M28" i="2"/>
  <c r="M29" i="2"/>
  <c r="M30" i="2"/>
  <c r="M31" i="2"/>
  <c r="M32" i="2"/>
  <c r="F24" i="21" s="1"/>
  <c r="M33" i="2"/>
  <c r="M34" i="2"/>
  <c r="M35" i="2"/>
  <c r="M36" i="2"/>
  <c r="M37" i="2"/>
  <c r="M38" i="2"/>
  <c r="M39" i="2"/>
  <c r="M40" i="2"/>
  <c r="F32" i="21" s="1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K3" i="22"/>
  <c r="K4" i="22"/>
  <c r="K5" i="22"/>
  <c r="K6" i="22"/>
  <c r="K7" i="22"/>
  <c r="K8" i="22"/>
  <c r="K9" i="22"/>
  <c r="K10" i="22"/>
  <c r="K11" i="22"/>
  <c r="K12" i="22"/>
  <c r="K13" i="22"/>
  <c r="K14" i="22"/>
  <c r="K15" i="22"/>
  <c r="K16" i="22"/>
  <c r="K17" i="22"/>
  <c r="K18" i="22"/>
  <c r="K19" i="22"/>
  <c r="K20" i="22"/>
  <c r="K21" i="22"/>
  <c r="K22" i="22"/>
  <c r="K23" i="22"/>
  <c r="K24" i="22"/>
  <c r="K25" i="22"/>
  <c r="K26" i="22"/>
  <c r="K27" i="22"/>
  <c r="K28" i="22"/>
  <c r="K29" i="22"/>
  <c r="K30" i="22"/>
  <c r="K31" i="22"/>
  <c r="K32" i="22"/>
  <c r="I3" i="22"/>
  <c r="I4" i="22"/>
  <c r="I5" i="22"/>
  <c r="I6" i="22"/>
  <c r="I7" i="22"/>
  <c r="I8" i="22"/>
  <c r="I9" i="22"/>
  <c r="I10" i="22"/>
  <c r="I11" i="22"/>
  <c r="I12" i="22"/>
  <c r="I13" i="22"/>
  <c r="I14" i="22"/>
  <c r="I15" i="22"/>
  <c r="I16" i="22"/>
  <c r="I17" i="22"/>
  <c r="I18" i="22"/>
  <c r="I19" i="22"/>
  <c r="I20" i="22"/>
  <c r="I21" i="22"/>
  <c r="I22" i="22"/>
  <c r="I23" i="22"/>
  <c r="I24" i="22"/>
  <c r="I25" i="22"/>
  <c r="I26" i="22"/>
  <c r="I27" i="22"/>
  <c r="I28" i="22"/>
  <c r="I29" i="22"/>
  <c r="I30" i="22"/>
  <c r="I31" i="22"/>
  <c r="I32" i="22"/>
  <c r="G14" i="22"/>
  <c r="G22" i="22"/>
  <c r="G30" i="22"/>
  <c r="H3" i="21"/>
  <c r="H4" i="21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G4" i="21"/>
  <c r="G5" i="21"/>
  <c r="G7" i="21"/>
  <c r="G8" i="21"/>
  <c r="G12" i="21"/>
  <c r="G13" i="21"/>
  <c r="G15" i="21"/>
  <c r="G16" i="21"/>
  <c r="G20" i="21"/>
  <c r="G21" i="21"/>
  <c r="G23" i="21"/>
  <c r="G24" i="21"/>
  <c r="G28" i="21"/>
  <c r="G29" i="21"/>
  <c r="G31" i="21"/>
  <c r="G32" i="21"/>
  <c r="F3" i="21"/>
  <c r="F4" i="21"/>
  <c r="F5" i="21"/>
  <c r="F6" i="21"/>
  <c r="F7" i="21"/>
  <c r="F9" i="21"/>
  <c r="F10" i="21"/>
  <c r="F11" i="21"/>
  <c r="F12" i="21"/>
  <c r="F13" i="21"/>
  <c r="F14" i="21"/>
  <c r="F15" i="21"/>
  <c r="F17" i="21"/>
  <c r="F18" i="21"/>
  <c r="F19" i="21"/>
  <c r="F20" i="21"/>
  <c r="F21" i="21"/>
  <c r="F22" i="21"/>
  <c r="F23" i="21"/>
  <c r="F25" i="21"/>
  <c r="F26" i="21"/>
  <c r="F27" i="21"/>
  <c r="F28" i="21"/>
  <c r="F29" i="21"/>
  <c r="F30" i="21"/>
  <c r="F31" i="21"/>
  <c r="E3" i="21"/>
  <c r="E4" i="21"/>
  <c r="E4" i="22" s="1"/>
  <c r="E5" i="21"/>
  <c r="E5" i="22" s="1"/>
  <c r="E6" i="21"/>
  <c r="E7" i="21"/>
  <c r="E7" i="22" s="1"/>
  <c r="E8" i="21"/>
  <c r="E9" i="21"/>
  <c r="E10" i="21"/>
  <c r="E11" i="21"/>
  <c r="E12" i="21"/>
  <c r="E12" i="22" s="1"/>
  <c r="E13" i="21"/>
  <c r="E13" i="22" s="1"/>
  <c r="E14" i="21"/>
  <c r="E15" i="21"/>
  <c r="E15" i="22" s="1"/>
  <c r="E16" i="21"/>
  <c r="E17" i="21"/>
  <c r="E18" i="21"/>
  <c r="E19" i="21"/>
  <c r="E20" i="21"/>
  <c r="E20" i="22" s="1"/>
  <c r="E21" i="21"/>
  <c r="E21" i="22" s="1"/>
  <c r="E22" i="21"/>
  <c r="E23" i="21"/>
  <c r="E23" i="22" s="1"/>
  <c r="E24" i="21"/>
  <c r="E25" i="21"/>
  <c r="E26" i="21"/>
  <c r="E27" i="21"/>
  <c r="E28" i="21"/>
  <c r="E28" i="22" s="1"/>
  <c r="E29" i="21"/>
  <c r="E29" i="22" s="1"/>
  <c r="E30" i="21"/>
  <c r="E31" i="21"/>
  <c r="E31" i="22" s="1"/>
  <c r="E32" i="21"/>
  <c r="O13" i="2"/>
  <c r="O21" i="2"/>
  <c r="O29" i="2"/>
  <c r="O36" i="2"/>
  <c r="O37" i="2"/>
  <c r="E11" i="6"/>
  <c r="E12" i="6"/>
  <c r="E13" i="6"/>
  <c r="E14" i="6"/>
  <c r="E15" i="6"/>
  <c r="E16" i="6"/>
  <c r="E17" i="6"/>
  <c r="E18" i="6"/>
  <c r="E19" i="6"/>
  <c r="E20" i="6"/>
  <c r="E21" i="6"/>
  <c r="E22" i="6"/>
  <c r="F23" i="2" s="1"/>
  <c r="E23" i="6"/>
  <c r="E24" i="6"/>
  <c r="E25" i="6"/>
  <c r="F26" i="2" s="1"/>
  <c r="E26" i="6"/>
  <c r="F27" i="2" s="1"/>
  <c r="E27" i="6"/>
  <c r="E28" i="6"/>
  <c r="E29" i="6"/>
  <c r="E30" i="6"/>
  <c r="E31" i="6"/>
  <c r="E32" i="6"/>
  <c r="E33" i="6"/>
  <c r="F34" i="2" s="1"/>
  <c r="E34" i="6"/>
  <c r="F35" i="2" s="1"/>
  <c r="E35" i="6"/>
  <c r="E36" i="6"/>
  <c r="E37" i="6"/>
  <c r="E38" i="6"/>
  <c r="F39" i="2" s="1"/>
  <c r="E39" i="6"/>
  <c r="E40" i="6"/>
  <c r="K11" i="6"/>
  <c r="K12" i="6"/>
  <c r="K13" i="6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34" i="6"/>
  <c r="K35" i="6"/>
  <c r="K36" i="6"/>
  <c r="K37" i="6"/>
  <c r="K38" i="6"/>
  <c r="K39" i="6"/>
  <c r="K40" i="6"/>
  <c r="I11" i="6"/>
  <c r="I12" i="6"/>
  <c r="I13" i="6"/>
  <c r="I14" i="6"/>
  <c r="I15" i="6"/>
  <c r="I16" i="6"/>
  <c r="I17" i="6"/>
  <c r="I18" i="6"/>
  <c r="I19" i="6"/>
  <c r="I20" i="6"/>
  <c r="I21" i="6"/>
  <c r="I22" i="6"/>
  <c r="I23" i="6"/>
  <c r="I24" i="6"/>
  <c r="I25" i="6"/>
  <c r="I26" i="6"/>
  <c r="I27" i="6"/>
  <c r="I28" i="6"/>
  <c r="I29" i="6"/>
  <c r="I30" i="6"/>
  <c r="I31" i="6"/>
  <c r="I32" i="6"/>
  <c r="I33" i="6"/>
  <c r="I34" i="6"/>
  <c r="I35" i="6"/>
  <c r="I36" i="6"/>
  <c r="I37" i="6"/>
  <c r="I38" i="6"/>
  <c r="I39" i="6"/>
  <c r="I40" i="6"/>
  <c r="G11" i="6"/>
  <c r="G12" i="6"/>
  <c r="G13" i="6"/>
  <c r="G14" i="6"/>
  <c r="G15" i="6"/>
  <c r="G16" i="6"/>
  <c r="G17" i="6"/>
  <c r="G18" i="6"/>
  <c r="G19" i="6"/>
  <c r="G20" i="6"/>
  <c r="G21" i="6"/>
  <c r="G22" i="6"/>
  <c r="G23" i="6"/>
  <c r="G24" i="6"/>
  <c r="G25" i="6"/>
  <c r="G26" i="6"/>
  <c r="G27" i="6"/>
  <c r="G28" i="6"/>
  <c r="G29" i="6"/>
  <c r="G30" i="6"/>
  <c r="G31" i="6"/>
  <c r="G32" i="6"/>
  <c r="G33" i="6"/>
  <c r="G34" i="6"/>
  <c r="G35" i="6"/>
  <c r="G36" i="6"/>
  <c r="G37" i="6"/>
  <c r="G38" i="6"/>
  <c r="G39" i="6"/>
  <c r="G40" i="6"/>
  <c r="X10" i="2"/>
  <c r="P9" i="4"/>
  <c r="P10" i="4"/>
  <c r="P11" i="4"/>
  <c r="P12" i="4"/>
  <c r="P17" i="4"/>
  <c r="P18" i="4"/>
  <c r="V25" i="2"/>
  <c r="G17" i="22" s="1"/>
  <c r="V28" i="2"/>
  <c r="G20" i="22" s="1"/>
  <c r="P25" i="4"/>
  <c r="P26" i="4"/>
  <c r="P27" i="4"/>
  <c r="P28" i="4"/>
  <c r="P33" i="4"/>
  <c r="P34" i="4"/>
  <c r="P5" i="4"/>
  <c r="P6" i="4"/>
  <c r="P7" i="4"/>
  <c r="P8" i="4"/>
  <c r="P13" i="4"/>
  <c r="P14" i="4"/>
  <c r="P15" i="4"/>
  <c r="P16" i="4"/>
  <c r="P21" i="4"/>
  <c r="P22" i="4"/>
  <c r="P23" i="4"/>
  <c r="P24" i="4"/>
  <c r="P29" i="4"/>
  <c r="P30" i="4"/>
  <c r="P31" i="4"/>
  <c r="P32" i="4"/>
  <c r="O11" i="2"/>
  <c r="O28" i="2"/>
  <c r="O14" i="2"/>
  <c r="O22" i="2"/>
  <c r="O30" i="2"/>
  <c r="L3" i="22"/>
  <c r="L4" i="22"/>
  <c r="L5" i="22"/>
  <c r="L6" i="22"/>
  <c r="L7" i="22"/>
  <c r="L8" i="22"/>
  <c r="L9" i="22"/>
  <c r="L10" i="22"/>
  <c r="L11" i="22"/>
  <c r="L12" i="22"/>
  <c r="L13" i="22"/>
  <c r="L14" i="22"/>
  <c r="L15" i="22"/>
  <c r="L16" i="22"/>
  <c r="L17" i="22"/>
  <c r="L18" i="22"/>
  <c r="L19" i="22"/>
  <c r="L20" i="22"/>
  <c r="L21" i="22"/>
  <c r="L22" i="22"/>
  <c r="L23" i="22"/>
  <c r="L24" i="22"/>
  <c r="L25" i="22"/>
  <c r="L26" i="22"/>
  <c r="L27" i="22"/>
  <c r="L28" i="22"/>
  <c r="L29" i="22"/>
  <c r="L30" i="22"/>
  <c r="L31" i="22"/>
  <c r="L32" i="22"/>
  <c r="F19" i="2"/>
  <c r="F25" i="2"/>
  <c r="F31" i="2"/>
  <c r="F33" i="2"/>
  <c r="F20" i="2"/>
  <c r="F21" i="2"/>
  <c r="F22" i="2"/>
  <c r="F24" i="2"/>
  <c r="F28" i="2"/>
  <c r="F29" i="2"/>
  <c r="F30" i="2"/>
  <c r="F32" i="2"/>
  <c r="F36" i="2"/>
  <c r="F37" i="2"/>
  <c r="F38" i="2"/>
  <c r="F40" i="2"/>
  <c r="V19" i="2"/>
  <c r="G11" i="22" s="1"/>
  <c r="V20" i="2"/>
  <c r="G12" i="22" s="1"/>
  <c r="V21" i="2"/>
  <c r="G13" i="22" s="1"/>
  <c r="V22" i="2"/>
  <c r="V23" i="2"/>
  <c r="G15" i="22" s="1"/>
  <c r="V24" i="2"/>
  <c r="G16" i="22" s="1"/>
  <c r="V27" i="2"/>
  <c r="G19" i="22" s="1"/>
  <c r="V29" i="2"/>
  <c r="G21" i="22" s="1"/>
  <c r="V30" i="2"/>
  <c r="V31" i="2"/>
  <c r="G23" i="22" s="1"/>
  <c r="V32" i="2"/>
  <c r="G24" i="22" s="1"/>
  <c r="V33" i="2"/>
  <c r="G25" i="22" s="1"/>
  <c r="V35" i="2"/>
  <c r="G27" i="22" s="1"/>
  <c r="V36" i="2"/>
  <c r="G28" i="22" s="1"/>
  <c r="V37" i="2"/>
  <c r="G29" i="22" s="1"/>
  <c r="V38" i="2"/>
  <c r="V39" i="2"/>
  <c r="G31" i="22" s="1"/>
  <c r="V40" i="2"/>
  <c r="G32" i="22" s="1"/>
  <c r="B32" i="22"/>
  <c r="I32" i="21"/>
  <c r="B32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G18" i="22" l="1"/>
  <c r="E27" i="22"/>
  <c r="E19" i="22"/>
  <c r="E11" i="22"/>
  <c r="E3" i="22"/>
  <c r="E26" i="22"/>
  <c r="E18" i="22"/>
  <c r="E10" i="22"/>
  <c r="E25" i="22"/>
  <c r="E17" i="22"/>
  <c r="E24" i="22"/>
  <c r="E9" i="22"/>
  <c r="E30" i="22"/>
  <c r="E22" i="22"/>
  <c r="E14" i="22"/>
  <c r="E6" i="22"/>
  <c r="E16" i="22"/>
  <c r="E8" i="22"/>
  <c r="E32" i="22"/>
  <c r="O15" i="2"/>
  <c r="O12" i="2"/>
  <c r="O32" i="2"/>
  <c r="O24" i="2"/>
  <c r="O16" i="2"/>
  <c r="O20" i="2"/>
  <c r="O40" i="2"/>
  <c r="O19" i="2"/>
  <c r="O18" i="2"/>
  <c r="O17" i="2"/>
  <c r="O35" i="2"/>
  <c r="O27" i="2"/>
  <c r="O26" i="2"/>
  <c r="O34" i="2"/>
  <c r="O33" i="2"/>
  <c r="O25" i="2"/>
  <c r="O39" i="2"/>
  <c r="O31" i="2"/>
  <c r="O23" i="2"/>
  <c r="O38" i="2"/>
  <c r="V34" i="2"/>
  <c r="P20" i="4"/>
  <c r="P19" i="4"/>
  <c r="G26" i="22" l="1"/>
  <c r="M48" i="4"/>
  <c r="P43" i="4"/>
  <c r="P35" i="4"/>
  <c r="P36" i="4"/>
  <c r="P4" i="4"/>
  <c r="C40" i="6"/>
  <c r="C39" i="6"/>
  <c r="C38" i="6"/>
  <c r="C37" i="6"/>
  <c r="Q37" i="2"/>
  <c r="C36" i="6"/>
  <c r="C35" i="6"/>
  <c r="C34" i="6"/>
  <c r="Q39" i="2"/>
  <c r="C33" i="6"/>
  <c r="C32" i="6"/>
  <c r="C30" i="6"/>
  <c r="C31" i="6"/>
  <c r="C29" i="6"/>
  <c r="C28" i="6"/>
  <c r="C27" i="6"/>
  <c r="C26" i="6"/>
  <c r="C25" i="6"/>
  <c r="C24" i="6"/>
  <c r="C23" i="6"/>
  <c r="C22" i="6"/>
  <c r="C21" i="6"/>
  <c r="V16" i="2"/>
  <c r="V17" i="2"/>
  <c r="V18" i="2"/>
  <c r="C20" i="6"/>
  <c r="C19" i="6"/>
  <c r="C18" i="6"/>
  <c r="F18" i="2"/>
  <c r="C17" i="6"/>
  <c r="F17" i="2"/>
  <c r="C16" i="6"/>
  <c r="V11" i="2"/>
  <c r="V12" i="2"/>
  <c r="V13" i="2"/>
  <c r="V14" i="2"/>
  <c r="V15" i="2"/>
  <c r="V10" i="2"/>
  <c r="F16" i="2"/>
  <c r="C15" i="6"/>
  <c r="C11" i="6"/>
  <c r="C12" i="6"/>
  <c r="C13" i="6"/>
  <c r="C14" i="6"/>
  <c r="C10" i="6"/>
  <c r="K10" i="6"/>
  <c r="I10" i="6"/>
  <c r="G10" i="6"/>
  <c r="E10" i="6"/>
  <c r="F11" i="2"/>
  <c r="F12" i="2"/>
  <c r="F13" i="2"/>
  <c r="F14" i="2"/>
  <c r="F15" i="2"/>
  <c r="N10" i="2"/>
  <c r="M10" i="2"/>
  <c r="L10" i="2"/>
  <c r="F10" i="2"/>
  <c r="G4" i="4"/>
  <c r="E4" i="4"/>
  <c r="C4" i="4"/>
  <c r="H39" i="2"/>
  <c r="P37" i="4"/>
  <c r="P38" i="4"/>
  <c r="P39" i="4"/>
  <c r="P40" i="4"/>
  <c r="C35" i="4"/>
  <c r="D29" i="10"/>
  <c r="Q10" i="2"/>
  <c r="H37" i="2"/>
  <c r="H36" i="2"/>
  <c r="G21" i="4"/>
  <c r="E21" i="4"/>
  <c r="C21" i="4"/>
  <c r="M4" i="4"/>
  <c r="M5" i="4"/>
  <c r="M6" i="4"/>
  <c r="M7" i="4"/>
  <c r="G17" i="4"/>
  <c r="P42" i="4"/>
  <c r="G28" i="4"/>
  <c r="G33" i="4"/>
  <c r="G35" i="4"/>
  <c r="E28" i="4"/>
  <c r="E33" i="4"/>
  <c r="E35" i="4"/>
  <c r="C28" i="4"/>
  <c r="C33" i="4"/>
  <c r="G8" i="4"/>
  <c r="G16" i="4"/>
  <c r="E8" i="4"/>
  <c r="E16" i="4"/>
  <c r="E17" i="4"/>
  <c r="C8" i="4"/>
  <c r="C16" i="4"/>
  <c r="C17" i="4"/>
  <c r="AC9" i="4"/>
  <c r="AC10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8" i="4"/>
  <c r="G2" i="21"/>
  <c r="O10" i="2"/>
  <c r="I2" i="22"/>
  <c r="Q33" i="2"/>
  <c r="H35" i="2"/>
  <c r="H38" i="2"/>
  <c r="H34" i="2"/>
  <c r="Q32" i="2"/>
  <c r="H31" i="2"/>
  <c r="H30" i="2"/>
  <c r="H26" i="2"/>
  <c r="H25" i="2"/>
  <c r="Q23" i="2"/>
  <c r="H21" i="2"/>
  <c r="H20" i="2"/>
  <c r="AC22" i="4"/>
  <c r="J4" i="4"/>
  <c r="K4" i="4"/>
  <c r="AC32" i="4"/>
  <c r="Z43" i="4"/>
  <c r="J9" i="4"/>
  <c r="K9" i="4"/>
  <c r="J10" i="4"/>
  <c r="K10" i="4"/>
  <c r="J11" i="4"/>
  <c r="K11" i="4"/>
  <c r="J12" i="4"/>
  <c r="K12" i="4"/>
  <c r="J13" i="4"/>
  <c r="K13" i="4"/>
  <c r="J31" i="4"/>
  <c r="K31" i="4"/>
  <c r="AC29" i="4"/>
  <c r="G8" i="20"/>
  <c r="B13" i="20"/>
  <c r="F13" i="20"/>
  <c r="B20" i="20"/>
  <c r="F20" i="20"/>
  <c r="J5" i="4"/>
  <c r="K5" i="4"/>
  <c r="J34" i="4"/>
  <c r="K34" i="4"/>
  <c r="J35" i="4"/>
  <c r="K35" i="4"/>
  <c r="F29" i="19"/>
  <c r="H29" i="19"/>
  <c r="I29" i="19"/>
  <c r="J7" i="4"/>
  <c r="K7" i="4"/>
  <c r="J6" i="4"/>
  <c r="K6" i="4"/>
  <c r="L2" i="22"/>
  <c r="K2" i="22"/>
  <c r="I2" i="21"/>
  <c r="H2" i="21"/>
  <c r="D41" i="2"/>
  <c r="E41" i="2"/>
  <c r="B3" i="21"/>
  <c r="B4" i="21"/>
  <c r="B5" i="21"/>
  <c r="B6" i="21"/>
  <c r="B7" i="21"/>
  <c r="B8" i="21"/>
  <c r="B9" i="21"/>
  <c r="B10" i="21"/>
  <c r="B11" i="21"/>
  <c r="B12" i="21"/>
  <c r="B13" i="21"/>
  <c r="B14" i="21"/>
  <c r="B15" i="21"/>
  <c r="B16" i="21"/>
  <c r="B17" i="21"/>
  <c r="B18" i="21"/>
  <c r="B19" i="21"/>
  <c r="B20" i="21"/>
  <c r="B21" i="21"/>
  <c r="B22" i="21"/>
  <c r="B23" i="21"/>
  <c r="B24" i="21"/>
  <c r="B25" i="21"/>
  <c r="B26" i="21"/>
  <c r="B27" i="21" s="1"/>
  <c r="B28" i="21" s="1"/>
  <c r="B29" i="21" s="1"/>
  <c r="B30" i="21" s="1"/>
  <c r="B31" i="21" s="1"/>
  <c r="B3" i="22"/>
  <c r="B4" i="22"/>
  <c r="B5" i="22"/>
  <c r="B6" i="22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 s="1"/>
  <c r="B28" i="22" s="1"/>
  <c r="B29" i="22" s="1"/>
  <c r="B30" i="22" s="1"/>
  <c r="B31" i="22" s="1"/>
  <c r="J20" i="4"/>
  <c r="K20" i="4"/>
  <c r="AC30" i="4"/>
  <c r="G8" i="11"/>
  <c r="B19" i="11"/>
  <c r="F19" i="11"/>
  <c r="E29" i="10"/>
  <c r="F29" i="10" s="1"/>
  <c r="G8" i="18"/>
  <c r="B23" i="18"/>
  <c r="F23" i="18"/>
  <c r="E18" i="19"/>
  <c r="I18" i="19"/>
  <c r="F18" i="20"/>
  <c r="F17" i="20"/>
  <c r="F16" i="20"/>
  <c r="E17" i="19"/>
  <c r="I17" i="19"/>
  <c r="H31" i="19"/>
  <c r="I31" i="19"/>
  <c r="H30" i="19"/>
  <c r="I30" i="19"/>
  <c r="F28" i="19"/>
  <c r="E19" i="19"/>
  <c r="F19" i="19"/>
  <c r="AC33" i="4"/>
  <c r="AC16" i="4"/>
  <c r="AC17" i="4"/>
  <c r="AC11" i="4"/>
  <c r="AC13" i="4"/>
  <c r="I13" i="4"/>
  <c r="AD14" i="4"/>
  <c r="AD15" i="4"/>
  <c r="AD16" i="4"/>
  <c r="AD17" i="4"/>
  <c r="AD18" i="4"/>
  <c r="AD19" i="4"/>
  <c r="AD20" i="4"/>
  <c r="AD21" i="4"/>
  <c r="AD22" i="4"/>
  <c r="AD23" i="4"/>
  <c r="AD24" i="4"/>
  <c r="AE14" i="4"/>
  <c r="AE15" i="4"/>
  <c r="AE16" i="4"/>
  <c r="AE17" i="4"/>
  <c r="AE18" i="4"/>
  <c r="AE19" i="4"/>
  <c r="AE20" i="4"/>
  <c r="AE21" i="4"/>
  <c r="AE22" i="4"/>
  <c r="AE23" i="4"/>
  <c r="AE24" i="4"/>
  <c r="AE25" i="4"/>
  <c r="AE26" i="4"/>
  <c r="AE27" i="4"/>
  <c r="AE28" i="4"/>
  <c r="AE29" i="4"/>
  <c r="AC21" i="4"/>
  <c r="AC23" i="4"/>
  <c r="AC24" i="4"/>
  <c r="AC25" i="4"/>
  <c r="AC12" i="4"/>
  <c r="F20" i="18"/>
  <c r="F21" i="18"/>
  <c r="F22" i="18"/>
  <c r="F24" i="18"/>
  <c r="F28" i="18"/>
  <c r="F16" i="11"/>
  <c r="F17" i="11"/>
  <c r="F18" i="11"/>
  <c r="E17" i="10"/>
  <c r="F17" i="10"/>
  <c r="E18" i="10"/>
  <c r="D26" i="10"/>
  <c r="F26" i="10"/>
  <c r="H26" i="10"/>
  <c r="I26" i="10"/>
  <c r="I18" i="10"/>
  <c r="E19" i="10"/>
  <c r="D27" i="10"/>
  <c r="F27" i="10"/>
  <c r="H27" i="10"/>
  <c r="I27" i="10"/>
  <c r="F28" i="10"/>
  <c r="H28" i="10"/>
  <c r="I28" i="10"/>
  <c r="H30" i="10"/>
  <c r="I30" i="10"/>
  <c r="H31" i="10"/>
  <c r="I31" i="10"/>
  <c r="AC4" i="4"/>
  <c r="AD4" i="4"/>
  <c r="AE4" i="4"/>
  <c r="AC5" i="4"/>
  <c r="I5" i="4"/>
  <c r="AD5" i="4"/>
  <c r="AE5" i="4"/>
  <c r="AC6" i="4"/>
  <c r="I6" i="4"/>
  <c r="AD6" i="4"/>
  <c r="AE6" i="4"/>
  <c r="AC7" i="4"/>
  <c r="AD7" i="4"/>
  <c r="AE7" i="4"/>
  <c r="J8" i="4"/>
  <c r="K8" i="4"/>
  <c r="L7" i="4"/>
  <c r="N7" i="4"/>
  <c r="AC8" i="4"/>
  <c r="AD8" i="4"/>
  <c r="AE8" i="4"/>
  <c r="AD9" i="4"/>
  <c r="AE9" i="4"/>
  <c r="AD10" i="4"/>
  <c r="AE10" i="4"/>
  <c r="AD11" i="4"/>
  <c r="AE11" i="4"/>
  <c r="AD12" i="4"/>
  <c r="AE12" i="4"/>
  <c r="AD13" i="4"/>
  <c r="AE13" i="4"/>
  <c r="J14" i="4"/>
  <c r="K14" i="4"/>
  <c r="AC14" i="4"/>
  <c r="J15" i="4"/>
  <c r="K15" i="4"/>
  <c r="AC15" i="4"/>
  <c r="I15" i="4"/>
  <c r="J16" i="4"/>
  <c r="K16" i="4"/>
  <c r="J17" i="4"/>
  <c r="K17" i="4"/>
  <c r="J18" i="4"/>
  <c r="K18" i="4"/>
  <c r="AC18" i="4"/>
  <c r="I18" i="4"/>
  <c r="J19" i="4"/>
  <c r="K19" i="4"/>
  <c r="AC19" i="4"/>
  <c r="AC20" i="4"/>
  <c r="J21" i="4"/>
  <c r="K21" i="4"/>
  <c r="J22" i="4"/>
  <c r="K22" i="4"/>
  <c r="J23" i="4"/>
  <c r="K23" i="4"/>
  <c r="L22" i="4"/>
  <c r="N22" i="4"/>
  <c r="J24" i="4"/>
  <c r="K24" i="4"/>
  <c r="J25" i="4"/>
  <c r="K25" i="4"/>
  <c r="AD25" i="4"/>
  <c r="J26" i="4"/>
  <c r="K26" i="4"/>
  <c r="AC26" i="4"/>
  <c r="I26" i="4"/>
  <c r="AD26" i="4"/>
  <c r="J27" i="4"/>
  <c r="K27" i="4"/>
  <c r="AC27" i="4"/>
  <c r="AD27" i="4"/>
  <c r="J28" i="4"/>
  <c r="K28" i="4"/>
  <c r="AC28" i="4"/>
  <c r="I28" i="4"/>
  <c r="AD28" i="4"/>
  <c r="J29" i="4"/>
  <c r="K29" i="4"/>
  <c r="I29" i="4"/>
  <c r="AD29" i="4"/>
  <c r="J30" i="4"/>
  <c r="K30" i="4"/>
  <c r="AD30" i="4"/>
  <c r="AE30" i="4"/>
  <c r="AC31" i="4"/>
  <c r="I31" i="4"/>
  <c r="AD31" i="4"/>
  <c r="AE31" i="4"/>
  <c r="J32" i="4"/>
  <c r="K32" i="4"/>
  <c r="AD32" i="4"/>
  <c r="AE32" i="4"/>
  <c r="J33" i="4"/>
  <c r="K33" i="4"/>
  <c r="AD33" i="4"/>
  <c r="AE33" i="4"/>
  <c r="AC34" i="4"/>
  <c r="I34" i="4" s="1"/>
  <c r="AD34" i="4"/>
  <c r="AE34" i="4"/>
  <c r="AC35" i="4"/>
  <c r="AD35" i="4"/>
  <c r="AE35" i="4"/>
  <c r="J36" i="4"/>
  <c r="K36" i="4"/>
  <c r="L35" i="4"/>
  <c r="N35" i="4"/>
  <c r="O35" i="4"/>
  <c r="AC36" i="4"/>
  <c r="G36" i="4"/>
  <c r="AD36" i="4"/>
  <c r="AE36" i="4"/>
  <c r="J37" i="4"/>
  <c r="K37" i="4"/>
  <c r="L36" i="4"/>
  <c r="N36" i="4"/>
  <c r="O36" i="4"/>
  <c r="AC37" i="4"/>
  <c r="I37" i="4"/>
  <c r="AD37" i="4"/>
  <c r="AE37" i="4"/>
  <c r="J38" i="4"/>
  <c r="K38" i="4"/>
  <c r="L37" i="4"/>
  <c r="N37" i="4"/>
  <c r="O37" i="4"/>
  <c r="AC38" i="4"/>
  <c r="I38" i="4"/>
  <c r="AD38" i="4"/>
  <c r="AE38" i="4"/>
  <c r="J39" i="4"/>
  <c r="K39" i="4"/>
  <c r="L38" i="4"/>
  <c r="N38" i="4"/>
  <c r="O38" i="4"/>
  <c r="AC39" i="4"/>
  <c r="AD39" i="4"/>
  <c r="AE39" i="4"/>
  <c r="J40" i="4"/>
  <c r="K40" i="4"/>
  <c r="L39" i="4"/>
  <c r="N39" i="4"/>
  <c r="O39" i="4"/>
  <c r="AC40" i="4"/>
  <c r="G40" i="4"/>
  <c r="AD40" i="4"/>
  <c r="AE40" i="4"/>
  <c r="J41" i="4"/>
  <c r="K41" i="4"/>
  <c r="L40" i="4"/>
  <c r="N40" i="4"/>
  <c r="O40" i="4"/>
  <c r="AC41" i="4"/>
  <c r="C41" i="4"/>
  <c r="G41" i="4"/>
  <c r="AD41" i="4"/>
  <c r="AE41" i="4"/>
  <c r="J42" i="4"/>
  <c r="K42" i="4"/>
  <c r="AC42" i="4"/>
  <c r="L42" i="4"/>
  <c r="N42" i="4"/>
  <c r="O42" i="4"/>
  <c r="C42" i="4"/>
  <c r="AD42" i="4"/>
  <c r="AE42" i="4"/>
  <c r="Q43" i="4"/>
  <c r="T43" i="4"/>
  <c r="W43" i="4"/>
  <c r="S41" i="2"/>
  <c r="U41" i="2"/>
  <c r="G38" i="4"/>
  <c r="G39" i="4"/>
  <c r="H28" i="19"/>
  <c r="I28" i="19"/>
  <c r="C36" i="4"/>
  <c r="G37" i="4"/>
  <c r="I35" i="4"/>
  <c r="I25" i="4"/>
  <c r="E42" i="4"/>
  <c r="E36" i="4"/>
  <c r="I39" i="4"/>
  <c r="G42" i="4"/>
  <c r="E39" i="4"/>
  <c r="C39" i="4"/>
  <c r="C40" i="4"/>
  <c r="E40" i="4"/>
  <c r="C38" i="4"/>
  <c r="I36" i="4"/>
  <c r="I24" i="4"/>
  <c r="I17" i="4"/>
  <c r="I7" i="4"/>
  <c r="I40" i="4"/>
  <c r="C37" i="4"/>
  <c r="L41" i="4"/>
  <c r="N41" i="4"/>
  <c r="O41" i="4"/>
  <c r="P41" i="4" s="1"/>
  <c r="E41" i="4"/>
  <c r="I42" i="4"/>
  <c r="E37" i="4"/>
  <c r="E38" i="4"/>
  <c r="I41" i="4"/>
  <c r="I27" i="4"/>
  <c r="I23" i="4"/>
  <c r="I11" i="4"/>
  <c r="I14" i="4"/>
  <c r="I33" i="4"/>
  <c r="I19" i="4"/>
  <c r="I22" i="4"/>
  <c r="B13" i="18"/>
  <c r="F13" i="18"/>
  <c r="H29" i="10"/>
  <c r="I29" i="10"/>
  <c r="I8" i="4"/>
  <c r="I20" i="4"/>
  <c r="I32" i="4"/>
  <c r="H33" i="2"/>
  <c r="F21" i="20"/>
  <c r="E20" i="19"/>
  <c r="F17" i="19"/>
  <c r="D25" i="19"/>
  <c r="F25" i="19"/>
  <c r="I19" i="19"/>
  <c r="D26" i="19"/>
  <c r="F26" i="19"/>
  <c r="H26" i="19"/>
  <c r="I26" i="19"/>
  <c r="D27" i="19"/>
  <c r="F27" i="19"/>
  <c r="H27" i="19"/>
  <c r="I27" i="19"/>
  <c r="F18" i="19"/>
  <c r="F22" i="20"/>
  <c r="F24" i="20"/>
  <c r="F25" i="20"/>
  <c r="F32" i="19"/>
  <c r="H25" i="19"/>
  <c r="I25" i="19"/>
  <c r="I32" i="19"/>
  <c r="I10" i="4"/>
  <c r="I17" i="10"/>
  <c r="F19" i="10"/>
  <c r="B13" i="11"/>
  <c r="F13" i="11"/>
  <c r="F20" i="11" s="1"/>
  <c r="I16" i="4"/>
  <c r="H19" i="2"/>
  <c r="H23" i="2"/>
  <c r="H27" i="2"/>
  <c r="H28" i="2"/>
  <c r="H22" i="2"/>
  <c r="H32" i="2"/>
  <c r="H24" i="2"/>
  <c r="Q25" i="2"/>
  <c r="I19" i="10"/>
  <c r="E20" i="10"/>
  <c r="D25" i="10"/>
  <c r="F25" i="10"/>
  <c r="F32" i="10"/>
  <c r="H25" i="10"/>
  <c r="I25" i="10"/>
  <c r="I32" i="10"/>
  <c r="F18" i="10"/>
  <c r="Q38" i="2"/>
  <c r="H15" i="2"/>
  <c r="Q17" i="2"/>
  <c r="H29" i="2"/>
  <c r="Q35" i="2"/>
  <c r="Q24" i="2"/>
  <c r="F25" i="18"/>
  <c r="F29" i="18"/>
  <c r="F21" i="11"/>
  <c r="F23" i="11"/>
  <c r="F24" i="11"/>
  <c r="F2" i="21"/>
  <c r="I21" i="4"/>
  <c r="I12" i="4"/>
  <c r="L23" i="4"/>
  <c r="N23" i="4"/>
  <c r="L17" i="4"/>
  <c r="N17" i="4"/>
  <c r="L13" i="4"/>
  <c r="N13" i="4"/>
  <c r="L10" i="4"/>
  <c r="N10" i="4"/>
  <c r="L31" i="4"/>
  <c r="N31" i="4"/>
  <c r="L28" i="4"/>
  <c r="N28" i="4"/>
  <c r="L16" i="4"/>
  <c r="N16" i="4"/>
  <c r="L14" i="4"/>
  <c r="N14" i="4"/>
  <c r="L27" i="4"/>
  <c r="N27" i="4"/>
  <c r="L34" i="4"/>
  <c r="N34" i="4"/>
  <c r="L30" i="4"/>
  <c r="N30" i="4"/>
  <c r="L18" i="4"/>
  <c r="N18" i="4"/>
  <c r="L21" i="4"/>
  <c r="N21" i="4"/>
  <c r="L29" i="4"/>
  <c r="N29" i="4"/>
  <c r="L24" i="4"/>
  <c r="N24" i="4"/>
  <c r="L12" i="4"/>
  <c r="N12" i="4"/>
  <c r="L11" i="4"/>
  <c r="N11" i="4"/>
  <c r="L32" i="4"/>
  <c r="N32" i="4"/>
  <c r="L26" i="4"/>
  <c r="N26" i="4"/>
  <c r="L25" i="4"/>
  <c r="N25" i="4"/>
  <c r="L19" i="4"/>
  <c r="N19" i="4"/>
  <c r="L20" i="4"/>
  <c r="N20" i="4"/>
  <c r="L33" i="4"/>
  <c r="N33" i="4"/>
  <c r="L15" i="4"/>
  <c r="N15" i="4"/>
  <c r="E2" i="21"/>
  <c r="J2" i="21"/>
  <c r="J3" i="21"/>
  <c r="H10" i="2"/>
  <c r="E2" i="22"/>
  <c r="Q44" i="4"/>
  <c r="AC44" i="4"/>
  <c r="K48" i="4" s="1"/>
  <c r="L48" i="4" s="1"/>
  <c r="L9" i="4"/>
  <c r="N9" i="4"/>
  <c r="AC43" i="4"/>
  <c r="I9" i="4"/>
  <c r="G10" i="22" l="1"/>
  <c r="G9" i="22"/>
  <c r="G3" i="22"/>
  <c r="G8" i="22"/>
  <c r="G7" i="22"/>
  <c r="G6" i="22"/>
  <c r="G4" i="22"/>
  <c r="G5" i="22"/>
  <c r="H17" i="2"/>
  <c r="H18" i="2"/>
  <c r="Q27" i="2"/>
  <c r="Q31" i="2"/>
  <c r="Q28" i="2"/>
  <c r="Q21" i="2"/>
  <c r="Q36" i="2"/>
  <c r="N41" i="2"/>
  <c r="I46" i="2" s="1"/>
  <c r="L46" i="2" s="1"/>
  <c r="Q16" i="2"/>
  <c r="Q30" i="2"/>
  <c r="Q22" i="2"/>
  <c r="Q34" i="2"/>
  <c r="Q29" i="2"/>
  <c r="Q19" i="2"/>
  <c r="Q20" i="2"/>
  <c r="M41" i="2"/>
  <c r="I45" i="2" s="1"/>
  <c r="L45" i="2" s="1"/>
  <c r="Q26" i="2"/>
  <c r="Q18" i="2"/>
  <c r="C31" i="4"/>
  <c r="G31" i="4"/>
  <c r="E31" i="4"/>
  <c r="Q40" i="2"/>
  <c r="G30" i="4"/>
  <c r="E30" i="4"/>
  <c r="C30" i="4"/>
  <c r="I30" i="4"/>
  <c r="G14" i="4"/>
  <c r="E14" i="4"/>
  <c r="C14" i="4"/>
  <c r="G26" i="4"/>
  <c r="E26" i="4"/>
  <c r="C26" i="4"/>
  <c r="G12" i="4"/>
  <c r="E12" i="4"/>
  <c r="C12" i="4"/>
  <c r="G27" i="4"/>
  <c r="E27" i="4"/>
  <c r="C27" i="4"/>
  <c r="G22" i="4"/>
  <c r="E22" i="4"/>
  <c r="C22" i="4"/>
  <c r="G29" i="4"/>
  <c r="E29" i="4"/>
  <c r="C29" i="4"/>
  <c r="G24" i="4"/>
  <c r="E24" i="4"/>
  <c r="C24" i="4"/>
  <c r="G15" i="4"/>
  <c r="E15" i="4"/>
  <c r="C15" i="4"/>
  <c r="G13" i="4"/>
  <c r="E13" i="4"/>
  <c r="C13" i="4"/>
  <c r="G34" i="4"/>
  <c r="E34" i="4"/>
  <c r="C34" i="4"/>
  <c r="G23" i="4"/>
  <c r="E23" i="4"/>
  <c r="C23" i="4"/>
  <c r="G18" i="4"/>
  <c r="E18" i="4"/>
  <c r="C18" i="4"/>
  <c r="G20" i="4"/>
  <c r="E20" i="4"/>
  <c r="C20" i="4"/>
  <c r="G11" i="4"/>
  <c r="E11" i="4"/>
  <c r="C11" i="4"/>
  <c r="L5" i="4"/>
  <c r="N5" i="4" s="1"/>
  <c r="G5" i="4"/>
  <c r="E5" i="4"/>
  <c r="C5" i="4"/>
  <c r="G25" i="4"/>
  <c r="E25" i="4"/>
  <c r="C25" i="4"/>
  <c r="G7" i="4"/>
  <c r="E7" i="4"/>
  <c r="C7" i="4"/>
  <c r="L41" i="2"/>
  <c r="G10" i="4"/>
  <c r="E10" i="4"/>
  <c r="C10" i="4"/>
  <c r="G32" i="4"/>
  <c r="E32" i="4"/>
  <c r="C32" i="4"/>
  <c r="G19" i="4"/>
  <c r="E19" i="4"/>
  <c r="C19" i="4"/>
  <c r="L6" i="4"/>
  <c r="N6" i="4" s="1"/>
  <c r="G6" i="4"/>
  <c r="E6" i="4"/>
  <c r="C6" i="4"/>
  <c r="G9" i="4"/>
  <c r="E9" i="4"/>
  <c r="C9" i="4"/>
  <c r="L8" i="4"/>
  <c r="N8" i="4" s="1"/>
  <c r="I4" i="4"/>
  <c r="L4" i="4"/>
  <c r="N4" i="4" s="1"/>
  <c r="J18" i="21" l="1"/>
  <c r="M18" i="22"/>
  <c r="J22" i="21"/>
  <c r="J17" i="21"/>
  <c r="M17" i="22"/>
  <c r="J16" i="21"/>
  <c r="M16" i="22"/>
  <c r="J19" i="21"/>
  <c r="M19" i="22"/>
  <c r="J20" i="21"/>
  <c r="J21" i="21"/>
  <c r="J8" i="21"/>
  <c r="M8" i="22"/>
  <c r="J13" i="21"/>
  <c r="M13" i="22"/>
  <c r="J9" i="21"/>
  <c r="M9" i="22"/>
  <c r="J14" i="21"/>
  <c r="M25" i="22"/>
  <c r="J25" i="21"/>
  <c r="J15" i="21"/>
  <c r="M15" i="22"/>
  <c r="J24" i="21"/>
  <c r="M26" i="22"/>
  <c r="J26" i="21"/>
  <c r="J23" i="21"/>
  <c r="M23" i="22"/>
  <c r="M21" i="22"/>
  <c r="M22" i="22"/>
  <c r="M12" i="22"/>
  <c r="J12" i="21"/>
  <c r="M11" i="22"/>
  <c r="J11" i="21"/>
  <c r="M10" i="22"/>
  <c r="J10" i="21"/>
  <c r="H40" i="2"/>
  <c r="F41" i="2"/>
  <c r="Q41" i="2"/>
  <c r="M20" i="22"/>
  <c r="M14" i="22"/>
  <c r="O41" i="2"/>
  <c r="H16" i="2"/>
  <c r="H14" i="2"/>
  <c r="H13" i="2"/>
  <c r="H12" i="2"/>
  <c r="H11" i="2"/>
  <c r="O4" i="4"/>
  <c r="N43" i="4"/>
  <c r="M3" i="22"/>
  <c r="H41" i="2" l="1"/>
  <c r="M24" i="22"/>
  <c r="I48" i="2"/>
  <c r="L48" i="2" s="1"/>
  <c r="N48" i="2" s="1"/>
  <c r="I44" i="2"/>
  <c r="L44" i="2" s="1"/>
  <c r="N44" i="2" s="1"/>
  <c r="N47" i="2" s="1"/>
  <c r="J4" i="21"/>
  <c r="M4" i="22"/>
  <c r="J5" i="21"/>
  <c r="M5" i="22"/>
  <c r="M6" i="22"/>
  <c r="J6" i="21"/>
  <c r="M7" i="22"/>
  <c r="J7" i="21"/>
  <c r="O43" i="4"/>
  <c r="K47" i="4"/>
  <c r="X41" i="2"/>
  <c r="G2" i="22" l="1"/>
  <c r="M2" i="22" s="1"/>
  <c r="V41" i="2"/>
  <c r="L47" i="4"/>
  <c r="M47" i="4"/>
  <c r="I49" i="2" l="1"/>
  <c r="L49" i="2" s="1"/>
  <c r="N49" i="2" s="1"/>
</calcChain>
</file>

<file path=xl/sharedStrings.xml><?xml version="1.0" encoding="utf-8"?>
<sst xmlns="http://schemas.openxmlformats.org/spreadsheetml/2006/main" count="485" uniqueCount="187">
  <si>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</si>
  <si>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</si>
  <si>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</si>
  <si>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</si>
  <si>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</si>
  <si>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</si>
  <si>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</si>
  <si>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</si>
  <si>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</si>
  <si>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</si>
  <si>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</si>
  <si>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 xml:space="preserve">Total Guests </t>
  </si>
  <si>
    <t>Utilities day cost dh</t>
  </si>
  <si>
    <t>Casablanca</t>
  </si>
  <si>
    <t xml:space="preserve">Creuse 81 - KWh </t>
  </si>
  <si>
    <t>Pleine 82-KWh</t>
  </si>
  <si>
    <t>Pointe 83 - KWh</t>
  </si>
  <si>
    <t>Consommation mensuel Eau /électricité/Gaz</t>
  </si>
  <si>
    <t xml:space="preserve"> </t>
  </si>
  <si>
    <t>Date</t>
  </si>
  <si>
    <t>ROOM Nights</t>
  </si>
  <si>
    <t>Guests</t>
  </si>
  <si>
    <t>Cons Eau/Hotel</t>
  </si>
  <si>
    <t>Consommation du jour en DH</t>
  </si>
  <si>
    <t>date / électr</t>
  </si>
  <si>
    <t>ELECTRICITE en KWH</t>
  </si>
  <si>
    <t>total</t>
  </si>
  <si>
    <t>Cons Elec/Villa</t>
  </si>
  <si>
    <t>Cons Elec/RIAD</t>
  </si>
  <si>
    <t>GAZ en Kg</t>
  </si>
  <si>
    <t>creuse 81</t>
  </si>
  <si>
    <t>pleine 82</t>
  </si>
  <si>
    <t>pointe 83</t>
  </si>
  <si>
    <t>Désignation</t>
  </si>
  <si>
    <t xml:space="preserve">COUTS </t>
  </si>
  <si>
    <t xml:space="preserve">Consommations </t>
  </si>
  <si>
    <t>Consommations /DHs</t>
  </si>
  <si>
    <t>TOTAL Consommations /DHs</t>
  </si>
  <si>
    <t>ELECTRICITE /        Kw/h</t>
  </si>
  <si>
    <t>EAU HOTEL M3</t>
  </si>
  <si>
    <t>GAZ  Kg</t>
  </si>
  <si>
    <t>Suivi  Compteur  d'Eau- électricité Lydec- OCT 2022</t>
  </si>
  <si>
    <t>Département Engineering 2022</t>
  </si>
  <si>
    <t>Date/électriqie</t>
  </si>
  <si>
    <t>Incendie</t>
  </si>
  <si>
    <t>Eau m3</t>
  </si>
  <si>
    <t>Electricité Kw/h</t>
  </si>
  <si>
    <t>Compteur</t>
  </si>
  <si>
    <t>Consommation</t>
  </si>
  <si>
    <t xml:space="preserve">Consommation </t>
  </si>
  <si>
    <t>Compteur H.Creuse</t>
  </si>
  <si>
    <t>Consommation  H.Creuse</t>
  </si>
  <si>
    <t>Compteur H.Pleine</t>
  </si>
  <si>
    <t>Consommation H.Pleine</t>
  </si>
  <si>
    <t>Compteur H.Pointe</t>
  </si>
  <si>
    <t>Consommation  H.Pointe</t>
  </si>
  <si>
    <t xml:space="preserve">      </t>
  </si>
  <si>
    <t>suivi Gaz OCT 2022</t>
  </si>
  <si>
    <t>Relvé C1</t>
  </si>
  <si>
    <t>cons C1</t>
  </si>
  <si>
    <t>Relvé C2</t>
  </si>
  <si>
    <t>cons C2</t>
  </si>
  <si>
    <t>Relvé C3</t>
  </si>
  <si>
    <t>cons C3</t>
  </si>
  <si>
    <t>Relvé C4</t>
  </si>
  <si>
    <t>cons C4</t>
  </si>
  <si>
    <t>∑ des relevés</t>
  </si>
  <si>
    <t xml:space="preserve">moyen general % </t>
  </si>
  <si>
    <t>con.j</t>
  </si>
  <si>
    <t xml:space="preserve">∑ de volume en L </t>
  </si>
  <si>
    <t>cons./jen L</t>
  </si>
  <si>
    <t>cons./jen Kg</t>
  </si>
  <si>
    <t>cons./jen DH</t>
  </si>
  <si>
    <t xml:space="preserve">livraison C1 </t>
  </si>
  <si>
    <t>%Avant</t>
  </si>
  <si>
    <t>% Après</t>
  </si>
  <si>
    <t>livraison C2</t>
  </si>
  <si>
    <t>livraison C3</t>
  </si>
  <si>
    <t>livraison C4</t>
  </si>
  <si>
    <t>total livraison litre</t>
  </si>
  <si>
    <t>moyen general % Avant L</t>
  </si>
  <si>
    <t>moyen general % Aaprés L</t>
  </si>
  <si>
    <t>Litre</t>
  </si>
  <si>
    <t>Kg</t>
  </si>
  <si>
    <t>DH</t>
  </si>
  <si>
    <t xml:space="preserve">Consommation du mois </t>
  </si>
  <si>
    <t xml:space="preserve">Livraison  du mois </t>
  </si>
  <si>
    <t xml:space="preserve">      Estimation  de la consommation électrique OCT 2022</t>
  </si>
  <si>
    <t>Fiche technique</t>
  </si>
  <si>
    <t>DT fourseasons CBL</t>
  </si>
  <si>
    <t>N° de compteur</t>
  </si>
  <si>
    <t>Ancienne date de lecture</t>
  </si>
  <si>
    <t>Nouvelle date de lecture</t>
  </si>
  <si>
    <t>N de jours de consommation</t>
  </si>
  <si>
    <t xml:space="preserve">Heures pleines </t>
  </si>
  <si>
    <t>Heures creuses</t>
  </si>
  <si>
    <t>Heures de pointe</t>
  </si>
  <si>
    <t>31/10/2022</t>
  </si>
  <si>
    <t>01jours</t>
  </si>
  <si>
    <t>Type de comptage</t>
  </si>
  <si>
    <t>Puissance installée KVA</t>
  </si>
  <si>
    <t>Puissance souscrite KVA</t>
  </si>
  <si>
    <t>Puissance appelée KVA</t>
  </si>
  <si>
    <t>Dépassement de la puissance souscrite KVA</t>
  </si>
  <si>
    <t>4T</t>
  </si>
  <si>
    <t>Eléments de relève</t>
  </si>
  <si>
    <t>Nouvel Index</t>
  </si>
  <si>
    <t>Ancien Index</t>
  </si>
  <si>
    <t>Energie révaluée</t>
  </si>
  <si>
    <t>Consommation Compteur démarquant</t>
  </si>
  <si>
    <t>Energie à facturer</t>
  </si>
  <si>
    <t>HEURES PLEINE</t>
  </si>
  <si>
    <t>HEURES CREUSES</t>
  </si>
  <si>
    <t>HEURES DE POINTE</t>
  </si>
  <si>
    <t>TOTAL</t>
  </si>
  <si>
    <t xml:space="preserve">                                       </t>
  </si>
  <si>
    <t>Détail de la facture</t>
  </si>
  <si>
    <t>Quantité</t>
  </si>
  <si>
    <t>Prix unitaire</t>
  </si>
  <si>
    <t>Montant HT</t>
  </si>
  <si>
    <t>TVA</t>
  </si>
  <si>
    <t>Montant TTC</t>
  </si>
  <si>
    <t>Taux %</t>
  </si>
  <si>
    <t>Montant</t>
  </si>
  <si>
    <t>ENERGIE ACTIVE H. PLEINES</t>
  </si>
  <si>
    <t>ENERGIE ACTIVE H. CREUSES</t>
  </si>
  <si>
    <t>ENETGIE ACTIVE H. DE POINTE</t>
  </si>
  <si>
    <t>REDEVANCE DE PUISSANCE</t>
  </si>
  <si>
    <t>DEPASSEMENT DE PUISSANCE</t>
  </si>
  <si>
    <t>ENTRETIEN COMPTAGE</t>
  </si>
  <si>
    <t>LOCATION COMPTAGE</t>
  </si>
  <si>
    <t>Total</t>
  </si>
  <si>
    <t>30jours</t>
  </si>
  <si>
    <t>Estimation de la consommation d'Eau Sanitaire OCT 2022</t>
  </si>
  <si>
    <t>Type de relevé</t>
  </si>
  <si>
    <t>Ancien index</t>
  </si>
  <si>
    <t>Nouvel index</t>
  </si>
  <si>
    <t>Consommation M3</t>
  </si>
  <si>
    <t>RELEVEE</t>
  </si>
  <si>
    <t>Prix unitaire HT</t>
  </si>
  <si>
    <t xml:space="preserve">Montant HT </t>
  </si>
  <si>
    <t>Redevances Fixes</t>
  </si>
  <si>
    <t>Consommation eau</t>
  </si>
  <si>
    <t>Tranche unique</t>
  </si>
  <si>
    <t>Assainissement</t>
  </si>
  <si>
    <t>Tranche 1</t>
  </si>
  <si>
    <t>Tranche 2</t>
  </si>
  <si>
    <t>Tranche 3</t>
  </si>
  <si>
    <t>Tranche 4</t>
  </si>
  <si>
    <t>Total HT</t>
  </si>
  <si>
    <t>TVA 7%</t>
  </si>
  <si>
    <t>Timbres Fiscaux</t>
  </si>
  <si>
    <t>Total Taxes</t>
  </si>
  <si>
    <t>Net à payer</t>
  </si>
  <si>
    <t>Tranche 5</t>
  </si>
  <si>
    <t>Estimation de la consommation d'Eau incendie sept 2022</t>
  </si>
  <si>
    <t>Tranche unique 1</t>
  </si>
  <si>
    <t>Tranche unique 2</t>
  </si>
  <si>
    <t>Tranche unique 3</t>
  </si>
  <si>
    <t>Tranche unique 4</t>
  </si>
  <si>
    <t>Tranche unique 5</t>
  </si>
  <si>
    <t>électricité en KW</t>
  </si>
  <si>
    <t>Janvier</t>
  </si>
  <si>
    <t>Février</t>
  </si>
  <si>
    <t xml:space="preserve">Mars </t>
  </si>
  <si>
    <t>avril</t>
  </si>
  <si>
    <t xml:space="preserve">Mai </t>
  </si>
  <si>
    <t xml:space="preserve">juin </t>
  </si>
  <si>
    <t>Juillet</t>
  </si>
  <si>
    <t xml:space="preserve">aout </t>
  </si>
  <si>
    <t>Septembre</t>
  </si>
  <si>
    <t>Octobre</t>
  </si>
  <si>
    <t>Novembre</t>
  </si>
  <si>
    <t>Décembre</t>
  </si>
  <si>
    <t>Année 2015</t>
  </si>
  <si>
    <t>Année 2016</t>
  </si>
  <si>
    <t>Année 2017</t>
  </si>
  <si>
    <t>Année 2018</t>
  </si>
  <si>
    <t>Année 2019</t>
  </si>
  <si>
    <t>Année 2020</t>
  </si>
  <si>
    <t>Année 2021</t>
  </si>
  <si>
    <t>Année 2022</t>
  </si>
  <si>
    <t>électricité en DH HT</t>
  </si>
  <si>
    <t>L'eau en M3</t>
  </si>
  <si>
    <t>L'eau en DH HT</t>
  </si>
  <si>
    <t>Gaz en KG</t>
  </si>
  <si>
    <t>GAZ en  DH 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</si>
</sst>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\ _€_-;\-* #,##0\ _€_-;_-* &quot;-&quot;\ _€_-;_-@_-"/>
    <numFmt numFmtId="165" formatCode="[$-40C]d\-mmm;@"/>
  </numFmts>
  <fonts count="49" x14ac:knownFonts="1">
    <font>
      <sz val="10"/>
      <name val="Arial"/>
    </font>
    <font>
      <b/>
      <sz val="14"/>
      <name val="Arial"/>
      <family val="2"/>
    </font>
    <font>
      <b/>
      <sz val="14"/>
      <color indexed="9"/>
      <name val="Arial"/>
      <family val="2"/>
    </font>
    <font>
      <sz val="14"/>
      <name val="Arial"/>
      <family val="2"/>
    </font>
    <font>
      <b/>
      <sz val="14"/>
      <color indexed="12"/>
      <name val="Arial"/>
      <family val="2"/>
    </font>
    <font>
      <b/>
      <sz val="14"/>
      <color indexed="52"/>
      <name val="Arial"/>
      <family val="2"/>
    </font>
    <font>
      <b/>
      <sz val="16"/>
      <name val="Arial"/>
      <family val="2"/>
    </font>
    <font>
      <b/>
      <sz val="16"/>
      <name val="Times New Roman"/>
      <family val="1"/>
    </font>
    <font>
      <sz val="10"/>
      <name val="Arial"/>
      <family val="2"/>
    </font>
    <font>
      <b/>
      <sz val="12"/>
      <name val="Arial"/>
      <family val="2"/>
    </font>
    <font>
      <b/>
      <sz val="36"/>
      <name val="Arial"/>
      <family val="2"/>
    </font>
    <font>
      <b/>
      <sz val="20"/>
      <name val="Arial"/>
      <family val="2"/>
    </font>
    <font>
      <b/>
      <sz val="20"/>
      <color indexed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color indexed="9"/>
      <name val="Arial"/>
      <family val="2"/>
    </font>
    <font>
      <sz val="10"/>
      <color indexed="8"/>
      <name val="Comic Sans MS"/>
      <family val="4"/>
    </font>
    <font>
      <b/>
      <sz val="36"/>
      <color indexed="8"/>
      <name val="Comic Sans MS"/>
      <family val="4"/>
    </font>
    <font>
      <b/>
      <sz val="10"/>
      <color indexed="8"/>
      <name val="Comic Sans MS"/>
      <family val="4"/>
    </font>
    <font>
      <b/>
      <sz val="12"/>
      <color indexed="8"/>
      <name val="Comic Sans MS"/>
      <family val="4"/>
    </font>
    <font>
      <sz val="10"/>
      <name val="Arial"/>
      <family val="2"/>
    </font>
    <font>
      <b/>
      <sz val="15"/>
      <name val="Arial"/>
      <family val="2"/>
    </font>
    <font>
      <b/>
      <sz val="14"/>
      <color indexed="8"/>
      <name val="Comic Sans MS"/>
      <family val="4"/>
    </font>
    <font>
      <b/>
      <i/>
      <sz val="10"/>
      <name val="Arial"/>
      <family val="2"/>
    </font>
    <font>
      <b/>
      <i/>
      <sz val="16"/>
      <name val="Arial"/>
      <family val="2"/>
    </font>
    <font>
      <b/>
      <sz val="18"/>
      <color indexed="10"/>
      <name val="Arial"/>
      <family val="2"/>
    </font>
    <font>
      <b/>
      <sz val="12"/>
      <name val="Comic Sans MS"/>
      <family val="4"/>
    </font>
    <font>
      <b/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9" tint="-0.249977111117893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20"/>
      <color rgb="FFFF0000"/>
      <name val="Arial"/>
      <family val="2"/>
    </font>
    <font>
      <b/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6"/>
      <color rgb="FFFF0000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0000"/>
      <name val="Arial"/>
      <family val="2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b/>
      <sz val="12"/>
      <color theme="8" tint="-0.499984740745262"/>
      <name val="Calibri"/>
      <family val="2"/>
      <scheme val="minor"/>
    </font>
    <font>
      <b/>
      <u/>
      <sz val="11"/>
      <color theme="8" tint="-0.499984740745262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8" tint="-0.499984740745262"/>
      <name val="Calibri"/>
      <family val="2"/>
      <scheme val="minor"/>
    </font>
  </fonts>
  <fills count="3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15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6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indexed="64"/>
      </patternFill>
    </fill>
  </fills>
  <borders count="6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8" fillId="0" borderId="0"/>
    <xf numFmtId="0" fontId="20" fillId="0" borderId="0"/>
  </cellStyleXfs>
  <cellXfs count="436">
    <xf numFmtId="0" fontId="0" fillId="0" borderId="0" xfId="0"/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14" fontId="4" fillId="3" borderId="1" xfId="0" applyNumberFormat="1" applyFont="1" applyFill="1" applyBorder="1" applyAlignment="1">
      <alignment horizontal="center" vertical="center"/>
    </xf>
    <xf numFmtId="14" fontId="4" fillId="2" borderId="0" xfId="0" applyNumberFormat="1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14" fontId="5" fillId="2" borderId="0" xfId="0" applyNumberFormat="1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7" fillId="2" borderId="0" xfId="0" applyFont="1" applyFill="1" applyAlignment="1">
      <alignment horizontal="center" vertical="center"/>
    </xf>
    <xf numFmtId="0" fontId="7" fillId="5" borderId="2" xfId="0" applyFont="1" applyFill="1" applyBorder="1" applyAlignment="1">
      <alignment horizontal="center" vertical="center"/>
    </xf>
    <xf numFmtId="0" fontId="6" fillId="2" borderId="0" xfId="0" applyFont="1" applyFill="1" applyAlignment="1" applyProtection="1">
      <alignment horizontal="center" vertical="center"/>
      <protection locked="0"/>
    </xf>
    <xf numFmtId="14" fontId="1" fillId="2" borderId="0" xfId="0" applyNumberFormat="1" applyFont="1" applyFill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1" fillId="6" borderId="6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6" borderId="8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/>
    </xf>
    <xf numFmtId="0" fontId="1" fillId="3" borderId="1" xfId="0" applyFont="1" applyFill="1" applyBorder="1" applyAlignment="1">
      <alignment horizontal="center" vertical="center"/>
    </xf>
    <xf numFmtId="1" fontId="7" fillId="6" borderId="9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center" vertical="center"/>
    </xf>
    <xf numFmtId="2" fontId="15" fillId="4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vertical="center"/>
    </xf>
    <xf numFmtId="2" fontId="7" fillId="8" borderId="9" xfId="0" applyNumberFormat="1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horizontal="center"/>
    </xf>
    <xf numFmtId="0" fontId="19" fillId="0" borderId="10" xfId="0" applyFont="1" applyBorder="1" applyAlignment="1">
      <alignment horizontal="center" vertical="center"/>
    </xf>
    <xf numFmtId="165" fontId="19" fillId="0" borderId="10" xfId="0" applyNumberFormat="1" applyFont="1" applyBorder="1" applyAlignment="1">
      <alignment horizontal="center" vertical="center"/>
    </xf>
    <xf numFmtId="0" fontId="19" fillId="9" borderId="10" xfId="0" applyFont="1" applyFill="1" applyBorder="1" applyAlignment="1">
      <alignment horizontal="center" vertical="center"/>
    </xf>
    <xf numFmtId="0" fontId="19" fillId="8" borderId="10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2" xfId="0" applyFont="1" applyBorder="1" applyAlignment="1">
      <alignment horizontal="center" vertical="center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15" xfId="0" applyBorder="1"/>
    <xf numFmtId="0" fontId="21" fillId="0" borderId="16" xfId="0" applyFont="1" applyBorder="1" applyAlignment="1">
      <alignment horizontal="center" vertical="center" wrapText="1"/>
    </xf>
    <xf numFmtId="0" fontId="21" fillId="7" borderId="16" xfId="0" applyFont="1" applyFill="1" applyBorder="1" applyAlignment="1">
      <alignment horizontal="center" vertical="center" wrapText="1"/>
    </xf>
    <xf numFmtId="14" fontId="21" fillId="0" borderId="0" xfId="0" applyNumberFormat="1" applyFont="1" applyAlignment="1">
      <alignment horizontal="center"/>
    </xf>
    <xf numFmtId="164" fontId="2" fillId="4" borderId="1" xfId="0" applyNumberFormat="1" applyFont="1" applyFill="1" applyBorder="1" applyAlignment="1">
      <alignment horizontal="center" vertical="center"/>
    </xf>
    <xf numFmtId="164" fontId="15" fillId="4" borderId="1" xfId="0" applyNumberFormat="1" applyFont="1" applyFill="1" applyBorder="1" applyAlignment="1">
      <alignment horizontal="center" vertical="center"/>
    </xf>
    <xf numFmtId="164" fontId="15" fillId="4" borderId="8" xfId="0" applyNumberFormat="1" applyFont="1" applyFill="1" applyBorder="1" applyAlignment="1">
      <alignment horizontal="center" vertical="center"/>
    </xf>
    <xf numFmtId="0" fontId="14" fillId="13" borderId="16" xfId="0" applyFont="1" applyFill="1" applyBorder="1" applyAlignment="1">
      <alignment horizontal="center" vertical="center" wrapText="1"/>
    </xf>
    <xf numFmtId="0" fontId="21" fillId="13" borderId="16" xfId="0" applyFont="1" applyFill="1" applyBorder="1" applyAlignment="1">
      <alignment horizontal="center" vertical="center" wrapText="1"/>
    </xf>
    <xf numFmtId="0" fontId="14" fillId="14" borderId="16" xfId="0" applyFont="1" applyFill="1" applyBorder="1" applyAlignment="1">
      <alignment horizontal="center" vertical="center" wrapText="1"/>
    </xf>
    <xf numFmtId="14" fontId="21" fillId="14" borderId="16" xfId="0" applyNumberFormat="1" applyFont="1" applyFill="1" applyBorder="1" applyAlignment="1">
      <alignment horizontal="center"/>
    </xf>
    <xf numFmtId="14" fontId="6" fillId="16" borderId="1" xfId="0" applyNumberFormat="1" applyFont="1" applyFill="1" applyBorder="1" applyAlignment="1">
      <alignment horizontal="center" vertical="center"/>
    </xf>
    <xf numFmtId="0" fontId="28" fillId="0" borderId="18" xfId="0" applyFont="1" applyBorder="1" applyAlignment="1">
      <alignment horizontal="center" vertical="center" wrapText="1"/>
    </xf>
    <xf numFmtId="0" fontId="0" fillId="0" borderId="10" xfId="0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18" xfId="0" applyFont="1" applyBorder="1" applyAlignment="1">
      <alignment horizontal="center" vertical="center" wrapText="1"/>
    </xf>
    <xf numFmtId="0" fontId="0" fillId="0" borderId="21" xfId="0" applyBorder="1"/>
    <xf numFmtId="0" fontId="0" fillId="0" borderId="10" xfId="0" applyBorder="1"/>
    <xf numFmtId="0" fontId="0" fillId="0" borderId="22" xfId="0" applyBorder="1"/>
    <xf numFmtId="0" fontId="30" fillId="17" borderId="23" xfId="0" applyFont="1" applyFill="1" applyBorder="1"/>
    <xf numFmtId="0" fontId="30" fillId="17" borderId="24" xfId="0" applyFont="1" applyFill="1" applyBorder="1"/>
    <xf numFmtId="0" fontId="0" fillId="0" borderId="25" xfId="0" applyBorder="1"/>
    <xf numFmtId="0" fontId="29" fillId="0" borderId="21" xfId="0" applyFont="1" applyBorder="1" applyAlignment="1">
      <alignment horizontal="center"/>
    </xf>
    <xf numFmtId="0" fontId="0" fillId="0" borderId="26" xfId="0" applyBorder="1" applyAlignment="1">
      <alignment horizontal="right" vertical="center"/>
    </xf>
    <xf numFmtId="0" fontId="27" fillId="18" borderId="22" xfId="0" applyFont="1" applyFill="1" applyBorder="1" applyAlignment="1">
      <alignment horizontal="right"/>
    </xf>
    <xf numFmtId="0" fontId="0" fillId="0" borderId="27" xfId="0" applyBorder="1" applyAlignment="1">
      <alignment horizontal="right" vertical="center"/>
    </xf>
    <xf numFmtId="0" fontId="31" fillId="0" borderId="22" xfId="0" applyFont="1" applyBorder="1"/>
    <xf numFmtId="0" fontId="31" fillId="0" borderId="27" xfId="0" applyFont="1" applyBorder="1" applyAlignment="1">
      <alignment horizontal="right" vertical="center"/>
    </xf>
    <xf numFmtId="0" fontId="32" fillId="18" borderId="22" xfId="0" applyFont="1" applyFill="1" applyBorder="1" applyAlignment="1">
      <alignment horizontal="right"/>
    </xf>
    <xf numFmtId="0" fontId="31" fillId="0" borderId="0" xfId="0" applyFont="1"/>
    <xf numFmtId="0" fontId="0" fillId="0" borderId="27" xfId="0" applyBorder="1" applyAlignment="1">
      <alignment horizontal="right"/>
    </xf>
    <xf numFmtId="0" fontId="0" fillId="0" borderId="22" xfId="0" applyBorder="1" applyAlignment="1">
      <alignment horizontal="right"/>
    </xf>
    <xf numFmtId="0" fontId="0" fillId="0" borderId="23" xfId="0" applyBorder="1"/>
    <xf numFmtId="0" fontId="0" fillId="0" borderId="28" xfId="0" applyBorder="1" applyAlignment="1">
      <alignment horizontal="right"/>
    </xf>
    <xf numFmtId="0" fontId="0" fillId="0" borderId="23" xfId="0" applyBorder="1" applyAlignment="1">
      <alignment horizontal="right"/>
    </xf>
    <xf numFmtId="0" fontId="33" fillId="18" borderId="6" xfId="0" applyFont="1" applyFill="1" applyBorder="1" applyAlignment="1">
      <alignment horizontal="center" vertical="center"/>
    </xf>
    <xf numFmtId="0" fontId="34" fillId="0" borderId="19" xfId="0" applyFont="1" applyBorder="1" applyAlignment="1">
      <alignment vertical="center"/>
    </xf>
    <xf numFmtId="0" fontId="34" fillId="0" borderId="29" xfId="0" applyFont="1" applyBorder="1" applyAlignment="1">
      <alignment vertical="center"/>
    </xf>
    <xf numFmtId="0" fontId="33" fillId="18" borderId="8" xfId="0" applyFont="1" applyFill="1" applyBorder="1" applyAlignment="1">
      <alignment horizontal="center" vertical="center"/>
    </xf>
    <xf numFmtId="0" fontId="34" fillId="0" borderId="25" xfId="0" applyFont="1" applyBorder="1" applyAlignment="1">
      <alignment vertical="center"/>
    </xf>
    <xf numFmtId="0" fontId="34" fillId="0" borderId="24" xfId="0" applyFont="1" applyBorder="1" applyAlignment="1">
      <alignment vertical="center"/>
    </xf>
    <xf numFmtId="164" fontId="6" fillId="19" borderId="4" xfId="1" applyNumberFormat="1" applyFont="1" applyFill="1" applyBorder="1" applyAlignment="1" applyProtection="1">
      <alignment horizontal="center" vertical="center"/>
      <protection hidden="1"/>
    </xf>
    <xf numFmtId="164" fontId="6" fillId="19" borderId="6" xfId="1" applyNumberFormat="1" applyFont="1" applyFill="1" applyBorder="1" applyAlignment="1" applyProtection="1">
      <alignment horizontal="center" vertical="center"/>
      <protection hidden="1"/>
    </xf>
    <xf numFmtId="0" fontId="28" fillId="0" borderId="10" xfId="0" applyFont="1" applyBorder="1" applyAlignment="1">
      <alignment vertical="center"/>
    </xf>
    <xf numFmtId="0" fontId="28" fillId="0" borderId="10" xfId="0" applyFont="1" applyBorder="1" applyAlignment="1">
      <alignment vertical="center" wrapText="1"/>
    </xf>
    <xf numFmtId="0" fontId="28" fillId="0" borderId="10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0" fontId="0" fillId="15" borderId="10" xfId="0" applyFill="1" applyBorder="1" applyAlignment="1">
      <alignment horizontal="right" vertical="center"/>
    </xf>
    <xf numFmtId="165" fontId="27" fillId="17" borderId="10" xfId="0" applyNumberFormat="1" applyFont="1" applyFill="1" applyBorder="1"/>
    <xf numFmtId="0" fontId="27" fillId="20" borderId="10" xfId="0" applyFont="1" applyFill="1" applyBorder="1"/>
    <xf numFmtId="0" fontId="27" fillId="0" borderId="10" xfId="0" applyFont="1" applyBorder="1"/>
    <xf numFmtId="0" fontId="27" fillId="0" borderId="0" xfId="0" applyFont="1"/>
    <xf numFmtId="0" fontId="27" fillId="0" borderId="24" xfId="0" applyFont="1" applyBorder="1"/>
    <xf numFmtId="0" fontId="28" fillId="0" borderId="10" xfId="0" applyFont="1" applyBorder="1"/>
    <xf numFmtId="0" fontId="29" fillId="0" borderId="10" xfId="0" applyFont="1" applyBorder="1"/>
    <xf numFmtId="0" fontId="14" fillId="0" borderId="10" xfId="0" applyFont="1" applyBorder="1" applyAlignment="1">
      <alignment horizontal="center" vertical="center"/>
    </xf>
    <xf numFmtId="14" fontId="23" fillId="21" borderId="21" xfId="0" applyNumberFormat="1" applyFont="1" applyFill="1" applyBorder="1" applyAlignment="1">
      <alignment horizontal="center" vertical="center"/>
    </xf>
    <xf numFmtId="0" fontId="23" fillId="13" borderId="10" xfId="0" applyFont="1" applyFill="1" applyBorder="1" applyAlignment="1">
      <alignment horizontal="center" vertical="center"/>
    </xf>
    <xf numFmtId="0" fontId="23" fillId="22" borderId="10" xfId="0" applyFont="1" applyFill="1" applyBorder="1" applyAlignment="1">
      <alignment horizontal="center" vertical="center"/>
    </xf>
    <xf numFmtId="0" fontId="23" fillId="23" borderId="10" xfId="0" applyFont="1" applyFill="1" applyBorder="1" applyAlignment="1">
      <alignment horizontal="center" vertical="center"/>
    </xf>
    <xf numFmtId="2" fontId="14" fillId="0" borderId="10" xfId="0" applyNumberFormat="1" applyFont="1" applyBorder="1" applyAlignment="1">
      <alignment horizontal="center" vertical="center"/>
    </xf>
    <xf numFmtId="0" fontId="8" fillId="0" borderId="0" xfId="0" applyFont="1"/>
    <xf numFmtId="2" fontId="27" fillId="0" borderId="19" xfId="0" applyNumberFormat="1" applyFont="1" applyBorder="1" applyAlignment="1">
      <alignment horizontal="center"/>
    </xf>
    <xf numFmtId="0" fontId="23" fillId="24" borderId="10" xfId="0" applyFont="1" applyFill="1" applyBorder="1" applyAlignment="1">
      <alignment horizontal="center" vertical="center"/>
    </xf>
    <xf numFmtId="14" fontId="8" fillId="0" borderId="10" xfId="0" applyNumberFormat="1" applyFont="1" applyBorder="1" applyAlignment="1">
      <alignment vertical="center"/>
    </xf>
    <xf numFmtId="0" fontId="14" fillId="25" borderId="33" xfId="0" applyFont="1" applyFill="1" applyBorder="1" applyAlignment="1">
      <alignment horizontal="center" vertical="center" wrapText="1"/>
    </xf>
    <xf numFmtId="1" fontId="21" fillId="0" borderId="16" xfId="0" applyNumberFormat="1" applyFont="1" applyBorder="1" applyAlignment="1">
      <alignment horizontal="center"/>
    </xf>
    <xf numFmtId="0" fontId="21" fillId="25" borderId="33" xfId="0" applyFont="1" applyFill="1" applyBorder="1" applyAlignment="1">
      <alignment horizontal="center" vertical="center" wrapText="1"/>
    </xf>
    <xf numFmtId="0" fontId="35" fillId="0" borderId="0" xfId="0" applyFont="1"/>
    <xf numFmtId="0" fontId="23" fillId="19" borderId="10" xfId="0" applyFont="1" applyFill="1" applyBorder="1" applyAlignment="1">
      <alignment horizontal="center" vertical="center"/>
    </xf>
    <xf numFmtId="14" fontId="16" fillId="0" borderId="0" xfId="0" applyNumberFormat="1" applyFont="1" applyAlignment="1">
      <alignment horizontal="center" vertical="center" wrapText="1"/>
    </xf>
    <xf numFmtId="0" fontId="18" fillId="10" borderId="13" xfId="0" applyFont="1" applyFill="1" applyBorder="1" applyAlignment="1">
      <alignment horizontal="center" vertical="center" wrapText="1"/>
    </xf>
    <xf numFmtId="0" fontId="18" fillId="10" borderId="14" xfId="0" applyFont="1" applyFill="1" applyBorder="1" applyAlignment="1">
      <alignment horizontal="center" vertical="center" wrapText="1"/>
    </xf>
    <xf numFmtId="0" fontId="18" fillId="10" borderId="6" xfId="0" applyFont="1" applyFill="1" applyBorder="1" applyAlignment="1">
      <alignment horizontal="center" vertical="center" wrapText="1"/>
    </xf>
    <xf numFmtId="0" fontId="18" fillId="10" borderId="34" xfId="0" applyFont="1" applyFill="1" applyBorder="1" applyAlignment="1">
      <alignment horizontal="center" vertical="center" wrapText="1"/>
    </xf>
    <xf numFmtId="0" fontId="18" fillId="10" borderId="23" xfId="0" applyFont="1" applyFill="1" applyBorder="1" applyAlignment="1">
      <alignment horizontal="center" vertical="center" wrapText="1"/>
    </xf>
    <xf numFmtId="0" fontId="18" fillId="10" borderId="35" xfId="0" applyFont="1" applyFill="1" applyBorder="1" applyAlignment="1">
      <alignment horizontal="center" vertical="center" wrapText="1"/>
    </xf>
    <xf numFmtId="0" fontId="22" fillId="10" borderId="35" xfId="0" applyFont="1" applyFill="1" applyBorder="1" applyAlignment="1">
      <alignment horizontal="center" vertical="center" wrapText="1"/>
    </xf>
    <xf numFmtId="0" fontId="18" fillId="10" borderId="36" xfId="0" applyFont="1" applyFill="1" applyBorder="1" applyAlignment="1">
      <alignment horizontal="center" vertical="center" wrapText="1"/>
    </xf>
    <xf numFmtId="0" fontId="18" fillId="11" borderId="0" xfId="0" applyFont="1" applyFill="1" applyAlignment="1">
      <alignment horizontal="center" vertical="center" wrapText="1"/>
    </xf>
    <xf numFmtId="0" fontId="16" fillId="10" borderId="0" xfId="0" applyFont="1" applyFill="1" applyAlignment="1">
      <alignment horizontal="center" vertical="center" wrapText="1"/>
    </xf>
    <xf numFmtId="0" fontId="16" fillId="0" borderId="0" xfId="0" applyFont="1" applyAlignment="1">
      <alignment wrapText="1"/>
    </xf>
    <xf numFmtId="0" fontId="27" fillId="0" borderId="32" xfId="0" applyFont="1" applyBorder="1" applyAlignment="1">
      <alignment wrapText="1"/>
    </xf>
    <xf numFmtId="0" fontId="27" fillId="0" borderId="0" xfId="0" applyFont="1" applyAlignment="1">
      <alignment wrapText="1"/>
    </xf>
    <xf numFmtId="2" fontId="0" fillId="0" borderId="0" xfId="0" applyNumberFormat="1"/>
    <xf numFmtId="2" fontId="0" fillId="0" borderId="0" xfId="0" applyNumberFormat="1" applyAlignment="1">
      <alignment horizontal="center"/>
    </xf>
    <xf numFmtId="0" fontId="27" fillId="0" borderId="32" xfId="0" applyFont="1" applyBorder="1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36" fillId="0" borderId="32" xfId="0" applyFont="1" applyBorder="1" applyAlignment="1">
      <alignment horizontal="center"/>
    </xf>
    <xf numFmtId="1" fontId="36" fillId="0" borderId="32" xfId="0" applyNumberFormat="1" applyFont="1" applyBorder="1" applyAlignment="1">
      <alignment horizontal="center"/>
    </xf>
    <xf numFmtId="0" fontId="37" fillId="0" borderId="0" xfId="0" applyFont="1" applyAlignment="1">
      <alignment horizontal="center"/>
    </xf>
    <xf numFmtId="1" fontId="37" fillId="0" borderId="0" xfId="0" applyNumberFormat="1" applyFont="1" applyAlignment="1">
      <alignment horizontal="center"/>
    </xf>
    <xf numFmtId="0" fontId="27" fillId="0" borderId="32" xfId="0" applyFont="1" applyBorder="1" applyAlignment="1">
      <alignment horizontal="center" wrapText="1"/>
    </xf>
    <xf numFmtId="0" fontId="38" fillId="15" borderId="2" xfId="0" applyFont="1" applyFill="1" applyBorder="1" applyAlignment="1">
      <alignment horizontal="center" vertical="center"/>
    </xf>
    <xf numFmtId="0" fontId="3" fillId="0" borderId="0" xfId="0" applyFont="1"/>
    <xf numFmtId="1" fontId="27" fillId="0" borderId="32" xfId="0" applyNumberFormat="1" applyFont="1" applyBorder="1" applyAlignment="1">
      <alignment horizontal="center" wrapText="1"/>
    </xf>
    <xf numFmtId="2" fontId="39" fillId="7" borderId="9" xfId="0" applyNumberFormat="1" applyFont="1" applyFill="1" applyBorder="1" applyAlignment="1">
      <alignment horizontal="center" vertical="center"/>
    </xf>
    <xf numFmtId="0" fontId="23" fillId="26" borderId="10" xfId="0" applyFont="1" applyFill="1" applyBorder="1" applyAlignment="1">
      <alignment horizontal="center" vertical="center"/>
    </xf>
    <xf numFmtId="0" fontId="26" fillId="0" borderId="10" xfId="0" applyFont="1" applyBorder="1" applyAlignment="1">
      <alignment horizontal="center" vertical="center"/>
    </xf>
    <xf numFmtId="0" fontId="23" fillId="27" borderId="10" xfId="0" applyFont="1" applyFill="1" applyBorder="1" applyAlignment="1">
      <alignment horizontal="center" vertical="center"/>
    </xf>
    <xf numFmtId="0" fontId="0" fillId="0" borderId="19" xfId="0" applyBorder="1"/>
    <xf numFmtId="2" fontId="2" fillId="4" borderId="1" xfId="0" applyNumberFormat="1" applyFont="1" applyFill="1" applyBorder="1" applyAlignment="1">
      <alignment horizontal="center" vertical="center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0" fontId="1" fillId="19" borderId="1" xfId="0" applyFont="1" applyFill="1" applyBorder="1" applyAlignment="1">
      <alignment horizontal="center" vertic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29" fillId="0" borderId="10" xfId="0" applyFont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3" fillId="30" borderId="10" xfId="0" applyFont="1" applyFill="1" applyBorder="1" applyAlignment="1">
      <alignment horizontal="center" vertical="center"/>
    </xf>
    <xf numFmtId="0" fontId="19" fillId="31" borderId="10" xfId="0" applyFont="1" applyFill="1" applyBorder="1" applyAlignment="1">
      <alignment horizontal="center" vertical="center"/>
    </xf>
    <xf numFmtId="2" fontId="7" fillId="8" borderId="38" xfId="0" applyNumberFormat="1" applyFont="1" applyFill="1" applyBorder="1" applyAlignment="1">
      <alignment horizontal="center" vertical="center"/>
    </xf>
    <xf numFmtId="2" fontId="7" fillId="8" borderId="39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2" fontId="11" fillId="7" borderId="30" xfId="0" applyNumberFormat="1" applyFont="1" applyFill="1" applyBorder="1" applyAlignment="1">
      <alignment horizontal="center" vertical="center" wrapText="1"/>
    </xf>
    <xf numFmtId="2" fontId="11" fillId="7" borderId="37" xfId="0" applyNumberFormat="1" applyFont="1" applyFill="1" applyBorder="1" applyAlignment="1">
      <alignment horizontal="center" vertical="center" wrapText="1"/>
    </xf>
    <xf numFmtId="2" fontId="11" fillId="7" borderId="3" xfId="0" applyNumberFormat="1" applyFont="1" applyFill="1" applyBorder="1" applyAlignment="1">
      <alignment horizontal="center" vertical="center" wrapText="1"/>
    </xf>
    <xf numFmtId="2" fontId="12" fillId="5" borderId="30" xfId="0" applyNumberFormat="1" applyFont="1" applyFill="1" applyBorder="1" applyAlignment="1">
      <alignment horizontal="center" vertical="center" wrapText="1"/>
    </xf>
    <xf numFmtId="2" fontId="12" fillId="5" borderId="37" xfId="0" applyNumberFormat="1" applyFont="1" applyFill="1" applyBorder="1" applyAlignment="1">
      <alignment horizontal="center" vertical="center" wrapText="1"/>
    </xf>
    <xf numFmtId="2" fontId="12" fillId="5" borderId="3" xfId="0" applyNumberFormat="1" applyFont="1" applyFill="1" applyBorder="1" applyAlignment="1">
      <alignment horizontal="center" vertical="center" wrapText="1"/>
    </xf>
    <xf numFmtId="2" fontId="25" fillId="6" borderId="34" xfId="0" applyNumberFormat="1" applyFont="1" applyFill="1" applyBorder="1" applyAlignment="1">
      <alignment horizontal="center" vertical="center" wrapText="1"/>
    </xf>
    <xf numFmtId="2" fontId="25" fillId="6" borderId="40" xfId="0" applyNumberFormat="1" applyFont="1" applyFill="1" applyBorder="1" applyAlignment="1">
      <alignment horizontal="center" vertical="center" wrapText="1"/>
    </xf>
    <xf numFmtId="2" fontId="25" fillId="6" borderId="4" xfId="0" applyNumberFormat="1" applyFont="1" applyFill="1" applyBorder="1" applyAlignment="1">
      <alignment horizontal="center" vertical="center" wrapText="1"/>
    </xf>
    <xf numFmtId="2" fontId="25" fillId="6" borderId="15" xfId="0" applyNumberFormat="1" applyFont="1" applyFill="1" applyBorder="1" applyAlignment="1">
      <alignment horizontal="center" vertical="center" wrapText="1"/>
    </xf>
    <xf numFmtId="2" fontId="25" fillId="6" borderId="0" xfId="0" applyNumberFormat="1" applyFont="1" applyFill="1" applyAlignment="1">
      <alignment horizontal="center" vertical="center" wrapText="1"/>
    </xf>
    <xf numFmtId="2" fontId="25" fillId="6" borderId="41" xfId="0" applyNumberFormat="1" applyFont="1" applyFill="1" applyBorder="1" applyAlignment="1">
      <alignment horizontal="center" vertical="center" wrapText="1"/>
    </xf>
    <xf numFmtId="2" fontId="25" fillId="6" borderId="31" xfId="0" applyNumberFormat="1" applyFont="1" applyFill="1" applyBorder="1" applyAlignment="1">
      <alignment horizontal="center" vertical="center" wrapText="1"/>
    </xf>
    <xf numFmtId="2" fontId="25" fillId="6" borderId="32" xfId="0" applyNumberFormat="1" applyFont="1" applyFill="1" applyBorder="1" applyAlignment="1">
      <alignment horizontal="center" vertical="center" wrapText="1"/>
    </xf>
    <xf numFmtId="2" fontId="25" fillId="6" borderId="7" xfId="0" applyNumberFormat="1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/>
    </xf>
    <xf numFmtId="0" fontId="1" fillId="3" borderId="37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" fillId="7" borderId="30" xfId="0" applyFont="1" applyFill="1" applyBorder="1" applyAlignment="1">
      <alignment horizontal="center" vertical="center" wrapText="1"/>
    </xf>
    <xf numFmtId="0" fontId="1" fillId="7" borderId="37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2" fontId="1" fillId="7" borderId="30" xfId="0" applyNumberFormat="1" applyFont="1" applyFill="1" applyBorder="1" applyAlignment="1">
      <alignment horizontal="center" vertical="center" wrapText="1"/>
    </xf>
    <xf numFmtId="2" fontId="1" fillId="7" borderId="37" xfId="0" applyNumberFormat="1" applyFont="1" applyFill="1" applyBorder="1" applyAlignment="1">
      <alignment horizontal="center" vertical="center" wrapText="1"/>
    </xf>
    <xf numFmtId="2" fontId="1" fillId="7" borderId="3" xfId="0" applyNumberFormat="1" applyFont="1" applyFill="1" applyBorder="1" applyAlignment="1">
      <alignment horizontal="center" vertical="center" wrapText="1"/>
    </xf>
    <xf numFmtId="0" fontId="1" fillId="6" borderId="31" xfId="0" applyFont="1" applyFill="1" applyBorder="1" applyAlignment="1">
      <alignment horizontal="center" vertical="center" wrapText="1"/>
    </xf>
    <xf numFmtId="0" fontId="1" fillId="6" borderId="32" xfId="0" applyFont="1" applyFill="1" applyBorder="1" applyAlignment="1">
      <alignment horizontal="center" vertical="center" wrapText="1"/>
    </xf>
    <xf numFmtId="0" fontId="1" fillId="6" borderId="7" xfId="0" applyFont="1" applyFill="1" applyBorder="1" applyAlignment="1">
      <alignment horizontal="center" vertical="center" wrapText="1"/>
    </xf>
    <xf numFmtId="0" fontId="1" fillId="3" borderId="30" xfId="0" applyFont="1" applyFill="1" applyBorder="1" applyAlignment="1">
      <alignment horizontal="center" vertical="center" wrapText="1"/>
    </xf>
    <xf numFmtId="0" fontId="1" fillId="3" borderId="37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2" fontId="12" fillId="6" borderId="30" xfId="0" applyNumberFormat="1" applyFont="1" applyFill="1" applyBorder="1" applyAlignment="1">
      <alignment horizontal="center" vertical="center" wrapText="1"/>
    </xf>
    <xf numFmtId="2" fontId="12" fillId="6" borderId="37" xfId="0" applyNumberFormat="1" applyFont="1" applyFill="1" applyBorder="1" applyAlignment="1">
      <alignment horizontal="center" vertical="center" wrapText="1"/>
    </xf>
    <xf numFmtId="2" fontId="12" fillId="6" borderId="3" xfId="0" applyNumberFormat="1" applyFont="1" applyFill="1" applyBorder="1" applyAlignment="1">
      <alignment horizontal="center" vertical="center" wrapText="1"/>
    </xf>
    <xf numFmtId="2" fontId="1" fillId="6" borderId="30" xfId="0" applyNumberFormat="1" applyFont="1" applyFill="1" applyBorder="1" applyAlignment="1">
      <alignment horizontal="center" vertical="center" wrapText="1"/>
    </xf>
    <xf numFmtId="2" fontId="1" fillId="6" borderId="3" xfId="0" applyNumberFormat="1" applyFont="1" applyFill="1" applyBorder="1" applyAlignment="1">
      <alignment horizontal="center" vertical="center" wrapText="1"/>
    </xf>
    <xf numFmtId="2" fontId="2" fillId="4" borderId="30" xfId="0" applyNumberFormat="1" applyFont="1" applyFill="1" applyBorder="1" applyAlignment="1">
      <alignment horizontal="center" vertical="center"/>
    </xf>
    <xf numFmtId="2" fontId="2" fillId="4" borderId="37" xfId="0" applyNumberFormat="1" applyFont="1" applyFill="1" applyBorder="1" applyAlignment="1">
      <alignment horizontal="center" vertical="center"/>
    </xf>
    <xf numFmtId="2" fontId="2" fillId="4" borderId="3" xfId="0" applyNumberFormat="1" applyFont="1" applyFill="1" applyBorder="1" applyAlignment="1">
      <alignment horizontal="center" vertical="center"/>
    </xf>
    <xf numFmtId="0" fontId="40" fillId="15" borderId="6" xfId="0" applyFont="1" applyFill="1" applyBorder="1" applyAlignment="1">
      <alignment horizontal="center" vertical="center" wrapText="1"/>
    </xf>
    <xf numFmtId="0" fontId="40" fillId="15" borderId="8" xfId="0" applyFont="1" applyFill="1" applyBorder="1" applyAlignment="1">
      <alignment horizontal="center" vertical="center" wrapText="1"/>
    </xf>
    <xf numFmtId="0" fontId="1" fillId="8" borderId="6" xfId="0" applyFont="1" applyFill="1" applyBorder="1" applyAlignment="1">
      <alignment horizontal="center" vertical="center" wrapText="1"/>
    </xf>
    <xf numFmtId="0" fontId="3" fillId="8" borderId="8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1" fillId="5" borderId="30" xfId="0" applyFont="1" applyFill="1" applyBorder="1" applyAlignment="1">
      <alignment horizontal="center" vertical="center" wrapText="1"/>
    </xf>
    <xf numFmtId="0" fontId="1" fillId="5" borderId="37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2" fontId="1" fillId="5" borderId="30" xfId="0" applyNumberFormat="1" applyFont="1" applyFill="1" applyBorder="1" applyAlignment="1">
      <alignment horizontal="center" vertical="center" wrapText="1"/>
    </xf>
    <xf numFmtId="2" fontId="1" fillId="5" borderId="3" xfId="0" applyNumberFormat="1" applyFont="1" applyFill="1" applyBorder="1" applyAlignment="1">
      <alignment horizontal="center" vertical="center" wrapText="1"/>
    </xf>
    <xf numFmtId="0" fontId="1" fillId="6" borderId="30" xfId="0" applyFont="1" applyFill="1" applyBorder="1" applyAlignment="1">
      <alignment horizontal="center" vertical="center" wrapText="1"/>
    </xf>
    <xf numFmtId="0" fontId="1" fillId="6" borderId="37" xfId="0" applyFont="1" applyFill="1" applyBorder="1" applyAlignment="1">
      <alignment horizontal="center" vertical="center" wrapText="1"/>
    </xf>
    <xf numFmtId="0" fontId="1" fillId="6" borderId="3" xfId="0" applyFont="1" applyFill="1" applyBorder="1" applyAlignment="1">
      <alignment horizontal="center" vertical="center" wrapText="1"/>
    </xf>
    <xf numFmtId="0" fontId="1" fillId="6" borderId="34" xfId="0" applyFont="1" applyFill="1" applyBorder="1" applyAlignment="1">
      <alignment horizontal="center" vertical="center" wrapText="1"/>
    </xf>
    <xf numFmtId="0" fontId="1" fillId="6" borderId="40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15" xfId="0" applyFont="1" applyFill="1" applyBorder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6" borderId="41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19" borderId="1" xfId="0" applyFont="1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 wrapText="1"/>
    </xf>
    <xf numFmtId="0" fontId="9" fillId="5" borderId="8" xfId="0" applyFont="1" applyFill="1" applyBorder="1" applyAlignment="1">
      <alignment horizontal="center" vertical="center" wrapText="1"/>
    </xf>
    <xf numFmtId="0" fontId="3" fillId="0" borderId="30" xfId="0" applyFont="1" applyBorder="1" applyAlignment="1">
      <alignment horizontal="center" vertical="center"/>
    </xf>
    <xf numFmtId="0" fontId="3" fillId="0" borderId="37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2" borderId="0" xfId="0" applyFont="1" applyFill="1" applyAlignment="1">
      <alignment horizontal="center" vertical="center"/>
    </xf>
    <xf numFmtId="0" fontId="9" fillId="8" borderId="34" xfId="0" applyFont="1" applyFill="1" applyBorder="1" applyAlignment="1">
      <alignment horizontal="center" vertical="center" wrapText="1"/>
    </xf>
    <xf numFmtId="0" fontId="9" fillId="8" borderId="40" xfId="0" applyFont="1" applyFill="1" applyBorder="1" applyAlignment="1">
      <alignment horizontal="center" vertical="center" wrapText="1"/>
    </xf>
    <xf numFmtId="0" fontId="9" fillId="8" borderId="4" xfId="0" applyFont="1" applyFill="1" applyBorder="1" applyAlignment="1">
      <alignment horizontal="center" vertical="center" wrapText="1"/>
    </xf>
    <xf numFmtId="0" fontId="9" fillId="8" borderId="31" xfId="0" applyFont="1" applyFill="1" applyBorder="1" applyAlignment="1">
      <alignment horizontal="center" vertical="center" wrapText="1"/>
    </xf>
    <xf numFmtId="0" fontId="9" fillId="8" borderId="32" xfId="0" applyFont="1" applyFill="1" applyBorder="1" applyAlignment="1">
      <alignment horizontal="center" vertical="center" wrapText="1"/>
    </xf>
    <xf numFmtId="0" fontId="9" fillId="8" borderId="7" xfId="0" applyFont="1" applyFill="1" applyBorder="1" applyAlignment="1">
      <alignment horizontal="center" vertical="center" wrapText="1"/>
    </xf>
    <xf numFmtId="0" fontId="10" fillId="28" borderId="3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1" fillId="19" borderId="6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1" fillId="16" borderId="6" xfId="0" applyFont="1" applyFill="1" applyBorder="1" applyAlignment="1">
      <alignment horizontal="center" vertical="center"/>
    </xf>
    <xf numFmtId="0" fontId="1" fillId="16" borderId="8" xfId="0" applyFont="1" applyFill="1" applyBorder="1" applyAlignment="1">
      <alignment horizontal="center" vertical="center"/>
    </xf>
    <xf numFmtId="0" fontId="14" fillId="14" borderId="42" xfId="0" applyFont="1" applyFill="1" applyBorder="1" applyAlignment="1">
      <alignment horizontal="center" vertical="center" wrapText="1"/>
    </xf>
    <xf numFmtId="0" fontId="14" fillId="14" borderId="33" xfId="0" applyFont="1" applyFill="1" applyBorder="1" applyAlignment="1">
      <alignment horizontal="center" vertical="center" wrapText="1"/>
    </xf>
    <xf numFmtId="0" fontId="1" fillId="3" borderId="34" xfId="0" applyFont="1" applyFill="1" applyBorder="1" applyAlignment="1">
      <alignment horizontal="center" vertical="center" wrapText="1"/>
    </xf>
    <xf numFmtId="0" fontId="1" fillId="3" borderId="40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15" xfId="0" applyFont="1" applyFill="1" applyBorder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3" borderId="41" xfId="0" applyFont="1" applyFill="1" applyBorder="1" applyAlignment="1">
      <alignment horizontal="center" vertical="center" wrapText="1"/>
    </xf>
    <xf numFmtId="0" fontId="1" fillId="3" borderId="31" xfId="0" applyFont="1" applyFill="1" applyBorder="1" applyAlignment="1">
      <alignment horizontal="center" vertical="center" wrapText="1"/>
    </xf>
    <xf numFmtId="0" fontId="1" fillId="3" borderId="32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1" fillId="0" borderId="40" xfId="0" applyFont="1" applyBorder="1" applyAlignment="1">
      <alignment horizontal="center" vertical="center" wrapText="1" readingOrder="1"/>
    </xf>
    <xf numFmtId="0" fontId="1" fillId="0" borderId="4" xfId="0" applyFont="1" applyBorder="1" applyAlignment="1">
      <alignment horizontal="center" vertical="center" wrapText="1" readingOrder="1"/>
    </xf>
    <xf numFmtId="0" fontId="1" fillId="0" borderId="0" xfId="0" applyFont="1" applyAlignment="1">
      <alignment horizontal="center" vertical="center" wrapText="1" readingOrder="1"/>
    </xf>
    <xf numFmtId="0" fontId="1" fillId="0" borderId="41" xfId="0" applyFont="1" applyBorder="1" applyAlignment="1">
      <alignment horizontal="center" vertical="center" wrapText="1" readingOrder="1"/>
    </xf>
    <xf numFmtId="0" fontId="1" fillId="0" borderId="32" xfId="0" applyFont="1" applyBorder="1" applyAlignment="1">
      <alignment horizontal="center" vertical="center" wrapText="1" readingOrder="1"/>
    </xf>
    <xf numFmtId="0" fontId="1" fillId="0" borderId="7" xfId="0" applyFont="1" applyBorder="1" applyAlignment="1">
      <alignment horizontal="center" vertical="center" wrapText="1" readingOrder="1"/>
    </xf>
    <xf numFmtId="0" fontId="14" fillId="13" borderId="16" xfId="0" applyFont="1" applyFill="1" applyBorder="1" applyAlignment="1">
      <alignment horizontal="center"/>
    </xf>
    <xf numFmtId="0" fontId="14" fillId="14" borderId="16" xfId="0" applyFont="1" applyFill="1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41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7" xfId="0" applyBorder="1" applyAlignment="1">
      <alignment horizontal="center"/>
    </xf>
    <xf numFmtId="0" fontId="14" fillId="25" borderId="17" xfId="0" applyFont="1" applyFill="1" applyBorder="1" applyAlignment="1">
      <alignment horizontal="center" vertical="center" wrapText="1"/>
    </xf>
    <xf numFmtId="0" fontId="14" fillId="25" borderId="43" xfId="0" applyFont="1" applyFill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/>
    </xf>
    <xf numFmtId="0" fontId="19" fillId="0" borderId="37" xfId="0" applyFont="1" applyBorder="1" applyAlignment="1">
      <alignment horizontal="center" vertical="center"/>
    </xf>
    <xf numFmtId="0" fontId="19" fillId="0" borderId="3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8" fillId="12" borderId="47" xfId="0" applyFont="1" applyFill="1" applyBorder="1" applyAlignment="1">
      <alignment horizontal="center" vertical="center"/>
    </xf>
    <xf numFmtId="0" fontId="18" fillId="12" borderId="48" xfId="0" applyFont="1" applyFill="1" applyBorder="1" applyAlignment="1">
      <alignment horizontal="center" vertical="center"/>
    </xf>
    <xf numFmtId="0" fontId="18" fillId="12" borderId="49" xfId="0" applyFont="1" applyFill="1" applyBorder="1" applyAlignment="1">
      <alignment horizontal="center" vertical="center"/>
    </xf>
    <xf numFmtId="0" fontId="18" fillId="12" borderId="50" xfId="0" applyFont="1" applyFill="1" applyBorder="1" applyAlignment="1">
      <alignment horizontal="center" vertical="center"/>
    </xf>
    <xf numFmtId="0" fontId="18" fillId="0" borderId="30" xfId="0" applyFont="1" applyBorder="1" applyAlignment="1">
      <alignment horizontal="center"/>
    </xf>
    <xf numFmtId="0" fontId="18" fillId="0" borderId="37" xfId="0" applyFont="1" applyBorder="1" applyAlignment="1">
      <alignment horizontal="center"/>
    </xf>
    <xf numFmtId="0" fontId="18" fillId="0" borderId="51" xfId="0" applyFont="1" applyBorder="1" applyAlignment="1">
      <alignment horizontal="center"/>
    </xf>
    <xf numFmtId="0" fontId="18" fillId="0" borderId="52" xfId="0" applyFont="1" applyBorder="1" applyAlignment="1">
      <alignment horizontal="center"/>
    </xf>
    <xf numFmtId="0" fontId="18" fillId="0" borderId="3" xfId="0" applyFont="1" applyBorder="1" applyAlignment="1">
      <alignment horizontal="center"/>
    </xf>
    <xf numFmtId="0" fontId="16" fillId="0" borderId="44" xfId="0" applyFont="1" applyBorder="1" applyAlignment="1">
      <alignment horizontal="center" vertical="center"/>
    </xf>
    <xf numFmtId="0" fontId="16" fillId="0" borderId="45" xfId="0" applyFont="1" applyBorder="1" applyAlignment="1">
      <alignment horizontal="center" vertical="center"/>
    </xf>
    <xf numFmtId="0" fontId="16" fillId="0" borderId="46" xfId="0" applyFont="1" applyBorder="1" applyAlignment="1">
      <alignment horizontal="center" vertical="center"/>
    </xf>
    <xf numFmtId="0" fontId="18" fillId="0" borderId="30" xfId="0" applyFont="1" applyBorder="1" applyAlignment="1">
      <alignment horizontal="center" vertical="center"/>
    </xf>
    <xf numFmtId="0" fontId="18" fillId="0" borderId="37" xfId="0" applyFont="1" applyBorder="1" applyAlignment="1">
      <alignment horizontal="center" vertical="center"/>
    </xf>
    <xf numFmtId="0" fontId="18" fillId="0" borderId="3" xfId="0" applyFont="1" applyBorder="1" applyAlignment="1">
      <alignment horizontal="center" vertical="center"/>
    </xf>
    <xf numFmtId="0" fontId="41" fillId="0" borderId="34" xfId="0" applyFont="1" applyBorder="1" applyAlignment="1">
      <alignment horizontal="center" vertical="center" wrapText="1"/>
    </xf>
    <xf numFmtId="0" fontId="41" fillId="0" borderId="40" xfId="0" applyFont="1" applyBorder="1" applyAlignment="1">
      <alignment horizontal="center" vertical="center" wrapText="1"/>
    </xf>
    <xf numFmtId="0" fontId="41" fillId="0" borderId="15" xfId="0" applyFont="1" applyBorder="1" applyAlignment="1">
      <alignment horizontal="center" vertical="center" wrapText="1"/>
    </xf>
    <xf numFmtId="0" fontId="41" fillId="0" borderId="0" xfId="0" applyFont="1" applyAlignment="1">
      <alignment horizontal="center" vertical="center" wrapText="1"/>
    </xf>
    <xf numFmtId="0" fontId="41" fillId="0" borderId="31" xfId="0" applyFont="1" applyBorder="1" applyAlignment="1">
      <alignment horizontal="center" vertical="center" wrapText="1"/>
    </xf>
    <xf numFmtId="0" fontId="41" fillId="0" borderId="32" xfId="0" applyFont="1" applyBorder="1" applyAlignment="1">
      <alignment horizontal="center" vertical="center" wrapText="1"/>
    </xf>
    <xf numFmtId="0" fontId="42" fillId="0" borderId="34" xfId="0" applyFont="1" applyBorder="1" applyAlignment="1">
      <alignment horizontal="center" vertical="center"/>
    </xf>
    <xf numFmtId="0" fontId="42" fillId="0" borderId="40" xfId="0" applyFont="1" applyBorder="1" applyAlignment="1">
      <alignment horizontal="center" vertical="center"/>
    </xf>
    <xf numFmtId="0" fontId="42" fillId="0" borderId="4" xfId="0" applyFont="1" applyBorder="1" applyAlignment="1">
      <alignment horizontal="center" vertical="center"/>
    </xf>
    <xf numFmtId="0" fontId="42" fillId="0" borderId="31" xfId="0" applyFont="1" applyBorder="1" applyAlignment="1">
      <alignment horizontal="center" vertical="center"/>
    </xf>
    <xf numFmtId="0" fontId="42" fillId="0" borderId="32" xfId="0" applyFont="1" applyBorder="1" applyAlignment="1">
      <alignment horizontal="center" vertical="center"/>
    </xf>
    <xf numFmtId="0" fontId="42" fillId="0" borderId="7" xfId="0" applyFont="1" applyBorder="1" applyAlignment="1">
      <alignment horizontal="center" vertical="center"/>
    </xf>
    <xf numFmtId="0" fontId="43" fillId="0" borderId="15" xfId="0" applyFont="1" applyBorder="1" applyAlignment="1">
      <alignment horizontal="center" vertical="center"/>
    </xf>
    <xf numFmtId="0" fontId="43" fillId="0" borderId="0" xfId="0" applyFont="1" applyAlignment="1">
      <alignment horizontal="center" vertical="center"/>
    </xf>
    <xf numFmtId="0" fontId="43" fillId="0" borderId="41" xfId="0" applyFont="1" applyBorder="1" applyAlignment="1">
      <alignment horizontal="center" vertical="center"/>
    </xf>
    <xf numFmtId="0" fontId="43" fillId="0" borderId="31" xfId="0" applyFont="1" applyBorder="1" applyAlignment="1">
      <alignment horizontal="center" vertical="center"/>
    </xf>
    <xf numFmtId="0" fontId="43" fillId="0" borderId="32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 vertical="center"/>
    </xf>
    <xf numFmtId="0" fontId="28" fillId="0" borderId="53" xfId="0" applyFont="1" applyBorder="1" applyAlignment="1">
      <alignment horizontal="center" vertical="center" wrapText="1"/>
    </xf>
    <xf numFmtId="0" fontId="28" fillId="0" borderId="54" xfId="0" applyFont="1" applyBorder="1" applyAlignment="1">
      <alignment horizontal="center" vertical="center" wrapText="1"/>
    </xf>
    <xf numFmtId="0" fontId="28" fillId="0" borderId="44" xfId="0" applyFont="1" applyBorder="1" applyAlignment="1">
      <alignment horizontal="center" vertical="center" wrapText="1"/>
    </xf>
    <xf numFmtId="0" fontId="28" fillId="0" borderId="46" xfId="0" applyFont="1" applyBorder="1" applyAlignment="1">
      <alignment horizontal="center" vertical="center" wrapText="1"/>
    </xf>
    <xf numFmtId="0" fontId="0" fillId="0" borderId="26" xfId="0" applyBorder="1" applyAlignment="1">
      <alignment horizontal="center"/>
    </xf>
    <xf numFmtId="0" fontId="0" fillId="0" borderId="19" xfId="0" applyBorder="1" applyAlignment="1"/>
    <xf numFmtId="0" fontId="0" fillId="0" borderId="10" xfId="0" applyBorder="1" applyAlignment="1">
      <alignment horizontal="center" vertical="center"/>
    </xf>
    <xf numFmtId="14" fontId="8" fillId="0" borderId="44" xfId="0" applyNumberFormat="1" applyFont="1" applyBorder="1" applyAlignment="1">
      <alignment horizontal="center" vertical="center" readingOrder="2"/>
    </xf>
    <xf numFmtId="14" fontId="0" fillId="0" borderId="46" xfId="0" applyNumberFormat="1" applyBorder="1" applyAlignment="1">
      <alignment horizontal="center" vertical="center" readingOrder="2"/>
    </xf>
    <xf numFmtId="0" fontId="0" fillId="0" borderId="44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29" fillId="0" borderId="53" xfId="0" applyFont="1" applyBorder="1" applyAlignment="1">
      <alignment horizontal="center" vertical="center" wrapText="1"/>
    </xf>
    <xf numFmtId="0" fontId="29" fillId="0" borderId="54" xfId="0" applyFont="1" applyBorder="1" applyAlignment="1">
      <alignment horizontal="center" vertical="center" wrapText="1"/>
    </xf>
    <xf numFmtId="0" fontId="29" fillId="0" borderId="10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wrapText="1"/>
    </xf>
    <xf numFmtId="0" fontId="0" fillId="0" borderId="10" xfId="0" applyBorder="1" applyAlignment="1">
      <alignment horizontal="center"/>
    </xf>
    <xf numFmtId="0" fontId="29" fillId="0" borderId="18" xfId="0" applyFont="1" applyBorder="1" applyAlignment="1">
      <alignment horizontal="center" wrapText="1"/>
    </xf>
    <xf numFmtId="0" fontId="29" fillId="0" borderId="44" xfId="0" applyFont="1" applyBorder="1" applyAlignment="1">
      <alignment horizontal="center" vertical="center"/>
    </xf>
    <xf numFmtId="0" fontId="29" fillId="0" borderId="46" xfId="0" applyFont="1" applyBorder="1" applyAlignment="1">
      <alignment horizontal="center" vertical="center"/>
    </xf>
    <xf numFmtId="0" fontId="0" fillId="0" borderId="27" xfId="0" applyBorder="1" applyAlignment="1">
      <alignment horizontal="left"/>
    </xf>
    <xf numFmtId="0" fontId="0" fillId="0" borderId="0" xfId="0" applyAlignment="1">
      <alignment horizontal="left"/>
    </xf>
    <xf numFmtId="0" fontId="0" fillId="0" borderId="27" xfId="0" applyBorder="1" applyAlignment="1">
      <alignment horizontal="center"/>
    </xf>
    <xf numFmtId="0" fontId="0" fillId="0" borderId="55" xfId="0" applyBorder="1" applyAlignment="1">
      <alignment horizontal="center"/>
    </xf>
    <xf numFmtId="0" fontId="0" fillId="0" borderId="26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29" xfId="0" applyBorder="1" applyAlignment="1">
      <alignment horizontal="left" vertical="top"/>
    </xf>
    <xf numFmtId="0" fontId="0" fillId="0" borderId="44" xfId="0" applyBorder="1" applyAlignment="1">
      <alignment horizontal="center"/>
    </xf>
    <xf numFmtId="0" fontId="0" fillId="0" borderId="46" xfId="0" applyBorder="1" applyAlignment="1">
      <alignment horizontal="center"/>
    </xf>
    <xf numFmtId="0" fontId="0" fillId="0" borderId="2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5" xfId="0" applyBorder="1" applyAlignment="1">
      <alignment horizontal="left" vertical="top"/>
    </xf>
    <xf numFmtId="0" fontId="29" fillId="0" borderId="57" xfId="0" applyFont="1" applyBorder="1" applyAlignment="1">
      <alignment horizontal="left" vertical="center"/>
    </xf>
    <xf numFmtId="0" fontId="29" fillId="0" borderId="58" xfId="0" applyFont="1" applyBorder="1" applyAlignment="1">
      <alignment horizontal="left" vertical="center"/>
    </xf>
    <xf numFmtId="0" fontId="29" fillId="0" borderId="59" xfId="0" applyFont="1" applyBorder="1" applyAlignment="1">
      <alignment horizontal="left" vertical="center"/>
    </xf>
    <xf numFmtId="0" fontId="29" fillId="0" borderId="28" xfId="0" applyFont="1" applyBorder="1" applyAlignment="1">
      <alignment horizontal="left" vertical="center"/>
    </xf>
    <xf numFmtId="0" fontId="29" fillId="0" borderId="25" xfId="0" applyFont="1" applyBorder="1" applyAlignment="1">
      <alignment horizontal="left" vertical="center"/>
    </xf>
    <xf numFmtId="0" fontId="29" fillId="0" borderId="24" xfId="0" applyFont="1" applyBorder="1" applyAlignment="1">
      <alignment horizontal="left" vertical="center"/>
    </xf>
    <xf numFmtId="0" fontId="29" fillId="0" borderId="10" xfId="0" applyFont="1" applyBorder="1" applyAlignment="1">
      <alignment horizontal="center" vertical="center"/>
    </xf>
    <xf numFmtId="0" fontId="29" fillId="18" borderId="18" xfId="0" applyFont="1" applyFill="1" applyBorder="1" applyAlignment="1">
      <alignment horizontal="center" vertical="center"/>
    </xf>
    <xf numFmtId="0" fontId="29" fillId="18" borderId="10" xfId="0" applyFont="1" applyFill="1" applyBorder="1" applyAlignment="1">
      <alignment horizontal="center" vertical="center"/>
    </xf>
    <xf numFmtId="0" fontId="29" fillId="0" borderId="18" xfId="0" applyFont="1" applyBorder="1" applyAlignment="1">
      <alignment horizontal="center"/>
    </xf>
    <xf numFmtId="0" fontId="44" fillId="17" borderId="28" xfId="0" applyFont="1" applyFill="1" applyBorder="1" applyAlignment="1">
      <alignment horizontal="left"/>
    </xf>
    <xf numFmtId="0" fontId="44" fillId="17" borderId="25" xfId="0" applyFont="1" applyFill="1" applyBorder="1" applyAlignment="1">
      <alignment horizontal="left"/>
    </xf>
    <xf numFmtId="0" fontId="0" fillId="0" borderId="28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56" xfId="0" applyBorder="1" applyAlignment="1">
      <alignment horizontal="center"/>
    </xf>
    <xf numFmtId="0" fontId="29" fillId="0" borderId="10" xfId="0" applyFont="1" applyBorder="1" applyAlignment="1">
      <alignment horizontal="center"/>
    </xf>
    <xf numFmtId="0" fontId="0" fillId="0" borderId="28" xfId="0" applyBorder="1" applyAlignment="1">
      <alignment horizontal="left" vertical="top"/>
    </xf>
    <xf numFmtId="0" fontId="0" fillId="0" borderId="25" xfId="0" applyBorder="1" applyAlignment="1">
      <alignment horizontal="left" vertical="top"/>
    </xf>
    <xf numFmtId="0" fontId="0" fillId="0" borderId="24" xfId="0" applyBorder="1" applyAlignment="1">
      <alignment horizontal="left" vertical="top"/>
    </xf>
    <xf numFmtId="0" fontId="34" fillId="0" borderId="26" xfId="0" applyFont="1" applyBorder="1" applyAlignment="1">
      <alignment horizontal="left" vertical="center"/>
    </xf>
    <xf numFmtId="0" fontId="34" fillId="0" borderId="19" xfId="0" applyFont="1" applyBorder="1" applyAlignment="1">
      <alignment horizontal="left" vertical="center"/>
    </xf>
    <xf numFmtId="0" fontId="34" fillId="0" borderId="28" xfId="0" applyFont="1" applyBorder="1" applyAlignment="1">
      <alignment horizontal="left" vertical="center"/>
    </xf>
    <xf numFmtId="0" fontId="34" fillId="0" borderId="25" xfId="0" applyFont="1" applyBorder="1" applyAlignment="1">
      <alignment horizontal="left" vertical="center"/>
    </xf>
    <xf numFmtId="0" fontId="36" fillId="0" borderId="10" xfId="0" applyFont="1" applyBorder="1" applyAlignment="1">
      <alignment horizontal="center" vertical="center"/>
    </xf>
    <xf numFmtId="0" fontId="31" fillId="0" borderId="27" xfId="0" applyFont="1" applyBorder="1" applyAlignment="1">
      <alignment horizontal="left" vertical="top"/>
    </xf>
    <xf numFmtId="0" fontId="31" fillId="0" borderId="0" xfId="0" applyFont="1" applyAlignment="1">
      <alignment horizontal="left" vertical="top"/>
    </xf>
    <xf numFmtId="0" fontId="31" fillId="0" borderId="55" xfId="0" applyFont="1" applyBorder="1" applyAlignment="1">
      <alignment horizontal="left" vertical="top"/>
    </xf>
    <xf numFmtId="0" fontId="31" fillId="0" borderId="44" xfId="0" applyFont="1" applyBorder="1" applyAlignment="1">
      <alignment horizontal="center"/>
    </xf>
    <xf numFmtId="0" fontId="31" fillId="0" borderId="46" xfId="0" applyFont="1" applyBorder="1" applyAlignment="1">
      <alignment horizontal="center"/>
    </xf>
    <xf numFmtId="0" fontId="29" fillId="0" borderId="44" xfId="0" applyFont="1" applyBorder="1" applyAlignment="1">
      <alignment horizontal="left"/>
    </xf>
    <xf numFmtId="0" fontId="29" fillId="0" borderId="45" xfId="0" applyFont="1" applyBorder="1" applyAlignment="1">
      <alignment horizontal="left"/>
    </xf>
    <xf numFmtId="0" fontId="29" fillId="0" borderId="46" xfId="0" applyFont="1" applyBorder="1" applyAlignment="1">
      <alignment horizontal="left"/>
    </xf>
    <xf numFmtId="0" fontId="45" fillId="0" borderId="10" xfId="0" applyFont="1" applyBorder="1" applyAlignment="1">
      <alignment horizontal="center"/>
    </xf>
    <xf numFmtId="0" fontId="27" fillId="29" borderId="26" xfId="0" applyFont="1" applyFill="1" applyBorder="1" applyAlignment="1">
      <alignment horizontal="left"/>
    </xf>
    <xf numFmtId="0" fontId="27" fillId="29" borderId="19" xfId="0" applyFont="1" applyFill="1" applyBorder="1" applyAlignment="1">
      <alignment horizontal="left"/>
    </xf>
    <xf numFmtId="0" fontId="27" fillId="29" borderId="29" xfId="0" applyFont="1" applyFill="1" applyBorder="1" applyAlignment="1">
      <alignment horizontal="left"/>
    </xf>
    <xf numFmtId="0" fontId="27" fillId="29" borderId="28" xfId="0" applyFont="1" applyFill="1" applyBorder="1" applyAlignment="1">
      <alignment horizontal="left"/>
    </xf>
    <xf numFmtId="0" fontId="27" fillId="29" borderId="25" xfId="0" applyFont="1" applyFill="1" applyBorder="1" applyAlignment="1">
      <alignment horizontal="left"/>
    </xf>
    <xf numFmtId="0" fontId="27" fillId="29" borderId="24" xfId="0" applyFont="1" applyFill="1" applyBorder="1" applyAlignment="1">
      <alignment horizontal="left"/>
    </xf>
    <xf numFmtId="0" fontId="46" fillId="29" borderId="10" xfId="0" applyFont="1" applyFill="1" applyBorder="1" applyAlignment="1">
      <alignment horizontal="center"/>
    </xf>
    <xf numFmtId="0" fontId="47" fillId="18" borderId="44" xfId="0" applyFont="1" applyFill="1" applyBorder="1" applyAlignment="1">
      <alignment horizontal="left"/>
    </xf>
    <xf numFmtId="0" fontId="47" fillId="18" borderId="45" xfId="0" applyFont="1" applyFill="1" applyBorder="1" applyAlignment="1">
      <alignment horizontal="left"/>
    </xf>
    <xf numFmtId="0" fontId="47" fillId="18" borderId="46" xfId="0" applyFont="1" applyFill="1" applyBorder="1" applyAlignment="1">
      <alignment horizontal="left"/>
    </xf>
    <xf numFmtId="0" fontId="48" fillId="18" borderId="10" xfId="0" applyFont="1" applyFill="1" applyBorder="1" applyAlignment="1">
      <alignment horizontal="center"/>
    </xf>
    <xf numFmtId="0" fontId="27" fillId="0" borderId="10" xfId="0" applyFont="1" applyBorder="1" applyAlignment="1">
      <alignment horizontal="center"/>
    </xf>
    <xf numFmtId="0" fontId="29" fillId="0" borderId="44" xfId="0" applyFont="1" applyBorder="1" applyAlignment="1"/>
    <xf numFmtId="0" fontId="29" fillId="0" borderId="45" xfId="0" applyFont="1" applyBorder="1" applyAlignment="1"/>
    <xf numFmtId="0" fontId="29" fillId="0" borderId="46" xfId="0" applyFont="1" applyBorder="1" applyAlignment="1"/>
    <xf numFmtId="0" fontId="41" fillId="0" borderId="19" xfId="0" applyFont="1" applyBorder="1" applyAlignment="1">
      <alignment horizontal="left"/>
    </xf>
    <xf numFmtId="0" fontId="41" fillId="0" borderId="25" xfId="0" applyFont="1" applyBorder="1" applyAlignment="1">
      <alignment horizontal="left"/>
    </xf>
    <xf numFmtId="0" fontId="41" fillId="0" borderId="45" xfId="0" applyFont="1" applyBorder="1" applyAlignment="1">
      <alignment horizontal="left"/>
    </xf>
    <xf numFmtId="2" fontId="27" fillId="0" borderId="10" xfId="0" applyNumberFormat="1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27" fillId="0" borderId="34" xfId="0" applyFont="1" applyBorder="1" applyAlignment="1">
      <alignment horizontal="center" vertical="center"/>
    </xf>
    <xf numFmtId="0" fontId="27" fillId="0" borderId="40" xfId="0" applyFont="1" applyBorder="1" applyAlignment="1">
      <alignment horizontal="center" vertical="center"/>
    </xf>
    <xf numFmtId="0" fontId="27" fillId="0" borderId="4" xfId="0" applyFont="1" applyBorder="1" applyAlignment="1">
      <alignment horizontal="center" vertical="center"/>
    </xf>
    <xf numFmtId="0" fontId="27" fillId="0" borderId="15" xfId="0" applyFont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7" fillId="0" borderId="41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32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7" fillId="0" borderId="44" xfId="0" applyFont="1" applyBorder="1" applyAlignment="1">
      <alignment horizontal="right" vertical="center"/>
    </xf>
    <xf numFmtId="0" fontId="27" fillId="0" borderId="46" xfId="0" applyFont="1" applyBorder="1" applyAlignment="1">
      <alignment horizontal="right" vertical="center"/>
    </xf>
    <xf numFmtId="0" fontId="27" fillId="0" borderId="10" xfId="0" applyFont="1" applyBorder="1" applyAlignment="1">
      <alignment horizontal="right" vertical="center"/>
    </xf>
    <xf numFmtId="0" fontId="27" fillId="0" borderId="45" xfId="0" applyFont="1" applyBorder="1" applyAlignment="1">
      <alignment horizontal="right" vertical="center"/>
    </xf>
    <xf numFmtId="0" fontId="27" fillId="0" borderId="44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2" fontId="48" fillId="18" borderId="10" xfId="0" applyNumberFormat="1" applyFont="1" applyFill="1" applyBorder="1" applyAlignment="1">
      <alignment horizontal="center"/>
    </xf>
    <xf numFmtId="0" fontId="24" fillId="19" borderId="30" xfId="0" applyFont="1" applyFill="1" applyBorder="1" applyAlignment="1">
      <alignment horizontal="center"/>
    </xf>
    <xf numFmtId="0" fontId="0" fillId="19" borderId="37" xfId="0" applyFill="1" applyBorder="1" applyAlignment="1">
      <alignment horizontal="center"/>
    </xf>
    <xf numFmtId="0" fontId="0" fillId="19" borderId="3" xfId="0" applyFill="1" applyBorder="1" applyAlignment="1">
      <alignment horizontal="center"/>
    </xf>
    <xf numFmtId="0" fontId="24" fillId="19" borderId="31" xfId="0" applyFont="1" applyFill="1" applyBorder="1" applyAlignment="1">
      <alignment horizontal="center"/>
    </xf>
    <xf numFmtId="0" fontId="0" fillId="19" borderId="32" xfId="0" applyFill="1" applyBorder="1" applyAlignment="1">
      <alignment horizontal="center"/>
    </xf>
    <xf numFmtId="0" fontId="0" fillId="19" borderId="7" xfId="0" applyFill="1" applyBorder="1" applyAlignment="1">
      <alignment horizontal="center"/>
    </xf>
    <xf numFmtId="0" fontId="0" fillId="18" borderId="44" xfId="0" applyFill="1" applyBorder="1" applyAlignment="1">
      <alignment horizontal="center"/>
    </xf>
    <xf numFmtId="0" fontId="0" fillId="18" borderId="45" xfId="0" applyFill="1" applyBorder="1" applyAlignment="1">
      <alignment horizontal="center"/>
    </xf>
    <xf numFmtId="0" fontId="0" fillId="18" borderId="46" xfId="0" applyFill="1" applyBorder="1" applyAlignment="1">
      <alignment horizontal="center"/>
    </xf>
    <xf numFmtId="0" fontId="24" fillId="19" borderId="37" xfId="0" applyFont="1" applyFill="1" applyBorder="1" applyAlignment="1">
      <alignment horizontal="center"/>
    </xf>
    <xf numFmtId="0" fontId="24" fillId="19" borderId="3" xfId="0" applyFont="1" applyFill="1" applyBorder="1" applyAlignment="1">
      <alignment horizontal="center"/>
    </xf>
    <xf numFmtId="0" fontId="24" fillId="19" borderId="32" xfId="0" applyFont="1" applyFill="1" applyBorder="1" applyAlignment="1">
      <alignment horizontal="center"/>
    </xf>
    <xf numFmtId="0" fontId="24" fillId="19" borderId="7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3"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  <dxf>
      <font>
        <strike val="0"/>
        <condense val="0"/>
        <extend val="0"/>
      </font>
      <fill>
        <patternFill>
          <bgColor indexed="9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9"/>
    </mc:Choice>
    <mc:Fallback>
      <c:style val="19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Eau en m3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1.7834394904458598E-2"/>
          <c:y val="0.11368015414258188"/>
          <c:w val="0.94012738853503186"/>
          <c:h val="0.649325626204238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'Suivi EAU-ELEC'!$D$7:$E$7</c:f>
              <c:strCache>
                <c:ptCount val="1"/>
                <c:pt idx="0">
                  <c:v>Eau m3</c:v>
                </c:pt>
              </c:strCache>
            </c:strRef>
          </c:tx>
          <c:invertIfNegative val="0"/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EAU-ELEC'!$E$9:$E$40</c:f>
              <c:numCache>
                <c:formatCode>General</c:formatCode>
                <c:ptCount val="32"/>
                <c:pt idx="0">
                  <c:v>120.29999999998836</c:v>
                </c:pt>
                <c:pt idx="1">
                  <c:v>139</c:v>
                </c:pt>
                <c:pt idx="2">
                  <c:v>134</c:v>
                </c:pt>
                <c:pt idx="3">
                  <c:v>136.5</c:v>
                </c:pt>
                <c:pt idx="4">
                  <c:v>143.29999999998836</c:v>
                </c:pt>
                <c:pt idx="5">
                  <c:v>146.60000000000582</c:v>
                </c:pt>
                <c:pt idx="6">
                  <c:v>149.60000000000582</c:v>
                </c:pt>
                <c:pt idx="7">
                  <c:v>131</c:v>
                </c:pt>
                <c:pt idx="8">
                  <c:v>124</c:v>
                </c:pt>
                <c:pt idx="9">
                  <c:v>126</c:v>
                </c:pt>
                <c:pt idx="10">
                  <c:v>123</c:v>
                </c:pt>
                <c:pt idx="11">
                  <c:v>153.5</c:v>
                </c:pt>
                <c:pt idx="12">
                  <c:v>132.20000000001164</c:v>
                </c:pt>
                <c:pt idx="13">
                  <c:v>131.29999999998836</c:v>
                </c:pt>
                <c:pt idx="14">
                  <c:v>147</c:v>
                </c:pt>
                <c:pt idx="15">
                  <c:v>145</c:v>
                </c:pt>
                <c:pt idx="16">
                  <c:v>136</c:v>
                </c:pt>
                <c:pt idx="17">
                  <c:v>132</c:v>
                </c:pt>
                <c:pt idx="18">
                  <c:v>200.39999999999418</c:v>
                </c:pt>
                <c:pt idx="19">
                  <c:v>145.39999999999418</c:v>
                </c:pt>
                <c:pt idx="20">
                  <c:v>141.20000000001164</c:v>
                </c:pt>
                <c:pt idx="21">
                  <c:v>139</c:v>
                </c:pt>
                <c:pt idx="22">
                  <c:v>140</c:v>
                </c:pt>
                <c:pt idx="23">
                  <c:v>138</c:v>
                </c:pt>
                <c:pt idx="24">
                  <c:v>184.10000000000582</c:v>
                </c:pt>
                <c:pt idx="25">
                  <c:v>103.89999999999418</c:v>
                </c:pt>
                <c:pt idx="26">
                  <c:v>137</c:v>
                </c:pt>
                <c:pt idx="27">
                  <c:v>151.89999999999418</c:v>
                </c:pt>
                <c:pt idx="28">
                  <c:v>165.60000000000582</c:v>
                </c:pt>
                <c:pt idx="29">
                  <c:v>151.5</c:v>
                </c:pt>
                <c:pt idx="30">
                  <c:v>159</c:v>
                </c:pt>
                <c:pt idx="31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82-4426-BED4-1DE601A32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3839"/>
        <c:axId val="1"/>
      </c:barChart>
      <c:dateAx>
        <c:axId val="1903033839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3839"/>
        <c:crosses val="autoZero"/>
        <c:crossBetween val="between"/>
      </c:valAx>
    </c:plotArea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18"/>
    </mc:Choice>
    <mc:Fallback>
      <c:style val="18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Electricité en Kw/h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6.9784728185078956E-2"/>
          <c:y val="9.5031946917566473E-2"/>
          <c:w val="0.9224813197654238"/>
          <c:h val="0.83941634826011124"/>
        </c:manualLayout>
      </c:layout>
      <c:lineChart>
        <c:grouping val="standard"/>
        <c:varyColors val="0"/>
        <c:ser>
          <c:idx val="0"/>
          <c:order val="0"/>
          <c:tx>
            <c:strRef>
              <c:f>'Suivi EAU-ELEC'!$G$8</c:f>
              <c:strCache>
                <c:ptCount val="1"/>
                <c:pt idx="0">
                  <c:v>Consommation  H.Creuse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EAU-ELEC'!$G$9:$G$37</c:f>
              <c:numCache>
                <c:formatCode>General</c:formatCode>
                <c:ptCount val="29"/>
                <c:pt idx="0">
                  <c:v>4593</c:v>
                </c:pt>
                <c:pt idx="1">
                  <c:v>6635</c:v>
                </c:pt>
                <c:pt idx="2">
                  <c:v>5388</c:v>
                </c:pt>
                <c:pt idx="3">
                  <c:v>5796</c:v>
                </c:pt>
                <c:pt idx="4">
                  <c:v>6203</c:v>
                </c:pt>
                <c:pt idx="5">
                  <c:v>6296</c:v>
                </c:pt>
                <c:pt idx="6">
                  <c:v>5474</c:v>
                </c:pt>
                <c:pt idx="7">
                  <c:v>4716</c:v>
                </c:pt>
                <c:pt idx="8">
                  <c:v>5068</c:v>
                </c:pt>
                <c:pt idx="9">
                  <c:v>5107</c:v>
                </c:pt>
                <c:pt idx="10">
                  <c:v>5060</c:v>
                </c:pt>
                <c:pt idx="11">
                  <c:v>5580</c:v>
                </c:pt>
                <c:pt idx="12">
                  <c:v>5981</c:v>
                </c:pt>
                <c:pt idx="13">
                  <c:v>5036</c:v>
                </c:pt>
                <c:pt idx="14">
                  <c:v>5214</c:v>
                </c:pt>
                <c:pt idx="15">
                  <c:v>5383</c:v>
                </c:pt>
                <c:pt idx="16">
                  <c:v>4798</c:v>
                </c:pt>
                <c:pt idx="17">
                  <c:v>4978</c:v>
                </c:pt>
                <c:pt idx="18">
                  <c:v>5641</c:v>
                </c:pt>
                <c:pt idx="19">
                  <c:v>6358</c:v>
                </c:pt>
                <c:pt idx="20">
                  <c:v>5337</c:v>
                </c:pt>
                <c:pt idx="21">
                  <c:v>4940</c:v>
                </c:pt>
                <c:pt idx="22">
                  <c:v>4932</c:v>
                </c:pt>
                <c:pt idx="23">
                  <c:v>4862</c:v>
                </c:pt>
                <c:pt idx="24">
                  <c:v>4727</c:v>
                </c:pt>
                <c:pt idx="25">
                  <c:v>4874</c:v>
                </c:pt>
                <c:pt idx="26">
                  <c:v>4664</c:v>
                </c:pt>
                <c:pt idx="27">
                  <c:v>5421</c:v>
                </c:pt>
                <c:pt idx="28">
                  <c:v>5751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0E-4187-977F-84E116563333}"/>
            </c:ext>
          </c:extLst>
        </c:ser>
        <c:ser>
          <c:idx val="1"/>
          <c:order val="1"/>
          <c:tx>
            <c:strRef>
              <c:f>'Suivi EAU-ELEC'!$I$8</c:f>
              <c:strCache>
                <c:ptCount val="1"/>
                <c:pt idx="0">
                  <c:v>Consommation H.Pleine</c:v>
                </c:pt>
              </c:strCache>
            </c:strRef>
          </c:tx>
          <c:dLbls>
            <c:dLbl>
              <c:idx val="5"/>
              <c:layout>
                <c:manualLayout>
                  <c:x val="-3.2562125107112254E-2"/>
                  <c:y val="-4.73066955079017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30E-4187-977F-84E116563333}"/>
                </c:ext>
              </c:extLst>
            </c:dLbl>
            <c:dLbl>
              <c:idx val="6"/>
              <c:layout>
                <c:manualLayout>
                  <c:x val="-5.1413881748071976E-3"/>
                  <c:y val="-5.0089442302484161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30E-4187-977F-84E116563333}"/>
                </c:ext>
              </c:extLst>
            </c:dLbl>
            <c:dLbl>
              <c:idx val="7"/>
              <c:layout>
                <c:manualLayout>
                  <c:x val="1.3710368466152529E-2"/>
                  <c:y val="1.391373397291226E-2"/>
                </c:manualLayout>
              </c:layout>
              <c:spPr>
                <a:noFill/>
                <a:ln w="25400">
                  <a:noFill/>
                </a:ln>
              </c:spPr>
              <c:txPr>
                <a:bodyPr/>
                <a:lstStyle/>
                <a:p>
                  <a:pPr>
                    <a:defRPr sz="1000" b="0" i="0" u="none" strike="noStrike" baseline="0">
                      <a:solidFill>
                        <a:srgbClr val="000000"/>
                      </a:solidFill>
                      <a:latin typeface="Calibri"/>
                      <a:ea typeface="Calibri"/>
                      <a:cs typeface="Calibri"/>
                    </a:defRPr>
                  </a:pPr>
                  <a:endParaRPr lang="en-US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30E-4187-977F-84E116563333}"/>
                </c:ext>
              </c:extLst>
            </c:dLbl>
            <c:numFmt formatCode="General" sourceLinked="0"/>
            <c:spPr>
              <a:noFill/>
              <a:ln w="25400">
                <a:noFill/>
              </a:ln>
            </c:spPr>
            <c:txPr>
              <a:bodyPr wrap="square" lIns="38100" tIns="19050" rIns="38100" bIns="19050" anchor="ctr">
                <a:spAutoFit/>
              </a:bodyPr>
              <a:lstStyle/>
              <a:p>
                <a:pPr>
                  <a:defRPr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EAU-ELEC'!$I$9:$I$37</c:f>
              <c:numCache>
                <c:formatCode>General</c:formatCode>
                <c:ptCount val="29"/>
                <c:pt idx="0">
                  <c:v>8275</c:v>
                </c:pt>
                <c:pt idx="1">
                  <c:v>8358</c:v>
                </c:pt>
                <c:pt idx="2">
                  <c:v>7402</c:v>
                </c:pt>
                <c:pt idx="3">
                  <c:v>9135</c:v>
                </c:pt>
                <c:pt idx="4">
                  <c:v>9572</c:v>
                </c:pt>
                <c:pt idx="5">
                  <c:v>9428</c:v>
                </c:pt>
                <c:pt idx="6">
                  <c:v>8584</c:v>
                </c:pt>
                <c:pt idx="7">
                  <c:v>7698</c:v>
                </c:pt>
                <c:pt idx="8">
                  <c:v>7813</c:v>
                </c:pt>
                <c:pt idx="9">
                  <c:v>7968</c:v>
                </c:pt>
                <c:pt idx="10">
                  <c:v>7583</c:v>
                </c:pt>
                <c:pt idx="11">
                  <c:v>7563</c:v>
                </c:pt>
                <c:pt idx="12">
                  <c:v>8066</c:v>
                </c:pt>
                <c:pt idx="13">
                  <c:v>8284</c:v>
                </c:pt>
                <c:pt idx="14">
                  <c:v>7779</c:v>
                </c:pt>
                <c:pt idx="15">
                  <c:v>9128</c:v>
                </c:pt>
                <c:pt idx="16">
                  <c:v>8052</c:v>
                </c:pt>
                <c:pt idx="17">
                  <c:v>8111</c:v>
                </c:pt>
                <c:pt idx="18">
                  <c:v>8154</c:v>
                </c:pt>
                <c:pt idx="19">
                  <c:v>9018</c:v>
                </c:pt>
                <c:pt idx="20">
                  <c:v>8484</c:v>
                </c:pt>
                <c:pt idx="21">
                  <c:v>7519</c:v>
                </c:pt>
                <c:pt idx="22">
                  <c:v>8397</c:v>
                </c:pt>
                <c:pt idx="23">
                  <c:v>7702</c:v>
                </c:pt>
                <c:pt idx="24">
                  <c:v>7499</c:v>
                </c:pt>
                <c:pt idx="25">
                  <c:v>7554</c:v>
                </c:pt>
                <c:pt idx="26">
                  <c:v>7585</c:v>
                </c:pt>
                <c:pt idx="27">
                  <c:v>7403</c:v>
                </c:pt>
                <c:pt idx="28">
                  <c:v>7361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0E-4187-977F-84E116563333}"/>
            </c:ext>
          </c:extLst>
        </c:ser>
        <c:ser>
          <c:idx val="2"/>
          <c:order val="2"/>
          <c:tx>
            <c:strRef>
              <c:f>'Suivi EAU-ELEC'!$K$8</c:f>
              <c:strCache>
                <c:ptCount val="1"/>
                <c:pt idx="0">
                  <c:v>Consommation  H.Pointe</c:v>
                </c:pt>
              </c:strCache>
            </c:strRef>
          </c:tx>
          <c:cat>
            <c:numRef>
              <c:f>'Suivi EAU-ELEC'!$A$9:$A$40</c:f>
              <c:numCache>
                <c:formatCode>m/d/yyyy</c:formatCode>
                <c:ptCount val="32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  <c:pt idx="31">
                  <c:v>44866</c:v>
                </c:pt>
              </c:numCache>
            </c:numRef>
          </c:cat>
          <c:val>
            <c:numRef>
              <c:f>'Suivi EAU-ELEC'!$K$9:$K$37</c:f>
              <c:numCache>
                <c:formatCode>General</c:formatCode>
                <c:ptCount val="29"/>
                <c:pt idx="0">
                  <c:v>3636</c:v>
                </c:pt>
                <c:pt idx="1">
                  <c:v>4373</c:v>
                </c:pt>
                <c:pt idx="2">
                  <c:v>3620</c:v>
                </c:pt>
                <c:pt idx="3">
                  <c:v>4513</c:v>
                </c:pt>
                <c:pt idx="4">
                  <c:v>4642</c:v>
                </c:pt>
                <c:pt idx="5">
                  <c:v>4548</c:v>
                </c:pt>
                <c:pt idx="6">
                  <c:v>4089</c:v>
                </c:pt>
                <c:pt idx="7">
                  <c:v>3581</c:v>
                </c:pt>
                <c:pt idx="8">
                  <c:v>3803</c:v>
                </c:pt>
                <c:pt idx="9">
                  <c:v>3706</c:v>
                </c:pt>
                <c:pt idx="10">
                  <c:v>3316</c:v>
                </c:pt>
                <c:pt idx="11">
                  <c:v>3668</c:v>
                </c:pt>
                <c:pt idx="12">
                  <c:v>4022</c:v>
                </c:pt>
                <c:pt idx="13">
                  <c:v>4067</c:v>
                </c:pt>
                <c:pt idx="14">
                  <c:v>4100</c:v>
                </c:pt>
                <c:pt idx="15">
                  <c:v>4759</c:v>
                </c:pt>
                <c:pt idx="16">
                  <c:v>3815</c:v>
                </c:pt>
                <c:pt idx="17">
                  <c:v>4245</c:v>
                </c:pt>
                <c:pt idx="18">
                  <c:v>4006</c:v>
                </c:pt>
                <c:pt idx="19">
                  <c:v>4089</c:v>
                </c:pt>
                <c:pt idx="20">
                  <c:v>4221</c:v>
                </c:pt>
                <c:pt idx="21">
                  <c:v>3668</c:v>
                </c:pt>
                <c:pt idx="22">
                  <c:v>3987</c:v>
                </c:pt>
                <c:pt idx="23">
                  <c:v>3721</c:v>
                </c:pt>
                <c:pt idx="24">
                  <c:v>3635</c:v>
                </c:pt>
                <c:pt idx="25">
                  <c:v>3817</c:v>
                </c:pt>
                <c:pt idx="26">
                  <c:v>3819</c:v>
                </c:pt>
                <c:pt idx="27">
                  <c:v>3728</c:v>
                </c:pt>
                <c:pt idx="28">
                  <c:v>3837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0E-4187-977F-84E1165633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335"/>
        <c:axId val="1"/>
      </c:lineChart>
      <c:dateAx>
        <c:axId val="1903036335"/>
        <c:scaling>
          <c:orientation val="minMax"/>
        </c:scaling>
        <c:delete val="0"/>
        <c:axPos val="b"/>
        <c:numFmt formatCode="m/d/yyyy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335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8.9974293059125965E-2"/>
          <c:y val="0.81702127659574464"/>
          <c:w val="0.80848383026671788"/>
          <c:h val="0.1063829787234043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22" l="0.70000000000000018" r="0.70000000000000018" t="0.75000000000000022" header="0.3000000000000001" footer="0.3000000000000001"/>
    <c:pageSetup orientation="landscape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24"/>
    </mc:Choice>
    <mc:Fallback>
      <c:style val="24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Gaz en  Kg</a:t>
            </a:r>
          </a:p>
        </c:rich>
      </c:tx>
      <c:overlay val="0"/>
    </c:title>
    <c:autoTitleDeleted val="0"/>
    <c:plotArea>
      <c:layout>
        <c:manualLayout>
          <c:layoutTarget val="inner"/>
          <c:xMode val="edge"/>
          <c:yMode val="edge"/>
          <c:x val="4.4814340588988477E-2"/>
          <c:y val="0.1108433734939759"/>
          <c:w val="0.92317541613316256"/>
          <c:h val="0.70843373493975903"/>
        </c:manualLayout>
      </c:layout>
      <c:barChart>
        <c:barDir val="col"/>
        <c:grouping val="clustered"/>
        <c:varyColors val="0"/>
        <c:ser>
          <c:idx val="0"/>
          <c:order val="0"/>
          <c:invertIfNegative val="0"/>
          <c:cat>
            <c:numRef>
              <c:f>'Suvi Gaz'!$A$4:$A$34</c:f>
              <c:numCache>
                <c:formatCode>[$-40C]d\-mmm;@</c:formatCode>
                <c:ptCount val="31"/>
                <c:pt idx="0">
                  <c:v>44835</c:v>
                </c:pt>
                <c:pt idx="1">
                  <c:v>44836</c:v>
                </c:pt>
                <c:pt idx="2">
                  <c:v>44837</c:v>
                </c:pt>
                <c:pt idx="3">
                  <c:v>44838</c:v>
                </c:pt>
                <c:pt idx="4">
                  <c:v>44839</c:v>
                </c:pt>
                <c:pt idx="5">
                  <c:v>44840</c:v>
                </c:pt>
                <c:pt idx="6">
                  <c:v>44841</c:v>
                </c:pt>
                <c:pt idx="7">
                  <c:v>44842</c:v>
                </c:pt>
                <c:pt idx="8">
                  <c:v>44843</c:v>
                </c:pt>
                <c:pt idx="9">
                  <c:v>44844</c:v>
                </c:pt>
                <c:pt idx="10">
                  <c:v>44845</c:v>
                </c:pt>
                <c:pt idx="11">
                  <c:v>44846</c:v>
                </c:pt>
                <c:pt idx="12">
                  <c:v>44847</c:v>
                </c:pt>
                <c:pt idx="13">
                  <c:v>44848</c:v>
                </c:pt>
                <c:pt idx="14">
                  <c:v>44849</c:v>
                </c:pt>
                <c:pt idx="15">
                  <c:v>44850</c:v>
                </c:pt>
                <c:pt idx="16">
                  <c:v>44851</c:v>
                </c:pt>
                <c:pt idx="17">
                  <c:v>44852</c:v>
                </c:pt>
                <c:pt idx="18">
                  <c:v>44853</c:v>
                </c:pt>
                <c:pt idx="19">
                  <c:v>44854</c:v>
                </c:pt>
                <c:pt idx="20">
                  <c:v>44855</c:v>
                </c:pt>
                <c:pt idx="21">
                  <c:v>44856</c:v>
                </c:pt>
                <c:pt idx="22">
                  <c:v>44857</c:v>
                </c:pt>
                <c:pt idx="23">
                  <c:v>44858</c:v>
                </c:pt>
                <c:pt idx="24">
                  <c:v>44859</c:v>
                </c:pt>
                <c:pt idx="25">
                  <c:v>44860</c:v>
                </c:pt>
                <c:pt idx="26">
                  <c:v>44861</c:v>
                </c:pt>
                <c:pt idx="27">
                  <c:v>44862</c:v>
                </c:pt>
                <c:pt idx="28">
                  <c:v>44863</c:v>
                </c:pt>
                <c:pt idx="29">
                  <c:v>44864</c:v>
                </c:pt>
                <c:pt idx="30">
                  <c:v>44865</c:v>
                </c:pt>
              </c:numCache>
            </c:numRef>
          </c:cat>
          <c:val>
            <c:numRef>
              <c:f>'Suvi Gaz'!$O$4:$O$33</c:f>
              <c:numCache>
                <c:formatCode>General</c:formatCode>
                <c:ptCount val="30"/>
                <c:pt idx="0">
                  <c:v>479.98815000000002</c:v>
                </c:pt>
                <c:pt idx="1">
                  <c:v>447.98894000000001</c:v>
                </c:pt>
                <c:pt idx="2">
                  <c:v>383.99052</c:v>
                </c:pt>
                <c:pt idx="3">
                  <c:v>383.99052</c:v>
                </c:pt>
                <c:pt idx="4">
                  <c:v>383.99052</c:v>
                </c:pt>
                <c:pt idx="5">
                  <c:v>255.99368000000001</c:v>
                </c:pt>
                <c:pt idx="6">
                  <c:v>415.98973000000001</c:v>
                </c:pt>
                <c:pt idx="7">
                  <c:v>351.99131</c:v>
                </c:pt>
                <c:pt idx="8">
                  <c:v>351.99131</c:v>
                </c:pt>
                <c:pt idx="9">
                  <c:v>415.98973000000001</c:v>
                </c:pt>
                <c:pt idx="10">
                  <c:v>223.99447000000001</c:v>
                </c:pt>
                <c:pt idx="11">
                  <c:v>223.99447000000001</c:v>
                </c:pt>
                <c:pt idx="12">
                  <c:v>255.99368000000001</c:v>
                </c:pt>
                <c:pt idx="13">
                  <c:v>447.98894000000001</c:v>
                </c:pt>
                <c:pt idx="14">
                  <c:v>383.99052</c:v>
                </c:pt>
                <c:pt idx="15">
                  <c:v>287.99288999999999</c:v>
                </c:pt>
                <c:pt idx="16">
                  <c:v>255.99368000000001</c:v>
                </c:pt>
                <c:pt idx="17">
                  <c:v>511.98736000000002</c:v>
                </c:pt>
                <c:pt idx="18">
                  <c:v>415.98973000000001</c:v>
                </c:pt>
                <c:pt idx="19">
                  <c:v>479.98815000000002</c:v>
                </c:pt>
                <c:pt idx="20">
                  <c:v>223.99447000000001</c:v>
                </c:pt>
                <c:pt idx="21">
                  <c:v>351.99131</c:v>
                </c:pt>
                <c:pt idx="22">
                  <c:v>319.99209999999999</c:v>
                </c:pt>
                <c:pt idx="23">
                  <c:v>863.97867000000008</c:v>
                </c:pt>
                <c:pt idx="24">
                  <c:v>319.99209999999999</c:v>
                </c:pt>
                <c:pt idx="25">
                  <c:v>319.99209999999999</c:v>
                </c:pt>
                <c:pt idx="26">
                  <c:v>319.99209999999999</c:v>
                </c:pt>
                <c:pt idx="27">
                  <c:v>511.98736000000002</c:v>
                </c:pt>
                <c:pt idx="28">
                  <c:v>127.99684000000001</c:v>
                </c:pt>
                <c:pt idx="29">
                  <c:v>287.99288999999999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10-4AB4-A5A7-4FE8F6FFC7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3037167"/>
        <c:axId val="1"/>
      </c:barChart>
      <c:dateAx>
        <c:axId val="1903037167"/>
        <c:scaling>
          <c:orientation val="minMax"/>
        </c:scaling>
        <c:delete val="0"/>
        <c:axPos val="b"/>
        <c:numFmt formatCode="[$-40C]d\-mmm;@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Offset val="100"/>
        <c:baseTimeUnit val="days"/>
      </c:dateAx>
      <c:valAx>
        <c:axId val="1"/>
        <c:scaling>
          <c:orientation val="minMax"/>
          <c:min val="100"/>
        </c:scaling>
        <c:delete val="0"/>
        <c:axPos val="l"/>
        <c:majorGridlines/>
        <c:numFmt formatCode="General" sourceLinked="1"/>
        <c:majorTickMark val="none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7167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9807965425576606"/>
          <c:y val="0.94939871152469579"/>
          <c:w val="6.4020486555698142E-3"/>
          <c:h val="2.1686607355898668E-2"/>
        </c:manualLayout>
      </c:layout>
      <c:overlay val="0"/>
      <c:txPr>
        <a:bodyPr/>
        <a:lstStyle/>
        <a:p>
          <a:pPr>
            <a:defRPr sz="1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044" l="0.7000000000000004" r="0.7000000000000004" t="0.75000000000000044" header="0.30000000000000021" footer="0.30000000000000021"/>
    <c:pageSetup orientation="landscape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KW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électr'!$C$8:$N$8</c:f>
              <c:numCache>
                <c:formatCode>General</c:formatCode>
                <c:ptCount val="12"/>
                <c:pt idx="9">
                  <c:v>544520</c:v>
                </c:pt>
                <c:pt idx="10">
                  <c:v>561765</c:v>
                </c:pt>
                <c:pt idx="11">
                  <c:v>546771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006-46AC-AAA2-1732D6503D6C}"/>
            </c:ext>
          </c:extLst>
        </c:ser>
        <c:ser>
          <c:idx val="1"/>
          <c:order val="1"/>
          <c:tx>
            <c:strRef>
              <c:f>'cons annuel électr'!$B$9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électr'!$C$9:$N$9</c:f>
              <c:numCache>
                <c:formatCode>General</c:formatCode>
                <c:ptCount val="12"/>
                <c:pt idx="0">
                  <c:v>564170</c:v>
                </c:pt>
                <c:pt idx="1">
                  <c:v>532072</c:v>
                </c:pt>
                <c:pt idx="2">
                  <c:v>405239</c:v>
                </c:pt>
                <c:pt idx="3">
                  <c:v>469130</c:v>
                </c:pt>
                <c:pt idx="4">
                  <c:v>543877</c:v>
                </c:pt>
                <c:pt idx="5">
                  <c:v>605744</c:v>
                </c:pt>
                <c:pt idx="6">
                  <c:v>722083</c:v>
                </c:pt>
                <c:pt idx="7">
                  <c:v>802210</c:v>
                </c:pt>
                <c:pt idx="8">
                  <c:v>762933</c:v>
                </c:pt>
                <c:pt idx="9">
                  <c:v>670848</c:v>
                </c:pt>
                <c:pt idx="10">
                  <c:v>626451</c:v>
                </c:pt>
                <c:pt idx="11">
                  <c:v>557392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006-46AC-AAA2-1732D6503D6C}"/>
            </c:ext>
          </c:extLst>
        </c:ser>
        <c:ser>
          <c:idx val="2"/>
          <c:order val="2"/>
          <c:tx>
            <c:strRef>
              <c:f>'cons annuel électr'!$B$10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électr'!$C$10:$N$10</c:f>
              <c:numCache>
                <c:formatCode>General</c:formatCode>
                <c:ptCount val="12"/>
                <c:pt idx="0">
                  <c:v>520977</c:v>
                </c:pt>
                <c:pt idx="1">
                  <c:v>541271</c:v>
                </c:pt>
                <c:pt idx="2">
                  <c:v>508392</c:v>
                </c:pt>
                <c:pt idx="3">
                  <c:v>659200</c:v>
                </c:pt>
                <c:pt idx="4">
                  <c:v>705703</c:v>
                </c:pt>
                <c:pt idx="5">
                  <c:v>784214</c:v>
                </c:pt>
                <c:pt idx="6">
                  <c:v>823726</c:v>
                </c:pt>
                <c:pt idx="7">
                  <c:v>913736</c:v>
                </c:pt>
                <c:pt idx="8">
                  <c:v>831734</c:v>
                </c:pt>
                <c:pt idx="9">
                  <c:v>794243</c:v>
                </c:pt>
                <c:pt idx="10">
                  <c:v>688127</c:v>
                </c:pt>
                <c:pt idx="11">
                  <c:v>577067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006-46AC-AAA2-1732D6503D6C}"/>
            </c:ext>
          </c:extLst>
        </c:ser>
        <c:ser>
          <c:idx val="3"/>
          <c:order val="3"/>
          <c:tx>
            <c:strRef>
              <c:f>'cons annuel électr'!$B$11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électr'!$C$11:$N$11</c:f>
              <c:numCache>
                <c:formatCode>General</c:formatCode>
                <c:ptCount val="12"/>
                <c:pt idx="0">
                  <c:v>586355</c:v>
                </c:pt>
                <c:pt idx="1">
                  <c:v>563735</c:v>
                </c:pt>
                <c:pt idx="2">
                  <c:v>512313</c:v>
                </c:pt>
                <c:pt idx="3">
                  <c:v>573440</c:v>
                </c:pt>
                <c:pt idx="4">
                  <c:v>535115</c:v>
                </c:pt>
                <c:pt idx="5">
                  <c:v>570139</c:v>
                </c:pt>
                <c:pt idx="6">
                  <c:v>669302</c:v>
                </c:pt>
                <c:pt idx="7">
                  <c:v>704714</c:v>
                </c:pt>
                <c:pt idx="8">
                  <c:v>682717</c:v>
                </c:pt>
                <c:pt idx="9">
                  <c:v>581239</c:v>
                </c:pt>
                <c:pt idx="10">
                  <c:v>438561</c:v>
                </c:pt>
                <c:pt idx="11">
                  <c:v>400672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006-46AC-AAA2-1732D6503D6C}"/>
            </c:ext>
          </c:extLst>
        </c:ser>
        <c:ser>
          <c:idx val="4"/>
          <c:order val="4"/>
          <c:tx>
            <c:strRef>
              <c:f>'cons annuel électr'!$B$12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électr'!$C$12:$N$12</c:f>
              <c:numCache>
                <c:formatCode>General</c:formatCode>
                <c:ptCount val="12"/>
                <c:pt idx="0">
                  <c:v>388363</c:v>
                </c:pt>
                <c:pt idx="1">
                  <c:v>407737</c:v>
                </c:pt>
                <c:pt idx="2">
                  <c:v>392102</c:v>
                </c:pt>
                <c:pt idx="3">
                  <c:v>454554</c:v>
                </c:pt>
                <c:pt idx="4">
                  <c:v>448580</c:v>
                </c:pt>
                <c:pt idx="5">
                  <c:v>535391</c:v>
                </c:pt>
                <c:pt idx="6">
                  <c:v>549301</c:v>
                </c:pt>
                <c:pt idx="7">
                  <c:v>576078</c:v>
                </c:pt>
                <c:pt idx="8">
                  <c:v>612675</c:v>
                </c:pt>
                <c:pt idx="9">
                  <c:v>542640</c:v>
                </c:pt>
                <c:pt idx="10">
                  <c:v>507495</c:v>
                </c:pt>
                <c:pt idx="11">
                  <c:v>444826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006-46AC-AAA2-1732D6503D6C}"/>
            </c:ext>
          </c:extLst>
        </c:ser>
        <c:ser>
          <c:idx val="5"/>
          <c:order val="5"/>
          <c:tx>
            <c:strRef>
              <c:f>'cons annuel électr'!$B$15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électr'!$C$15:$N$15</c:f>
              <c:numCache>
                <c:formatCode>General</c:formatCode>
                <c:ptCount val="12"/>
                <c:pt idx="0">
                  <c:v>206479</c:v>
                </c:pt>
                <c:pt idx="1">
                  <c:v>244783</c:v>
                </c:pt>
                <c:pt idx="2">
                  <c:v>316387</c:v>
                </c:pt>
                <c:pt idx="3">
                  <c:v>353545</c:v>
                </c:pt>
                <c:pt idx="4">
                  <c:v>452426</c:v>
                </c:pt>
                <c:pt idx="5">
                  <c:v>581939</c:v>
                </c:pt>
                <c:pt idx="6">
                  <c:v>601486</c:v>
                </c:pt>
                <c:pt idx="7">
                  <c:v>639044</c:v>
                </c:pt>
                <c:pt idx="8">
                  <c:v>590677</c:v>
                </c:pt>
                <c:pt idx="9">
                  <c:v>522652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006-46AC-AAA2-1732D6503D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2591"/>
        <c:axId val="1"/>
      </c:lineChart>
      <c:catAx>
        <c:axId val="19030325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éléctricité en KW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259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056576732431871"/>
          <c:y val="0.94892727118787568"/>
          <c:w val="7.5616670694838406E-2"/>
          <c:h val="5.1072728812124324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d'électricité en DH HT</a:t>
            </a:r>
          </a:p>
        </c:rich>
      </c:tx>
      <c:layout>
        <c:manualLayout>
          <c:xMode val="edge"/>
          <c:yMode val="edge"/>
          <c:x val="0.18946532157413973"/>
          <c:y val="2.7777706648457561E-2"/>
        </c:manualLayout>
      </c:layout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'cons annuel électr'!$B$19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électr'!$C$19:$N$19</c:f>
              <c:numCache>
                <c:formatCode>General</c:formatCode>
                <c:ptCount val="12"/>
                <c:pt idx="9">
                  <c:v>527344.76260000002</c:v>
                </c:pt>
                <c:pt idx="10">
                  <c:v>542887.95270000002</c:v>
                </c:pt>
                <c:pt idx="11">
                  <c:v>530789.10450000002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F6-4732-9434-EF892AEE9119}"/>
            </c:ext>
          </c:extLst>
        </c:ser>
        <c:ser>
          <c:idx val="1"/>
          <c:order val="1"/>
          <c:tx>
            <c:strRef>
              <c:f>'cons annuel électr'!$B$20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électr'!$C$20:$N$20</c:f>
              <c:numCache>
                <c:formatCode>General</c:formatCode>
                <c:ptCount val="12"/>
                <c:pt idx="0">
                  <c:v>577599.26069999998</c:v>
                </c:pt>
                <c:pt idx="1">
                  <c:v>549500.304</c:v>
                </c:pt>
                <c:pt idx="2">
                  <c:v>437038.73300000001</c:v>
                </c:pt>
                <c:pt idx="3">
                  <c:v>498381.28909999994</c:v>
                </c:pt>
                <c:pt idx="4">
                  <c:v>567710.58700000006</c:v>
                </c:pt>
                <c:pt idx="5">
                  <c:v>626665.41229999997</c:v>
                </c:pt>
                <c:pt idx="6">
                  <c:v>732996.54229999997</c:v>
                </c:pt>
                <c:pt idx="7">
                  <c:v>807380.11509999994</c:v>
                </c:pt>
                <c:pt idx="8">
                  <c:v>765103.69790000003</c:v>
                </c:pt>
                <c:pt idx="9">
                  <c:v>674808.60869999998</c:v>
                </c:pt>
                <c:pt idx="10">
                  <c:v>636029.23249999993</c:v>
                </c:pt>
                <c:pt idx="11">
                  <c:v>575999.90890000004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F6-4732-9434-EF892AEE9119}"/>
            </c:ext>
          </c:extLst>
        </c:ser>
        <c:ser>
          <c:idx val="2"/>
          <c:order val="2"/>
          <c:tx>
            <c:strRef>
              <c:f>'cons annuel électr'!$B$21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électr'!$C$21:$N$21</c:f>
              <c:numCache>
                <c:formatCode>General</c:formatCode>
                <c:ptCount val="12"/>
                <c:pt idx="0">
                  <c:v>565777.06310000003</c:v>
                </c:pt>
                <c:pt idx="1">
                  <c:v>589465.87030000007</c:v>
                </c:pt>
                <c:pt idx="2">
                  <c:v>559348.96649999998</c:v>
                </c:pt>
                <c:pt idx="3">
                  <c:v>706566.82740000007</c:v>
                </c:pt>
                <c:pt idx="4">
                  <c:v>750048.77370000002</c:v>
                </c:pt>
                <c:pt idx="5">
                  <c:v>823657.03619999997</c:v>
                </c:pt>
                <c:pt idx="6">
                  <c:v>863911.20730000001</c:v>
                </c:pt>
                <c:pt idx="7">
                  <c:v>948371.73810000008</c:v>
                </c:pt>
                <c:pt idx="8">
                  <c:v>870086.49040000001</c:v>
                </c:pt>
                <c:pt idx="9">
                  <c:v>828237.32940000005</c:v>
                </c:pt>
                <c:pt idx="10">
                  <c:v>728226.36450000003</c:v>
                </c:pt>
                <c:pt idx="11">
                  <c:v>620794.43210000009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9F6-4732-9434-EF892AEE9119}"/>
            </c:ext>
          </c:extLst>
        </c:ser>
        <c:ser>
          <c:idx val="3"/>
          <c:order val="3"/>
          <c:tx>
            <c:strRef>
              <c:f>'cons annuel électr'!$B$22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électr'!$C$22:$N$22</c:f>
              <c:numCache>
                <c:formatCode>General</c:formatCode>
                <c:ptCount val="12"/>
                <c:pt idx="0">
                  <c:v>629018.45440000005</c:v>
                </c:pt>
                <c:pt idx="1">
                  <c:v>609232.05440000002</c:v>
                </c:pt>
                <c:pt idx="2">
                  <c:v>564099.54039999994</c:v>
                </c:pt>
                <c:pt idx="3">
                  <c:v>625412.74040000001</c:v>
                </c:pt>
                <c:pt idx="4">
                  <c:v>591310.6496</c:v>
                </c:pt>
                <c:pt idx="5">
                  <c:v>627578.14100000006</c:v>
                </c:pt>
                <c:pt idx="6">
                  <c:v>723790.51</c:v>
                </c:pt>
                <c:pt idx="7">
                  <c:v>756208.25020000001</c:v>
                </c:pt>
                <c:pt idx="8">
                  <c:v>734211.55240000004</c:v>
                </c:pt>
                <c:pt idx="9">
                  <c:v>634725.01650000003</c:v>
                </c:pt>
                <c:pt idx="10">
                  <c:v>492313.53600000002</c:v>
                </c:pt>
                <c:pt idx="11">
                  <c:v>430486.08379999996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9F6-4732-9434-EF892AEE9119}"/>
            </c:ext>
          </c:extLst>
        </c:ser>
        <c:ser>
          <c:idx val="4"/>
          <c:order val="4"/>
          <c:tx>
            <c:strRef>
              <c:f>'cons annuel électr'!$B$23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électr'!$C$23:$N$23</c:f>
              <c:numCache>
                <c:formatCode>General</c:formatCode>
                <c:ptCount val="12"/>
                <c:pt idx="0">
                  <c:v>417767.50199999998</c:v>
                </c:pt>
                <c:pt idx="1">
                  <c:v>437511.45040000003</c:v>
                </c:pt>
                <c:pt idx="2">
                  <c:v>422948.91399999999</c:v>
                </c:pt>
                <c:pt idx="3">
                  <c:v>483026.4265</c:v>
                </c:pt>
                <c:pt idx="4">
                  <c:v>494466.65997999994</c:v>
                </c:pt>
                <c:pt idx="5">
                  <c:v>589026.66199500009</c:v>
                </c:pt>
                <c:pt idx="6">
                  <c:v>597445.77220000012</c:v>
                </c:pt>
                <c:pt idx="7">
                  <c:v>624719.21129500004</c:v>
                </c:pt>
                <c:pt idx="8">
                  <c:v>662255.2733900001</c:v>
                </c:pt>
                <c:pt idx="9">
                  <c:v>572138.68634500005</c:v>
                </c:pt>
                <c:pt idx="10">
                  <c:v>536725.71495000005</c:v>
                </c:pt>
                <c:pt idx="11">
                  <c:v>473017.45039999997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9F6-4732-9434-EF892AEE9119}"/>
            </c:ext>
          </c:extLst>
        </c:ser>
        <c:ser>
          <c:idx val="5"/>
          <c:order val="5"/>
          <c:tx>
            <c:strRef>
              <c:f>'cons annuel électr'!$B$26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électr'!$C$18:$N$18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électr'!$C$26:$N$26</c:f>
              <c:numCache>
                <c:formatCode>General</c:formatCode>
                <c:ptCount val="12"/>
                <c:pt idx="0">
                  <c:v>240995.18219999998</c:v>
                </c:pt>
                <c:pt idx="1">
                  <c:v>278597.25799999997</c:v>
                </c:pt>
                <c:pt idx="2">
                  <c:v>348747.65639999998</c:v>
                </c:pt>
                <c:pt idx="3">
                  <c:v>387220.18520000001</c:v>
                </c:pt>
                <c:pt idx="4">
                  <c:v>491171.98007499997</c:v>
                </c:pt>
                <c:pt idx="5">
                  <c:v>632956.33517999994</c:v>
                </c:pt>
                <c:pt idx="6">
                  <c:v>654067.56801500008</c:v>
                </c:pt>
                <c:pt idx="7">
                  <c:v>689650.40789999999</c:v>
                </c:pt>
                <c:pt idx="8">
                  <c:v>638754.70409500005</c:v>
                </c:pt>
                <c:pt idx="9">
                  <c:v>550972.29053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9F6-4732-9434-EF892AEE91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6751"/>
        <c:axId val="1"/>
      </c:lineChart>
      <c:catAx>
        <c:axId val="19030367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électricité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675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5229117687303302"/>
          <c:y val="0.95122207285064975"/>
          <c:w val="7.3944264075995247E-2"/>
          <c:h val="4.8777927149350253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M3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8.1777276833339241E-2"/>
          <c:y val="8.9692566484052341E-2"/>
          <c:w val="0.89103706007194761"/>
          <c:h val="0.60236416831935913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'!$C$8:$N$8</c:f>
              <c:numCache>
                <c:formatCode>General</c:formatCode>
                <c:ptCount val="12"/>
                <c:pt idx="10">
                  <c:v>3298</c:v>
                </c:pt>
                <c:pt idx="11">
                  <c:v>3866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7D-4CD8-9BD5-108E2FEDAD61}"/>
            </c:ext>
          </c:extLst>
        </c:ser>
        <c:ser>
          <c:idx val="1"/>
          <c:order val="1"/>
          <c:tx>
            <c:strRef>
              <c:f>'cons annuel EAU  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'!$C$9:$N$9</c:f>
              <c:numCache>
                <c:formatCode>General</c:formatCode>
                <c:ptCount val="12"/>
                <c:pt idx="0">
                  <c:v>4094</c:v>
                </c:pt>
                <c:pt idx="1">
                  <c:v>3691</c:v>
                </c:pt>
                <c:pt idx="2">
                  <c:v>3917</c:v>
                </c:pt>
                <c:pt idx="3">
                  <c:v>4785</c:v>
                </c:pt>
                <c:pt idx="4">
                  <c:v>5213</c:v>
                </c:pt>
                <c:pt idx="5">
                  <c:v>4103</c:v>
                </c:pt>
                <c:pt idx="6">
                  <c:v>5622</c:v>
                </c:pt>
                <c:pt idx="7">
                  <c:v>6568</c:v>
                </c:pt>
                <c:pt idx="8">
                  <c:v>4813</c:v>
                </c:pt>
                <c:pt idx="9">
                  <c:v>6088</c:v>
                </c:pt>
                <c:pt idx="10">
                  <c:v>4819</c:v>
                </c:pt>
                <c:pt idx="11">
                  <c:v>5252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7D-4CD8-9BD5-108E2FEDAD61}"/>
            </c:ext>
          </c:extLst>
        </c:ser>
        <c:ser>
          <c:idx val="2"/>
          <c:order val="2"/>
          <c:tx>
            <c:strRef>
              <c:f>'cons annuel EAU  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'!$C$10:$N$10</c:f>
              <c:numCache>
                <c:formatCode>General</c:formatCode>
                <c:ptCount val="12"/>
                <c:pt idx="0">
                  <c:v>5132</c:v>
                </c:pt>
                <c:pt idx="1">
                  <c:v>4589</c:v>
                </c:pt>
                <c:pt idx="2">
                  <c:v>6190</c:v>
                </c:pt>
                <c:pt idx="3">
                  <c:v>6170</c:v>
                </c:pt>
                <c:pt idx="4">
                  <c:v>5980</c:v>
                </c:pt>
                <c:pt idx="5">
                  <c:v>6097.8</c:v>
                </c:pt>
                <c:pt idx="6">
                  <c:v>7050</c:v>
                </c:pt>
                <c:pt idx="7">
                  <c:v>8050</c:v>
                </c:pt>
                <c:pt idx="8">
                  <c:v>6678</c:v>
                </c:pt>
                <c:pt idx="9">
                  <c:v>6859</c:v>
                </c:pt>
                <c:pt idx="10">
                  <c:v>5960</c:v>
                </c:pt>
                <c:pt idx="11">
                  <c:v>5210.0999999999985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7D-4CD8-9BD5-108E2FEDAD61}"/>
            </c:ext>
          </c:extLst>
        </c:ser>
        <c:ser>
          <c:idx val="3"/>
          <c:order val="3"/>
          <c:tx>
            <c:strRef>
              <c:f>'cons annuel EAU  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'!$C$11:$N$11</c:f>
              <c:numCache>
                <c:formatCode>General</c:formatCode>
                <c:ptCount val="12"/>
                <c:pt idx="0">
                  <c:v>5598.9000000000015</c:v>
                </c:pt>
                <c:pt idx="1">
                  <c:v>5297</c:v>
                </c:pt>
                <c:pt idx="2">
                  <c:v>5857</c:v>
                </c:pt>
                <c:pt idx="3">
                  <c:v>6284</c:v>
                </c:pt>
                <c:pt idx="4">
                  <c:v>5500</c:v>
                </c:pt>
                <c:pt idx="5">
                  <c:v>5583.8000000000029</c:v>
                </c:pt>
                <c:pt idx="6">
                  <c:v>6266.8999999999942</c:v>
                </c:pt>
                <c:pt idx="7">
                  <c:v>6178.3000000000029</c:v>
                </c:pt>
                <c:pt idx="8">
                  <c:v>6144.5</c:v>
                </c:pt>
                <c:pt idx="9">
                  <c:v>6117.5</c:v>
                </c:pt>
                <c:pt idx="10">
                  <c:v>5023</c:v>
                </c:pt>
                <c:pt idx="11">
                  <c:v>4767.8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7D-4CD8-9BD5-108E2FEDAD61}"/>
            </c:ext>
          </c:extLst>
        </c:ser>
        <c:ser>
          <c:idx val="4"/>
          <c:order val="4"/>
          <c:tx>
            <c:strRef>
              <c:f>'cons annuel EAU  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'!$C$12:$N$12</c:f>
              <c:numCache>
                <c:formatCode>General</c:formatCode>
                <c:ptCount val="12"/>
                <c:pt idx="0">
                  <c:v>5044.8</c:v>
                </c:pt>
                <c:pt idx="1">
                  <c:v>5061</c:v>
                </c:pt>
                <c:pt idx="2">
                  <c:v>5504</c:v>
                </c:pt>
                <c:pt idx="3">
                  <c:v>5372.2999999999993</c:v>
                </c:pt>
                <c:pt idx="4">
                  <c:v>4507.2999999999993</c:v>
                </c:pt>
                <c:pt idx="5">
                  <c:v>5269.2000000000044</c:v>
                </c:pt>
                <c:pt idx="6">
                  <c:v>5509.1999999999971</c:v>
                </c:pt>
                <c:pt idx="7">
                  <c:v>5601</c:v>
                </c:pt>
                <c:pt idx="8">
                  <c:v>5387</c:v>
                </c:pt>
                <c:pt idx="9">
                  <c:v>6051</c:v>
                </c:pt>
                <c:pt idx="10">
                  <c:v>5532</c:v>
                </c:pt>
                <c:pt idx="11">
                  <c:v>5565.1999999999971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7D-4CD8-9BD5-108E2FEDAD61}"/>
            </c:ext>
          </c:extLst>
        </c:ser>
        <c:ser>
          <c:idx val="5"/>
          <c:order val="5"/>
          <c:tx>
            <c:strRef>
              <c:f>'cons annuel EAU  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'!$C$15:$N$15</c:f>
              <c:numCache>
                <c:formatCode>General</c:formatCode>
                <c:ptCount val="12"/>
                <c:pt idx="0">
                  <c:v>1595.1000000000058</c:v>
                </c:pt>
                <c:pt idx="1">
                  <c:v>2215.8999999999942</c:v>
                </c:pt>
                <c:pt idx="2">
                  <c:v>3842</c:v>
                </c:pt>
                <c:pt idx="3">
                  <c:v>3393</c:v>
                </c:pt>
                <c:pt idx="4">
                  <c:v>4551.1000000000058</c:v>
                </c:pt>
                <c:pt idx="5">
                  <c:v>4938.8999999999942</c:v>
                </c:pt>
                <c:pt idx="6">
                  <c:v>5359</c:v>
                </c:pt>
                <c:pt idx="7">
                  <c:v>5198.3999999999942</c:v>
                </c:pt>
                <c:pt idx="8">
                  <c:v>4320.6000000000058</c:v>
                </c:pt>
                <c:pt idx="9">
                  <c:v>3767.6000000000058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7D-4CD8-9BD5-108E2FEDAD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78498975"/>
        <c:axId val="1"/>
      </c:lineChart>
      <c:catAx>
        <c:axId val="187849897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M3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878498975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720626833410527"/>
          <c:y val="0.95273866886042224"/>
          <c:w val="8.6041763161957718E-2"/>
          <c:h val="4.7261331139577756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d'eau en DH HT 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122094450423913"/>
          <c:y val="0.13456498972111247"/>
          <c:w val="0.89877905549576087"/>
          <c:h val="0.56389511655870606"/>
        </c:manualLayout>
      </c:layout>
      <c:lineChart>
        <c:grouping val="standard"/>
        <c:varyColors val="0"/>
        <c:ser>
          <c:idx val="0"/>
          <c:order val="0"/>
          <c:tx>
            <c:strRef>
              <c:f>'cons annuel EAU  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'!$C$19:$N$19</c:f>
              <c:numCache>
                <c:formatCode>General</c:formatCode>
                <c:ptCount val="12"/>
                <c:pt idx="10">
                  <c:v>43165.84</c:v>
                </c:pt>
                <c:pt idx="11">
                  <c:v>50595.28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4A8-4EBE-8CDF-2D9512B2A3B3}"/>
            </c:ext>
          </c:extLst>
        </c:ser>
        <c:ser>
          <c:idx val="1"/>
          <c:order val="1"/>
          <c:tx>
            <c:strRef>
              <c:f>'cons annuel EAU  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'!$C$20:$N$20</c:f>
              <c:numCache>
                <c:formatCode>General</c:formatCode>
                <c:ptCount val="12"/>
                <c:pt idx="0">
                  <c:v>53565.520000000004</c:v>
                </c:pt>
                <c:pt idx="1">
                  <c:v>48294.28</c:v>
                </c:pt>
                <c:pt idx="2">
                  <c:v>51250.36</c:v>
                </c:pt>
                <c:pt idx="3">
                  <c:v>62603.8</c:v>
                </c:pt>
                <c:pt idx="4">
                  <c:v>68202.040000000008</c:v>
                </c:pt>
                <c:pt idx="5">
                  <c:v>53683.240000000005</c:v>
                </c:pt>
                <c:pt idx="6">
                  <c:v>73551.760000000009</c:v>
                </c:pt>
                <c:pt idx="7">
                  <c:v>85925.440000000002</c:v>
                </c:pt>
                <c:pt idx="8">
                  <c:v>57158.52</c:v>
                </c:pt>
                <c:pt idx="9">
                  <c:v>67234.52</c:v>
                </c:pt>
                <c:pt idx="10">
                  <c:v>53224.76</c:v>
                </c:pt>
                <c:pt idx="11">
                  <c:v>58005.08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4A8-4EBE-8CDF-2D9512B2A3B3}"/>
            </c:ext>
          </c:extLst>
        </c:ser>
        <c:ser>
          <c:idx val="2"/>
          <c:order val="2"/>
          <c:tx>
            <c:strRef>
              <c:f>'cons annuel EAU  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'!$C$21:$N$21</c:f>
              <c:numCache>
                <c:formatCode>General</c:formatCode>
                <c:ptCount val="12"/>
                <c:pt idx="0">
                  <c:v>56680.28</c:v>
                </c:pt>
                <c:pt idx="1">
                  <c:v>50685.56</c:v>
                </c:pt>
                <c:pt idx="2">
                  <c:v>68360.600000000006</c:v>
                </c:pt>
                <c:pt idx="3">
                  <c:v>68139.8</c:v>
                </c:pt>
                <c:pt idx="4">
                  <c:v>66042.2</c:v>
                </c:pt>
                <c:pt idx="5">
                  <c:v>67342.712</c:v>
                </c:pt>
                <c:pt idx="6">
                  <c:v>77855</c:v>
                </c:pt>
                <c:pt idx="7">
                  <c:v>88895</c:v>
                </c:pt>
                <c:pt idx="8">
                  <c:v>73748.12</c:v>
                </c:pt>
                <c:pt idx="9">
                  <c:v>75746.36</c:v>
                </c:pt>
                <c:pt idx="10">
                  <c:v>65821.399999999994</c:v>
                </c:pt>
                <c:pt idx="11">
                  <c:v>57542.503999999986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4A8-4EBE-8CDF-2D9512B2A3B3}"/>
            </c:ext>
          </c:extLst>
        </c:ser>
        <c:ser>
          <c:idx val="3"/>
          <c:order val="3"/>
          <c:tx>
            <c:strRef>
              <c:f>'cons annuel EAU  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'!$C$22:$N$22</c:f>
              <c:numCache>
                <c:formatCode>General</c:formatCode>
                <c:ptCount val="12"/>
                <c:pt idx="0">
                  <c:v>61834.856000000014</c:v>
                </c:pt>
                <c:pt idx="1">
                  <c:v>58501.880000000005</c:v>
                </c:pt>
                <c:pt idx="2">
                  <c:v>64684.28</c:v>
                </c:pt>
                <c:pt idx="3">
                  <c:v>69398.36</c:v>
                </c:pt>
                <c:pt idx="4">
                  <c:v>60743</c:v>
                </c:pt>
                <c:pt idx="5">
                  <c:v>61668.152000000031</c:v>
                </c:pt>
                <c:pt idx="6">
                  <c:v>69209.575999999943</c:v>
                </c:pt>
                <c:pt idx="7">
                  <c:v>68231.43200000003</c:v>
                </c:pt>
                <c:pt idx="8">
                  <c:v>67858.28</c:v>
                </c:pt>
                <c:pt idx="9">
                  <c:v>67560.2</c:v>
                </c:pt>
                <c:pt idx="10">
                  <c:v>55476.92</c:v>
                </c:pt>
                <c:pt idx="11">
                  <c:v>52659.512000000002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4A8-4EBE-8CDF-2D9512B2A3B3}"/>
            </c:ext>
          </c:extLst>
        </c:ser>
        <c:ser>
          <c:idx val="4"/>
          <c:order val="4"/>
          <c:tx>
            <c:strRef>
              <c:f>'cons annuel EAU  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'!$C$23:$N$23</c:f>
              <c:numCache>
                <c:formatCode>General</c:formatCode>
                <c:ptCount val="12"/>
                <c:pt idx="0">
                  <c:v>55717.592000000004</c:v>
                </c:pt>
                <c:pt idx="1">
                  <c:v>57718.399999999994</c:v>
                </c:pt>
                <c:pt idx="2">
                  <c:v>62768.599999999991</c:v>
                </c:pt>
                <c:pt idx="3">
                  <c:v>61267.219999999987</c:v>
                </c:pt>
                <c:pt idx="4">
                  <c:v>51406.219999999987</c:v>
                </c:pt>
                <c:pt idx="5">
                  <c:v>60091.880000000041</c:v>
                </c:pt>
                <c:pt idx="6">
                  <c:v>62827.879999999961</c:v>
                </c:pt>
                <c:pt idx="7">
                  <c:v>63874.400000000001</c:v>
                </c:pt>
                <c:pt idx="8">
                  <c:v>61434.799999999996</c:v>
                </c:pt>
                <c:pt idx="9">
                  <c:v>69004.399999999994</c:v>
                </c:pt>
                <c:pt idx="10">
                  <c:v>63087.799999999996</c:v>
                </c:pt>
                <c:pt idx="11">
                  <c:v>63466.279999999962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4A8-4EBE-8CDF-2D9512B2A3B3}"/>
            </c:ext>
          </c:extLst>
        </c:ser>
        <c:ser>
          <c:idx val="5"/>
          <c:order val="5"/>
          <c:tx>
            <c:strRef>
              <c:f>'cons annuel EAU  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'cons annuel EAU  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'cons annuel EAU  '!$C$26:$N$26</c:f>
              <c:numCache>
                <c:formatCode>General</c:formatCode>
                <c:ptCount val="12"/>
                <c:pt idx="0">
                  <c:v>18207.140000000065</c:v>
                </c:pt>
                <c:pt idx="1">
                  <c:v>25284.259999999933</c:v>
                </c:pt>
                <c:pt idx="2">
                  <c:v>43821.8</c:v>
                </c:pt>
                <c:pt idx="3">
                  <c:v>38703.199999999997</c:v>
                </c:pt>
                <c:pt idx="4">
                  <c:v>51905.540000000059</c:v>
                </c:pt>
                <c:pt idx="5">
                  <c:v>56326.459999999934</c:v>
                </c:pt>
                <c:pt idx="6">
                  <c:v>61115.599999999991</c:v>
                </c:pt>
                <c:pt idx="7">
                  <c:v>59284.759999999929</c:v>
                </c:pt>
                <c:pt idx="8">
                  <c:v>49277.840000000055</c:v>
                </c:pt>
                <c:pt idx="9">
                  <c:v>42973.640000000065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4A8-4EBE-8CDF-2D9512B2A3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4671"/>
        <c:axId val="1"/>
      </c:lineChart>
      <c:catAx>
        <c:axId val="190303467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L'eau en DH HT
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4671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094849726968384"/>
          <c:y val="0.95331695331695332"/>
          <c:w val="8.3732950196967748E-2"/>
          <c:h val="4.668304668304668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 sz="1800" b="0" i="0" u="none" strike="noStrike" baseline="0">
                <a:solidFill>
                  <a:srgbClr val="333333"/>
                </a:solidFill>
                <a:latin typeface="Calibri"/>
                <a:cs typeface="Calibri"/>
              </a:rPr>
              <a:t>Consommation de Gaz en KG</a:t>
            </a: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 sz="1400" b="0" i="0" u="none" strike="noStrike" baseline="0">
              <a:solidFill>
                <a:srgbClr val="333333"/>
              </a:solidFill>
              <a:latin typeface="Calibri"/>
              <a:cs typeface="Calibri"/>
            </a:endParaRP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GAZ'!$B$8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GAZ'!$C$8:$N$8</c:f>
              <c:numCache>
                <c:formatCode>General</c:formatCode>
                <c:ptCount val="12"/>
                <c:pt idx="9">
                  <c:v>19365</c:v>
                </c:pt>
                <c:pt idx="10">
                  <c:v>21235</c:v>
                </c:pt>
                <c:pt idx="11">
                  <c:v>34053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3A6-4ED1-8930-2F3DC7677FEF}"/>
            </c:ext>
          </c:extLst>
        </c:ser>
        <c:ser>
          <c:idx val="1"/>
          <c:order val="1"/>
          <c:tx>
            <c:strRef>
              <c:f>'livraison annuel GAZ'!$B$9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GAZ'!$C$9:$N$9</c:f>
              <c:numCache>
                <c:formatCode>General</c:formatCode>
                <c:ptCount val="12"/>
                <c:pt idx="0">
                  <c:v>23598</c:v>
                </c:pt>
                <c:pt idx="1">
                  <c:v>28302</c:v>
                </c:pt>
                <c:pt idx="2">
                  <c:v>23000</c:v>
                </c:pt>
                <c:pt idx="3">
                  <c:v>28601</c:v>
                </c:pt>
                <c:pt idx="4">
                  <c:v>24612</c:v>
                </c:pt>
                <c:pt idx="5">
                  <c:v>16695</c:v>
                </c:pt>
                <c:pt idx="6">
                  <c:v>10756</c:v>
                </c:pt>
                <c:pt idx="7">
                  <c:v>14749</c:v>
                </c:pt>
                <c:pt idx="8">
                  <c:v>18297</c:v>
                </c:pt>
                <c:pt idx="9">
                  <c:v>20801</c:v>
                </c:pt>
                <c:pt idx="10">
                  <c:v>22927</c:v>
                </c:pt>
                <c:pt idx="11">
                  <c:v>38265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3A6-4ED1-8930-2F3DC7677FEF}"/>
            </c:ext>
          </c:extLst>
        </c:ser>
        <c:ser>
          <c:idx val="2"/>
          <c:order val="2"/>
          <c:tx>
            <c:strRef>
              <c:f>'livraison annuel GAZ'!$B$10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GAZ'!$C$10:$N$10</c:f>
              <c:numCache>
                <c:formatCode>General</c:formatCode>
                <c:ptCount val="12"/>
                <c:pt idx="0">
                  <c:v>39843</c:v>
                </c:pt>
                <c:pt idx="1">
                  <c:v>27644</c:v>
                </c:pt>
                <c:pt idx="2">
                  <c:v>31207</c:v>
                </c:pt>
                <c:pt idx="3">
                  <c:v>34231</c:v>
                </c:pt>
                <c:pt idx="4">
                  <c:v>21149.420000000002</c:v>
                </c:pt>
                <c:pt idx="5">
                  <c:v>19502</c:v>
                </c:pt>
                <c:pt idx="6">
                  <c:v>22293</c:v>
                </c:pt>
                <c:pt idx="7">
                  <c:v>21244</c:v>
                </c:pt>
                <c:pt idx="8">
                  <c:v>20201</c:v>
                </c:pt>
                <c:pt idx="9">
                  <c:v>21000</c:v>
                </c:pt>
                <c:pt idx="10">
                  <c:v>30135</c:v>
                </c:pt>
                <c:pt idx="11">
                  <c:v>28841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3A6-4ED1-8930-2F3DC7677FEF}"/>
            </c:ext>
          </c:extLst>
        </c:ser>
        <c:ser>
          <c:idx val="3"/>
          <c:order val="3"/>
          <c:tx>
            <c:strRef>
              <c:f>'livraison annuel GAZ'!$B$11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GAZ'!$C$11:$N$11</c:f>
              <c:numCache>
                <c:formatCode>General</c:formatCode>
                <c:ptCount val="12"/>
                <c:pt idx="0">
                  <c:v>33210.620000000003</c:v>
                </c:pt>
                <c:pt idx="1">
                  <c:v>27328.669000000002</c:v>
                </c:pt>
                <c:pt idx="2">
                  <c:v>22296.292000000001</c:v>
                </c:pt>
                <c:pt idx="3">
                  <c:v>18205.006000000001</c:v>
                </c:pt>
                <c:pt idx="4">
                  <c:v>16641.811000000002</c:v>
                </c:pt>
                <c:pt idx="5">
                  <c:v>17087.758000000002</c:v>
                </c:pt>
                <c:pt idx="6">
                  <c:v>13220.239000000001</c:v>
                </c:pt>
                <c:pt idx="7">
                  <c:v>15457.909000000001</c:v>
                </c:pt>
                <c:pt idx="8">
                  <c:v>10651.944000000001</c:v>
                </c:pt>
                <c:pt idx="9">
                  <c:v>13951.846000000001</c:v>
                </c:pt>
                <c:pt idx="10">
                  <c:v>24676.263000000003</c:v>
                </c:pt>
                <c:pt idx="11">
                  <c:v>21781.575000000001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3A6-4ED1-8930-2F3DC7677FEF}"/>
            </c:ext>
          </c:extLst>
        </c:ser>
        <c:ser>
          <c:idx val="4"/>
          <c:order val="4"/>
          <c:tx>
            <c:strRef>
              <c:f>'livraison annuel GAZ'!$B$12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GAZ'!$C$12:$N$12</c:f>
              <c:numCache>
                <c:formatCode>General</c:formatCode>
                <c:ptCount val="12"/>
                <c:pt idx="0">
                  <c:v>26669.535</c:v>
                </c:pt>
                <c:pt idx="1">
                  <c:v>26601.294000000002</c:v>
                </c:pt>
                <c:pt idx="2">
                  <c:v>23114.126</c:v>
                </c:pt>
                <c:pt idx="3">
                  <c:v>20873.811000000002</c:v>
                </c:pt>
                <c:pt idx="4">
                  <c:v>14596.168000000001</c:v>
                </c:pt>
                <c:pt idx="5">
                  <c:v>10659.35</c:v>
                </c:pt>
                <c:pt idx="6">
                  <c:v>18584.299000000003</c:v>
                </c:pt>
                <c:pt idx="7">
                  <c:v>10559.897999999999</c:v>
                </c:pt>
                <c:pt idx="8">
                  <c:v>8546.5240000000013</c:v>
                </c:pt>
                <c:pt idx="9">
                  <c:v>17517.306</c:v>
                </c:pt>
                <c:pt idx="10">
                  <c:v>20452.198</c:v>
                </c:pt>
                <c:pt idx="11">
                  <c:v>27341.365000000002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3A6-4ED1-8930-2F3DC7677FEF}"/>
            </c:ext>
          </c:extLst>
        </c:ser>
        <c:ser>
          <c:idx val="5"/>
          <c:order val="5"/>
          <c:tx>
            <c:strRef>
              <c:f>'livraison annuel GAZ'!$B$15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GAZ'!$C$7:$N$7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GAZ'!$C$15:$N$15</c:f>
              <c:numCache>
                <c:formatCode>General</c:formatCode>
                <c:ptCount val="12"/>
                <c:pt idx="0">
                  <c:v>8859.1630000000005</c:v>
                </c:pt>
                <c:pt idx="1">
                  <c:v>13938.621000000001</c:v>
                </c:pt>
                <c:pt idx="2">
                  <c:v>316387</c:v>
                </c:pt>
                <c:pt idx="3">
                  <c:v>23168.613000000001</c:v>
                </c:pt>
                <c:pt idx="4">
                  <c:v>13780.45</c:v>
                </c:pt>
                <c:pt idx="5">
                  <c:v>4938.8999999999942</c:v>
                </c:pt>
                <c:pt idx="6">
                  <c:v>6726.2350000000006</c:v>
                </c:pt>
                <c:pt idx="7">
                  <c:v>9206.7160000000003</c:v>
                </c:pt>
                <c:pt idx="8">
                  <c:v>11550.186</c:v>
                </c:pt>
                <c:pt idx="9">
                  <c:v>10799.535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3A6-4ED1-8930-2F3DC7677F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1759"/>
        <c:axId val="1"/>
      </c:lineChart>
      <c:catAx>
        <c:axId val="190303175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Kg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251883646123182"/>
          <c:y val="0.95683679827791313"/>
          <c:w val="8.7982554812227443E-2"/>
          <c:h val="4.3163201722086875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8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Consommation de Gaz en DH HT</a:t>
            </a:r>
          </a:p>
        </c:rich>
      </c:tx>
      <c:overlay val="0"/>
      <c:spPr>
        <a:noFill/>
        <a:ln w="2540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'livraison annuel GAZ'!$B$19</c:f>
              <c:strCache>
                <c:ptCount val="1"/>
                <c:pt idx="0">
                  <c:v>Année 2015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GAZ'!$C$19:$N$19</c:f>
              <c:numCache>
                <c:formatCode>General</c:formatCode>
                <c:ptCount val="12"/>
                <c:pt idx="9">
                  <c:v>222503.85</c:v>
                </c:pt>
                <c:pt idx="10">
                  <c:v>248385.8</c:v>
                </c:pt>
                <c:pt idx="11">
                  <c:v>412790.47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557-447F-9810-B2BA744DDD24}"/>
            </c:ext>
          </c:extLst>
        </c:ser>
        <c:ser>
          <c:idx val="1"/>
          <c:order val="1"/>
          <c:tx>
            <c:strRef>
              <c:f>'livraison annuel GAZ'!$B$20</c:f>
              <c:strCache>
                <c:ptCount val="1"/>
                <c:pt idx="0">
                  <c:v>Année 2016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GAZ'!$C$20:$N$20</c:f>
              <c:numCache>
                <c:formatCode>General</c:formatCode>
                <c:ptCount val="12"/>
                <c:pt idx="0">
                  <c:v>281335.36</c:v>
                </c:pt>
                <c:pt idx="1">
                  <c:v>329491.88</c:v>
                </c:pt>
                <c:pt idx="2" formatCode="0.00">
                  <c:v>263166</c:v>
                </c:pt>
                <c:pt idx="3">
                  <c:v>334402.89</c:v>
                </c:pt>
                <c:pt idx="4">
                  <c:v>287763.5</c:v>
                </c:pt>
                <c:pt idx="5">
                  <c:v>200206.44</c:v>
                </c:pt>
                <c:pt idx="6">
                  <c:v>128985.95</c:v>
                </c:pt>
                <c:pt idx="7">
                  <c:v>174687.16</c:v>
                </c:pt>
                <c:pt idx="8">
                  <c:v>221708.41</c:v>
                </c:pt>
                <c:pt idx="9">
                  <c:v>257125.33</c:v>
                </c:pt>
                <c:pt idx="10">
                  <c:v>290283.33</c:v>
                </c:pt>
                <c:pt idx="11">
                  <c:v>491751.17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557-447F-9810-B2BA744DDD24}"/>
            </c:ext>
          </c:extLst>
        </c:ser>
        <c:ser>
          <c:idx val="2"/>
          <c:order val="2"/>
          <c:tx>
            <c:strRef>
              <c:f>'livraison annuel GAZ'!$B$21</c:f>
              <c:strCache>
                <c:ptCount val="1"/>
                <c:pt idx="0">
                  <c:v>Année 2017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GAZ'!$C$21:$N$21</c:f>
              <c:numCache>
                <c:formatCode>General</c:formatCode>
                <c:ptCount val="12"/>
                <c:pt idx="0">
                  <c:v>534222.91</c:v>
                </c:pt>
                <c:pt idx="1">
                  <c:v>397841.39</c:v>
                </c:pt>
                <c:pt idx="2" formatCode="0.00">
                  <c:v>463317.85</c:v>
                </c:pt>
                <c:pt idx="3">
                  <c:v>473982.96</c:v>
                </c:pt>
                <c:pt idx="4">
                  <c:v>288617.67497200001</c:v>
                </c:pt>
                <c:pt idx="5">
                  <c:v>262138.08</c:v>
                </c:pt>
                <c:pt idx="6">
                  <c:v>290959.32</c:v>
                </c:pt>
                <c:pt idx="7">
                  <c:v>277268.19</c:v>
                </c:pt>
                <c:pt idx="8">
                  <c:v>269109.64</c:v>
                </c:pt>
                <c:pt idx="9">
                  <c:v>279753.59999999998</c:v>
                </c:pt>
                <c:pt idx="10">
                  <c:v>411233.26</c:v>
                </c:pt>
                <c:pt idx="11">
                  <c:v>393575.4632766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557-447F-9810-B2BA744DDD24}"/>
            </c:ext>
          </c:extLst>
        </c:ser>
        <c:ser>
          <c:idx val="3"/>
          <c:order val="3"/>
          <c:tx>
            <c:strRef>
              <c:f>'livraison annuel GAZ'!$B$22</c:f>
              <c:strCache>
                <c:ptCount val="1"/>
                <c:pt idx="0">
                  <c:v>Année 2018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GAZ'!$C$22:$N$22</c:f>
              <c:numCache>
                <c:formatCode>General</c:formatCode>
                <c:ptCount val="12"/>
                <c:pt idx="0">
                  <c:v>433913.35561000003</c:v>
                </c:pt>
                <c:pt idx="1">
                  <c:v>365261.32551950007</c:v>
                </c:pt>
                <c:pt idx="2">
                  <c:v>291312.20312600001</c:v>
                </c:pt>
                <c:pt idx="3">
                  <c:v>213834.17997540004</c:v>
                </c:pt>
                <c:pt idx="4">
                  <c:v>197886.11041990001</c:v>
                </c:pt>
                <c:pt idx="5">
                  <c:v>143537.16720000003</c:v>
                </c:pt>
                <c:pt idx="6">
                  <c:v>111050.00760000001</c:v>
                </c:pt>
                <c:pt idx="7">
                  <c:v>129846.43560000001</c:v>
                </c:pt>
                <c:pt idx="8">
                  <c:v>97997.8848</c:v>
                </c:pt>
                <c:pt idx="9">
                  <c:v>117195.50640000001</c:v>
                </c:pt>
                <c:pt idx="10">
                  <c:v>207280.60920000004</c:v>
                </c:pt>
                <c:pt idx="11">
                  <c:v>182965.23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557-447F-9810-B2BA744DDD24}"/>
            </c:ext>
          </c:extLst>
        </c:ser>
        <c:ser>
          <c:idx val="4"/>
          <c:order val="4"/>
          <c:tx>
            <c:strRef>
              <c:f>'livraison annuel GAZ'!$B$23</c:f>
              <c:strCache>
                <c:ptCount val="1"/>
                <c:pt idx="0">
                  <c:v>Année 2019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GAZ'!$C$23:$N$23</c:f>
              <c:numCache>
                <c:formatCode>General</c:formatCode>
                <c:ptCount val="12"/>
                <c:pt idx="0">
                  <c:v>224024.09400000001</c:v>
                </c:pt>
                <c:pt idx="1">
                  <c:v>223450.86960000003</c:v>
                </c:pt>
                <c:pt idx="2">
                  <c:v>209182.84030000001</c:v>
                </c:pt>
                <c:pt idx="3">
                  <c:v>188907.98955000003</c:v>
                </c:pt>
                <c:pt idx="4">
                  <c:v>129176.0868</c:v>
                </c:pt>
                <c:pt idx="5">
                  <c:v>94335.247499999998</c:v>
                </c:pt>
                <c:pt idx="6">
                  <c:v>144957.53220000002</c:v>
                </c:pt>
                <c:pt idx="7">
                  <c:v>77405.108330000003</c:v>
                </c:pt>
                <c:pt idx="8">
                  <c:v>62646.875572400008</c:v>
                </c:pt>
                <c:pt idx="9">
                  <c:v>128403.6047106</c:v>
                </c:pt>
                <c:pt idx="10">
                  <c:v>149916.6565598</c:v>
                </c:pt>
                <c:pt idx="11">
                  <c:v>217831.38909150002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557-447F-9810-B2BA744DDD24}"/>
            </c:ext>
          </c:extLst>
        </c:ser>
        <c:ser>
          <c:idx val="5"/>
          <c:order val="5"/>
          <c:tx>
            <c:strRef>
              <c:f>'livraison annuel GAZ'!$B$26</c:f>
              <c:strCache>
                <c:ptCount val="1"/>
                <c:pt idx="0">
                  <c:v>Année 2022</c:v>
                </c:pt>
              </c:strCache>
            </c:strRef>
          </c:tx>
          <c:cat>
            <c:strRef>
              <c:f>'livraison annuel GAZ'!$C$18:$N$18</c:f>
              <c:strCache>
                <c:ptCount val="12"/>
                <c:pt idx="0">
                  <c:v>Janvier</c:v>
                </c:pt>
                <c:pt idx="1">
                  <c:v>Février</c:v>
                </c:pt>
                <c:pt idx="2">
                  <c:v>Mars </c:v>
                </c:pt>
                <c:pt idx="3">
                  <c:v>avril</c:v>
                </c:pt>
                <c:pt idx="4">
                  <c:v>Mai </c:v>
                </c:pt>
                <c:pt idx="5">
                  <c:v>juin </c:v>
                </c:pt>
                <c:pt idx="6">
                  <c:v>Juillet</c:v>
                </c:pt>
                <c:pt idx="7">
                  <c:v>aout </c:v>
                </c:pt>
                <c:pt idx="8">
                  <c:v>Septembre</c:v>
                </c:pt>
                <c:pt idx="9">
                  <c:v>Octobre</c:v>
                </c:pt>
                <c:pt idx="10">
                  <c:v>Novembre</c:v>
                </c:pt>
                <c:pt idx="11">
                  <c:v>Décembre</c:v>
                </c:pt>
              </c:strCache>
            </c:strRef>
          </c:cat>
          <c:val>
            <c:numRef>
              <c:f>'livraison annuel GAZ'!$C$26:$M$26</c:f>
              <c:numCache>
                <c:formatCode>General</c:formatCode>
                <c:ptCount val="11"/>
                <c:pt idx="0">
                  <c:v>102456.220095</c:v>
                </c:pt>
                <c:pt idx="1">
                  <c:v>164336.34159</c:v>
                </c:pt>
                <c:pt idx="2">
                  <c:v>348747.65639999998</c:v>
                </c:pt>
                <c:pt idx="3">
                  <c:v>316019.88132000004</c:v>
                </c:pt>
                <c:pt idx="4">
                  <c:v>181075.11300000001</c:v>
                </c:pt>
                <c:pt idx="6">
                  <c:v>87037.48090000001</c:v>
                </c:pt>
                <c:pt idx="7">
                  <c:v>118214.23344</c:v>
                </c:pt>
                <c:pt idx="8">
                  <c:v>147149.36963999999</c:v>
                </c:pt>
                <c:pt idx="9">
                  <c:v>132186.30840000001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557-447F-9810-B2BA744DDD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3035087"/>
        <c:axId val="1"/>
      </c:lineChart>
      <c:catAx>
        <c:axId val="190303508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 sz="1000" b="0" i="0" u="none" strike="noStrike" baseline="0">
                    <a:solidFill>
                      <a:srgbClr val="333333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Gaz en DH HT</a:t>
                </a:r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0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903035087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33952738171242108"/>
          <c:y val="0.9572456530819633"/>
          <c:w val="7.906540398666384E-2"/>
          <c:h val="4.2754346918036701E-2"/>
        </c:manualLayout>
      </c:layout>
      <c:overlay val="0"/>
      <c:spPr>
        <a:noFill/>
        <a:ln w="25400">
          <a:noFill/>
        </a:ln>
      </c:spPr>
      <c:txPr>
        <a:bodyPr/>
        <a:lstStyle/>
        <a:p>
          <a:pPr>
            <a:defRPr sz="105" b="0" i="0" u="none" strike="noStrike" baseline="0">
              <a:solidFill>
                <a:srgbClr val="333333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969645</xdr:colOff>
      <xdr:row>1</xdr:row>
      <xdr:rowOff>800100</xdr:rowOff>
    </xdr:from>
    <xdr:to>
      <xdr:col>16</xdr:col>
      <xdr:colOff>640079</xdr:colOff>
      <xdr:row>2</xdr:row>
      <xdr:rowOff>0</xdr:rowOff>
    </xdr:to>
    <xdr:sp macro="" textlink="">
      <xdr:nvSpPr>
        <xdr:cNvPr id="20453784" name="WordArt 1">
          <a:extLst>
            <a:ext uri="{FF2B5EF4-FFF2-40B4-BE49-F238E27FC236}">
              <a16:creationId xmlns:a16="http://schemas.microsoft.com/office/drawing/2014/main" id="{07245B82-7B36-471F-A5A2-E330C7B2F9BE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6534150" y="1038225"/>
          <a:ext cx="10248900" cy="47625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50000"/>
            </a:avLst>
          </a:prstTxWarp>
        </a:bodyPr>
        <a:lstStyle/>
        <a:p>
          <a:pPr algn="ct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>
    <xdr:from>
      <xdr:col>5</xdr:col>
      <xdr:colOff>340995</xdr:colOff>
      <xdr:row>1</xdr:row>
      <xdr:rowOff>85725</xdr:rowOff>
    </xdr:from>
    <xdr:to>
      <xdr:col>12</xdr:col>
      <xdr:colOff>1672551</xdr:colOff>
      <xdr:row>1</xdr:row>
      <xdr:rowOff>619125</xdr:rowOff>
    </xdr:to>
    <xdr:sp macro="" textlink="">
      <xdr:nvSpPr>
        <xdr:cNvPr id="20453785" name="WordArt 1">
          <a:extLst>
            <a:ext uri="{FF2B5EF4-FFF2-40B4-BE49-F238E27FC236}">
              <a16:creationId xmlns:a16="http://schemas.microsoft.com/office/drawing/2014/main" id="{1F672150-C24B-4540-94A4-E6086D2B9688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5915025" y="323850"/>
          <a:ext cx="6848475" cy="533400"/>
        </a:xfrm>
        <a:prstGeom prst="rect">
          <a:avLst/>
        </a:prstGeom>
      </xdr:spPr>
      <xdr:txBody>
        <a:bodyPr vertOverflow="clip" wrap="none" lIns="91440" tIns="45720" rIns="91440" bIns="45720" fromWordArt="1" anchor="t">
          <a:prstTxWarp prst="textPlain">
            <a:avLst>
              <a:gd name="adj" fmla="val 45847"/>
            </a:avLst>
          </a:prstTxWarp>
        </a:bodyPr>
        <a:lstStyle/>
        <a:p>
          <a:pPr algn="r" rtl="0">
            <a:buNone/>
          </a:pPr>
          <a:endParaRPr lang="fr-FR" sz="3600" u="sng" strike="sngStrike" kern="10" cap="small" spc="0">
            <a:ln w="9525">
              <a:solidFill>
                <a:srgbClr val="000000"/>
              </a:solidFill>
              <a:round/>
              <a:headEnd/>
              <a:tailEnd/>
            </a:ln>
            <a:solidFill>
              <a:srgbClr val="0000FF"/>
            </a:solidFill>
            <a:effectLst>
              <a:outerShdw dist="45791" dir="2021404" algn="ctr" rotWithShape="0">
                <a:srgbClr val="B2B2B2">
                  <a:alpha val="79999"/>
                </a:srgbClr>
              </a:outerShdw>
            </a:effectLst>
            <a:latin typeface="Monotype Corsiva" panose="03010101010201010101" pitchFamily="66" charset="0"/>
          </a:endParaRPr>
        </a:p>
      </xdr:txBody>
    </xdr:sp>
    <xdr:clientData/>
  </xdr:twoCellAnchor>
  <xdr:twoCellAnchor editAs="oneCell">
    <xdr:from>
      <xdr:col>0</xdr:col>
      <xdr:colOff>609600</xdr:colOff>
      <xdr:row>1</xdr:row>
      <xdr:rowOff>161925</xdr:rowOff>
    </xdr:from>
    <xdr:to>
      <xdr:col>3</xdr:col>
      <xdr:colOff>704850</xdr:colOff>
      <xdr:row>2</xdr:row>
      <xdr:rowOff>0</xdr:rowOff>
    </xdr:to>
    <xdr:pic>
      <xdr:nvPicPr>
        <xdr:cNvPr id="26781375" name="Picture 1">
          <a:extLst>
            <a:ext uri="{FF2B5EF4-FFF2-40B4-BE49-F238E27FC236}">
              <a16:creationId xmlns:a16="http://schemas.microsoft.com/office/drawing/2014/main" id="{C905C53E-E0EC-474F-9CCC-8829D7372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0075" y="400050"/>
          <a:ext cx="2362200" cy="1114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57150</xdr:colOff>
      <xdr:row>2</xdr:row>
      <xdr:rowOff>371475</xdr:rowOff>
    </xdr:from>
    <xdr:to>
      <xdr:col>25</xdr:col>
      <xdr:colOff>676275</xdr:colOff>
      <xdr:row>20</xdr:row>
      <xdr:rowOff>314325</xdr:rowOff>
    </xdr:to>
    <xdr:graphicFrame macro="">
      <xdr:nvGraphicFramePr>
        <xdr:cNvPr id="27576912" name="Graphique 3">
          <a:extLst>
            <a:ext uri="{FF2B5EF4-FFF2-40B4-BE49-F238E27FC236}">
              <a16:creationId xmlns:a16="http://schemas.microsoft.com/office/drawing/2014/main" i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66675</xdr:colOff>
      <xdr:row>21</xdr:row>
      <xdr:rowOff>57150</xdr:rowOff>
    </xdr:from>
    <xdr:to>
      <xdr:col>25</xdr:col>
      <xdr:colOff>619125</xdr:colOff>
      <xdr:row>37</xdr:row>
      <xdr:rowOff>0</xdr:rowOff>
    </xdr:to>
    <xdr:graphicFrame macro="">
      <xdr:nvGraphicFramePr>
        <xdr:cNvPr id="27576913" name="Graphique 4">
          <a:extLst>
            <a:ext uri="{FF2B5EF4-FFF2-40B4-BE49-F238E27FC236}">
              <a16:creationId xmlns:a16="http://schemas.microsoft.com/office/drawing/2014/main" id="{44D2D192-376B-4869-878A-F11A425C8842}"/>
            </a:ext>
            <a:ext uri="{147F2762-F138-4A5C-976F-8EAC2B608ADB}">
              <a16:predDERef xmlns:a16="http://schemas.microsoft.com/office/drawing/2014/main" pred="{315149A6-2E76-4BB7-876C-A790B17495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76200</xdr:colOff>
      <xdr:row>37</xdr:row>
      <xdr:rowOff>0</xdr:rowOff>
    </xdr:from>
    <xdr:to>
      <xdr:col>25</xdr:col>
      <xdr:colOff>657225</xdr:colOff>
      <xdr:row>46</xdr:row>
      <xdr:rowOff>142875</xdr:rowOff>
    </xdr:to>
    <xdr:graphicFrame macro="">
      <xdr:nvGraphicFramePr>
        <xdr:cNvPr id="27576914" name="Graphique 5">
          <a:extLst>
            <a:ext uri="{FF2B5EF4-FFF2-40B4-BE49-F238E27FC236}">
              <a16:creationId xmlns:a16="http://schemas.microsoft.com/office/drawing/2014/main" id="{C94F0C91-2E70-48C0-A456-AACF2C4BE5CA}"/>
            </a:ext>
            <a:ext uri="{147F2762-F138-4A5C-976F-8EAC2B608ADB}">
              <a16:predDERef xmlns:a16="http://schemas.microsoft.com/office/drawing/2014/main" pred="{44D2D192-376B-4869-878A-F11A425C88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1028700</xdr:colOff>
      <xdr:row>0</xdr:row>
      <xdr:rowOff>28575</xdr:rowOff>
    </xdr:from>
    <xdr:to>
      <xdr:col>2</xdr:col>
      <xdr:colOff>152400</xdr:colOff>
      <xdr:row>2</xdr:row>
      <xdr:rowOff>533400</xdr:rowOff>
    </xdr:to>
    <xdr:pic>
      <xdr:nvPicPr>
        <xdr:cNvPr id="27576915" name="Picture 1">
          <a:extLst>
            <a:ext uri="{FF2B5EF4-FFF2-40B4-BE49-F238E27FC236}">
              <a16:creationId xmlns:a16="http://schemas.microsoft.com/office/drawing/2014/main" id="{5123DF97-9F51-4C19-81EF-E48563A33BC2}"/>
            </a:ext>
            <a:ext uri="{147F2762-F138-4A5C-976F-8EAC2B608ADB}">
              <a16:predDERef xmlns:a16="http://schemas.microsoft.com/office/drawing/2014/main" pred="{C94F0C91-2E70-48C0-A456-AACF2C4BE5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28575"/>
          <a:ext cx="1638300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7" name="Picture 1">
          <a:extLst>
            <a:ext uri="{FF2B5EF4-FFF2-40B4-BE49-F238E27FC236}">
              <a16:creationId xmlns:a16="http://schemas.microsoft.com/office/drawing/2014/main" id="{8CCB91CC-B04E-4FD0-9A61-EFDB698FD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161925</xdr:rowOff>
    </xdr:to>
    <xdr:pic>
      <xdr:nvPicPr>
        <xdr:cNvPr id="25303828" name="Picture 1">
          <a:extLst>
            <a:ext uri="{FF2B5EF4-FFF2-40B4-BE49-F238E27FC236}">
              <a16:creationId xmlns:a16="http://schemas.microsoft.com/office/drawing/2014/main" id="{37020D0F-DFC5-464F-A7C2-7B617E82F8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685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0" name="Picture 1">
          <a:extLst>
            <a:ext uri="{FF2B5EF4-FFF2-40B4-BE49-F238E27FC236}">
              <a16:creationId xmlns:a16="http://schemas.microsoft.com/office/drawing/2014/main" id="{CBC7CD9F-D26A-4CAD-B5D8-C0C156CB27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28575</xdr:colOff>
      <xdr:row>0</xdr:row>
      <xdr:rowOff>66675</xdr:rowOff>
    </xdr:from>
    <xdr:to>
      <xdr:col>2</xdr:col>
      <xdr:colOff>0</xdr:colOff>
      <xdr:row>3</xdr:row>
      <xdr:rowOff>38100</xdr:rowOff>
    </xdr:to>
    <xdr:pic>
      <xdr:nvPicPr>
        <xdr:cNvPr id="25204521" name="Picture 1">
          <a:extLst>
            <a:ext uri="{FF2B5EF4-FFF2-40B4-BE49-F238E27FC236}">
              <a16:creationId xmlns:a16="http://schemas.microsoft.com/office/drawing/2014/main" id="{7D6456DD-1702-4CAC-8B41-5B6DE2D66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" y="66675"/>
          <a:ext cx="1104900" cy="5619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4" name="Picture 1">
          <a:extLst>
            <a:ext uri="{FF2B5EF4-FFF2-40B4-BE49-F238E27FC236}">
              <a16:creationId xmlns:a16="http://schemas.microsoft.com/office/drawing/2014/main" id="{C75949A1-C352-46D8-BB81-E6F7A1C5B9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5" name="Picture 1">
          <a:extLst>
            <a:ext uri="{FF2B5EF4-FFF2-40B4-BE49-F238E27FC236}">
              <a16:creationId xmlns:a16="http://schemas.microsoft.com/office/drawing/2014/main" id="{DC4D88B3-424C-4A77-8BD1-43E1B6229F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6" name="Picture 1">
          <a:extLst>
            <a:ext uri="{FF2B5EF4-FFF2-40B4-BE49-F238E27FC236}">
              <a16:creationId xmlns:a16="http://schemas.microsoft.com/office/drawing/2014/main" id="{F4B7F97F-D46F-4D45-B72A-D51AB38C04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7" name="Picture 1">
          <a:extLst>
            <a:ext uri="{FF2B5EF4-FFF2-40B4-BE49-F238E27FC236}">
              <a16:creationId xmlns:a16="http://schemas.microsoft.com/office/drawing/2014/main" id="{2C651A59-03C2-4A57-904A-0F06D17677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8" name="Picture 1">
          <a:extLst>
            <a:ext uri="{FF2B5EF4-FFF2-40B4-BE49-F238E27FC236}">
              <a16:creationId xmlns:a16="http://schemas.microsoft.com/office/drawing/2014/main" id="{0DA89159-EBAF-4FA4-BFD1-65A165856B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09" name="Picture 1">
          <a:extLst>
            <a:ext uri="{FF2B5EF4-FFF2-40B4-BE49-F238E27FC236}">
              <a16:creationId xmlns:a16="http://schemas.microsoft.com/office/drawing/2014/main" id="{F9C0F9A6-6DCB-4FD2-8B61-3CE08D3326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0" name="Picture 1">
          <a:extLst>
            <a:ext uri="{FF2B5EF4-FFF2-40B4-BE49-F238E27FC236}">
              <a16:creationId xmlns:a16="http://schemas.microsoft.com/office/drawing/2014/main" id="{BE9327B2-1458-4992-B51D-B8F1A747F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1" name="Picture 1">
          <a:extLst>
            <a:ext uri="{FF2B5EF4-FFF2-40B4-BE49-F238E27FC236}">
              <a16:creationId xmlns:a16="http://schemas.microsoft.com/office/drawing/2014/main" id="{FEBB0CDC-7F01-4020-8177-7AFA574F53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2" name="Picture 1">
          <a:extLst>
            <a:ext uri="{FF2B5EF4-FFF2-40B4-BE49-F238E27FC236}">
              <a16:creationId xmlns:a16="http://schemas.microsoft.com/office/drawing/2014/main" id="{0A131103-E789-44AA-8C34-C1AB7B6BB0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3" name="Picture 1">
          <a:extLst>
            <a:ext uri="{FF2B5EF4-FFF2-40B4-BE49-F238E27FC236}">
              <a16:creationId xmlns:a16="http://schemas.microsoft.com/office/drawing/2014/main" id="{7EA7752F-5A9D-4094-819C-6ABDAB5756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4" name="Picture 1">
          <a:extLst>
            <a:ext uri="{FF2B5EF4-FFF2-40B4-BE49-F238E27FC236}">
              <a16:creationId xmlns:a16="http://schemas.microsoft.com/office/drawing/2014/main" id="{C2A61F0E-6707-4B44-93B1-B0B94675B2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5" name="Picture 1">
          <a:extLst>
            <a:ext uri="{FF2B5EF4-FFF2-40B4-BE49-F238E27FC236}">
              <a16:creationId xmlns:a16="http://schemas.microsoft.com/office/drawing/2014/main" id="{4ED3B96D-63C8-45BD-8315-32F00DE825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6" name="Picture 1">
          <a:extLst>
            <a:ext uri="{FF2B5EF4-FFF2-40B4-BE49-F238E27FC236}">
              <a16:creationId xmlns:a16="http://schemas.microsoft.com/office/drawing/2014/main" id="{AF4BD345-B8F1-43FD-A07D-27FF4FD68A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7" name="Picture 1">
          <a:extLst>
            <a:ext uri="{FF2B5EF4-FFF2-40B4-BE49-F238E27FC236}">
              <a16:creationId xmlns:a16="http://schemas.microsoft.com/office/drawing/2014/main" id="{FFDEC405-1E3A-44FE-BBC0-D78F99933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8" name="Picture 1">
          <a:extLst>
            <a:ext uri="{FF2B5EF4-FFF2-40B4-BE49-F238E27FC236}">
              <a16:creationId xmlns:a16="http://schemas.microsoft.com/office/drawing/2014/main" id="{BA81C00C-39F2-4912-9F39-712001FDAE4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0</xdr:rowOff>
    </xdr:to>
    <xdr:pic>
      <xdr:nvPicPr>
        <xdr:cNvPr id="28765519" name="Picture 1">
          <a:extLst>
            <a:ext uri="{FF2B5EF4-FFF2-40B4-BE49-F238E27FC236}">
              <a16:creationId xmlns:a16="http://schemas.microsoft.com/office/drawing/2014/main" id="{D32FBE5D-45C4-43FD-9E67-06E42E7A5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952500" cy="4667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8" name="Picture 1">
          <a:extLst>
            <a:ext uri="{FF2B5EF4-FFF2-40B4-BE49-F238E27FC236}">
              <a16:creationId xmlns:a16="http://schemas.microsoft.com/office/drawing/2014/main" id="{3F330D0F-4F44-4920-A9A5-A6D8EB771C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29" name="Picture 1">
          <a:extLst>
            <a:ext uri="{FF2B5EF4-FFF2-40B4-BE49-F238E27FC236}">
              <a16:creationId xmlns:a16="http://schemas.microsoft.com/office/drawing/2014/main" id="{C15282BB-D2D2-4649-8063-D8E1BCB882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0" name="Picture 1">
          <a:extLst>
            <a:ext uri="{FF2B5EF4-FFF2-40B4-BE49-F238E27FC236}">
              <a16:creationId xmlns:a16="http://schemas.microsoft.com/office/drawing/2014/main" id="{9B8EF7ED-862E-4B88-9E38-2C788F8D07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1" name="Picture 1">
          <a:extLst>
            <a:ext uri="{FF2B5EF4-FFF2-40B4-BE49-F238E27FC236}">
              <a16:creationId xmlns:a16="http://schemas.microsoft.com/office/drawing/2014/main" id="{899E49C4-286C-4B4F-870B-19895BDDAA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2" name="Picture 1">
          <a:extLst>
            <a:ext uri="{FF2B5EF4-FFF2-40B4-BE49-F238E27FC236}">
              <a16:creationId xmlns:a16="http://schemas.microsoft.com/office/drawing/2014/main" id="{0B3998E2-9F9C-4F2B-8591-B0C199A692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3" name="Picture 1">
          <a:extLst>
            <a:ext uri="{FF2B5EF4-FFF2-40B4-BE49-F238E27FC236}">
              <a16:creationId xmlns:a16="http://schemas.microsoft.com/office/drawing/2014/main" id="{CAD0ACFF-CB27-4268-9590-B2809B6A9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4" name="Picture 1">
          <a:extLst>
            <a:ext uri="{FF2B5EF4-FFF2-40B4-BE49-F238E27FC236}">
              <a16:creationId xmlns:a16="http://schemas.microsoft.com/office/drawing/2014/main" id="{46D31028-4F1E-4057-8C0B-7EAD21E870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5" name="Picture 1">
          <a:extLst>
            <a:ext uri="{FF2B5EF4-FFF2-40B4-BE49-F238E27FC236}">
              <a16:creationId xmlns:a16="http://schemas.microsoft.com/office/drawing/2014/main" id="{E48FDEA7-C118-42D9-937D-BECC99C3D9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6" name="Picture 1">
          <a:extLst>
            <a:ext uri="{FF2B5EF4-FFF2-40B4-BE49-F238E27FC236}">
              <a16:creationId xmlns:a16="http://schemas.microsoft.com/office/drawing/2014/main" id="{293FA8D4-FD0A-49E4-A420-69AC6ADCDE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7" name="Picture 1">
          <a:extLst>
            <a:ext uri="{FF2B5EF4-FFF2-40B4-BE49-F238E27FC236}">
              <a16:creationId xmlns:a16="http://schemas.microsoft.com/office/drawing/2014/main" id="{BF4A5ED6-8521-49AF-A379-12E07B56EC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8" name="Picture 1">
          <a:extLst>
            <a:ext uri="{FF2B5EF4-FFF2-40B4-BE49-F238E27FC236}">
              <a16:creationId xmlns:a16="http://schemas.microsoft.com/office/drawing/2014/main" id="{E689C451-A300-496A-AA92-B9A4BF7552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39" name="Picture 1">
          <a:extLst>
            <a:ext uri="{FF2B5EF4-FFF2-40B4-BE49-F238E27FC236}">
              <a16:creationId xmlns:a16="http://schemas.microsoft.com/office/drawing/2014/main" id="{D0C6F4D2-535C-412A-9CA0-1DB44A3DA90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0" name="Picture 1">
          <a:extLst>
            <a:ext uri="{FF2B5EF4-FFF2-40B4-BE49-F238E27FC236}">
              <a16:creationId xmlns:a16="http://schemas.microsoft.com/office/drawing/2014/main" id="{0E4E6373-8FCF-4F9F-AE0B-5F14E25F131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1" name="Picture 1">
          <a:extLst>
            <a:ext uri="{FF2B5EF4-FFF2-40B4-BE49-F238E27FC236}">
              <a16:creationId xmlns:a16="http://schemas.microsoft.com/office/drawing/2014/main" id="{4DD64E91-AA94-4B7F-9F63-006D6858BE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2" name="Picture 1">
          <a:extLst>
            <a:ext uri="{FF2B5EF4-FFF2-40B4-BE49-F238E27FC236}">
              <a16:creationId xmlns:a16="http://schemas.microsoft.com/office/drawing/2014/main" id="{9BEBD65D-7A79-4147-938C-2033A91BC9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371475</xdr:colOff>
      <xdr:row>3</xdr:row>
      <xdr:rowOff>104775</xdr:rowOff>
    </xdr:to>
    <xdr:pic>
      <xdr:nvPicPr>
        <xdr:cNvPr id="28766543" name="Picture 1">
          <a:extLst>
            <a:ext uri="{FF2B5EF4-FFF2-40B4-BE49-F238E27FC236}">
              <a16:creationId xmlns:a16="http://schemas.microsoft.com/office/drawing/2014/main" id="{E96F7F20-6150-4549-B962-88034A3210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1323975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6" name="Picture 1">
          <a:extLst>
            <a:ext uri="{FF2B5EF4-FFF2-40B4-BE49-F238E27FC236}">
              <a16:creationId xmlns:a16="http://schemas.microsoft.com/office/drawing/2014/main" id="{54ACD642-2F36-458A-A534-6982DBCE30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7" name="Picture 1">
          <a:extLst>
            <a:ext uri="{FF2B5EF4-FFF2-40B4-BE49-F238E27FC236}">
              <a16:creationId xmlns:a16="http://schemas.microsoft.com/office/drawing/2014/main" id="{6B9FD64B-B9B2-4115-98F8-6D1D300787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104775</xdr:rowOff>
    </xdr:to>
    <xdr:pic>
      <xdr:nvPicPr>
        <xdr:cNvPr id="27583058" name="Picture 1">
          <a:extLst>
            <a:ext uri="{FF2B5EF4-FFF2-40B4-BE49-F238E27FC236}">
              <a16:creationId xmlns:a16="http://schemas.microsoft.com/office/drawing/2014/main" id="{30E698A1-19CF-45F2-A85D-EEE03BD04C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5715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38100</xdr:colOff>
      <xdr:row>0</xdr:row>
      <xdr:rowOff>114300</xdr:rowOff>
    </xdr:from>
    <xdr:to>
      <xdr:col>1</xdr:col>
      <xdr:colOff>0</xdr:colOff>
      <xdr:row>3</xdr:row>
      <xdr:rowOff>161925</xdr:rowOff>
    </xdr:to>
    <xdr:pic>
      <xdr:nvPicPr>
        <xdr:cNvPr id="27583059" name="Picture 1">
          <a:extLst>
            <a:ext uri="{FF2B5EF4-FFF2-40B4-BE49-F238E27FC236}">
              <a16:creationId xmlns:a16="http://schemas.microsoft.com/office/drawing/2014/main" id="{B91A8D6C-9C54-4298-8F9D-068F13F643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8100" y="114300"/>
          <a:ext cx="876300" cy="6286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895350</xdr:colOff>
      <xdr:row>27</xdr:row>
      <xdr:rowOff>28575</xdr:rowOff>
    </xdr:from>
    <xdr:to>
      <xdr:col>13</xdr:col>
      <xdr:colOff>447675</xdr:colOff>
      <xdr:row>48</xdr:row>
      <xdr:rowOff>85725</xdr:rowOff>
    </xdr:to>
    <xdr:graphicFrame macro="">
      <xdr:nvGraphicFramePr>
        <xdr:cNvPr id="25208616" name="Chart 1">
          <a:extLst>
            <a:ext uri="{FF2B5EF4-FFF2-40B4-BE49-F238E27FC236}">
              <a16:creationId xmlns:a16="http://schemas.microsoft.com/office/drawing/2014/main" id="{A0DE5392-716C-494C-B105-E8A4BFFA16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209550</xdr:colOff>
      <xdr:row>27</xdr:row>
      <xdr:rowOff>47625</xdr:rowOff>
    </xdr:from>
    <xdr:to>
      <xdr:col>6</xdr:col>
      <xdr:colOff>638175</xdr:colOff>
      <xdr:row>48</xdr:row>
      <xdr:rowOff>76200</xdr:rowOff>
    </xdr:to>
    <xdr:graphicFrame macro="">
      <xdr:nvGraphicFramePr>
        <xdr:cNvPr id="25208617" name="Chart 2">
          <a:extLst>
            <a:ext uri="{FF2B5EF4-FFF2-40B4-BE49-F238E27FC236}">
              <a16:creationId xmlns:a16="http://schemas.microsoft.com/office/drawing/2014/main" id="{7EBB85D7-933C-4B71-ACC9-B4A324414B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476250</xdr:colOff>
      <xdr:row>28</xdr:row>
      <xdr:rowOff>28575</xdr:rowOff>
    </xdr:from>
    <xdr:to>
      <xdr:col>13</xdr:col>
      <xdr:colOff>981075</xdr:colOff>
      <xdr:row>51</xdr:row>
      <xdr:rowOff>47625</xdr:rowOff>
    </xdr:to>
    <xdr:graphicFrame macro="">
      <xdr:nvGraphicFramePr>
        <xdr:cNvPr id="25211688" name="Chart 1">
          <a:extLst>
            <a:ext uri="{FF2B5EF4-FFF2-40B4-BE49-F238E27FC236}">
              <a16:creationId xmlns:a16="http://schemas.microsoft.com/office/drawing/2014/main" id="{7516889A-4257-4E53-8120-3CE05ACFFB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38100</xdr:colOff>
      <xdr:row>28</xdr:row>
      <xdr:rowOff>9525</xdr:rowOff>
    </xdr:from>
    <xdr:to>
      <xdr:col>6</xdr:col>
      <xdr:colOff>238125</xdr:colOff>
      <xdr:row>51</xdr:row>
      <xdr:rowOff>76200</xdr:rowOff>
    </xdr:to>
    <xdr:graphicFrame macro="">
      <xdr:nvGraphicFramePr>
        <xdr:cNvPr id="25211689" name="Chart 2">
          <a:extLst>
            <a:ext uri="{FF2B5EF4-FFF2-40B4-BE49-F238E27FC236}">
              <a16:creationId xmlns:a16="http://schemas.microsoft.com/office/drawing/2014/main" id="{CBB0A70C-0261-420A-90F3-867DF3E1F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590550</xdr:colOff>
      <xdr:row>28</xdr:row>
      <xdr:rowOff>28575</xdr:rowOff>
    </xdr:from>
    <xdr:to>
      <xdr:col>13</xdr:col>
      <xdr:colOff>1114425</xdr:colOff>
      <xdr:row>52</xdr:row>
      <xdr:rowOff>28575</xdr:rowOff>
    </xdr:to>
    <xdr:graphicFrame macro="">
      <xdr:nvGraphicFramePr>
        <xdr:cNvPr id="25214760" name="Chart 1">
          <a:extLst>
            <a:ext uri="{FF2B5EF4-FFF2-40B4-BE49-F238E27FC236}">
              <a16:creationId xmlns:a16="http://schemas.microsoft.com/office/drawing/2014/main" id="{1C6973F1-40B1-411E-A45A-B64EBAE496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495300</xdr:colOff>
      <xdr:row>28</xdr:row>
      <xdr:rowOff>9525</xdr:rowOff>
    </xdr:from>
    <xdr:to>
      <xdr:col>7</xdr:col>
      <xdr:colOff>66675</xdr:colOff>
      <xdr:row>52</xdr:row>
      <xdr:rowOff>47625</xdr:rowOff>
    </xdr:to>
    <xdr:graphicFrame macro="">
      <xdr:nvGraphicFramePr>
        <xdr:cNvPr id="25214761" name="Chart 2">
          <a:extLst>
            <a:ext uri="{FF2B5EF4-FFF2-40B4-BE49-F238E27FC236}">
              <a16:creationId xmlns:a16="http://schemas.microsoft.com/office/drawing/2014/main" id="{BE8EF027-8720-4CA1-90E1-26973AACDD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</sheetPr>
  <dimension ref="A1:M40"/>
  <sheetViews>
    <sheetView tabSelected="1" workbookViewId="0">
      <selection activeCell="Q33" sqref="Q33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5" width="12.5703125" style="137" customWidth="1"/>
    <col min="6" max="6" width="12.5703125" style="47" customWidth="1"/>
    <col min="7" max="10" width="8.85546875" style="47" customWidth="1"/>
    <col min="11" max="12" width="8.85546875" style="137" customWidth="1"/>
    <col min="13" max="13" width="0" hidden="1" customWidth="1"/>
  </cols>
  <sheetData>
    <row r="1" spans="1:13" s="100" customFormat="1" ht="7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5" t="s">
        <v>4</v>
      </c>
      <c r="F1" s="142" t="s">
        <v>5</v>
      </c>
      <c r="G1" s="142" t="s">
        <v>6</v>
      </c>
      <c r="H1" s="142" t="s">
        <v>7</v>
      </c>
      <c r="I1" s="142" t="s">
        <v>8</v>
      </c>
      <c r="J1" s="142" t="s">
        <v>9</v>
      </c>
      <c r="K1" s="145" t="s">
        <v>10</v>
      </c>
      <c r="L1" s="145" t="s">
        <v>11</v>
      </c>
      <c r="M1" s="132" t="s">
        <v>12</v>
      </c>
    </row>
    <row r="2" spans="1:13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submetering!E2+submetering!F2+submetering!G2</f>
        <v>16504</v>
      </c>
      <c r="F2" s="134">
        <v>1.05</v>
      </c>
      <c r="G2" s="134">
        <f>'Consommation mensuel énergie'!V10</f>
        <v>479.98815000000002</v>
      </c>
      <c r="H2" s="134">
        <v>12.24</v>
      </c>
      <c r="I2" s="134">
        <f>'Consommation mensuel énergie'!F10</f>
        <v>120.29999999998836</v>
      </c>
      <c r="J2" s="134">
        <v>11.4</v>
      </c>
      <c r="K2" s="137">
        <f>'Consommation mensuel énergie'!D10</f>
        <v>136</v>
      </c>
      <c r="L2" s="137">
        <f>'Consommation mensuel énergie'!E10</f>
        <v>210</v>
      </c>
      <c r="M2" s="133" t="e">
        <f>E2*F2+G2*H2+#REF!*#REF!+I2*J2</f>
        <v>#REF!</v>
      </c>
    </row>
    <row r="3" spans="1:13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submetering!E3+submetering!F3+submetering!G3</f>
        <v>19366</v>
      </c>
      <c r="F3" s="134">
        <v>1.05</v>
      </c>
      <c r="G3" s="134">
        <f>'Consommation mensuel énergie'!V11</f>
        <v>447.98894000000001</v>
      </c>
      <c r="H3" s="134">
        <v>12.24</v>
      </c>
      <c r="I3" s="134">
        <f>'Consommation mensuel énergie'!F11</f>
        <v>139</v>
      </c>
      <c r="J3" s="134">
        <v>11.4</v>
      </c>
      <c r="K3" s="137">
        <f>'Consommation mensuel énergie'!D11</f>
        <v>154</v>
      </c>
      <c r="L3" s="137">
        <f>'Consommation mensuel énergie'!E11</f>
        <v>221</v>
      </c>
      <c r="M3" s="133" t="e">
        <f>E3*F3+G3*H3+#REF!*#REF!+I3*J3</f>
        <v>#REF!</v>
      </c>
    </row>
    <row r="4" spans="1:13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submetering!E4+submetering!F4+submetering!G4</f>
        <v>16410</v>
      </c>
      <c r="F4" s="134">
        <v>1.05</v>
      </c>
      <c r="G4" s="134">
        <f>'Consommation mensuel énergie'!V12</f>
        <v>383.99052</v>
      </c>
      <c r="H4" s="134">
        <v>12.24</v>
      </c>
      <c r="I4" s="134">
        <f>'Consommation mensuel énergie'!F12</f>
        <v>134</v>
      </c>
      <c r="J4" s="134">
        <v>11.4</v>
      </c>
      <c r="K4" s="137">
        <f>'Consommation mensuel énergie'!D12</f>
        <v>147</v>
      </c>
      <c r="L4" s="137">
        <f>'Consommation mensuel énergie'!E12</f>
        <v>178</v>
      </c>
      <c r="M4" s="133" t="e">
        <f>E4*F4+G4*H4+#REF!*#REF!+I4*J4</f>
        <v>#REF!</v>
      </c>
    </row>
    <row r="5" spans="1:13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submetering!E5+submetering!F5+submetering!G5</f>
        <v>19444</v>
      </c>
      <c r="F5" s="134">
        <v>1.05</v>
      </c>
      <c r="G5" s="134">
        <f>'Consommation mensuel énergie'!V13</f>
        <v>383.99052</v>
      </c>
      <c r="H5" s="134">
        <v>12.24</v>
      </c>
      <c r="I5" s="134">
        <f>'Consommation mensuel énergie'!F13</f>
        <v>136.5</v>
      </c>
      <c r="J5" s="134">
        <v>11.4</v>
      </c>
      <c r="K5" s="137">
        <f>'Consommation mensuel énergie'!D13</f>
        <v>146</v>
      </c>
      <c r="L5" s="137">
        <f>'Consommation mensuel énergie'!E13</f>
        <v>188</v>
      </c>
      <c r="M5" s="133" t="e">
        <f>E5*F5+G5*H5+#REF!*#REF!+I5*J5</f>
        <v>#REF!</v>
      </c>
    </row>
    <row r="6" spans="1:13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submetering!E6+submetering!F6+submetering!G6</f>
        <v>20417</v>
      </c>
      <c r="F6" s="134">
        <v>1.05</v>
      </c>
      <c r="G6" s="134">
        <f>'Consommation mensuel énergie'!V14</f>
        <v>383.99052</v>
      </c>
      <c r="H6" s="134">
        <v>12.24</v>
      </c>
      <c r="I6" s="134">
        <f>'Consommation mensuel énergie'!F14</f>
        <v>143.29999999998836</v>
      </c>
      <c r="J6" s="134">
        <v>11.4</v>
      </c>
      <c r="K6" s="137">
        <f>'Consommation mensuel énergie'!D14</f>
        <v>133</v>
      </c>
      <c r="L6" s="137">
        <f>'Consommation mensuel énergie'!E14</f>
        <v>185</v>
      </c>
      <c r="M6" s="133" t="e">
        <f>E6*F6+G6*H6+#REF!*#REF!+I6*J6</f>
        <v>#REF!</v>
      </c>
    </row>
    <row r="7" spans="1:13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submetering!E7+submetering!F7+submetering!G7</f>
        <v>20272</v>
      </c>
      <c r="F7" s="134">
        <v>1.05</v>
      </c>
      <c r="G7" s="134">
        <f>'Consommation mensuel énergie'!V15</f>
        <v>255.99368000000001</v>
      </c>
      <c r="H7" s="134">
        <v>12.24</v>
      </c>
      <c r="I7" s="134">
        <f>'Consommation mensuel énergie'!F15</f>
        <v>146.60000000000582</v>
      </c>
      <c r="J7" s="134">
        <v>11.4</v>
      </c>
      <c r="K7" s="137">
        <f>'Consommation mensuel énergie'!D15</f>
        <v>125</v>
      </c>
      <c r="L7" s="137">
        <f>'Consommation mensuel énergie'!E15</f>
        <v>183</v>
      </c>
      <c r="M7" s="133" t="e">
        <f>E7*F7+G7*H7+#REF!*#REF!+I7*J7</f>
        <v>#REF!</v>
      </c>
    </row>
    <row r="8" spans="1:13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submetering!E8+submetering!F8+submetering!G8</f>
        <v>18147</v>
      </c>
      <c r="F8" s="134">
        <v>1.05</v>
      </c>
      <c r="G8" s="134">
        <f>'Consommation mensuel énergie'!V16</f>
        <v>415.98973000000001</v>
      </c>
      <c r="H8" s="134">
        <v>12.24</v>
      </c>
      <c r="I8" s="134">
        <f>'Consommation mensuel énergie'!F16</f>
        <v>149.60000000000582</v>
      </c>
      <c r="J8" s="134">
        <v>11.4</v>
      </c>
      <c r="K8" s="137">
        <f>'Consommation mensuel énergie'!D16</f>
        <v>103</v>
      </c>
      <c r="L8" s="137">
        <f>'Consommation mensuel énergie'!E16</f>
        <v>178</v>
      </c>
      <c r="M8" s="133" t="e">
        <f>E8*F8+G8*H8+#REF!*#REF!+I8*J8</f>
        <v>#REF!</v>
      </c>
    </row>
    <row r="9" spans="1:13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submetering!E9+submetering!F9+submetering!G9</f>
        <v>15995</v>
      </c>
      <c r="F9" s="134">
        <v>1.05</v>
      </c>
      <c r="G9" s="134">
        <f>'Consommation mensuel énergie'!V17</f>
        <v>351.99131</v>
      </c>
      <c r="H9" s="134">
        <v>12.24</v>
      </c>
      <c r="I9" s="134">
        <f>'Consommation mensuel énergie'!F17</f>
        <v>131</v>
      </c>
      <c r="J9" s="134">
        <v>11.4</v>
      </c>
      <c r="K9" s="137">
        <f>'Consommation mensuel énergie'!D17</f>
        <v>113</v>
      </c>
      <c r="L9" s="137">
        <f>'Consommation mensuel énergie'!E17</f>
        <v>199</v>
      </c>
      <c r="M9" s="133" t="e">
        <f>E9*F9+G9*H9+#REF!*#REF!+I9*J9</f>
        <v>#REF!</v>
      </c>
    </row>
    <row r="10" spans="1:13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submetering!E10+submetering!F10+submetering!G10</f>
        <v>16684</v>
      </c>
      <c r="F10" s="134">
        <v>1.05</v>
      </c>
      <c r="G10" s="134">
        <f>'Consommation mensuel énergie'!V18</f>
        <v>351.99131</v>
      </c>
      <c r="H10" s="134">
        <v>12.24</v>
      </c>
      <c r="I10" s="134">
        <f>'Consommation mensuel énergie'!F18</f>
        <v>124</v>
      </c>
      <c r="J10" s="134">
        <v>11.4</v>
      </c>
      <c r="K10" s="137">
        <f>'Consommation mensuel énergie'!D18</f>
        <v>105</v>
      </c>
      <c r="L10" s="137">
        <f>'Consommation mensuel énergie'!E18</f>
        <v>184</v>
      </c>
      <c r="M10" s="133" t="e">
        <f>E10*F10+G10*H10+#REF!*#REF!+I10*J10</f>
        <v>#REF!</v>
      </c>
    </row>
    <row r="11" spans="1:13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submetering!E11+submetering!F11+submetering!G11</f>
        <v>16781</v>
      </c>
      <c r="F11" s="134">
        <v>1.05</v>
      </c>
      <c r="G11" s="134">
        <f>'Consommation mensuel énergie'!V19</f>
        <v>415.98973000000001</v>
      </c>
      <c r="H11" s="134">
        <v>12.24</v>
      </c>
      <c r="I11" s="134">
        <f>'Consommation mensuel énergie'!F19</f>
        <v>126</v>
      </c>
      <c r="J11" s="134">
        <v>11.4</v>
      </c>
      <c r="K11" s="137">
        <f>'Consommation mensuel énergie'!D19</f>
        <v>131</v>
      </c>
      <c r="L11" s="137">
        <f>'Consommation mensuel énergie'!E19</f>
        <v>208</v>
      </c>
      <c r="M11" s="133" t="e">
        <f>E11*F11+G11*H11+#REF!*#REF!+I11*J11</f>
        <v>#REF!</v>
      </c>
    </row>
    <row r="12" spans="1:13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submetering!E12+submetering!F12+submetering!G12</f>
        <v>15959</v>
      </c>
      <c r="F12" s="134">
        <v>1.05</v>
      </c>
      <c r="G12" s="134">
        <f>'Consommation mensuel énergie'!V20</f>
        <v>223.99447000000001</v>
      </c>
      <c r="H12" s="134">
        <v>12.24</v>
      </c>
      <c r="I12" s="134">
        <f>'Consommation mensuel énergie'!F20</f>
        <v>123</v>
      </c>
      <c r="J12" s="134">
        <v>11.4</v>
      </c>
      <c r="K12" s="137">
        <f>'Consommation mensuel énergie'!D20</f>
        <v>130</v>
      </c>
      <c r="L12" s="137">
        <f>'Consommation mensuel énergie'!E20</f>
        <v>189</v>
      </c>
      <c r="M12" s="133" t="e">
        <f>E12*F12+G12*H12+#REF!*#REF!+I12*J12</f>
        <v>#REF!</v>
      </c>
    </row>
    <row r="13" spans="1:13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submetering!E13+submetering!F13+submetering!G13</f>
        <v>16811</v>
      </c>
      <c r="F13" s="134">
        <v>1.05</v>
      </c>
      <c r="G13" s="134">
        <f>'Consommation mensuel énergie'!V21</f>
        <v>223.99447000000001</v>
      </c>
      <c r="H13" s="134">
        <v>12.24</v>
      </c>
      <c r="I13" s="134">
        <f>'Consommation mensuel énergie'!F21</f>
        <v>153.5</v>
      </c>
      <c r="J13" s="134">
        <v>11.4</v>
      </c>
      <c r="K13" s="137">
        <f>'Consommation mensuel énergie'!D21</f>
        <v>143</v>
      </c>
      <c r="L13" s="137">
        <f>'Consommation mensuel énergie'!E21</f>
        <v>210</v>
      </c>
      <c r="M13" s="133" t="e">
        <f>E13*F13+G13*H13+#REF!*#REF!+I13*J13</f>
        <v>#REF!</v>
      </c>
    </row>
    <row r="14" spans="1:13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submetering!E14+submetering!F14+submetering!G14</f>
        <v>18069</v>
      </c>
      <c r="F14" s="134">
        <v>1.05</v>
      </c>
      <c r="G14" s="134">
        <f>'Consommation mensuel énergie'!V22</f>
        <v>255.99368000000001</v>
      </c>
      <c r="H14" s="134">
        <v>12.24</v>
      </c>
      <c r="I14" s="134">
        <f>'Consommation mensuel énergie'!F22</f>
        <v>132.20000000001164</v>
      </c>
      <c r="J14" s="134">
        <v>11.4</v>
      </c>
      <c r="K14" s="137">
        <f>'Consommation mensuel énergie'!D22</f>
        <v>122</v>
      </c>
      <c r="L14" s="137">
        <f>'Consommation mensuel énergie'!E22</f>
        <v>174</v>
      </c>
      <c r="M14" s="133" t="e">
        <f>E14*F14+G14*H14+#REF!*#REF!+I14*J14</f>
        <v>#REF!</v>
      </c>
    </row>
    <row r="15" spans="1:13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submetering!E15+submetering!F15+submetering!G15</f>
        <v>17387</v>
      </c>
      <c r="F15" s="134">
        <v>1.05</v>
      </c>
      <c r="G15" s="134">
        <f>'Consommation mensuel énergie'!V23</f>
        <v>447.98894000000001</v>
      </c>
      <c r="H15" s="134">
        <v>12.24</v>
      </c>
      <c r="I15" s="134">
        <f>'Consommation mensuel énergie'!F23</f>
        <v>131.29999999998836</v>
      </c>
      <c r="J15" s="134">
        <v>11.4</v>
      </c>
      <c r="K15" s="137">
        <f>'Consommation mensuel énergie'!D23</f>
        <v>129</v>
      </c>
      <c r="L15" s="137">
        <f>'Consommation mensuel énergie'!E23</f>
        <v>212</v>
      </c>
      <c r="M15" s="133" t="e">
        <f>E15*F15+G15*H15+#REF!*#REF!+I15*J15</f>
        <v>#REF!</v>
      </c>
    </row>
    <row r="16" spans="1:13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submetering!E16+submetering!F16+submetering!G16</f>
        <v>17093</v>
      </c>
      <c r="F16" s="134">
        <v>1.05</v>
      </c>
      <c r="G16" s="134">
        <f>'Consommation mensuel énergie'!V24</f>
        <v>383.99052</v>
      </c>
      <c r="H16" s="134">
        <v>12.24</v>
      </c>
      <c r="I16" s="134">
        <f>'Consommation mensuel énergie'!F24</f>
        <v>147</v>
      </c>
      <c r="J16" s="134">
        <v>11.4</v>
      </c>
      <c r="K16" s="137">
        <f>'Consommation mensuel énergie'!D24</f>
        <v>125</v>
      </c>
      <c r="L16" s="137">
        <f>'Consommation mensuel énergie'!E24</f>
        <v>222</v>
      </c>
      <c r="M16" s="133" t="e">
        <f>E16*F16+G16*H16+#REF!*#REF!+I16*J16</f>
        <v>#REF!</v>
      </c>
    </row>
    <row r="17" spans="1:13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submetering!E17+submetering!F17+submetering!G17</f>
        <v>19270</v>
      </c>
      <c r="F17" s="134">
        <v>1.05</v>
      </c>
      <c r="G17" s="134">
        <f>'Consommation mensuel énergie'!V25</f>
        <v>287.99288999999999</v>
      </c>
      <c r="H17" s="134">
        <v>12.24</v>
      </c>
      <c r="I17" s="134">
        <f>'Consommation mensuel énergie'!F25</f>
        <v>145</v>
      </c>
      <c r="J17" s="134">
        <v>11.4</v>
      </c>
      <c r="K17" s="137">
        <f>'Consommation mensuel énergie'!D25</f>
        <v>113</v>
      </c>
      <c r="L17" s="137">
        <f>'Consommation mensuel énergie'!E25</f>
        <v>192</v>
      </c>
      <c r="M17" s="133" t="e">
        <f>E17*F17+G17*H17+#REF!*#REF!+I17*J17</f>
        <v>#REF!</v>
      </c>
    </row>
    <row r="18" spans="1:13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submetering!E18+submetering!F18+submetering!G18</f>
        <v>16665</v>
      </c>
      <c r="F18" s="134">
        <v>1.05</v>
      </c>
      <c r="G18" s="134">
        <f>'Consommation mensuel énergie'!V26</f>
        <v>255.99368000000001</v>
      </c>
      <c r="H18" s="134">
        <v>12.24</v>
      </c>
      <c r="I18" s="134">
        <f>'Consommation mensuel énergie'!F26</f>
        <v>136</v>
      </c>
      <c r="J18" s="134">
        <v>11.4</v>
      </c>
      <c r="K18" s="137">
        <f>'Consommation mensuel énergie'!D26</f>
        <v>153</v>
      </c>
      <c r="L18" s="137">
        <f>'Consommation mensuel énergie'!E26</f>
        <v>239</v>
      </c>
      <c r="M18" s="133" t="e">
        <f>E18*F18+G18*H18+#REF!*#REF!+I18*J18</f>
        <v>#REF!</v>
      </c>
    </row>
    <row r="19" spans="1:13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submetering!E19+submetering!F19+submetering!G19</f>
        <v>17334</v>
      </c>
      <c r="F19" s="134">
        <v>1.05</v>
      </c>
      <c r="G19" s="134">
        <f>'Consommation mensuel énergie'!V27</f>
        <v>511.98736000000002</v>
      </c>
      <c r="H19" s="134">
        <v>12.24</v>
      </c>
      <c r="I19" s="134">
        <f>'Consommation mensuel énergie'!F27</f>
        <v>132</v>
      </c>
      <c r="J19" s="134">
        <v>11.4</v>
      </c>
      <c r="K19" s="137">
        <f>'Consommation mensuel énergie'!D27</f>
        <v>158</v>
      </c>
      <c r="L19" s="137">
        <f>'Consommation mensuel énergie'!E27</f>
        <v>235</v>
      </c>
      <c r="M19" s="133" t="e">
        <f>E19*F19+G19*H19+#REF!*#REF!+I19*J19</f>
        <v>#REF!</v>
      </c>
    </row>
    <row r="20" spans="1:13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submetering!E20+submetering!F20+submetering!G20</f>
        <v>17801</v>
      </c>
      <c r="F20" s="134">
        <v>1.05</v>
      </c>
      <c r="G20" s="134">
        <f>'Consommation mensuel énergie'!V28</f>
        <v>415.98973000000001</v>
      </c>
      <c r="H20" s="134">
        <v>12.24</v>
      </c>
      <c r="I20" s="134">
        <f>'Consommation mensuel énergie'!F28</f>
        <v>200.39999999999418</v>
      </c>
      <c r="J20" s="134">
        <v>11.4</v>
      </c>
      <c r="K20" s="137">
        <f>'Consommation mensuel énergie'!D28</f>
        <v>159</v>
      </c>
      <c r="L20" s="137">
        <f>'Consommation mensuel énergie'!E28</f>
        <v>229</v>
      </c>
      <c r="M20" s="133" t="e">
        <f>E20*F20+G20*H20+#REF!*#REF!+I20*J20</f>
        <v>#REF!</v>
      </c>
    </row>
    <row r="21" spans="1:13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submetering!E21+submetering!F21+submetering!G21</f>
        <v>19465</v>
      </c>
      <c r="F21" s="134">
        <v>1.05</v>
      </c>
      <c r="G21" s="134">
        <f>'Consommation mensuel énergie'!V29</f>
        <v>479.98815000000002</v>
      </c>
      <c r="H21" s="134">
        <v>12.24</v>
      </c>
      <c r="I21" s="134">
        <f>'Consommation mensuel énergie'!F29</f>
        <v>145.39999999999418</v>
      </c>
      <c r="J21" s="134">
        <v>11.4</v>
      </c>
      <c r="K21" s="137">
        <f>'Consommation mensuel énergie'!D29</f>
        <v>166</v>
      </c>
      <c r="L21" s="137">
        <f>'Consommation mensuel énergie'!E29</f>
        <v>260</v>
      </c>
      <c r="M21" s="133" t="e">
        <f>E21*F21+G21*H21+#REF!*#REF!+I21*J21</f>
        <v>#REF!</v>
      </c>
    </row>
    <row r="22" spans="1:13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submetering!E22+submetering!F22+submetering!G22</f>
        <v>18042</v>
      </c>
      <c r="F22" s="134">
        <v>1.05</v>
      </c>
      <c r="G22" s="134">
        <f>'Consommation mensuel énergie'!V30</f>
        <v>223.99447000000001</v>
      </c>
      <c r="H22" s="134">
        <v>12.24</v>
      </c>
      <c r="I22" s="134">
        <f>'Consommation mensuel énergie'!F30</f>
        <v>141.20000000001164</v>
      </c>
      <c r="J22" s="134">
        <v>11.4</v>
      </c>
      <c r="K22" s="137">
        <f>'Consommation mensuel énergie'!D30</f>
        <v>143</v>
      </c>
      <c r="L22" s="137">
        <f>'Consommation mensuel énergie'!E30</f>
        <v>233</v>
      </c>
      <c r="M22" s="133" t="e">
        <f>E22*F22+G22*H22+#REF!*#REF!+I22*J22</f>
        <v>#REF!</v>
      </c>
    </row>
    <row r="23" spans="1:13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submetering!E23+submetering!F23+submetering!G23</f>
        <v>16127</v>
      </c>
      <c r="F23" s="134">
        <v>1.05</v>
      </c>
      <c r="G23" s="134">
        <f>'Consommation mensuel énergie'!V31</f>
        <v>351.99131</v>
      </c>
      <c r="H23" s="134">
        <v>12.24</v>
      </c>
      <c r="I23" s="134">
        <f>'Consommation mensuel énergie'!F31</f>
        <v>139</v>
      </c>
      <c r="J23" s="134">
        <v>11.4</v>
      </c>
      <c r="K23" s="137">
        <f>'Consommation mensuel énergie'!D31</f>
        <v>147</v>
      </c>
      <c r="L23" s="137">
        <f>'Consommation mensuel énergie'!E31</f>
        <v>253</v>
      </c>
      <c r="M23" s="133" t="e">
        <f>E23*F23+G23*H23+#REF!*#REF!+I23*J23</f>
        <v>#REF!</v>
      </c>
    </row>
    <row r="24" spans="1:13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submetering!E24+submetering!F24+submetering!G24</f>
        <v>17316</v>
      </c>
      <c r="F24" s="134">
        <v>1.05</v>
      </c>
      <c r="G24" s="134">
        <f>'Consommation mensuel énergie'!V32</f>
        <v>319.99209999999999</v>
      </c>
      <c r="H24" s="134">
        <v>12.24</v>
      </c>
      <c r="I24" s="134">
        <f>'Consommation mensuel énergie'!F32</f>
        <v>140</v>
      </c>
      <c r="J24" s="134">
        <v>11.4</v>
      </c>
      <c r="K24" s="137">
        <f>'Consommation mensuel énergie'!D32</f>
        <v>133</v>
      </c>
      <c r="L24" s="137">
        <f>'Consommation mensuel énergie'!E32</f>
        <v>216</v>
      </c>
      <c r="M24" s="133" t="e">
        <f>E24*F24+G24*H24+#REF!*#REF!+I24*J24</f>
        <v>#REF!</v>
      </c>
    </row>
    <row r="25" spans="1:13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submetering!E25+submetering!F25+submetering!G25</f>
        <v>16285</v>
      </c>
      <c r="F25" s="134">
        <v>1.05</v>
      </c>
      <c r="G25" s="134">
        <f>'Consommation mensuel énergie'!V33</f>
        <v>863.97867000000008</v>
      </c>
      <c r="H25" s="134">
        <v>12.24</v>
      </c>
      <c r="I25" s="134">
        <f>'Consommation mensuel énergie'!F33</f>
        <v>138</v>
      </c>
      <c r="J25" s="134">
        <v>11.4</v>
      </c>
      <c r="K25" s="137">
        <f>'Consommation mensuel énergie'!D33</f>
        <v>152</v>
      </c>
      <c r="L25" s="137">
        <f>'Consommation mensuel énergie'!E33</f>
        <v>229</v>
      </c>
      <c r="M25" s="133" t="e">
        <f>E25*F25+G25*H25+#REF!*#REF!+I25*J25</f>
        <v>#REF!</v>
      </c>
    </row>
    <row r="26" spans="1:13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submetering!E26+submetering!F26+submetering!G26</f>
        <v>15861</v>
      </c>
      <c r="F26" s="134">
        <v>1.05</v>
      </c>
      <c r="G26" s="134">
        <f>'Consommation mensuel énergie'!V34</f>
        <v>319.99209999999999</v>
      </c>
      <c r="H26" s="134">
        <v>12.24</v>
      </c>
      <c r="I26" s="134">
        <f>'Consommation mensuel énergie'!F34</f>
        <v>184.10000000000582</v>
      </c>
      <c r="J26" s="134">
        <v>11.4</v>
      </c>
      <c r="K26" s="137">
        <f>'Consommation mensuel énergie'!D34</f>
        <v>116</v>
      </c>
      <c r="L26" s="137">
        <f>'Consommation mensuel énergie'!E34</f>
        <v>173</v>
      </c>
      <c r="M26" s="133" t="e">
        <f>E26*F26+G26*H26+#REF!*#REF!+I26*J26</f>
        <v>#REF!</v>
      </c>
    </row>
    <row r="27" spans="1:13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submetering!E27+submetering!F27+submetering!G27</f>
        <v>16245</v>
      </c>
      <c r="F27" s="134">
        <v>1.05</v>
      </c>
      <c r="G27" s="134">
        <f>'Consommation mensuel énergie'!V35</f>
        <v>319.99209999999999</v>
      </c>
      <c r="H27" s="134">
        <v>12.24</v>
      </c>
      <c r="I27" s="134">
        <f>'Consommation mensuel énergie'!F35</f>
        <v>103.89999999999418</v>
      </c>
      <c r="J27" s="134">
        <v>11.4</v>
      </c>
      <c r="K27" s="137">
        <f>'Consommation mensuel énergie'!D35</f>
        <v>139</v>
      </c>
      <c r="L27" s="137">
        <f>'Consommation mensuel énergie'!E35</f>
        <v>201</v>
      </c>
      <c r="M27" s="133"/>
    </row>
    <row r="28" spans="1:13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submetering!E28+submetering!F28+submetering!G28</f>
        <v>16068</v>
      </c>
      <c r="F28" s="134">
        <v>1.05</v>
      </c>
      <c r="G28" s="134">
        <f>'Consommation mensuel énergie'!V36</f>
        <v>319.99209999999999</v>
      </c>
      <c r="H28" s="134">
        <v>12.24</v>
      </c>
      <c r="I28" s="134">
        <f>'Consommation mensuel énergie'!F36</f>
        <v>137</v>
      </c>
      <c r="J28" s="134">
        <v>11.4</v>
      </c>
      <c r="K28" s="137">
        <f>'Consommation mensuel énergie'!D36</f>
        <v>142</v>
      </c>
      <c r="L28" s="137">
        <f>'Consommation mensuel énergie'!E36</f>
        <v>212</v>
      </c>
      <c r="M28" s="133"/>
    </row>
    <row r="29" spans="1:13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submetering!E29+submetering!F29+submetering!G29</f>
        <v>16552</v>
      </c>
      <c r="F29" s="134">
        <v>1.05</v>
      </c>
      <c r="G29" s="134">
        <f>'Consommation mensuel énergie'!V37</f>
        <v>511.98736000000002</v>
      </c>
      <c r="H29" s="134">
        <v>12.24</v>
      </c>
      <c r="I29" s="134">
        <f>'Consommation mensuel énergie'!F37</f>
        <v>151.89999999999418</v>
      </c>
      <c r="J29" s="134">
        <v>11.4</v>
      </c>
      <c r="K29" s="137">
        <f>'Consommation mensuel énergie'!D37</f>
        <v>113</v>
      </c>
      <c r="L29" s="137">
        <f>'Consommation mensuel énergie'!E37</f>
        <v>191</v>
      </c>
      <c r="M29" s="133"/>
    </row>
    <row r="30" spans="1:13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submetering!E30+submetering!F30+submetering!G30</f>
        <v>16949</v>
      </c>
      <c r="F30" s="134">
        <v>1.05</v>
      </c>
      <c r="G30" s="134">
        <f>'Consommation mensuel énergie'!V38</f>
        <v>127.99684000000001</v>
      </c>
      <c r="H30" s="134">
        <v>12.24</v>
      </c>
      <c r="I30" s="134">
        <f>'Consommation mensuel énergie'!F38</f>
        <v>165.60000000000582</v>
      </c>
      <c r="J30" s="134">
        <v>11.4</v>
      </c>
      <c r="K30" s="137">
        <f>'Consommation mensuel énergie'!D38</f>
        <v>153</v>
      </c>
      <c r="L30" s="137">
        <f>'Consommation mensuel énergie'!E38</f>
        <v>256</v>
      </c>
      <c r="M30" s="133"/>
    </row>
    <row r="31" spans="1:13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submetering!E31+submetering!F31+submetering!G31</f>
        <v>16232</v>
      </c>
      <c r="F31" s="134">
        <v>1.05</v>
      </c>
      <c r="G31" s="134">
        <f>'Consommation mensuel énergie'!V39</f>
        <v>287.99288999999999</v>
      </c>
      <c r="H31" s="134">
        <v>12.24</v>
      </c>
      <c r="I31" s="134">
        <f>'Consommation mensuel énergie'!F39</f>
        <v>151.5</v>
      </c>
      <c r="J31" s="134">
        <v>11.4</v>
      </c>
      <c r="K31" s="137">
        <f>'Consommation mensuel énergie'!D39</f>
        <v>135</v>
      </c>
      <c r="L31" s="137">
        <f>'Consommation mensuel énergie'!E39</f>
        <v>221</v>
      </c>
      <c r="M31" s="133"/>
    </row>
    <row r="32" spans="1:13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submetering!E32+submetering!F32+submetering!G32</f>
        <v>16569</v>
      </c>
      <c r="F32" s="134">
        <v>1.05</v>
      </c>
      <c r="G32" s="134">
        <f>'Consommation mensuel énergie'!V40</f>
        <v>447.98894000000001</v>
      </c>
      <c r="H32" s="134">
        <v>12.24</v>
      </c>
      <c r="I32" s="134">
        <f>'Consommation mensuel énergie'!F40</f>
        <v>159</v>
      </c>
      <c r="J32" s="134">
        <v>11.4</v>
      </c>
      <c r="K32" s="137">
        <f>'Consommation mensuel énergie'!D40</f>
        <v>135</v>
      </c>
      <c r="L32" s="137">
        <f>'Consommation mensuel énergie'!E40</f>
        <v>214</v>
      </c>
      <c r="M32" s="133"/>
    </row>
    <row r="33" spans="1:13" x14ac:dyDescent="0.2">
      <c r="A33" s="136"/>
      <c r="F33" s="134"/>
      <c r="G33" s="134"/>
      <c r="H33" s="134"/>
      <c r="I33" s="134"/>
      <c r="J33" s="134"/>
      <c r="M33" s="133"/>
    </row>
    <row r="34" spans="1:13" x14ac:dyDescent="0.2">
      <c r="F34" s="134"/>
      <c r="G34" s="134"/>
      <c r="H34" s="134"/>
      <c r="I34" s="134"/>
      <c r="J34" s="134"/>
    </row>
    <row r="35" spans="1:13" x14ac:dyDescent="0.2">
      <c r="F35" s="134"/>
      <c r="G35" s="134"/>
      <c r="H35" s="134"/>
      <c r="I35" s="134"/>
      <c r="J35" s="134"/>
    </row>
    <row r="36" spans="1:13" x14ac:dyDescent="0.2">
      <c r="F36" s="134"/>
      <c r="G36" s="134"/>
      <c r="H36" s="134"/>
      <c r="I36" s="134"/>
      <c r="J36" s="134"/>
    </row>
    <row r="37" spans="1:13" x14ac:dyDescent="0.2">
      <c r="F37" s="134"/>
      <c r="G37" s="134"/>
      <c r="H37" s="134"/>
      <c r="I37" s="134"/>
      <c r="J37" s="134"/>
    </row>
    <row r="38" spans="1:13" x14ac:dyDescent="0.2">
      <c r="F38" s="134"/>
      <c r="G38" s="134"/>
      <c r="H38" s="134"/>
      <c r="I38" s="134"/>
      <c r="J38" s="134"/>
    </row>
    <row r="39" spans="1:13" x14ac:dyDescent="0.2">
      <c r="F39" s="134"/>
      <c r="G39" s="134"/>
      <c r="H39" s="134"/>
      <c r="I39" s="134"/>
      <c r="J39" s="134"/>
    </row>
    <row r="40" spans="1:13" x14ac:dyDescent="0.2">
      <c r="F40" s="134"/>
      <c r="G40" s="134"/>
      <c r="H40" s="134"/>
      <c r="I40" s="134"/>
      <c r="J40" s="134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J38"/>
  <sheetViews>
    <sheetView workbookViewId="0">
      <selection activeCell="N37" sqref="N37"/>
    </sheetView>
  </sheetViews>
  <sheetFormatPr baseColWidth="10" defaultColWidth="8.85546875" defaultRowHeight="12.75" x14ac:dyDescent="0.2"/>
  <cols>
    <col min="1" max="1" width="12.42578125" style="47" customWidth="1"/>
    <col min="2" max="3" width="8.85546875" style="140" customWidth="1"/>
    <col min="4" max="4" width="13.42578125" style="141" customWidth="1"/>
    <col min="5" max="6" width="12.5703125" style="47" customWidth="1"/>
    <col min="7" max="7" width="8.85546875" style="47" customWidth="1"/>
    <col min="8" max="9" width="8.85546875" customWidth="1"/>
    <col min="10" max="10" width="0" hidden="1" customWidth="1"/>
  </cols>
  <sheetData>
    <row r="1" spans="1:10" s="100" customFormat="1" ht="45.75" thickBot="1" x14ac:dyDescent="0.3">
      <c r="A1" s="135" t="s">
        <v>0</v>
      </c>
      <c r="B1" s="138" t="s">
        <v>1</v>
      </c>
      <c r="C1" s="138" t="s">
        <v>2</v>
      </c>
      <c r="D1" s="139" t="s">
        <v>3</v>
      </c>
      <c r="E1" s="142" t="s">
        <v>14</v>
      </c>
      <c r="F1" s="142" t="s">
        <v>15</v>
      </c>
      <c r="G1" s="142" t="s">
        <v>16</v>
      </c>
      <c r="H1" s="131" t="s">
        <v>10</v>
      </c>
      <c r="I1" s="131" t="s">
        <v>11</v>
      </c>
      <c r="J1" s="132" t="s">
        <v>12</v>
      </c>
    </row>
    <row r="2" spans="1:10" x14ac:dyDescent="0.2">
      <c r="A2" s="136" t="s">
        <v>13</v>
      </c>
      <c r="B2" s="140">
        <v>1</v>
      </c>
      <c r="C2" s="140">
        <v>10</v>
      </c>
      <c r="D2" s="141">
        <v>2022</v>
      </c>
      <c r="E2" s="137">
        <f>'Consommation mensuel énergie'!L10</f>
        <v>4593</v>
      </c>
      <c r="F2" s="137">
        <f>'Consommation mensuel énergie'!M10</f>
        <v>8275</v>
      </c>
      <c r="G2" s="137">
        <f>'Consommation mensuel énergie'!N10</f>
        <v>3636</v>
      </c>
      <c r="H2" s="137">
        <f>'Consommation mensuel énergie'!D10</f>
        <v>136</v>
      </c>
      <c r="I2" s="137">
        <f>'Consommation mensuel énergie'!E10</f>
        <v>210</v>
      </c>
      <c r="J2" s="133" t="e">
        <f>E2*F2+G2*#REF!+#REF!*#REF!+#REF!*#REF!</f>
        <v>#REF!</v>
      </c>
    </row>
    <row r="3" spans="1:10" x14ac:dyDescent="0.2">
      <c r="A3" s="136" t="s">
        <v>13</v>
      </c>
      <c r="B3" s="140">
        <f>B2+1</f>
        <v>2</v>
      </c>
      <c r="C3" s="140">
        <v>10</v>
      </c>
      <c r="D3" s="141">
        <v>2022</v>
      </c>
      <c r="E3" s="137">
        <f>'Consommation mensuel énergie'!L11</f>
        <v>6635</v>
      </c>
      <c r="F3" s="137">
        <f>'Consommation mensuel énergie'!M11</f>
        <v>8358</v>
      </c>
      <c r="G3" s="137">
        <f>'Consommation mensuel énergie'!N11</f>
        <v>4373</v>
      </c>
      <c r="H3" s="137">
        <f>'Consommation mensuel énergie'!D11</f>
        <v>154</v>
      </c>
      <c r="I3" s="137">
        <f>'Consommation mensuel énergie'!E11</f>
        <v>221</v>
      </c>
      <c r="J3" s="133" t="e">
        <f>E3*F3+G3*#REF!+#REF!*#REF!+#REF!*#REF!</f>
        <v>#REF!</v>
      </c>
    </row>
    <row r="4" spans="1:10" x14ac:dyDescent="0.2">
      <c r="A4" s="136" t="s">
        <v>13</v>
      </c>
      <c r="B4" s="140">
        <f t="shared" ref="B4:B25" si="0">B3+1</f>
        <v>3</v>
      </c>
      <c r="C4" s="140">
        <v>10</v>
      </c>
      <c r="D4" s="141">
        <v>2022</v>
      </c>
      <c r="E4" s="137">
        <f>'Consommation mensuel énergie'!L12</f>
        <v>5388</v>
      </c>
      <c r="F4" s="137">
        <f>'Consommation mensuel énergie'!M12</f>
        <v>7402</v>
      </c>
      <c r="G4" s="137">
        <f>'Consommation mensuel énergie'!N12</f>
        <v>3620</v>
      </c>
      <c r="H4" s="137">
        <f>'Consommation mensuel énergie'!D12</f>
        <v>147</v>
      </c>
      <c r="I4" s="137">
        <f>'Consommation mensuel énergie'!E12</f>
        <v>178</v>
      </c>
      <c r="J4" s="133" t="e">
        <f>E4*F4+G4*#REF!+#REF!*#REF!+#REF!*#REF!</f>
        <v>#REF!</v>
      </c>
    </row>
    <row r="5" spans="1:10" x14ac:dyDescent="0.2">
      <c r="A5" s="136" t="s">
        <v>13</v>
      </c>
      <c r="B5" s="140">
        <f t="shared" si="0"/>
        <v>4</v>
      </c>
      <c r="C5" s="140">
        <v>10</v>
      </c>
      <c r="D5" s="141">
        <v>2022</v>
      </c>
      <c r="E5" s="137">
        <f>'Consommation mensuel énergie'!L13</f>
        <v>5796</v>
      </c>
      <c r="F5" s="137">
        <f>'Consommation mensuel énergie'!M13</f>
        <v>9135</v>
      </c>
      <c r="G5" s="137">
        <f>'Consommation mensuel énergie'!N13</f>
        <v>4513</v>
      </c>
      <c r="H5" s="137">
        <f>'Consommation mensuel énergie'!D13</f>
        <v>146</v>
      </c>
      <c r="I5" s="137">
        <f>'Consommation mensuel énergie'!E13</f>
        <v>188</v>
      </c>
      <c r="J5" s="133" t="e">
        <f>E5*F5+G5*#REF!+#REF!*#REF!+#REF!*#REF!</f>
        <v>#REF!</v>
      </c>
    </row>
    <row r="6" spans="1:10" x14ac:dyDescent="0.2">
      <c r="A6" s="136" t="s">
        <v>13</v>
      </c>
      <c r="B6" s="140">
        <f t="shared" si="0"/>
        <v>5</v>
      </c>
      <c r="C6" s="140">
        <v>10</v>
      </c>
      <c r="D6" s="141">
        <v>2022</v>
      </c>
      <c r="E6" s="137">
        <f>'Consommation mensuel énergie'!L14</f>
        <v>6203</v>
      </c>
      <c r="F6" s="137">
        <f>'Consommation mensuel énergie'!M14</f>
        <v>9572</v>
      </c>
      <c r="G6" s="137">
        <f>'Consommation mensuel énergie'!N14</f>
        <v>4642</v>
      </c>
      <c r="H6" s="137">
        <f>'Consommation mensuel énergie'!D14</f>
        <v>133</v>
      </c>
      <c r="I6" s="137">
        <f>'Consommation mensuel énergie'!E14</f>
        <v>185</v>
      </c>
      <c r="J6" s="133" t="e">
        <f>E6*F6+G6*#REF!+#REF!*#REF!+#REF!*#REF!</f>
        <v>#REF!</v>
      </c>
    </row>
    <row r="7" spans="1:10" x14ac:dyDescent="0.2">
      <c r="A7" s="136" t="s">
        <v>13</v>
      </c>
      <c r="B7" s="140">
        <f t="shared" si="0"/>
        <v>6</v>
      </c>
      <c r="C7" s="140">
        <v>10</v>
      </c>
      <c r="D7" s="141">
        <v>2022</v>
      </c>
      <c r="E7" s="137">
        <f>'Consommation mensuel énergie'!L15</f>
        <v>6296</v>
      </c>
      <c r="F7" s="137">
        <f>'Consommation mensuel énergie'!M15</f>
        <v>9428</v>
      </c>
      <c r="G7" s="137">
        <f>'Consommation mensuel énergie'!N15</f>
        <v>4548</v>
      </c>
      <c r="H7" s="137">
        <f>'Consommation mensuel énergie'!D15</f>
        <v>125</v>
      </c>
      <c r="I7" s="137">
        <f>'Consommation mensuel énergie'!E15</f>
        <v>183</v>
      </c>
      <c r="J7" s="133" t="e">
        <f>E7*F7+G7*#REF!+#REF!*#REF!+#REF!*#REF!</f>
        <v>#REF!</v>
      </c>
    </row>
    <row r="8" spans="1:10" x14ac:dyDescent="0.2">
      <c r="A8" s="136" t="s">
        <v>13</v>
      </c>
      <c r="B8" s="140">
        <f t="shared" si="0"/>
        <v>7</v>
      </c>
      <c r="C8" s="140">
        <v>10</v>
      </c>
      <c r="D8" s="141">
        <v>2022</v>
      </c>
      <c r="E8" s="137">
        <f>'Consommation mensuel énergie'!L16</f>
        <v>5474</v>
      </c>
      <c r="F8" s="137">
        <f>'Consommation mensuel énergie'!M16</f>
        <v>8584</v>
      </c>
      <c r="G8" s="137">
        <f>'Consommation mensuel énergie'!N16</f>
        <v>4089</v>
      </c>
      <c r="H8" s="137">
        <f>'Consommation mensuel énergie'!D16</f>
        <v>103</v>
      </c>
      <c r="I8" s="137">
        <f>'Consommation mensuel énergie'!E16</f>
        <v>178</v>
      </c>
      <c r="J8" s="133" t="e">
        <f>E8*F8+G8*#REF!+#REF!*#REF!+#REF!*#REF!</f>
        <v>#REF!</v>
      </c>
    </row>
    <row r="9" spans="1:10" x14ac:dyDescent="0.2">
      <c r="A9" s="136" t="s">
        <v>13</v>
      </c>
      <c r="B9" s="140">
        <f t="shared" si="0"/>
        <v>8</v>
      </c>
      <c r="C9" s="140">
        <v>10</v>
      </c>
      <c r="D9" s="141">
        <v>2022</v>
      </c>
      <c r="E9" s="137">
        <f>'Consommation mensuel énergie'!L17</f>
        <v>4716</v>
      </c>
      <c r="F9" s="137">
        <f>'Consommation mensuel énergie'!M17</f>
        <v>7698</v>
      </c>
      <c r="G9" s="137">
        <f>'Consommation mensuel énergie'!N17</f>
        <v>3581</v>
      </c>
      <c r="H9" s="137">
        <f>'Consommation mensuel énergie'!D17</f>
        <v>113</v>
      </c>
      <c r="I9" s="137">
        <f>'Consommation mensuel énergie'!E17</f>
        <v>199</v>
      </c>
      <c r="J9" s="133" t="e">
        <f>E9*F9+G9*#REF!+#REF!*#REF!+#REF!*#REF!</f>
        <v>#REF!</v>
      </c>
    </row>
    <row r="10" spans="1:10" x14ac:dyDescent="0.2">
      <c r="A10" s="136" t="s">
        <v>13</v>
      </c>
      <c r="B10" s="140">
        <f t="shared" si="0"/>
        <v>9</v>
      </c>
      <c r="C10" s="140">
        <v>10</v>
      </c>
      <c r="D10" s="141">
        <v>2022</v>
      </c>
      <c r="E10" s="137">
        <f>'Consommation mensuel énergie'!L18</f>
        <v>5068</v>
      </c>
      <c r="F10" s="137">
        <f>'Consommation mensuel énergie'!M18</f>
        <v>7813</v>
      </c>
      <c r="G10" s="137">
        <f>'Consommation mensuel énergie'!N18</f>
        <v>3803</v>
      </c>
      <c r="H10" s="137">
        <f>'Consommation mensuel énergie'!D18</f>
        <v>105</v>
      </c>
      <c r="I10" s="137">
        <f>'Consommation mensuel énergie'!E18</f>
        <v>184</v>
      </c>
      <c r="J10" s="133" t="e">
        <f>E10*F10+G10*#REF!+#REF!*#REF!+#REF!*#REF!</f>
        <v>#REF!</v>
      </c>
    </row>
    <row r="11" spans="1:10" x14ac:dyDescent="0.2">
      <c r="A11" s="136" t="s">
        <v>13</v>
      </c>
      <c r="B11" s="140">
        <f t="shared" si="0"/>
        <v>10</v>
      </c>
      <c r="C11" s="140">
        <v>10</v>
      </c>
      <c r="D11" s="141">
        <v>2022</v>
      </c>
      <c r="E11" s="137">
        <f>'Consommation mensuel énergie'!L19</f>
        <v>5107</v>
      </c>
      <c r="F11" s="137">
        <f>'Consommation mensuel énergie'!M19</f>
        <v>7968</v>
      </c>
      <c r="G11" s="137">
        <f>'Consommation mensuel énergie'!N19</f>
        <v>3706</v>
      </c>
      <c r="H11" s="137">
        <f>'Consommation mensuel énergie'!D19</f>
        <v>131</v>
      </c>
      <c r="I11" s="137">
        <f>'Consommation mensuel énergie'!E19</f>
        <v>208</v>
      </c>
      <c r="J11" s="133" t="e">
        <f>E11*F11+G11*#REF!+#REF!*#REF!+#REF!*#REF!</f>
        <v>#REF!</v>
      </c>
    </row>
    <row r="12" spans="1:10" x14ac:dyDescent="0.2">
      <c r="A12" s="136" t="s">
        <v>13</v>
      </c>
      <c r="B12" s="140">
        <f t="shared" si="0"/>
        <v>11</v>
      </c>
      <c r="C12" s="140">
        <v>10</v>
      </c>
      <c r="D12" s="141">
        <v>2022</v>
      </c>
      <c r="E12" s="137">
        <f>'Consommation mensuel énergie'!L20</f>
        <v>5060</v>
      </c>
      <c r="F12" s="137">
        <f>'Consommation mensuel énergie'!M20</f>
        <v>7583</v>
      </c>
      <c r="G12" s="137">
        <f>'Consommation mensuel énergie'!N20</f>
        <v>3316</v>
      </c>
      <c r="H12" s="137">
        <f>'Consommation mensuel énergie'!D20</f>
        <v>130</v>
      </c>
      <c r="I12" s="137">
        <f>'Consommation mensuel énergie'!E20</f>
        <v>189</v>
      </c>
      <c r="J12" s="133" t="e">
        <f>E12*F12+G12*#REF!+#REF!*#REF!+#REF!*#REF!</f>
        <v>#REF!</v>
      </c>
    </row>
    <row r="13" spans="1:10" x14ac:dyDescent="0.2">
      <c r="A13" s="136" t="s">
        <v>13</v>
      </c>
      <c r="B13" s="140">
        <f t="shared" si="0"/>
        <v>12</v>
      </c>
      <c r="C13" s="140">
        <v>10</v>
      </c>
      <c r="D13" s="141">
        <v>2022</v>
      </c>
      <c r="E13" s="137">
        <f>'Consommation mensuel énergie'!L21</f>
        <v>5580</v>
      </c>
      <c r="F13" s="137">
        <f>'Consommation mensuel énergie'!M21</f>
        <v>7563</v>
      </c>
      <c r="G13" s="137">
        <f>'Consommation mensuel énergie'!N21</f>
        <v>3668</v>
      </c>
      <c r="H13" s="137">
        <f>'Consommation mensuel énergie'!D21</f>
        <v>143</v>
      </c>
      <c r="I13" s="137">
        <f>'Consommation mensuel énergie'!E21</f>
        <v>210</v>
      </c>
      <c r="J13" s="133" t="e">
        <f>E13*F13+G13*#REF!+#REF!*#REF!+#REF!*#REF!</f>
        <v>#REF!</v>
      </c>
    </row>
    <row r="14" spans="1:10" x14ac:dyDescent="0.2">
      <c r="A14" s="136" t="s">
        <v>13</v>
      </c>
      <c r="B14" s="140">
        <f t="shared" si="0"/>
        <v>13</v>
      </c>
      <c r="C14" s="140">
        <v>10</v>
      </c>
      <c r="D14" s="141">
        <v>2022</v>
      </c>
      <c r="E14" s="137">
        <f>'Consommation mensuel énergie'!L22</f>
        <v>5981</v>
      </c>
      <c r="F14" s="137">
        <f>'Consommation mensuel énergie'!M22</f>
        <v>8066</v>
      </c>
      <c r="G14" s="137">
        <f>'Consommation mensuel énergie'!N22</f>
        <v>4022</v>
      </c>
      <c r="H14" s="137">
        <f>'Consommation mensuel énergie'!D22</f>
        <v>122</v>
      </c>
      <c r="I14" s="137">
        <f>'Consommation mensuel énergie'!E22</f>
        <v>174</v>
      </c>
      <c r="J14" s="133" t="e">
        <f>E14*F14+G14*#REF!+#REF!*#REF!+#REF!*#REF!</f>
        <v>#REF!</v>
      </c>
    </row>
    <row r="15" spans="1:10" x14ac:dyDescent="0.2">
      <c r="A15" s="136" t="s">
        <v>13</v>
      </c>
      <c r="B15" s="140">
        <f t="shared" si="0"/>
        <v>14</v>
      </c>
      <c r="C15" s="140">
        <v>10</v>
      </c>
      <c r="D15" s="141">
        <v>2022</v>
      </c>
      <c r="E15" s="137">
        <f>'Consommation mensuel énergie'!L23</f>
        <v>5036</v>
      </c>
      <c r="F15" s="137">
        <f>'Consommation mensuel énergie'!M23</f>
        <v>8284</v>
      </c>
      <c r="G15" s="137">
        <f>'Consommation mensuel énergie'!N23</f>
        <v>4067</v>
      </c>
      <c r="H15" s="137">
        <f>'Consommation mensuel énergie'!D23</f>
        <v>129</v>
      </c>
      <c r="I15" s="137">
        <f>'Consommation mensuel énergie'!E23</f>
        <v>212</v>
      </c>
      <c r="J15" s="133" t="e">
        <f>E15*F15+G15*#REF!+#REF!*#REF!+#REF!*#REF!</f>
        <v>#REF!</v>
      </c>
    </row>
    <row r="16" spans="1:10" x14ac:dyDescent="0.2">
      <c r="A16" s="136" t="s">
        <v>13</v>
      </c>
      <c r="B16" s="140">
        <f t="shared" si="0"/>
        <v>15</v>
      </c>
      <c r="C16" s="140">
        <v>10</v>
      </c>
      <c r="D16" s="141">
        <v>2022</v>
      </c>
      <c r="E16" s="137">
        <f>'Consommation mensuel énergie'!L24</f>
        <v>5214</v>
      </c>
      <c r="F16" s="137">
        <f>'Consommation mensuel énergie'!M24</f>
        <v>7779</v>
      </c>
      <c r="G16" s="137">
        <f>'Consommation mensuel énergie'!N24</f>
        <v>4100</v>
      </c>
      <c r="H16" s="137">
        <f>'Consommation mensuel énergie'!D24</f>
        <v>125</v>
      </c>
      <c r="I16" s="137">
        <f>'Consommation mensuel énergie'!E24</f>
        <v>222</v>
      </c>
      <c r="J16" s="133" t="e">
        <f>E16*F16+G16*#REF!+#REF!*#REF!+#REF!*#REF!</f>
        <v>#REF!</v>
      </c>
    </row>
    <row r="17" spans="1:10" x14ac:dyDescent="0.2">
      <c r="A17" s="136" t="s">
        <v>13</v>
      </c>
      <c r="B17" s="140">
        <f t="shared" si="0"/>
        <v>16</v>
      </c>
      <c r="C17" s="140">
        <v>10</v>
      </c>
      <c r="D17" s="141">
        <v>2022</v>
      </c>
      <c r="E17" s="137">
        <f>'Consommation mensuel énergie'!L25</f>
        <v>5383</v>
      </c>
      <c r="F17" s="137">
        <f>'Consommation mensuel énergie'!M25</f>
        <v>9128</v>
      </c>
      <c r="G17" s="137">
        <f>'Consommation mensuel énergie'!N25</f>
        <v>4759</v>
      </c>
      <c r="H17" s="137">
        <f>'Consommation mensuel énergie'!D25</f>
        <v>113</v>
      </c>
      <c r="I17" s="137">
        <f>'Consommation mensuel énergie'!E25</f>
        <v>192</v>
      </c>
      <c r="J17" s="133" t="e">
        <f>E17*F17+G17*#REF!+#REF!*#REF!+#REF!*#REF!</f>
        <v>#REF!</v>
      </c>
    </row>
    <row r="18" spans="1:10" x14ac:dyDescent="0.2">
      <c r="A18" s="136" t="s">
        <v>13</v>
      </c>
      <c r="B18" s="140">
        <f t="shared" si="0"/>
        <v>17</v>
      </c>
      <c r="C18" s="140">
        <v>10</v>
      </c>
      <c r="D18" s="141">
        <v>2022</v>
      </c>
      <c r="E18" s="137">
        <f>'Consommation mensuel énergie'!L26</f>
        <v>4798</v>
      </c>
      <c r="F18" s="137">
        <f>'Consommation mensuel énergie'!M26</f>
        <v>8052</v>
      </c>
      <c r="G18" s="137">
        <f>'Consommation mensuel énergie'!N26</f>
        <v>3815</v>
      </c>
      <c r="H18" s="137">
        <f>'Consommation mensuel énergie'!D26</f>
        <v>153</v>
      </c>
      <c r="I18" s="137">
        <f>'Consommation mensuel énergie'!E26</f>
        <v>239</v>
      </c>
      <c r="J18" s="133" t="e">
        <f>E18*F18+G18*#REF!+#REF!*#REF!+#REF!*#REF!</f>
        <v>#REF!</v>
      </c>
    </row>
    <row r="19" spans="1:10" x14ac:dyDescent="0.2">
      <c r="A19" s="136" t="s">
        <v>13</v>
      </c>
      <c r="B19" s="140">
        <f t="shared" si="0"/>
        <v>18</v>
      </c>
      <c r="C19" s="140">
        <v>10</v>
      </c>
      <c r="D19" s="141">
        <v>2022</v>
      </c>
      <c r="E19" s="137">
        <f>'Consommation mensuel énergie'!L27</f>
        <v>4978</v>
      </c>
      <c r="F19" s="137">
        <f>'Consommation mensuel énergie'!M27</f>
        <v>8111</v>
      </c>
      <c r="G19" s="137">
        <f>'Consommation mensuel énergie'!N27</f>
        <v>4245</v>
      </c>
      <c r="H19" s="137">
        <f>'Consommation mensuel énergie'!D27</f>
        <v>158</v>
      </c>
      <c r="I19" s="137">
        <f>'Consommation mensuel énergie'!E27</f>
        <v>235</v>
      </c>
      <c r="J19" s="133" t="e">
        <f>E19*F19+G19*#REF!+#REF!*#REF!+#REF!*#REF!</f>
        <v>#REF!</v>
      </c>
    </row>
    <row r="20" spans="1:10" x14ac:dyDescent="0.2">
      <c r="A20" s="136" t="s">
        <v>13</v>
      </c>
      <c r="B20" s="140">
        <f t="shared" si="0"/>
        <v>19</v>
      </c>
      <c r="C20" s="140">
        <v>10</v>
      </c>
      <c r="D20" s="141">
        <v>2022</v>
      </c>
      <c r="E20" s="137">
        <f>'Consommation mensuel énergie'!L28</f>
        <v>5641</v>
      </c>
      <c r="F20" s="137">
        <f>'Consommation mensuel énergie'!M28</f>
        <v>8154</v>
      </c>
      <c r="G20" s="137">
        <f>'Consommation mensuel énergie'!N28</f>
        <v>4006</v>
      </c>
      <c r="H20" s="137">
        <f>'Consommation mensuel énergie'!D28</f>
        <v>159</v>
      </c>
      <c r="I20" s="137">
        <f>'Consommation mensuel énergie'!E28</f>
        <v>229</v>
      </c>
      <c r="J20" s="133" t="e">
        <f>E20*F20+G20*#REF!+#REF!*#REF!+#REF!*#REF!</f>
        <v>#REF!</v>
      </c>
    </row>
    <row r="21" spans="1:10" x14ac:dyDescent="0.2">
      <c r="A21" s="136" t="s">
        <v>13</v>
      </c>
      <c r="B21" s="140">
        <f t="shared" si="0"/>
        <v>20</v>
      </c>
      <c r="C21" s="140">
        <v>10</v>
      </c>
      <c r="D21" s="141">
        <v>2022</v>
      </c>
      <c r="E21" s="137">
        <f>'Consommation mensuel énergie'!L29</f>
        <v>6358</v>
      </c>
      <c r="F21" s="137">
        <f>'Consommation mensuel énergie'!M29</f>
        <v>9018</v>
      </c>
      <c r="G21" s="137">
        <f>'Consommation mensuel énergie'!N29</f>
        <v>4089</v>
      </c>
      <c r="H21" s="137">
        <f>'Consommation mensuel énergie'!D29</f>
        <v>166</v>
      </c>
      <c r="I21" s="137">
        <f>'Consommation mensuel énergie'!E29</f>
        <v>260</v>
      </c>
      <c r="J21" s="133" t="e">
        <f>E21*F21+G21*#REF!+#REF!*#REF!+#REF!*#REF!</f>
        <v>#REF!</v>
      </c>
    </row>
    <row r="22" spans="1:10" x14ac:dyDescent="0.2">
      <c r="A22" s="136" t="s">
        <v>13</v>
      </c>
      <c r="B22" s="140">
        <f t="shared" si="0"/>
        <v>21</v>
      </c>
      <c r="C22" s="140">
        <v>10</v>
      </c>
      <c r="D22" s="141">
        <v>2022</v>
      </c>
      <c r="E22" s="137">
        <f>'Consommation mensuel énergie'!L30</f>
        <v>5337</v>
      </c>
      <c r="F22" s="137">
        <f>'Consommation mensuel énergie'!M30</f>
        <v>8484</v>
      </c>
      <c r="G22" s="137">
        <f>'Consommation mensuel énergie'!N30</f>
        <v>4221</v>
      </c>
      <c r="H22" s="137">
        <f>'Consommation mensuel énergie'!D30</f>
        <v>143</v>
      </c>
      <c r="I22" s="137">
        <f>'Consommation mensuel énergie'!E30</f>
        <v>233</v>
      </c>
      <c r="J22" s="133" t="e">
        <f>E22*F22+G22*#REF!+#REF!*#REF!+#REF!*#REF!</f>
        <v>#REF!</v>
      </c>
    </row>
    <row r="23" spans="1:10" x14ac:dyDescent="0.2">
      <c r="A23" s="136" t="s">
        <v>13</v>
      </c>
      <c r="B23" s="140">
        <f t="shared" si="0"/>
        <v>22</v>
      </c>
      <c r="C23" s="140">
        <v>10</v>
      </c>
      <c r="D23" s="141">
        <v>2022</v>
      </c>
      <c r="E23" s="137">
        <f>'Consommation mensuel énergie'!L31</f>
        <v>4940</v>
      </c>
      <c r="F23" s="137">
        <f>'Consommation mensuel énergie'!M31</f>
        <v>7519</v>
      </c>
      <c r="G23" s="137">
        <f>'Consommation mensuel énergie'!N31</f>
        <v>3668</v>
      </c>
      <c r="H23" s="137">
        <f>'Consommation mensuel énergie'!D31</f>
        <v>147</v>
      </c>
      <c r="I23" s="137">
        <f>'Consommation mensuel énergie'!E31</f>
        <v>253</v>
      </c>
      <c r="J23" s="133" t="e">
        <f>E23*F23+G23*#REF!+#REF!*#REF!+#REF!*#REF!</f>
        <v>#REF!</v>
      </c>
    </row>
    <row r="24" spans="1:10" x14ac:dyDescent="0.2">
      <c r="A24" s="136" t="s">
        <v>13</v>
      </c>
      <c r="B24" s="140">
        <f t="shared" si="0"/>
        <v>23</v>
      </c>
      <c r="C24" s="140">
        <v>10</v>
      </c>
      <c r="D24" s="141">
        <v>2022</v>
      </c>
      <c r="E24" s="137">
        <f>'Consommation mensuel énergie'!L32</f>
        <v>4932</v>
      </c>
      <c r="F24" s="137">
        <f>'Consommation mensuel énergie'!M32</f>
        <v>8397</v>
      </c>
      <c r="G24" s="137">
        <f>'Consommation mensuel énergie'!N32</f>
        <v>3987</v>
      </c>
      <c r="H24" s="137">
        <f>'Consommation mensuel énergie'!D32</f>
        <v>133</v>
      </c>
      <c r="I24" s="137">
        <f>'Consommation mensuel énergie'!E32</f>
        <v>216</v>
      </c>
      <c r="J24" s="133" t="e">
        <f>E24*F24+G24*#REF!+#REF!*#REF!+#REF!*#REF!</f>
        <v>#REF!</v>
      </c>
    </row>
    <row r="25" spans="1:10" x14ac:dyDescent="0.2">
      <c r="A25" s="136" t="s">
        <v>13</v>
      </c>
      <c r="B25" s="140">
        <f t="shared" si="0"/>
        <v>24</v>
      </c>
      <c r="C25" s="140">
        <v>10</v>
      </c>
      <c r="D25" s="141">
        <v>2022</v>
      </c>
      <c r="E25" s="137">
        <f>'Consommation mensuel énergie'!L33</f>
        <v>4862</v>
      </c>
      <c r="F25" s="137">
        <f>'Consommation mensuel énergie'!M33</f>
        <v>7702</v>
      </c>
      <c r="G25" s="137">
        <f>'Consommation mensuel énergie'!N33</f>
        <v>3721</v>
      </c>
      <c r="H25" s="137">
        <f>'Consommation mensuel énergie'!D33</f>
        <v>152</v>
      </c>
      <c r="I25" s="137">
        <f>'Consommation mensuel énergie'!E33</f>
        <v>229</v>
      </c>
      <c r="J25" s="133" t="e">
        <f>E25*F25+G25*#REF!+#REF!*#REF!+#REF!*#REF!</f>
        <v>#REF!</v>
      </c>
    </row>
    <row r="26" spans="1:10" x14ac:dyDescent="0.2">
      <c r="A26" s="136" t="s">
        <v>13</v>
      </c>
      <c r="B26" s="140">
        <f>B25+1</f>
        <v>25</v>
      </c>
      <c r="C26" s="140">
        <v>10</v>
      </c>
      <c r="D26" s="141">
        <v>2022</v>
      </c>
      <c r="E26" s="137">
        <f>'Consommation mensuel énergie'!L34</f>
        <v>4727</v>
      </c>
      <c r="F26" s="137">
        <f>'Consommation mensuel énergie'!M34</f>
        <v>7499</v>
      </c>
      <c r="G26" s="137">
        <f>'Consommation mensuel énergie'!N34</f>
        <v>3635</v>
      </c>
      <c r="H26" s="137">
        <f>'Consommation mensuel énergie'!D34</f>
        <v>116</v>
      </c>
      <c r="I26" s="137">
        <f>'Consommation mensuel énergie'!E34</f>
        <v>173</v>
      </c>
      <c r="J26" s="133" t="e">
        <f>E26*F26+G26*#REF!+#REF!*#REF!+#REF!*#REF!</f>
        <v>#REF!</v>
      </c>
    </row>
    <row r="27" spans="1:10" x14ac:dyDescent="0.2">
      <c r="A27" s="136" t="s">
        <v>13</v>
      </c>
      <c r="B27" s="140">
        <f t="shared" ref="B27:B32" si="1">B26+1</f>
        <v>26</v>
      </c>
      <c r="C27" s="140">
        <v>10</v>
      </c>
      <c r="D27" s="141">
        <v>2022</v>
      </c>
      <c r="E27" s="137">
        <f>'Consommation mensuel énergie'!L35</f>
        <v>4874</v>
      </c>
      <c r="F27" s="137">
        <f>'Consommation mensuel énergie'!M35</f>
        <v>7554</v>
      </c>
      <c r="G27" s="137">
        <f>'Consommation mensuel énergie'!N35</f>
        <v>3817</v>
      </c>
      <c r="H27" s="137">
        <f>'Consommation mensuel énergie'!D35</f>
        <v>139</v>
      </c>
      <c r="I27" s="137">
        <f>'Consommation mensuel énergie'!E35</f>
        <v>201</v>
      </c>
      <c r="J27" s="133"/>
    </row>
    <row r="28" spans="1:10" x14ac:dyDescent="0.2">
      <c r="A28" s="136" t="s">
        <v>13</v>
      </c>
      <c r="B28" s="140">
        <f t="shared" si="1"/>
        <v>27</v>
      </c>
      <c r="C28" s="140">
        <v>10</v>
      </c>
      <c r="D28" s="141">
        <v>2022</v>
      </c>
      <c r="E28" s="137">
        <f>'Consommation mensuel énergie'!L36</f>
        <v>4664</v>
      </c>
      <c r="F28" s="137">
        <f>'Consommation mensuel énergie'!M36</f>
        <v>7585</v>
      </c>
      <c r="G28" s="137">
        <f>'Consommation mensuel énergie'!N36</f>
        <v>3819</v>
      </c>
      <c r="H28" s="137">
        <f>'Consommation mensuel énergie'!D36</f>
        <v>142</v>
      </c>
      <c r="I28" s="137">
        <f>'Consommation mensuel énergie'!E36</f>
        <v>212</v>
      </c>
      <c r="J28" s="133"/>
    </row>
    <row r="29" spans="1:10" x14ac:dyDescent="0.2">
      <c r="A29" s="136" t="s">
        <v>13</v>
      </c>
      <c r="B29" s="140">
        <f t="shared" si="1"/>
        <v>28</v>
      </c>
      <c r="C29" s="140">
        <v>10</v>
      </c>
      <c r="D29" s="141">
        <v>2022</v>
      </c>
      <c r="E29" s="137">
        <f>'Consommation mensuel énergie'!L37</f>
        <v>5421</v>
      </c>
      <c r="F29" s="137">
        <f>'Consommation mensuel énergie'!M37</f>
        <v>7403</v>
      </c>
      <c r="G29" s="137">
        <f>'Consommation mensuel énergie'!N37</f>
        <v>3728</v>
      </c>
      <c r="H29" s="137">
        <f>'Consommation mensuel énergie'!D37</f>
        <v>113</v>
      </c>
      <c r="I29" s="137">
        <f>'Consommation mensuel énergie'!E37</f>
        <v>191</v>
      </c>
      <c r="J29" s="133"/>
    </row>
    <row r="30" spans="1:10" x14ac:dyDescent="0.2">
      <c r="A30" s="136" t="s">
        <v>13</v>
      </c>
      <c r="B30" s="140">
        <f t="shared" si="1"/>
        <v>29</v>
      </c>
      <c r="C30" s="140">
        <v>10</v>
      </c>
      <c r="D30" s="141">
        <v>2022</v>
      </c>
      <c r="E30" s="137">
        <f>'Consommation mensuel énergie'!L38</f>
        <v>5751</v>
      </c>
      <c r="F30" s="137">
        <f>'Consommation mensuel énergie'!M38</f>
        <v>7361</v>
      </c>
      <c r="G30" s="137">
        <f>'Consommation mensuel énergie'!N38</f>
        <v>3837</v>
      </c>
      <c r="H30" s="137">
        <f>'Consommation mensuel énergie'!D38</f>
        <v>153</v>
      </c>
      <c r="I30" s="137">
        <f>'Consommation mensuel énergie'!E38</f>
        <v>256</v>
      </c>
      <c r="J30" s="133"/>
    </row>
    <row r="31" spans="1:10" x14ac:dyDescent="0.2">
      <c r="A31" s="136" t="s">
        <v>13</v>
      </c>
      <c r="B31" s="140">
        <f t="shared" si="1"/>
        <v>30</v>
      </c>
      <c r="C31" s="140">
        <v>10</v>
      </c>
      <c r="D31" s="141">
        <v>2022</v>
      </c>
      <c r="E31" s="137">
        <f>'Consommation mensuel énergie'!L39</f>
        <v>4749</v>
      </c>
      <c r="F31" s="137">
        <f>'Consommation mensuel énergie'!M39</f>
        <v>7718</v>
      </c>
      <c r="G31" s="137">
        <f>'Consommation mensuel énergie'!N39</f>
        <v>3765</v>
      </c>
      <c r="H31" s="137">
        <f>'Consommation mensuel énergie'!D39</f>
        <v>135</v>
      </c>
      <c r="I31" s="137">
        <f>'Consommation mensuel énergie'!E39</f>
        <v>221</v>
      </c>
      <c r="J31" s="133"/>
    </row>
    <row r="32" spans="1:10" x14ac:dyDescent="0.2">
      <c r="A32" s="136" t="s">
        <v>13</v>
      </c>
      <c r="B32" s="140">
        <f t="shared" si="1"/>
        <v>31</v>
      </c>
      <c r="C32" s="140">
        <v>10</v>
      </c>
      <c r="D32" s="141">
        <v>2022</v>
      </c>
      <c r="E32" s="137">
        <f>'Consommation mensuel énergie'!L40</f>
        <v>4807</v>
      </c>
      <c r="F32" s="137">
        <f>'Consommation mensuel énergie'!M40</f>
        <v>7909</v>
      </c>
      <c r="G32" s="137">
        <f>'Consommation mensuel énergie'!N40</f>
        <v>3853</v>
      </c>
      <c r="H32" s="137">
        <f>'Consommation mensuel énergie'!D40</f>
        <v>135</v>
      </c>
      <c r="I32" s="137">
        <f>'Consommation mensuel énergie'!E40</f>
        <v>214</v>
      </c>
    </row>
    <row r="33" spans="5:9" x14ac:dyDescent="0.2">
      <c r="E33" s="134"/>
      <c r="F33" s="134"/>
      <c r="G33" s="134"/>
      <c r="H33" s="133"/>
      <c r="I33" s="133"/>
    </row>
    <row r="34" spans="5:9" x14ac:dyDescent="0.2">
      <c r="E34" s="134"/>
      <c r="F34" s="134"/>
      <c r="G34" s="134"/>
      <c r="H34" s="133"/>
      <c r="I34" s="133"/>
    </row>
    <row r="35" spans="5:9" x14ac:dyDescent="0.2">
      <c r="E35" s="134"/>
      <c r="F35" s="134"/>
      <c r="G35" s="134"/>
      <c r="H35" s="133"/>
      <c r="I35" s="133"/>
    </row>
    <row r="36" spans="5:9" x14ac:dyDescent="0.2">
      <c r="E36" s="134"/>
      <c r="F36" s="134"/>
      <c r="G36" s="134"/>
      <c r="H36" s="133"/>
      <c r="I36" s="133"/>
    </row>
    <row r="37" spans="5:9" x14ac:dyDescent="0.2">
      <c r="E37" s="134"/>
      <c r="F37" s="134"/>
      <c r="G37" s="134"/>
      <c r="H37" s="133"/>
      <c r="I37" s="133"/>
    </row>
    <row r="38" spans="5:9" x14ac:dyDescent="0.2">
      <c r="E38" s="134"/>
      <c r="F38" s="134"/>
      <c r="G38" s="134"/>
      <c r="H38" s="133"/>
      <c r="I38" s="13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X55"/>
  <sheetViews>
    <sheetView showGridLines="0" zoomScale="55" zoomScaleNormal="55" workbookViewId="0">
      <pane xSplit="3" ySplit="9" topLeftCell="D18" activePane="bottomRight" state="frozen"/>
      <selection pane="topRight" activeCell="B21" sqref="A21:IV21"/>
      <selection pane="bottomLeft" activeCell="B21" sqref="A21:IV21"/>
      <selection pane="bottomRight" activeCell="AE35" sqref="AE35"/>
    </sheetView>
  </sheetViews>
  <sheetFormatPr baseColWidth="10" defaultColWidth="11.42578125" defaultRowHeight="18" x14ac:dyDescent="0.2"/>
  <cols>
    <col min="1" max="1" width="9" style="9" customWidth="1"/>
    <col min="2" max="2" width="24.85546875" style="9" customWidth="1"/>
    <col min="3" max="3" width="2.85546875" style="9" hidden="1" customWidth="1"/>
    <col min="4" max="6" width="24.7109375" style="9" customWidth="1"/>
    <col min="7" max="7" width="1.7109375" style="9" customWidth="1"/>
    <col min="8" max="8" width="16.85546875" style="9" customWidth="1"/>
    <col min="9" max="9" width="1.7109375" style="9" customWidth="1"/>
    <col min="10" max="10" width="11.7109375" style="9" customWidth="1"/>
    <col min="11" max="11" width="0.140625" style="9" customWidth="1"/>
    <col min="12" max="12" width="24.42578125" style="9" customWidth="1"/>
    <col min="13" max="13" width="26.7109375" style="9" customWidth="1"/>
    <col min="14" max="14" width="22.42578125" style="9" customWidth="1"/>
    <col min="15" max="15" width="24.85546875" style="9" customWidth="1"/>
    <col min="16" max="16" width="1.5703125" style="9" customWidth="1"/>
    <col min="17" max="17" width="26.5703125" style="9" customWidth="1"/>
    <col min="18" max="18" width="1.5703125" style="9" customWidth="1"/>
    <col min="19" max="19" width="0.28515625" style="9" hidden="1" customWidth="1"/>
    <col min="20" max="20" width="0.5703125" style="9" hidden="1" customWidth="1"/>
    <col min="21" max="21" width="0.42578125" style="9" customWidth="1"/>
    <col min="22" max="22" width="27.42578125" style="9" customWidth="1"/>
    <col min="23" max="23" width="1.28515625" style="9" customWidth="1"/>
    <col min="24" max="24" width="25.140625" style="9" customWidth="1"/>
    <col min="25" max="16384" width="11.42578125" style="9"/>
  </cols>
  <sheetData>
    <row r="1" spans="1:24" ht="18.75" thickBot="1" x14ac:dyDescent="0.25"/>
    <row r="2" spans="1:24" ht="100.5" customHeight="1" thickBot="1" x14ac:dyDescent="0.25">
      <c r="A2" s="233"/>
      <c r="B2" s="234"/>
      <c r="C2" s="234"/>
      <c r="D2" s="234"/>
      <c r="E2" s="234"/>
      <c r="F2" s="234"/>
      <c r="G2" s="234"/>
      <c r="H2" s="235"/>
      <c r="I2" s="244" t="s">
        <v>17</v>
      </c>
      <c r="J2" s="245"/>
      <c r="K2" s="245"/>
      <c r="L2" s="245"/>
      <c r="M2" s="245"/>
      <c r="N2" s="245"/>
      <c r="O2" s="245"/>
      <c r="P2" s="245"/>
      <c r="Q2" s="245"/>
      <c r="R2" s="245"/>
      <c r="S2" s="245"/>
      <c r="T2" s="245"/>
      <c r="U2" s="245"/>
      <c r="V2" s="245"/>
      <c r="W2" s="245"/>
      <c r="X2" s="245"/>
    </row>
    <row r="3" spans="1:24" ht="15" hidden="1" customHeight="1" thickBot="1" x14ac:dyDescent="0.25"/>
    <row r="4" spans="1:24" ht="39" hidden="1" customHeight="1" thickBot="1" x14ac:dyDescent="0.25">
      <c r="A4" s="236"/>
      <c r="B4" s="236"/>
      <c r="C4" s="236"/>
      <c r="D4" s="5"/>
      <c r="E4" s="5"/>
      <c r="F4" s="5"/>
      <c r="G4" s="5"/>
      <c r="H4" s="5"/>
      <c r="I4" s="5"/>
      <c r="J4" s="5"/>
      <c r="K4" s="5"/>
      <c r="L4" s="5"/>
      <c r="M4" s="2" t="s">
        <v>18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</row>
    <row r="5" spans="1:24" ht="37.5" hidden="1" customHeight="1" thickBot="1" x14ac:dyDescent="0.25">
      <c r="A5" s="236"/>
      <c r="B5" s="236"/>
      <c r="C5" s="236"/>
      <c r="D5" s="5"/>
      <c r="E5" s="5"/>
      <c r="F5" s="5"/>
      <c r="G5" s="5"/>
      <c r="H5" s="5"/>
      <c r="I5" s="5"/>
      <c r="J5" s="5"/>
      <c r="K5" s="5"/>
      <c r="L5" s="5"/>
      <c r="M5" s="237"/>
      <c r="N5" s="237"/>
      <c r="O5" s="237"/>
      <c r="P5" s="237"/>
      <c r="Q5" s="237"/>
      <c r="R5" s="237"/>
      <c r="S5" s="237"/>
      <c r="T5" s="237"/>
      <c r="U5" s="237"/>
      <c r="V5" s="237"/>
      <c r="W5" s="237"/>
      <c r="X5" s="237"/>
    </row>
    <row r="6" spans="1:24" s="5" customFormat="1" ht="44.25" hidden="1" customHeight="1" thickBot="1" x14ac:dyDescent="0.25">
      <c r="A6" s="3"/>
      <c r="B6" s="3"/>
      <c r="C6" s="3"/>
      <c r="M6" s="237"/>
      <c r="N6" s="237"/>
      <c r="O6" s="237"/>
      <c r="P6" s="237"/>
      <c r="Q6" s="237"/>
      <c r="R6" s="237"/>
      <c r="S6" s="237"/>
      <c r="T6" s="237"/>
      <c r="U6" s="237"/>
      <c r="V6" s="237"/>
      <c r="W6" s="237"/>
      <c r="X6" s="237"/>
    </row>
    <row r="7" spans="1:24" s="5" customFormat="1" ht="18.75" hidden="1" customHeight="1" thickBot="1" x14ac:dyDescent="0.25">
      <c r="F7" s="237"/>
      <c r="G7" s="237"/>
      <c r="H7" s="237"/>
      <c r="I7" s="237"/>
      <c r="J7" s="237"/>
      <c r="K7" s="237"/>
      <c r="L7" s="237"/>
      <c r="M7" s="237"/>
      <c r="N7" s="246"/>
      <c r="O7" s="246"/>
      <c r="P7" s="237"/>
      <c r="Q7" s="237"/>
      <c r="R7" s="237"/>
      <c r="S7" s="237"/>
      <c r="T7" s="237"/>
      <c r="U7" s="237"/>
      <c r="V7" s="237"/>
      <c r="W7" s="237"/>
      <c r="X7" s="237"/>
    </row>
    <row r="8" spans="1:24" ht="18.75" customHeight="1" thickBot="1" x14ac:dyDescent="0.25">
      <c r="A8" s="237"/>
      <c r="B8" s="248" t="s">
        <v>19</v>
      </c>
      <c r="C8" s="4"/>
      <c r="D8" s="208" t="s">
        <v>20</v>
      </c>
      <c r="E8" s="208" t="s">
        <v>21</v>
      </c>
      <c r="F8" s="231" t="s">
        <v>22</v>
      </c>
      <c r="G8" s="2"/>
      <c r="H8" s="238" t="s">
        <v>23</v>
      </c>
      <c r="I8" s="239"/>
      <c r="J8" s="240"/>
      <c r="K8" s="249" t="s">
        <v>24</v>
      </c>
      <c r="L8" s="230" t="s">
        <v>25</v>
      </c>
      <c r="M8" s="230"/>
      <c r="N8" s="230"/>
      <c r="O8" s="230" t="s">
        <v>26</v>
      </c>
      <c r="P8" s="2"/>
      <c r="Q8" s="210" t="s">
        <v>23</v>
      </c>
      <c r="R8" s="2"/>
      <c r="S8" s="210" t="s">
        <v>27</v>
      </c>
      <c r="T8" s="2"/>
      <c r="U8" s="210" t="s">
        <v>28</v>
      </c>
      <c r="V8" s="212" t="s">
        <v>29</v>
      </c>
      <c r="W8" s="2"/>
      <c r="X8" s="210" t="s">
        <v>23</v>
      </c>
    </row>
    <row r="9" spans="1:24" ht="59.25" customHeight="1" thickBot="1" x14ac:dyDescent="0.25">
      <c r="A9" s="237"/>
      <c r="B9" s="248"/>
      <c r="C9" s="4"/>
      <c r="D9" s="209"/>
      <c r="E9" s="209"/>
      <c r="F9" s="232"/>
      <c r="G9" s="2"/>
      <c r="H9" s="241"/>
      <c r="I9" s="242"/>
      <c r="J9" s="243"/>
      <c r="K9" s="250"/>
      <c r="L9" s="154" t="s">
        <v>30</v>
      </c>
      <c r="M9" s="154" t="s">
        <v>31</v>
      </c>
      <c r="N9" s="154" t="s">
        <v>32</v>
      </c>
      <c r="O9" s="247"/>
      <c r="P9" s="2"/>
      <c r="Q9" s="211"/>
      <c r="R9" s="2"/>
      <c r="S9" s="211"/>
      <c r="T9" s="2"/>
      <c r="U9" s="211"/>
      <c r="V9" s="213"/>
      <c r="W9" s="2"/>
      <c r="X9" s="211"/>
    </row>
    <row r="10" spans="1:24" ht="32.25" customHeight="1" x14ac:dyDescent="0.2">
      <c r="A10" s="2"/>
      <c r="B10" s="6">
        <v>44835</v>
      </c>
      <c r="C10" s="7"/>
      <c r="D10" s="143">
        <v>136</v>
      </c>
      <c r="E10" s="143">
        <v>210</v>
      </c>
      <c r="F10" s="13">
        <f>'Suivi EAU-ELEC'!E9</f>
        <v>120.29999999998836</v>
      </c>
      <c r="G10" s="11"/>
      <c r="H10" s="167">
        <f>F10*8.79</f>
        <v>1057.4369999998976</v>
      </c>
      <c r="I10" s="168"/>
      <c r="J10" s="168"/>
      <c r="K10" s="60">
        <v>42278</v>
      </c>
      <c r="L10" s="90">
        <f>'Suivi EAU-ELEC'!G9</f>
        <v>4593</v>
      </c>
      <c r="M10" s="91">
        <f>'Suivi EAU-ELEC'!I9</f>
        <v>8275</v>
      </c>
      <c r="N10" s="91">
        <f>'Suivi EAU-ELEC'!K9</f>
        <v>3636</v>
      </c>
      <c r="O10" s="91">
        <f>L10+M10+N10</f>
        <v>16504</v>
      </c>
      <c r="P10" s="11"/>
      <c r="Q10" s="34">
        <f>L10*0.6985+M10*0.9514+N10*1.3304</f>
        <v>15918.3799</v>
      </c>
      <c r="R10" s="11"/>
      <c r="S10" s="28"/>
      <c r="T10" s="11"/>
      <c r="U10" s="28"/>
      <c r="V10" s="146">
        <f>'Suvi Gaz'!O4</f>
        <v>479.98815000000002</v>
      </c>
      <c r="W10" s="11"/>
      <c r="X10" s="34">
        <f>V10*12.24</f>
        <v>5875.0549559999999</v>
      </c>
    </row>
    <row r="11" spans="1:24" ht="32.25" customHeight="1" x14ac:dyDescent="0.2">
      <c r="A11" s="2"/>
      <c r="B11" s="6">
        <v>44836</v>
      </c>
      <c r="C11" s="7"/>
      <c r="D11" s="143">
        <v>154</v>
      </c>
      <c r="E11" s="143">
        <v>221</v>
      </c>
      <c r="F11" s="13">
        <f>'Suivi EAU-ELEC'!E10</f>
        <v>139</v>
      </c>
      <c r="G11" s="11"/>
      <c r="H11" s="167">
        <f t="shared" ref="H11:H21" si="0">F11*8.79</f>
        <v>1221.81</v>
      </c>
      <c r="I11" s="168"/>
      <c r="J11" s="168"/>
      <c r="K11" s="60">
        <v>42279</v>
      </c>
      <c r="L11" s="90">
        <f>'Suivi EAU-ELEC'!G10</f>
        <v>6635</v>
      </c>
      <c r="M11" s="91">
        <f>'Suivi EAU-ELEC'!I10</f>
        <v>8358</v>
      </c>
      <c r="N11" s="91">
        <f>'Suivi EAU-ELEC'!K10</f>
        <v>4373</v>
      </c>
      <c r="O11" s="91">
        <f t="shared" ref="O11:O40" si="1">L11+M11+N11</f>
        <v>19366</v>
      </c>
      <c r="P11" s="11"/>
      <c r="Q11" s="34">
        <f t="shared" ref="Q11:Q15" si="2">L11*0.6985+M11*0.9514+N11*1.3304</f>
        <v>18404.187899999997</v>
      </c>
      <c r="R11" s="11"/>
      <c r="S11" s="28"/>
      <c r="T11" s="11"/>
      <c r="U11" s="28"/>
      <c r="V11" s="146">
        <f>'Suvi Gaz'!O5</f>
        <v>447.98894000000001</v>
      </c>
      <c r="W11" s="11"/>
      <c r="X11" s="34">
        <f t="shared" ref="X11:X40" si="3">V11*12.24</f>
        <v>5483.3846256000006</v>
      </c>
    </row>
    <row r="12" spans="1:24" ht="32.25" customHeight="1" x14ac:dyDescent="0.2">
      <c r="A12" s="2"/>
      <c r="B12" s="6">
        <v>44837</v>
      </c>
      <c r="C12" s="7"/>
      <c r="D12" s="143">
        <v>147</v>
      </c>
      <c r="E12" s="143">
        <v>178</v>
      </c>
      <c r="F12" s="13">
        <f>'Suivi EAU-ELEC'!E11</f>
        <v>134</v>
      </c>
      <c r="G12" s="11"/>
      <c r="H12" s="167">
        <f t="shared" si="0"/>
        <v>1177.8599999999999</v>
      </c>
      <c r="I12" s="168"/>
      <c r="J12" s="168"/>
      <c r="K12" s="60">
        <v>42280</v>
      </c>
      <c r="L12" s="90">
        <f>'Suivi EAU-ELEC'!G11</f>
        <v>5388</v>
      </c>
      <c r="M12" s="91">
        <f>'Suivi EAU-ELEC'!I11</f>
        <v>7402</v>
      </c>
      <c r="N12" s="91">
        <f>'Suivi EAU-ELEC'!K11</f>
        <v>3620</v>
      </c>
      <c r="O12" s="91">
        <f t="shared" si="1"/>
        <v>16410</v>
      </c>
      <c r="P12" s="11"/>
      <c r="Q12" s="34">
        <f t="shared" si="2"/>
        <v>15621.828799999999</v>
      </c>
      <c r="R12" s="11"/>
      <c r="S12" s="28"/>
      <c r="T12" s="11"/>
      <c r="U12" s="28"/>
      <c r="V12" s="146">
        <f>'Suvi Gaz'!O6</f>
        <v>383.99052</v>
      </c>
      <c r="W12" s="11"/>
      <c r="X12" s="34">
        <f t="shared" si="3"/>
        <v>4700.0439648000001</v>
      </c>
    </row>
    <row r="13" spans="1:24" ht="32.25" customHeight="1" x14ac:dyDescent="0.2">
      <c r="A13" s="2"/>
      <c r="B13" s="6">
        <v>44838</v>
      </c>
      <c r="C13" s="7"/>
      <c r="D13" s="143">
        <v>146</v>
      </c>
      <c r="E13" s="143">
        <v>188</v>
      </c>
      <c r="F13" s="13">
        <f>'Suivi EAU-ELEC'!E12</f>
        <v>136.5</v>
      </c>
      <c r="G13" s="11"/>
      <c r="H13" s="167">
        <f t="shared" si="0"/>
        <v>1199.8349999999998</v>
      </c>
      <c r="I13" s="168"/>
      <c r="J13" s="168"/>
      <c r="K13" s="60">
        <v>42281</v>
      </c>
      <c r="L13" s="90">
        <f>'Suivi EAU-ELEC'!G12</f>
        <v>5796</v>
      </c>
      <c r="M13" s="91">
        <f>'Suivi EAU-ELEC'!I12</f>
        <v>9135</v>
      </c>
      <c r="N13" s="91">
        <f>'Suivi EAU-ELEC'!K12</f>
        <v>4513</v>
      </c>
      <c r="O13" s="91">
        <f t="shared" si="1"/>
        <v>19444</v>
      </c>
      <c r="P13" s="11"/>
      <c r="Q13" s="34">
        <f t="shared" si="2"/>
        <v>18743.640200000002</v>
      </c>
      <c r="R13" s="11"/>
      <c r="S13" s="28"/>
      <c r="T13" s="11"/>
      <c r="U13" s="28"/>
      <c r="V13" s="146">
        <f>'Suvi Gaz'!O7</f>
        <v>383.99052</v>
      </c>
      <c r="W13" s="11"/>
      <c r="X13" s="34">
        <f t="shared" si="3"/>
        <v>4700.0439648000001</v>
      </c>
    </row>
    <row r="14" spans="1:24" ht="32.25" customHeight="1" x14ac:dyDescent="0.2">
      <c r="A14" s="2"/>
      <c r="B14" s="6">
        <v>44839</v>
      </c>
      <c r="C14" s="7"/>
      <c r="D14" s="143">
        <v>133</v>
      </c>
      <c r="E14" s="143">
        <v>185</v>
      </c>
      <c r="F14" s="13">
        <f>'Suivi EAU-ELEC'!E13</f>
        <v>143.29999999998836</v>
      </c>
      <c r="G14" s="12"/>
      <c r="H14" s="167">
        <f t="shared" si="0"/>
        <v>1259.6069999998977</v>
      </c>
      <c r="I14" s="168"/>
      <c r="J14" s="168"/>
      <c r="K14" s="60">
        <v>42282</v>
      </c>
      <c r="L14" s="90">
        <f>'Suivi EAU-ELEC'!G13</f>
        <v>6203</v>
      </c>
      <c r="M14" s="91">
        <f>'Suivi EAU-ELEC'!I13</f>
        <v>9572</v>
      </c>
      <c r="N14" s="91">
        <f>'Suivi EAU-ELEC'!K13</f>
        <v>4642</v>
      </c>
      <c r="O14" s="91">
        <f t="shared" si="1"/>
        <v>20417</v>
      </c>
      <c r="P14" s="12"/>
      <c r="Q14" s="34">
        <f t="shared" si="2"/>
        <v>19615.313099999999</v>
      </c>
      <c r="R14" s="12"/>
      <c r="S14" s="28"/>
      <c r="T14" s="12"/>
      <c r="U14" s="28"/>
      <c r="V14" s="146">
        <f>'Suvi Gaz'!O8</f>
        <v>383.99052</v>
      </c>
      <c r="W14" s="11"/>
      <c r="X14" s="34">
        <f t="shared" si="3"/>
        <v>4700.0439648000001</v>
      </c>
    </row>
    <row r="15" spans="1:24" ht="32.25" customHeight="1" x14ac:dyDescent="0.2">
      <c r="A15" s="5"/>
      <c r="B15" s="6">
        <v>44840</v>
      </c>
      <c r="C15" s="7"/>
      <c r="D15" s="143">
        <v>125</v>
      </c>
      <c r="E15" s="143">
        <v>183</v>
      </c>
      <c r="F15" s="13">
        <f>'Suivi EAU-ELEC'!E14</f>
        <v>146.60000000000582</v>
      </c>
      <c r="G15" s="11"/>
      <c r="H15" s="167">
        <f t="shared" si="0"/>
        <v>1288.614000000051</v>
      </c>
      <c r="I15" s="168"/>
      <c r="J15" s="168"/>
      <c r="K15" s="60">
        <v>42283</v>
      </c>
      <c r="L15" s="90">
        <f>'Suivi EAU-ELEC'!G14</f>
        <v>6296</v>
      </c>
      <c r="M15" s="91">
        <f>'Suivi EAU-ELEC'!I14</f>
        <v>9428</v>
      </c>
      <c r="N15" s="91">
        <f>'Suivi EAU-ELEC'!K14</f>
        <v>4548</v>
      </c>
      <c r="O15" s="91">
        <f t="shared" si="1"/>
        <v>20272</v>
      </c>
      <c r="P15" s="12"/>
      <c r="Q15" s="34">
        <f t="shared" si="2"/>
        <v>19418.214399999997</v>
      </c>
      <c r="R15" s="12"/>
      <c r="S15" s="28"/>
      <c r="T15" s="12"/>
      <c r="U15" s="28"/>
      <c r="V15" s="146">
        <f>'Suvi Gaz'!O9</f>
        <v>255.99368000000001</v>
      </c>
      <c r="W15" s="11"/>
      <c r="X15" s="34">
        <f t="shared" si="3"/>
        <v>3133.3626432000001</v>
      </c>
    </row>
    <row r="16" spans="1:24" ht="32.25" customHeight="1" x14ac:dyDescent="0.2">
      <c r="A16" s="5"/>
      <c r="B16" s="6">
        <v>44841</v>
      </c>
      <c r="C16" s="7"/>
      <c r="D16" s="143">
        <v>103</v>
      </c>
      <c r="E16" s="143">
        <v>178</v>
      </c>
      <c r="F16" s="13">
        <f>'Suivi EAU-ELEC'!E15</f>
        <v>149.60000000000582</v>
      </c>
      <c r="G16" s="11"/>
      <c r="H16" s="167">
        <f t="shared" si="0"/>
        <v>1314.9840000000511</v>
      </c>
      <c r="I16" s="168"/>
      <c r="J16" s="168"/>
      <c r="K16" s="60">
        <v>42284</v>
      </c>
      <c r="L16" s="90">
        <f>'Suivi EAU-ELEC'!G15</f>
        <v>5474</v>
      </c>
      <c r="M16" s="91">
        <f>'Suivi EAU-ELEC'!I15</f>
        <v>8584</v>
      </c>
      <c r="N16" s="91">
        <f>'Suivi EAU-ELEC'!K15</f>
        <v>4089</v>
      </c>
      <c r="O16" s="91">
        <f t="shared" si="1"/>
        <v>18147</v>
      </c>
      <c r="P16" s="11"/>
      <c r="Q16" s="34">
        <f t="shared" ref="Q13:Q36" si="4">L16*0.6985+M16*0.9514+N16*1.3304</f>
        <v>17430.412199999999</v>
      </c>
      <c r="R16" s="11"/>
      <c r="S16" s="28"/>
      <c r="T16" s="11"/>
      <c r="U16" s="28"/>
      <c r="V16" s="146">
        <f>'Suvi Gaz'!O10</f>
        <v>415.98973000000001</v>
      </c>
      <c r="W16" s="11"/>
      <c r="X16" s="34">
        <f t="shared" si="3"/>
        <v>5091.7142952000004</v>
      </c>
    </row>
    <row r="17" spans="1:24" s="5" customFormat="1" ht="32.25" customHeight="1" x14ac:dyDescent="0.2">
      <c r="A17" s="2"/>
      <c r="B17" s="6">
        <v>44842</v>
      </c>
      <c r="C17" s="7"/>
      <c r="D17" s="143">
        <v>113</v>
      </c>
      <c r="E17" s="143">
        <v>199</v>
      </c>
      <c r="F17" s="13">
        <f>'Suivi EAU-ELEC'!E16</f>
        <v>131</v>
      </c>
      <c r="G17" s="11"/>
      <c r="H17" s="167">
        <f t="shared" si="0"/>
        <v>1151.4899999999998</v>
      </c>
      <c r="I17" s="168"/>
      <c r="J17" s="168"/>
      <c r="K17" s="60">
        <v>42285</v>
      </c>
      <c r="L17" s="90">
        <f>'Suivi EAU-ELEC'!G16</f>
        <v>4716</v>
      </c>
      <c r="M17" s="91">
        <f>'Suivi EAU-ELEC'!I16</f>
        <v>7698</v>
      </c>
      <c r="N17" s="91">
        <f>'Suivi EAU-ELEC'!K16</f>
        <v>3581</v>
      </c>
      <c r="O17" s="91">
        <f t="shared" si="1"/>
        <v>15995</v>
      </c>
      <c r="P17" s="12"/>
      <c r="Q17" s="34">
        <f t="shared" si="4"/>
        <v>15382.1656</v>
      </c>
      <c r="R17" s="12"/>
      <c r="S17" s="28"/>
      <c r="T17" s="12"/>
      <c r="U17" s="28"/>
      <c r="V17" s="146">
        <f>'Suvi Gaz'!O11</f>
        <v>351.99131</v>
      </c>
      <c r="W17" s="11"/>
      <c r="X17" s="34">
        <f t="shared" si="3"/>
        <v>4308.3736343999999</v>
      </c>
    </row>
    <row r="18" spans="1:24" ht="32.25" customHeight="1" x14ac:dyDescent="0.2">
      <c r="A18" s="2"/>
      <c r="B18" s="6">
        <v>44843</v>
      </c>
      <c r="C18" s="7"/>
      <c r="D18" s="143">
        <v>105</v>
      </c>
      <c r="E18" s="143">
        <v>184</v>
      </c>
      <c r="F18" s="13">
        <f>'Suivi EAU-ELEC'!E17</f>
        <v>124</v>
      </c>
      <c r="G18" s="11"/>
      <c r="H18" s="167">
        <f t="shared" si="0"/>
        <v>1089.9599999999998</v>
      </c>
      <c r="I18" s="168"/>
      <c r="J18" s="168"/>
      <c r="K18" s="60">
        <v>42286</v>
      </c>
      <c r="L18" s="90">
        <f>'Suivi EAU-ELEC'!G17</f>
        <v>5068</v>
      </c>
      <c r="M18" s="91">
        <f>'Suivi EAU-ELEC'!I17</f>
        <v>7813</v>
      </c>
      <c r="N18" s="91">
        <f>'Suivi EAU-ELEC'!K17</f>
        <v>3803</v>
      </c>
      <c r="O18" s="91">
        <f t="shared" si="1"/>
        <v>16684</v>
      </c>
      <c r="P18" s="12"/>
      <c r="Q18" s="34">
        <f t="shared" si="4"/>
        <v>16032.797399999999</v>
      </c>
      <c r="R18" s="12"/>
      <c r="S18" s="28"/>
      <c r="T18" s="12"/>
      <c r="U18" s="28"/>
      <c r="V18" s="146">
        <f>'Suvi Gaz'!O12</f>
        <v>351.99131</v>
      </c>
      <c r="W18" s="11"/>
      <c r="X18" s="34">
        <f t="shared" si="3"/>
        <v>4308.3736343999999</v>
      </c>
    </row>
    <row r="19" spans="1:24" ht="32.25" customHeight="1" x14ac:dyDescent="0.2">
      <c r="A19" s="2"/>
      <c r="B19" s="6">
        <v>44844</v>
      </c>
      <c r="C19" s="7"/>
      <c r="D19" s="143">
        <v>131</v>
      </c>
      <c r="E19" s="143">
        <v>208</v>
      </c>
      <c r="F19" s="13">
        <f>'Suivi EAU-ELEC'!E18</f>
        <v>126</v>
      </c>
      <c r="G19" s="12"/>
      <c r="H19" s="167">
        <f t="shared" si="0"/>
        <v>1107.54</v>
      </c>
      <c r="I19" s="168"/>
      <c r="J19" s="168"/>
      <c r="K19" s="60">
        <v>42287</v>
      </c>
      <c r="L19" s="90">
        <f>'Suivi EAU-ELEC'!G18</f>
        <v>5107</v>
      </c>
      <c r="M19" s="91">
        <f>'Suivi EAU-ELEC'!I18</f>
        <v>7968</v>
      </c>
      <c r="N19" s="91">
        <f>'Suivi EAU-ELEC'!K18</f>
        <v>3706</v>
      </c>
      <c r="O19" s="91">
        <f t="shared" si="1"/>
        <v>16781</v>
      </c>
      <c r="P19" s="12"/>
      <c r="Q19" s="34">
        <f t="shared" si="4"/>
        <v>16078.457100000001</v>
      </c>
      <c r="R19" s="12"/>
      <c r="S19" s="28"/>
      <c r="T19" s="12"/>
      <c r="U19" s="28"/>
      <c r="V19" s="146">
        <f>'Suvi Gaz'!O13</f>
        <v>415.98973000000001</v>
      </c>
      <c r="W19" s="11"/>
      <c r="X19" s="34">
        <f t="shared" si="3"/>
        <v>5091.7142952000004</v>
      </c>
    </row>
    <row r="20" spans="1:24" ht="32.25" customHeight="1" x14ac:dyDescent="0.2">
      <c r="A20" s="2"/>
      <c r="B20" s="6">
        <v>44845</v>
      </c>
      <c r="C20" s="7"/>
      <c r="D20" s="143">
        <v>130</v>
      </c>
      <c r="E20" s="143">
        <v>189</v>
      </c>
      <c r="F20" s="13">
        <f>'Suivi EAU-ELEC'!E19</f>
        <v>123</v>
      </c>
      <c r="G20" s="12"/>
      <c r="H20" s="167">
        <f t="shared" si="0"/>
        <v>1081.1699999999998</v>
      </c>
      <c r="I20" s="168"/>
      <c r="J20" s="168"/>
      <c r="K20" s="60">
        <v>42288</v>
      </c>
      <c r="L20" s="90">
        <f>'Suivi EAU-ELEC'!G19</f>
        <v>5060</v>
      </c>
      <c r="M20" s="91">
        <f>'Suivi EAU-ELEC'!I19</f>
        <v>7583</v>
      </c>
      <c r="N20" s="91">
        <f>'Suivi EAU-ELEC'!K19</f>
        <v>3316</v>
      </c>
      <c r="O20" s="91">
        <f t="shared" si="1"/>
        <v>15959</v>
      </c>
      <c r="P20" s="12"/>
      <c r="Q20" s="34">
        <f t="shared" si="4"/>
        <v>15160.482599999999</v>
      </c>
      <c r="R20" s="12"/>
      <c r="S20" s="28"/>
      <c r="T20" s="12"/>
      <c r="U20" s="28"/>
      <c r="V20" s="146">
        <f>'Suvi Gaz'!O14</f>
        <v>223.99447000000001</v>
      </c>
      <c r="W20" s="11"/>
      <c r="X20" s="34">
        <f t="shared" si="3"/>
        <v>2741.6923128000003</v>
      </c>
    </row>
    <row r="21" spans="1:24" ht="32.25" customHeight="1" x14ac:dyDescent="0.2">
      <c r="A21" s="2"/>
      <c r="B21" s="6">
        <v>44846</v>
      </c>
      <c r="C21" s="7"/>
      <c r="D21" s="143">
        <v>143</v>
      </c>
      <c r="E21" s="143">
        <v>210</v>
      </c>
      <c r="F21" s="13">
        <f>'Suivi EAU-ELEC'!E20</f>
        <v>153.5</v>
      </c>
      <c r="G21" s="12"/>
      <c r="H21" s="167">
        <f t="shared" si="0"/>
        <v>1349.2649999999999</v>
      </c>
      <c r="I21" s="168"/>
      <c r="J21" s="168"/>
      <c r="K21" s="60">
        <v>42289</v>
      </c>
      <c r="L21" s="90">
        <f>'Suivi EAU-ELEC'!G20</f>
        <v>5580</v>
      </c>
      <c r="M21" s="91">
        <f>'Suivi EAU-ELEC'!I20</f>
        <v>7563</v>
      </c>
      <c r="N21" s="91">
        <f>'Suivi EAU-ELEC'!K20</f>
        <v>3668</v>
      </c>
      <c r="O21" s="91">
        <f t="shared" si="1"/>
        <v>16811</v>
      </c>
      <c r="P21" s="12"/>
      <c r="Q21" s="34">
        <f t="shared" si="4"/>
        <v>15972.975400000001</v>
      </c>
      <c r="R21" s="12"/>
      <c r="S21" s="28"/>
      <c r="T21" s="12"/>
      <c r="U21" s="28"/>
      <c r="V21" s="146">
        <f>'Suvi Gaz'!O15</f>
        <v>223.99447000000001</v>
      </c>
      <c r="W21" s="11"/>
      <c r="X21" s="34">
        <f t="shared" si="3"/>
        <v>2741.6923128000003</v>
      </c>
    </row>
    <row r="22" spans="1:24" ht="32.25" customHeight="1" x14ac:dyDescent="0.2">
      <c r="A22" s="2"/>
      <c r="B22" s="6">
        <v>44847</v>
      </c>
      <c r="C22" s="7"/>
      <c r="D22" s="143">
        <v>122</v>
      </c>
      <c r="E22" s="143">
        <v>174</v>
      </c>
      <c r="F22" s="13">
        <f>'Suivi EAU-ELEC'!E21</f>
        <v>132.20000000001164</v>
      </c>
      <c r="G22" s="12"/>
      <c r="H22" s="167">
        <f t="shared" ref="H22:H35" si="5">F22*8.79</f>
        <v>1162.0380000001023</v>
      </c>
      <c r="I22" s="168"/>
      <c r="J22" s="168"/>
      <c r="K22" s="60">
        <v>42290</v>
      </c>
      <c r="L22" s="90">
        <f>'Suivi EAU-ELEC'!G21</f>
        <v>5981</v>
      </c>
      <c r="M22" s="91">
        <f>'Suivi EAU-ELEC'!I21</f>
        <v>8066</v>
      </c>
      <c r="N22" s="91">
        <f>'Suivi EAU-ELEC'!K21</f>
        <v>4022</v>
      </c>
      <c r="O22" s="91">
        <f t="shared" si="1"/>
        <v>18069</v>
      </c>
      <c r="P22" s="12"/>
      <c r="Q22" s="34">
        <f t="shared" si="4"/>
        <v>17202.5897</v>
      </c>
      <c r="R22" s="12"/>
      <c r="S22" s="28"/>
      <c r="T22" s="12"/>
      <c r="U22" s="28"/>
      <c r="V22" s="146">
        <f>'Suvi Gaz'!O16</f>
        <v>255.99368000000001</v>
      </c>
      <c r="W22" s="11"/>
      <c r="X22" s="34">
        <f t="shared" si="3"/>
        <v>3133.3626432000001</v>
      </c>
    </row>
    <row r="23" spans="1:24" ht="32.25" customHeight="1" x14ac:dyDescent="0.2">
      <c r="A23" s="2"/>
      <c r="B23" s="6">
        <v>44848</v>
      </c>
      <c r="C23" s="7"/>
      <c r="D23" s="143">
        <v>129</v>
      </c>
      <c r="E23" s="143">
        <v>212</v>
      </c>
      <c r="F23" s="13">
        <f>'Suivi EAU-ELEC'!E22</f>
        <v>131.29999999998836</v>
      </c>
      <c r="G23" s="14"/>
      <c r="H23" s="167">
        <f t="shared" si="5"/>
        <v>1154.1269999998976</v>
      </c>
      <c r="I23" s="168"/>
      <c r="J23" s="168"/>
      <c r="K23" s="60">
        <v>42291</v>
      </c>
      <c r="L23" s="90">
        <f>'Suivi EAU-ELEC'!G22</f>
        <v>5036</v>
      </c>
      <c r="M23" s="91">
        <f>'Suivi EAU-ELEC'!I22</f>
        <v>8284</v>
      </c>
      <c r="N23" s="91">
        <f>'Suivi EAU-ELEC'!K22</f>
        <v>4067</v>
      </c>
      <c r="O23" s="91">
        <f t="shared" si="1"/>
        <v>17387</v>
      </c>
      <c r="P23" s="12"/>
      <c r="Q23" s="34">
        <f>L23*0.6985+M23*0.9514+N23*1.3304</f>
        <v>16809.7804</v>
      </c>
      <c r="R23" s="12"/>
      <c r="S23" s="28"/>
      <c r="T23" s="14"/>
      <c r="U23" s="28"/>
      <c r="V23" s="146">
        <f>'Suvi Gaz'!O17</f>
        <v>447.98894000000001</v>
      </c>
      <c r="W23" s="11"/>
      <c r="X23" s="34">
        <f t="shared" si="3"/>
        <v>5483.3846256000006</v>
      </c>
    </row>
    <row r="24" spans="1:24" ht="32.25" customHeight="1" x14ac:dyDescent="0.2">
      <c r="A24" s="2"/>
      <c r="B24" s="6">
        <v>44849</v>
      </c>
      <c r="C24" s="7"/>
      <c r="D24" s="143">
        <v>125</v>
      </c>
      <c r="E24" s="143">
        <v>222</v>
      </c>
      <c r="F24" s="13">
        <f>'Suivi EAU-ELEC'!E23</f>
        <v>147</v>
      </c>
      <c r="G24" s="14"/>
      <c r="H24" s="167">
        <f t="shared" si="5"/>
        <v>1292.1299999999999</v>
      </c>
      <c r="I24" s="168"/>
      <c r="J24" s="168"/>
      <c r="K24" s="60">
        <v>42292</v>
      </c>
      <c r="L24" s="90">
        <f>'Suivi EAU-ELEC'!G23</f>
        <v>5214</v>
      </c>
      <c r="M24" s="91">
        <f>'Suivi EAU-ELEC'!I23</f>
        <v>7779</v>
      </c>
      <c r="N24" s="91">
        <f>'Suivi EAU-ELEC'!K23</f>
        <v>4100</v>
      </c>
      <c r="O24" s="91">
        <f t="shared" si="1"/>
        <v>17093</v>
      </c>
      <c r="P24" s="12"/>
      <c r="Q24" s="34">
        <f>L24*0.6985+M24*0.9514+N24*1.3304</f>
        <v>16497.559600000001</v>
      </c>
      <c r="R24" s="12"/>
      <c r="S24" s="28"/>
      <c r="T24" s="14"/>
      <c r="U24" s="28"/>
      <c r="V24" s="146">
        <f>'Suvi Gaz'!O18</f>
        <v>383.99052</v>
      </c>
      <c r="W24" s="11"/>
      <c r="X24" s="34">
        <f t="shared" si="3"/>
        <v>4700.0439648000001</v>
      </c>
    </row>
    <row r="25" spans="1:24" ht="32.25" customHeight="1" x14ac:dyDescent="0.2">
      <c r="A25" s="2"/>
      <c r="B25" s="6">
        <v>44850</v>
      </c>
      <c r="C25" s="7"/>
      <c r="D25" s="143">
        <v>113</v>
      </c>
      <c r="E25" s="143">
        <v>192</v>
      </c>
      <c r="F25" s="13">
        <f>'Suivi EAU-ELEC'!E24</f>
        <v>145</v>
      </c>
      <c r="G25" s="14"/>
      <c r="H25" s="167">
        <f t="shared" si="5"/>
        <v>1274.55</v>
      </c>
      <c r="I25" s="168"/>
      <c r="J25" s="168"/>
      <c r="K25" s="60">
        <v>42293</v>
      </c>
      <c r="L25" s="90">
        <f>'Suivi EAU-ELEC'!G24</f>
        <v>5383</v>
      </c>
      <c r="M25" s="91">
        <f>'Suivi EAU-ELEC'!I24</f>
        <v>9128</v>
      </c>
      <c r="N25" s="91">
        <f>'Suivi EAU-ELEC'!K24</f>
        <v>4759</v>
      </c>
      <c r="O25" s="91">
        <f t="shared" si="1"/>
        <v>19270</v>
      </c>
      <c r="P25" s="12"/>
      <c r="Q25" s="34">
        <f>L25*0.6985+M25*0.9514+N25*1.3304</f>
        <v>18775.778299999998</v>
      </c>
      <c r="R25" s="12"/>
      <c r="S25" s="28"/>
      <c r="T25" s="14"/>
      <c r="U25" s="28"/>
      <c r="V25" s="146">
        <f>'Suvi Gaz'!O19</f>
        <v>287.99288999999999</v>
      </c>
      <c r="W25" s="11"/>
      <c r="X25" s="34">
        <f t="shared" si="3"/>
        <v>3525.0329735999999</v>
      </c>
    </row>
    <row r="26" spans="1:24" ht="32.25" customHeight="1" x14ac:dyDescent="0.2">
      <c r="A26" s="2"/>
      <c r="B26" s="6">
        <v>44851</v>
      </c>
      <c r="C26" s="7"/>
      <c r="D26" s="143">
        <v>153</v>
      </c>
      <c r="E26" s="143">
        <v>239</v>
      </c>
      <c r="F26" s="13">
        <f>'Suivi EAU-ELEC'!E25</f>
        <v>136</v>
      </c>
      <c r="G26" s="14"/>
      <c r="H26" s="167">
        <f t="shared" si="5"/>
        <v>1195.4399999999998</v>
      </c>
      <c r="I26" s="168"/>
      <c r="J26" s="168"/>
      <c r="K26" s="60">
        <v>42294</v>
      </c>
      <c r="L26" s="90">
        <f>'Suivi EAU-ELEC'!G25</f>
        <v>4798</v>
      </c>
      <c r="M26" s="91">
        <f>'Suivi EAU-ELEC'!I25</f>
        <v>8052</v>
      </c>
      <c r="N26" s="91">
        <f>'Suivi EAU-ELEC'!K25</f>
        <v>3815</v>
      </c>
      <c r="O26" s="91">
        <f t="shared" si="1"/>
        <v>16665</v>
      </c>
      <c r="P26" s="14"/>
      <c r="Q26" s="34">
        <f>L26*0.6985+M26*0.9514+N26*1.3304</f>
        <v>16087.551800000001</v>
      </c>
      <c r="R26" s="14"/>
      <c r="S26" s="28"/>
      <c r="T26" s="14"/>
      <c r="U26" s="28"/>
      <c r="V26" s="146">
        <f>'Suvi Gaz'!O20</f>
        <v>255.99368000000001</v>
      </c>
      <c r="W26" s="11"/>
      <c r="X26" s="34">
        <f t="shared" si="3"/>
        <v>3133.3626432000001</v>
      </c>
    </row>
    <row r="27" spans="1:24" ht="32.25" customHeight="1" x14ac:dyDescent="0.2">
      <c r="A27" s="2"/>
      <c r="B27" s="6">
        <v>44852</v>
      </c>
      <c r="C27" s="7"/>
      <c r="D27" s="143">
        <v>158</v>
      </c>
      <c r="E27" s="143">
        <v>235</v>
      </c>
      <c r="F27" s="13">
        <f>'Suivi EAU-ELEC'!E26</f>
        <v>132</v>
      </c>
      <c r="G27" s="14"/>
      <c r="H27" s="167">
        <f t="shared" si="5"/>
        <v>1160.28</v>
      </c>
      <c r="I27" s="168"/>
      <c r="J27" s="168"/>
      <c r="K27" s="60">
        <v>42295</v>
      </c>
      <c r="L27" s="90">
        <f>'Suivi EAU-ELEC'!G26</f>
        <v>4978</v>
      </c>
      <c r="M27" s="91">
        <f>'Suivi EAU-ELEC'!I26</f>
        <v>8111</v>
      </c>
      <c r="N27" s="91">
        <f>'Suivi EAU-ELEC'!K26</f>
        <v>4245</v>
      </c>
      <c r="O27" s="91">
        <f t="shared" si="1"/>
        <v>17334</v>
      </c>
      <c r="P27" s="14"/>
      <c r="Q27" s="34">
        <f t="shared" si="4"/>
        <v>16841.486400000002</v>
      </c>
      <c r="R27" s="14"/>
      <c r="S27" s="28"/>
      <c r="T27" s="14"/>
      <c r="U27" s="28"/>
      <c r="V27" s="146">
        <f>'Suvi Gaz'!O21</f>
        <v>511.98736000000002</v>
      </c>
      <c r="W27" s="11"/>
      <c r="X27" s="34">
        <f t="shared" si="3"/>
        <v>6266.7252864000002</v>
      </c>
    </row>
    <row r="28" spans="1:24" ht="32.25" customHeight="1" x14ac:dyDescent="0.2">
      <c r="A28" s="2"/>
      <c r="B28" s="6">
        <v>44853</v>
      </c>
      <c r="C28" s="7"/>
      <c r="D28" s="143">
        <v>159</v>
      </c>
      <c r="E28" s="143">
        <v>229</v>
      </c>
      <c r="F28" s="13">
        <f>'Suivi EAU-ELEC'!E27</f>
        <v>200.39999999999418</v>
      </c>
      <c r="G28" s="11"/>
      <c r="H28" s="167">
        <f t="shared" si="5"/>
        <v>1761.5159999999487</v>
      </c>
      <c r="I28" s="168"/>
      <c r="J28" s="168"/>
      <c r="K28" s="60">
        <v>42296</v>
      </c>
      <c r="L28" s="90">
        <f>'Suivi EAU-ELEC'!G27</f>
        <v>5641</v>
      </c>
      <c r="M28" s="91">
        <f>'Suivi EAU-ELEC'!I27</f>
        <v>8154</v>
      </c>
      <c r="N28" s="91">
        <f>'Suivi EAU-ELEC'!K27</f>
        <v>4006</v>
      </c>
      <c r="O28" s="91">
        <f t="shared" si="1"/>
        <v>17801</v>
      </c>
      <c r="P28" s="11"/>
      <c r="Q28" s="34">
        <f>L28*0.6985+M28*0.9514+N28*1.3304</f>
        <v>17027.536500000002</v>
      </c>
      <c r="R28" s="11"/>
      <c r="S28" s="28"/>
      <c r="T28" s="11"/>
      <c r="U28" s="28"/>
      <c r="V28" s="146">
        <f>'Suvi Gaz'!O22</f>
        <v>415.98973000000001</v>
      </c>
      <c r="W28" s="11"/>
      <c r="X28" s="34">
        <f t="shared" si="3"/>
        <v>5091.7142952000004</v>
      </c>
    </row>
    <row r="29" spans="1:24" ht="32.25" customHeight="1" x14ac:dyDescent="0.2">
      <c r="A29" s="2"/>
      <c r="B29" s="6">
        <v>44854</v>
      </c>
      <c r="C29" s="7"/>
      <c r="D29" s="143">
        <v>166</v>
      </c>
      <c r="E29" s="143">
        <v>260</v>
      </c>
      <c r="F29" s="13">
        <f>'Suivi EAU-ELEC'!E28</f>
        <v>145.39999999999418</v>
      </c>
      <c r="G29" s="11"/>
      <c r="H29" s="167">
        <f t="shared" si="5"/>
        <v>1278.0659999999486</v>
      </c>
      <c r="I29" s="168"/>
      <c r="J29" s="168"/>
      <c r="K29" s="60">
        <v>42297</v>
      </c>
      <c r="L29" s="90">
        <f>'Suivi EAU-ELEC'!G28</f>
        <v>6358</v>
      </c>
      <c r="M29" s="91">
        <f>'Suivi EAU-ELEC'!I28</f>
        <v>9018</v>
      </c>
      <c r="N29" s="91">
        <f>'Suivi EAU-ELEC'!K28</f>
        <v>4089</v>
      </c>
      <c r="O29" s="91">
        <f t="shared" si="1"/>
        <v>19465</v>
      </c>
      <c r="P29" s="11"/>
      <c r="Q29" s="34">
        <f t="shared" si="4"/>
        <v>18460.793799999999</v>
      </c>
      <c r="R29" s="11"/>
      <c r="S29" s="28"/>
      <c r="T29" s="11"/>
      <c r="U29" s="28"/>
      <c r="V29" s="146">
        <f>'Suvi Gaz'!O23</f>
        <v>479.98815000000002</v>
      </c>
      <c r="W29" s="11"/>
      <c r="X29" s="34">
        <f t="shared" si="3"/>
        <v>5875.0549559999999</v>
      </c>
    </row>
    <row r="30" spans="1:24" ht="32.25" customHeight="1" x14ac:dyDescent="0.2">
      <c r="A30" s="2"/>
      <c r="B30" s="6">
        <v>44855</v>
      </c>
      <c r="C30" s="7"/>
      <c r="D30" s="143">
        <v>143</v>
      </c>
      <c r="E30" s="143">
        <v>233</v>
      </c>
      <c r="F30" s="13">
        <f>'Suivi EAU-ELEC'!E29</f>
        <v>141.20000000001164</v>
      </c>
      <c r="G30" s="11"/>
      <c r="H30" s="167">
        <f t="shared" si="5"/>
        <v>1241.1480000001022</v>
      </c>
      <c r="I30" s="168"/>
      <c r="J30" s="168"/>
      <c r="K30" s="60">
        <v>42298</v>
      </c>
      <c r="L30" s="90">
        <f>'Suivi EAU-ELEC'!G29</f>
        <v>5337</v>
      </c>
      <c r="M30" s="91">
        <f>'Suivi EAU-ELEC'!I29</f>
        <v>8484</v>
      </c>
      <c r="N30" s="91">
        <f>'Suivi EAU-ELEC'!K29</f>
        <v>4221</v>
      </c>
      <c r="O30" s="91">
        <f t="shared" si="1"/>
        <v>18042</v>
      </c>
      <c r="P30" s="11"/>
      <c r="Q30" s="34">
        <f>L30*0.6985+M30*0.9514+N30*1.3304</f>
        <v>17415.190500000001</v>
      </c>
      <c r="R30" s="11"/>
      <c r="S30" s="28"/>
      <c r="T30" s="11"/>
      <c r="U30" s="28"/>
      <c r="V30" s="146">
        <f>'Suvi Gaz'!O24</f>
        <v>223.99447000000001</v>
      </c>
      <c r="W30" s="11"/>
      <c r="X30" s="34">
        <f t="shared" si="3"/>
        <v>2741.6923128000003</v>
      </c>
    </row>
    <row r="31" spans="1:24" ht="27.75" customHeight="1" x14ac:dyDescent="0.2">
      <c r="A31" s="2"/>
      <c r="B31" s="6">
        <v>44856</v>
      </c>
      <c r="C31" s="7"/>
      <c r="D31" s="143">
        <v>147</v>
      </c>
      <c r="E31" s="143">
        <v>253</v>
      </c>
      <c r="F31" s="13">
        <f>'Suivi EAU-ELEC'!E30</f>
        <v>139</v>
      </c>
      <c r="G31" s="11"/>
      <c r="H31" s="167">
        <f t="shared" si="5"/>
        <v>1221.81</v>
      </c>
      <c r="I31" s="168"/>
      <c r="J31" s="168"/>
      <c r="K31" s="60">
        <v>42299</v>
      </c>
      <c r="L31" s="90">
        <f>'Suivi EAU-ELEC'!G30</f>
        <v>4940</v>
      </c>
      <c r="M31" s="91">
        <f>'Suivi EAU-ELEC'!I30</f>
        <v>7519</v>
      </c>
      <c r="N31" s="91">
        <f>'Suivi EAU-ELEC'!K30</f>
        <v>3668</v>
      </c>
      <c r="O31" s="91">
        <f t="shared" si="1"/>
        <v>16127</v>
      </c>
      <c r="P31" s="11"/>
      <c r="Q31" s="34">
        <f>L31*0.6985+M31*0.9514+N31*1.3304</f>
        <v>15484.0738</v>
      </c>
      <c r="R31" s="11"/>
      <c r="S31" s="28"/>
      <c r="T31" s="11"/>
      <c r="U31" s="28"/>
      <c r="V31" s="146">
        <f>'Suvi Gaz'!O25</f>
        <v>351.99131</v>
      </c>
      <c r="W31" s="11"/>
      <c r="X31" s="34">
        <f t="shared" si="3"/>
        <v>4308.3736343999999</v>
      </c>
    </row>
    <row r="32" spans="1:24" ht="37.5" customHeight="1" x14ac:dyDescent="0.2">
      <c r="A32" s="2"/>
      <c r="B32" s="6">
        <v>44857</v>
      </c>
      <c r="C32" s="7"/>
      <c r="D32" s="143">
        <v>133</v>
      </c>
      <c r="E32" s="143">
        <v>216</v>
      </c>
      <c r="F32" s="13">
        <f>'Suivi EAU-ELEC'!E31</f>
        <v>140</v>
      </c>
      <c r="G32" s="11"/>
      <c r="H32" s="167">
        <f t="shared" si="5"/>
        <v>1230.5999999999999</v>
      </c>
      <c r="I32" s="168"/>
      <c r="J32" s="168"/>
      <c r="K32" s="60">
        <v>42300</v>
      </c>
      <c r="L32" s="90">
        <f>'Suivi EAU-ELEC'!G31</f>
        <v>4932</v>
      </c>
      <c r="M32" s="91">
        <f>'Suivi EAU-ELEC'!I31</f>
        <v>8397</v>
      </c>
      <c r="N32" s="91">
        <f>'Suivi EAU-ELEC'!K31</f>
        <v>3987</v>
      </c>
      <c r="O32" s="91">
        <f t="shared" si="1"/>
        <v>17316</v>
      </c>
      <c r="P32" s="11"/>
      <c r="Q32" s="34">
        <f t="shared" si="4"/>
        <v>16738.212599999999</v>
      </c>
      <c r="R32" s="11"/>
      <c r="S32" s="28"/>
      <c r="T32" s="11"/>
      <c r="U32" s="28"/>
      <c r="V32" s="146">
        <f>'Suvi Gaz'!O26</f>
        <v>319.99209999999999</v>
      </c>
      <c r="W32" s="11"/>
      <c r="X32" s="34">
        <f t="shared" si="3"/>
        <v>3916.7033040000001</v>
      </c>
    </row>
    <row r="33" spans="1:24" ht="37.5" customHeight="1" x14ac:dyDescent="0.2">
      <c r="A33" s="2"/>
      <c r="B33" s="6">
        <v>44858</v>
      </c>
      <c r="C33" s="7"/>
      <c r="D33" s="143">
        <v>152</v>
      </c>
      <c r="E33" s="143">
        <v>229</v>
      </c>
      <c r="F33" s="13">
        <f>'Suivi EAU-ELEC'!E32</f>
        <v>138</v>
      </c>
      <c r="G33" s="11"/>
      <c r="H33" s="167">
        <f t="shared" si="5"/>
        <v>1213.02</v>
      </c>
      <c r="I33" s="168"/>
      <c r="J33" s="168"/>
      <c r="K33" s="60">
        <v>42301</v>
      </c>
      <c r="L33" s="90">
        <f>'Suivi EAU-ELEC'!G32</f>
        <v>4862</v>
      </c>
      <c r="M33" s="91">
        <f>'Suivi EAU-ELEC'!I32</f>
        <v>7702</v>
      </c>
      <c r="N33" s="91">
        <f>'Suivi EAU-ELEC'!K32</f>
        <v>3721</v>
      </c>
      <c r="O33" s="91">
        <f t="shared" si="1"/>
        <v>16285</v>
      </c>
      <c r="P33" s="11"/>
      <c r="Q33" s="34">
        <f t="shared" si="4"/>
        <v>15674.208200000001</v>
      </c>
      <c r="R33" s="11"/>
      <c r="S33" s="28"/>
      <c r="T33" s="11"/>
      <c r="U33" s="28"/>
      <c r="V33" s="146">
        <f>'Suvi Gaz'!O27</f>
        <v>863.97867000000008</v>
      </c>
      <c r="W33" s="11"/>
      <c r="X33" s="34">
        <f t="shared" si="3"/>
        <v>10575.098920800001</v>
      </c>
    </row>
    <row r="34" spans="1:24" ht="37.5" customHeight="1" x14ac:dyDescent="0.2">
      <c r="A34" s="2"/>
      <c r="B34" s="6">
        <v>44859</v>
      </c>
      <c r="C34" s="7"/>
      <c r="D34" s="143">
        <v>116</v>
      </c>
      <c r="E34" s="143">
        <v>173</v>
      </c>
      <c r="F34" s="13">
        <f>'Suivi EAU-ELEC'!E33</f>
        <v>184.10000000000582</v>
      </c>
      <c r="G34" s="11"/>
      <c r="H34" s="167">
        <f t="shared" si="5"/>
        <v>1618.239000000051</v>
      </c>
      <c r="I34" s="168"/>
      <c r="J34" s="168"/>
      <c r="K34" s="60">
        <v>42302</v>
      </c>
      <c r="L34" s="90">
        <f>'Suivi EAU-ELEC'!G33</f>
        <v>4727</v>
      </c>
      <c r="M34" s="91">
        <f>'Suivi EAU-ELEC'!I33</f>
        <v>7499</v>
      </c>
      <c r="N34" s="91">
        <f>'Suivi EAU-ELEC'!K33</f>
        <v>3635</v>
      </c>
      <c r="O34" s="91">
        <f t="shared" si="1"/>
        <v>15861</v>
      </c>
      <c r="P34" s="11"/>
      <c r="Q34" s="34">
        <f t="shared" si="4"/>
        <v>15272.362099999998</v>
      </c>
      <c r="R34" s="11"/>
      <c r="S34" s="28"/>
      <c r="T34" s="11"/>
      <c r="U34" s="28"/>
      <c r="V34" s="146">
        <f>'Suvi Gaz'!O28</f>
        <v>319.99209999999999</v>
      </c>
      <c r="W34" s="11"/>
      <c r="X34" s="34">
        <f t="shared" si="3"/>
        <v>3916.7033040000001</v>
      </c>
    </row>
    <row r="35" spans="1:24" ht="33.75" customHeight="1" x14ac:dyDescent="0.2">
      <c r="A35" s="2"/>
      <c r="B35" s="6">
        <v>44860</v>
      </c>
      <c r="C35" s="7"/>
      <c r="D35" s="143">
        <v>139</v>
      </c>
      <c r="E35" s="143">
        <v>201</v>
      </c>
      <c r="F35" s="13">
        <f>'Suivi EAU-ELEC'!E34</f>
        <v>103.89999999999418</v>
      </c>
      <c r="G35" s="11"/>
      <c r="H35" s="167">
        <f t="shared" si="5"/>
        <v>913.28099999994879</v>
      </c>
      <c r="I35" s="168"/>
      <c r="J35" s="168"/>
      <c r="K35" s="60">
        <v>42303</v>
      </c>
      <c r="L35" s="90">
        <f>'Suivi EAU-ELEC'!G34</f>
        <v>4874</v>
      </c>
      <c r="M35" s="91">
        <f>'Suivi EAU-ELEC'!I34</f>
        <v>7554</v>
      </c>
      <c r="N35" s="91">
        <f>'Suivi EAU-ELEC'!K34</f>
        <v>3817</v>
      </c>
      <c r="O35" s="91">
        <f t="shared" si="1"/>
        <v>16245</v>
      </c>
      <c r="P35" s="11"/>
      <c r="Q35" s="34">
        <f t="shared" si="4"/>
        <v>15669.501400000001</v>
      </c>
      <c r="R35" s="11"/>
      <c r="S35" s="28"/>
      <c r="T35" s="11"/>
      <c r="U35" s="28"/>
      <c r="V35" s="146">
        <f>'Suvi Gaz'!O29</f>
        <v>319.99209999999999</v>
      </c>
      <c r="W35" s="11"/>
      <c r="X35" s="34">
        <f t="shared" si="3"/>
        <v>3916.7033040000001</v>
      </c>
    </row>
    <row r="36" spans="1:24" ht="33.75" customHeight="1" x14ac:dyDescent="0.2">
      <c r="A36" s="2"/>
      <c r="B36" s="6">
        <v>44861</v>
      </c>
      <c r="C36" s="7"/>
      <c r="D36" s="143">
        <v>142</v>
      </c>
      <c r="E36" s="143">
        <v>212</v>
      </c>
      <c r="F36" s="13">
        <f>'Suivi EAU-ELEC'!E35</f>
        <v>137</v>
      </c>
      <c r="G36" s="11"/>
      <c r="H36" s="167">
        <f t="shared" ref="H36:H37" si="6">F36*8.79</f>
        <v>1204.2299999999998</v>
      </c>
      <c r="I36" s="168"/>
      <c r="J36" s="168"/>
      <c r="K36" s="60"/>
      <c r="L36" s="90">
        <f>'Suivi EAU-ELEC'!G35</f>
        <v>4664</v>
      </c>
      <c r="M36" s="91">
        <f>'Suivi EAU-ELEC'!I35</f>
        <v>7585</v>
      </c>
      <c r="N36" s="91">
        <f>'Suivi EAU-ELEC'!K35</f>
        <v>3819</v>
      </c>
      <c r="O36" s="91">
        <f t="shared" si="1"/>
        <v>16068</v>
      </c>
      <c r="P36" s="11"/>
      <c r="Q36" s="34">
        <f t="shared" si="4"/>
        <v>15554.970600000001</v>
      </c>
      <c r="R36" s="11"/>
      <c r="S36" s="28"/>
      <c r="T36" s="11"/>
      <c r="U36" s="28"/>
      <c r="V36" s="146">
        <f>'Suvi Gaz'!O30</f>
        <v>319.99209999999999</v>
      </c>
      <c r="W36" s="11"/>
      <c r="X36" s="34">
        <f t="shared" si="3"/>
        <v>3916.7033040000001</v>
      </c>
    </row>
    <row r="37" spans="1:24" ht="33.75" customHeight="1" x14ac:dyDescent="0.2">
      <c r="A37" s="2"/>
      <c r="B37" s="6">
        <v>44862</v>
      </c>
      <c r="C37" s="7"/>
      <c r="D37" s="143">
        <v>113</v>
      </c>
      <c r="E37" s="143">
        <v>191</v>
      </c>
      <c r="F37" s="13">
        <f>'Suivi EAU-ELEC'!E36</f>
        <v>151.89999999999418</v>
      </c>
      <c r="G37" s="11"/>
      <c r="H37" s="167">
        <f t="shared" si="6"/>
        <v>1335.2009999999486</v>
      </c>
      <c r="I37" s="168"/>
      <c r="J37" s="168"/>
      <c r="K37" s="60"/>
      <c r="L37" s="90">
        <f>'Suivi EAU-ELEC'!G36</f>
        <v>5421</v>
      </c>
      <c r="M37" s="91">
        <f>'Suivi EAU-ELEC'!I36</f>
        <v>7403</v>
      </c>
      <c r="N37" s="91">
        <f>'Suivi EAU-ELEC'!K36</f>
        <v>3728</v>
      </c>
      <c r="O37" s="91">
        <f t="shared" si="1"/>
        <v>16552</v>
      </c>
      <c r="P37" s="11"/>
      <c r="Q37" s="34">
        <f>L37*0.6985+M37*0.9514+N37*1.3304</f>
        <v>15789.5139</v>
      </c>
      <c r="R37" s="11"/>
      <c r="S37" s="28"/>
      <c r="T37" s="11"/>
      <c r="U37" s="28"/>
      <c r="V37" s="146">
        <f>'Suvi Gaz'!O31</f>
        <v>511.98736000000002</v>
      </c>
      <c r="W37" s="11"/>
      <c r="X37" s="34">
        <f t="shared" si="3"/>
        <v>6266.7252864000002</v>
      </c>
    </row>
    <row r="38" spans="1:24" ht="33.75" customHeight="1" x14ac:dyDescent="0.2">
      <c r="A38" s="2"/>
      <c r="B38" s="6">
        <v>44863</v>
      </c>
      <c r="C38" s="7"/>
      <c r="D38" s="143">
        <v>153</v>
      </c>
      <c r="E38" s="143">
        <v>256</v>
      </c>
      <c r="F38" s="13">
        <f>'Suivi EAU-ELEC'!E37</f>
        <v>165.60000000000582</v>
      </c>
      <c r="G38" s="11"/>
      <c r="H38" s="167">
        <f>F38*8.79</f>
        <v>1455.624000000051</v>
      </c>
      <c r="I38" s="168"/>
      <c r="J38" s="168"/>
      <c r="K38" s="60">
        <v>42304</v>
      </c>
      <c r="L38" s="90">
        <f>'Suivi EAU-ELEC'!G37</f>
        <v>5751</v>
      </c>
      <c r="M38" s="91">
        <f>'Suivi EAU-ELEC'!I37</f>
        <v>7361</v>
      </c>
      <c r="N38" s="91">
        <f>'Suivi EAU-ELEC'!K37</f>
        <v>3837</v>
      </c>
      <c r="O38" s="91">
        <f t="shared" si="1"/>
        <v>16949</v>
      </c>
      <c r="P38" s="11"/>
      <c r="Q38" s="34">
        <f>L38*0.6985+M38*0.9514+N38*1.3304</f>
        <v>16125.073700000001</v>
      </c>
      <c r="R38" s="11"/>
      <c r="S38" s="28"/>
      <c r="T38" s="11"/>
      <c r="U38" s="28"/>
      <c r="V38" s="146">
        <f>'Suvi Gaz'!O32</f>
        <v>127.99684000000001</v>
      </c>
      <c r="W38" s="11"/>
      <c r="X38" s="34">
        <f t="shared" si="3"/>
        <v>1566.6813216</v>
      </c>
    </row>
    <row r="39" spans="1:24" ht="33.75" customHeight="1" x14ac:dyDescent="0.2">
      <c r="A39" s="2"/>
      <c r="B39" s="6">
        <v>44864</v>
      </c>
      <c r="C39" s="7"/>
      <c r="D39" s="143">
        <v>135</v>
      </c>
      <c r="E39" s="143">
        <v>221</v>
      </c>
      <c r="F39" s="13">
        <f>'Suivi EAU-ELEC'!E38</f>
        <v>151.5</v>
      </c>
      <c r="G39" s="11"/>
      <c r="H39" s="167">
        <f>F39*8.79</f>
        <v>1331.6849999999999</v>
      </c>
      <c r="I39" s="168"/>
      <c r="J39" s="168"/>
      <c r="K39" s="60"/>
      <c r="L39" s="90">
        <f>'Suivi EAU-ELEC'!G38</f>
        <v>4749</v>
      </c>
      <c r="M39" s="91">
        <f>'Suivi EAU-ELEC'!I38</f>
        <v>7718</v>
      </c>
      <c r="N39" s="91">
        <f>'Suivi EAU-ELEC'!K38</f>
        <v>3765</v>
      </c>
      <c r="O39" s="91">
        <f t="shared" si="1"/>
        <v>16232</v>
      </c>
      <c r="P39" s="11"/>
      <c r="Q39" s="34">
        <f>L39*0.6985+M39*0.9514+N39*1.3304</f>
        <v>15669.037700000001</v>
      </c>
      <c r="R39" s="11"/>
      <c r="S39" s="28"/>
      <c r="T39" s="11"/>
      <c r="U39" s="28"/>
      <c r="V39" s="146">
        <f>'Suvi Gaz'!O33</f>
        <v>287.99288999999999</v>
      </c>
      <c r="W39" s="11"/>
      <c r="X39" s="34">
        <f t="shared" si="3"/>
        <v>3525.0329735999999</v>
      </c>
    </row>
    <row r="40" spans="1:24" ht="33.75" customHeight="1" x14ac:dyDescent="0.2">
      <c r="A40" s="2"/>
      <c r="B40" s="6">
        <v>44865</v>
      </c>
      <c r="C40" s="7"/>
      <c r="D40" s="143">
        <v>135</v>
      </c>
      <c r="E40" s="143">
        <v>214</v>
      </c>
      <c r="F40" s="13">
        <f>'Suivi EAU-ELEC'!E39</f>
        <v>159</v>
      </c>
      <c r="G40" s="11"/>
      <c r="H40" s="167">
        <f>F40*8.79</f>
        <v>1397.61</v>
      </c>
      <c r="I40" s="168"/>
      <c r="J40" s="168"/>
      <c r="K40" s="60"/>
      <c r="L40" s="90">
        <f>'Suivi EAU-ELEC'!G39</f>
        <v>4807</v>
      </c>
      <c r="M40" s="91">
        <f>'Suivi EAU-ELEC'!I39</f>
        <v>7909</v>
      </c>
      <c r="N40" s="91">
        <f>'Suivi EAU-ELEC'!K39</f>
        <v>3853</v>
      </c>
      <c r="O40" s="91">
        <f t="shared" si="1"/>
        <v>16569</v>
      </c>
      <c r="P40" s="11"/>
      <c r="Q40" s="34">
        <f t="shared" ref="Q40" si="7">L40*0.6985+M40*0.9514+N40*1.3304</f>
        <v>16008.3433</v>
      </c>
      <c r="R40" s="11"/>
      <c r="S40" s="28"/>
      <c r="T40" s="11"/>
      <c r="U40" s="28"/>
      <c r="V40" s="146">
        <f>'Suvi Gaz'!O34</f>
        <v>447.98894000000001</v>
      </c>
      <c r="W40" s="11"/>
      <c r="X40" s="34">
        <f t="shared" si="3"/>
        <v>5483.3846256000006</v>
      </c>
    </row>
    <row r="41" spans="1:24" ht="42.75" customHeight="1" x14ac:dyDescent="0.2">
      <c r="A41" s="2"/>
      <c r="B41" s="10"/>
      <c r="C41" s="10"/>
      <c r="D41" s="8">
        <f>SUM(D10:D40)</f>
        <v>4199</v>
      </c>
      <c r="E41" s="8">
        <f>SUM(E10:E40)</f>
        <v>6495</v>
      </c>
      <c r="F41" s="151">
        <f>SUM(F10:F40)</f>
        <v>4407.2999999999884</v>
      </c>
      <c r="G41" s="1"/>
      <c r="H41" s="205">
        <f>SUM(H10:H40)</f>
        <v>38740.166999999899</v>
      </c>
      <c r="I41" s="206"/>
      <c r="J41" s="207"/>
      <c r="K41" s="1"/>
      <c r="L41" s="53">
        <f>SUM(L10:L40)</f>
        <v>164369</v>
      </c>
      <c r="M41" s="53">
        <f>SUM(M10:M40)</f>
        <v>251102</v>
      </c>
      <c r="N41" s="54">
        <f>SUM(N10:N40)</f>
        <v>122649</v>
      </c>
      <c r="O41" s="55">
        <f>SUM(O10:O40)</f>
        <v>538120</v>
      </c>
      <c r="P41" s="31"/>
      <c r="Q41" s="34">
        <f t="shared" ref="Q41" si="8">L41*0.6985+M41*0.9514+N41*1.3304</f>
        <v>516882.41890000005</v>
      </c>
      <c r="R41" s="31"/>
      <c r="S41" s="30">
        <f>SUM(S10:S40)</f>
        <v>0</v>
      </c>
      <c r="T41" s="31"/>
      <c r="U41" s="30">
        <f>SUM(U10:U40)</f>
        <v>0</v>
      </c>
      <c r="V41" s="32">
        <f>SUM(V10:V40)</f>
        <v>11455.717179999996</v>
      </c>
      <c r="W41" s="31"/>
      <c r="X41" s="32">
        <f>SUM(X10:X40)</f>
        <v>140217.97828320001</v>
      </c>
    </row>
    <row r="42" spans="1:24" s="5" customFormat="1" ht="12.75" customHeight="1" x14ac:dyDescent="0.2">
      <c r="A42" s="2"/>
      <c r="B42" s="2"/>
      <c r="C42" s="2"/>
      <c r="D42" s="2"/>
      <c r="E42" s="2"/>
      <c r="F42" s="2"/>
      <c r="G42" s="2"/>
      <c r="H42" s="15"/>
      <c r="I42" s="2"/>
      <c r="J42" s="15"/>
      <c r="K42" s="2"/>
      <c r="O42" s="1"/>
      <c r="P42" s="1"/>
      <c r="Q42" s="2"/>
      <c r="R42" s="1"/>
      <c r="S42" s="2"/>
      <c r="T42" s="1"/>
      <c r="U42" s="2"/>
      <c r="V42" s="2"/>
      <c r="W42" s="1"/>
      <c r="X42" s="2"/>
    </row>
    <row r="43" spans="1:24" s="5" customFormat="1" ht="32.25" customHeight="1" thickBot="1" x14ac:dyDescent="0.25">
      <c r="A43" s="185" t="s">
        <v>33</v>
      </c>
      <c r="B43" s="186"/>
      <c r="C43" s="186"/>
      <c r="D43" s="186"/>
      <c r="E43" s="186"/>
      <c r="F43" s="187"/>
      <c r="G43" s="26"/>
      <c r="H43" s="27" t="s">
        <v>34</v>
      </c>
      <c r="I43" s="197" t="s">
        <v>35</v>
      </c>
      <c r="J43" s="198"/>
      <c r="K43" s="199"/>
      <c r="L43" s="228" t="s">
        <v>36</v>
      </c>
      <c r="M43" s="229"/>
      <c r="N43" s="185" t="s">
        <v>37</v>
      </c>
      <c r="O43" s="186"/>
      <c r="P43" s="186"/>
      <c r="Q43" s="186"/>
      <c r="R43" s="186"/>
      <c r="S43" s="186"/>
      <c r="T43" s="186"/>
      <c r="U43" s="186"/>
      <c r="V43" s="186"/>
      <c r="W43" s="186"/>
      <c r="X43" s="187"/>
    </row>
    <row r="44" spans="1:24" s="18" customFormat="1" ht="29.25" customHeight="1" thickBot="1" x14ac:dyDescent="0.25">
      <c r="A44" s="222" t="s">
        <v>38</v>
      </c>
      <c r="B44" s="223"/>
      <c r="C44" s="224"/>
      <c r="D44" s="156" t="s">
        <v>30</v>
      </c>
      <c r="E44" s="156" t="s">
        <v>30</v>
      </c>
      <c r="F44" s="156" t="s">
        <v>30</v>
      </c>
      <c r="G44" s="16"/>
      <c r="H44" s="17">
        <v>0.69850000000000001</v>
      </c>
      <c r="I44" s="219">
        <f>L41</f>
        <v>164369</v>
      </c>
      <c r="J44" s="220"/>
      <c r="K44" s="221"/>
      <c r="L44" s="203">
        <f>I44*H44</f>
        <v>114811.74650000001</v>
      </c>
      <c r="M44" s="204"/>
      <c r="N44" s="176">
        <f>L44+L45+L46</f>
        <v>516882.41890000005</v>
      </c>
      <c r="O44" s="177"/>
      <c r="P44" s="177"/>
      <c r="Q44" s="177"/>
      <c r="R44" s="177"/>
      <c r="S44" s="177"/>
      <c r="T44" s="177"/>
      <c r="U44" s="177"/>
      <c r="V44" s="177"/>
      <c r="W44" s="177"/>
      <c r="X44" s="178"/>
    </row>
    <row r="45" spans="1:24" s="18" customFormat="1" ht="29.25" customHeight="1" thickBot="1" x14ac:dyDescent="0.25">
      <c r="A45" s="225"/>
      <c r="B45" s="226"/>
      <c r="C45" s="227"/>
      <c r="D45" s="155" t="s">
        <v>31</v>
      </c>
      <c r="E45" s="155" t="s">
        <v>31</v>
      </c>
      <c r="F45" s="155" t="s">
        <v>31</v>
      </c>
      <c r="G45" s="16"/>
      <c r="H45" s="19">
        <v>0.95140000000000002</v>
      </c>
      <c r="I45" s="219">
        <f>M41</f>
        <v>251102</v>
      </c>
      <c r="J45" s="220"/>
      <c r="K45" s="221"/>
      <c r="L45" s="203">
        <f>I45*H45</f>
        <v>238898.44280000002</v>
      </c>
      <c r="M45" s="204"/>
      <c r="N45" s="179"/>
      <c r="O45" s="180"/>
      <c r="P45" s="180"/>
      <c r="Q45" s="180"/>
      <c r="R45" s="180"/>
      <c r="S45" s="180"/>
      <c r="T45" s="180"/>
      <c r="U45" s="180"/>
      <c r="V45" s="180"/>
      <c r="W45" s="180"/>
      <c r="X45" s="181"/>
    </row>
    <row r="46" spans="1:24" s="18" customFormat="1" ht="24.75" customHeight="1" thickBot="1" x14ac:dyDescent="0.25">
      <c r="A46" s="225"/>
      <c r="B46" s="226"/>
      <c r="C46" s="227"/>
      <c r="D46" s="161" t="s">
        <v>32</v>
      </c>
      <c r="E46" s="161" t="s">
        <v>32</v>
      </c>
      <c r="F46" s="161" t="s">
        <v>32</v>
      </c>
      <c r="G46" s="20"/>
      <c r="H46" s="20">
        <v>1.3304</v>
      </c>
      <c r="I46" s="194">
        <f>N41</f>
        <v>122649</v>
      </c>
      <c r="J46" s="195"/>
      <c r="K46" s="196"/>
      <c r="L46" s="203">
        <f>I46*H46</f>
        <v>163172.22959999999</v>
      </c>
      <c r="M46" s="204"/>
      <c r="N46" s="182"/>
      <c r="O46" s="183"/>
      <c r="P46" s="183"/>
      <c r="Q46" s="183"/>
      <c r="R46" s="183"/>
      <c r="S46" s="183"/>
      <c r="T46" s="183"/>
      <c r="U46" s="183"/>
      <c r="V46" s="183"/>
      <c r="W46" s="183"/>
      <c r="X46" s="184"/>
    </row>
    <row r="47" spans="1:24" s="18" customFormat="1" ht="43.5" customHeight="1" thickBot="1" x14ac:dyDescent="0.25">
      <c r="A47" s="157"/>
      <c r="B47" s="158"/>
      <c r="C47" s="158"/>
      <c r="D47" s="161"/>
      <c r="E47" s="161"/>
      <c r="F47" s="161"/>
      <c r="G47" s="16"/>
      <c r="H47" s="16"/>
      <c r="I47" s="159"/>
      <c r="J47" s="160"/>
      <c r="K47" s="161"/>
      <c r="L47" s="152"/>
      <c r="M47" s="153"/>
      <c r="N47" s="200">
        <f>N44*1.3</f>
        <v>671947.14457000012</v>
      </c>
      <c r="O47" s="201"/>
      <c r="P47" s="201"/>
      <c r="Q47" s="201"/>
      <c r="R47" s="201"/>
      <c r="S47" s="201"/>
      <c r="T47" s="201"/>
      <c r="U47" s="201"/>
      <c r="V47" s="201"/>
      <c r="W47" s="201"/>
      <c r="X47" s="202"/>
    </row>
    <row r="48" spans="1:24" s="23" customFormat="1" ht="32.25" customHeight="1" thickBot="1" x14ac:dyDescent="0.25">
      <c r="A48" s="214" t="s">
        <v>39</v>
      </c>
      <c r="B48" s="215"/>
      <c r="C48" s="215"/>
      <c r="D48" s="215"/>
      <c r="E48" s="215"/>
      <c r="F48" s="216"/>
      <c r="G48" s="21"/>
      <c r="H48" s="22">
        <v>8.7899999999999991</v>
      </c>
      <c r="I48" s="214">
        <f>F41</f>
        <v>4407.2999999999884</v>
      </c>
      <c r="J48" s="215"/>
      <c r="K48" s="216"/>
      <c r="L48" s="217">
        <f>I48*H48</f>
        <v>38740.166999999892</v>
      </c>
      <c r="M48" s="218"/>
      <c r="N48" s="173">
        <f>L48</f>
        <v>38740.166999999892</v>
      </c>
      <c r="O48" s="174"/>
      <c r="P48" s="174"/>
      <c r="Q48" s="174"/>
      <c r="R48" s="174"/>
      <c r="S48" s="174"/>
      <c r="T48" s="174"/>
      <c r="U48" s="174"/>
      <c r="V48" s="174"/>
      <c r="W48" s="174"/>
      <c r="X48" s="175"/>
    </row>
    <row r="49" spans="1:24" s="23" customFormat="1" ht="36.75" customHeight="1" x14ac:dyDescent="0.2">
      <c r="A49" s="188" t="s">
        <v>40</v>
      </c>
      <c r="B49" s="189"/>
      <c r="C49" s="189"/>
      <c r="D49" s="189"/>
      <c r="E49" s="189"/>
      <c r="F49" s="190"/>
      <c r="G49" s="24"/>
      <c r="H49" s="25">
        <v>12.24</v>
      </c>
      <c r="I49" s="191">
        <f>V41</f>
        <v>11455.717179999996</v>
      </c>
      <c r="J49" s="192"/>
      <c r="K49" s="193"/>
      <c r="L49" s="191">
        <f>I49*H49</f>
        <v>140217.97828319995</v>
      </c>
      <c r="M49" s="193"/>
      <c r="N49" s="170">
        <f>L49</f>
        <v>140217.97828319995</v>
      </c>
      <c r="O49" s="171"/>
      <c r="P49" s="171"/>
      <c r="Q49" s="171"/>
      <c r="R49" s="171"/>
      <c r="S49" s="171"/>
      <c r="T49" s="171"/>
      <c r="U49" s="171"/>
      <c r="V49" s="171"/>
      <c r="W49" s="171"/>
      <c r="X49" s="172"/>
    </row>
    <row r="50" spans="1:24" ht="27" customHeight="1" x14ac:dyDescent="0.2">
      <c r="A50" s="2"/>
      <c r="B50" s="2"/>
      <c r="C50" s="2"/>
      <c r="D50" s="2"/>
      <c r="E50" s="2"/>
      <c r="F50" s="2"/>
      <c r="G50" s="33"/>
      <c r="H50" s="33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33"/>
      <c r="U50" s="33"/>
      <c r="V50" s="33"/>
      <c r="W50" s="33"/>
      <c r="X50" s="33"/>
    </row>
    <row r="51" spans="1:24" ht="18.75" customHeight="1" x14ac:dyDescent="0.2"/>
    <row r="55" spans="1:24" ht="39" customHeight="1" x14ac:dyDescent="0.2">
      <c r="B55" s="169"/>
      <c r="C55" s="169"/>
      <c r="D55" s="169"/>
      <c r="E55" s="169"/>
      <c r="F55" s="169"/>
      <c r="G55" s="169"/>
      <c r="H55" s="169"/>
      <c r="I55" s="169"/>
      <c r="J55" s="169"/>
      <c r="K55" s="169"/>
      <c r="L55" s="169"/>
      <c r="M55" s="169"/>
      <c r="N55" s="169"/>
      <c r="O55" s="169"/>
      <c r="P55" s="169"/>
      <c r="Q55" s="169"/>
      <c r="R55" s="169"/>
      <c r="S55" s="169"/>
      <c r="T55" s="169"/>
      <c r="U55" s="169"/>
      <c r="V55" s="169"/>
      <c r="W55" s="169"/>
      <c r="X55" s="169"/>
    </row>
  </sheetData>
  <mergeCells count="73">
    <mergeCell ref="H38:J38"/>
    <mergeCell ref="L44:M44"/>
    <mergeCell ref="H33:J33"/>
    <mergeCell ref="H31:J31"/>
    <mergeCell ref="H35:J35"/>
    <mergeCell ref="H36:J36"/>
    <mergeCell ref="H37:J37"/>
    <mergeCell ref="H40:J40"/>
    <mergeCell ref="H39:J39"/>
    <mergeCell ref="H25:J25"/>
    <mergeCell ref="H20:J20"/>
    <mergeCell ref="H24:J24"/>
    <mergeCell ref="H21:J21"/>
    <mergeCell ref="H19:J19"/>
    <mergeCell ref="H23:J23"/>
    <mergeCell ref="H11:J11"/>
    <mergeCell ref="K8:K9"/>
    <mergeCell ref="H22:J22"/>
    <mergeCell ref="H10:J10"/>
    <mergeCell ref="H12:J12"/>
    <mergeCell ref="H14:J14"/>
    <mergeCell ref="H18:J18"/>
    <mergeCell ref="H17:J17"/>
    <mergeCell ref="H16:J16"/>
    <mergeCell ref="H13:J13"/>
    <mergeCell ref="S8:S9"/>
    <mergeCell ref="L8:N8"/>
    <mergeCell ref="F8:F9"/>
    <mergeCell ref="H15:J15"/>
    <mergeCell ref="A2:H2"/>
    <mergeCell ref="A4:C5"/>
    <mergeCell ref="F7:L7"/>
    <mergeCell ref="H8:J9"/>
    <mergeCell ref="I2:X2"/>
    <mergeCell ref="M5:X7"/>
    <mergeCell ref="U8:U9"/>
    <mergeCell ref="Q8:Q9"/>
    <mergeCell ref="O8:O9"/>
    <mergeCell ref="A8:A9"/>
    <mergeCell ref="B8:B9"/>
    <mergeCell ref="E8:E9"/>
    <mergeCell ref="D8:D9"/>
    <mergeCell ref="X8:X9"/>
    <mergeCell ref="V8:V9"/>
    <mergeCell ref="H26:J26"/>
    <mergeCell ref="L49:M49"/>
    <mergeCell ref="A48:F48"/>
    <mergeCell ref="A43:F43"/>
    <mergeCell ref="I48:K48"/>
    <mergeCell ref="L48:M48"/>
    <mergeCell ref="L45:M45"/>
    <mergeCell ref="H34:J34"/>
    <mergeCell ref="I44:K44"/>
    <mergeCell ref="A44:C46"/>
    <mergeCell ref="L43:M43"/>
    <mergeCell ref="H27:J27"/>
    <mergeCell ref="I45:K45"/>
    <mergeCell ref="H28:J28"/>
    <mergeCell ref="H32:J32"/>
    <mergeCell ref="H29:J29"/>
    <mergeCell ref="B55:X55"/>
    <mergeCell ref="N49:X49"/>
    <mergeCell ref="N48:X48"/>
    <mergeCell ref="N44:X46"/>
    <mergeCell ref="N43:X43"/>
    <mergeCell ref="A49:F49"/>
    <mergeCell ref="I49:K49"/>
    <mergeCell ref="I46:K46"/>
    <mergeCell ref="I43:K43"/>
    <mergeCell ref="N47:X47"/>
    <mergeCell ref="L46:M46"/>
    <mergeCell ref="H41:J41"/>
    <mergeCell ref="H30:J30"/>
  </mergeCells>
  <phoneticPr fontId="13" type="noConversion"/>
  <pageMargins left="0.86614173228346458" right="0.19685039370078741" top="1.3779527559055118" bottom="0.23622047244094491" header="0.51181102362204722" footer="0.19685039370078741"/>
  <pageSetup scale="28" orientation="portrait" r:id="rId1"/>
  <headerFooter alignWithMargins="0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C43"/>
  <sheetViews>
    <sheetView showGridLines="0" zoomScale="70" zoomScaleNormal="70"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E9" sqref="E9:E39"/>
    </sheetView>
  </sheetViews>
  <sheetFormatPr baseColWidth="10" defaultColWidth="11.42578125" defaultRowHeight="18" x14ac:dyDescent="0.25"/>
  <cols>
    <col min="1" max="1" width="18.5703125" style="47" customWidth="1"/>
    <col min="2" max="3" width="19.140625" style="47" customWidth="1"/>
    <col min="4" max="4" width="16.7109375" customWidth="1"/>
    <col min="5" max="5" width="19.5703125" style="144" customWidth="1"/>
    <col min="6" max="11" width="16.7109375" customWidth="1"/>
    <col min="12" max="12" width="24.28515625" customWidth="1"/>
  </cols>
  <sheetData>
    <row r="1" spans="1:12" ht="12.75" customHeight="1" x14ac:dyDescent="0.2">
      <c r="A1" s="270"/>
      <c r="B1" s="271"/>
      <c r="C1" s="271"/>
      <c r="D1" s="272"/>
      <c r="E1" s="253" t="s">
        <v>41</v>
      </c>
      <c r="F1" s="254"/>
      <c r="G1" s="254"/>
      <c r="H1" s="254"/>
      <c r="I1" s="255"/>
      <c r="J1" s="262" t="s">
        <v>42</v>
      </c>
      <c r="K1" s="263"/>
      <c r="L1" s="49"/>
    </row>
    <row r="2" spans="1:12" ht="16.5" customHeight="1" x14ac:dyDescent="0.2">
      <c r="A2" s="273"/>
      <c r="B2" s="274"/>
      <c r="C2" s="274"/>
      <c r="D2" s="275"/>
      <c r="E2" s="256"/>
      <c r="F2" s="257"/>
      <c r="G2" s="257"/>
      <c r="H2" s="257"/>
      <c r="I2" s="258"/>
      <c r="J2" s="264"/>
      <c r="K2" s="265"/>
      <c r="L2" s="49"/>
    </row>
    <row r="3" spans="1:12" ht="48" customHeight="1" x14ac:dyDescent="0.2">
      <c r="A3" s="276"/>
      <c r="B3" s="277"/>
      <c r="C3" s="277"/>
      <c r="D3" s="278"/>
      <c r="E3" s="259"/>
      <c r="F3" s="260"/>
      <c r="G3" s="260"/>
      <c r="H3" s="260"/>
      <c r="I3" s="261"/>
      <c r="J3" s="266"/>
      <c r="K3" s="267"/>
      <c r="L3" s="49"/>
    </row>
    <row r="6" spans="1:12" ht="10.5" customHeight="1" x14ac:dyDescent="0.25"/>
    <row r="7" spans="1:12" ht="16.5" customHeight="1" x14ac:dyDescent="0.2">
      <c r="A7" s="251" t="s">
        <v>43</v>
      </c>
      <c r="B7" s="279" t="s">
        <v>44</v>
      </c>
      <c r="C7" s="280"/>
      <c r="D7" s="268" t="s">
        <v>45</v>
      </c>
      <c r="E7" s="268"/>
      <c r="F7" s="269" t="s">
        <v>46</v>
      </c>
      <c r="G7" s="269"/>
      <c r="H7" s="269"/>
      <c r="I7" s="269"/>
      <c r="J7" s="269"/>
      <c r="K7" s="269"/>
    </row>
    <row r="8" spans="1:12" s="29" customFormat="1" ht="28.5" customHeight="1" x14ac:dyDescent="0.2">
      <c r="A8" s="252"/>
      <c r="B8" s="114" t="s">
        <v>47</v>
      </c>
      <c r="C8" s="114" t="s">
        <v>48</v>
      </c>
      <c r="D8" s="56" t="s">
        <v>47</v>
      </c>
      <c r="E8" s="56" t="s">
        <v>49</v>
      </c>
      <c r="F8" s="58" t="s">
        <v>50</v>
      </c>
      <c r="G8" s="58" t="s">
        <v>51</v>
      </c>
      <c r="H8" s="58" t="s">
        <v>52</v>
      </c>
      <c r="I8" s="58" t="s">
        <v>53</v>
      </c>
      <c r="J8" s="58" t="s">
        <v>54</v>
      </c>
      <c r="K8" s="58" t="s">
        <v>55</v>
      </c>
    </row>
    <row r="9" spans="1:12" ht="19.5" x14ac:dyDescent="0.3">
      <c r="A9" s="59">
        <v>44835</v>
      </c>
      <c r="B9" s="116">
        <v>2560</v>
      </c>
      <c r="C9" s="115">
        <v>0</v>
      </c>
      <c r="D9" s="57">
        <v>168113</v>
      </c>
      <c r="E9" s="50">
        <v>120.29999999998836</v>
      </c>
      <c r="F9" s="51">
        <v>12469994</v>
      </c>
      <c r="G9" s="50">
        <v>4593</v>
      </c>
      <c r="H9" s="51">
        <v>21361968</v>
      </c>
      <c r="I9" s="50">
        <v>8275</v>
      </c>
      <c r="J9" s="51">
        <v>9342849</v>
      </c>
      <c r="K9" s="50">
        <v>3636</v>
      </c>
    </row>
    <row r="10" spans="1:12" ht="19.5" x14ac:dyDescent="0.3">
      <c r="A10" s="59">
        <v>44836</v>
      </c>
      <c r="B10" s="116">
        <v>2560</v>
      </c>
      <c r="C10" s="115">
        <f>B10-B9</f>
        <v>0</v>
      </c>
      <c r="D10" s="57">
        <v>168252</v>
      </c>
      <c r="E10" s="50">
        <f>D10-D9</f>
        <v>139</v>
      </c>
      <c r="F10" s="51">
        <v>12476629</v>
      </c>
      <c r="G10" s="50">
        <f>F10-F9</f>
        <v>6635</v>
      </c>
      <c r="H10" s="51">
        <v>21370326</v>
      </c>
      <c r="I10" s="50">
        <f>H10-H9</f>
        <v>8358</v>
      </c>
      <c r="J10" s="51">
        <v>9347222</v>
      </c>
      <c r="K10" s="50">
        <f>J10-J9</f>
        <v>4373</v>
      </c>
    </row>
    <row r="11" spans="1:12" ht="19.5" x14ac:dyDescent="0.3">
      <c r="A11" s="59">
        <v>44837</v>
      </c>
      <c r="B11" s="116">
        <v>2560</v>
      </c>
      <c r="C11" s="115">
        <f t="shared" ref="C11:C38" si="0">B11-B10</f>
        <v>0</v>
      </c>
      <c r="D11" s="57">
        <v>168386</v>
      </c>
      <c r="E11" s="50">
        <f t="shared" ref="E11:E40" si="1">D11-D10</f>
        <v>134</v>
      </c>
      <c r="F11" s="51">
        <v>12482017</v>
      </c>
      <c r="G11" s="50">
        <f t="shared" ref="G11:G40" si="2">F11-F10</f>
        <v>5388</v>
      </c>
      <c r="H11" s="51">
        <v>21377728</v>
      </c>
      <c r="I11" s="50">
        <f t="shared" ref="I11:I40" si="3">H11-H10</f>
        <v>7402</v>
      </c>
      <c r="J11" s="51">
        <v>9350842</v>
      </c>
      <c r="K11" s="50">
        <f t="shared" ref="K11:K40" si="4">J11-J10</f>
        <v>3620</v>
      </c>
    </row>
    <row r="12" spans="1:12" ht="19.5" x14ac:dyDescent="0.3">
      <c r="A12" s="59">
        <v>44838</v>
      </c>
      <c r="B12" s="116">
        <v>2560</v>
      </c>
      <c r="C12" s="115">
        <f t="shared" si="0"/>
        <v>0</v>
      </c>
      <c r="D12" s="57">
        <v>168522.5</v>
      </c>
      <c r="E12" s="50">
        <f t="shared" si="1"/>
        <v>136.5</v>
      </c>
      <c r="F12" s="51">
        <v>12487813</v>
      </c>
      <c r="G12" s="50">
        <f t="shared" si="2"/>
        <v>5796</v>
      </c>
      <c r="H12" s="51">
        <v>21386863</v>
      </c>
      <c r="I12" s="50">
        <f t="shared" si="3"/>
        <v>9135</v>
      </c>
      <c r="J12" s="51">
        <v>9355355</v>
      </c>
      <c r="K12" s="50">
        <f t="shared" si="4"/>
        <v>4513</v>
      </c>
    </row>
    <row r="13" spans="1:12" ht="19.5" x14ac:dyDescent="0.3">
      <c r="A13" s="59">
        <v>44839</v>
      </c>
      <c r="B13" s="116">
        <v>2560</v>
      </c>
      <c r="C13" s="115">
        <f t="shared" si="0"/>
        <v>0</v>
      </c>
      <c r="D13" s="57">
        <v>168665.8</v>
      </c>
      <c r="E13" s="50">
        <f t="shared" si="1"/>
        <v>143.29999999998836</v>
      </c>
      <c r="F13" s="51">
        <v>12494016</v>
      </c>
      <c r="G13" s="50">
        <f t="shared" si="2"/>
        <v>6203</v>
      </c>
      <c r="H13" s="51">
        <v>21396435</v>
      </c>
      <c r="I13" s="50">
        <f t="shared" si="3"/>
        <v>9572</v>
      </c>
      <c r="J13" s="51">
        <v>9359997</v>
      </c>
      <c r="K13" s="50">
        <f t="shared" si="4"/>
        <v>4642</v>
      </c>
    </row>
    <row r="14" spans="1:12" ht="19.5" x14ac:dyDescent="0.3">
      <c r="A14" s="59">
        <v>44840</v>
      </c>
      <c r="B14" s="116">
        <v>2569</v>
      </c>
      <c r="C14" s="115">
        <f t="shared" si="0"/>
        <v>9</v>
      </c>
      <c r="D14" s="57">
        <v>168812.4</v>
      </c>
      <c r="E14" s="50">
        <f t="shared" si="1"/>
        <v>146.60000000000582</v>
      </c>
      <c r="F14" s="51">
        <v>12500312</v>
      </c>
      <c r="G14" s="50">
        <f t="shared" si="2"/>
        <v>6296</v>
      </c>
      <c r="H14" s="51">
        <v>21405863</v>
      </c>
      <c r="I14" s="50">
        <f t="shared" si="3"/>
        <v>9428</v>
      </c>
      <c r="J14" s="51">
        <v>9364545</v>
      </c>
      <c r="K14" s="50">
        <f t="shared" si="4"/>
        <v>4548</v>
      </c>
    </row>
    <row r="15" spans="1:12" ht="19.5" x14ac:dyDescent="0.3">
      <c r="A15" s="59">
        <v>44841</v>
      </c>
      <c r="B15" s="116">
        <v>2569</v>
      </c>
      <c r="C15" s="115">
        <f t="shared" si="0"/>
        <v>0</v>
      </c>
      <c r="D15" s="57">
        <v>168962</v>
      </c>
      <c r="E15" s="50">
        <f t="shared" si="1"/>
        <v>149.60000000000582</v>
      </c>
      <c r="F15" s="51">
        <v>12505786</v>
      </c>
      <c r="G15" s="50">
        <f t="shared" si="2"/>
        <v>5474</v>
      </c>
      <c r="H15" s="51">
        <v>21414447</v>
      </c>
      <c r="I15" s="50">
        <f t="shared" si="3"/>
        <v>8584</v>
      </c>
      <c r="J15" s="51">
        <v>9368634</v>
      </c>
      <c r="K15" s="50">
        <f t="shared" si="4"/>
        <v>4089</v>
      </c>
    </row>
    <row r="16" spans="1:12" ht="19.5" x14ac:dyDescent="0.3">
      <c r="A16" s="59">
        <v>44842</v>
      </c>
      <c r="B16" s="116">
        <v>2569</v>
      </c>
      <c r="C16" s="115">
        <f t="shared" si="0"/>
        <v>0</v>
      </c>
      <c r="D16" s="57">
        <v>169093</v>
      </c>
      <c r="E16" s="50">
        <f t="shared" si="1"/>
        <v>131</v>
      </c>
      <c r="F16" s="51">
        <v>12510502</v>
      </c>
      <c r="G16" s="50">
        <f t="shared" si="2"/>
        <v>4716</v>
      </c>
      <c r="H16" s="51">
        <v>21422145</v>
      </c>
      <c r="I16" s="50">
        <f t="shared" si="3"/>
        <v>7698</v>
      </c>
      <c r="J16" s="51">
        <v>9372215</v>
      </c>
      <c r="K16" s="50">
        <f t="shared" si="4"/>
        <v>3581</v>
      </c>
    </row>
    <row r="17" spans="1:29" ht="19.5" x14ac:dyDescent="0.3">
      <c r="A17" s="59">
        <v>44843</v>
      </c>
      <c r="B17" s="116">
        <v>2569</v>
      </c>
      <c r="C17" s="115">
        <f t="shared" si="0"/>
        <v>0</v>
      </c>
      <c r="D17" s="57">
        <v>169217</v>
      </c>
      <c r="E17" s="50">
        <f t="shared" si="1"/>
        <v>124</v>
      </c>
      <c r="F17" s="51">
        <v>12515570</v>
      </c>
      <c r="G17" s="50">
        <f t="shared" si="2"/>
        <v>5068</v>
      </c>
      <c r="H17" s="51">
        <v>21429958</v>
      </c>
      <c r="I17" s="50">
        <f t="shared" si="3"/>
        <v>7813</v>
      </c>
      <c r="J17" s="51">
        <v>9376018</v>
      </c>
      <c r="K17" s="50">
        <f t="shared" si="4"/>
        <v>3803</v>
      </c>
    </row>
    <row r="18" spans="1:29" ht="19.5" x14ac:dyDescent="0.3">
      <c r="A18" s="59">
        <v>44844</v>
      </c>
      <c r="B18" s="116">
        <v>2569</v>
      </c>
      <c r="C18" s="115">
        <f t="shared" si="0"/>
        <v>0</v>
      </c>
      <c r="D18" s="57">
        <v>169343</v>
      </c>
      <c r="E18" s="50">
        <f t="shared" si="1"/>
        <v>126</v>
      </c>
      <c r="F18" s="51">
        <v>12520677</v>
      </c>
      <c r="G18" s="50">
        <f t="shared" si="2"/>
        <v>5107</v>
      </c>
      <c r="H18" s="51">
        <v>21437926</v>
      </c>
      <c r="I18" s="50">
        <f t="shared" si="3"/>
        <v>7968</v>
      </c>
      <c r="J18" s="51">
        <v>9379724</v>
      </c>
      <c r="K18" s="50">
        <f t="shared" si="4"/>
        <v>3706</v>
      </c>
    </row>
    <row r="19" spans="1:29" ht="19.5" x14ac:dyDescent="0.3">
      <c r="A19" s="59">
        <v>44845</v>
      </c>
      <c r="B19" s="116">
        <v>2569</v>
      </c>
      <c r="C19" s="115">
        <f t="shared" si="0"/>
        <v>0</v>
      </c>
      <c r="D19" s="57">
        <v>169466</v>
      </c>
      <c r="E19" s="50">
        <f t="shared" si="1"/>
        <v>123</v>
      </c>
      <c r="F19" s="51">
        <v>12525737</v>
      </c>
      <c r="G19" s="50">
        <f t="shared" si="2"/>
        <v>5060</v>
      </c>
      <c r="H19" s="51">
        <v>21445509</v>
      </c>
      <c r="I19" s="50">
        <f t="shared" si="3"/>
        <v>7583</v>
      </c>
      <c r="J19" s="51">
        <v>9383040</v>
      </c>
      <c r="K19" s="50">
        <f t="shared" si="4"/>
        <v>3316</v>
      </c>
    </row>
    <row r="20" spans="1:29" ht="25.5" x14ac:dyDescent="0.35">
      <c r="A20" s="59">
        <v>44846</v>
      </c>
      <c r="B20" s="116">
        <v>2569</v>
      </c>
      <c r="C20" s="115">
        <f t="shared" si="0"/>
        <v>0</v>
      </c>
      <c r="D20" s="57">
        <v>169619.5</v>
      </c>
      <c r="E20" s="50">
        <f t="shared" si="1"/>
        <v>153.5</v>
      </c>
      <c r="F20" s="51">
        <v>12531317</v>
      </c>
      <c r="G20" s="50">
        <f t="shared" si="2"/>
        <v>5580</v>
      </c>
      <c r="H20" s="51">
        <v>21453072</v>
      </c>
      <c r="I20" s="50">
        <f t="shared" si="3"/>
        <v>7563</v>
      </c>
      <c r="J20" s="51">
        <v>9386708</v>
      </c>
      <c r="K20" s="50">
        <f t="shared" si="4"/>
        <v>3668</v>
      </c>
      <c r="L20" s="117" t="s">
        <v>18</v>
      </c>
      <c r="AC20" t="s">
        <v>56</v>
      </c>
    </row>
    <row r="21" spans="1:29" ht="19.5" x14ac:dyDescent="0.3">
      <c r="A21" s="59">
        <v>44847</v>
      </c>
      <c r="B21" s="116">
        <v>2569</v>
      </c>
      <c r="C21" s="115">
        <f t="shared" si="0"/>
        <v>0</v>
      </c>
      <c r="D21" s="57">
        <v>169751.7</v>
      </c>
      <c r="E21" s="50">
        <f t="shared" si="1"/>
        <v>132.20000000001164</v>
      </c>
      <c r="F21" s="51">
        <v>12537298</v>
      </c>
      <c r="G21" s="50">
        <f t="shared" si="2"/>
        <v>5981</v>
      </c>
      <c r="H21" s="51">
        <v>21461138</v>
      </c>
      <c r="I21" s="50">
        <f t="shared" si="3"/>
        <v>8066</v>
      </c>
      <c r="J21" s="51">
        <v>9390730</v>
      </c>
      <c r="K21" s="50">
        <f t="shared" si="4"/>
        <v>4022</v>
      </c>
    </row>
    <row r="22" spans="1:29" ht="19.5" x14ac:dyDescent="0.3">
      <c r="A22" s="59">
        <v>44848</v>
      </c>
      <c r="B22" s="116">
        <v>2569</v>
      </c>
      <c r="C22" s="115">
        <f t="shared" si="0"/>
        <v>0</v>
      </c>
      <c r="D22" s="57">
        <v>169883</v>
      </c>
      <c r="E22" s="50">
        <f t="shared" si="1"/>
        <v>131.29999999998836</v>
      </c>
      <c r="F22" s="51">
        <v>12542334</v>
      </c>
      <c r="G22" s="50">
        <f t="shared" si="2"/>
        <v>5036</v>
      </c>
      <c r="H22" s="51">
        <v>21469422</v>
      </c>
      <c r="I22" s="50">
        <f t="shared" si="3"/>
        <v>8284</v>
      </c>
      <c r="J22" s="51">
        <v>9394797</v>
      </c>
      <c r="K22" s="50">
        <f t="shared" si="4"/>
        <v>4067</v>
      </c>
    </row>
    <row r="23" spans="1:29" ht="19.5" x14ac:dyDescent="0.3">
      <c r="A23" s="59">
        <v>44849</v>
      </c>
      <c r="B23" s="116">
        <v>2569</v>
      </c>
      <c r="C23" s="115">
        <f t="shared" si="0"/>
        <v>0</v>
      </c>
      <c r="D23" s="57">
        <v>170030</v>
      </c>
      <c r="E23" s="50">
        <f t="shared" si="1"/>
        <v>147</v>
      </c>
      <c r="F23" s="51">
        <v>12547548</v>
      </c>
      <c r="G23" s="50">
        <f t="shared" si="2"/>
        <v>5214</v>
      </c>
      <c r="H23" s="51">
        <v>21477201</v>
      </c>
      <c r="I23" s="50">
        <f t="shared" si="3"/>
        <v>7779</v>
      </c>
      <c r="J23" s="51">
        <v>9398897</v>
      </c>
      <c r="K23" s="50">
        <f t="shared" si="4"/>
        <v>4100</v>
      </c>
    </row>
    <row r="24" spans="1:29" ht="19.5" x14ac:dyDescent="0.3">
      <c r="A24" s="59">
        <v>44850</v>
      </c>
      <c r="B24" s="116">
        <v>2569</v>
      </c>
      <c r="C24" s="115">
        <f t="shared" si="0"/>
        <v>0</v>
      </c>
      <c r="D24" s="57">
        <v>170175</v>
      </c>
      <c r="E24" s="50">
        <f t="shared" si="1"/>
        <v>145</v>
      </c>
      <c r="F24" s="51">
        <v>12552931</v>
      </c>
      <c r="G24" s="50">
        <f t="shared" si="2"/>
        <v>5383</v>
      </c>
      <c r="H24" s="51">
        <v>21486329</v>
      </c>
      <c r="I24" s="50">
        <f t="shared" si="3"/>
        <v>9128</v>
      </c>
      <c r="J24" s="51">
        <v>9403656</v>
      </c>
      <c r="K24" s="50">
        <f t="shared" si="4"/>
        <v>4759</v>
      </c>
    </row>
    <row r="25" spans="1:29" ht="19.5" x14ac:dyDescent="0.3">
      <c r="A25" s="59">
        <v>44851</v>
      </c>
      <c r="B25" s="116">
        <v>2569</v>
      </c>
      <c r="C25" s="115">
        <f t="shared" si="0"/>
        <v>0</v>
      </c>
      <c r="D25" s="57">
        <v>170311</v>
      </c>
      <c r="E25" s="50">
        <f t="shared" si="1"/>
        <v>136</v>
      </c>
      <c r="F25" s="51">
        <v>12557729</v>
      </c>
      <c r="G25" s="50">
        <f t="shared" si="2"/>
        <v>4798</v>
      </c>
      <c r="H25" s="51">
        <v>21494381</v>
      </c>
      <c r="I25" s="50">
        <f t="shared" si="3"/>
        <v>8052</v>
      </c>
      <c r="J25" s="51">
        <v>9407471</v>
      </c>
      <c r="K25" s="50">
        <f t="shared" si="4"/>
        <v>3815</v>
      </c>
    </row>
    <row r="26" spans="1:29" ht="19.5" x14ac:dyDescent="0.3">
      <c r="A26" s="59">
        <v>44852</v>
      </c>
      <c r="B26" s="116">
        <v>2569</v>
      </c>
      <c r="C26" s="115">
        <f t="shared" si="0"/>
        <v>0</v>
      </c>
      <c r="D26" s="57">
        <v>170443</v>
      </c>
      <c r="E26" s="50">
        <f t="shared" si="1"/>
        <v>132</v>
      </c>
      <c r="F26" s="51">
        <v>12562707</v>
      </c>
      <c r="G26" s="50">
        <f t="shared" si="2"/>
        <v>4978</v>
      </c>
      <c r="H26" s="51">
        <v>21502492</v>
      </c>
      <c r="I26" s="50">
        <f t="shared" si="3"/>
        <v>8111</v>
      </c>
      <c r="J26" s="51">
        <v>9411716</v>
      </c>
      <c r="K26" s="50">
        <f t="shared" si="4"/>
        <v>4245</v>
      </c>
    </row>
    <row r="27" spans="1:29" ht="19.5" x14ac:dyDescent="0.3">
      <c r="A27" s="59">
        <v>44853</v>
      </c>
      <c r="B27" s="116">
        <v>2569</v>
      </c>
      <c r="C27" s="115">
        <f t="shared" si="0"/>
        <v>0</v>
      </c>
      <c r="D27" s="57">
        <v>170643.4</v>
      </c>
      <c r="E27" s="50">
        <f t="shared" si="1"/>
        <v>200.39999999999418</v>
      </c>
      <c r="F27" s="51">
        <v>12568348</v>
      </c>
      <c r="G27" s="50">
        <f t="shared" si="2"/>
        <v>5641</v>
      </c>
      <c r="H27" s="51">
        <v>21510646</v>
      </c>
      <c r="I27" s="50">
        <f t="shared" si="3"/>
        <v>8154</v>
      </c>
      <c r="J27" s="51">
        <v>9415722</v>
      </c>
      <c r="K27" s="50">
        <f t="shared" si="4"/>
        <v>4006</v>
      </c>
    </row>
    <row r="28" spans="1:29" ht="19.5" x14ac:dyDescent="0.3">
      <c r="A28" s="59">
        <v>44854</v>
      </c>
      <c r="B28" s="116">
        <v>2569</v>
      </c>
      <c r="C28" s="115">
        <f t="shared" si="0"/>
        <v>0</v>
      </c>
      <c r="D28" s="57">
        <v>170788.8</v>
      </c>
      <c r="E28" s="50">
        <f t="shared" si="1"/>
        <v>145.39999999999418</v>
      </c>
      <c r="F28" s="51">
        <v>12574706</v>
      </c>
      <c r="G28" s="50">
        <f t="shared" si="2"/>
        <v>6358</v>
      </c>
      <c r="H28" s="51">
        <v>21519664</v>
      </c>
      <c r="I28" s="50">
        <f t="shared" si="3"/>
        <v>9018</v>
      </c>
      <c r="J28" s="51">
        <v>9419811</v>
      </c>
      <c r="K28" s="50">
        <f t="shared" si="4"/>
        <v>4089</v>
      </c>
    </row>
    <row r="29" spans="1:29" ht="19.5" x14ac:dyDescent="0.3">
      <c r="A29" s="59">
        <v>44855</v>
      </c>
      <c r="B29" s="116">
        <v>2569</v>
      </c>
      <c r="C29" s="115">
        <f t="shared" si="0"/>
        <v>0</v>
      </c>
      <c r="D29" s="57">
        <v>170930</v>
      </c>
      <c r="E29" s="50">
        <f t="shared" si="1"/>
        <v>141.20000000001164</v>
      </c>
      <c r="F29" s="51">
        <v>12580043</v>
      </c>
      <c r="G29" s="50">
        <f t="shared" si="2"/>
        <v>5337</v>
      </c>
      <c r="H29" s="51">
        <v>21528148</v>
      </c>
      <c r="I29" s="50">
        <f t="shared" si="3"/>
        <v>8484</v>
      </c>
      <c r="J29" s="51">
        <v>9424032</v>
      </c>
      <c r="K29" s="50">
        <f t="shared" si="4"/>
        <v>4221</v>
      </c>
    </row>
    <row r="30" spans="1:29" ht="19.5" x14ac:dyDescent="0.3">
      <c r="A30" s="59">
        <v>44856</v>
      </c>
      <c r="B30" s="116">
        <v>2569</v>
      </c>
      <c r="C30" s="115">
        <f t="shared" si="0"/>
        <v>0</v>
      </c>
      <c r="D30" s="57">
        <v>171069</v>
      </c>
      <c r="E30" s="50">
        <f t="shared" si="1"/>
        <v>139</v>
      </c>
      <c r="F30" s="51">
        <v>12584983</v>
      </c>
      <c r="G30" s="50">
        <f t="shared" si="2"/>
        <v>4940</v>
      </c>
      <c r="H30" s="51">
        <v>21535667</v>
      </c>
      <c r="I30" s="50">
        <f t="shared" si="3"/>
        <v>7519</v>
      </c>
      <c r="J30" s="51">
        <v>9427700</v>
      </c>
      <c r="K30" s="50">
        <f t="shared" si="4"/>
        <v>3668</v>
      </c>
    </row>
    <row r="31" spans="1:29" ht="19.5" x14ac:dyDescent="0.3">
      <c r="A31" s="59">
        <v>44857</v>
      </c>
      <c r="B31" s="116">
        <v>2569</v>
      </c>
      <c r="C31" s="115">
        <f t="shared" si="0"/>
        <v>0</v>
      </c>
      <c r="D31" s="57">
        <v>171209</v>
      </c>
      <c r="E31" s="50">
        <f t="shared" si="1"/>
        <v>140</v>
      </c>
      <c r="F31" s="51">
        <v>12589915</v>
      </c>
      <c r="G31" s="50">
        <f t="shared" si="2"/>
        <v>4932</v>
      </c>
      <c r="H31" s="51">
        <v>21544064</v>
      </c>
      <c r="I31" s="50">
        <f t="shared" si="3"/>
        <v>8397</v>
      </c>
      <c r="J31" s="51">
        <v>9431687</v>
      </c>
      <c r="K31" s="50">
        <f t="shared" si="4"/>
        <v>3987</v>
      </c>
    </row>
    <row r="32" spans="1:29" ht="19.5" x14ac:dyDescent="0.3">
      <c r="A32" s="59">
        <v>44858</v>
      </c>
      <c r="B32" s="116">
        <v>2569</v>
      </c>
      <c r="C32" s="115">
        <f t="shared" si="0"/>
        <v>0</v>
      </c>
      <c r="D32" s="57">
        <v>171347</v>
      </c>
      <c r="E32" s="50">
        <f t="shared" si="1"/>
        <v>138</v>
      </c>
      <c r="F32" s="51">
        <v>12594777</v>
      </c>
      <c r="G32" s="50">
        <f t="shared" si="2"/>
        <v>4862</v>
      </c>
      <c r="H32" s="51">
        <v>21551766</v>
      </c>
      <c r="I32" s="50">
        <f t="shared" si="3"/>
        <v>7702</v>
      </c>
      <c r="J32" s="51">
        <v>9435408</v>
      </c>
      <c r="K32" s="50">
        <f t="shared" si="4"/>
        <v>3721</v>
      </c>
    </row>
    <row r="33" spans="1:11" ht="19.5" x14ac:dyDescent="0.3">
      <c r="A33" s="59">
        <v>44859</v>
      </c>
      <c r="B33" s="116">
        <v>2569</v>
      </c>
      <c r="C33" s="115">
        <f t="shared" si="0"/>
        <v>0</v>
      </c>
      <c r="D33" s="57">
        <v>171531.1</v>
      </c>
      <c r="E33" s="50">
        <f t="shared" si="1"/>
        <v>184.10000000000582</v>
      </c>
      <c r="F33" s="51">
        <v>12599504</v>
      </c>
      <c r="G33" s="50">
        <f t="shared" si="2"/>
        <v>4727</v>
      </c>
      <c r="H33" s="51">
        <v>21559265</v>
      </c>
      <c r="I33" s="50">
        <f t="shared" si="3"/>
        <v>7499</v>
      </c>
      <c r="J33" s="51">
        <v>9439043</v>
      </c>
      <c r="K33" s="50">
        <f t="shared" si="4"/>
        <v>3635</v>
      </c>
    </row>
    <row r="34" spans="1:11" ht="19.5" x14ac:dyDescent="0.3">
      <c r="A34" s="59">
        <v>44860</v>
      </c>
      <c r="B34" s="116">
        <v>2569</v>
      </c>
      <c r="C34" s="115">
        <f t="shared" si="0"/>
        <v>0</v>
      </c>
      <c r="D34" s="57">
        <v>171635</v>
      </c>
      <c r="E34" s="50">
        <f t="shared" si="1"/>
        <v>103.89999999999418</v>
      </c>
      <c r="F34" s="51">
        <v>12604378</v>
      </c>
      <c r="G34" s="50">
        <f t="shared" si="2"/>
        <v>4874</v>
      </c>
      <c r="H34" s="51">
        <v>21566819</v>
      </c>
      <c r="I34" s="50">
        <f t="shared" si="3"/>
        <v>7554</v>
      </c>
      <c r="J34" s="51">
        <v>9442860</v>
      </c>
      <c r="K34" s="50">
        <f t="shared" si="4"/>
        <v>3817</v>
      </c>
    </row>
    <row r="35" spans="1:11" ht="19.5" x14ac:dyDescent="0.3">
      <c r="A35" s="59">
        <v>44861</v>
      </c>
      <c r="B35" s="116">
        <v>2569</v>
      </c>
      <c r="C35" s="115">
        <f t="shared" si="0"/>
        <v>0</v>
      </c>
      <c r="D35" s="57">
        <v>171772</v>
      </c>
      <c r="E35" s="50">
        <f t="shared" si="1"/>
        <v>137</v>
      </c>
      <c r="F35" s="51">
        <v>12609042</v>
      </c>
      <c r="G35" s="50">
        <f t="shared" si="2"/>
        <v>4664</v>
      </c>
      <c r="H35" s="51">
        <v>21574404</v>
      </c>
      <c r="I35" s="50">
        <f t="shared" si="3"/>
        <v>7585</v>
      </c>
      <c r="J35" s="51">
        <v>9446679</v>
      </c>
      <c r="K35" s="50">
        <f t="shared" si="4"/>
        <v>3819</v>
      </c>
    </row>
    <row r="36" spans="1:11" ht="19.5" x14ac:dyDescent="0.3">
      <c r="A36" s="59">
        <v>44862</v>
      </c>
      <c r="B36" s="116">
        <v>2569</v>
      </c>
      <c r="C36" s="115">
        <f t="shared" si="0"/>
        <v>0</v>
      </c>
      <c r="D36" s="57">
        <v>171923.9</v>
      </c>
      <c r="E36" s="50">
        <f t="shared" si="1"/>
        <v>151.89999999999418</v>
      </c>
      <c r="F36" s="51">
        <v>12614463</v>
      </c>
      <c r="G36" s="50">
        <f t="shared" si="2"/>
        <v>5421</v>
      </c>
      <c r="H36" s="51">
        <v>21581807</v>
      </c>
      <c r="I36" s="50">
        <f t="shared" si="3"/>
        <v>7403</v>
      </c>
      <c r="J36" s="51">
        <v>9450407</v>
      </c>
      <c r="K36" s="50">
        <f t="shared" si="4"/>
        <v>3728</v>
      </c>
    </row>
    <row r="37" spans="1:11" ht="19.5" x14ac:dyDescent="0.3">
      <c r="A37" s="59">
        <v>44863</v>
      </c>
      <c r="B37" s="116">
        <v>2569</v>
      </c>
      <c r="C37" s="115">
        <f t="shared" si="0"/>
        <v>0</v>
      </c>
      <c r="D37" s="57">
        <v>172089.5</v>
      </c>
      <c r="E37" s="50">
        <f t="shared" si="1"/>
        <v>165.60000000000582</v>
      </c>
      <c r="F37" s="51">
        <v>12620214</v>
      </c>
      <c r="G37" s="50">
        <f t="shared" si="2"/>
        <v>5751</v>
      </c>
      <c r="H37" s="51">
        <v>21589168</v>
      </c>
      <c r="I37" s="50">
        <f t="shared" si="3"/>
        <v>7361</v>
      </c>
      <c r="J37" s="51">
        <v>9454244</v>
      </c>
      <c r="K37" s="50">
        <f t="shared" si="4"/>
        <v>3837</v>
      </c>
    </row>
    <row r="38" spans="1:11" ht="19.5" x14ac:dyDescent="0.3">
      <c r="A38" s="59">
        <v>44864</v>
      </c>
      <c r="B38" s="116">
        <v>2569</v>
      </c>
      <c r="C38" s="115">
        <f t="shared" si="0"/>
        <v>0</v>
      </c>
      <c r="D38" s="57">
        <v>172241</v>
      </c>
      <c r="E38" s="50">
        <f t="shared" si="1"/>
        <v>151.5</v>
      </c>
      <c r="F38" s="51">
        <v>12624963</v>
      </c>
      <c r="G38" s="50">
        <f t="shared" si="2"/>
        <v>4749</v>
      </c>
      <c r="H38" s="51">
        <v>21596886</v>
      </c>
      <c r="I38" s="50">
        <f t="shared" si="3"/>
        <v>7718</v>
      </c>
      <c r="J38" s="51">
        <v>9458009</v>
      </c>
      <c r="K38" s="50">
        <f t="shared" si="4"/>
        <v>3765</v>
      </c>
    </row>
    <row r="39" spans="1:11" ht="19.5" x14ac:dyDescent="0.3">
      <c r="A39" s="59">
        <v>44865</v>
      </c>
      <c r="B39" s="116">
        <v>2569</v>
      </c>
      <c r="C39" s="115">
        <f>B39-B37</f>
        <v>0</v>
      </c>
      <c r="D39" s="57">
        <v>172400</v>
      </c>
      <c r="E39" s="50">
        <f t="shared" si="1"/>
        <v>159</v>
      </c>
      <c r="F39" s="51">
        <v>12629770</v>
      </c>
      <c r="G39" s="50">
        <f t="shared" si="2"/>
        <v>4807</v>
      </c>
      <c r="H39" s="51">
        <v>21604795</v>
      </c>
      <c r="I39" s="50">
        <f t="shared" si="3"/>
        <v>7909</v>
      </c>
      <c r="J39" s="51">
        <v>9461862</v>
      </c>
      <c r="K39" s="50">
        <f t="shared" si="4"/>
        <v>3853</v>
      </c>
    </row>
    <row r="40" spans="1:11" ht="19.5" x14ac:dyDescent="0.3">
      <c r="A40" s="59">
        <v>44866</v>
      </c>
      <c r="B40" s="116">
        <v>2569</v>
      </c>
      <c r="C40" s="115">
        <f>B40-B38</f>
        <v>0</v>
      </c>
      <c r="D40" s="57">
        <v>172580</v>
      </c>
      <c r="E40" s="50">
        <f t="shared" si="1"/>
        <v>180</v>
      </c>
      <c r="F40" s="51">
        <v>12634618</v>
      </c>
      <c r="G40" s="50">
        <f t="shared" si="2"/>
        <v>4848</v>
      </c>
      <c r="H40" s="51">
        <v>21612801</v>
      </c>
      <c r="I40" s="50">
        <f t="shared" si="3"/>
        <v>8006</v>
      </c>
      <c r="J40" s="51">
        <v>9466063</v>
      </c>
      <c r="K40" s="50">
        <f t="shared" si="4"/>
        <v>4201</v>
      </c>
    </row>
    <row r="41" spans="1:11" ht="24" customHeight="1" x14ac:dyDescent="0.3">
      <c r="A41" s="52"/>
      <c r="B41" s="52"/>
      <c r="C41" s="52"/>
    </row>
    <row r="42" spans="1:11" x14ac:dyDescent="0.25">
      <c r="A42" s="48"/>
      <c r="B42" s="48"/>
      <c r="C42" s="48"/>
    </row>
    <row r="43" spans="1:11" x14ac:dyDescent="0.25">
      <c r="A43" s="48"/>
      <c r="B43" s="48"/>
      <c r="C43" s="48"/>
    </row>
  </sheetData>
  <mergeCells count="7">
    <mergeCell ref="A7:A8"/>
    <mergeCell ref="E1:I3"/>
    <mergeCell ref="J1:K3"/>
    <mergeCell ref="D7:E7"/>
    <mergeCell ref="F7:K7"/>
    <mergeCell ref="A1:D3"/>
    <mergeCell ref="B7:C7"/>
  </mergeCells>
  <phoneticPr fontId="13" type="noConversion"/>
  <conditionalFormatting sqref="E1 E4:E8 E41:E65533">
    <cfRule type="cellIs" dxfId="2" priority="63" stopIfTrue="1" operator="lessThanOrEqual">
      <formula>0</formula>
    </cfRule>
  </conditionalFormatting>
  <conditionalFormatting sqref="E9:E40">
    <cfRule type="cellIs" dxfId="1" priority="8" stopIfTrue="1" operator="lessThanOrEqual">
      <formula>0</formula>
    </cfRule>
  </conditionalFormatting>
  <conditionalFormatting sqref="E9:E40">
    <cfRule type="cellIs" dxfId="0" priority="7" stopIfTrue="1" operator="lessThanOrEqual">
      <formula>0</formula>
    </cfRule>
  </conditionalFormatting>
  <pageMargins left="0.2" right="0.2" top="0.2" bottom="0.47" header="0.2" footer="0.28999999999999998"/>
  <pageSetup paperSize="9" scale="65" orientation="portrait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48"/>
  <sheetViews>
    <sheetView showGridLines="0" zoomScale="60" zoomScaleNormal="60" workbookViewId="0">
      <pane xSplit="1" ySplit="3" topLeftCell="B37" activePane="bottomRight" state="frozen"/>
      <selection pane="topRight" activeCell="B1" sqref="B1"/>
      <selection pane="bottomLeft" activeCell="A4" sqref="A4"/>
      <selection pane="bottomRight" activeCell="M48" sqref="M48"/>
    </sheetView>
  </sheetViews>
  <sheetFormatPr baseColWidth="10" defaultColWidth="11.42578125" defaultRowHeight="15" x14ac:dyDescent="0.3"/>
  <cols>
    <col min="1" max="1" width="18.7109375" style="35" customWidth="1"/>
    <col min="2" max="3" width="9.5703125" style="36" customWidth="1"/>
    <col min="4" max="4" width="9.85546875" style="36" customWidth="1"/>
    <col min="5" max="5" width="8.85546875" style="36" customWidth="1"/>
    <col min="6" max="6" width="11.42578125" style="36" customWidth="1"/>
    <col min="7" max="7" width="8.85546875" style="36" customWidth="1"/>
    <col min="8" max="8" width="9.85546875" style="36" customWidth="1"/>
    <col min="9" max="9" width="12.140625" style="36" customWidth="1"/>
    <col min="10" max="10" width="16.140625" style="36" customWidth="1"/>
    <col min="11" max="11" width="17.28515625" style="36" customWidth="1"/>
    <col min="12" max="12" width="14.28515625" style="36" customWidth="1"/>
    <col min="13" max="13" width="16.28515625" style="36" customWidth="1"/>
    <col min="14" max="14" width="14.140625" style="36" customWidth="1"/>
    <col min="15" max="15" width="14.42578125" style="36" customWidth="1"/>
    <col min="16" max="16" width="15.85546875" style="36" customWidth="1"/>
    <col min="17" max="17" width="11.85546875" style="36" customWidth="1"/>
    <col min="18" max="18" width="8.42578125" style="36" customWidth="1"/>
    <col min="19" max="19" width="9.85546875" style="36" customWidth="1"/>
    <col min="20" max="20" width="11.28515625" style="36" customWidth="1"/>
    <col min="21" max="21" width="8.42578125" style="36" customWidth="1"/>
    <col min="22" max="22" width="9.85546875" style="36" customWidth="1"/>
    <col min="23" max="23" width="11.28515625" style="36" customWidth="1"/>
    <col min="24" max="24" width="8.42578125" style="36" customWidth="1"/>
    <col min="25" max="25" width="9.85546875" style="36" customWidth="1"/>
    <col min="26" max="26" width="11.28515625" style="36" customWidth="1"/>
    <col min="27" max="27" width="8.42578125" style="36" customWidth="1"/>
    <col min="28" max="28" width="9.85546875" style="36" customWidth="1"/>
    <col min="29" max="29" width="15.28515625" style="37" customWidth="1"/>
    <col min="30" max="30" width="20.140625" style="36" customWidth="1"/>
    <col min="31" max="31" width="24.5703125" style="36" customWidth="1"/>
    <col min="32" max="16384" width="11.42578125" style="36"/>
  </cols>
  <sheetData>
    <row r="1" spans="1:31" ht="62.25" customHeight="1" thickBot="1" x14ac:dyDescent="0.35">
      <c r="F1" s="284" t="s">
        <v>57</v>
      </c>
      <c r="G1" s="284"/>
      <c r="H1" s="284"/>
      <c r="I1" s="284"/>
      <c r="J1" s="284"/>
      <c r="K1" s="284"/>
      <c r="L1" s="284"/>
      <c r="M1" s="284"/>
      <c r="N1" s="284"/>
      <c r="O1" s="284"/>
      <c r="P1" s="284"/>
      <c r="Q1" s="284"/>
      <c r="R1" s="284"/>
      <c r="S1" s="284"/>
      <c r="T1" s="284"/>
      <c r="U1" s="284"/>
      <c r="V1" s="284"/>
      <c r="W1" s="284"/>
      <c r="X1" s="284"/>
      <c r="Y1" s="284"/>
      <c r="Z1" s="284"/>
    </row>
    <row r="2" spans="1:31" ht="41.25" customHeight="1" thickBot="1" x14ac:dyDescent="0.4">
      <c r="Q2" s="289">
        <v>803</v>
      </c>
      <c r="R2" s="290"/>
      <c r="S2" s="291"/>
      <c r="T2" s="292">
        <v>519</v>
      </c>
      <c r="U2" s="290"/>
      <c r="V2" s="291"/>
      <c r="W2" s="292">
        <v>800</v>
      </c>
      <c r="X2" s="290"/>
      <c r="Y2" s="291"/>
      <c r="Z2" s="292">
        <v>802</v>
      </c>
      <c r="AA2" s="290"/>
      <c r="AB2" s="293"/>
      <c r="AC2" s="36"/>
    </row>
    <row r="3" spans="1:31" s="130" customFormat="1" ht="50.25" customHeight="1" x14ac:dyDescent="0.3">
      <c r="A3" s="119"/>
      <c r="B3" s="120" t="s">
        <v>58</v>
      </c>
      <c r="C3" s="121" t="s">
        <v>59</v>
      </c>
      <c r="D3" s="120" t="s">
        <v>60</v>
      </c>
      <c r="E3" s="121" t="s">
        <v>61</v>
      </c>
      <c r="F3" s="120" t="s">
        <v>62</v>
      </c>
      <c r="G3" s="121" t="s">
        <v>63</v>
      </c>
      <c r="H3" s="120" t="s">
        <v>64</v>
      </c>
      <c r="I3" s="121" t="s">
        <v>65</v>
      </c>
      <c r="J3" s="122" t="s">
        <v>66</v>
      </c>
      <c r="K3" s="122" t="s">
        <v>67</v>
      </c>
      <c r="L3" s="122" t="s">
        <v>68</v>
      </c>
      <c r="M3" s="122" t="s">
        <v>69</v>
      </c>
      <c r="N3" s="122" t="s">
        <v>70</v>
      </c>
      <c r="O3" s="123" t="s">
        <v>71</v>
      </c>
      <c r="P3" s="123" t="s">
        <v>72</v>
      </c>
      <c r="Q3" s="124" t="s">
        <v>73</v>
      </c>
      <c r="R3" s="124" t="s">
        <v>74</v>
      </c>
      <c r="S3" s="124" t="s">
        <v>75</v>
      </c>
      <c r="T3" s="125" t="s">
        <v>76</v>
      </c>
      <c r="U3" s="126" t="s">
        <v>74</v>
      </c>
      <c r="V3" s="125" t="s">
        <v>75</v>
      </c>
      <c r="W3" s="125" t="s">
        <v>77</v>
      </c>
      <c r="X3" s="125" t="s">
        <v>74</v>
      </c>
      <c r="Y3" s="125" t="s">
        <v>75</v>
      </c>
      <c r="Z3" s="125" t="s">
        <v>78</v>
      </c>
      <c r="AA3" s="125" t="s">
        <v>74</v>
      </c>
      <c r="AB3" s="127" t="s">
        <v>75</v>
      </c>
      <c r="AC3" s="128" t="s">
        <v>79</v>
      </c>
      <c r="AD3" s="129" t="s">
        <v>80</v>
      </c>
      <c r="AE3" s="129" t="s">
        <v>81</v>
      </c>
    </row>
    <row r="4" spans="1:31" ht="32.25" customHeight="1" x14ac:dyDescent="0.3">
      <c r="A4" s="40">
        <v>44835</v>
      </c>
      <c r="B4" s="41">
        <v>81</v>
      </c>
      <c r="C4" s="39">
        <f t="shared" ref="C4" si="0">IF(AC4&gt;0,((B4-R4)+(S4-B5)),IF(B5=0, ,(B4-B5)))</f>
        <v>1</v>
      </c>
      <c r="D4" s="41">
        <v>83</v>
      </c>
      <c r="E4" s="39">
        <f t="shared" ref="E4" si="1">IF(AC4&gt;0,((D4-U4)+(V4-D5)),IF(D5=0, ,(D4-D5)))</f>
        <v>7</v>
      </c>
      <c r="F4" s="41">
        <v>81</v>
      </c>
      <c r="G4" s="39">
        <f t="shared" ref="G4" si="2">IF(AC4&gt;0,((F4-X4)+(Y4-F5)),IF(F5=0, ,(F4-F5)))</f>
        <v>2</v>
      </c>
      <c r="H4" s="41">
        <v>81</v>
      </c>
      <c r="I4" s="39">
        <f>IF(AC4&gt;0,((H4-AA4)+(AB4-H5)),IF(H5=0, ,(H4-H5)))</f>
        <v>5</v>
      </c>
      <c r="J4" s="39">
        <f>B4+D4+F4+H4</f>
        <v>326</v>
      </c>
      <c r="K4" s="39">
        <f>J4/4</f>
        <v>81.5</v>
      </c>
      <c r="L4" s="39">
        <f>IF(AC4&gt;0,((K4-AD4)+(AE4-K5)),IF(K5=0, ,(K4-K5)))</f>
        <v>3.75</v>
      </c>
      <c r="M4" s="148">
        <f t="shared" ref="M4:M7" si="3">6049*4</f>
        <v>24196</v>
      </c>
      <c r="N4" s="39">
        <f>L4*M4/100</f>
        <v>907.35</v>
      </c>
      <c r="O4" s="166">
        <f>N4*0.529</f>
        <v>479.98815000000002</v>
      </c>
      <c r="P4" s="42">
        <f>O4*12.24</f>
        <v>5875.0549559999999</v>
      </c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>
        <f t="shared" ref="AC4:AC25" si="4">Q4+T4+W4+Z4</f>
        <v>0</v>
      </c>
      <c r="AD4" s="38">
        <f t="shared" ref="AD4:AD24" si="5">(R4+U4+X4+AA4)/4</f>
        <v>0</v>
      </c>
      <c r="AE4" s="38">
        <f t="shared" ref="AE4:AE24" si="6">(S4+V4+Y4+AB4)/4</f>
        <v>0</v>
      </c>
    </row>
    <row r="5" spans="1:31" ht="32.25" customHeight="1" x14ac:dyDescent="0.3">
      <c r="A5" s="40">
        <v>44836</v>
      </c>
      <c r="B5" s="41">
        <v>80</v>
      </c>
      <c r="C5" s="39">
        <f t="shared" ref="C5:C35" si="7">IF(AC5&gt;0,((B5-R5)+(S5-B6)),IF(B6=0, ,(B5-B6)))</f>
        <v>4</v>
      </c>
      <c r="D5" s="41">
        <v>76</v>
      </c>
      <c r="E5" s="39">
        <f t="shared" ref="E5:E35" si="8">IF(AC5&gt;0,((D5-U5)+(V5-D6)),IF(D6=0, ,(D5-D6)))</f>
        <v>3</v>
      </c>
      <c r="F5" s="41">
        <v>79</v>
      </c>
      <c r="G5" s="39">
        <f t="shared" ref="G5:G35" si="9">IF(AC5&gt;0,((F5-X5)+(Y5-F6)),IF(F6=0, ,(F5-F6)))</f>
        <v>3</v>
      </c>
      <c r="H5" s="41">
        <v>76</v>
      </c>
      <c r="I5" s="39">
        <f>IF(AC5&gt;0,((H5-AA5)+(AB5-H6)),IF(H6=0, ,(H5-H6)))</f>
        <v>4</v>
      </c>
      <c r="J5" s="39">
        <f>B5+D5+F5+H5</f>
        <v>311</v>
      </c>
      <c r="K5" s="39">
        <f>J5/4</f>
        <v>77.75</v>
      </c>
      <c r="L5" s="39">
        <f>IF(AC5&gt;0,((K5-AD5)+(AE5-K6)),IF(K6=0, ,(K5-K6)))</f>
        <v>3.5</v>
      </c>
      <c r="M5" s="148">
        <f t="shared" si="3"/>
        <v>24196</v>
      </c>
      <c r="N5" s="39">
        <f>L5*M5/100</f>
        <v>846.86</v>
      </c>
      <c r="O5" s="166">
        <f t="shared" ref="O5:O34" si="10">N5*0.529</f>
        <v>447.98894000000001</v>
      </c>
      <c r="P5" s="42">
        <f t="shared" ref="P5:P34" si="11">O5*12.24</f>
        <v>5483.3846256000006</v>
      </c>
      <c r="Q5" s="39"/>
      <c r="R5" s="39"/>
      <c r="S5" s="39"/>
      <c r="T5" s="39"/>
      <c r="U5" s="39"/>
      <c r="V5" s="39"/>
      <c r="W5" s="39"/>
      <c r="X5" s="39"/>
      <c r="Y5" s="39"/>
      <c r="Z5" s="39"/>
      <c r="AA5" s="39"/>
      <c r="AB5" s="39"/>
      <c r="AC5" s="39">
        <f t="shared" si="4"/>
        <v>0</v>
      </c>
      <c r="AD5" s="38">
        <f t="shared" si="5"/>
        <v>0</v>
      </c>
      <c r="AE5" s="38">
        <f t="shared" si="6"/>
        <v>0</v>
      </c>
    </row>
    <row r="6" spans="1:31" ht="32.25" customHeight="1" x14ac:dyDescent="0.3">
      <c r="A6" s="40">
        <v>44837</v>
      </c>
      <c r="B6" s="41">
        <v>76</v>
      </c>
      <c r="C6" s="39">
        <f t="shared" si="7"/>
        <v>4</v>
      </c>
      <c r="D6" s="41">
        <v>73</v>
      </c>
      <c r="E6" s="39">
        <f t="shared" si="8"/>
        <v>3</v>
      </c>
      <c r="F6" s="41">
        <v>76</v>
      </c>
      <c r="G6" s="39">
        <f t="shared" si="9"/>
        <v>3</v>
      </c>
      <c r="H6" s="41">
        <v>72</v>
      </c>
      <c r="I6" s="39">
        <f t="shared" ref="I6:I36" si="12">IF(AC6&gt;0,((H6-AA6)+(AB6-H7)),IF(H7=0, ,(H6-H7)))</f>
        <v>2</v>
      </c>
      <c r="J6" s="39">
        <f t="shared" ref="J6:J42" si="13">B6+D6+F6+H6</f>
        <v>297</v>
      </c>
      <c r="K6" s="39">
        <f t="shared" ref="K6:K42" si="14">J6/4</f>
        <v>74.25</v>
      </c>
      <c r="L6" s="39">
        <f t="shared" ref="L6:L19" si="15">IF(AC6&gt;0,((K6-AD6)+(AE6-K7)),IF(K7=0, ,(K6-K7)))</f>
        <v>3</v>
      </c>
      <c r="M6" s="148">
        <f t="shared" si="3"/>
        <v>24196</v>
      </c>
      <c r="N6" s="39">
        <f t="shared" ref="N6:N42" si="16">L6*M6/100</f>
        <v>725.88</v>
      </c>
      <c r="O6" s="166">
        <f t="shared" si="10"/>
        <v>383.99052</v>
      </c>
      <c r="P6" s="42">
        <f t="shared" si="11"/>
        <v>4700.0439648000001</v>
      </c>
      <c r="Q6" s="39"/>
      <c r="R6" s="39"/>
      <c r="S6" s="39"/>
      <c r="T6" s="39"/>
      <c r="U6" s="39"/>
      <c r="V6" s="39"/>
      <c r="W6" s="39"/>
      <c r="X6" s="39"/>
      <c r="Y6" s="39"/>
      <c r="Z6" s="39"/>
      <c r="AA6" s="39"/>
      <c r="AB6" s="39"/>
      <c r="AC6" s="39">
        <f t="shared" si="4"/>
        <v>0</v>
      </c>
      <c r="AD6" s="38">
        <f t="shared" si="5"/>
        <v>0</v>
      </c>
      <c r="AE6" s="38">
        <f t="shared" si="6"/>
        <v>0</v>
      </c>
    </row>
    <row r="7" spans="1:31" ht="32.25" customHeight="1" x14ac:dyDescent="0.3">
      <c r="A7" s="40">
        <v>44838</v>
      </c>
      <c r="B7" s="41">
        <v>72</v>
      </c>
      <c r="C7" s="39">
        <f t="shared" si="7"/>
        <v>3</v>
      </c>
      <c r="D7" s="41">
        <v>70</v>
      </c>
      <c r="E7" s="39">
        <f t="shared" si="8"/>
        <v>2</v>
      </c>
      <c r="F7" s="41">
        <v>73</v>
      </c>
      <c r="G7" s="39">
        <f t="shared" si="9"/>
        <v>5</v>
      </c>
      <c r="H7" s="41">
        <v>70</v>
      </c>
      <c r="I7" s="39">
        <f t="shared" si="12"/>
        <v>2</v>
      </c>
      <c r="J7" s="39">
        <f t="shared" si="13"/>
        <v>285</v>
      </c>
      <c r="K7" s="39">
        <f t="shared" si="14"/>
        <v>71.25</v>
      </c>
      <c r="L7" s="39">
        <f t="shared" si="15"/>
        <v>3</v>
      </c>
      <c r="M7" s="148">
        <f t="shared" si="3"/>
        <v>24196</v>
      </c>
      <c r="N7" s="39">
        <f t="shared" si="16"/>
        <v>725.88</v>
      </c>
      <c r="O7" s="166">
        <f t="shared" si="10"/>
        <v>383.99052</v>
      </c>
      <c r="P7" s="42">
        <f t="shared" si="11"/>
        <v>4700.0439648000001</v>
      </c>
      <c r="Q7" s="39"/>
      <c r="R7" s="39"/>
      <c r="S7" s="39"/>
      <c r="T7" s="39"/>
      <c r="U7" s="39"/>
      <c r="V7" s="39"/>
      <c r="W7" s="39"/>
      <c r="X7" s="39"/>
      <c r="Y7" s="39"/>
      <c r="Z7" s="39"/>
      <c r="AA7" s="39"/>
      <c r="AB7" s="39"/>
      <c r="AC7" s="39">
        <f t="shared" si="4"/>
        <v>0</v>
      </c>
      <c r="AD7" s="38">
        <f t="shared" si="5"/>
        <v>0</v>
      </c>
      <c r="AE7" s="38">
        <f t="shared" si="6"/>
        <v>0</v>
      </c>
    </row>
    <row r="8" spans="1:31" ht="32.25" customHeight="1" x14ac:dyDescent="0.3">
      <c r="A8" s="40">
        <v>44839</v>
      </c>
      <c r="B8" s="41">
        <v>69</v>
      </c>
      <c r="C8" s="39">
        <f t="shared" si="7"/>
        <v>4</v>
      </c>
      <c r="D8" s="41">
        <v>68</v>
      </c>
      <c r="E8" s="39">
        <f t="shared" si="8"/>
        <v>3</v>
      </c>
      <c r="F8" s="41">
        <v>68</v>
      </c>
      <c r="G8" s="39">
        <f t="shared" si="9"/>
        <v>2</v>
      </c>
      <c r="H8" s="41">
        <v>68</v>
      </c>
      <c r="I8" s="39">
        <f t="shared" si="12"/>
        <v>3</v>
      </c>
      <c r="J8" s="39">
        <f t="shared" si="13"/>
        <v>273</v>
      </c>
      <c r="K8" s="39">
        <f t="shared" si="14"/>
        <v>68.25</v>
      </c>
      <c r="L8" s="39">
        <f t="shared" si="15"/>
        <v>3</v>
      </c>
      <c r="M8" s="148">
        <f>6049*4</f>
        <v>24196</v>
      </c>
      <c r="N8" s="39">
        <f t="shared" si="16"/>
        <v>725.88</v>
      </c>
      <c r="O8" s="166">
        <f t="shared" si="10"/>
        <v>383.99052</v>
      </c>
      <c r="P8" s="42">
        <f t="shared" si="11"/>
        <v>4700.0439648000001</v>
      </c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  <c r="AC8" s="39">
        <f t="shared" si="4"/>
        <v>0</v>
      </c>
      <c r="AD8" s="38">
        <f t="shared" si="5"/>
        <v>0</v>
      </c>
      <c r="AE8" s="38">
        <f t="shared" si="6"/>
        <v>0</v>
      </c>
    </row>
    <row r="9" spans="1:31" ht="32.25" customHeight="1" x14ac:dyDescent="0.3">
      <c r="A9" s="40">
        <v>44840</v>
      </c>
      <c r="B9" s="41">
        <v>65</v>
      </c>
      <c r="C9" s="39">
        <f t="shared" si="7"/>
        <v>3</v>
      </c>
      <c r="D9" s="41">
        <v>65</v>
      </c>
      <c r="E9" s="39">
        <f t="shared" si="8"/>
        <v>3</v>
      </c>
      <c r="F9" s="41">
        <v>66</v>
      </c>
      <c r="G9" s="39">
        <f t="shared" si="9"/>
        <v>1</v>
      </c>
      <c r="H9" s="41">
        <v>65</v>
      </c>
      <c r="I9" s="39">
        <f t="shared" si="12"/>
        <v>1</v>
      </c>
      <c r="J9" s="39">
        <f t="shared" si="13"/>
        <v>261</v>
      </c>
      <c r="K9" s="39">
        <f t="shared" si="14"/>
        <v>65.25</v>
      </c>
      <c r="L9" s="39">
        <f t="shared" si="15"/>
        <v>2</v>
      </c>
      <c r="M9" s="148">
        <f t="shared" ref="M9:M42" si="17">6049*4</f>
        <v>24196</v>
      </c>
      <c r="N9" s="39">
        <f t="shared" si="16"/>
        <v>483.92</v>
      </c>
      <c r="O9" s="166">
        <f t="shared" si="10"/>
        <v>255.99368000000001</v>
      </c>
      <c r="P9" s="42">
        <f t="shared" si="11"/>
        <v>3133.3626432000001</v>
      </c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  <c r="AC9" s="39">
        <f t="shared" si="4"/>
        <v>0</v>
      </c>
      <c r="AD9" s="38">
        <f t="shared" si="5"/>
        <v>0</v>
      </c>
      <c r="AE9" s="38">
        <f t="shared" si="6"/>
        <v>0</v>
      </c>
    </row>
    <row r="10" spans="1:31" ht="32.25" customHeight="1" x14ac:dyDescent="0.3">
      <c r="A10" s="40">
        <v>44841</v>
      </c>
      <c r="B10" s="41">
        <v>62</v>
      </c>
      <c r="C10" s="39">
        <f t="shared" si="7"/>
        <v>2</v>
      </c>
      <c r="D10" s="41">
        <v>62</v>
      </c>
      <c r="E10" s="39">
        <f t="shared" si="8"/>
        <v>2</v>
      </c>
      <c r="F10" s="41">
        <v>65</v>
      </c>
      <c r="G10" s="39">
        <f t="shared" si="9"/>
        <v>5</v>
      </c>
      <c r="H10" s="41">
        <v>64</v>
      </c>
      <c r="I10" s="39">
        <f t="shared" si="12"/>
        <v>4</v>
      </c>
      <c r="J10" s="39">
        <f t="shared" si="13"/>
        <v>253</v>
      </c>
      <c r="K10" s="39">
        <f t="shared" si="14"/>
        <v>63.25</v>
      </c>
      <c r="L10" s="39">
        <f t="shared" si="15"/>
        <v>3.25</v>
      </c>
      <c r="M10" s="148">
        <f t="shared" si="17"/>
        <v>24196</v>
      </c>
      <c r="N10" s="39">
        <f t="shared" si="16"/>
        <v>786.37</v>
      </c>
      <c r="O10" s="166">
        <f t="shared" si="10"/>
        <v>415.98973000000001</v>
      </c>
      <c r="P10" s="42">
        <f t="shared" si="11"/>
        <v>5091.7142952000004</v>
      </c>
      <c r="Q10" s="39"/>
      <c r="R10" s="39"/>
      <c r="S10" s="39"/>
      <c r="T10" s="39"/>
      <c r="U10" s="39"/>
      <c r="V10" s="39"/>
      <c r="W10" s="39"/>
      <c r="X10" s="39"/>
      <c r="Y10" s="39"/>
      <c r="Z10" s="39"/>
      <c r="AA10" s="39"/>
      <c r="AB10" s="39"/>
      <c r="AC10" s="39">
        <f t="shared" si="4"/>
        <v>0</v>
      </c>
      <c r="AD10" s="38">
        <f t="shared" si="5"/>
        <v>0</v>
      </c>
      <c r="AE10" s="38">
        <f t="shared" si="6"/>
        <v>0</v>
      </c>
    </row>
    <row r="11" spans="1:31" ht="32.25" customHeight="1" x14ac:dyDescent="0.3">
      <c r="A11" s="40">
        <v>44842</v>
      </c>
      <c r="B11" s="41">
        <v>60</v>
      </c>
      <c r="C11" s="39">
        <f t="shared" si="7"/>
        <v>2</v>
      </c>
      <c r="D11" s="41">
        <v>60</v>
      </c>
      <c r="E11" s="39">
        <f t="shared" si="8"/>
        <v>2</v>
      </c>
      <c r="F11" s="41">
        <v>60</v>
      </c>
      <c r="G11" s="39">
        <f t="shared" si="9"/>
        <v>4</v>
      </c>
      <c r="H11" s="41">
        <v>60</v>
      </c>
      <c r="I11" s="39">
        <f t="shared" si="12"/>
        <v>3</v>
      </c>
      <c r="J11" s="39">
        <f t="shared" si="13"/>
        <v>240</v>
      </c>
      <c r="K11" s="39">
        <f t="shared" si="14"/>
        <v>60</v>
      </c>
      <c r="L11" s="39">
        <f t="shared" si="15"/>
        <v>2.75</v>
      </c>
      <c r="M11" s="148">
        <f t="shared" si="17"/>
        <v>24196</v>
      </c>
      <c r="N11" s="39">
        <f t="shared" si="16"/>
        <v>665.39</v>
      </c>
      <c r="O11" s="166">
        <f t="shared" si="10"/>
        <v>351.99131</v>
      </c>
      <c r="P11" s="42">
        <f t="shared" si="11"/>
        <v>4308.3736343999999</v>
      </c>
      <c r="Q11" s="39"/>
      <c r="R11" s="39"/>
      <c r="S11" s="39"/>
      <c r="T11" s="39"/>
      <c r="U11" s="39"/>
      <c r="V11" s="39"/>
      <c r="W11" s="39"/>
      <c r="X11" s="39"/>
      <c r="Y11" s="39"/>
      <c r="Z11" s="39"/>
      <c r="AA11" s="39"/>
      <c r="AB11" s="39"/>
      <c r="AC11" s="39">
        <f t="shared" si="4"/>
        <v>0</v>
      </c>
      <c r="AD11" s="38">
        <f t="shared" si="5"/>
        <v>0</v>
      </c>
      <c r="AE11" s="38">
        <f t="shared" si="6"/>
        <v>0</v>
      </c>
    </row>
    <row r="12" spans="1:31" ht="32.25" customHeight="1" x14ac:dyDescent="0.3">
      <c r="A12" s="40">
        <v>44843</v>
      </c>
      <c r="B12" s="41">
        <v>58</v>
      </c>
      <c r="C12" s="39">
        <f t="shared" si="7"/>
        <v>4</v>
      </c>
      <c r="D12" s="41">
        <v>58</v>
      </c>
      <c r="E12" s="39">
        <f t="shared" si="8"/>
        <v>4</v>
      </c>
      <c r="F12" s="41">
        <v>56</v>
      </c>
      <c r="G12" s="39">
        <f t="shared" si="9"/>
        <v>1</v>
      </c>
      <c r="H12" s="41">
        <v>57</v>
      </c>
      <c r="I12" s="39">
        <f t="shared" si="12"/>
        <v>2</v>
      </c>
      <c r="J12" s="39">
        <f t="shared" si="13"/>
        <v>229</v>
      </c>
      <c r="K12" s="39">
        <f t="shared" si="14"/>
        <v>57.25</v>
      </c>
      <c r="L12" s="39">
        <f t="shared" si="15"/>
        <v>2.75</v>
      </c>
      <c r="M12" s="148">
        <f t="shared" si="17"/>
        <v>24196</v>
      </c>
      <c r="N12" s="39">
        <f t="shared" si="16"/>
        <v>665.39</v>
      </c>
      <c r="O12" s="166">
        <f t="shared" si="10"/>
        <v>351.99131</v>
      </c>
      <c r="P12" s="42">
        <f t="shared" si="11"/>
        <v>4308.3736343999999</v>
      </c>
      <c r="Q12" s="39"/>
      <c r="R12" s="39"/>
      <c r="S12" s="39"/>
      <c r="T12" s="39"/>
      <c r="U12" s="39"/>
      <c r="V12" s="39"/>
      <c r="W12" s="39"/>
      <c r="X12" s="39"/>
      <c r="Y12" s="39"/>
      <c r="Z12" s="39"/>
      <c r="AA12" s="39"/>
      <c r="AB12" s="39"/>
      <c r="AC12" s="39">
        <f t="shared" si="4"/>
        <v>0</v>
      </c>
      <c r="AD12" s="38">
        <f t="shared" si="5"/>
        <v>0</v>
      </c>
      <c r="AE12" s="38">
        <f t="shared" si="6"/>
        <v>0</v>
      </c>
    </row>
    <row r="13" spans="1:31" ht="32.25" customHeight="1" x14ac:dyDescent="0.3">
      <c r="A13" s="40">
        <v>44844</v>
      </c>
      <c r="B13" s="41">
        <v>54</v>
      </c>
      <c r="C13" s="39">
        <f t="shared" si="7"/>
        <v>5</v>
      </c>
      <c r="D13" s="41">
        <v>54</v>
      </c>
      <c r="E13" s="39">
        <f t="shared" si="8"/>
        <v>3</v>
      </c>
      <c r="F13" s="41">
        <v>55</v>
      </c>
      <c r="G13" s="39">
        <f t="shared" si="9"/>
        <v>2</v>
      </c>
      <c r="H13" s="41">
        <v>55</v>
      </c>
      <c r="I13" s="39">
        <f t="shared" si="12"/>
        <v>3</v>
      </c>
      <c r="J13" s="39">
        <f t="shared" si="13"/>
        <v>218</v>
      </c>
      <c r="K13" s="39">
        <f t="shared" si="14"/>
        <v>54.5</v>
      </c>
      <c r="L13" s="39">
        <f t="shared" si="15"/>
        <v>3.25</v>
      </c>
      <c r="M13" s="148">
        <f t="shared" si="17"/>
        <v>24196</v>
      </c>
      <c r="N13" s="39">
        <f t="shared" si="16"/>
        <v>786.37</v>
      </c>
      <c r="O13" s="166">
        <f t="shared" si="10"/>
        <v>415.98973000000001</v>
      </c>
      <c r="P13" s="42">
        <f t="shared" si="11"/>
        <v>5091.7142952000004</v>
      </c>
      <c r="Q13" s="39">
        <v>2816</v>
      </c>
      <c r="R13" s="39">
        <v>50</v>
      </c>
      <c r="S13" s="39">
        <v>85</v>
      </c>
      <c r="T13" s="39">
        <v>2656</v>
      </c>
      <c r="U13" s="39">
        <v>52</v>
      </c>
      <c r="V13" s="39">
        <v>85</v>
      </c>
      <c r="W13" s="39">
        <v>2548</v>
      </c>
      <c r="X13" s="39">
        <v>53</v>
      </c>
      <c r="Y13" s="39">
        <v>85</v>
      </c>
      <c r="Z13" s="39">
        <v>2517</v>
      </c>
      <c r="AA13" s="39">
        <v>53</v>
      </c>
      <c r="AB13" s="39">
        <v>85</v>
      </c>
      <c r="AC13" s="39">
        <f t="shared" si="4"/>
        <v>10537</v>
      </c>
      <c r="AD13" s="38">
        <f t="shared" si="5"/>
        <v>52</v>
      </c>
      <c r="AE13" s="38">
        <f t="shared" si="6"/>
        <v>85</v>
      </c>
    </row>
    <row r="14" spans="1:31" ht="32.25" customHeight="1" x14ac:dyDescent="0.3">
      <c r="A14" s="40">
        <v>44845</v>
      </c>
      <c r="B14" s="41">
        <v>84</v>
      </c>
      <c r="C14" s="39">
        <f t="shared" si="7"/>
        <v>2</v>
      </c>
      <c r="D14" s="41">
        <v>84</v>
      </c>
      <c r="E14" s="39">
        <f t="shared" si="8"/>
        <v>2</v>
      </c>
      <c r="F14" s="41">
        <v>85</v>
      </c>
      <c r="G14" s="39">
        <f t="shared" si="9"/>
        <v>2</v>
      </c>
      <c r="H14" s="41">
        <v>84</v>
      </c>
      <c r="I14" s="39">
        <f>IF(AC14&gt;0,((H14-AA14)+(AB14-H15)),IF(H15=0, ,(H14-H15)))</f>
        <v>1</v>
      </c>
      <c r="J14" s="39">
        <f t="shared" si="13"/>
        <v>337</v>
      </c>
      <c r="K14" s="39">
        <f t="shared" si="14"/>
        <v>84.25</v>
      </c>
      <c r="L14" s="39">
        <f t="shared" si="15"/>
        <v>1.75</v>
      </c>
      <c r="M14" s="148">
        <f t="shared" si="17"/>
        <v>24196</v>
      </c>
      <c r="N14" s="39">
        <f t="shared" si="16"/>
        <v>423.43</v>
      </c>
      <c r="O14" s="166">
        <f t="shared" si="10"/>
        <v>223.99447000000001</v>
      </c>
      <c r="P14" s="42">
        <f t="shared" si="11"/>
        <v>2741.6923128000003</v>
      </c>
      <c r="Q14" s="39"/>
      <c r="R14" s="39"/>
      <c r="S14" s="39"/>
      <c r="T14" s="39"/>
      <c r="U14" s="39"/>
      <c r="V14" s="39"/>
      <c r="W14" s="39"/>
      <c r="X14" s="39"/>
      <c r="Y14" s="39"/>
      <c r="Z14" s="39"/>
      <c r="AA14" s="39"/>
      <c r="AB14" s="39"/>
      <c r="AC14" s="39">
        <f>Q14+T14+W14+Z14</f>
        <v>0</v>
      </c>
      <c r="AD14" s="38">
        <f>(R14+U14+X14+AA14)/4</f>
        <v>0</v>
      </c>
      <c r="AE14" s="38">
        <f>(S14+V14+Y14+AB14)/4</f>
        <v>0</v>
      </c>
    </row>
    <row r="15" spans="1:31" ht="32.25" customHeight="1" x14ac:dyDescent="0.3">
      <c r="A15" s="40">
        <v>44846</v>
      </c>
      <c r="B15" s="41">
        <v>82</v>
      </c>
      <c r="C15" s="39">
        <f t="shared" si="7"/>
        <v>2</v>
      </c>
      <c r="D15" s="41">
        <v>82</v>
      </c>
      <c r="E15" s="39">
        <f t="shared" si="8"/>
        <v>2</v>
      </c>
      <c r="F15" s="41">
        <v>83</v>
      </c>
      <c r="G15" s="39">
        <f t="shared" si="9"/>
        <v>2</v>
      </c>
      <c r="H15" s="41">
        <v>83</v>
      </c>
      <c r="I15" s="39">
        <f>IF(AC15&gt;0,((H15-AA15)+(AB15-H16)),IF(H16=0, ,(H15-H16)))</f>
        <v>1</v>
      </c>
      <c r="J15" s="39">
        <f t="shared" si="13"/>
        <v>330</v>
      </c>
      <c r="K15" s="39">
        <f t="shared" si="14"/>
        <v>82.5</v>
      </c>
      <c r="L15" s="39">
        <f t="shared" si="15"/>
        <v>1.75</v>
      </c>
      <c r="M15" s="148">
        <f t="shared" si="17"/>
        <v>24196</v>
      </c>
      <c r="N15" s="39">
        <f t="shared" si="16"/>
        <v>423.43</v>
      </c>
      <c r="O15" s="166">
        <f t="shared" si="10"/>
        <v>223.99447000000001</v>
      </c>
      <c r="P15" s="42">
        <f t="shared" si="11"/>
        <v>2741.6923128000003</v>
      </c>
      <c r="Q15" s="39"/>
      <c r="R15" s="39"/>
      <c r="S15" s="39"/>
      <c r="T15" s="39"/>
      <c r="U15" s="39"/>
      <c r="V15" s="39"/>
      <c r="W15" s="39"/>
      <c r="X15" s="39"/>
      <c r="Y15" s="39"/>
      <c r="Z15" s="39"/>
      <c r="AA15" s="39"/>
      <c r="AB15" s="39"/>
      <c r="AC15" s="39">
        <f>Q15+T15+W15+Z15</f>
        <v>0</v>
      </c>
      <c r="AD15" s="38">
        <f>(R15+U15+X15+AA15)/4</f>
        <v>0</v>
      </c>
      <c r="AE15" s="38">
        <f>(S15+V15+Y15+AB15)/4</f>
        <v>0</v>
      </c>
    </row>
    <row r="16" spans="1:31" ht="32.25" customHeight="1" x14ac:dyDescent="0.3">
      <c r="A16" s="40">
        <v>44847</v>
      </c>
      <c r="B16" s="41">
        <v>80</v>
      </c>
      <c r="C16" s="39">
        <f t="shared" si="7"/>
        <v>0</v>
      </c>
      <c r="D16" s="41">
        <v>80</v>
      </c>
      <c r="E16" s="39">
        <f t="shared" si="8"/>
        <v>4</v>
      </c>
      <c r="F16" s="41">
        <v>81</v>
      </c>
      <c r="G16" s="39">
        <f t="shared" si="9"/>
        <v>2</v>
      </c>
      <c r="H16" s="41">
        <v>82</v>
      </c>
      <c r="I16" s="39">
        <f t="shared" si="12"/>
        <v>2</v>
      </c>
      <c r="J16" s="39">
        <f t="shared" si="13"/>
        <v>323</v>
      </c>
      <c r="K16" s="39">
        <f t="shared" si="14"/>
        <v>80.75</v>
      </c>
      <c r="L16" s="39">
        <f t="shared" si="15"/>
        <v>2</v>
      </c>
      <c r="M16" s="148">
        <f t="shared" si="17"/>
        <v>24196</v>
      </c>
      <c r="N16" s="39">
        <f t="shared" si="16"/>
        <v>483.92</v>
      </c>
      <c r="O16" s="166">
        <f t="shared" si="10"/>
        <v>255.99368000000001</v>
      </c>
      <c r="P16" s="42">
        <f t="shared" si="11"/>
        <v>3133.3626432000001</v>
      </c>
      <c r="Q16" s="39"/>
      <c r="R16" s="39"/>
      <c r="S16" s="39"/>
      <c r="T16" s="39"/>
      <c r="U16" s="39"/>
      <c r="V16" s="39"/>
      <c r="W16" s="39"/>
      <c r="X16" s="39"/>
      <c r="Y16" s="39"/>
      <c r="Z16" s="39"/>
      <c r="AA16" s="39"/>
      <c r="AB16" s="39"/>
      <c r="AC16" s="39">
        <f t="shared" si="4"/>
        <v>0</v>
      </c>
      <c r="AD16" s="38">
        <f t="shared" si="5"/>
        <v>0</v>
      </c>
      <c r="AE16" s="38">
        <f t="shared" si="6"/>
        <v>0</v>
      </c>
    </row>
    <row r="17" spans="1:31" ht="32.25" customHeight="1" x14ac:dyDescent="0.3">
      <c r="A17" s="40">
        <v>44848</v>
      </c>
      <c r="B17" s="41">
        <v>80</v>
      </c>
      <c r="C17" s="39">
        <f t="shared" si="7"/>
        <v>4</v>
      </c>
      <c r="D17" s="41">
        <v>76</v>
      </c>
      <c r="E17" s="39">
        <f t="shared" si="8"/>
        <v>1</v>
      </c>
      <c r="F17" s="41">
        <v>79</v>
      </c>
      <c r="G17" s="39">
        <f t="shared" si="9"/>
        <v>4</v>
      </c>
      <c r="H17" s="41">
        <v>80</v>
      </c>
      <c r="I17" s="39">
        <f t="shared" si="12"/>
        <v>5</v>
      </c>
      <c r="J17" s="39">
        <f t="shared" si="13"/>
        <v>315</v>
      </c>
      <c r="K17" s="39">
        <f t="shared" si="14"/>
        <v>78.75</v>
      </c>
      <c r="L17" s="39">
        <f t="shared" si="15"/>
        <v>3.5</v>
      </c>
      <c r="M17" s="148">
        <f t="shared" si="17"/>
        <v>24196</v>
      </c>
      <c r="N17" s="39">
        <f t="shared" si="16"/>
        <v>846.86</v>
      </c>
      <c r="O17" s="166">
        <f t="shared" si="10"/>
        <v>447.98894000000001</v>
      </c>
      <c r="P17" s="42">
        <f t="shared" si="11"/>
        <v>5483.3846256000006</v>
      </c>
      <c r="Q17" s="39"/>
      <c r="R17" s="39"/>
      <c r="S17" s="39"/>
      <c r="T17" s="39"/>
      <c r="U17" s="39"/>
      <c r="V17" s="39"/>
      <c r="W17" s="39"/>
      <c r="X17" s="39"/>
      <c r="Y17" s="39"/>
      <c r="Z17" s="39"/>
      <c r="AA17" s="39"/>
      <c r="AB17" s="39"/>
      <c r="AC17" s="39">
        <f t="shared" si="4"/>
        <v>0</v>
      </c>
      <c r="AD17" s="38">
        <f t="shared" si="5"/>
        <v>0</v>
      </c>
      <c r="AE17" s="38">
        <f t="shared" si="6"/>
        <v>0</v>
      </c>
    </row>
    <row r="18" spans="1:31" ht="32.25" customHeight="1" x14ac:dyDescent="0.3">
      <c r="A18" s="40">
        <v>44849</v>
      </c>
      <c r="B18" s="41">
        <v>76</v>
      </c>
      <c r="C18" s="39">
        <f t="shared" si="7"/>
        <v>4</v>
      </c>
      <c r="D18" s="41">
        <v>75</v>
      </c>
      <c r="E18" s="39">
        <f t="shared" si="8"/>
        <v>0</v>
      </c>
      <c r="F18" s="41">
        <v>75</v>
      </c>
      <c r="G18" s="39">
        <f t="shared" si="9"/>
        <v>5</v>
      </c>
      <c r="H18" s="41">
        <v>75</v>
      </c>
      <c r="I18" s="39">
        <f t="shared" si="12"/>
        <v>3</v>
      </c>
      <c r="J18" s="39">
        <f t="shared" si="13"/>
        <v>301</v>
      </c>
      <c r="K18" s="39">
        <f t="shared" si="14"/>
        <v>75.25</v>
      </c>
      <c r="L18" s="39">
        <f t="shared" si="15"/>
        <v>3</v>
      </c>
      <c r="M18" s="148">
        <f t="shared" si="17"/>
        <v>24196</v>
      </c>
      <c r="N18" s="39">
        <f t="shared" si="16"/>
        <v>725.88</v>
      </c>
      <c r="O18" s="166">
        <f t="shared" si="10"/>
        <v>383.99052</v>
      </c>
      <c r="P18" s="42">
        <f t="shared" si="11"/>
        <v>4700.0439648000001</v>
      </c>
      <c r="Q18" s="39"/>
      <c r="R18" s="39"/>
      <c r="S18" s="39"/>
      <c r="T18" s="39"/>
      <c r="U18" s="39"/>
      <c r="V18" s="39"/>
      <c r="W18" s="39"/>
      <c r="X18" s="39"/>
      <c r="Y18" s="39"/>
      <c r="Z18" s="39"/>
      <c r="AA18" s="39"/>
      <c r="AB18" s="39"/>
      <c r="AC18" s="39">
        <f t="shared" si="4"/>
        <v>0</v>
      </c>
      <c r="AD18" s="38">
        <f t="shared" si="5"/>
        <v>0</v>
      </c>
      <c r="AE18" s="38">
        <f t="shared" si="6"/>
        <v>0</v>
      </c>
    </row>
    <row r="19" spans="1:31" ht="32.25" customHeight="1" x14ac:dyDescent="0.3">
      <c r="A19" s="40">
        <v>44850</v>
      </c>
      <c r="B19" s="41">
        <v>72</v>
      </c>
      <c r="C19" s="39">
        <f t="shared" si="7"/>
        <v>2</v>
      </c>
      <c r="D19" s="41">
        <v>75</v>
      </c>
      <c r="E19" s="39">
        <f t="shared" si="8"/>
        <v>5</v>
      </c>
      <c r="F19" s="41">
        <v>70</v>
      </c>
      <c r="G19" s="39">
        <f t="shared" si="9"/>
        <v>0</v>
      </c>
      <c r="H19" s="41">
        <v>72</v>
      </c>
      <c r="I19" s="39">
        <f t="shared" si="12"/>
        <v>2</v>
      </c>
      <c r="J19" s="39">
        <f t="shared" si="13"/>
        <v>289</v>
      </c>
      <c r="K19" s="39">
        <f t="shared" si="14"/>
        <v>72.25</v>
      </c>
      <c r="L19" s="39">
        <f t="shared" si="15"/>
        <v>2.25</v>
      </c>
      <c r="M19" s="148">
        <f t="shared" si="17"/>
        <v>24196</v>
      </c>
      <c r="N19" s="39">
        <f t="shared" si="16"/>
        <v>544.41</v>
      </c>
      <c r="O19" s="166">
        <f t="shared" si="10"/>
        <v>287.99288999999999</v>
      </c>
      <c r="P19" s="42">
        <f t="shared" si="11"/>
        <v>3525.0329735999999</v>
      </c>
      <c r="Q19" s="39"/>
      <c r="R19" s="39"/>
      <c r="S19" s="39"/>
      <c r="T19" s="39"/>
      <c r="U19" s="39"/>
      <c r="V19" s="39"/>
      <c r="W19" s="39"/>
      <c r="X19" s="39"/>
      <c r="Y19" s="39"/>
      <c r="Z19" s="39"/>
      <c r="AA19" s="39"/>
      <c r="AB19" s="39"/>
      <c r="AC19" s="39">
        <f t="shared" si="4"/>
        <v>0</v>
      </c>
      <c r="AD19" s="38">
        <f t="shared" si="5"/>
        <v>0</v>
      </c>
      <c r="AE19" s="38">
        <f t="shared" si="6"/>
        <v>0</v>
      </c>
    </row>
    <row r="20" spans="1:31" ht="32.25" customHeight="1" x14ac:dyDescent="0.3">
      <c r="A20" s="40">
        <v>44851</v>
      </c>
      <c r="B20" s="41">
        <v>70</v>
      </c>
      <c r="C20" s="39">
        <f t="shared" si="7"/>
        <v>2</v>
      </c>
      <c r="D20" s="41">
        <v>70</v>
      </c>
      <c r="E20" s="39">
        <f t="shared" si="8"/>
        <v>5</v>
      </c>
      <c r="F20" s="41">
        <v>70</v>
      </c>
      <c r="G20" s="39">
        <f t="shared" si="9"/>
        <v>0</v>
      </c>
      <c r="H20" s="41">
        <v>70</v>
      </c>
      <c r="I20" s="39">
        <f t="shared" si="12"/>
        <v>1</v>
      </c>
      <c r="J20" s="39">
        <f t="shared" si="13"/>
        <v>280</v>
      </c>
      <c r="K20" s="39">
        <f t="shared" si="14"/>
        <v>70</v>
      </c>
      <c r="L20" s="39">
        <f t="shared" ref="L20:L42" si="18">IF(AC20&gt;0,((K20-AD20)+(AE20-K21)),IF(K21=0, ,(K20-K21)))</f>
        <v>2</v>
      </c>
      <c r="M20" s="148">
        <f t="shared" si="17"/>
        <v>24196</v>
      </c>
      <c r="N20" s="39">
        <f t="shared" si="16"/>
        <v>483.92</v>
      </c>
      <c r="O20" s="166">
        <f t="shared" si="10"/>
        <v>255.99368000000001</v>
      </c>
      <c r="P20" s="42">
        <f t="shared" si="11"/>
        <v>3133.3626432000001</v>
      </c>
      <c r="Q20" s="39"/>
      <c r="R20" s="39"/>
      <c r="S20" s="39"/>
      <c r="T20" s="39"/>
      <c r="U20" s="39"/>
      <c r="V20" s="39"/>
      <c r="W20" s="39"/>
      <c r="X20" s="39"/>
      <c r="Y20" s="39"/>
      <c r="Z20" s="39"/>
      <c r="AA20" s="39"/>
      <c r="AB20" s="39"/>
      <c r="AC20" s="39">
        <f t="shared" si="4"/>
        <v>0</v>
      </c>
      <c r="AD20" s="38">
        <f t="shared" si="5"/>
        <v>0</v>
      </c>
      <c r="AE20" s="38">
        <f t="shared" si="6"/>
        <v>0</v>
      </c>
    </row>
    <row r="21" spans="1:31" ht="32.25" customHeight="1" x14ac:dyDescent="0.3">
      <c r="A21" s="40">
        <v>44852</v>
      </c>
      <c r="B21" s="41">
        <v>68</v>
      </c>
      <c r="C21" s="39">
        <f t="shared" si="7"/>
        <v>3</v>
      </c>
      <c r="D21" s="41">
        <v>65</v>
      </c>
      <c r="E21" s="39">
        <f t="shared" si="8"/>
        <v>4</v>
      </c>
      <c r="F21" s="41">
        <v>70</v>
      </c>
      <c r="G21" s="39">
        <f t="shared" si="9"/>
        <v>5</v>
      </c>
      <c r="H21" s="41">
        <v>69</v>
      </c>
      <c r="I21" s="39">
        <f t="shared" si="12"/>
        <v>4</v>
      </c>
      <c r="J21" s="39">
        <f t="shared" si="13"/>
        <v>272</v>
      </c>
      <c r="K21" s="39">
        <f t="shared" si="14"/>
        <v>68</v>
      </c>
      <c r="L21" s="39">
        <f>IF(AC21&gt;0,((K21-AD21)+(AE21-K22)),IF(K22=0, ,(K21-K22)))</f>
        <v>4</v>
      </c>
      <c r="M21" s="148">
        <f t="shared" si="17"/>
        <v>24196</v>
      </c>
      <c r="N21" s="39">
        <f t="shared" si="16"/>
        <v>967.84</v>
      </c>
      <c r="O21" s="166">
        <f t="shared" si="10"/>
        <v>511.98736000000002</v>
      </c>
      <c r="P21" s="42">
        <f t="shared" si="11"/>
        <v>6266.7252864000002</v>
      </c>
      <c r="Q21" s="39"/>
      <c r="R21" s="39"/>
      <c r="S21" s="39"/>
      <c r="T21" s="39"/>
      <c r="U21" s="39"/>
      <c r="V21" s="39"/>
      <c r="W21" s="39"/>
      <c r="X21" s="39"/>
      <c r="Y21" s="39"/>
      <c r="Z21" s="39"/>
      <c r="AA21" s="39"/>
      <c r="AB21" s="39"/>
      <c r="AC21" s="39">
        <f t="shared" si="4"/>
        <v>0</v>
      </c>
      <c r="AD21" s="38">
        <f t="shared" si="5"/>
        <v>0</v>
      </c>
      <c r="AE21" s="38">
        <f t="shared" si="6"/>
        <v>0</v>
      </c>
    </row>
    <row r="22" spans="1:31" ht="32.25" customHeight="1" x14ac:dyDescent="0.3">
      <c r="A22" s="40">
        <v>44853</v>
      </c>
      <c r="B22" s="41">
        <v>65</v>
      </c>
      <c r="C22" s="39">
        <f t="shared" si="7"/>
        <v>5</v>
      </c>
      <c r="D22" s="41">
        <v>61</v>
      </c>
      <c r="E22" s="39">
        <f t="shared" si="8"/>
        <v>1</v>
      </c>
      <c r="F22" s="41">
        <v>65</v>
      </c>
      <c r="G22" s="39">
        <f t="shared" si="9"/>
        <v>3</v>
      </c>
      <c r="H22" s="41">
        <v>65</v>
      </c>
      <c r="I22" s="39">
        <f t="shared" si="12"/>
        <v>4</v>
      </c>
      <c r="J22" s="39">
        <f t="shared" si="13"/>
        <v>256</v>
      </c>
      <c r="K22" s="39">
        <f t="shared" si="14"/>
        <v>64</v>
      </c>
      <c r="L22" s="39">
        <f>IF(AC22&gt;0,((K22-AD22)+(AE22-K23)),IF(K23=0, ,(K22-K23)))</f>
        <v>3.25</v>
      </c>
      <c r="M22" s="148">
        <f t="shared" si="17"/>
        <v>24196</v>
      </c>
      <c r="N22" s="39">
        <f t="shared" si="16"/>
        <v>786.37</v>
      </c>
      <c r="O22" s="166">
        <f t="shared" si="10"/>
        <v>415.98973000000001</v>
      </c>
      <c r="P22" s="42">
        <f t="shared" si="11"/>
        <v>5091.7142952000004</v>
      </c>
      <c r="Q22" s="39"/>
      <c r="R22" s="39"/>
      <c r="S22" s="39"/>
      <c r="T22" s="39"/>
      <c r="U22" s="39"/>
      <c r="V22" s="39"/>
      <c r="W22" s="39"/>
      <c r="X22" s="39"/>
      <c r="Y22" s="39"/>
      <c r="Z22" s="39"/>
      <c r="AA22" s="39"/>
      <c r="AB22" s="39"/>
      <c r="AC22" s="39">
        <f>Q22+T22+W22+Z22</f>
        <v>0</v>
      </c>
      <c r="AD22" s="38">
        <f t="shared" si="5"/>
        <v>0</v>
      </c>
      <c r="AE22" s="38">
        <f t="shared" si="6"/>
        <v>0</v>
      </c>
    </row>
    <row r="23" spans="1:31" ht="32.25" customHeight="1" x14ac:dyDescent="0.3">
      <c r="A23" s="40">
        <v>44854</v>
      </c>
      <c r="B23" s="41">
        <v>60</v>
      </c>
      <c r="C23" s="39">
        <f t="shared" si="7"/>
        <v>3</v>
      </c>
      <c r="D23" s="41">
        <v>60</v>
      </c>
      <c r="E23" s="39">
        <f t="shared" si="8"/>
        <v>3</v>
      </c>
      <c r="F23" s="41">
        <v>62</v>
      </c>
      <c r="G23" s="39">
        <f t="shared" si="9"/>
        <v>4</v>
      </c>
      <c r="H23" s="41">
        <v>61</v>
      </c>
      <c r="I23" s="39">
        <f t="shared" si="12"/>
        <v>5</v>
      </c>
      <c r="J23" s="39">
        <f t="shared" si="13"/>
        <v>243</v>
      </c>
      <c r="K23" s="39">
        <f t="shared" si="14"/>
        <v>60.75</v>
      </c>
      <c r="L23" s="39">
        <f t="shared" si="18"/>
        <v>3.75</v>
      </c>
      <c r="M23" s="148">
        <f t="shared" si="17"/>
        <v>24196</v>
      </c>
      <c r="N23" s="39">
        <f t="shared" si="16"/>
        <v>907.35</v>
      </c>
      <c r="O23" s="166">
        <f t="shared" si="10"/>
        <v>479.98815000000002</v>
      </c>
      <c r="P23" s="42">
        <f t="shared" si="11"/>
        <v>5875.0549559999999</v>
      </c>
      <c r="Q23" s="39"/>
      <c r="R23" s="39"/>
      <c r="S23" s="39"/>
      <c r="T23" s="39"/>
      <c r="U23" s="39"/>
      <c r="V23" s="39"/>
      <c r="W23" s="39"/>
      <c r="X23" s="39"/>
      <c r="Y23" s="39"/>
      <c r="Z23" s="39"/>
      <c r="AA23" s="39"/>
      <c r="AB23" s="39"/>
      <c r="AC23" s="39">
        <f t="shared" si="4"/>
        <v>0</v>
      </c>
      <c r="AD23" s="38">
        <f t="shared" si="5"/>
        <v>0</v>
      </c>
      <c r="AE23" s="38">
        <f t="shared" si="6"/>
        <v>0</v>
      </c>
    </row>
    <row r="24" spans="1:31" ht="32.25" customHeight="1" x14ac:dyDescent="0.3">
      <c r="A24" s="40">
        <v>44855</v>
      </c>
      <c r="B24" s="41">
        <v>57</v>
      </c>
      <c r="C24" s="39">
        <f t="shared" si="7"/>
        <v>2</v>
      </c>
      <c r="D24" s="41">
        <v>57</v>
      </c>
      <c r="E24" s="39">
        <f t="shared" si="8"/>
        <v>2</v>
      </c>
      <c r="F24" s="41">
        <v>58</v>
      </c>
      <c r="G24" s="39">
        <f t="shared" si="9"/>
        <v>2</v>
      </c>
      <c r="H24" s="41">
        <v>56</v>
      </c>
      <c r="I24" s="39">
        <f t="shared" si="12"/>
        <v>1</v>
      </c>
      <c r="J24" s="39">
        <f t="shared" si="13"/>
        <v>228</v>
      </c>
      <c r="K24" s="39">
        <f t="shared" si="14"/>
        <v>57</v>
      </c>
      <c r="L24" s="39">
        <f t="shared" si="18"/>
        <v>1.75</v>
      </c>
      <c r="M24" s="148">
        <f t="shared" si="17"/>
        <v>24196</v>
      </c>
      <c r="N24" s="39">
        <f t="shared" si="16"/>
        <v>423.43</v>
      </c>
      <c r="O24" s="166">
        <f t="shared" si="10"/>
        <v>223.99447000000001</v>
      </c>
      <c r="P24" s="42">
        <f t="shared" si="11"/>
        <v>2741.6923128000003</v>
      </c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  <c r="AC24" s="39">
        <f t="shared" si="4"/>
        <v>0</v>
      </c>
      <c r="AD24" s="38">
        <f t="shared" si="5"/>
        <v>0</v>
      </c>
      <c r="AE24" s="38">
        <f t="shared" si="6"/>
        <v>0</v>
      </c>
    </row>
    <row r="25" spans="1:31" ht="32.25" customHeight="1" x14ac:dyDescent="0.3">
      <c r="A25" s="40">
        <v>44856</v>
      </c>
      <c r="B25" s="41">
        <v>55</v>
      </c>
      <c r="C25" s="39">
        <f t="shared" si="7"/>
        <v>5</v>
      </c>
      <c r="D25" s="41">
        <v>55</v>
      </c>
      <c r="E25" s="39">
        <f t="shared" si="8"/>
        <v>2</v>
      </c>
      <c r="F25" s="41">
        <v>56</v>
      </c>
      <c r="G25" s="39">
        <f t="shared" si="9"/>
        <v>1</v>
      </c>
      <c r="H25" s="41">
        <v>55</v>
      </c>
      <c r="I25" s="39">
        <f t="shared" si="12"/>
        <v>3</v>
      </c>
      <c r="J25" s="39">
        <f t="shared" si="13"/>
        <v>221</v>
      </c>
      <c r="K25" s="39">
        <f t="shared" si="14"/>
        <v>55.25</v>
      </c>
      <c r="L25" s="39">
        <f t="shared" si="18"/>
        <v>2.75</v>
      </c>
      <c r="M25" s="148">
        <f t="shared" si="17"/>
        <v>24196</v>
      </c>
      <c r="N25" s="39">
        <f t="shared" si="16"/>
        <v>665.39</v>
      </c>
      <c r="O25" s="166">
        <f t="shared" si="10"/>
        <v>351.99131</v>
      </c>
      <c r="P25" s="42">
        <f t="shared" si="11"/>
        <v>4308.3736343999999</v>
      </c>
      <c r="Q25" s="39">
        <v>2876</v>
      </c>
      <c r="R25" s="39">
        <v>50</v>
      </c>
      <c r="S25" s="39">
        <v>85</v>
      </c>
      <c r="T25" s="39"/>
      <c r="U25" s="39"/>
      <c r="V25" s="39"/>
      <c r="W25" s="39"/>
      <c r="X25" s="39"/>
      <c r="Y25" s="39"/>
      <c r="Z25" s="39"/>
      <c r="AA25" s="39"/>
      <c r="AB25" s="39"/>
      <c r="AC25" s="39">
        <f t="shared" si="4"/>
        <v>2876</v>
      </c>
      <c r="AD25" s="38">
        <f t="shared" ref="AD25:AD42" si="19">(R25+U25+X25+AA25)/4</f>
        <v>12.5</v>
      </c>
      <c r="AE25" s="38">
        <f>(S25+V25+Y25+AB25)/4</f>
        <v>21.25</v>
      </c>
    </row>
    <row r="26" spans="1:31" ht="32.25" customHeight="1" x14ac:dyDescent="0.3">
      <c r="A26" s="40">
        <v>44857</v>
      </c>
      <c r="B26" s="41">
        <v>85</v>
      </c>
      <c r="C26" s="39">
        <f t="shared" si="7"/>
        <v>5</v>
      </c>
      <c r="D26" s="41">
        <v>53</v>
      </c>
      <c r="E26" s="39">
        <f t="shared" si="8"/>
        <v>3</v>
      </c>
      <c r="F26" s="41">
        <v>55</v>
      </c>
      <c r="G26" s="39">
        <f t="shared" si="9"/>
        <v>1</v>
      </c>
      <c r="H26" s="41">
        <v>52</v>
      </c>
      <c r="I26" s="39">
        <f t="shared" si="12"/>
        <v>1</v>
      </c>
      <c r="J26" s="39">
        <f t="shared" si="13"/>
        <v>245</v>
      </c>
      <c r="K26" s="39">
        <f t="shared" si="14"/>
        <v>61.25</v>
      </c>
      <c r="L26" s="39">
        <f t="shared" si="18"/>
        <v>2.5</v>
      </c>
      <c r="M26" s="148">
        <f t="shared" si="17"/>
        <v>24196</v>
      </c>
      <c r="N26" s="39">
        <f t="shared" si="16"/>
        <v>604.9</v>
      </c>
      <c r="O26" s="166">
        <f t="shared" si="10"/>
        <v>319.99209999999999</v>
      </c>
      <c r="P26" s="42">
        <f t="shared" si="11"/>
        <v>3916.7033040000001</v>
      </c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>
        <f t="shared" ref="AC26:AC43" si="20">Q26+T26+W26+Z26</f>
        <v>0</v>
      </c>
      <c r="AD26" s="38">
        <f t="shared" si="19"/>
        <v>0</v>
      </c>
      <c r="AE26" s="38">
        <f>(S26+V26+Y26+AB26)/4</f>
        <v>0</v>
      </c>
    </row>
    <row r="27" spans="1:31" ht="32.25" customHeight="1" x14ac:dyDescent="0.3">
      <c r="A27" s="40">
        <v>44858</v>
      </c>
      <c r="B27" s="41">
        <v>80</v>
      </c>
      <c r="C27" s="39">
        <f t="shared" ref="C27" si="21">IF(AC27&gt;0,((B27-R27)+(S27-B28)),IF(B28=0, ,(B27-B28)))</f>
        <v>2</v>
      </c>
      <c r="D27" s="41">
        <v>50</v>
      </c>
      <c r="E27" s="39">
        <f t="shared" ref="E27" si="22">IF(AC27&gt;0,((D27-U27)+(V27-D28)),IF(D28=0, ,(D27-D28)))</f>
        <v>0</v>
      </c>
      <c r="F27" s="41">
        <v>54</v>
      </c>
      <c r="G27" s="39">
        <f t="shared" ref="G27" si="23">IF(AC27&gt;0,((F27-X27)+(Y27-F28)),IF(F28=0, ,(F27-F28)))</f>
        <v>14</v>
      </c>
      <c r="H27" s="41">
        <v>51</v>
      </c>
      <c r="I27" s="39">
        <f t="shared" si="12"/>
        <v>11</v>
      </c>
      <c r="J27" s="39">
        <f t="shared" si="13"/>
        <v>235</v>
      </c>
      <c r="K27" s="39">
        <f t="shared" si="14"/>
        <v>58.75</v>
      </c>
      <c r="L27" s="39">
        <f t="shared" si="18"/>
        <v>6.75</v>
      </c>
      <c r="M27" s="148">
        <f t="shared" si="17"/>
        <v>24196</v>
      </c>
      <c r="N27" s="39">
        <f t="shared" si="16"/>
        <v>1633.23</v>
      </c>
      <c r="O27" s="166">
        <f t="shared" si="10"/>
        <v>863.97867000000008</v>
      </c>
      <c r="P27" s="42">
        <f t="shared" si="11"/>
        <v>10575.098920800001</v>
      </c>
      <c r="Q27" s="39"/>
      <c r="R27" s="39"/>
      <c r="S27" s="39"/>
      <c r="T27" s="39">
        <v>2334</v>
      </c>
      <c r="U27" s="39">
        <v>50</v>
      </c>
      <c r="V27" s="39">
        <v>75</v>
      </c>
      <c r="W27" s="39">
        <v>2334</v>
      </c>
      <c r="X27" s="39">
        <v>50</v>
      </c>
      <c r="Y27" s="39">
        <v>75</v>
      </c>
      <c r="Z27" s="39">
        <v>2334</v>
      </c>
      <c r="AA27" s="39">
        <v>50</v>
      </c>
      <c r="AB27" s="39">
        <v>75</v>
      </c>
      <c r="AC27" s="39">
        <f t="shared" si="20"/>
        <v>7002</v>
      </c>
      <c r="AD27" s="38">
        <f t="shared" si="19"/>
        <v>37.5</v>
      </c>
      <c r="AE27" s="38">
        <f>(S27+V27+Y27+AB27)/4</f>
        <v>56.25</v>
      </c>
    </row>
    <row r="28" spans="1:31" ht="32.25" customHeight="1" x14ac:dyDescent="0.3">
      <c r="A28" s="40">
        <v>44859</v>
      </c>
      <c r="B28" s="41">
        <v>78</v>
      </c>
      <c r="C28" s="39">
        <f t="shared" si="7"/>
        <v>3</v>
      </c>
      <c r="D28" s="41">
        <v>75</v>
      </c>
      <c r="E28" s="39">
        <f t="shared" si="8"/>
        <v>5</v>
      </c>
      <c r="F28" s="41">
        <v>65</v>
      </c>
      <c r="G28" s="39">
        <f t="shared" si="9"/>
        <v>1</v>
      </c>
      <c r="H28" s="41">
        <v>65</v>
      </c>
      <c r="I28" s="39">
        <f>IF(AC28&gt;0,((H28-AA28)+(AB28-H29)),IF(H29=0, ,(H28-H29)))</f>
        <v>1</v>
      </c>
      <c r="J28" s="39">
        <f t="shared" si="13"/>
        <v>283</v>
      </c>
      <c r="K28" s="39">
        <f t="shared" si="14"/>
        <v>70.75</v>
      </c>
      <c r="L28" s="39">
        <f t="shared" si="18"/>
        <v>2.5</v>
      </c>
      <c r="M28" s="148">
        <f t="shared" si="17"/>
        <v>24196</v>
      </c>
      <c r="N28" s="39">
        <f t="shared" si="16"/>
        <v>604.9</v>
      </c>
      <c r="O28" s="166">
        <f t="shared" si="10"/>
        <v>319.99209999999999</v>
      </c>
      <c r="P28" s="42">
        <f t="shared" si="11"/>
        <v>3916.7033040000001</v>
      </c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>
        <f t="shared" si="20"/>
        <v>0</v>
      </c>
      <c r="AD28" s="38">
        <f t="shared" si="19"/>
        <v>0</v>
      </c>
      <c r="AE28" s="38">
        <f>(S28+V28+Y28+AB28)/4</f>
        <v>0</v>
      </c>
    </row>
    <row r="29" spans="1:31" ht="32.25" customHeight="1" x14ac:dyDescent="0.3">
      <c r="A29" s="40">
        <v>44860</v>
      </c>
      <c r="B29" s="41">
        <v>75</v>
      </c>
      <c r="C29" s="39">
        <f t="shared" si="7"/>
        <v>3</v>
      </c>
      <c r="D29" s="41">
        <v>70</v>
      </c>
      <c r="E29" s="39">
        <f t="shared" si="8"/>
        <v>3</v>
      </c>
      <c r="F29" s="41">
        <v>64</v>
      </c>
      <c r="G29" s="39">
        <f t="shared" si="9"/>
        <v>2</v>
      </c>
      <c r="H29" s="41">
        <v>64</v>
      </c>
      <c r="I29" s="39">
        <f t="shared" si="12"/>
        <v>2</v>
      </c>
      <c r="J29" s="39">
        <f t="shared" si="13"/>
        <v>273</v>
      </c>
      <c r="K29" s="39">
        <f t="shared" si="14"/>
        <v>68.25</v>
      </c>
      <c r="L29" s="39">
        <f t="shared" si="18"/>
        <v>2.5</v>
      </c>
      <c r="M29" s="148">
        <f t="shared" si="17"/>
        <v>24196</v>
      </c>
      <c r="N29" s="39">
        <f t="shared" si="16"/>
        <v>604.9</v>
      </c>
      <c r="O29" s="166">
        <f t="shared" si="10"/>
        <v>319.99209999999999</v>
      </c>
      <c r="P29" s="42">
        <f t="shared" si="11"/>
        <v>3916.7033040000001</v>
      </c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39"/>
      <c r="AB29" s="39"/>
      <c r="AC29" s="39">
        <f>Q29+T29+W29+Z29</f>
        <v>0</v>
      </c>
      <c r="AD29" s="38">
        <f t="shared" si="19"/>
        <v>0</v>
      </c>
      <c r="AE29" s="38">
        <f>(S29+V29+Y29+AB29)/4</f>
        <v>0</v>
      </c>
    </row>
    <row r="30" spans="1:31" ht="32.25" customHeight="1" x14ac:dyDescent="0.3">
      <c r="A30" s="40">
        <v>44861</v>
      </c>
      <c r="B30" s="41">
        <v>72</v>
      </c>
      <c r="C30" s="39">
        <f t="shared" si="7"/>
        <v>2</v>
      </c>
      <c r="D30" s="41">
        <v>67</v>
      </c>
      <c r="E30" s="39">
        <f t="shared" si="8"/>
        <v>3</v>
      </c>
      <c r="F30" s="41">
        <v>62</v>
      </c>
      <c r="G30" s="39">
        <f t="shared" si="9"/>
        <v>3</v>
      </c>
      <c r="H30" s="41">
        <v>62</v>
      </c>
      <c r="I30" s="39">
        <f t="shared" si="12"/>
        <v>2</v>
      </c>
      <c r="J30" s="39">
        <f t="shared" si="13"/>
        <v>263</v>
      </c>
      <c r="K30" s="39">
        <f t="shared" si="14"/>
        <v>65.75</v>
      </c>
      <c r="L30" s="39">
        <f t="shared" si="18"/>
        <v>2.5</v>
      </c>
      <c r="M30" s="148">
        <f t="shared" si="17"/>
        <v>24196</v>
      </c>
      <c r="N30" s="39">
        <f t="shared" si="16"/>
        <v>604.9</v>
      </c>
      <c r="O30" s="166">
        <f t="shared" si="10"/>
        <v>319.99209999999999</v>
      </c>
      <c r="P30" s="42">
        <f t="shared" si="11"/>
        <v>3916.7033040000001</v>
      </c>
      <c r="Q30" s="39"/>
      <c r="R30" s="39"/>
      <c r="S30" s="39"/>
      <c r="T30" s="39"/>
      <c r="U30" s="39"/>
      <c r="V30" s="39"/>
      <c r="W30" s="39"/>
      <c r="X30" s="39"/>
      <c r="Y30" s="39"/>
      <c r="Z30" s="39"/>
      <c r="AA30" s="39"/>
      <c r="AB30" s="39"/>
      <c r="AC30" s="39">
        <f t="shared" si="20"/>
        <v>0</v>
      </c>
      <c r="AD30" s="38">
        <f t="shared" si="19"/>
        <v>0</v>
      </c>
      <c r="AE30" s="38">
        <f t="shared" ref="AE30:AE42" si="24">(S30+V30+Y30+AB30)/4</f>
        <v>0</v>
      </c>
    </row>
    <row r="31" spans="1:31" ht="32.25" customHeight="1" x14ac:dyDescent="0.3">
      <c r="A31" s="40">
        <v>44862</v>
      </c>
      <c r="B31" s="41">
        <v>70</v>
      </c>
      <c r="C31" s="39">
        <f t="shared" si="7"/>
        <v>4</v>
      </c>
      <c r="D31" s="41">
        <v>64</v>
      </c>
      <c r="E31" s="39">
        <f t="shared" si="8"/>
        <v>4</v>
      </c>
      <c r="F31" s="41">
        <v>59</v>
      </c>
      <c r="G31" s="39">
        <f t="shared" si="9"/>
        <v>4</v>
      </c>
      <c r="H31" s="41">
        <v>60</v>
      </c>
      <c r="I31" s="39">
        <f t="shared" si="12"/>
        <v>4</v>
      </c>
      <c r="J31" s="39">
        <f t="shared" si="13"/>
        <v>253</v>
      </c>
      <c r="K31" s="39">
        <f t="shared" si="14"/>
        <v>63.25</v>
      </c>
      <c r="L31" s="39">
        <f t="shared" si="18"/>
        <v>4</v>
      </c>
      <c r="M31" s="148">
        <f t="shared" si="17"/>
        <v>24196</v>
      </c>
      <c r="N31" s="39">
        <f t="shared" si="16"/>
        <v>967.84</v>
      </c>
      <c r="O31" s="166">
        <f t="shared" si="10"/>
        <v>511.98736000000002</v>
      </c>
      <c r="P31" s="42">
        <f t="shared" si="11"/>
        <v>6266.7252864000002</v>
      </c>
      <c r="Q31" s="39"/>
      <c r="R31" s="39"/>
      <c r="S31" s="39"/>
      <c r="T31" s="39"/>
      <c r="U31" s="39"/>
      <c r="V31" s="39"/>
      <c r="W31" s="39"/>
      <c r="X31" s="39"/>
      <c r="Y31" s="39"/>
      <c r="Z31" s="39"/>
      <c r="AA31" s="39"/>
      <c r="AB31" s="39"/>
      <c r="AC31" s="39">
        <f t="shared" si="20"/>
        <v>0</v>
      </c>
      <c r="AD31" s="38">
        <f t="shared" si="19"/>
        <v>0</v>
      </c>
      <c r="AE31" s="38">
        <f t="shared" si="24"/>
        <v>0</v>
      </c>
    </row>
    <row r="32" spans="1:31" ht="32.25" customHeight="1" x14ac:dyDescent="0.3">
      <c r="A32" s="40">
        <v>44863</v>
      </c>
      <c r="B32" s="41">
        <v>66</v>
      </c>
      <c r="C32" s="39">
        <f t="shared" si="7"/>
        <v>2</v>
      </c>
      <c r="D32" s="41">
        <v>60</v>
      </c>
      <c r="E32" s="39">
        <f t="shared" si="8"/>
        <v>0</v>
      </c>
      <c r="F32" s="41">
        <v>55</v>
      </c>
      <c r="G32" s="39">
        <f t="shared" si="9"/>
        <v>1</v>
      </c>
      <c r="H32" s="41">
        <v>56</v>
      </c>
      <c r="I32" s="39">
        <f t="shared" si="12"/>
        <v>1</v>
      </c>
      <c r="J32" s="39">
        <f t="shared" si="13"/>
        <v>237</v>
      </c>
      <c r="K32" s="39">
        <f t="shared" si="14"/>
        <v>59.25</v>
      </c>
      <c r="L32" s="39">
        <f t="shared" si="18"/>
        <v>1</v>
      </c>
      <c r="M32" s="148">
        <f t="shared" si="17"/>
        <v>24196</v>
      </c>
      <c r="N32" s="39">
        <f t="shared" si="16"/>
        <v>241.96</v>
      </c>
      <c r="O32" s="166">
        <f t="shared" si="10"/>
        <v>127.99684000000001</v>
      </c>
      <c r="P32" s="42">
        <f t="shared" si="11"/>
        <v>1566.6813216</v>
      </c>
      <c r="Q32" s="39"/>
      <c r="R32" s="39"/>
      <c r="S32" s="39"/>
      <c r="T32" s="39"/>
      <c r="U32" s="39"/>
      <c r="V32" s="39"/>
      <c r="W32" s="39"/>
      <c r="X32" s="39"/>
      <c r="Y32" s="39"/>
      <c r="Z32" s="39"/>
      <c r="AA32" s="39"/>
      <c r="AB32" s="39"/>
      <c r="AC32" s="39">
        <f>Q32+T32+W32+Z32</f>
        <v>0</v>
      </c>
      <c r="AD32" s="38">
        <f t="shared" si="19"/>
        <v>0</v>
      </c>
      <c r="AE32" s="38">
        <f t="shared" si="24"/>
        <v>0</v>
      </c>
    </row>
    <row r="33" spans="1:31" ht="32.25" customHeight="1" x14ac:dyDescent="0.3">
      <c r="A33" s="40">
        <v>44864</v>
      </c>
      <c r="B33" s="41">
        <v>64</v>
      </c>
      <c r="C33" s="39">
        <f t="shared" si="7"/>
        <v>3</v>
      </c>
      <c r="D33" s="41">
        <v>60</v>
      </c>
      <c r="E33" s="39">
        <f t="shared" si="8"/>
        <v>4</v>
      </c>
      <c r="F33" s="41">
        <v>54</v>
      </c>
      <c r="G33" s="39">
        <f t="shared" si="9"/>
        <v>1</v>
      </c>
      <c r="H33" s="41">
        <v>55</v>
      </c>
      <c r="I33" s="39">
        <f t="shared" si="12"/>
        <v>1</v>
      </c>
      <c r="J33" s="39">
        <f t="shared" si="13"/>
        <v>233</v>
      </c>
      <c r="K33" s="39">
        <f t="shared" si="14"/>
        <v>58.25</v>
      </c>
      <c r="L33" s="39">
        <f t="shared" si="18"/>
        <v>2.25</v>
      </c>
      <c r="M33" s="148">
        <f t="shared" si="17"/>
        <v>24196</v>
      </c>
      <c r="N33" s="39">
        <f t="shared" si="16"/>
        <v>544.41</v>
      </c>
      <c r="O33" s="166">
        <f t="shared" si="10"/>
        <v>287.99288999999999</v>
      </c>
      <c r="P33" s="42">
        <f t="shared" si="11"/>
        <v>3525.0329735999999</v>
      </c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39"/>
      <c r="AB33" s="39"/>
      <c r="AC33" s="39">
        <f>Q33+T33+W33+Z33</f>
        <v>0</v>
      </c>
      <c r="AD33" s="38">
        <f t="shared" si="19"/>
        <v>0</v>
      </c>
      <c r="AE33" s="38">
        <f t="shared" si="24"/>
        <v>0</v>
      </c>
    </row>
    <row r="34" spans="1:31" ht="32.25" customHeight="1" x14ac:dyDescent="0.3">
      <c r="A34" s="40">
        <v>44865</v>
      </c>
      <c r="B34" s="41">
        <v>61</v>
      </c>
      <c r="C34" s="39">
        <f t="shared" si="7"/>
        <v>8</v>
      </c>
      <c r="D34" s="41">
        <v>56</v>
      </c>
      <c r="E34" s="39">
        <f t="shared" si="8"/>
        <v>0</v>
      </c>
      <c r="F34" s="41">
        <v>53</v>
      </c>
      <c r="G34" s="39">
        <f t="shared" si="9"/>
        <v>3</v>
      </c>
      <c r="H34" s="41">
        <v>54</v>
      </c>
      <c r="I34" s="39">
        <f t="shared" si="12"/>
        <v>3</v>
      </c>
      <c r="J34" s="39">
        <f>B34+D34+F34+H34</f>
        <v>224</v>
      </c>
      <c r="K34" s="39">
        <f>J34/4</f>
        <v>56</v>
      </c>
      <c r="L34" s="39">
        <f>IF(AC34&gt;0,((K34-AD34)+(AE34-K35)),IF(K35=0, ,(K34-K35)))</f>
        <v>3.5</v>
      </c>
      <c r="M34" s="148">
        <f t="shared" si="17"/>
        <v>24196</v>
      </c>
      <c r="N34" s="39">
        <f>L34*M34/100</f>
        <v>846.86</v>
      </c>
      <c r="O34" s="166">
        <f t="shared" si="10"/>
        <v>447.98894000000001</v>
      </c>
      <c r="P34" s="42">
        <f t="shared" si="11"/>
        <v>5483.3846256000006</v>
      </c>
      <c r="Q34" s="39"/>
      <c r="R34" s="39"/>
      <c r="S34" s="39"/>
      <c r="T34" s="39"/>
      <c r="U34" s="39"/>
      <c r="V34" s="39"/>
      <c r="W34" s="39"/>
      <c r="X34" s="39"/>
      <c r="Y34" s="39"/>
      <c r="Z34" s="39"/>
      <c r="AA34" s="39"/>
      <c r="AB34" s="39"/>
      <c r="AC34" s="39">
        <f t="shared" si="20"/>
        <v>0</v>
      </c>
      <c r="AD34" s="38">
        <f t="shared" si="19"/>
        <v>0</v>
      </c>
      <c r="AE34" s="38">
        <f t="shared" si="24"/>
        <v>0</v>
      </c>
    </row>
    <row r="35" spans="1:31" ht="32.25" customHeight="1" x14ac:dyDescent="0.3">
      <c r="A35" s="40">
        <v>44866</v>
      </c>
      <c r="B35" s="41">
        <v>53</v>
      </c>
      <c r="C35" s="39">
        <f t="shared" si="7"/>
        <v>0</v>
      </c>
      <c r="D35" s="41">
        <v>56</v>
      </c>
      <c r="E35" s="39">
        <f t="shared" si="8"/>
        <v>0</v>
      </c>
      <c r="F35" s="41">
        <v>50</v>
      </c>
      <c r="G35" s="39">
        <f t="shared" si="9"/>
        <v>0</v>
      </c>
      <c r="H35" s="41">
        <v>51</v>
      </c>
      <c r="I35" s="39">
        <f t="shared" si="12"/>
        <v>0</v>
      </c>
      <c r="J35" s="39">
        <f>B35+D35+F35+H35</f>
        <v>210</v>
      </c>
      <c r="K35" s="39">
        <f>J35/4</f>
        <v>52.5</v>
      </c>
      <c r="L35" s="39">
        <f t="shared" si="18"/>
        <v>0</v>
      </c>
      <c r="M35" s="148">
        <f t="shared" si="17"/>
        <v>24196</v>
      </c>
      <c r="N35" s="39">
        <f t="shared" si="16"/>
        <v>0</v>
      </c>
      <c r="O35" s="39">
        <f t="shared" ref="O35:O37" si="25">N35*0.529</f>
        <v>0</v>
      </c>
      <c r="P35" s="42">
        <f t="shared" ref="P35:P36" si="26">O35*12.24</f>
        <v>0</v>
      </c>
      <c r="Q35" s="39"/>
      <c r="R35" s="39"/>
      <c r="S35" s="39"/>
      <c r="T35" s="39"/>
      <c r="U35" s="39"/>
      <c r="V35" s="39"/>
      <c r="W35" s="39"/>
      <c r="X35" s="39"/>
      <c r="Y35" s="39"/>
      <c r="Z35" s="39"/>
      <c r="AA35" s="39"/>
      <c r="AB35" s="39"/>
      <c r="AC35" s="39">
        <f t="shared" si="20"/>
        <v>0</v>
      </c>
      <c r="AD35" s="38">
        <f t="shared" si="19"/>
        <v>0</v>
      </c>
      <c r="AE35" s="38">
        <f t="shared" si="24"/>
        <v>0</v>
      </c>
    </row>
    <row r="36" spans="1:31" ht="32.25" customHeight="1" x14ac:dyDescent="0.3">
      <c r="A36" s="40"/>
      <c r="B36" s="41"/>
      <c r="C36" s="39">
        <f>IF(AC36&gt;0,((B36-R36)+(S36-B37)),IF(B37=0, ,(B36-B37)))</f>
        <v>0</v>
      </c>
      <c r="D36" s="41"/>
      <c r="E36" s="39">
        <f t="shared" ref="E36" si="27">IF(AC36&gt;0,((D36-U36)+(V36-D37)),IF(D37=0, ,(D36-D37)))</f>
        <v>0</v>
      </c>
      <c r="F36" s="41"/>
      <c r="G36" s="39">
        <f t="shared" ref="G36" si="28">IF(AC36&gt;0,((F36-X36)+(Y36-F37)),IF(F37=0, ,(F36-F37)))</f>
        <v>0</v>
      </c>
      <c r="H36" s="41"/>
      <c r="I36" s="39">
        <f t="shared" si="12"/>
        <v>0</v>
      </c>
      <c r="J36" s="39">
        <f t="shared" si="13"/>
        <v>0</v>
      </c>
      <c r="K36" s="39">
        <f t="shared" si="14"/>
        <v>0</v>
      </c>
      <c r="L36" s="39">
        <f t="shared" si="18"/>
        <v>0</v>
      </c>
      <c r="M36" s="148">
        <f t="shared" si="17"/>
        <v>24196</v>
      </c>
      <c r="N36" s="39">
        <f t="shared" si="16"/>
        <v>0</v>
      </c>
      <c r="O36" s="39">
        <f t="shared" si="25"/>
        <v>0</v>
      </c>
      <c r="P36" s="42">
        <f t="shared" si="26"/>
        <v>0</v>
      </c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>
        <f t="shared" si="20"/>
        <v>0</v>
      </c>
      <c r="AD36" s="38">
        <f t="shared" si="19"/>
        <v>0</v>
      </c>
      <c r="AE36" s="38">
        <f t="shared" si="24"/>
        <v>0</v>
      </c>
    </row>
    <row r="37" spans="1:31" ht="32.25" customHeight="1" x14ac:dyDescent="0.3">
      <c r="A37" s="40"/>
      <c r="B37" s="41"/>
      <c r="C37" s="39">
        <f t="shared" ref="C37:C42" si="29">IF(AC37&gt;0,((B37-R37)+(S37-B38)),IF(B38=0, ,(B37-B38)))</f>
        <v>0</v>
      </c>
      <c r="D37" s="41"/>
      <c r="E37" s="39">
        <f>IF(AC37:AC60&gt;0,((D37-U37)+(V37-D38)),IF(D38=0, ,(D37-D38)))</f>
        <v>0</v>
      </c>
      <c r="F37" s="41"/>
      <c r="G37" s="39">
        <f t="shared" ref="G37:G42" si="30">IF(AC37&gt;0,((F37-X37)+(Y37-F38)),IF(F38=0, ,(F37-F38)))</f>
        <v>0</v>
      </c>
      <c r="H37" s="41"/>
      <c r="I37" s="39">
        <f t="shared" ref="I37:I42" si="31">IF(AC37&gt;0,((H37-AA37)+(AB37-H38)),IF(H38=0, ,(H37-H38)))</f>
        <v>0</v>
      </c>
      <c r="J37" s="39">
        <f t="shared" si="13"/>
        <v>0</v>
      </c>
      <c r="K37" s="39">
        <f t="shared" si="14"/>
        <v>0</v>
      </c>
      <c r="L37" s="39">
        <f t="shared" si="18"/>
        <v>0</v>
      </c>
      <c r="M37" s="148">
        <f t="shared" si="17"/>
        <v>24196</v>
      </c>
      <c r="N37" s="39">
        <f t="shared" si="16"/>
        <v>0</v>
      </c>
      <c r="O37" s="39">
        <f t="shared" si="25"/>
        <v>0</v>
      </c>
      <c r="P37" s="42">
        <f t="shared" ref="P37:P40" si="32">O37*12.84</f>
        <v>0</v>
      </c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>
        <f t="shared" si="20"/>
        <v>0</v>
      </c>
      <c r="AD37" s="38">
        <f t="shared" si="19"/>
        <v>0</v>
      </c>
      <c r="AE37" s="38">
        <f t="shared" si="24"/>
        <v>0</v>
      </c>
    </row>
    <row r="38" spans="1:31" ht="32.25" customHeight="1" x14ac:dyDescent="0.3">
      <c r="A38" s="40"/>
      <c r="B38" s="41"/>
      <c r="C38" s="39">
        <f t="shared" si="29"/>
        <v>0</v>
      </c>
      <c r="D38" s="41"/>
      <c r="E38" s="39">
        <f>IF(AC38:AC61&gt;0,((D38-U38)+(V38-D39)),IF(D39=0, ,(D38-D39)))</f>
        <v>0</v>
      </c>
      <c r="F38" s="41"/>
      <c r="G38" s="39">
        <f t="shared" si="30"/>
        <v>0</v>
      </c>
      <c r="H38" s="41"/>
      <c r="I38" s="39">
        <f t="shared" si="31"/>
        <v>0</v>
      </c>
      <c r="J38" s="39">
        <f t="shared" si="13"/>
        <v>0</v>
      </c>
      <c r="K38" s="39">
        <f t="shared" si="14"/>
        <v>0</v>
      </c>
      <c r="L38" s="39">
        <f t="shared" si="18"/>
        <v>0</v>
      </c>
      <c r="M38" s="148">
        <f t="shared" si="17"/>
        <v>24196</v>
      </c>
      <c r="N38" s="39">
        <f t="shared" si="16"/>
        <v>0</v>
      </c>
      <c r="O38" s="39">
        <f>N38*0.53</f>
        <v>0</v>
      </c>
      <c r="P38" s="42">
        <f t="shared" si="32"/>
        <v>0</v>
      </c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>
        <f t="shared" si="20"/>
        <v>0</v>
      </c>
      <c r="AD38" s="38">
        <f t="shared" si="19"/>
        <v>0</v>
      </c>
      <c r="AE38" s="38">
        <f t="shared" si="24"/>
        <v>0</v>
      </c>
    </row>
    <row r="39" spans="1:31" ht="32.25" customHeight="1" x14ac:dyDescent="0.3">
      <c r="A39" s="40"/>
      <c r="B39" s="41"/>
      <c r="C39" s="39">
        <f t="shared" si="29"/>
        <v>0</v>
      </c>
      <c r="D39" s="41"/>
      <c r="E39" s="39">
        <f>IF(AC39&gt;0,((D39-U39)+(V39-D40)),IF(D40=0, ,(D39-D40)))</f>
        <v>0</v>
      </c>
      <c r="F39" s="41"/>
      <c r="G39" s="39">
        <f t="shared" si="30"/>
        <v>0</v>
      </c>
      <c r="H39" s="41"/>
      <c r="I39" s="39">
        <f t="shared" si="31"/>
        <v>0</v>
      </c>
      <c r="J39" s="39">
        <f t="shared" si="13"/>
        <v>0</v>
      </c>
      <c r="K39" s="39">
        <f t="shared" si="14"/>
        <v>0</v>
      </c>
      <c r="L39" s="39">
        <f t="shared" si="18"/>
        <v>0</v>
      </c>
      <c r="M39" s="148">
        <f t="shared" si="17"/>
        <v>24196</v>
      </c>
      <c r="N39" s="39">
        <f t="shared" si="16"/>
        <v>0</v>
      </c>
      <c r="O39" s="39">
        <f>N39*0.53</f>
        <v>0</v>
      </c>
      <c r="P39" s="42">
        <f t="shared" si="32"/>
        <v>0</v>
      </c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>
        <f t="shared" si="20"/>
        <v>0</v>
      </c>
      <c r="AD39" s="38">
        <f t="shared" si="19"/>
        <v>0</v>
      </c>
      <c r="AE39" s="38">
        <f t="shared" si="24"/>
        <v>0</v>
      </c>
    </row>
    <row r="40" spans="1:31" ht="32.25" customHeight="1" x14ac:dyDescent="0.3">
      <c r="A40" s="40"/>
      <c r="B40" s="41"/>
      <c r="C40" s="39">
        <f t="shared" si="29"/>
        <v>0</v>
      </c>
      <c r="D40" s="41"/>
      <c r="E40" s="39">
        <f>IF(AC40&gt;0,((D40-U40)+(V40-D41)),IF(D41=0, ,(D40-D41)))</f>
        <v>0</v>
      </c>
      <c r="F40" s="41"/>
      <c r="G40" s="39">
        <f t="shared" si="30"/>
        <v>0</v>
      </c>
      <c r="H40" s="41"/>
      <c r="I40" s="39">
        <f t="shared" si="31"/>
        <v>0</v>
      </c>
      <c r="J40" s="39">
        <f t="shared" si="13"/>
        <v>0</v>
      </c>
      <c r="K40" s="39">
        <f t="shared" si="14"/>
        <v>0</v>
      </c>
      <c r="L40" s="39">
        <f t="shared" si="18"/>
        <v>0</v>
      </c>
      <c r="M40" s="148">
        <f t="shared" si="17"/>
        <v>24196</v>
      </c>
      <c r="N40" s="39">
        <f t="shared" si="16"/>
        <v>0</v>
      </c>
      <c r="O40" s="39">
        <f>N40*0.53</f>
        <v>0</v>
      </c>
      <c r="P40" s="42">
        <f t="shared" si="32"/>
        <v>0</v>
      </c>
      <c r="Q40" s="39"/>
      <c r="R40" s="39"/>
      <c r="S40" s="39"/>
      <c r="T40" s="39"/>
      <c r="U40" s="39"/>
      <c r="V40" s="39"/>
      <c r="W40" s="39"/>
      <c r="X40" s="39"/>
      <c r="Y40" s="39"/>
      <c r="Z40" s="39"/>
      <c r="AA40" s="39"/>
      <c r="AB40" s="39"/>
      <c r="AC40" s="39">
        <f t="shared" si="20"/>
        <v>0</v>
      </c>
      <c r="AD40" s="38">
        <f t="shared" si="19"/>
        <v>0</v>
      </c>
      <c r="AE40" s="38">
        <f t="shared" si="24"/>
        <v>0</v>
      </c>
    </row>
    <row r="41" spans="1:31" ht="32.25" customHeight="1" x14ac:dyDescent="0.3">
      <c r="A41" s="40"/>
      <c r="B41" s="41"/>
      <c r="C41" s="39">
        <f t="shared" si="29"/>
        <v>0</v>
      </c>
      <c r="D41" s="41"/>
      <c r="E41" s="39">
        <f>IF(AC41&gt;0,((D41-U41)+(V41-D42)),IF(D42=0, ,(D41-D42)))</f>
        <v>0</v>
      </c>
      <c r="F41" s="41"/>
      <c r="G41" s="39">
        <f t="shared" si="30"/>
        <v>0</v>
      </c>
      <c r="H41" s="41"/>
      <c r="I41" s="39">
        <f t="shared" si="31"/>
        <v>0</v>
      </c>
      <c r="J41" s="39">
        <f t="shared" si="13"/>
        <v>0</v>
      </c>
      <c r="K41" s="39">
        <f t="shared" si="14"/>
        <v>0</v>
      </c>
      <c r="L41" s="39">
        <f t="shared" si="18"/>
        <v>0</v>
      </c>
      <c r="M41" s="148">
        <f t="shared" si="17"/>
        <v>24196</v>
      </c>
      <c r="N41" s="39">
        <f t="shared" si="16"/>
        <v>0</v>
      </c>
      <c r="O41" s="39">
        <f>N41*0.53</f>
        <v>0</v>
      </c>
      <c r="P41" s="42">
        <f t="shared" ref="P41:P42" si="33">O41*9.965</f>
        <v>0</v>
      </c>
      <c r="Q41" s="39"/>
      <c r="R41" s="39"/>
      <c r="S41" s="39"/>
      <c r="T41" s="39"/>
      <c r="U41" s="39"/>
      <c r="V41" s="39"/>
      <c r="W41" s="39"/>
      <c r="X41" s="39"/>
      <c r="Y41" s="39"/>
      <c r="Z41" s="39"/>
      <c r="AA41" s="39"/>
      <c r="AB41" s="39"/>
      <c r="AC41" s="39">
        <f t="shared" si="20"/>
        <v>0</v>
      </c>
      <c r="AD41" s="38">
        <f t="shared" si="19"/>
        <v>0</v>
      </c>
      <c r="AE41" s="38">
        <f t="shared" si="24"/>
        <v>0</v>
      </c>
    </row>
    <row r="42" spans="1:31" ht="32.25" customHeight="1" x14ac:dyDescent="0.3">
      <c r="A42" s="40"/>
      <c r="B42" s="41"/>
      <c r="C42" s="39">
        <f t="shared" si="29"/>
        <v>0</v>
      </c>
      <c r="D42" s="41"/>
      <c r="E42" s="39">
        <f>IF(AC42&gt;0,((D42-U42)+(V42-D43)),IF(D43=0, ,(D42-D43)))</f>
        <v>0</v>
      </c>
      <c r="F42" s="41"/>
      <c r="G42" s="39">
        <f t="shared" si="30"/>
        <v>0</v>
      </c>
      <c r="H42" s="41"/>
      <c r="I42" s="39">
        <f t="shared" si="31"/>
        <v>0</v>
      </c>
      <c r="J42" s="39">
        <f t="shared" si="13"/>
        <v>0</v>
      </c>
      <c r="K42" s="39">
        <f t="shared" si="14"/>
        <v>0</v>
      </c>
      <c r="L42" s="39">
        <f t="shared" si="18"/>
        <v>0</v>
      </c>
      <c r="M42" s="148">
        <f t="shared" si="17"/>
        <v>24196</v>
      </c>
      <c r="N42" s="39">
        <f t="shared" si="16"/>
        <v>0</v>
      </c>
      <c r="O42" s="39">
        <f>N42*0.53</f>
        <v>0</v>
      </c>
      <c r="P42" s="42">
        <f t="shared" si="33"/>
        <v>0</v>
      </c>
      <c r="Q42" s="39"/>
      <c r="R42" s="39"/>
      <c r="S42" s="39"/>
      <c r="T42" s="39"/>
      <c r="U42" s="39"/>
      <c r="V42" s="39"/>
      <c r="W42" s="39"/>
      <c r="X42" s="39"/>
      <c r="Y42" s="39"/>
      <c r="Z42" s="39"/>
      <c r="AA42" s="39"/>
      <c r="AB42" s="39"/>
      <c r="AC42" s="39">
        <f t="shared" si="20"/>
        <v>0</v>
      </c>
      <c r="AD42" s="38">
        <f t="shared" si="19"/>
        <v>0</v>
      </c>
      <c r="AE42" s="38">
        <f t="shared" si="24"/>
        <v>0</v>
      </c>
    </row>
    <row r="43" spans="1:31" ht="32.25" customHeight="1" thickBot="1" x14ac:dyDescent="0.35"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9">
        <f>SUM(N4:N42)</f>
        <v>21655.420000000006</v>
      </c>
      <c r="O43" s="39">
        <f>N43*0.529</f>
        <v>11455.717180000003</v>
      </c>
      <c r="P43" s="42">
        <f>O43*12.24</f>
        <v>140217.97828320003</v>
      </c>
      <c r="Q43" s="285">
        <f>SUM(Q4:Q42)</f>
        <v>5692</v>
      </c>
      <c r="R43" s="286"/>
      <c r="S43" s="287"/>
      <c r="T43" s="288">
        <f>SUM(T4:T42)</f>
        <v>4990</v>
      </c>
      <c r="U43" s="286"/>
      <c r="V43" s="287"/>
      <c r="W43" s="288">
        <f>SUM(W4:W42)</f>
        <v>4882</v>
      </c>
      <c r="X43" s="286"/>
      <c r="Y43" s="287"/>
      <c r="Z43" s="288">
        <f>SUM(Z4:Z42)</f>
        <v>4851</v>
      </c>
      <c r="AA43" s="286"/>
      <c r="AB43" s="287"/>
      <c r="AC43" s="39">
        <f t="shared" si="20"/>
        <v>20415</v>
      </c>
    </row>
    <row r="44" spans="1:31" ht="35.25" customHeight="1" thickBot="1" x14ac:dyDescent="0.35">
      <c r="B44" s="294"/>
      <c r="C44" s="295"/>
      <c r="D44" s="295"/>
      <c r="E44" s="295"/>
      <c r="F44" s="295"/>
      <c r="G44" s="295"/>
      <c r="H44" s="295"/>
      <c r="I44" s="296"/>
      <c r="J44" s="37"/>
      <c r="K44" s="37"/>
      <c r="L44" s="37"/>
      <c r="M44" s="37"/>
      <c r="N44" s="37"/>
      <c r="O44" s="37"/>
      <c r="P44" s="37"/>
      <c r="Q44" s="297">
        <f>Q43+T43+W43+Z43</f>
        <v>20415</v>
      </c>
      <c r="R44" s="298"/>
      <c r="S44" s="298"/>
      <c r="T44" s="298"/>
      <c r="U44" s="298"/>
      <c r="V44" s="298"/>
      <c r="W44" s="298"/>
      <c r="X44" s="298"/>
      <c r="Y44" s="298"/>
      <c r="Z44" s="298"/>
      <c r="AA44" s="298"/>
      <c r="AB44" s="299"/>
      <c r="AC44" s="39">
        <f>Q44+T44+W44+Z44</f>
        <v>20415</v>
      </c>
    </row>
    <row r="45" spans="1:31" ht="7.5" customHeight="1" thickBot="1" x14ac:dyDescent="0.35">
      <c r="D45" s="36" t="s">
        <v>18</v>
      </c>
    </row>
    <row r="46" spans="1:31" ht="51" customHeight="1" thickBot="1" x14ac:dyDescent="0.35">
      <c r="H46" s="37"/>
      <c r="I46" s="37"/>
      <c r="J46" s="37"/>
      <c r="K46" s="43" t="s">
        <v>82</v>
      </c>
      <c r="L46" s="44" t="s">
        <v>83</v>
      </c>
      <c r="M46" s="44" t="s">
        <v>84</v>
      </c>
    </row>
    <row r="47" spans="1:31" ht="48" customHeight="1" thickBot="1" x14ac:dyDescent="0.35">
      <c r="H47" s="281" t="s">
        <v>85</v>
      </c>
      <c r="I47" s="282"/>
      <c r="J47" s="283"/>
      <c r="K47" s="45">
        <f>N43</f>
        <v>21655.420000000006</v>
      </c>
      <c r="L47" s="46">
        <f>O43</f>
        <v>11455.717180000003</v>
      </c>
      <c r="M47" s="46">
        <f>P43</f>
        <v>140217.97828320003</v>
      </c>
    </row>
    <row r="48" spans="1:31" ht="54.75" customHeight="1" thickBot="1" x14ac:dyDescent="0.35">
      <c r="H48" s="281" t="s">
        <v>86</v>
      </c>
      <c r="I48" s="282"/>
      <c r="J48" s="283"/>
      <c r="K48" s="43">
        <f>AC44</f>
        <v>20415</v>
      </c>
      <c r="L48" s="44">
        <f>K48*0.529</f>
        <v>10799.535</v>
      </c>
      <c r="M48" s="44">
        <f>L48*12.24</f>
        <v>132186.30840000001</v>
      </c>
    </row>
  </sheetData>
  <mergeCells count="13">
    <mergeCell ref="H48:J48"/>
    <mergeCell ref="F1:Z1"/>
    <mergeCell ref="Q43:S43"/>
    <mergeCell ref="T43:V43"/>
    <mergeCell ref="W43:Y43"/>
    <mergeCell ref="Z43:AB43"/>
    <mergeCell ref="Q2:S2"/>
    <mergeCell ref="T2:V2"/>
    <mergeCell ref="W2:Y2"/>
    <mergeCell ref="Z2:AB2"/>
    <mergeCell ref="B44:I44"/>
    <mergeCell ref="Q44:AB44"/>
    <mergeCell ref="H47:J47"/>
  </mergeCells>
  <phoneticPr fontId="13" type="noConversion"/>
  <printOptions horizontalCentered="1"/>
  <pageMargins left="0.19685039370078741" right="0.19685039370078741" top="0" bottom="0" header="0" footer="0"/>
  <pageSetup paperSize="9" scale="35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topLeftCell="A5" workbookViewId="0">
      <selection activeCell="C20" sqref="C20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9.7109375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5">
        <v>95670781</v>
      </c>
      <c r="B8" s="325"/>
      <c r="C8" s="326" t="s">
        <v>97</v>
      </c>
      <c r="D8" s="327"/>
      <c r="E8" s="113">
        <v>44572</v>
      </c>
      <c r="F8" s="162" t="s">
        <v>98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99</v>
      </c>
      <c r="B11" s="330"/>
      <c r="C11" s="331" t="s">
        <v>100</v>
      </c>
      <c r="D11" s="332"/>
      <c r="E11" s="330" t="s">
        <v>101</v>
      </c>
      <c r="F11" s="330"/>
      <c r="G11" s="331" t="s">
        <v>102</v>
      </c>
      <c r="H11" s="332"/>
      <c r="I11" s="333" t="s">
        <v>103</v>
      </c>
      <c r="J11" s="333"/>
    </row>
    <row r="12" spans="1:10" x14ac:dyDescent="0.2">
      <c r="A12" s="325" t="s">
        <v>104</v>
      </c>
      <c r="B12" s="325"/>
      <c r="C12" s="325">
        <v>3750</v>
      </c>
      <c r="D12" s="325"/>
      <c r="E12" s="325">
        <v>1000</v>
      </c>
      <c r="F12" s="325"/>
      <c r="G12" s="334">
        <v>1319</v>
      </c>
      <c r="H12" s="334"/>
      <c r="I12" s="335"/>
      <c r="J12" s="335"/>
    </row>
    <row r="13" spans="1:10" x14ac:dyDescent="0.2">
      <c r="A13" s="323"/>
      <c r="B13" s="324"/>
      <c r="C13" s="324"/>
      <c r="D13" s="324"/>
      <c r="E13" s="324"/>
      <c r="F13" s="324"/>
      <c r="G13" s="324"/>
      <c r="H13" s="324"/>
      <c r="I13" s="324"/>
      <c r="J13" s="324"/>
    </row>
    <row r="15" spans="1:10" ht="13.5" thickBot="1" x14ac:dyDescent="0.25"/>
    <row r="16" spans="1:10" ht="26.25" thickTop="1" x14ac:dyDescent="0.2">
      <c r="A16" s="330" t="s">
        <v>105</v>
      </c>
      <c r="B16" s="330"/>
      <c r="C16" s="63" t="s">
        <v>106</v>
      </c>
      <c r="D16" s="64" t="s">
        <v>107</v>
      </c>
      <c r="E16" s="64" t="s">
        <v>48</v>
      </c>
      <c r="F16" s="64" t="s">
        <v>108</v>
      </c>
      <c r="G16" s="336" t="s">
        <v>109</v>
      </c>
      <c r="H16" s="336"/>
      <c r="I16" s="337" t="s">
        <v>110</v>
      </c>
      <c r="J16" s="338"/>
    </row>
    <row r="17" spans="1:10" x14ac:dyDescent="0.2">
      <c r="A17" s="339" t="s">
        <v>111</v>
      </c>
      <c r="B17" s="340"/>
      <c r="C17" s="66">
        <v>21612801</v>
      </c>
      <c r="D17" s="66">
        <v>21604795</v>
      </c>
      <c r="E17" s="67">
        <f>MIN(C17-D17)</f>
        <v>8006</v>
      </c>
      <c r="F17" s="67">
        <f>+E17</f>
        <v>8006</v>
      </c>
      <c r="G17" s="341"/>
      <c r="H17" s="342"/>
      <c r="I17" s="341">
        <f>+E17</f>
        <v>8006</v>
      </c>
      <c r="J17" s="342"/>
    </row>
    <row r="18" spans="1:10" x14ac:dyDescent="0.2">
      <c r="A18" s="339" t="s">
        <v>112</v>
      </c>
      <c r="B18" s="340"/>
      <c r="C18" s="66">
        <v>12634618</v>
      </c>
      <c r="D18" s="66">
        <v>12629770</v>
      </c>
      <c r="E18" s="67">
        <f>MIN(C18-D18)</f>
        <v>4848</v>
      </c>
      <c r="F18" s="67">
        <f>+E18</f>
        <v>4848</v>
      </c>
      <c r="G18" s="341"/>
      <c r="H18" s="342"/>
      <c r="I18" s="341">
        <f>+E18</f>
        <v>4848</v>
      </c>
      <c r="J18" s="342"/>
    </row>
    <row r="19" spans="1:10" x14ac:dyDescent="0.2">
      <c r="A19" s="339" t="s">
        <v>113</v>
      </c>
      <c r="B19" s="340"/>
      <c r="C19" s="66">
        <v>9466063</v>
      </c>
      <c r="D19" s="66">
        <v>9461862</v>
      </c>
      <c r="E19" s="67">
        <f>AVERAGE(C19-D19)</f>
        <v>4201</v>
      </c>
      <c r="F19" s="67">
        <f>+E19</f>
        <v>4201</v>
      </c>
      <c r="G19" s="341"/>
      <c r="H19" s="342"/>
      <c r="I19" s="341">
        <f>+E19</f>
        <v>4201</v>
      </c>
      <c r="J19" s="342"/>
    </row>
    <row r="20" spans="1:10" ht="15" x14ac:dyDescent="0.25">
      <c r="A20" s="361" t="s">
        <v>114</v>
      </c>
      <c r="B20" s="362"/>
      <c r="C20" s="68"/>
      <c r="D20" s="69"/>
      <c r="E20" s="68">
        <f>SUM(E17:E19)</f>
        <v>17055</v>
      </c>
      <c r="F20" s="70"/>
      <c r="G20" s="363"/>
      <c r="H20" s="364"/>
      <c r="I20" s="363"/>
      <c r="J20" s="364"/>
    </row>
    <row r="21" spans="1:10" x14ac:dyDescent="0.2">
      <c r="C21" s="110" t="s">
        <v>18</v>
      </c>
      <c r="D21" t="s">
        <v>115</v>
      </c>
      <c r="G21" s="365"/>
      <c r="H21" s="365"/>
    </row>
    <row r="22" spans="1:10" ht="13.5" thickBot="1" x14ac:dyDescent="0.25">
      <c r="G22" s="366"/>
      <c r="H22" s="366"/>
    </row>
    <row r="23" spans="1:10" ht="13.5" thickTop="1" x14ac:dyDescent="0.2">
      <c r="A23" s="351" t="s">
        <v>116</v>
      </c>
      <c r="B23" s="352"/>
      <c r="C23" s="353"/>
      <c r="D23" s="330" t="s">
        <v>117</v>
      </c>
      <c r="E23" s="330" t="s">
        <v>118</v>
      </c>
      <c r="F23" s="358" t="s">
        <v>119</v>
      </c>
      <c r="G23" s="360" t="s">
        <v>120</v>
      </c>
      <c r="H23" s="360"/>
      <c r="I23" s="367" t="s">
        <v>121</v>
      </c>
      <c r="J23" s="367"/>
    </row>
    <row r="24" spans="1:10" x14ac:dyDescent="0.2">
      <c r="A24" s="354"/>
      <c r="B24" s="355"/>
      <c r="C24" s="356"/>
      <c r="D24" s="357"/>
      <c r="E24" s="357"/>
      <c r="F24" s="359"/>
      <c r="G24" s="163" t="s">
        <v>122</v>
      </c>
      <c r="H24" s="71" t="s">
        <v>123</v>
      </c>
      <c r="I24" s="367"/>
      <c r="J24" s="367"/>
    </row>
    <row r="25" spans="1:10" ht="15" x14ac:dyDescent="0.25">
      <c r="A25" s="343" t="s">
        <v>124</v>
      </c>
      <c r="B25" s="344"/>
      <c r="C25" s="345"/>
      <c r="D25" s="67">
        <f>+E17</f>
        <v>8006</v>
      </c>
      <c r="E25" s="72">
        <v>0.95140000000000002</v>
      </c>
      <c r="F25" s="73">
        <f>PRODUCT(D25*E25)</f>
        <v>7616.9084000000003</v>
      </c>
      <c r="G25" s="150">
        <v>14</v>
      </c>
      <c r="H25" s="65">
        <f>PRODUCT(0.14,F25)</f>
        <v>1066.3671760000002</v>
      </c>
      <c r="I25" s="346">
        <f>SUM(H25,F25)</f>
        <v>8683.275576</v>
      </c>
      <c r="J25" s="347"/>
    </row>
    <row r="26" spans="1:10" ht="15" x14ac:dyDescent="0.25">
      <c r="A26" s="348" t="s">
        <v>125</v>
      </c>
      <c r="B26" s="349"/>
      <c r="C26" s="350"/>
      <c r="D26" s="67">
        <f>+E18</f>
        <v>4848</v>
      </c>
      <c r="E26" s="74">
        <v>0.69850000000000001</v>
      </c>
      <c r="F26" s="73">
        <f>PRODUCT(D26*E26)</f>
        <v>3386.328</v>
      </c>
      <c r="G26">
        <v>14</v>
      </c>
      <c r="H26" s="67">
        <f>PRODUCT(0.14,F26)</f>
        <v>474.08592000000004</v>
      </c>
      <c r="I26" s="346">
        <f t="shared" ref="I26:I31" si="0">SUM(H26,F26)</f>
        <v>3860.41392</v>
      </c>
      <c r="J26" s="347"/>
    </row>
    <row r="27" spans="1:10" ht="15" x14ac:dyDescent="0.25">
      <c r="A27" s="348" t="s">
        <v>126</v>
      </c>
      <c r="B27" s="349"/>
      <c r="C27" s="350"/>
      <c r="D27" s="67">
        <f>+E19</f>
        <v>4201</v>
      </c>
      <c r="E27" s="74">
        <v>1.3304</v>
      </c>
      <c r="F27" s="73">
        <f>PRODUCT(D27*E27)</f>
        <v>5589.0104000000001</v>
      </c>
      <c r="G27">
        <v>14</v>
      </c>
      <c r="H27" s="67">
        <f>PRODUCT(0.14,F27)</f>
        <v>782.46145600000011</v>
      </c>
      <c r="I27" s="346">
        <f>SUM(H27,F27)</f>
        <v>6371.4718560000001</v>
      </c>
      <c r="J27" s="347"/>
    </row>
    <row r="28" spans="1:10" ht="15" x14ac:dyDescent="0.25">
      <c r="A28" s="348" t="s">
        <v>127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 x14ac:dyDescent="0.25">
      <c r="A29" s="376" t="s">
        <v>128</v>
      </c>
      <c r="B29" s="377"/>
      <c r="C29" s="378"/>
      <c r="D29" s="75">
        <v>0</v>
      </c>
      <c r="E29" s="76">
        <v>48.972490000000001</v>
      </c>
      <c r="F29" s="77">
        <f>PRODUCT(D29,E29)</f>
        <v>0</v>
      </c>
      <c r="G29" s="78">
        <v>14</v>
      </c>
      <c r="H29" s="75">
        <f>PRODUCT(0.14,F29)</f>
        <v>0</v>
      </c>
      <c r="I29" s="379">
        <f t="shared" si="0"/>
        <v>0</v>
      </c>
      <c r="J29" s="380"/>
    </row>
    <row r="30" spans="1:10" ht="15" x14ac:dyDescent="0.25">
      <c r="A30" s="348" t="s">
        <v>129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 x14ac:dyDescent="0.3">
      <c r="A31" s="368" t="s">
        <v>130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 x14ac:dyDescent="0.2">
      <c r="A32" s="371" t="s">
        <v>131</v>
      </c>
      <c r="B32" s="372"/>
      <c r="C32" s="372"/>
      <c r="D32" s="372"/>
      <c r="E32" s="372"/>
      <c r="F32" s="84">
        <f>SUM(F25:F31)</f>
        <v>62806.916799999999</v>
      </c>
      <c r="G32" s="85"/>
      <c r="H32" s="86"/>
      <c r="I32" s="375">
        <f>SUM(I25:J31)</f>
        <v>71545.905151999992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  <mergeCell ref="I20:J20"/>
    <mergeCell ref="G21:H21"/>
    <mergeCell ref="G22:H22"/>
    <mergeCell ref="I26:J26"/>
    <mergeCell ref="I23:J24"/>
    <mergeCell ref="A25:C25"/>
    <mergeCell ref="I25:J25"/>
    <mergeCell ref="A26:C26"/>
    <mergeCell ref="A18:B18"/>
    <mergeCell ref="G18:H18"/>
    <mergeCell ref="I18:J18"/>
    <mergeCell ref="A19:B19"/>
    <mergeCell ref="G19:H19"/>
    <mergeCell ref="I19:J19"/>
    <mergeCell ref="A23:C24"/>
    <mergeCell ref="D23:D24"/>
    <mergeCell ref="E23:E24"/>
    <mergeCell ref="F23:F24"/>
    <mergeCell ref="G23:H23"/>
    <mergeCell ref="A20:B20"/>
    <mergeCell ref="G20:H20"/>
    <mergeCell ref="A16:B16"/>
    <mergeCell ref="G16:H16"/>
    <mergeCell ref="I16:J16"/>
    <mergeCell ref="A17:B17"/>
    <mergeCell ref="G17:H17"/>
    <mergeCell ref="I17:J17"/>
    <mergeCell ref="A13:J13"/>
    <mergeCell ref="A8:B8"/>
    <mergeCell ref="C8:D8"/>
    <mergeCell ref="I8:J8"/>
    <mergeCell ref="A11:B11"/>
    <mergeCell ref="C11:D11"/>
    <mergeCell ref="E11:F11"/>
    <mergeCell ref="G11:H11"/>
    <mergeCell ref="I11:J11"/>
    <mergeCell ref="A12:B12"/>
    <mergeCell ref="C12:D12"/>
    <mergeCell ref="E12:F12"/>
    <mergeCell ref="G12:H12"/>
    <mergeCell ref="I12:J12"/>
    <mergeCell ref="A1:B4"/>
    <mergeCell ref="C1:G4"/>
    <mergeCell ref="H1:J2"/>
    <mergeCell ref="H3:J4"/>
    <mergeCell ref="A7:B7"/>
    <mergeCell ref="C7:D7"/>
    <mergeCell ref="I7:J7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33"/>
  <sheetViews>
    <sheetView topLeftCell="A11" zoomScaleNormal="100" workbookViewId="0">
      <selection activeCell="F32" sqref="F32"/>
    </sheetView>
  </sheetViews>
  <sheetFormatPr baseColWidth="10" defaultColWidth="11.42578125" defaultRowHeight="12.75" x14ac:dyDescent="0.2"/>
  <cols>
    <col min="2" max="2" width="5.5703125" customWidth="1"/>
    <col min="3" max="3" width="9.85546875" customWidth="1"/>
    <col min="4" max="4" width="10" customWidth="1"/>
    <col min="5" max="5" width="10.5703125" customWidth="1"/>
    <col min="6" max="6" width="16" customWidth="1"/>
    <col min="7" max="7" width="7" customWidth="1"/>
    <col min="8" max="8" width="10" customWidth="1"/>
    <col min="9" max="9" width="18.42578125" customWidth="1"/>
    <col min="10" max="10" width="2.7109375" customWidth="1"/>
    <col min="12" max="12" width="11.140625" customWidth="1"/>
  </cols>
  <sheetData>
    <row r="1" spans="1:10" ht="15" customHeight="1" x14ac:dyDescent="0.2">
      <c r="A1" s="270"/>
      <c r="B1" s="272"/>
      <c r="C1" s="300" t="s">
        <v>87</v>
      </c>
      <c r="D1" s="301"/>
      <c r="E1" s="301"/>
      <c r="F1" s="301"/>
      <c r="G1" s="301"/>
      <c r="H1" s="306" t="s">
        <v>88</v>
      </c>
      <c r="I1" s="307"/>
      <c r="J1" s="308"/>
    </row>
    <row r="2" spans="1:10" ht="16.5" customHeight="1" thickBot="1" x14ac:dyDescent="0.25">
      <c r="A2" s="273"/>
      <c r="B2" s="275"/>
      <c r="C2" s="302"/>
      <c r="D2" s="303"/>
      <c r="E2" s="303"/>
      <c r="F2" s="303"/>
      <c r="G2" s="303"/>
      <c r="H2" s="309"/>
      <c r="I2" s="310"/>
      <c r="J2" s="311"/>
    </row>
    <row r="3" spans="1:10" ht="15" customHeight="1" x14ac:dyDescent="0.2">
      <c r="A3" s="273"/>
      <c r="B3" s="275"/>
      <c r="C3" s="302"/>
      <c r="D3" s="303"/>
      <c r="E3" s="303"/>
      <c r="F3" s="303"/>
      <c r="G3" s="303"/>
      <c r="H3" s="312" t="s">
        <v>89</v>
      </c>
      <c r="I3" s="313"/>
      <c r="J3" s="314"/>
    </row>
    <row r="4" spans="1:10" ht="15.75" customHeight="1" thickBot="1" x14ac:dyDescent="0.25">
      <c r="A4" s="276"/>
      <c r="B4" s="278"/>
      <c r="C4" s="304"/>
      <c r="D4" s="305"/>
      <c r="E4" s="305"/>
      <c r="F4" s="305"/>
      <c r="G4" s="305"/>
      <c r="H4" s="315"/>
      <c r="I4" s="316"/>
      <c r="J4" s="317"/>
    </row>
    <row r="6" spans="1:10" ht="33" customHeight="1" thickBot="1" x14ac:dyDescent="0.25"/>
    <row r="7" spans="1:10" ht="36.75" thickTop="1" x14ac:dyDescent="0.2">
      <c r="A7" s="318" t="s">
        <v>90</v>
      </c>
      <c r="B7" s="318"/>
      <c r="C7" s="319" t="s">
        <v>91</v>
      </c>
      <c r="D7" s="320"/>
      <c r="E7" s="61" t="s">
        <v>92</v>
      </c>
      <c r="F7" s="61" t="s">
        <v>93</v>
      </c>
      <c r="G7" s="61" t="s">
        <v>94</v>
      </c>
      <c r="H7" s="61" t="s">
        <v>95</v>
      </c>
      <c r="I7" s="321" t="s">
        <v>96</v>
      </c>
      <c r="J7" s="322"/>
    </row>
    <row r="8" spans="1:10" x14ac:dyDescent="0.2">
      <c r="A8" s="325">
        <v>95670781</v>
      </c>
      <c r="B8" s="325"/>
      <c r="C8" s="326">
        <v>44467</v>
      </c>
      <c r="D8" s="327"/>
      <c r="E8" s="113">
        <v>44862</v>
      </c>
      <c r="F8" s="162" t="s">
        <v>132</v>
      </c>
      <c r="G8" s="62"/>
      <c r="H8" s="62"/>
      <c r="I8" s="328"/>
      <c r="J8" s="329"/>
    </row>
    <row r="10" spans="1:10" ht="23.25" customHeight="1" thickBot="1" x14ac:dyDescent="0.25"/>
    <row r="11" spans="1:10" ht="24.75" customHeight="1" thickTop="1" x14ac:dyDescent="0.2">
      <c r="A11" s="330" t="s">
        <v>99</v>
      </c>
      <c r="B11" s="330"/>
      <c r="C11" s="331" t="s">
        <v>100</v>
      </c>
      <c r="D11" s="332"/>
      <c r="E11" s="330" t="s">
        <v>101</v>
      </c>
      <c r="F11" s="330"/>
      <c r="G11" s="331" t="s">
        <v>102</v>
      </c>
      <c r="H11" s="332"/>
      <c r="I11" s="333" t="s">
        <v>103</v>
      </c>
      <c r="J11" s="333"/>
    </row>
    <row r="12" spans="1:10" x14ac:dyDescent="0.2">
      <c r="A12" s="325" t="s">
        <v>104</v>
      </c>
      <c r="B12" s="325"/>
      <c r="C12" s="325">
        <v>3750</v>
      </c>
      <c r="D12" s="325"/>
      <c r="E12" s="325">
        <v>1000</v>
      </c>
      <c r="F12" s="325"/>
      <c r="G12" s="334">
        <v>1046</v>
      </c>
      <c r="H12" s="334"/>
      <c r="I12" s="335"/>
      <c r="J12" s="335"/>
    </row>
    <row r="13" spans="1:10" x14ac:dyDescent="0.2">
      <c r="A13" s="323"/>
      <c r="B13" s="324"/>
      <c r="C13" s="324"/>
      <c r="D13" s="324"/>
      <c r="E13" s="324"/>
      <c r="F13" s="324"/>
      <c r="G13" s="324"/>
      <c r="H13" s="324"/>
      <c r="I13" s="324"/>
      <c r="J13" s="324"/>
    </row>
    <row r="15" spans="1:10" ht="13.5" thickBot="1" x14ac:dyDescent="0.25"/>
    <row r="16" spans="1:10" ht="26.25" thickTop="1" x14ac:dyDescent="0.2">
      <c r="A16" s="330" t="s">
        <v>105</v>
      </c>
      <c r="B16" s="330"/>
      <c r="C16" s="63" t="s">
        <v>106</v>
      </c>
      <c r="D16" s="64" t="s">
        <v>107</v>
      </c>
      <c r="E16" s="64" t="s">
        <v>48</v>
      </c>
      <c r="F16" s="64" t="s">
        <v>108</v>
      </c>
      <c r="G16" s="336" t="s">
        <v>109</v>
      </c>
      <c r="H16" s="336"/>
      <c r="I16" s="337" t="s">
        <v>110</v>
      </c>
      <c r="J16" s="338"/>
    </row>
    <row r="17" spans="1:10" x14ac:dyDescent="0.2">
      <c r="A17" s="339" t="s">
        <v>111</v>
      </c>
      <c r="B17" s="340"/>
      <c r="C17" s="66">
        <v>21581807</v>
      </c>
      <c r="D17" s="66">
        <v>21337062</v>
      </c>
      <c r="E17" s="67">
        <f>MIN(C17-D17)</f>
        <v>244745</v>
      </c>
      <c r="F17" s="67">
        <f>+E17</f>
        <v>244745</v>
      </c>
      <c r="G17" s="341"/>
      <c r="H17" s="342"/>
      <c r="I17" s="341">
        <f>+E17</f>
        <v>244745</v>
      </c>
      <c r="J17" s="342"/>
    </row>
    <row r="18" spans="1:10" x14ac:dyDescent="0.2">
      <c r="A18" s="339" t="s">
        <v>112</v>
      </c>
      <c r="B18" s="340"/>
      <c r="C18" s="66">
        <v>12611387</v>
      </c>
      <c r="D18" s="66">
        <v>12451792</v>
      </c>
      <c r="E18" s="67">
        <f>MIN(C18-D18)</f>
        <v>159595</v>
      </c>
      <c r="F18" s="67">
        <f>+E18</f>
        <v>159595</v>
      </c>
      <c r="G18" s="341"/>
      <c r="H18" s="342"/>
      <c r="I18" s="341">
        <f>+E18</f>
        <v>159595</v>
      </c>
      <c r="J18" s="342"/>
    </row>
    <row r="19" spans="1:10" x14ac:dyDescent="0.2">
      <c r="A19" s="339" t="s">
        <v>113</v>
      </c>
      <c r="B19" s="340"/>
      <c r="C19" s="66">
        <v>9450407</v>
      </c>
      <c r="D19" s="66">
        <v>9332095</v>
      </c>
      <c r="E19" s="67">
        <f>AVERAGE(C19-D19)</f>
        <v>118312</v>
      </c>
      <c r="F19" s="67">
        <f>+E19</f>
        <v>118312</v>
      </c>
      <c r="G19" s="341"/>
      <c r="H19" s="342"/>
      <c r="I19" s="341">
        <f>+E19</f>
        <v>118312</v>
      </c>
      <c r="J19" s="342"/>
    </row>
    <row r="20" spans="1:10" ht="15" x14ac:dyDescent="0.25">
      <c r="A20" s="361" t="s">
        <v>114</v>
      </c>
      <c r="B20" s="362"/>
      <c r="C20" s="68"/>
      <c r="D20" s="69"/>
      <c r="E20" s="68">
        <f>SUM(E17:E19)</f>
        <v>522652</v>
      </c>
      <c r="F20" s="70"/>
      <c r="G20" s="363"/>
      <c r="H20" s="364"/>
      <c r="I20" s="363"/>
      <c r="J20" s="364"/>
    </row>
    <row r="21" spans="1:10" x14ac:dyDescent="0.2">
      <c r="C21" s="110" t="s">
        <v>18</v>
      </c>
      <c r="D21" t="s">
        <v>115</v>
      </c>
      <c r="G21" s="365"/>
      <c r="H21" s="365"/>
    </row>
    <row r="22" spans="1:10" ht="13.5" thickBot="1" x14ac:dyDescent="0.25">
      <c r="G22" s="366"/>
      <c r="H22" s="366"/>
    </row>
    <row r="23" spans="1:10" ht="13.5" thickTop="1" x14ac:dyDescent="0.2">
      <c r="A23" s="351" t="s">
        <v>116</v>
      </c>
      <c r="B23" s="352"/>
      <c r="C23" s="353"/>
      <c r="D23" s="330" t="s">
        <v>117</v>
      </c>
      <c r="E23" s="330" t="s">
        <v>118</v>
      </c>
      <c r="F23" s="358" t="s">
        <v>119</v>
      </c>
      <c r="G23" s="360" t="s">
        <v>120</v>
      </c>
      <c r="H23" s="360"/>
      <c r="I23" s="367" t="s">
        <v>121</v>
      </c>
      <c r="J23" s="367"/>
    </row>
    <row r="24" spans="1:10" x14ac:dyDescent="0.2">
      <c r="A24" s="354"/>
      <c r="B24" s="355"/>
      <c r="C24" s="356"/>
      <c r="D24" s="357"/>
      <c r="E24" s="357"/>
      <c r="F24" s="359"/>
      <c r="G24" s="163" t="s">
        <v>122</v>
      </c>
      <c r="H24" s="71" t="s">
        <v>123</v>
      </c>
      <c r="I24" s="367"/>
      <c r="J24" s="367"/>
    </row>
    <row r="25" spans="1:10" ht="15" x14ac:dyDescent="0.25">
      <c r="A25" s="343" t="s">
        <v>124</v>
      </c>
      <c r="B25" s="344"/>
      <c r="C25" s="345"/>
      <c r="D25" s="67">
        <f>+E17</f>
        <v>244745</v>
      </c>
      <c r="E25" s="72">
        <v>0.95140000000000002</v>
      </c>
      <c r="F25" s="73">
        <f>PRODUCT(D25*E25)</f>
        <v>232850.39300000001</v>
      </c>
      <c r="G25" s="150">
        <v>14</v>
      </c>
      <c r="H25" s="65">
        <f>PRODUCT(0.14,F25)</f>
        <v>32599.055020000003</v>
      </c>
      <c r="I25" s="346">
        <f>SUM(H25,F25)</f>
        <v>265449.44802000001</v>
      </c>
      <c r="J25" s="347"/>
    </row>
    <row r="26" spans="1:10" ht="15" x14ac:dyDescent="0.25">
      <c r="A26" s="348" t="s">
        <v>125</v>
      </c>
      <c r="B26" s="349"/>
      <c r="C26" s="350"/>
      <c r="D26" s="67">
        <f>+E18</f>
        <v>159595</v>
      </c>
      <c r="E26" s="74">
        <v>0.69850000000000001</v>
      </c>
      <c r="F26" s="73">
        <f>PRODUCT(D26*E26)</f>
        <v>111477.1075</v>
      </c>
      <c r="G26">
        <v>14</v>
      </c>
      <c r="H26" s="67">
        <f>PRODUCT(0.14,F26)</f>
        <v>15606.795050000001</v>
      </c>
      <c r="I26" s="346">
        <f t="shared" ref="I26:I31" si="0">SUM(H26,F26)</f>
        <v>127083.90255</v>
      </c>
      <c r="J26" s="347"/>
    </row>
    <row r="27" spans="1:10" ht="15" x14ac:dyDescent="0.25">
      <c r="A27" s="348" t="s">
        <v>126</v>
      </c>
      <c r="B27" s="349"/>
      <c r="C27" s="350"/>
      <c r="D27" s="67">
        <f>+E19</f>
        <v>118312</v>
      </c>
      <c r="E27" s="74">
        <v>1.3304</v>
      </c>
      <c r="F27" s="73">
        <f>PRODUCT(D27*E27)</f>
        <v>157402.28479999999</v>
      </c>
      <c r="G27">
        <v>14</v>
      </c>
      <c r="H27" s="67">
        <f>PRODUCT(0.14,F27)</f>
        <v>22036.319872</v>
      </c>
      <c r="I27" s="346">
        <f>SUM(H27,F27)</f>
        <v>179438.60467199999</v>
      </c>
      <c r="J27" s="347"/>
    </row>
    <row r="28" spans="1:10" ht="15" x14ac:dyDescent="0.25">
      <c r="A28" s="348" t="s">
        <v>127</v>
      </c>
      <c r="B28" s="349"/>
      <c r="C28" s="350"/>
      <c r="D28" s="67">
        <v>1000</v>
      </c>
      <c r="E28" s="74">
        <v>43.88167</v>
      </c>
      <c r="F28" s="73">
        <f>PRODUCT(D28,E28)</f>
        <v>43881.67</v>
      </c>
      <c r="G28">
        <v>14</v>
      </c>
      <c r="H28" s="67">
        <f>PRODUCT(0.14,F28)</f>
        <v>6143.4338000000007</v>
      </c>
      <c r="I28" s="346">
        <f t="shared" si="0"/>
        <v>50025.103799999997</v>
      </c>
      <c r="J28" s="347"/>
    </row>
    <row r="29" spans="1:10" ht="15" x14ac:dyDescent="0.25">
      <c r="A29" s="376" t="s">
        <v>128</v>
      </c>
      <c r="B29" s="377"/>
      <c r="C29" s="378"/>
      <c r="D29" s="75">
        <f>G12-D28</f>
        <v>46</v>
      </c>
      <c r="E29" s="76">
        <f>E28*1.5</f>
        <v>65.822505000000007</v>
      </c>
      <c r="F29" s="77">
        <f>PRODUCT(D29,E29)</f>
        <v>3027.8352300000001</v>
      </c>
      <c r="G29" s="78">
        <v>14</v>
      </c>
      <c r="H29" s="75">
        <f>PRODUCT(0.14,F29)</f>
        <v>423.89693220000004</v>
      </c>
      <c r="I29" s="379">
        <f t="shared" si="0"/>
        <v>3451.7321621999999</v>
      </c>
      <c r="J29" s="380"/>
    </row>
    <row r="30" spans="1:10" ht="15" x14ac:dyDescent="0.25">
      <c r="A30" s="348" t="s">
        <v>129</v>
      </c>
      <c r="B30" s="349"/>
      <c r="C30" s="350"/>
      <c r="D30" s="67"/>
      <c r="E30" s="79"/>
      <c r="F30" s="73">
        <v>841</v>
      </c>
      <c r="G30">
        <v>20</v>
      </c>
      <c r="H30" s="80">
        <f>PRODUCT(F30,0.2)</f>
        <v>168.20000000000002</v>
      </c>
      <c r="I30" s="346">
        <f>SUM(H30,F30)</f>
        <v>1009.2</v>
      </c>
      <c r="J30" s="347"/>
    </row>
    <row r="31" spans="1:10" ht="15.75" thickBot="1" x14ac:dyDescent="0.3">
      <c r="A31" s="368" t="s">
        <v>130</v>
      </c>
      <c r="B31" s="369"/>
      <c r="C31" s="370"/>
      <c r="D31" s="81"/>
      <c r="E31" s="82"/>
      <c r="F31" s="73">
        <v>1492</v>
      </c>
      <c r="G31" s="70">
        <v>7</v>
      </c>
      <c r="H31" s="83">
        <f>PRODUCT(F31,0.07)</f>
        <v>104.44000000000001</v>
      </c>
      <c r="I31" s="346">
        <f t="shared" si="0"/>
        <v>1596.44</v>
      </c>
      <c r="J31" s="347"/>
    </row>
    <row r="32" spans="1:10" ht="21" x14ac:dyDescent="0.2">
      <c r="A32" s="371" t="s">
        <v>131</v>
      </c>
      <c r="B32" s="372"/>
      <c r="C32" s="372"/>
      <c r="D32" s="372"/>
      <c r="E32" s="372"/>
      <c r="F32" s="84">
        <f>SUM(F25:F31)</f>
        <v>550972.29053</v>
      </c>
      <c r="G32" s="85"/>
      <c r="H32" s="86"/>
      <c r="I32" s="375">
        <f>SUM(I25:J31)</f>
        <v>628054.43120420002</v>
      </c>
      <c r="J32" s="375"/>
    </row>
    <row r="33" spans="1:10" ht="21.75" thickBot="1" x14ac:dyDescent="0.25">
      <c r="A33" s="373"/>
      <c r="B33" s="374"/>
      <c r="C33" s="374"/>
      <c r="D33" s="374"/>
      <c r="E33" s="374"/>
      <c r="F33" s="87"/>
      <c r="G33" s="88"/>
      <c r="H33" s="89"/>
      <c r="I33" s="375"/>
      <c r="J33" s="375"/>
    </row>
  </sheetData>
  <mergeCells count="60">
    <mergeCell ref="A1:B4"/>
    <mergeCell ref="C1:G4"/>
    <mergeCell ref="H1:J2"/>
    <mergeCell ref="H3:J4"/>
    <mergeCell ref="A7:B7"/>
    <mergeCell ref="C7:D7"/>
    <mergeCell ref="I7:J7"/>
    <mergeCell ref="A8:B8"/>
    <mergeCell ref="C8:D8"/>
    <mergeCell ref="I8:J8"/>
    <mergeCell ref="A11:B11"/>
    <mergeCell ref="C11:D11"/>
    <mergeCell ref="E11:F11"/>
    <mergeCell ref="G11:H11"/>
    <mergeCell ref="I11:J11"/>
    <mergeCell ref="A16:B16"/>
    <mergeCell ref="G16:H16"/>
    <mergeCell ref="I16:J16"/>
    <mergeCell ref="A12:B12"/>
    <mergeCell ref="C12:D12"/>
    <mergeCell ref="E12:F12"/>
    <mergeCell ref="G12:H12"/>
    <mergeCell ref="I12:J12"/>
    <mergeCell ref="A13:J13"/>
    <mergeCell ref="A17:B17"/>
    <mergeCell ref="G17:H17"/>
    <mergeCell ref="I17:J17"/>
    <mergeCell ref="A18:B18"/>
    <mergeCell ref="G18:H18"/>
    <mergeCell ref="I18:J18"/>
    <mergeCell ref="A19:B19"/>
    <mergeCell ref="G19:H19"/>
    <mergeCell ref="I19:J19"/>
    <mergeCell ref="A20:B20"/>
    <mergeCell ref="G20:H20"/>
    <mergeCell ref="I20:J20"/>
    <mergeCell ref="G21:H21"/>
    <mergeCell ref="G22:H22"/>
    <mergeCell ref="A23:C24"/>
    <mergeCell ref="D23:D24"/>
    <mergeCell ref="E23:E24"/>
    <mergeCell ref="F23:F24"/>
    <mergeCell ref="G23:H23"/>
    <mergeCell ref="I23:J24"/>
    <mergeCell ref="A25:C25"/>
    <mergeCell ref="I25:J25"/>
    <mergeCell ref="A26:C26"/>
    <mergeCell ref="I26:J26"/>
    <mergeCell ref="A27:C27"/>
    <mergeCell ref="I27:J27"/>
    <mergeCell ref="A31:C31"/>
    <mergeCell ref="I31:J31"/>
    <mergeCell ref="A32:E33"/>
    <mergeCell ref="I32:J33"/>
    <mergeCell ref="A28:C28"/>
    <mergeCell ref="I28:J28"/>
    <mergeCell ref="A29:C29"/>
    <mergeCell ref="I29:J29"/>
    <mergeCell ref="A30:C30"/>
    <mergeCell ref="I30:J30"/>
  </mergeCells>
  <pageMargins left="0.31496062992125984" right="0.70866141732283472" top="0.94488188976377963" bottom="0.74803149606299213" header="0.31496062992125984" footer="0.31496062992125984"/>
  <pageSetup paperSize="9" scale="9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5"/>
  <sheetViews>
    <sheetView topLeftCell="A7" workbookViewId="0">
      <selection activeCell="F20" sqref="F20:H20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133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168812.4</v>
      </c>
      <c r="D8" s="97">
        <v>44835</v>
      </c>
      <c r="E8" s="96">
        <v>172580</v>
      </c>
      <c r="F8" s="97">
        <v>44866</v>
      </c>
      <c r="G8" s="98">
        <f>E8-C8</f>
        <v>3767.6000000000058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117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3767.6000000000058</v>
      </c>
      <c r="C13" s="396"/>
      <c r="D13" s="396">
        <v>8.7899999999999991</v>
      </c>
      <c r="E13" s="396"/>
      <c r="F13" s="403">
        <f>PRODUCT(D13,B13)</f>
        <v>33117.204000000049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f>G8</f>
        <v>3767.6000000000058</v>
      </c>
      <c r="C19" s="396"/>
      <c r="D19" s="396">
        <v>2.61</v>
      </c>
      <c r="E19" s="396"/>
      <c r="F19" s="396">
        <f>PRODUCT(D19,B19)</f>
        <v>9833.4360000000142</v>
      </c>
      <c r="G19" s="396"/>
      <c r="H19" s="396"/>
    </row>
    <row r="20" spans="1:8" ht="18.75" x14ac:dyDescent="0.3">
      <c r="A20" s="392" t="s">
        <v>149</v>
      </c>
      <c r="B20" s="393"/>
      <c r="C20" s="393"/>
      <c r="D20" s="393"/>
      <c r="E20" s="394"/>
      <c r="F20" s="395">
        <f>SUM(F11+F13+F16+F17+F18+F19)</f>
        <v>42973.640000000065</v>
      </c>
      <c r="G20" s="395"/>
      <c r="H20" s="395"/>
    </row>
    <row r="21" spans="1:8" ht="15" x14ac:dyDescent="0.25">
      <c r="A21" s="381" t="s">
        <v>150</v>
      </c>
      <c r="B21" s="382"/>
      <c r="C21" s="382"/>
      <c r="D21" s="382"/>
      <c r="E21" s="383"/>
      <c r="F21" s="396">
        <f>PRODUCT(F20,0.07)</f>
        <v>3008.1548000000048</v>
      </c>
      <c r="G21" s="396"/>
      <c r="H21" s="396"/>
    </row>
    <row r="22" spans="1:8" ht="15" x14ac:dyDescent="0.25">
      <c r="A22" s="397" t="s">
        <v>151</v>
      </c>
      <c r="B22" s="398"/>
      <c r="C22" s="398"/>
      <c r="D22" s="398"/>
      <c r="E22" s="399"/>
      <c r="F22" s="396">
        <v>208.26</v>
      </c>
      <c r="G22" s="396"/>
      <c r="H22" s="396"/>
    </row>
    <row r="23" spans="1:8" ht="15.75" x14ac:dyDescent="0.25">
      <c r="A23" s="381" t="s">
        <v>152</v>
      </c>
      <c r="B23" s="382"/>
      <c r="C23" s="382"/>
      <c r="D23" s="382"/>
      <c r="E23" s="383"/>
      <c r="F23" s="384">
        <f>SUM(F21:H22)</f>
        <v>3216.414800000005</v>
      </c>
      <c r="G23" s="384"/>
      <c r="H23" s="384"/>
    </row>
    <row r="24" spans="1:8" x14ac:dyDescent="0.2">
      <c r="A24" s="385" t="s">
        <v>153</v>
      </c>
      <c r="B24" s="386"/>
      <c r="C24" s="386"/>
      <c r="D24" s="386"/>
      <c r="E24" s="387"/>
      <c r="F24" s="391">
        <f>SUM(F20,F23)</f>
        <v>46190.054800000071</v>
      </c>
      <c r="G24" s="391"/>
      <c r="H24" s="391"/>
    </row>
    <row r="25" spans="1:8" x14ac:dyDescent="0.2">
      <c r="A25" s="388"/>
      <c r="B25" s="389"/>
      <c r="C25" s="389"/>
      <c r="D25" s="389"/>
      <c r="E25" s="390"/>
      <c r="F25" s="391"/>
      <c r="G25" s="391"/>
      <c r="H25" s="391"/>
    </row>
  </sheetData>
  <mergeCells count="37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A14:H15"/>
    <mergeCell ref="B16:C16"/>
    <mergeCell ref="D16:E16"/>
    <mergeCell ref="F16:H16"/>
    <mergeCell ref="B17:C17"/>
    <mergeCell ref="D17:E17"/>
    <mergeCell ref="F17:H17"/>
    <mergeCell ref="B18:C18"/>
    <mergeCell ref="D18:E18"/>
    <mergeCell ref="F18:H18"/>
    <mergeCell ref="B19:C19"/>
    <mergeCell ref="D19:E19"/>
    <mergeCell ref="F19:H19"/>
    <mergeCell ref="A23:E23"/>
    <mergeCell ref="F23:H23"/>
    <mergeCell ref="A24:E25"/>
    <mergeCell ref="F24:H25"/>
    <mergeCell ref="A20:E20"/>
    <mergeCell ref="F20:H20"/>
    <mergeCell ref="A21:E21"/>
    <mergeCell ref="F21:H21"/>
    <mergeCell ref="A22:E22"/>
    <mergeCell ref="F22:H22"/>
  </mergeCells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26"/>
  <sheetViews>
    <sheetView workbookViewId="0">
      <selection activeCell="E8" sqref="E8"/>
    </sheetView>
  </sheetViews>
  <sheetFormatPr baseColWidth="10" defaultColWidth="11.42578125" defaultRowHeight="12.75" x14ac:dyDescent="0.2"/>
  <cols>
    <col min="1" max="1" width="14.855468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133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172400</v>
      </c>
      <c r="D8" s="97">
        <v>44865</v>
      </c>
      <c r="E8" s="96">
        <v>172580</v>
      </c>
      <c r="F8" s="97">
        <v>44866</v>
      </c>
      <c r="G8" s="98">
        <f>E8-C8</f>
        <v>180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117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23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143</v>
      </c>
      <c r="B13" s="396">
        <f>G8</f>
        <v>180</v>
      </c>
      <c r="C13" s="396"/>
      <c r="D13" s="396">
        <v>8.5</v>
      </c>
      <c r="E13" s="396"/>
      <c r="F13" s="403">
        <f>PRODUCT(D13,B13)</f>
        <v>1530</v>
      </c>
      <c r="G13" s="403"/>
      <c r="H13" s="403"/>
    </row>
    <row r="14" spans="1:8" ht="45" customHeight="1" x14ac:dyDescent="0.2">
      <c r="A14" s="400" t="s">
        <v>144</v>
      </c>
      <c r="B14" s="400"/>
      <c r="C14" s="400"/>
      <c r="D14" s="400"/>
      <c r="E14" s="400"/>
      <c r="F14" s="400"/>
      <c r="G14" s="400"/>
      <c r="H14" s="400"/>
    </row>
    <row r="15" spans="1:8" x14ac:dyDescent="0.2">
      <c r="A15" s="401"/>
      <c r="B15" s="401"/>
      <c r="C15" s="401"/>
      <c r="D15" s="401"/>
      <c r="E15" s="401"/>
      <c r="F15" s="401"/>
      <c r="G15" s="401"/>
      <c r="H15" s="401"/>
    </row>
    <row r="16" spans="1:8" ht="15" x14ac:dyDescent="0.25">
      <c r="A16" s="103" t="s">
        <v>145</v>
      </c>
      <c r="B16" s="396">
        <v>0</v>
      </c>
      <c r="C16" s="396"/>
      <c r="D16" s="396">
        <v>0</v>
      </c>
      <c r="E16" s="396"/>
      <c r="F16" s="396">
        <f>PRODUCT(D16,B16)</f>
        <v>0</v>
      </c>
      <c r="G16" s="396"/>
      <c r="H16" s="396"/>
    </row>
    <row r="17" spans="1:8" ht="15" x14ac:dyDescent="0.25">
      <c r="A17" s="103" t="s">
        <v>146</v>
      </c>
      <c r="B17" s="396">
        <v>0</v>
      </c>
      <c r="C17" s="396"/>
      <c r="D17" s="396">
        <v>0</v>
      </c>
      <c r="E17" s="396"/>
      <c r="F17" s="396">
        <f>PRODUCT(D17,B17)</f>
        <v>0</v>
      </c>
      <c r="G17" s="396"/>
      <c r="H17" s="396"/>
    </row>
    <row r="18" spans="1:8" ht="15" x14ac:dyDescent="0.25">
      <c r="A18" s="103" t="s">
        <v>147</v>
      </c>
      <c r="B18" s="396">
        <v>0</v>
      </c>
      <c r="C18" s="396"/>
      <c r="D18" s="396">
        <v>0</v>
      </c>
      <c r="E18" s="396"/>
      <c r="F18" s="396">
        <f>PRODUCT(D18,B18)</f>
        <v>0</v>
      </c>
      <c r="G18" s="396"/>
      <c r="H18" s="396"/>
    </row>
    <row r="19" spans="1:8" ht="15" x14ac:dyDescent="0.25">
      <c r="A19" s="103" t="s">
        <v>148</v>
      </c>
      <c r="B19" s="396">
        <v>0</v>
      </c>
      <c r="C19" s="396"/>
      <c r="D19" s="420">
        <v>0</v>
      </c>
      <c r="E19" s="421"/>
      <c r="F19" s="420">
        <v>0</v>
      </c>
      <c r="G19" s="421"/>
      <c r="H19" s="164"/>
    </row>
    <row r="20" spans="1:8" ht="15" x14ac:dyDescent="0.25">
      <c r="A20" s="103" t="s">
        <v>154</v>
      </c>
      <c r="B20" s="396">
        <f>G8</f>
        <v>180</v>
      </c>
      <c r="C20" s="396"/>
      <c r="D20" s="396">
        <v>2.54</v>
      </c>
      <c r="E20" s="396"/>
      <c r="F20" s="396">
        <f>PRODUCT(D20,B20)</f>
        <v>457.2</v>
      </c>
      <c r="G20" s="396"/>
      <c r="H20" s="396"/>
    </row>
    <row r="21" spans="1:8" ht="18.75" x14ac:dyDescent="0.3">
      <c r="A21" s="392" t="s">
        <v>149</v>
      </c>
      <c r="B21" s="393"/>
      <c r="C21" s="393"/>
      <c r="D21" s="393"/>
      <c r="E21" s="394"/>
      <c r="F21" s="395">
        <f>SUM(F11+F13+F16+F17+F18+F20)</f>
        <v>2010.2</v>
      </c>
      <c r="G21" s="395"/>
      <c r="H21" s="395"/>
    </row>
    <row r="22" spans="1:8" ht="15" x14ac:dyDescent="0.25">
      <c r="A22" s="381" t="s">
        <v>150</v>
      </c>
      <c r="B22" s="382"/>
      <c r="C22" s="382"/>
      <c r="D22" s="382"/>
      <c r="E22" s="383"/>
      <c r="F22" s="396">
        <f>PRODUCT(F21,0.07)</f>
        <v>140.71400000000003</v>
      </c>
      <c r="G22" s="396"/>
      <c r="H22" s="396"/>
    </row>
    <row r="23" spans="1:8" ht="15" x14ac:dyDescent="0.25">
      <c r="A23" s="397" t="s">
        <v>151</v>
      </c>
      <c r="B23" s="398"/>
      <c r="C23" s="398"/>
      <c r="D23" s="398"/>
      <c r="E23" s="399"/>
      <c r="F23" s="396">
        <v>208.26</v>
      </c>
      <c r="G23" s="396"/>
      <c r="H23" s="396"/>
    </row>
    <row r="24" spans="1:8" ht="15.75" x14ac:dyDescent="0.25">
      <c r="A24" s="381" t="s">
        <v>152</v>
      </c>
      <c r="B24" s="382"/>
      <c r="C24" s="382"/>
      <c r="D24" s="382"/>
      <c r="E24" s="383"/>
      <c r="F24" s="384">
        <f>SUM(F22:H23)</f>
        <v>348.97400000000005</v>
      </c>
      <c r="G24" s="384"/>
      <c r="H24" s="384"/>
    </row>
    <row r="25" spans="1:8" x14ac:dyDescent="0.2">
      <c r="A25" s="385" t="s">
        <v>153</v>
      </c>
      <c r="B25" s="386"/>
      <c r="C25" s="386"/>
      <c r="D25" s="386"/>
      <c r="E25" s="387"/>
      <c r="F25" s="391">
        <f>SUM(F21,F24)</f>
        <v>2359.174</v>
      </c>
      <c r="G25" s="391"/>
      <c r="H25" s="391"/>
    </row>
    <row r="26" spans="1:8" x14ac:dyDescent="0.2">
      <c r="A26" s="388"/>
      <c r="B26" s="389"/>
      <c r="C26" s="389"/>
      <c r="D26" s="389"/>
      <c r="E26" s="390"/>
      <c r="F26" s="391"/>
      <c r="G26" s="391"/>
      <c r="H26" s="391"/>
    </row>
  </sheetData>
  <mergeCells count="40">
    <mergeCell ref="A24:E24"/>
    <mergeCell ref="F24:H24"/>
    <mergeCell ref="A25:E26"/>
    <mergeCell ref="F25:H26"/>
    <mergeCell ref="B19:C19"/>
    <mergeCell ref="D19:E19"/>
    <mergeCell ref="F19:G19"/>
    <mergeCell ref="A21:E21"/>
    <mergeCell ref="F21:H21"/>
    <mergeCell ref="A22:E22"/>
    <mergeCell ref="F22:H22"/>
    <mergeCell ref="A23:E23"/>
    <mergeCell ref="F23:H23"/>
    <mergeCell ref="B18:C18"/>
    <mergeCell ref="D18:E18"/>
    <mergeCell ref="F18:H18"/>
    <mergeCell ref="B20:C20"/>
    <mergeCell ref="D20:E20"/>
    <mergeCell ref="F20:H20"/>
    <mergeCell ref="A14:H15"/>
    <mergeCell ref="B16:C16"/>
    <mergeCell ref="D16:E16"/>
    <mergeCell ref="F16:H16"/>
    <mergeCell ref="B17:C17"/>
    <mergeCell ref="D17:E17"/>
    <mergeCell ref="F17:H17"/>
    <mergeCell ref="B11:C11"/>
    <mergeCell ref="D11:E11"/>
    <mergeCell ref="F11:H11"/>
    <mergeCell ref="A12:H12"/>
    <mergeCell ref="B13:C13"/>
    <mergeCell ref="D13:E13"/>
    <mergeCell ref="F13:H13"/>
    <mergeCell ref="A1:A4"/>
    <mergeCell ref="B1:E4"/>
    <mergeCell ref="F1:H2"/>
    <mergeCell ref="F3:H4"/>
    <mergeCell ref="B10:C10"/>
    <mergeCell ref="D10:E10"/>
    <mergeCell ref="F10:H10"/>
  </mergeCells>
  <pageMargins left="0.7" right="0.7" top="0.75" bottom="0.75" header="0.3" footer="0.3"/>
  <pageSetup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30"/>
  <sheetViews>
    <sheetView workbookViewId="0">
      <selection activeCell="E9" sqref="E9"/>
    </sheetView>
  </sheetViews>
  <sheetFormatPr baseColWidth="10" defaultColWidth="11.42578125" defaultRowHeight="12.75" x14ac:dyDescent="0.2"/>
  <cols>
    <col min="1" max="1" width="13.7109375" bestFit="1" customWidth="1"/>
    <col min="3" max="5" width="11.5703125" bestFit="1" customWidth="1"/>
    <col min="6" max="6" width="10.5703125" customWidth="1"/>
    <col min="7" max="7" width="13.42578125" customWidth="1"/>
    <col min="8" max="8" width="9" hidden="1" customWidth="1"/>
  </cols>
  <sheetData>
    <row r="1" spans="1:8" ht="15" customHeight="1" x14ac:dyDescent="0.2">
      <c r="A1" s="404"/>
      <c r="B1" s="300" t="s">
        <v>155</v>
      </c>
      <c r="C1" s="301"/>
      <c r="D1" s="301"/>
      <c r="E1" s="301"/>
      <c r="F1" s="407" t="s">
        <v>88</v>
      </c>
      <c r="G1" s="408"/>
      <c r="H1" s="409"/>
    </row>
    <row r="2" spans="1:8" ht="15.75" customHeight="1" thickBot="1" x14ac:dyDescent="0.25">
      <c r="A2" s="405"/>
      <c r="B2" s="302"/>
      <c r="C2" s="303"/>
      <c r="D2" s="303"/>
      <c r="E2" s="303"/>
      <c r="F2" s="410"/>
      <c r="G2" s="411"/>
      <c r="H2" s="412"/>
    </row>
    <row r="3" spans="1:8" ht="15" customHeight="1" x14ac:dyDescent="0.2">
      <c r="A3" s="405"/>
      <c r="B3" s="302"/>
      <c r="C3" s="303"/>
      <c r="D3" s="303"/>
      <c r="E3" s="303"/>
      <c r="F3" s="407" t="s">
        <v>89</v>
      </c>
      <c r="G3" s="408"/>
      <c r="H3" s="409"/>
    </row>
    <row r="4" spans="1:8" ht="15.75" customHeight="1" thickBot="1" x14ac:dyDescent="0.25">
      <c r="A4" s="406"/>
      <c r="B4" s="304"/>
      <c r="C4" s="305"/>
      <c r="D4" s="305"/>
      <c r="E4" s="305"/>
      <c r="F4" s="413"/>
      <c r="G4" s="414"/>
      <c r="H4" s="415"/>
    </row>
    <row r="6" spans="1:8" ht="42.75" customHeight="1" x14ac:dyDescent="0.2"/>
    <row r="7" spans="1:8" ht="42.75" customHeight="1" x14ac:dyDescent="0.2">
      <c r="A7" s="92" t="s">
        <v>90</v>
      </c>
      <c r="B7" s="92" t="s">
        <v>134</v>
      </c>
      <c r="C7" s="92" t="s">
        <v>135</v>
      </c>
      <c r="D7" s="94" t="s">
        <v>91</v>
      </c>
      <c r="E7" s="92" t="s">
        <v>136</v>
      </c>
      <c r="F7" s="94" t="s">
        <v>92</v>
      </c>
      <c r="G7" s="94" t="s">
        <v>137</v>
      </c>
      <c r="H7" s="93" t="s">
        <v>93</v>
      </c>
    </row>
    <row r="8" spans="1:8" ht="15" x14ac:dyDescent="0.25">
      <c r="A8" s="164"/>
      <c r="B8" s="95" t="s">
        <v>138</v>
      </c>
      <c r="C8" s="96">
        <v>2560</v>
      </c>
      <c r="D8" s="97">
        <v>44470</v>
      </c>
      <c r="E8" s="96">
        <v>2569</v>
      </c>
      <c r="F8" s="97">
        <v>44866</v>
      </c>
      <c r="G8" s="98">
        <f>E8-C8</f>
        <v>9</v>
      </c>
      <c r="H8" s="99"/>
    </row>
    <row r="9" spans="1:8" ht="36" customHeight="1" x14ac:dyDescent="0.25">
      <c r="A9" s="100"/>
      <c r="B9" s="100"/>
      <c r="C9" s="100"/>
      <c r="D9" s="100"/>
      <c r="E9" s="100"/>
      <c r="F9" s="100"/>
      <c r="G9" s="100"/>
      <c r="H9" s="100"/>
    </row>
    <row r="10" spans="1:8" ht="15" x14ac:dyDescent="0.25">
      <c r="A10" s="101"/>
      <c r="B10" s="416" t="s">
        <v>117</v>
      </c>
      <c r="C10" s="417"/>
      <c r="D10" s="418" t="s">
        <v>139</v>
      </c>
      <c r="E10" s="418"/>
      <c r="F10" s="416" t="s">
        <v>140</v>
      </c>
      <c r="G10" s="419"/>
      <c r="H10" s="417"/>
    </row>
    <row r="11" spans="1:8" ht="15" x14ac:dyDescent="0.25">
      <c r="A11" s="102" t="s">
        <v>141</v>
      </c>
      <c r="B11" s="396"/>
      <c r="C11" s="396"/>
      <c r="D11" s="396"/>
      <c r="E11" s="396"/>
      <c r="F11" s="396">
        <v>15</v>
      </c>
      <c r="G11" s="396"/>
      <c r="H11" s="396"/>
    </row>
    <row r="12" spans="1:8" ht="21" x14ac:dyDescent="0.35">
      <c r="A12" s="402" t="s">
        <v>142</v>
      </c>
      <c r="B12" s="402"/>
      <c r="C12" s="402"/>
      <c r="D12" s="402"/>
      <c r="E12" s="402"/>
      <c r="F12" s="402"/>
      <c r="G12" s="402"/>
      <c r="H12" s="402"/>
    </row>
    <row r="13" spans="1:8" ht="15" x14ac:dyDescent="0.25">
      <c r="A13" s="102" t="s">
        <v>156</v>
      </c>
      <c r="B13" s="396">
        <f>G8</f>
        <v>9</v>
      </c>
      <c r="C13" s="396"/>
      <c r="D13" s="396">
        <v>16.48</v>
      </c>
      <c r="E13" s="396"/>
      <c r="F13" s="403">
        <f>PRODUCT(D13,B13)</f>
        <v>148.32</v>
      </c>
      <c r="G13" s="403"/>
      <c r="H13" s="403"/>
    </row>
    <row r="14" spans="1:8" ht="15" x14ac:dyDescent="0.25">
      <c r="A14" s="102" t="s">
        <v>157</v>
      </c>
      <c r="B14" s="420"/>
      <c r="C14" s="421"/>
      <c r="D14" s="420"/>
      <c r="E14" s="421"/>
      <c r="F14" s="420"/>
      <c r="G14" s="421"/>
      <c r="H14" s="111"/>
    </row>
    <row r="15" spans="1:8" ht="15" x14ac:dyDescent="0.25">
      <c r="A15" s="102" t="s">
        <v>158</v>
      </c>
      <c r="B15" s="420"/>
      <c r="C15" s="421"/>
      <c r="D15" s="420"/>
      <c r="E15" s="421"/>
      <c r="F15" s="420"/>
      <c r="G15" s="421"/>
      <c r="H15" s="111"/>
    </row>
    <row r="16" spans="1:8" ht="15" x14ac:dyDescent="0.25">
      <c r="A16" s="102" t="s">
        <v>159</v>
      </c>
      <c r="B16" s="420"/>
      <c r="C16" s="421"/>
      <c r="D16" s="420"/>
      <c r="E16" s="421"/>
      <c r="F16" s="420"/>
      <c r="G16" s="421"/>
      <c r="H16" s="111"/>
    </row>
    <row r="17" spans="1:8" ht="15" x14ac:dyDescent="0.25">
      <c r="A17" s="102" t="s">
        <v>160</v>
      </c>
      <c r="B17" s="420"/>
      <c r="C17" s="421"/>
      <c r="D17" s="420"/>
      <c r="E17" s="421"/>
      <c r="F17" s="420"/>
      <c r="G17" s="421"/>
      <c r="H17" s="111"/>
    </row>
    <row r="18" spans="1:8" ht="45" customHeight="1" x14ac:dyDescent="0.2">
      <c r="A18" s="400" t="s">
        <v>144</v>
      </c>
      <c r="B18" s="400"/>
      <c r="C18" s="400"/>
      <c r="D18" s="400"/>
      <c r="E18" s="400"/>
      <c r="F18" s="400"/>
      <c r="G18" s="400"/>
      <c r="H18" s="400"/>
    </row>
    <row r="19" spans="1:8" x14ac:dyDescent="0.2">
      <c r="A19" s="401"/>
      <c r="B19" s="401"/>
      <c r="C19" s="401"/>
      <c r="D19" s="401"/>
      <c r="E19" s="401"/>
      <c r="F19" s="401"/>
      <c r="G19" s="401"/>
      <c r="H19" s="401"/>
    </row>
    <row r="20" spans="1:8" ht="15" x14ac:dyDescent="0.25">
      <c r="A20" s="103" t="s">
        <v>145</v>
      </c>
      <c r="B20" s="396">
        <v>0</v>
      </c>
      <c r="C20" s="396"/>
      <c r="D20" s="396">
        <v>0</v>
      </c>
      <c r="E20" s="396"/>
      <c r="F20" s="396">
        <f>PRODUCT(D20,B20)</f>
        <v>0</v>
      </c>
      <c r="G20" s="396"/>
      <c r="H20" s="396"/>
    </row>
    <row r="21" spans="1:8" ht="15" x14ac:dyDescent="0.25">
      <c r="A21" s="103" t="s">
        <v>146</v>
      </c>
      <c r="B21" s="396">
        <v>0</v>
      </c>
      <c r="C21" s="396"/>
      <c r="D21" s="396">
        <v>0</v>
      </c>
      <c r="E21" s="396"/>
      <c r="F21" s="396">
        <f>PRODUCT(D21,B21)</f>
        <v>0</v>
      </c>
      <c r="G21" s="396"/>
      <c r="H21" s="396"/>
    </row>
    <row r="22" spans="1:8" ht="15" x14ac:dyDescent="0.25">
      <c r="A22" s="103" t="s">
        <v>147</v>
      </c>
      <c r="B22" s="396">
        <v>0</v>
      </c>
      <c r="C22" s="396"/>
      <c r="D22" s="396">
        <v>0</v>
      </c>
      <c r="E22" s="396"/>
      <c r="F22" s="396">
        <f>PRODUCT(D22,B22)</f>
        <v>0</v>
      </c>
      <c r="G22" s="396"/>
      <c r="H22" s="396"/>
    </row>
    <row r="23" spans="1:8" ht="15" x14ac:dyDescent="0.25">
      <c r="A23" s="103" t="s">
        <v>148</v>
      </c>
      <c r="B23" s="396">
        <f>G8</f>
        <v>9</v>
      </c>
      <c r="C23" s="396"/>
      <c r="D23" s="396">
        <v>0</v>
      </c>
      <c r="E23" s="396"/>
      <c r="F23" s="396">
        <f>PRODUCT(D23,B23)</f>
        <v>0</v>
      </c>
      <c r="G23" s="396"/>
      <c r="H23" s="396"/>
    </row>
    <row r="24" spans="1:8" ht="15" x14ac:dyDescent="0.25">
      <c r="A24" s="103" t="s">
        <v>154</v>
      </c>
      <c r="B24" s="420">
        <v>0</v>
      </c>
      <c r="C24" s="421"/>
      <c r="D24" s="420">
        <v>2.54</v>
      </c>
      <c r="E24" s="421"/>
      <c r="F24" s="420">
        <f>B24*D24</f>
        <v>0</v>
      </c>
      <c r="G24" s="421"/>
      <c r="H24" s="164"/>
    </row>
    <row r="25" spans="1:8" ht="18.75" x14ac:dyDescent="0.3">
      <c r="A25" s="392" t="s">
        <v>149</v>
      </c>
      <c r="B25" s="393"/>
      <c r="C25" s="393"/>
      <c r="D25" s="393"/>
      <c r="E25" s="394"/>
      <c r="F25" s="422">
        <f>SUM(F11+F13+F20+F21+F22+F23)</f>
        <v>163.32</v>
      </c>
      <c r="G25" s="395"/>
      <c r="H25" s="395"/>
    </row>
    <row r="26" spans="1:8" ht="15" x14ac:dyDescent="0.25">
      <c r="A26" s="381" t="s">
        <v>150</v>
      </c>
      <c r="B26" s="382"/>
      <c r="C26" s="382"/>
      <c r="D26" s="382"/>
      <c r="E26" s="383"/>
      <c r="F26" s="396">
        <v>63.63</v>
      </c>
      <c r="G26" s="396"/>
      <c r="H26" s="396"/>
    </row>
    <row r="27" spans="1:8" ht="15" x14ac:dyDescent="0.25">
      <c r="A27" s="397" t="s">
        <v>151</v>
      </c>
      <c r="B27" s="398"/>
      <c r="C27" s="398"/>
      <c r="D27" s="398"/>
      <c r="E27" s="399"/>
      <c r="F27" s="396">
        <v>2.4300000000000002</v>
      </c>
      <c r="G27" s="396"/>
      <c r="H27" s="396"/>
    </row>
    <row r="28" spans="1:8" ht="15.75" x14ac:dyDescent="0.25">
      <c r="A28" s="381" t="s">
        <v>152</v>
      </c>
      <c r="B28" s="382"/>
      <c r="C28" s="382"/>
      <c r="D28" s="382"/>
      <c r="E28" s="383"/>
      <c r="F28" s="384">
        <f>SUM(F26:H27)</f>
        <v>66.06</v>
      </c>
      <c r="G28" s="384"/>
      <c r="H28" s="384"/>
    </row>
    <row r="29" spans="1:8" x14ac:dyDescent="0.2">
      <c r="A29" s="385" t="s">
        <v>153</v>
      </c>
      <c r="B29" s="386"/>
      <c r="C29" s="386"/>
      <c r="D29" s="386"/>
      <c r="E29" s="387"/>
      <c r="F29" s="391">
        <f>SUM(F25,F28)</f>
        <v>229.38</v>
      </c>
      <c r="G29" s="391"/>
      <c r="H29" s="391"/>
    </row>
    <row r="30" spans="1:8" x14ac:dyDescent="0.2">
      <c r="A30" s="388"/>
      <c r="B30" s="389"/>
      <c r="C30" s="389"/>
      <c r="D30" s="389"/>
      <c r="E30" s="390"/>
      <c r="F30" s="391"/>
      <c r="G30" s="391"/>
      <c r="H30" s="391"/>
    </row>
  </sheetData>
  <mergeCells count="52">
    <mergeCell ref="A1:A4"/>
    <mergeCell ref="B1:E4"/>
    <mergeCell ref="F1:H2"/>
    <mergeCell ref="F3:H4"/>
    <mergeCell ref="B10:C10"/>
    <mergeCell ref="D10:E10"/>
    <mergeCell ref="F10:H10"/>
    <mergeCell ref="B11:C11"/>
    <mergeCell ref="D11:E11"/>
    <mergeCell ref="F11:H11"/>
    <mergeCell ref="A12:H12"/>
    <mergeCell ref="B13:C13"/>
    <mergeCell ref="D13:E13"/>
    <mergeCell ref="F13:H13"/>
    <mergeCell ref="F23:H23"/>
    <mergeCell ref="A18:H19"/>
    <mergeCell ref="B20:C20"/>
    <mergeCell ref="D20:E20"/>
    <mergeCell ref="F20:H20"/>
    <mergeCell ref="B21:C21"/>
    <mergeCell ref="D21:E21"/>
    <mergeCell ref="F21:H21"/>
    <mergeCell ref="B22:C22"/>
    <mergeCell ref="D22:E22"/>
    <mergeCell ref="F22:H22"/>
    <mergeCell ref="B23:C23"/>
    <mergeCell ref="D23:E23"/>
    <mergeCell ref="A28:E28"/>
    <mergeCell ref="F28:H28"/>
    <mergeCell ref="A29:E30"/>
    <mergeCell ref="F29:H30"/>
    <mergeCell ref="F24:G24"/>
    <mergeCell ref="B24:C24"/>
    <mergeCell ref="D24:E24"/>
    <mergeCell ref="A25:E25"/>
    <mergeCell ref="F25:H25"/>
    <mergeCell ref="A26:E26"/>
    <mergeCell ref="F26:H26"/>
    <mergeCell ref="A27:E27"/>
    <mergeCell ref="F27:H27"/>
    <mergeCell ref="F14:G14"/>
    <mergeCell ref="F15:G15"/>
    <mergeCell ref="F16:G16"/>
    <mergeCell ref="F17:G17"/>
    <mergeCell ref="B14:C14"/>
    <mergeCell ref="B15:C15"/>
    <mergeCell ref="B16:C16"/>
    <mergeCell ref="B17:C17"/>
    <mergeCell ref="D14:E14"/>
    <mergeCell ref="D15:E15"/>
    <mergeCell ref="D16:E16"/>
    <mergeCell ref="D17:E17"/>
  </mergeCells>
  <pageMargins left="0.7" right="0.7" top="0.75" bottom="0.75" header="0.3" footer="0.3"/>
  <pageSetup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4:N33"/>
  <sheetViews>
    <sheetView topLeftCell="A13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3.7109375" customWidth="1"/>
    <col min="4" max="4" width="15.7109375" customWidth="1"/>
    <col min="6" max="6" width="16.28515625" customWidth="1"/>
    <col min="7" max="7" width="15.5703125" customWidth="1"/>
    <col min="8" max="8" width="17.28515625" customWidth="1"/>
    <col min="10" max="11" width="16" customWidth="1"/>
    <col min="12" max="13" width="15.85546875" customWidth="1"/>
    <col min="14" max="14" width="16.28515625" customWidth="1"/>
  </cols>
  <sheetData>
    <row r="4" spans="2:14" ht="13.5" thickBot="1" x14ac:dyDescent="0.25"/>
    <row r="5" spans="2:14" ht="21" thickBot="1" x14ac:dyDescent="0.35">
      <c r="C5" s="423" t="s">
        <v>161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2.2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544520</v>
      </c>
      <c r="M8" s="104">
        <v>561765</v>
      </c>
      <c r="N8" s="104">
        <v>546771</v>
      </c>
    </row>
    <row r="9" spans="2:14" ht="33" customHeight="1" x14ac:dyDescent="0.2">
      <c r="B9" s="107" t="s">
        <v>175</v>
      </c>
      <c r="C9" s="104">
        <v>564170</v>
      </c>
      <c r="D9" s="104">
        <v>532072</v>
      </c>
      <c r="E9" s="104">
        <v>405239</v>
      </c>
      <c r="F9" s="104">
        <v>469130</v>
      </c>
      <c r="G9" s="104">
        <v>543877</v>
      </c>
      <c r="H9" s="104">
        <v>605744</v>
      </c>
      <c r="I9" s="104">
        <v>722083</v>
      </c>
      <c r="J9" s="104">
        <v>802210</v>
      </c>
      <c r="K9" s="104">
        <v>762933</v>
      </c>
      <c r="L9" s="104">
        <v>670848</v>
      </c>
      <c r="M9" s="104">
        <v>626451</v>
      </c>
      <c r="N9" s="104">
        <v>557392</v>
      </c>
    </row>
    <row r="10" spans="2:14" ht="33" customHeight="1" x14ac:dyDescent="0.2">
      <c r="B10" s="112" t="s">
        <v>176</v>
      </c>
      <c r="C10" s="104">
        <v>520977</v>
      </c>
      <c r="D10" s="104">
        <v>541271</v>
      </c>
      <c r="E10" s="104">
        <v>508392</v>
      </c>
      <c r="F10" s="104">
        <v>659200</v>
      </c>
      <c r="G10" s="104">
        <v>705703</v>
      </c>
      <c r="H10" s="104">
        <v>784214</v>
      </c>
      <c r="I10" s="104">
        <v>823726</v>
      </c>
      <c r="J10" s="104">
        <v>913736</v>
      </c>
      <c r="K10" s="104">
        <v>831734</v>
      </c>
      <c r="L10" s="104">
        <v>794243</v>
      </c>
      <c r="M10" s="104">
        <v>688127</v>
      </c>
      <c r="N10" s="104">
        <v>577067</v>
      </c>
    </row>
    <row r="11" spans="2:14" ht="29.25" customHeight="1" x14ac:dyDescent="0.2">
      <c r="B11" s="108" t="s">
        <v>177</v>
      </c>
      <c r="C11" s="104">
        <v>586355</v>
      </c>
      <c r="D11" s="104">
        <v>563735</v>
      </c>
      <c r="E11" s="104">
        <v>512313</v>
      </c>
      <c r="F11" s="104">
        <v>573440</v>
      </c>
      <c r="G11" s="104">
        <v>535115</v>
      </c>
      <c r="H11" s="104">
        <v>570139</v>
      </c>
      <c r="I11" s="104">
        <v>669302</v>
      </c>
      <c r="J11" s="104">
        <v>704714</v>
      </c>
      <c r="K11" s="104">
        <v>682717</v>
      </c>
      <c r="L11" s="104">
        <v>581239</v>
      </c>
      <c r="M11" s="104">
        <v>438561</v>
      </c>
      <c r="N11" s="104">
        <v>400672</v>
      </c>
    </row>
    <row r="12" spans="2:14" ht="33.75" customHeight="1" x14ac:dyDescent="0.2">
      <c r="B12" s="118" t="s">
        <v>178</v>
      </c>
      <c r="C12" s="104">
        <v>388363</v>
      </c>
      <c r="D12" s="104">
        <v>407737</v>
      </c>
      <c r="E12" s="104">
        <v>392102</v>
      </c>
      <c r="F12" s="104">
        <v>454554</v>
      </c>
      <c r="G12" s="104">
        <v>448580</v>
      </c>
      <c r="H12" s="104">
        <v>535391</v>
      </c>
      <c r="I12" s="104">
        <v>549301</v>
      </c>
      <c r="J12" s="104">
        <v>576078</v>
      </c>
      <c r="K12" s="104">
        <v>612675</v>
      </c>
      <c r="L12" s="104">
        <v>542640</v>
      </c>
      <c r="M12" s="104">
        <v>507495</v>
      </c>
      <c r="N12" s="104">
        <v>444826</v>
      </c>
    </row>
    <row r="13" spans="2:14" ht="33.75" customHeight="1" x14ac:dyDescent="0.2">
      <c r="B13" s="147" t="s">
        <v>179</v>
      </c>
      <c r="C13" s="104">
        <v>417018</v>
      </c>
      <c r="D13" s="104">
        <v>434912</v>
      </c>
      <c r="E13" s="104">
        <v>278008</v>
      </c>
      <c r="F13" s="104">
        <v>90895</v>
      </c>
      <c r="G13" s="104">
        <v>70143</v>
      </c>
      <c r="H13" s="104">
        <v>76577</v>
      </c>
      <c r="I13" s="104">
        <v>238549</v>
      </c>
      <c r="J13" s="104">
        <v>371235</v>
      </c>
      <c r="K13" s="104">
        <v>295161</v>
      </c>
      <c r="L13" s="104">
        <v>318184</v>
      </c>
      <c r="M13" s="104">
        <v>297355</v>
      </c>
      <c r="N13" s="104">
        <v>260661</v>
      </c>
    </row>
    <row r="14" spans="2:14" ht="33.75" customHeight="1" x14ac:dyDescent="0.2">
      <c r="B14" s="149" t="s">
        <v>180</v>
      </c>
      <c r="C14" s="104">
        <v>239911</v>
      </c>
      <c r="D14" s="104">
        <v>247692</v>
      </c>
      <c r="E14" s="104">
        <v>242350</v>
      </c>
      <c r="F14" s="104">
        <v>282564</v>
      </c>
      <c r="G14" s="104">
        <v>272836</v>
      </c>
      <c r="H14" s="104">
        <v>362809</v>
      </c>
      <c r="I14" s="104">
        <v>454598</v>
      </c>
      <c r="J14" s="104">
        <v>470109</v>
      </c>
      <c r="K14" s="104">
        <v>458455</v>
      </c>
      <c r="L14" s="104">
        <v>444199</v>
      </c>
      <c r="M14" s="104">
        <v>374528</v>
      </c>
      <c r="N14" s="104">
        <v>256419</v>
      </c>
    </row>
    <row r="15" spans="2:14" ht="33.75" customHeight="1" x14ac:dyDescent="0.2">
      <c r="B15" s="165" t="s">
        <v>181</v>
      </c>
      <c r="C15" s="104">
        <v>206479</v>
      </c>
      <c r="D15" s="104">
        <v>244783</v>
      </c>
      <c r="E15" s="104">
        <v>316387</v>
      </c>
      <c r="F15" s="104">
        <v>353545</v>
      </c>
      <c r="G15" s="104">
        <v>452426</v>
      </c>
      <c r="H15" s="104">
        <v>581939</v>
      </c>
      <c r="I15" s="104">
        <v>601486</v>
      </c>
      <c r="J15" s="104">
        <v>639044</v>
      </c>
      <c r="K15" s="104">
        <v>590677</v>
      </c>
      <c r="L15" s="104">
        <v>522652</v>
      </c>
      <c r="M15" s="104"/>
      <c r="N15" s="104"/>
    </row>
    <row r="16" spans="2:14" ht="21" thickBot="1" x14ac:dyDescent="0.35">
      <c r="C16" s="426" t="s">
        <v>182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28.5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527344.76260000002</v>
      </c>
      <c r="M19" s="104">
        <v>542887.95270000002</v>
      </c>
      <c r="N19" s="104">
        <v>530789.10450000002</v>
      </c>
    </row>
    <row r="20" spans="2:14" ht="26.25" customHeight="1" x14ac:dyDescent="0.2">
      <c r="B20" s="107" t="s">
        <v>175</v>
      </c>
      <c r="C20" s="104">
        <v>577599.26069999998</v>
      </c>
      <c r="D20" s="104">
        <v>549500.304</v>
      </c>
      <c r="E20" s="104">
        <v>437038.73300000001</v>
      </c>
      <c r="F20" s="104">
        <v>498381.28909999994</v>
      </c>
      <c r="G20" s="104">
        <v>567710.58700000006</v>
      </c>
      <c r="H20" s="104">
        <v>626665.41229999997</v>
      </c>
      <c r="I20" s="104">
        <v>732996.54229999997</v>
      </c>
      <c r="J20" s="104">
        <v>807380.11509999994</v>
      </c>
      <c r="K20" s="104">
        <v>765103.69790000003</v>
      </c>
      <c r="L20" s="104">
        <v>674808.60869999998</v>
      </c>
      <c r="M20" s="104">
        <v>636029.23249999993</v>
      </c>
      <c r="N20" s="104">
        <v>575999.90890000004</v>
      </c>
    </row>
    <row r="21" spans="2:14" ht="28.5" customHeight="1" x14ac:dyDescent="0.2">
      <c r="B21" s="112" t="s">
        <v>176</v>
      </c>
      <c r="C21" s="104">
        <v>565777.06310000003</v>
      </c>
      <c r="D21" s="104">
        <v>589465.87030000007</v>
      </c>
      <c r="E21" s="104">
        <v>559348.96649999998</v>
      </c>
      <c r="F21" s="104">
        <v>706566.82740000007</v>
      </c>
      <c r="G21" s="104">
        <v>750048.77370000002</v>
      </c>
      <c r="H21" s="104">
        <v>823657.03619999997</v>
      </c>
      <c r="I21" s="104">
        <v>863911.20730000001</v>
      </c>
      <c r="J21" s="104">
        <v>948371.73810000008</v>
      </c>
      <c r="K21" s="104">
        <v>870086.49040000001</v>
      </c>
      <c r="L21" s="104">
        <v>828237.32940000005</v>
      </c>
      <c r="M21" s="104">
        <v>728226.36450000003</v>
      </c>
      <c r="N21" s="104">
        <v>620794.43210000009</v>
      </c>
    </row>
    <row r="22" spans="2:14" ht="30" customHeight="1" x14ac:dyDescent="0.2">
      <c r="B22" s="108" t="s">
        <v>177</v>
      </c>
      <c r="C22" s="104">
        <v>629018.45440000005</v>
      </c>
      <c r="D22" s="104">
        <v>609232.05440000002</v>
      </c>
      <c r="E22" s="104">
        <v>564099.54039999994</v>
      </c>
      <c r="F22" s="104">
        <v>625412.74040000001</v>
      </c>
      <c r="G22" s="104">
        <v>591310.6496</v>
      </c>
      <c r="H22" s="104">
        <v>627578.14100000006</v>
      </c>
      <c r="I22" s="104">
        <v>723790.51</v>
      </c>
      <c r="J22" s="104">
        <v>756208.25020000001</v>
      </c>
      <c r="K22" s="104">
        <v>734211.55240000004</v>
      </c>
      <c r="L22" s="104">
        <v>634725.01650000003</v>
      </c>
      <c r="M22" s="104">
        <v>492313.53600000002</v>
      </c>
      <c r="N22" s="104">
        <v>430486.08379999996</v>
      </c>
    </row>
    <row r="23" spans="2:14" ht="32.25" customHeight="1" x14ac:dyDescent="0.2">
      <c r="B23" s="118" t="s">
        <v>178</v>
      </c>
      <c r="C23" s="104">
        <v>417767.50199999998</v>
      </c>
      <c r="D23" s="104">
        <v>437511.45040000003</v>
      </c>
      <c r="E23" s="104">
        <v>422948.91399999999</v>
      </c>
      <c r="F23" s="104">
        <v>483026.4265</v>
      </c>
      <c r="G23" s="104">
        <v>494466.65997999994</v>
      </c>
      <c r="H23" s="104">
        <v>589026.66199500009</v>
      </c>
      <c r="I23" s="104">
        <v>597445.77220000012</v>
      </c>
      <c r="J23" s="104">
        <v>624719.21129500004</v>
      </c>
      <c r="K23" s="104">
        <v>662255.2733900001</v>
      </c>
      <c r="L23" s="104">
        <v>572138.68634500005</v>
      </c>
      <c r="M23" s="104">
        <v>536725.71495000005</v>
      </c>
      <c r="N23" s="104">
        <v>473017.45039999997</v>
      </c>
    </row>
    <row r="24" spans="2:14" ht="32.25" customHeight="1" x14ac:dyDescent="0.2">
      <c r="B24" s="147" t="s">
        <v>179</v>
      </c>
      <c r="C24" s="104">
        <v>445089.4596</v>
      </c>
      <c r="D24" s="104">
        <v>464838.33001999994</v>
      </c>
      <c r="E24" s="104">
        <v>310234.47700000001</v>
      </c>
      <c r="F24" s="104">
        <v>132086.1189</v>
      </c>
      <c r="G24" s="104">
        <v>81934.237999999998</v>
      </c>
      <c r="H24" s="104">
        <v>88016.122900000017</v>
      </c>
      <c r="I24" s="104">
        <v>290744.43883500004</v>
      </c>
      <c r="J24" s="104">
        <v>372885.53719999996</v>
      </c>
      <c r="K24" s="104">
        <v>328998.32740000001</v>
      </c>
      <c r="L24" s="104">
        <v>350713.83590000001</v>
      </c>
      <c r="M24" s="104">
        <v>329624.08839999995</v>
      </c>
      <c r="N24" s="104">
        <v>294931.19809999998</v>
      </c>
    </row>
    <row r="25" spans="2:14" ht="32.25" customHeight="1" x14ac:dyDescent="0.2">
      <c r="B25" s="149" t="s">
        <v>180</v>
      </c>
      <c r="C25" s="104">
        <v>274561.56439999997</v>
      </c>
      <c r="D25" s="104">
        <v>283692.47039999999</v>
      </c>
      <c r="E25" s="104">
        <v>278888.13439999998</v>
      </c>
      <c r="F25" s="104">
        <v>318224.91959999996</v>
      </c>
      <c r="G25" s="104">
        <v>309500.67789999995</v>
      </c>
      <c r="H25" s="104">
        <v>396582.05849999998</v>
      </c>
      <c r="I25" s="104">
        <v>498105.10527500004</v>
      </c>
      <c r="J25" s="104">
        <v>506423.32253</v>
      </c>
      <c r="K25" s="104">
        <v>486424.27340000001</v>
      </c>
      <c r="L25" s="104">
        <v>473503.95079999999</v>
      </c>
      <c r="M25" s="104">
        <v>403992.3469</v>
      </c>
      <c r="N25" s="104">
        <v>289205.48600000003</v>
      </c>
    </row>
    <row r="26" spans="2:14" ht="32.25" customHeight="1" x14ac:dyDescent="0.2">
      <c r="B26" s="165" t="s">
        <v>181</v>
      </c>
      <c r="C26" s="104">
        <v>240995.18219999998</v>
      </c>
      <c r="D26" s="104">
        <v>278597.25799999997</v>
      </c>
      <c r="E26" s="104">
        <v>348747.65639999998</v>
      </c>
      <c r="F26" s="104">
        <v>387220.18520000001</v>
      </c>
      <c r="G26" s="104">
        <v>491171.98007499997</v>
      </c>
      <c r="H26" s="104">
        <v>632956.33517999994</v>
      </c>
      <c r="I26" s="104">
        <v>654067.56801500008</v>
      </c>
      <c r="J26" s="104">
        <v>689650.40789999999</v>
      </c>
      <c r="K26" s="104">
        <v>638754.70409500005</v>
      </c>
      <c r="L26" s="84">
        <v>550972.29053</v>
      </c>
      <c r="M26" s="104"/>
      <c r="N26" s="104"/>
    </row>
    <row r="32" spans="2:14" ht="16.5" customHeight="1" x14ac:dyDescent="0.2"/>
    <row r="33" ht="15.75" customHeight="1" x14ac:dyDescent="0.2"/>
  </sheetData>
  <mergeCells count="4">
    <mergeCell ref="C5:N5"/>
    <mergeCell ref="C16:N16"/>
    <mergeCell ref="C8:K8"/>
    <mergeCell ref="C19:K19"/>
  </mergeCells>
  <pageMargins left="0.7" right="0.7" top="0.75" bottom="0.75" header="0.3" footer="0.3"/>
  <pageSetup paperSize="9" scale="58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4:O32"/>
  <sheetViews>
    <sheetView topLeftCell="A14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183</v>
      </c>
      <c r="D5" s="432"/>
      <c r="E5" s="432"/>
      <c r="F5" s="432"/>
      <c r="G5" s="432"/>
      <c r="H5" s="432"/>
      <c r="I5" s="432"/>
      <c r="J5" s="432"/>
      <c r="K5" s="432"/>
      <c r="L5" s="432"/>
      <c r="M5" s="432"/>
      <c r="N5" s="433"/>
    </row>
    <row r="6" spans="2:14" ht="21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/>
      <c r="M8" s="104">
        <v>3298</v>
      </c>
      <c r="N8" s="104">
        <v>3866</v>
      </c>
    </row>
    <row r="9" spans="2:14" ht="39" customHeight="1" x14ac:dyDescent="0.2">
      <c r="B9" s="107" t="s">
        <v>175</v>
      </c>
      <c r="C9" s="104">
        <v>4094</v>
      </c>
      <c r="D9" s="104">
        <v>3691</v>
      </c>
      <c r="E9" s="104">
        <v>3917</v>
      </c>
      <c r="F9" s="104">
        <v>4785</v>
      </c>
      <c r="G9" s="104">
        <v>5213</v>
      </c>
      <c r="H9" s="104">
        <v>4103</v>
      </c>
      <c r="I9" s="104">
        <v>5622</v>
      </c>
      <c r="J9" s="104">
        <v>6568</v>
      </c>
      <c r="K9" s="104">
        <v>4813</v>
      </c>
      <c r="L9" s="104">
        <v>6088</v>
      </c>
      <c r="M9" s="104">
        <v>4819</v>
      </c>
      <c r="N9" s="104">
        <v>5252</v>
      </c>
    </row>
    <row r="10" spans="2:14" ht="36" customHeight="1" x14ac:dyDescent="0.2">
      <c r="B10" s="112" t="s">
        <v>176</v>
      </c>
      <c r="C10" s="104">
        <v>5132</v>
      </c>
      <c r="D10" s="104">
        <v>4589</v>
      </c>
      <c r="E10" s="104">
        <v>6190</v>
      </c>
      <c r="F10" s="104">
        <v>6170</v>
      </c>
      <c r="G10" s="104">
        <v>5980</v>
      </c>
      <c r="H10" s="104">
        <v>6097.8</v>
      </c>
      <c r="I10" s="104">
        <v>7050</v>
      </c>
      <c r="J10" s="104">
        <v>8050</v>
      </c>
      <c r="K10" s="104">
        <v>6678</v>
      </c>
      <c r="L10" s="104">
        <v>6859</v>
      </c>
      <c r="M10" s="104">
        <v>5960</v>
      </c>
      <c r="N10" s="104">
        <v>5210.0999999999985</v>
      </c>
    </row>
    <row r="11" spans="2:14" ht="36.75" customHeight="1" x14ac:dyDescent="0.2">
      <c r="B11" s="108" t="s">
        <v>177</v>
      </c>
      <c r="C11" s="104">
        <v>5598.9000000000015</v>
      </c>
      <c r="D11" s="104">
        <v>5297</v>
      </c>
      <c r="E11" s="104">
        <v>5857</v>
      </c>
      <c r="F11" s="104">
        <v>6284</v>
      </c>
      <c r="G11" s="104">
        <v>5500</v>
      </c>
      <c r="H11" s="104">
        <v>5583.8000000000029</v>
      </c>
      <c r="I11" s="104">
        <v>6266.8999999999942</v>
      </c>
      <c r="J11" s="104">
        <v>6178.3000000000029</v>
      </c>
      <c r="K11" s="104">
        <v>6144.5</v>
      </c>
      <c r="L11" s="104">
        <v>6117.5</v>
      </c>
      <c r="M11" s="104">
        <v>5023</v>
      </c>
      <c r="N11" s="104">
        <v>4767.8</v>
      </c>
    </row>
    <row r="12" spans="2:14" ht="33.75" customHeight="1" x14ac:dyDescent="0.2">
      <c r="B12" s="118" t="s">
        <v>178</v>
      </c>
      <c r="C12" s="104">
        <v>5044.8</v>
      </c>
      <c r="D12" s="104">
        <v>5061</v>
      </c>
      <c r="E12" s="104">
        <v>5504</v>
      </c>
      <c r="F12" s="104">
        <v>5372.2999999999993</v>
      </c>
      <c r="G12" s="104">
        <v>4507.2999999999993</v>
      </c>
      <c r="H12" s="104">
        <v>5269.2000000000044</v>
      </c>
      <c r="I12" s="104">
        <v>5509.1999999999971</v>
      </c>
      <c r="J12" s="104">
        <v>5601</v>
      </c>
      <c r="K12" s="104">
        <v>5387</v>
      </c>
      <c r="L12" s="104">
        <v>6051</v>
      </c>
      <c r="M12" s="104">
        <v>5532</v>
      </c>
      <c r="N12" s="104">
        <v>5565.1999999999971</v>
      </c>
    </row>
    <row r="13" spans="2:14" ht="33.75" customHeight="1" x14ac:dyDescent="0.2">
      <c r="B13" s="147" t="s">
        <v>179</v>
      </c>
      <c r="C13" s="104">
        <v>5763.4000000000087</v>
      </c>
      <c r="D13" s="104">
        <v>5632.3999999999942</v>
      </c>
      <c r="E13" s="104">
        <v>3058.6999999999971</v>
      </c>
      <c r="F13" s="104">
        <v>714.5</v>
      </c>
      <c r="G13" s="104">
        <v>439.80000000000291</v>
      </c>
      <c r="H13" s="104">
        <v>1383.3999999999942</v>
      </c>
      <c r="I13" s="104">
        <v>3491.8000000000029</v>
      </c>
      <c r="J13" s="104">
        <v>2618.6999999999971</v>
      </c>
      <c r="K13" s="104">
        <v>1829.7000000000116</v>
      </c>
      <c r="L13" s="104">
        <v>3000</v>
      </c>
      <c r="M13" s="104">
        <v>1896</v>
      </c>
      <c r="N13" s="104">
        <v>1780.5999999999913</v>
      </c>
    </row>
    <row r="14" spans="2:14" ht="33.75" customHeight="1" x14ac:dyDescent="0.2">
      <c r="B14" s="149" t="s">
        <v>180</v>
      </c>
      <c r="C14" s="104">
        <v>2083.1999999999971</v>
      </c>
      <c r="D14" s="104">
        <v>2115.3000000000029</v>
      </c>
      <c r="E14" s="104">
        <v>2406.3000000000029</v>
      </c>
      <c r="F14" s="104">
        <v>2166.1999999999971</v>
      </c>
      <c r="G14" s="104">
        <v>2527.1999999999971</v>
      </c>
      <c r="H14" s="104">
        <v>2925.2000000000116</v>
      </c>
      <c r="I14" s="104">
        <v>3819.2999999999884</v>
      </c>
      <c r="J14" s="104">
        <v>3510.1000000000058</v>
      </c>
      <c r="K14" s="104">
        <v>3086.1999999999971</v>
      </c>
      <c r="L14" s="104">
        <v>3330.5</v>
      </c>
      <c r="M14" s="104">
        <v>2932.1999999999971</v>
      </c>
      <c r="N14" s="104">
        <v>2091.1000000000058</v>
      </c>
    </row>
    <row r="15" spans="2:14" ht="33.75" customHeight="1" x14ac:dyDescent="0.2">
      <c r="B15" s="165" t="s">
        <v>181</v>
      </c>
      <c r="C15" s="104">
        <v>1595.1000000000058</v>
      </c>
      <c r="D15" s="104">
        <v>2215.8999999999942</v>
      </c>
      <c r="E15" s="104">
        <v>3842</v>
      </c>
      <c r="F15" s="104">
        <v>3393</v>
      </c>
      <c r="G15" s="104">
        <v>4551.1000000000058</v>
      </c>
      <c r="H15" s="104">
        <v>4938.8999999999942</v>
      </c>
      <c r="I15" s="104">
        <v>5359</v>
      </c>
      <c r="J15" s="104">
        <v>5198.3999999999942</v>
      </c>
      <c r="K15" s="104">
        <v>4320.6000000000058</v>
      </c>
      <c r="L15" s="104">
        <v>3767.6000000000058</v>
      </c>
      <c r="M15" s="104"/>
      <c r="N15" s="104"/>
    </row>
    <row r="16" spans="2:14" ht="21" thickBot="1" x14ac:dyDescent="0.35">
      <c r="C16" s="426" t="s">
        <v>184</v>
      </c>
      <c r="D16" s="434"/>
      <c r="E16" s="434"/>
      <c r="F16" s="434"/>
      <c r="G16" s="434"/>
      <c r="H16" s="434"/>
      <c r="I16" s="434"/>
      <c r="J16" s="434"/>
      <c r="K16" s="434"/>
      <c r="L16" s="434"/>
      <c r="M16" s="434"/>
      <c r="N16" s="435"/>
    </row>
    <row r="18" spans="2:15" ht="18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5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/>
      <c r="M19" s="104">
        <v>43165.84</v>
      </c>
      <c r="N19" s="104">
        <v>50595.28</v>
      </c>
    </row>
    <row r="20" spans="2:15" ht="31.5" customHeight="1" x14ac:dyDescent="0.2">
      <c r="B20" s="107" t="s">
        <v>175</v>
      </c>
      <c r="C20" s="104">
        <v>53565.520000000004</v>
      </c>
      <c r="D20" s="104">
        <v>48294.28</v>
      </c>
      <c r="E20" s="104">
        <v>51250.36</v>
      </c>
      <c r="F20" s="104">
        <v>62603.8</v>
      </c>
      <c r="G20" s="104">
        <v>68202.040000000008</v>
      </c>
      <c r="H20" s="104">
        <v>53683.240000000005</v>
      </c>
      <c r="I20" s="104">
        <v>73551.760000000009</v>
      </c>
      <c r="J20" s="104">
        <v>85925.440000000002</v>
      </c>
      <c r="K20" s="104">
        <v>57158.52</v>
      </c>
      <c r="L20" s="104">
        <v>67234.52</v>
      </c>
      <c r="M20" s="104">
        <v>53224.76</v>
      </c>
      <c r="N20" s="104">
        <v>58005.08</v>
      </c>
    </row>
    <row r="21" spans="2:15" ht="34.5" customHeight="1" x14ac:dyDescent="0.2">
      <c r="B21" s="112" t="s">
        <v>176</v>
      </c>
      <c r="C21" s="104">
        <v>56680.28</v>
      </c>
      <c r="D21" s="104">
        <v>50685.56</v>
      </c>
      <c r="E21" s="104">
        <v>68360.600000000006</v>
      </c>
      <c r="F21" s="104">
        <v>68139.8</v>
      </c>
      <c r="G21" s="104">
        <v>66042.2</v>
      </c>
      <c r="H21" s="104">
        <v>67342.712</v>
      </c>
      <c r="I21" s="104">
        <v>77855</v>
      </c>
      <c r="J21" s="104">
        <v>88895</v>
      </c>
      <c r="K21" s="104">
        <v>73748.12</v>
      </c>
      <c r="L21" s="104">
        <v>75746.36</v>
      </c>
      <c r="M21" s="104">
        <v>65821.399999999994</v>
      </c>
      <c r="N21" s="104">
        <v>57542.503999999986</v>
      </c>
    </row>
    <row r="22" spans="2:15" ht="36" customHeight="1" x14ac:dyDescent="0.2">
      <c r="B22" s="108" t="s">
        <v>177</v>
      </c>
      <c r="C22" s="104">
        <v>61834.856000000014</v>
      </c>
      <c r="D22" s="104">
        <v>58501.880000000005</v>
      </c>
      <c r="E22" s="104">
        <v>64684.28</v>
      </c>
      <c r="F22" s="104">
        <v>69398.36</v>
      </c>
      <c r="G22" s="104">
        <v>60743</v>
      </c>
      <c r="H22" s="104">
        <v>61668.152000000031</v>
      </c>
      <c r="I22" s="104">
        <v>69209.575999999943</v>
      </c>
      <c r="J22" s="104">
        <v>68231.43200000003</v>
      </c>
      <c r="K22" s="104">
        <v>67858.28</v>
      </c>
      <c r="L22" s="104">
        <v>67560.2</v>
      </c>
      <c r="M22" s="104">
        <v>55476.92</v>
      </c>
      <c r="N22" s="104">
        <v>52659.512000000002</v>
      </c>
    </row>
    <row r="23" spans="2:15" ht="32.25" customHeight="1" x14ac:dyDescent="0.2">
      <c r="B23" s="118" t="s">
        <v>178</v>
      </c>
      <c r="C23" s="104">
        <v>55717.592000000004</v>
      </c>
      <c r="D23" s="104">
        <v>57718.399999999994</v>
      </c>
      <c r="E23" s="104">
        <v>62768.599999999991</v>
      </c>
      <c r="F23" s="104">
        <v>61267.219999999987</v>
      </c>
      <c r="G23" s="104">
        <v>51406.219999999987</v>
      </c>
      <c r="H23" s="104">
        <v>60091.880000000041</v>
      </c>
      <c r="I23" s="104">
        <v>62827.879999999961</v>
      </c>
      <c r="J23" s="104">
        <v>63874.400000000001</v>
      </c>
      <c r="K23" s="104">
        <v>61434.799999999996</v>
      </c>
      <c r="L23" s="104">
        <v>69004.399999999994</v>
      </c>
      <c r="M23" s="104">
        <v>63087.799999999996</v>
      </c>
      <c r="N23" s="104">
        <v>63466.279999999962</v>
      </c>
    </row>
    <row r="24" spans="2:15" ht="32.25" customHeight="1" x14ac:dyDescent="0.2">
      <c r="B24" s="147" t="s">
        <v>179</v>
      </c>
      <c r="C24" s="104">
        <v>65725.760000000097</v>
      </c>
      <c r="D24" s="104">
        <v>64232.359999999928</v>
      </c>
      <c r="E24" s="104">
        <v>34892.179999999964</v>
      </c>
      <c r="F24" s="104">
        <v>8168.2999999999993</v>
      </c>
      <c r="G24" s="104">
        <v>5036.7200000000321</v>
      </c>
      <c r="H24" s="104">
        <v>15793.759999999933</v>
      </c>
      <c r="I24" s="104">
        <v>39829.519999999997</v>
      </c>
      <c r="J24" s="104">
        <v>29876.179999999964</v>
      </c>
      <c r="K24" s="104">
        <v>20881.580000000129</v>
      </c>
      <c r="L24" s="104">
        <v>34223</v>
      </c>
      <c r="M24" s="104">
        <v>21637.4</v>
      </c>
      <c r="N24" s="104">
        <v>20321.839999999898</v>
      </c>
    </row>
    <row r="25" spans="2:15" ht="32.25" customHeight="1" x14ac:dyDescent="0.2">
      <c r="B25" s="149" t="s">
        <v>180</v>
      </c>
      <c r="C25" s="104">
        <v>23771.479999999963</v>
      </c>
      <c r="D25" s="104">
        <v>24137.420000000031</v>
      </c>
      <c r="E25" s="104">
        <v>27454.820000000029</v>
      </c>
      <c r="F25" s="104">
        <v>24717.679999999964</v>
      </c>
      <c r="G25" s="104">
        <v>28833.079999999962</v>
      </c>
      <c r="H25" s="104">
        <v>33370.28000000013</v>
      </c>
      <c r="I25" s="104">
        <v>43563.019999999866</v>
      </c>
      <c r="J25" s="104">
        <v>40038.140000000065</v>
      </c>
      <c r="K25" s="104">
        <v>35205.679999999964</v>
      </c>
      <c r="L25" s="104">
        <v>37990.699999999997</v>
      </c>
      <c r="M25" s="104">
        <v>33450.079999999965</v>
      </c>
      <c r="N25" s="104">
        <v>23861.540000000066</v>
      </c>
    </row>
    <row r="26" spans="2:15" ht="32.25" customHeight="1" x14ac:dyDescent="0.2">
      <c r="B26" s="165" t="s">
        <v>181</v>
      </c>
      <c r="C26" s="104">
        <v>18207.140000000065</v>
      </c>
      <c r="D26" s="104">
        <v>25284.259999999933</v>
      </c>
      <c r="E26" s="104">
        <v>43821.8</v>
      </c>
      <c r="F26" s="104">
        <v>38703.199999999997</v>
      </c>
      <c r="G26" s="104">
        <v>51905.540000000059</v>
      </c>
      <c r="H26" s="104">
        <v>56326.459999999934</v>
      </c>
      <c r="I26" s="104">
        <v>61115.599999999991</v>
      </c>
      <c r="J26" s="104">
        <v>59284.759999999929</v>
      </c>
      <c r="K26" s="104">
        <v>49277.840000000055</v>
      </c>
      <c r="L26" s="104">
        <v>42973.640000000065</v>
      </c>
      <c r="M26" s="104"/>
      <c r="N26" s="104"/>
    </row>
    <row r="31" spans="2:15" ht="16.5" customHeight="1" x14ac:dyDescent="0.2">
      <c r="O31" t="s">
        <v>18</v>
      </c>
    </row>
    <row r="32" spans="2:15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B4:N32"/>
  <sheetViews>
    <sheetView topLeftCell="A18" zoomScaleNormal="100" workbookViewId="0">
      <selection activeCell="L26" sqref="L26"/>
    </sheetView>
  </sheetViews>
  <sheetFormatPr baseColWidth="10" defaultColWidth="14.140625" defaultRowHeight="12.75" x14ac:dyDescent="0.2"/>
  <cols>
    <col min="1" max="1" width="8" customWidth="1"/>
    <col min="2" max="2" width="20.28515625" customWidth="1"/>
  </cols>
  <sheetData>
    <row r="4" spans="2:14" ht="13.5" thickBot="1" x14ac:dyDescent="0.25"/>
    <row r="5" spans="2:14" ht="21" thickBot="1" x14ac:dyDescent="0.35">
      <c r="C5" s="423" t="s">
        <v>185</v>
      </c>
      <c r="D5" s="424"/>
      <c r="E5" s="424"/>
      <c r="F5" s="424"/>
      <c r="G5" s="424"/>
      <c r="H5" s="424"/>
      <c r="I5" s="424"/>
      <c r="J5" s="424"/>
      <c r="K5" s="424"/>
      <c r="L5" s="424"/>
      <c r="M5" s="424"/>
      <c r="N5" s="425"/>
    </row>
    <row r="6" spans="2:14" ht="23.25" customHeight="1" x14ac:dyDescent="0.2"/>
    <row r="7" spans="2:14" x14ac:dyDescent="0.2">
      <c r="C7" s="105" t="s">
        <v>162</v>
      </c>
      <c r="D7" s="105" t="s">
        <v>163</v>
      </c>
      <c r="E7" s="105" t="s">
        <v>164</v>
      </c>
      <c r="F7" s="105" t="s">
        <v>165</v>
      </c>
      <c r="G7" s="105" t="s">
        <v>166</v>
      </c>
      <c r="H7" s="105" t="s">
        <v>167</v>
      </c>
      <c r="I7" s="105" t="s">
        <v>168</v>
      </c>
      <c r="J7" s="105" t="s">
        <v>169</v>
      </c>
      <c r="K7" s="105" t="s">
        <v>170</v>
      </c>
      <c r="L7" s="105" t="s">
        <v>171</v>
      </c>
      <c r="M7" s="105" t="s">
        <v>172</v>
      </c>
      <c r="N7" s="105" t="s">
        <v>173</v>
      </c>
    </row>
    <row r="8" spans="2:14" ht="33.75" customHeight="1" x14ac:dyDescent="0.2">
      <c r="B8" s="106" t="s">
        <v>174</v>
      </c>
      <c r="C8" s="429"/>
      <c r="D8" s="430"/>
      <c r="E8" s="430"/>
      <c r="F8" s="430"/>
      <c r="G8" s="430"/>
      <c r="H8" s="430"/>
      <c r="I8" s="430"/>
      <c r="J8" s="430"/>
      <c r="K8" s="431"/>
      <c r="L8" s="104">
        <v>19365</v>
      </c>
      <c r="M8" s="104">
        <v>21235</v>
      </c>
      <c r="N8" s="104">
        <v>34053</v>
      </c>
    </row>
    <row r="9" spans="2:14" ht="35.25" customHeight="1" x14ac:dyDescent="0.2">
      <c r="B9" s="107" t="s">
        <v>175</v>
      </c>
      <c r="C9" s="104">
        <v>23598</v>
      </c>
      <c r="D9" s="104">
        <v>28302</v>
      </c>
      <c r="E9" s="104">
        <v>23000</v>
      </c>
      <c r="F9" s="104">
        <v>28601</v>
      </c>
      <c r="G9" s="104">
        <v>24612</v>
      </c>
      <c r="H9" s="104">
        <v>16695</v>
      </c>
      <c r="I9" s="104">
        <v>10756</v>
      </c>
      <c r="J9" s="104">
        <v>14749</v>
      </c>
      <c r="K9" s="104">
        <v>18297</v>
      </c>
      <c r="L9" s="104">
        <v>20801</v>
      </c>
      <c r="M9" s="104">
        <v>22927</v>
      </c>
      <c r="N9" s="104">
        <v>38265</v>
      </c>
    </row>
    <row r="10" spans="2:14" ht="32.25" customHeight="1" x14ac:dyDescent="0.2">
      <c r="B10" s="112" t="s">
        <v>176</v>
      </c>
      <c r="C10" s="104">
        <v>39843</v>
      </c>
      <c r="D10" s="104">
        <v>27644</v>
      </c>
      <c r="E10" s="104">
        <v>31207</v>
      </c>
      <c r="F10" s="104">
        <v>34231</v>
      </c>
      <c r="G10" s="104">
        <v>21149.420000000002</v>
      </c>
      <c r="H10" s="104">
        <v>19502</v>
      </c>
      <c r="I10" s="104">
        <v>22293</v>
      </c>
      <c r="J10" s="104">
        <v>21244</v>
      </c>
      <c r="K10" s="104">
        <v>20201</v>
      </c>
      <c r="L10" s="104">
        <v>21000</v>
      </c>
      <c r="M10" s="104">
        <v>30135</v>
      </c>
      <c r="N10" s="104">
        <v>28841</v>
      </c>
    </row>
    <row r="11" spans="2:14" ht="34.5" customHeight="1" x14ac:dyDescent="0.2">
      <c r="B11" s="108" t="s">
        <v>177</v>
      </c>
      <c r="C11" s="104">
        <v>33210.620000000003</v>
      </c>
      <c r="D11" s="104">
        <v>27328.669000000002</v>
      </c>
      <c r="E11" s="104">
        <v>22296.292000000001</v>
      </c>
      <c r="F11" s="104">
        <v>18205.006000000001</v>
      </c>
      <c r="G11" s="104">
        <v>16641.811000000002</v>
      </c>
      <c r="H11" s="104">
        <v>17087.758000000002</v>
      </c>
      <c r="I11" s="104">
        <v>13220.239000000001</v>
      </c>
      <c r="J11" s="104">
        <v>15457.909000000001</v>
      </c>
      <c r="K11" s="104">
        <v>10651.944000000001</v>
      </c>
      <c r="L11" s="104">
        <v>13951.846000000001</v>
      </c>
      <c r="M11" s="104">
        <v>24676.263000000003</v>
      </c>
      <c r="N11" s="104">
        <v>21781.575000000001</v>
      </c>
    </row>
    <row r="12" spans="2:14" ht="36.75" customHeight="1" x14ac:dyDescent="0.2">
      <c r="B12" s="118" t="s">
        <v>178</v>
      </c>
      <c r="C12" s="104">
        <v>26669.535</v>
      </c>
      <c r="D12" s="104">
        <v>26601.294000000002</v>
      </c>
      <c r="E12" s="104">
        <v>23114.126</v>
      </c>
      <c r="F12" s="104">
        <v>20873.811000000002</v>
      </c>
      <c r="G12" s="104">
        <v>14596.168000000001</v>
      </c>
      <c r="H12" s="104">
        <v>10659.35</v>
      </c>
      <c r="I12" s="104">
        <v>18584.299000000003</v>
      </c>
      <c r="J12" s="104">
        <v>10559.897999999999</v>
      </c>
      <c r="K12" s="104">
        <v>8546.5240000000013</v>
      </c>
      <c r="L12" s="104">
        <v>17517.306</v>
      </c>
      <c r="M12" s="104">
        <v>20452.198</v>
      </c>
      <c r="N12" s="104">
        <v>27341.365000000002</v>
      </c>
    </row>
    <row r="13" spans="2:14" ht="36.75" customHeight="1" x14ac:dyDescent="0.2">
      <c r="B13" s="147" t="s">
        <v>179</v>
      </c>
      <c r="C13" s="104">
        <v>30735.958000000002</v>
      </c>
      <c r="D13" s="104">
        <v>21724.442999999999</v>
      </c>
      <c r="E13" s="104">
        <v>11128.573</v>
      </c>
      <c r="F13" s="104">
        <v>4506.0219999999999</v>
      </c>
      <c r="G13" s="104">
        <v>0</v>
      </c>
      <c r="H13" s="104">
        <v>2998.3720000000003</v>
      </c>
      <c r="I13" s="104">
        <v>8663.5590000000011</v>
      </c>
      <c r="J13" s="104">
        <v>4731.9050000000007</v>
      </c>
      <c r="K13" s="104">
        <v>4832.415</v>
      </c>
      <c r="L13" s="104">
        <v>13092.221000000001</v>
      </c>
      <c r="M13" s="104">
        <v>17284.017</v>
      </c>
      <c r="N13" s="104">
        <v>16432.856</v>
      </c>
    </row>
    <row r="14" spans="2:14" ht="36.75" customHeight="1" x14ac:dyDescent="0.2">
      <c r="B14" s="149" t="s">
        <v>180</v>
      </c>
      <c r="C14" s="104">
        <v>16222.314</v>
      </c>
      <c r="D14" s="104">
        <v>13578.901</v>
      </c>
      <c r="E14" s="104">
        <v>18500.717000000001</v>
      </c>
      <c r="F14" s="104">
        <v>11555.476000000001</v>
      </c>
      <c r="G14" s="104">
        <v>10801.651</v>
      </c>
      <c r="H14" s="104">
        <v>13800.552000000001</v>
      </c>
      <c r="I14" s="104">
        <v>9448.469000000001</v>
      </c>
      <c r="J14" s="104">
        <v>8828.4809999999998</v>
      </c>
      <c r="K14" s="104">
        <v>11498.344000000001</v>
      </c>
      <c r="L14" s="104">
        <v>11280.396000000001</v>
      </c>
      <c r="M14" s="104">
        <v>20677.552</v>
      </c>
      <c r="N14" s="104">
        <v>12106.165000000001</v>
      </c>
    </row>
    <row r="15" spans="2:14" ht="36.75" customHeight="1" x14ac:dyDescent="0.2">
      <c r="B15" s="165" t="s">
        <v>181</v>
      </c>
      <c r="C15" s="104">
        <v>8859.1630000000005</v>
      </c>
      <c r="D15" s="104">
        <v>13938.621000000001</v>
      </c>
      <c r="E15" s="104">
        <v>316387</v>
      </c>
      <c r="F15" s="104">
        <v>23168.613000000001</v>
      </c>
      <c r="G15" s="104">
        <v>13780.45</v>
      </c>
      <c r="H15" s="104">
        <v>4938.8999999999942</v>
      </c>
      <c r="I15" s="104">
        <v>6726.2350000000006</v>
      </c>
      <c r="J15" s="104">
        <v>9206.7160000000003</v>
      </c>
      <c r="K15" s="104">
        <v>11550.186</v>
      </c>
      <c r="L15" s="104">
        <v>10799.535</v>
      </c>
      <c r="M15" s="104"/>
      <c r="N15" s="104"/>
    </row>
    <row r="16" spans="2:14" ht="21" thickBot="1" x14ac:dyDescent="0.35">
      <c r="C16" s="426" t="s">
        <v>186</v>
      </c>
      <c r="D16" s="427"/>
      <c r="E16" s="427"/>
      <c r="F16" s="427"/>
      <c r="G16" s="427"/>
      <c r="H16" s="427"/>
      <c r="I16" s="427"/>
      <c r="J16" s="427"/>
      <c r="K16" s="427"/>
      <c r="L16" s="427"/>
      <c r="M16" s="427"/>
      <c r="N16" s="428"/>
    </row>
    <row r="18" spans="2:14" ht="17.25" customHeight="1" x14ac:dyDescent="0.2">
      <c r="C18" s="105" t="s">
        <v>162</v>
      </c>
      <c r="D18" s="105" t="s">
        <v>163</v>
      </c>
      <c r="E18" s="105" t="s">
        <v>164</v>
      </c>
      <c r="F18" s="105" t="s">
        <v>165</v>
      </c>
      <c r="G18" s="105" t="s">
        <v>166</v>
      </c>
      <c r="H18" s="105" t="s">
        <v>167</v>
      </c>
      <c r="I18" s="105" t="s">
        <v>168</v>
      </c>
      <c r="J18" s="105" t="s">
        <v>169</v>
      </c>
      <c r="K18" s="105" t="s">
        <v>170</v>
      </c>
      <c r="L18" s="105" t="s">
        <v>171</v>
      </c>
      <c r="M18" s="105" t="s">
        <v>172</v>
      </c>
      <c r="N18" s="105" t="s">
        <v>173</v>
      </c>
    </row>
    <row r="19" spans="2:14" ht="30" customHeight="1" x14ac:dyDescent="0.2">
      <c r="B19" s="106" t="s">
        <v>174</v>
      </c>
      <c r="C19" s="429"/>
      <c r="D19" s="430"/>
      <c r="E19" s="430"/>
      <c r="F19" s="430"/>
      <c r="G19" s="430"/>
      <c r="H19" s="430"/>
      <c r="I19" s="430"/>
      <c r="J19" s="430"/>
      <c r="K19" s="431"/>
      <c r="L19" s="104">
        <v>222503.85</v>
      </c>
      <c r="M19" s="104">
        <v>248385.8</v>
      </c>
      <c r="N19" s="104">
        <v>412790.47</v>
      </c>
    </row>
    <row r="20" spans="2:14" ht="30" customHeight="1" x14ac:dyDescent="0.2">
      <c r="B20" s="107" t="s">
        <v>175</v>
      </c>
      <c r="C20" s="104">
        <v>281335.36</v>
      </c>
      <c r="D20" s="104">
        <v>329491.88</v>
      </c>
      <c r="E20" s="109">
        <v>263166</v>
      </c>
      <c r="F20" s="104">
        <v>334402.89</v>
      </c>
      <c r="G20" s="104">
        <v>287763.5</v>
      </c>
      <c r="H20" s="104">
        <v>200206.44</v>
      </c>
      <c r="I20" s="104">
        <v>128985.95</v>
      </c>
      <c r="J20" s="104">
        <v>174687.16</v>
      </c>
      <c r="K20" s="104">
        <v>221708.41</v>
      </c>
      <c r="L20" s="104">
        <v>257125.33</v>
      </c>
      <c r="M20" s="104">
        <v>290283.33</v>
      </c>
      <c r="N20" s="104">
        <v>491751.17</v>
      </c>
    </row>
    <row r="21" spans="2:14" ht="38.25" customHeight="1" x14ac:dyDescent="0.2">
      <c r="B21" s="112" t="s">
        <v>176</v>
      </c>
      <c r="C21" s="104">
        <v>534222.91</v>
      </c>
      <c r="D21" s="104">
        <v>397841.39</v>
      </c>
      <c r="E21" s="109">
        <v>463317.85</v>
      </c>
      <c r="F21" s="104">
        <v>473982.96</v>
      </c>
      <c r="G21" s="104">
        <v>288617.67497200001</v>
      </c>
      <c r="H21" s="104">
        <v>262138.08</v>
      </c>
      <c r="I21" s="104">
        <v>290959.32</v>
      </c>
      <c r="J21" s="104">
        <v>277268.19</v>
      </c>
      <c r="K21" s="104">
        <v>269109.64</v>
      </c>
      <c r="L21" s="104">
        <v>279753.59999999998</v>
      </c>
      <c r="M21" s="104">
        <v>411233.26</v>
      </c>
      <c r="N21" s="104">
        <v>393575.4632766</v>
      </c>
    </row>
    <row r="22" spans="2:14" ht="36" customHeight="1" x14ac:dyDescent="0.2">
      <c r="B22" s="108" t="s">
        <v>177</v>
      </c>
      <c r="C22" s="104">
        <v>433913.35561000003</v>
      </c>
      <c r="D22" s="104">
        <v>365261.32551950007</v>
      </c>
      <c r="E22" s="104">
        <v>291312.20312600001</v>
      </c>
      <c r="F22" s="104">
        <v>213834.17997540004</v>
      </c>
      <c r="G22" s="104">
        <v>197886.11041990001</v>
      </c>
      <c r="H22" s="104">
        <v>143537.16720000003</v>
      </c>
      <c r="I22" s="104">
        <v>111050.00760000001</v>
      </c>
      <c r="J22" s="104">
        <v>129846.43560000001</v>
      </c>
      <c r="K22" s="104">
        <v>97997.8848</v>
      </c>
      <c r="L22" s="104">
        <v>117195.50640000001</v>
      </c>
      <c r="M22" s="104">
        <v>207280.60920000004</v>
      </c>
      <c r="N22" s="104">
        <v>182965.23</v>
      </c>
    </row>
    <row r="23" spans="2:14" ht="36.75" customHeight="1" x14ac:dyDescent="0.2">
      <c r="B23" s="118" t="s">
        <v>178</v>
      </c>
      <c r="C23" s="104">
        <v>224024.09400000001</v>
      </c>
      <c r="D23" s="104">
        <v>223450.86960000003</v>
      </c>
      <c r="E23" s="104">
        <v>209182.84030000001</v>
      </c>
      <c r="F23" s="104">
        <v>188907.98955000003</v>
      </c>
      <c r="G23" s="104">
        <v>129176.0868</v>
      </c>
      <c r="H23" s="104">
        <v>94335.247499999998</v>
      </c>
      <c r="I23" s="104">
        <v>144957.53220000002</v>
      </c>
      <c r="J23" s="104">
        <v>77405.108330000003</v>
      </c>
      <c r="K23" s="104">
        <v>62646.875572400008</v>
      </c>
      <c r="L23" s="104">
        <v>128403.6047106</v>
      </c>
      <c r="M23" s="104">
        <v>149916.6565598</v>
      </c>
      <c r="N23" s="104">
        <v>217831.38909150002</v>
      </c>
    </row>
    <row r="24" spans="2:14" ht="36.75" customHeight="1" x14ac:dyDescent="0.2">
      <c r="B24" s="147" t="s">
        <v>179</v>
      </c>
      <c r="C24" s="104">
        <v>244876.45098180004</v>
      </c>
      <c r="D24" s="104">
        <v>193260.64492800002</v>
      </c>
      <c r="E24" s="104">
        <v>87871.212408000007</v>
      </c>
      <c r="F24" s="104">
        <v>35579.549712</v>
      </c>
      <c r="G24" s="104">
        <v>0</v>
      </c>
      <c r="H24" s="104">
        <v>23675.145312000001</v>
      </c>
      <c r="I24" s="104">
        <v>72782.559159000011</v>
      </c>
      <c r="J24" s="104">
        <v>40462.519659999998</v>
      </c>
      <c r="K24" s="104">
        <v>41321.980665000003</v>
      </c>
      <c r="L24" s="104">
        <v>111951.58177100001</v>
      </c>
      <c r="M24" s="104">
        <v>151252.43276699999</v>
      </c>
      <c r="N24" s="104">
        <v>147090.494056</v>
      </c>
    </row>
    <row r="25" spans="2:14" ht="36.75" customHeight="1" x14ac:dyDescent="0.2">
      <c r="B25" s="149" t="s">
        <v>180</v>
      </c>
      <c r="C25" s="104">
        <v>175249.65814200003</v>
      </c>
      <c r="D25" s="104">
        <v>133357.0288309</v>
      </c>
      <c r="E25" s="104">
        <v>160956.23789999998</v>
      </c>
      <c r="F25" s="104">
        <v>100532.6412</v>
      </c>
      <c r="G25" s="104">
        <v>93974.363699999987</v>
      </c>
      <c r="H25" s="104">
        <v>120064.8024</v>
      </c>
      <c r="I25" s="104">
        <v>79461.624290000007</v>
      </c>
      <c r="J25" s="104">
        <v>84841.702409999998</v>
      </c>
      <c r="K25" s="104">
        <v>114580.99796000001</v>
      </c>
      <c r="L25" s="104">
        <v>126919.11951480001</v>
      </c>
      <c r="M25" s="104">
        <v>216928.19803199999</v>
      </c>
      <c r="N25" s="104">
        <v>127005.777015</v>
      </c>
    </row>
    <row r="26" spans="2:14" ht="36.75" customHeight="1" x14ac:dyDescent="0.2">
      <c r="B26" s="165" t="s">
        <v>181</v>
      </c>
      <c r="C26" s="104">
        <v>102456.220095</v>
      </c>
      <c r="D26" s="104">
        <v>164336.34159</v>
      </c>
      <c r="E26" s="104">
        <v>348747.65639999998</v>
      </c>
      <c r="F26" s="104">
        <v>316019.88132000004</v>
      </c>
      <c r="G26" s="104">
        <v>181075.11300000001</v>
      </c>
      <c r="H26" s="104"/>
      <c r="I26" s="104">
        <v>87037.48090000001</v>
      </c>
      <c r="J26" s="104">
        <v>118214.23344</v>
      </c>
      <c r="K26" s="104">
        <v>147149.36963999999</v>
      </c>
      <c r="L26" s="104">
        <v>132186.30840000001</v>
      </c>
      <c r="M26" s="104"/>
      <c r="N26" s="104"/>
    </row>
    <row r="31" spans="2:14" ht="16.5" customHeight="1" x14ac:dyDescent="0.2"/>
    <row r="32" spans="2:14" ht="15.75" customHeight="1" x14ac:dyDescent="0.2"/>
  </sheetData>
  <mergeCells count="4">
    <mergeCell ref="C5:N5"/>
    <mergeCell ref="C8:K8"/>
    <mergeCell ref="C16:N16"/>
    <mergeCell ref="C19:K19"/>
  </mergeCells>
  <pageMargins left="0.70866141732283472" right="0.70866141732283472" top="0.74803149606299213" bottom="0.74803149606299213" header="0.31496062992125984" footer="0.31496062992125984"/>
  <pageSetup scale="63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"/>
  <sheetViews>
    <sheetView workbookViewId="0"/>
  </sheetViews>
  <sheetFormatPr baseColWidth="10" defaultColWidth="11.42578125" defaultRowHeight="12.75" x14ac:dyDescent="0.2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14</vt:i4>
      </vt:variant>
      <vt:variant>
        <vt:lpstr>Plages nommées</vt:lpstr>
      </vt:variant>
      <vt:variant>
        <vt:i4>4</vt:i4>
      </vt:variant>
    </vt:vector>
  </HeadingPairs>
  <TitlesOfParts>
    <vt:vector size="18" baseType="lpstr">
      <vt:lpstr>TOTAL</vt:lpstr>
      <vt:lpstr>submetering</vt:lpstr>
      <vt:lpstr>Consommation mensuel énergie</vt:lpstr>
      <vt:lpstr>Suivi EAU-ELEC</vt:lpstr>
      <vt:lpstr>Suvi Gaz</vt:lpstr>
      <vt:lpstr>Facture journalier D'élect</vt:lpstr>
      <vt:lpstr>facture électricité</vt:lpstr>
      <vt:lpstr>facture d'eau</vt:lpstr>
      <vt:lpstr>Facture journalier d'eau</vt:lpstr>
      <vt:lpstr>facture incendie</vt:lpstr>
      <vt:lpstr>cons annuel électr</vt:lpstr>
      <vt:lpstr>cons annuel EAU  </vt:lpstr>
      <vt:lpstr>livraison annuel GAZ</vt:lpstr>
      <vt:lpstr>Feuil1</vt:lpstr>
      <vt:lpstr>'Consommation mensuel énergie'!Zone_d_impression</vt:lpstr>
      <vt:lpstr>'facture électricité'!Zone_d_impression</vt:lpstr>
      <vt:lpstr>'Suivi EAU-ELEC'!Zone_d_impression</vt:lpstr>
      <vt:lpstr>'Suvi Gaz'!Zone_d_impression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Salaheddine Lasmar</cp:lastModifiedBy>
  <cp:revision/>
  <dcterms:created xsi:type="dcterms:W3CDTF">1996-10-21T11:03:58Z</dcterms:created>
  <dcterms:modified xsi:type="dcterms:W3CDTF">2023-02-20T20:20:37Z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