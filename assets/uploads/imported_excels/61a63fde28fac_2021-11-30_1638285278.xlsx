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bltfp1.blt.fshq.fs\departments$\Engineering\Meter Readings\Meter Readings\2021\"/>
    </mc:Choice>
  </mc:AlternateContent>
  <xr:revisionPtr revIDLastSave="0" documentId="13_ncr:1_{0FFA48C1-B99E-4E8D-B18A-F0F316A4FBE1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6" i="1" l="1"/>
  <c r="T38" i="1" s="1"/>
  <c r="T39" i="1" s="1"/>
  <c r="R38" i="1"/>
  <c r="Q38" i="1"/>
  <c r="L38" i="1"/>
  <c r="H38" i="1"/>
  <c r="E38" i="1"/>
  <c r="V36" i="1"/>
  <c r="V38" i="1" s="1"/>
  <c r="V39" i="1" s="1"/>
  <c r="U36" i="1"/>
  <c r="U38" i="1" s="1"/>
  <c r="U39" i="1" s="1"/>
  <c r="S36" i="1"/>
  <c r="S38" i="1" s="1"/>
  <c r="S39" i="1" s="1"/>
  <c r="O36" i="1"/>
  <c r="O38" i="1" s="1"/>
  <c r="O39" i="1" s="1"/>
  <c r="N36" i="1"/>
  <c r="N38" i="1" s="1"/>
  <c r="N39" i="1" s="1"/>
  <c r="M36" i="1"/>
  <c r="M38" i="1" s="1"/>
  <c r="M39" i="1" s="1"/>
  <c r="K36" i="1"/>
  <c r="K38" i="1" s="1"/>
  <c r="K39" i="1" s="1"/>
  <c r="J36" i="1"/>
  <c r="J38" i="1" s="1"/>
  <c r="J39" i="1" s="1"/>
  <c r="I36" i="1"/>
  <c r="I38" i="1" s="1"/>
  <c r="I39" i="1" s="1"/>
  <c r="G36" i="1"/>
  <c r="G38" i="1" s="1"/>
  <c r="G39" i="1" s="1"/>
  <c r="F36" i="1"/>
  <c r="F38" i="1" s="1"/>
  <c r="F39" i="1" s="1"/>
  <c r="D36" i="1"/>
  <c r="D38" i="1" s="1"/>
  <c r="D39" i="1" s="1"/>
  <c r="C36" i="1"/>
  <c r="C38" i="1" s="1"/>
  <c r="C39" i="1" s="1"/>
  <c r="B36" i="1"/>
  <c r="B38" i="1" s="1"/>
  <c r="B39" i="1" s="1"/>
</calcChain>
</file>

<file path=xl/sharedStrings.xml><?xml version="1.0" encoding="utf-8"?>
<sst xmlns="http://schemas.openxmlformats.org/spreadsheetml/2006/main" count="29" uniqueCount="27">
  <si>
    <t>Date</t>
  </si>
  <si>
    <t>Electric</t>
  </si>
  <si>
    <t>Gas</t>
  </si>
  <si>
    <t>Water</t>
  </si>
  <si>
    <t>Anthropologie (Effective 10/2/2012)</t>
  </si>
  <si>
    <t>Engineer</t>
  </si>
  <si>
    <t>Meter</t>
  </si>
  <si>
    <t xml:space="preserve">Meter </t>
  </si>
  <si>
    <t>Mina</t>
  </si>
  <si>
    <t>Main</t>
  </si>
  <si>
    <t>Chilled</t>
  </si>
  <si>
    <t>Hot</t>
  </si>
  <si>
    <t>Electric      Main</t>
  </si>
  <si>
    <t>Electric    Chilled</t>
  </si>
  <si>
    <t>Electric        Hot</t>
  </si>
  <si>
    <t>Bygone</t>
  </si>
  <si>
    <t>Heat</t>
  </si>
  <si>
    <t xml:space="preserve">Water </t>
  </si>
  <si>
    <t>Electric (kWh)</t>
  </si>
  <si>
    <t>Gas (therm)</t>
  </si>
  <si>
    <t>Main (ft3)</t>
  </si>
  <si>
    <t>Chilled (ton-hour)</t>
  </si>
  <si>
    <t>Hot (MMBtu)</t>
  </si>
  <si>
    <t>Total</t>
  </si>
  <si>
    <t>Varience</t>
  </si>
  <si>
    <t>Varience %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</si>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</sst>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  <font>
      <b/>
      <sz val="12"/>
      <name val="Garamond"/>
      <family val="1"/>
    </font>
    <font>
      <b/>
      <sz val="11"/>
      <color rgb="FF000000"/>
      <name val="Garamond"/>
      <family val="1"/>
    </font>
    <font>
      <b/>
      <sz val="11"/>
      <name val="Garamond"/>
      <family val="1"/>
    </font>
    <font>
      <sz val="12"/>
      <name val="Garamond"/>
      <family val="1"/>
    </font>
    <font>
      <sz val="11"/>
      <color theme="1"/>
      <name val="Calibri"/>
      <family val="2"/>
    </font>
    <font>
      <sz val="12"/>
      <color theme="1"/>
      <name val="Garamond"/>
      <family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8">
    <xf numFmtId="0" fontId="0" fillId="0" borderId="0" xfId="0"/>
    <xf numFmtId="0" fontId="3" fillId="0" borderId="2" xfId="0" applyFont="1" applyFill="1" applyBorder="1" applyAlignment="1">
      <alignment horizontal="center" vertical="center" wrapText="1"/>
    </xf>
    <xf numFmtId="14" fontId="5" fillId="0" borderId="2" xfId="0" applyNumberFormat="1" applyFont="1" applyFill="1" applyBorder="1"/>
    <xf numFmtId="0" fontId="5" fillId="0" borderId="2" xfId="0" applyFont="1" applyFill="1" applyBorder="1"/>
    <xf numFmtId="1" fontId="5" fillId="0" borderId="2" xfId="0" applyNumberFormat="1" applyFont="1" applyFill="1" applyBorder="1"/>
    <xf numFmtId="0" fontId="5" fillId="0" borderId="2" xfId="0" applyFont="1" applyFill="1" applyBorder="1" applyAlignment="1"/>
    <xf numFmtId="0" fontId="5" fillId="0" borderId="2" xfId="0" applyFont="1" applyFill="1" applyBorder="1" applyAlignment="1">
      <alignment horizontal="right"/>
    </xf>
    <xf numFmtId="164" fontId="5" fillId="0" borderId="2" xfId="0" applyNumberFormat="1" applyFont="1" applyFill="1" applyBorder="1" applyAlignment="1"/>
    <xf numFmtId="1" fontId="5" fillId="0" borderId="2" xfId="0" applyNumberFormat="1" applyFont="1" applyFill="1" applyBorder="1" applyAlignment="1"/>
    <xf numFmtId="1" fontId="5" fillId="0" borderId="2" xfId="0" applyNumberFormat="1" applyFont="1" applyFill="1" applyBorder="1" applyAlignment="1">
      <alignment horizontal="right"/>
    </xf>
    <xf numFmtId="0" fontId="5" fillId="0" borderId="2" xfId="0" applyNumberFormat="1" applyFont="1" applyFill="1" applyBorder="1"/>
    <xf numFmtId="0" fontId="5" fillId="0" borderId="2" xfId="0" applyNumberFormat="1" applyFont="1" applyFill="1" applyBorder="1" applyAlignment="1"/>
    <xf numFmtId="0" fontId="6" fillId="0" borderId="2" xfId="0" applyFont="1" applyFill="1" applyBorder="1"/>
    <xf numFmtId="0" fontId="7" fillId="0" borderId="0" xfId="0" applyFont="1"/>
    <xf numFmtId="0" fontId="7" fillId="0" borderId="2" xfId="0" applyFont="1" applyBorder="1"/>
    <xf numFmtId="0" fontId="5" fillId="2" borderId="2" xfId="0" applyFont="1" applyFill="1" applyBorder="1"/>
    <xf numFmtId="0" fontId="5" fillId="2" borderId="2" xfId="0" applyFont="1" applyFill="1" applyBorder="1" applyAlignment="1"/>
    <xf numFmtId="0" fontId="5" fillId="2" borderId="3" xfId="0" applyFont="1" applyFill="1" applyBorder="1" applyAlignment="1"/>
    <xf numFmtId="164" fontId="5" fillId="2" borderId="2" xfId="0" applyNumberFormat="1" applyFont="1" applyFill="1" applyBorder="1" applyAlignment="1"/>
    <xf numFmtId="0" fontId="5" fillId="2" borderId="2" xfId="0" applyFont="1" applyFill="1" applyBorder="1" applyAlignment="1">
      <alignment horizontal="right"/>
    </xf>
    <xf numFmtId="0" fontId="6" fillId="2" borderId="2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/>
    <xf numFmtId="0" fontId="1" fillId="2" borderId="3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/>
    <xf numFmtId="0" fontId="5" fillId="2" borderId="2" xfId="0" applyNumberFormat="1" applyFont="1" applyFill="1" applyBorder="1"/>
    <xf numFmtId="0" fontId="5" fillId="2" borderId="2" xfId="0" applyNumberFormat="1" applyFont="1" applyFill="1" applyBorder="1" applyAlignment="1"/>
    <xf numFmtId="0" fontId="5" fillId="0" borderId="6" xfId="0" applyFont="1" applyFill="1" applyBorder="1"/>
    <xf numFmtId="0" fontId="5" fillId="0" borderId="6" xfId="0" applyFont="1" applyFill="1" applyBorder="1" applyAlignment="1"/>
    <xf numFmtId="1" fontId="5" fillId="0" borderId="7" xfId="0" applyNumberFormat="1" applyFont="1" applyFill="1" applyBorder="1"/>
    <xf numFmtId="0" fontId="0" fillId="0" borderId="2" xfId="0" applyBorder="1"/>
    <xf numFmtId="0" fontId="5" fillId="0" borderId="2" xfId="0" applyFont="1" applyBorder="1"/>
    <xf numFmtId="1" fontId="5" fillId="0" borderId="2" xfId="0" applyNumberFormat="1" applyFont="1" applyBorder="1"/>
    <xf numFmtId="0" fontId="9" fillId="0" borderId="2" xfId="0" applyFont="1" applyBorder="1" applyAlignment="1">
      <alignment wrapText="1"/>
    </xf>
    <xf numFmtId="0" fontId="9" fillId="3" borderId="2" xfId="0" applyFont="1" applyFill="1" applyBorder="1" applyAlignment="1">
      <alignment wrapText="1"/>
    </xf>
    <xf numFmtId="9" fontId="0" fillId="0" borderId="2" xfId="1" applyFont="1" applyBorder="1"/>
    <xf numFmtId="9" fontId="0" fillId="2" borderId="2" xfId="1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39"/>
  <sheetViews>
    <sheetView tabSelected="1" workbookViewId="0">
      <selection activeCell="B34" sqref="B34"/>
    </sheetView>
  </sheetViews>
  <sheetFormatPr defaultRowHeight="15" x14ac:dyDescent="0.25"/>
  <cols>
    <col min="1" max="1" width="12.42578125" bestFit="1" customWidth="1"/>
    <col min="2" max="2" width="15.7109375" customWidth="1"/>
    <col min="3" max="3" width="11.85546875" customWidth="1"/>
    <col min="4" max="4" width="11" customWidth="1"/>
    <col min="5" max="5" width="1.42578125" customWidth="1"/>
    <col min="6" max="6" width="10.140625" customWidth="1"/>
    <col min="7" max="7" width="10.28515625" customWidth="1"/>
    <col min="8" max="8" width="1.5703125" customWidth="1"/>
    <col min="9" max="9" width="10.28515625" customWidth="1"/>
    <col min="10" max="10" width="12.5703125" customWidth="1"/>
    <col min="11" max="11" width="14" customWidth="1"/>
    <col min="12" max="12" width="1.5703125" customWidth="1"/>
    <col min="13" max="13" width="10.7109375" customWidth="1"/>
    <col min="14" max="14" width="11.140625" customWidth="1"/>
    <col min="15" max="15" width="9.42578125" customWidth="1"/>
    <col min="18" max="18" width="11.42578125" customWidth="1"/>
    <col min="19" max="19" width="16" bestFit="1" customWidth="1"/>
    <col min="20" max="20" width="14.85546875" bestFit="1" customWidth="1"/>
    <col min="21" max="21" width="9.140625" customWidth="1"/>
    <col min="22" max="22" width="8.140625" bestFit="1" customWidth="1"/>
    <col min="23" max="23" width="10.5703125" customWidth="1"/>
  </cols>
  <sheetData>
    <row r="1" spans="1:23" ht="15.75" customHeight="1" x14ac:dyDescent="0.25">
      <c r="A1" s="41" t="s">
        <v>0</v>
      </c>
      <c r="B1" s="44" t="s">
        <v>18</v>
      </c>
      <c r="C1" s="44"/>
      <c r="D1" s="44"/>
      <c r="E1" s="21"/>
      <c r="F1" s="44" t="s">
        <v>19</v>
      </c>
      <c r="G1" s="44"/>
      <c r="H1" s="21"/>
      <c r="I1" s="44" t="s">
        <v>3</v>
      </c>
      <c r="J1" s="44"/>
      <c r="K1" s="44"/>
      <c r="L1" s="27"/>
      <c r="M1" s="45" t="s">
        <v>4</v>
      </c>
      <c r="N1" s="46"/>
      <c r="O1" s="46"/>
      <c r="P1" s="46"/>
      <c r="Q1" s="47"/>
      <c r="R1" s="55" t="s">
        <v>15</v>
      </c>
      <c r="S1" s="56"/>
      <c r="T1" s="56"/>
      <c r="U1" s="56"/>
      <c r="V1" s="57"/>
      <c r="W1" s="41" t="s">
        <v>5</v>
      </c>
    </row>
    <row r="2" spans="1:23" ht="15" customHeight="1" x14ac:dyDescent="0.25">
      <c r="A2" s="42"/>
      <c r="B2" s="1" t="s">
        <v>6</v>
      </c>
      <c r="C2" s="1" t="s">
        <v>7</v>
      </c>
      <c r="D2" s="1" t="s">
        <v>7</v>
      </c>
      <c r="E2" s="22"/>
      <c r="F2" s="53" t="s">
        <v>8</v>
      </c>
      <c r="G2" s="53" t="s">
        <v>9</v>
      </c>
      <c r="H2" s="24"/>
      <c r="I2" s="48" t="s">
        <v>20</v>
      </c>
      <c r="J2" s="48" t="s">
        <v>21</v>
      </c>
      <c r="K2" s="48" t="s">
        <v>22</v>
      </c>
      <c r="L2" s="24"/>
      <c r="M2" s="50" t="s">
        <v>12</v>
      </c>
      <c r="N2" s="52" t="s">
        <v>13</v>
      </c>
      <c r="O2" s="52" t="s">
        <v>14</v>
      </c>
      <c r="P2" s="50" t="s">
        <v>10</v>
      </c>
      <c r="Q2" s="50" t="s">
        <v>11</v>
      </c>
      <c r="R2" s="54" t="s">
        <v>16</v>
      </c>
      <c r="S2" s="54" t="s">
        <v>10</v>
      </c>
      <c r="T2" s="54" t="s">
        <v>2</v>
      </c>
      <c r="U2" s="54" t="s">
        <v>17</v>
      </c>
      <c r="V2" s="54" t="s">
        <v>1</v>
      </c>
      <c r="W2" s="42"/>
    </row>
    <row r="3" spans="1:23" ht="15" customHeight="1" x14ac:dyDescent="0.25">
      <c r="A3" s="43"/>
      <c r="B3" s="1">
        <v>1</v>
      </c>
      <c r="C3" s="1">
        <v>2</v>
      </c>
      <c r="D3" s="1">
        <v>3</v>
      </c>
      <c r="E3" s="22"/>
      <c r="F3" s="53"/>
      <c r="G3" s="53"/>
      <c r="H3" s="25"/>
      <c r="I3" s="49"/>
      <c r="J3" s="49"/>
      <c r="K3" s="49"/>
      <c r="L3" s="25"/>
      <c r="M3" s="51"/>
      <c r="N3" s="51"/>
      <c r="O3" s="51"/>
      <c r="P3" s="51"/>
      <c r="Q3" s="51"/>
      <c r="R3" s="49"/>
      <c r="S3" s="49"/>
      <c r="T3" s="49"/>
      <c r="U3" s="49"/>
      <c r="V3" s="49"/>
      <c r="W3" s="43"/>
    </row>
    <row r="4" spans="1:23" ht="24.75" customHeight="1" x14ac:dyDescent="0.25">
      <c r="A4" s="2">
        <v>44501</v>
      </c>
      <c r="B4" s="3">
        <v>297681</v>
      </c>
      <c r="C4" s="3">
        <v>28112917</v>
      </c>
      <c r="D4" s="3">
        <v>7545007</v>
      </c>
      <c r="E4" s="15"/>
      <c r="F4" s="3">
        <v>64760</v>
      </c>
      <c r="G4" s="3">
        <v>99850</v>
      </c>
      <c r="H4" s="15"/>
      <c r="I4" s="3">
        <v>44887</v>
      </c>
      <c r="J4" s="4">
        <v>51482221</v>
      </c>
      <c r="K4" s="4">
        <v>215693</v>
      </c>
      <c r="L4" s="28"/>
      <c r="M4" s="3">
        <v>1592</v>
      </c>
      <c r="N4" s="3">
        <v>9</v>
      </c>
      <c r="O4" s="3">
        <v>4</v>
      </c>
      <c r="P4" s="15"/>
      <c r="Q4" s="15"/>
      <c r="R4" s="3">
        <v>50391</v>
      </c>
      <c r="S4" s="4">
        <v>195013</v>
      </c>
      <c r="T4" s="33">
        <v>9669232</v>
      </c>
      <c r="U4" s="4">
        <v>28214</v>
      </c>
      <c r="V4" s="4">
        <v>19879</v>
      </c>
      <c r="W4" s="3"/>
    </row>
    <row r="5" spans="1:23" ht="23.25" customHeight="1" x14ac:dyDescent="0.25">
      <c r="A5" s="2">
        <v>44502</v>
      </c>
      <c r="B5" s="5">
        <v>302098</v>
      </c>
      <c r="C5" s="3">
        <v>28122513</v>
      </c>
      <c r="D5" s="14">
        <v>7514731</v>
      </c>
      <c r="E5" s="23"/>
      <c r="F5" s="5">
        <v>64850</v>
      </c>
      <c r="G5" s="5">
        <v>19854</v>
      </c>
      <c r="H5" s="16"/>
      <c r="I5" s="5">
        <v>44931</v>
      </c>
      <c r="J5" s="5">
        <v>51488091</v>
      </c>
      <c r="K5" s="5">
        <v>215756</v>
      </c>
      <c r="L5" s="16"/>
      <c r="M5" s="5">
        <v>2010</v>
      </c>
      <c r="N5" s="5">
        <v>12</v>
      </c>
      <c r="O5" s="5">
        <v>7</v>
      </c>
      <c r="P5" s="16"/>
      <c r="Q5" s="16"/>
      <c r="R5" s="5">
        <v>50391</v>
      </c>
      <c r="S5" s="5">
        <v>195161</v>
      </c>
      <c r="T5" s="5">
        <v>9675466</v>
      </c>
      <c r="U5" s="5">
        <v>28215</v>
      </c>
      <c r="V5" s="5">
        <v>20664</v>
      </c>
      <c r="W5" s="3"/>
    </row>
    <row r="6" spans="1:23" ht="24" customHeight="1" x14ac:dyDescent="0.25">
      <c r="A6" s="2">
        <v>44503</v>
      </c>
      <c r="B6" s="13">
        <v>306698</v>
      </c>
      <c r="C6" s="3">
        <v>28132130</v>
      </c>
      <c r="D6" s="14">
        <v>7552507</v>
      </c>
      <c r="E6" s="23"/>
      <c r="F6" s="5">
        <v>64940</v>
      </c>
      <c r="G6" s="5">
        <v>19859</v>
      </c>
      <c r="H6" s="16"/>
      <c r="I6" s="5">
        <v>44973</v>
      </c>
      <c r="J6" s="5">
        <v>51492730</v>
      </c>
      <c r="K6" s="5">
        <v>215836</v>
      </c>
      <c r="L6" s="16"/>
      <c r="M6" s="6">
        <v>2423</v>
      </c>
      <c r="N6" s="5">
        <v>15</v>
      </c>
      <c r="O6" s="5">
        <v>8</v>
      </c>
      <c r="P6" s="16"/>
      <c r="Q6" s="16"/>
      <c r="R6" s="5">
        <v>50391</v>
      </c>
      <c r="S6" s="5">
        <v>195296</v>
      </c>
      <c r="T6" s="5">
        <v>9681054</v>
      </c>
      <c r="U6" s="5">
        <v>28216</v>
      </c>
      <c r="V6" s="5">
        <v>1461</v>
      </c>
      <c r="W6" s="3"/>
    </row>
    <row r="7" spans="1:23" ht="24" customHeight="1" x14ac:dyDescent="0.25">
      <c r="A7" s="2">
        <v>44504</v>
      </c>
      <c r="B7" s="5">
        <v>311189</v>
      </c>
      <c r="C7" s="3">
        <v>28141617</v>
      </c>
      <c r="D7" s="5">
        <v>7556199</v>
      </c>
      <c r="E7" s="16"/>
      <c r="F7" s="5">
        <v>64037</v>
      </c>
      <c r="G7" s="5">
        <v>19864</v>
      </c>
      <c r="H7" s="16"/>
      <c r="I7" s="7">
        <v>45023</v>
      </c>
      <c r="J7" s="7">
        <v>51497730</v>
      </c>
      <c r="K7" s="8">
        <v>215932</v>
      </c>
      <c r="L7" s="26"/>
      <c r="M7" s="8">
        <v>2829</v>
      </c>
      <c r="N7" s="8">
        <v>17</v>
      </c>
      <c r="O7" s="8">
        <v>9</v>
      </c>
      <c r="P7" s="16"/>
      <c r="Q7" s="17"/>
      <c r="R7" s="7">
        <v>50391</v>
      </c>
      <c r="S7" s="7">
        <v>195428</v>
      </c>
      <c r="T7" s="7">
        <v>9687786</v>
      </c>
      <c r="U7" s="7">
        <v>28218</v>
      </c>
      <c r="V7" s="8">
        <v>2234</v>
      </c>
      <c r="W7" s="3"/>
    </row>
    <row r="8" spans="1:23" ht="24" customHeight="1" x14ac:dyDescent="0.25">
      <c r="A8" s="2">
        <v>44505</v>
      </c>
      <c r="B8" s="5">
        <v>316095</v>
      </c>
      <c r="C8" s="3">
        <v>28151660</v>
      </c>
      <c r="D8" s="5">
        <v>7559927</v>
      </c>
      <c r="E8" s="16"/>
      <c r="F8" s="11">
        <v>65140</v>
      </c>
      <c r="G8" s="8">
        <v>19869</v>
      </c>
      <c r="H8" s="26"/>
      <c r="I8" s="7">
        <v>45071</v>
      </c>
      <c r="J8" s="7">
        <v>51502939</v>
      </c>
      <c r="K8" s="8">
        <v>216032</v>
      </c>
      <c r="L8" s="26"/>
      <c r="M8" s="8">
        <v>3260</v>
      </c>
      <c r="N8" s="8">
        <v>20</v>
      </c>
      <c r="O8" s="8">
        <v>11</v>
      </c>
      <c r="P8" s="18"/>
      <c r="Q8" s="18"/>
      <c r="R8" s="7">
        <v>50391</v>
      </c>
      <c r="S8" s="7">
        <v>195560</v>
      </c>
      <c r="T8" s="7">
        <v>9695898</v>
      </c>
      <c r="U8" s="7">
        <v>28220</v>
      </c>
      <c r="V8" s="8">
        <v>2992</v>
      </c>
      <c r="W8" s="3"/>
    </row>
    <row r="9" spans="1:23" ht="22.5" customHeight="1" x14ac:dyDescent="0.25">
      <c r="A9" s="2">
        <v>44506</v>
      </c>
      <c r="B9" s="7">
        <v>321138</v>
      </c>
      <c r="C9" s="3">
        <v>28161217</v>
      </c>
      <c r="D9" s="5">
        <v>7563767</v>
      </c>
      <c r="E9" s="16"/>
      <c r="F9" s="11">
        <v>65255</v>
      </c>
      <c r="G9" s="8">
        <v>19874</v>
      </c>
      <c r="H9" s="26"/>
      <c r="I9" s="7">
        <v>45133</v>
      </c>
      <c r="J9" s="7">
        <v>51507963</v>
      </c>
      <c r="K9" s="8">
        <v>216125</v>
      </c>
      <c r="L9" s="26"/>
      <c r="M9" s="8">
        <v>3679</v>
      </c>
      <c r="N9" s="8">
        <v>22</v>
      </c>
      <c r="O9" s="8">
        <v>13</v>
      </c>
      <c r="P9" s="18"/>
      <c r="Q9" s="18"/>
      <c r="R9" s="7">
        <v>50391</v>
      </c>
      <c r="S9" s="7">
        <v>195710</v>
      </c>
      <c r="T9" s="7">
        <v>9704465</v>
      </c>
      <c r="U9" s="7">
        <v>28224</v>
      </c>
      <c r="V9" s="8">
        <v>3812</v>
      </c>
      <c r="W9" s="3"/>
    </row>
    <row r="10" spans="1:23" ht="22.5" customHeight="1" x14ac:dyDescent="0.25">
      <c r="A10" s="2">
        <v>44507</v>
      </c>
      <c r="B10" s="7">
        <v>326324</v>
      </c>
      <c r="C10" s="3">
        <v>28170969</v>
      </c>
      <c r="D10" s="7">
        <v>7567712</v>
      </c>
      <c r="E10" s="18"/>
      <c r="F10" s="11">
        <v>65372</v>
      </c>
      <c r="G10" s="8">
        <v>19880</v>
      </c>
      <c r="H10" s="26"/>
      <c r="I10" s="5">
        <v>45201</v>
      </c>
      <c r="J10" s="5">
        <v>51513533</v>
      </c>
      <c r="K10" s="8">
        <v>216222</v>
      </c>
      <c r="L10" s="26"/>
      <c r="M10" s="8">
        <v>4110</v>
      </c>
      <c r="N10" s="8">
        <v>25</v>
      </c>
      <c r="O10" s="8">
        <v>14</v>
      </c>
      <c r="P10" s="18"/>
      <c r="Q10" s="18"/>
      <c r="R10" s="5">
        <v>50391</v>
      </c>
      <c r="S10" s="5">
        <v>195877</v>
      </c>
      <c r="T10" s="5"/>
      <c r="U10" s="5">
        <v>28230</v>
      </c>
      <c r="V10" s="8">
        <v>4495</v>
      </c>
      <c r="W10" s="5"/>
    </row>
    <row r="11" spans="1:23" ht="23.25" customHeight="1" x14ac:dyDescent="0.25">
      <c r="A11" s="2">
        <v>44508</v>
      </c>
      <c r="B11" s="7">
        <v>330979</v>
      </c>
      <c r="C11" s="3">
        <v>28180221</v>
      </c>
      <c r="D11" s="5">
        <v>7571557</v>
      </c>
      <c r="E11" s="16"/>
      <c r="F11" s="5">
        <v>65466</v>
      </c>
      <c r="G11" s="5">
        <v>19885</v>
      </c>
      <c r="H11" s="16"/>
      <c r="I11" s="5">
        <v>45254</v>
      </c>
      <c r="J11" s="5">
        <v>51518637</v>
      </c>
      <c r="K11" s="5">
        <v>216309</v>
      </c>
      <c r="L11" s="16"/>
      <c r="M11" s="5">
        <v>4529</v>
      </c>
      <c r="N11" s="5">
        <v>28</v>
      </c>
      <c r="O11" s="5">
        <v>16</v>
      </c>
      <c r="P11" s="16"/>
      <c r="Q11" s="16"/>
      <c r="R11" s="5">
        <v>50391</v>
      </c>
      <c r="S11" s="5">
        <v>196016</v>
      </c>
      <c r="T11" s="5">
        <v>9720482</v>
      </c>
      <c r="U11" s="5">
        <v>28232</v>
      </c>
      <c r="V11" s="5">
        <v>5328</v>
      </c>
      <c r="W11" s="5"/>
    </row>
    <row r="12" spans="1:23" ht="21.75" customHeight="1" x14ac:dyDescent="0.25">
      <c r="A12" s="2">
        <v>44509</v>
      </c>
      <c r="B12" s="5">
        <v>335209</v>
      </c>
      <c r="C12" s="3">
        <v>28189696</v>
      </c>
      <c r="D12" s="5">
        <v>7575293</v>
      </c>
      <c r="E12" s="16"/>
      <c r="F12" s="5">
        <v>65560</v>
      </c>
      <c r="G12" s="5">
        <v>19890</v>
      </c>
      <c r="H12" s="16"/>
      <c r="I12" s="5">
        <v>45333</v>
      </c>
      <c r="J12" s="5">
        <v>51524920</v>
      </c>
      <c r="K12" s="5">
        <v>216377</v>
      </c>
      <c r="L12" s="16"/>
      <c r="M12" s="5">
        <v>4952</v>
      </c>
      <c r="N12" s="5">
        <v>30</v>
      </c>
      <c r="O12" s="6">
        <v>17</v>
      </c>
      <c r="P12" s="19"/>
      <c r="Q12" s="19"/>
      <c r="R12" s="5">
        <v>50391</v>
      </c>
      <c r="S12" s="5">
        <v>196156</v>
      </c>
      <c r="T12" s="5">
        <v>9726553</v>
      </c>
      <c r="U12" s="5">
        <v>28233</v>
      </c>
      <c r="V12" s="5">
        <v>6100</v>
      </c>
      <c r="W12" s="3"/>
    </row>
    <row r="13" spans="1:23" ht="21.75" customHeight="1" x14ac:dyDescent="0.25">
      <c r="A13" s="2">
        <v>44510</v>
      </c>
      <c r="B13" s="5">
        <v>339339</v>
      </c>
      <c r="C13" s="3">
        <v>28198951</v>
      </c>
      <c r="D13" s="5">
        <v>7579036</v>
      </c>
      <c r="E13" s="16"/>
      <c r="F13" s="5">
        <v>65654</v>
      </c>
      <c r="G13" s="5">
        <v>19895</v>
      </c>
      <c r="H13" s="16"/>
      <c r="I13" s="5">
        <v>45383</v>
      </c>
      <c r="J13" s="5">
        <v>51531824</v>
      </c>
      <c r="K13" s="5">
        <v>216439</v>
      </c>
      <c r="L13" s="16"/>
      <c r="M13" s="3">
        <v>5369</v>
      </c>
      <c r="N13" s="5">
        <v>33</v>
      </c>
      <c r="O13" s="6">
        <v>18</v>
      </c>
      <c r="P13" s="19"/>
      <c r="Q13" s="19"/>
      <c r="R13" s="5">
        <v>50391</v>
      </c>
      <c r="S13" s="5">
        <v>196296</v>
      </c>
      <c r="T13" s="5">
        <v>9732771</v>
      </c>
      <c r="U13" s="5">
        <v>28235</v>
      </c>
      <c r="V13" s="5">
        <v>6907</v>
      </c>
      <c r="W13" s="3"/>
    </row>
    <row r="14" spans="1:23" ht="22.5" customHeight="1" x14ac:dyDescent="0.25">
      <c r="A14" s="2">
        <v>44511</v>
      </c>
      <c r="B14" s="3">
        <v>343489</v>
      </c>
      <c r="C14" s="3">
        <v>28208205</v>
      </c>
      <c r="D14" s="5">
        <v>7582698</v>
      </c>
      <c r="E14" s="16"/>
      <c r="F14" s="5">
        <v>65755</v>
      </c>
      <c r="G14" s="5">
        <v>19900</v>
      </c>
      <c r="H14" s="16"/>
      <c r="I14" s="3">
        <v>45426</v>
      </c>
      <c r="J14" s="5">
        <v>51538608</v>
      </c>
      <c r="K14" s="8">
        <v>216500</v>
      </c>
      <c r="L14" s="26"/>
      <c r="M14" s="3">
        <v>5778</v>
      </c>
      <c r="N14" s="5">
        <v>35</v>
      </c>
      <c r="O14" s="6">
        <v>20</v>
      </c>
      <c r="P14" s="19"/>
      <c r="Q14" s="19"/>
      <c r="R14" s="3">
        <v>20391</v>
      </c>
      <c r="S14" s="5">
        <v>196449</v>
      </c>
      <c r="T14" s="5">
        <v>9738994</v>
      </c>
      <c r="U14" s="5">
        <v>28236</v>
      </c>
      <c r="V14" s="8">
        <v>7697</v>
      </c>
      <c r="W14" s="5"/>
    </row>
    <row r="15" spans="1:23" ht="22.5" customHeight="1" x14ac:dyDescent="0.25">
      <c r="A15" s="2">
        <v>44512</v>
      </c>
      <c r="B15" s="5">
        <v>348202</v>
      </c>
      <c r="C15" s="3">
        <v>7811633</v>
      </c>
      <c r="D15" s="3">
        <v>7586658</v>
      </c>
      <c r="E15" s="15"/>
      <c r="F15" s="5">
        <v>65861</v>
      </c>
      <c r="G15" s="3">
        <v>19905</v>
      </c>
      <c r="H15" s="15"/>
      <c r="I15" s="5">
        <v>45470</v>
      </c>
      <c r="J15" s="8">
        <v>51545902</v>
      </c>
      <c r="K15" s="5">
        <v>216561</v>
      </c>
      <c r="L15" s="16"/>
      <c r="M15" s="5">
        <v>6209</v>
      </c>
      <c r="N15" s="5">
        <v>30</v>
      </c>
      <c r="O15" s="6">
        <v>22</v>
      </c>
      <c r="P15" s="19"/>
      <c r="Q15" s="19"/>
      <c r="R15" s="5">
        <v>50391</v>
      </c>
      <c r="S15" s="8">
        <v>196604</v>
      </c>
      <c r="T15" s="8">
        <v>9746557</v>
      </c>
      <c r="U15" s="8">
        <v>28238</v>
      </c>
      <c r="V15" s="5">
        <v>8506</v>
      </c>
      <c r="W15" s="5"/>
    </row>
    <row r="16" spans="1:23" ht="21" customHeight="1" x14ac:dyDescent="0.25">
      <c r="A16" s="2">
        <v>44513</v>
      </c>
      <c r="B16" s="3">
        <v>352785</v>
      </c>
      <c r="C16" s="3">
        <v>28227277</v>
      </c>
      <c r="D16" s="3">
        <v>7590398</v>
      </c>
      <c r="E16" s="15"/>
      <c r="F16" s="3">
        <v>65980</v>
      </c>
      <c r="G16" s="5">
        <v>19910</v>
      </c>
      <c r="H16" s="16"/>
      <c r="I16" s="3">
        <v>45526</v>
      </c>
      <c r="J16" s="5">
        <v>51552314</v>
      </c>
      <c r="K16" s="8">
        <v>216627</v>
      </c>
      <c r="L16" s="26"/>
      <c r="M16" s="3">
        <v>6624</v>
      </c>
      <c r="N16" s="5">
        <v>41</v>
      </c>
      <c r="O16" s="6">
        <v>23</v>
      </c>
      <c r="P16" s="19"/>
      <c r="Q16" s="19"/>
      <c r="R16" s="3">
        <v>50391</v>
      </c>
      <c r="S16" s="5">
        <v>196766</v>
      </c>
      <c r="T16" s="5">
        <v>9754778</v>
      </c>
      <c r="U16" s="5">
        <v>28242</v>
      </c>
      <c r="V16" s="8">
        <v>9356</v>
      </c>
      <c r="W16" s="5"/>
    </row>
    <row r="17" spans="1:23" ht="19.5" customHeight="1" x14ac:dyDescent="0.25">
      <c r="A17" s="2">
        <v>44514</v>
      </c>
      <c r="B17" s="5">
        <v>357710</v>
      </c>
      <c r="C17" s="3">
        <v>28236905</v>
      </c>
      <c r="D17" s="5">
        <v>7594234</v>
      </c>
      <c r="E17" s="16"/>
      <c r="F17" s="5">
        <v>66106</v>
      </c>
      <c r="G17" s="3">
        <v>19916</v>
      </c>
      <c r="H17" s="15"/>
      <c r="I17" s="5">
        <v>45594</v>
      </c>
      <c r="J17" s="8">
        <v>51557336</v>
      </c>
      <c r="K17" s="5">
        <v>216724</v>
      </c>
      <c r="L17" s="16"/>
      <c r="M17" s="5">
        <v>7032</v>
      </c>
      <c r="N17" s="5">
        <v>43</v>
      </c>
      <c r="O17" s="6">
        <v>24</v>
      </c>
      <c r="P17" s="19"/>
      <c r="Q17" s="19"/>
      <c r="R17" s="5"/>
      <c r="S17" s="8"/>
      <c r="T17" s="8"/>
      <c r="U17" s="8"/>
      <c r="V17" s="5"/>
      <c r="W17" s="5"/>
    </row>
    <row r="18" spans="1:23" ht="19.5" customHeight="1" x14ac:dyDescent="0.25">
      <c r="A18" s="2">
        <v>44515</v>
      </c>
      <c r="B18" s="3">
        <v>362550</v>
      </c>
      <c r="C18" s="3">
        <v>28246558</v>
      </c>
      <c r="D18" s="3">
        <v>7598159</v>
      </c>
      <c r="E18" s="15"/>
      <c r="F18" s="3">
        <v>66206</v>
      </c>
      <c r="G18" s="5">
        <v>19923</v>
      </c>
      <c r="H18" s="16"/>
      <c r="I18" s="5">
        <v>45648</v>
      </c>
      <c r="J18" s="5">
        <v>51561836</v>
      </c>
      <c r="K18" s="5">
        <v>216824</v>
      </c>
      <c r="L18" s="16"/>
      <c r="M18" s="3">
        <v>7457</v>
      </c>
      <c r="N18" s="5">
        <v>46</v>
      </c>
      <c r="O18" s="6">
        <v>26</v>
      </c>
      <c r="P18" s="19"/>
      <c r="Q18" s="19"/>
      <c r="R18" s="5">
        <v>50391</v>
      </c>
      <c r="S18" s="5">
        <v>197063</v>
      </c>
      <c r="T18" s="5">
        <v>9769741</v>
      </c>
      <c r="U18" s="5">
        <v>28250</v>
      </c>
      <c r="V18" s="5">
        <v>31087</v>
      </c>
      <c r="W18" s="5"/>
    </row>
    <row r="19" spans="1:23" ht="24" customHeight="1" x14ac:dyDescent="0.25">
      <c r="A19" s="2">
        <v>44516</v>
      </c>
      <c r="B19" s="5">
        <v>367123</v>
      </c>
      <c r="C19" s="3">
        <v>28255866</v>
      </c>
      <c r="D19" s="5">
        <v>7601834</v>
      </c>
      <c r="E19" s="16"/>
      <c r="F19" s="5">
        <v>66296</v>
      </c>
      <c r="G19" s="5">
        <v>19929</v>
      </c>
      <c r="H19" s="16"/>
      <c r="I19" s="5">
        <v>45693</v>
      </c>
      <c r="J19" s="5">
        <v>51565939</v>
      </c>
      <c r="K19" s="5">
        <v>216930</v>
      </c>
      <c r="L19" s="16"/>
      <c r="M19" s="5">
        <v>7859</v>
      </c>
      <c r="N19" s="8">
        <v>48</v>
      </c>
      <c r="O19" s="9">
        <v>28</v>
      </c>
      <c r="P19" s="19"/>
      <c r="Q19" s="19"/>
      <c r="R19" s="5">
        <v>50391</v>
      </c>
      <c r="S19" s="5">
        <v>197198</v>
      </c>
      <c r="T19" s="5">
        <v>9776311</v>
      </c>
      <c r="U19" s="5"/>
      <c r="V19" s="5">
        <v>1896</v>
      </c>
      <c r="W19" s="5"/>
    </row>
    <row r="20" spans="1:23" ht="20.25" customHeight="1" x14ac:dyDescent="0.25">
      <c r="A20" s="2">
        <v>44517</v>
      </c>
      <c r="B20" s="5">
        <v>371871</v>
      </c>
      <c r="C20" s="3">
        <v>28265541</v>
      </c>
      <c r="D20" s="3">
        <v>7605611</v>
      </c>
      <c r="E20" s="15"/>
      <c r="F20" s="5">
        <v>66386</v>
      </c>
      <c r="G20" s="5">
        <v>19933</v>
      </c>
      <c r="H20" s="16"/>
      <c r="I20" s="5">
        <v>45735</v>
      </c>
      <c r="J20" s="5">
        <v>51570705</v>
      </c>
      <c r="K20" s="5">
        <v>217022</v>
      </c>
      <c r="L20" s="16"/>
      <c r="M20" s="5">
        <v>8278</v>
      </c>
      <c r="N20" s="5">
        <v>51</v>
      </c>
      <c r="O20" s="6">
        <v>29</v>
      </c>
      <c r="P20" s="19"/>
      <c r="Q20" s="19"/>
      <c r="R20" s="5">
        <v>50391</v>
      </c>
      <c r="S20" s="5">
        <v>197239</v>
      </c>
      <c r="T20" s="5">
        <v>9783923</v>
      </c>
      <c r="U20" s="5">
        <v>28252</v>
      </c>
      <c r="V20" s="5">
        <v>2932</v>
      </c>
      <c r="W20" s="5"/>
    </row>
    <row r="21" spans="1:23" ht="21" customHeight="1" x14ac:dyDescent="0.25">
      <c r="A21" s="2">
        <v>44518</v>
      </c>
      <c r="B21" s="3">
        <v>376470</v>
      </c>
      <c r="C21" s="3">
        <v>28275170</v>
      </c>
      <c r="D21" s="5">
        <v>7609352</v>
      </c>
      <c r="E21" s="16"/>
      <c r="F21" s="5">
        <v>66478</v>
      </c>
      <c r="G21" s="5">
        <v>19939</v>
      </c>
      <c r="H21" s="16"/>
      <c r="I21" s="6">
        <v>45791</v>
      </c>
      <c r="J21" s="5">
        <v>51575994</v>
      </c>
      <c r="K21" s="10">
        <v>217102</v>
      </c>
      <c r="L21" s="29"/>
      <c r="M21" s="3">
        <v>8708</v>
      </c>
      <c r="N21" s="5">
        <v>53</v>
      </c>
      <c r="O21" s="6">
        <v>31</v>
      </c>
      <c r="P21" s="19"/>
      <c r="Q21" s="19"/>
      <c r="R21" s="6">
        <v>50391</v>
      </c>
      <c r="S21" s="5">
        <v>197469</v>
      </c>
      <c r="T21" s="5">
        <v>9789049</v>
      </c>
      <c r="U21" s="5">
        <v>28255</v>
      </c>
      <c r="V21" s="10">
        <v>3374</v>
      </c>
      <c r="W21" s="5"/>
    </row>
    <row r="22" spans="1:23" ht="18.75" customHeight="1" x14ac:dyDescent="0.25">
      <c r="A22" s="2">
        <v>44519</v>
      </c>
      <c r="B22" s="3">
        <v>381080</v>
      </c>
      <c r="C22" s="3">
        <v>28285020</v>
      </c>
      <c r="D22" s="5">
        <v>7613283</v>
      </c>
      <c r="E22" s="16"/>
      <c r="F22" s="5">
        <v>66585</v>
      </c>
      <c r="G22" s="3">
        <v>19944</v>
      </c>
      <c r="H22" s="15"/>
      <c r="I22" s="3">
        <v>45851</v>
      </c>
      <c r="J22" s="4">
        <v>51582020</v>
      </c>
      <c r="K22" s="10">
        <v>217180</v>
      </c>
      <c r="L22" s="29"/>
      <c r="M22" s="3">
        <v>9137</v>
      </c>
      <c r="N22" s="3">
        <v>56</v>
      </c>
      <c r="O22" s="6">
        <v>32</v>
      </c>
      <c r="P22" s="19"/>
      <c r="Q22" s="19"/>
      <c r="R22" s="3">
        <v>50391</v>
      </c>
      <c r="S22" s="4">
        <v>197612</v>
      </c>
      <c r="T22" s="4">
        <v>9797092</v>
      </c>
      <c r="U22" s="4">
        <v>28259</v>
      </c>
      <c r="V22" s="10">
        <v>4205</v>
      </c>
      <c r="W22" s="5"/>
    </row>
    <row r="23" spans="1:23" ht="21" customHeight="1" x14ac:dyDescent="0.25">
      <c r="A23" s="2">
        <v>44520</v>
      </c>
      <c r="B23" s="5">
        <v>385890</v>
      </c>
      <c r="C23" s="3">
        <v>28294473</v>
      </c>
      <c r="D23" s="3">
        <v>7617010</v>
      </c>
      <c r="E23" s="15"/>
      <c r="F23" s="3">
        <v>66695</v>
      </c>
      <c r="G23" s="3">
        <v>19950</v>
      </c>
      <c r="H23" s="15"/>
      <c r="I23" s="3">
        <v>45929</v>
      </c>
      <c r="J23" s="4">
        <v>51586633</v>
      </c>
      <c r="K23" s="10">
        <v>217290</v>
      </c>
      <c r="L23" s="29"/>
      <c r="M23" s="3">
        <v>9549</v>
      </c>
      <c r="N23" s="3">
        <v>58</v>
      </c>
      <c r="O23" s="6">
        <v>33</v>
      </c>
      <c r="P23" s="19"/>
      <c r="Q23" s="19"/>
      <c r="R23" s="3">
        <v>50391</v>
      </c>
      <c r="S23" s="4">
        <v>197765</v>
      </c>
      <c r="T23" s="4">
        <v>9806021</v>
      </c>
      <c r="U23" s="4">
        <v>28263</v>
      </c>
      <c r="V23" s="10">
        <v>5069</v>
      </c>
      <c r="W23" s="5"/>
    </row>
    <row r="24" spans="1:23" ht="22.5" customHeight="1" x14ac:dyDescent="0.25">
      <c r="A24" s="2">
        <v>44521</v>
      </c>
      <c r="B24" s="3">
        <v>390866</v>
      </c>
      <c r="C24" s="3">
        <v>28304227</v>
      </c>
      <c r="D24" s="3">
        <v>7620879</v>
      </c>
      <c r="E24" s="15"/>
      <c r="F24" s="3">
        <v>66811</v>
      </c>
      <c r="G24" s="3">
        <v>19956</v>
      </c>
      <c r="H24" s="15"/>
      <c r="I24" s="5">
        <v>46019</v>
      </c>
      <c r="J24" s="4">
        <v>51591402</v>
      </c>
      <c r="K24" s="5">
        <v>217406</v>
      </c>
      <c r="L24" s="16"/>
      <c r="M24" s="5">
        <v>9972</v>
      </c>
      <c r="N24" s="5">
        <v>61</v>
      </c>
      <c r="O24" s="6">
        <v>35</v>
      </c>
      <c r="P24" s="19"/>
      <c r="Q24" s="19"/>
      <c r="R24" s="5">
        <v>50391</v>
      </c>
      <c r="S24" s="4">
        <v>197914</v>
      </c>
      <c r="T24" s="4">
        <v>9816927</v>
      </c>
      <c r="U24" s="4">
        <v>28269</v>
      </c>
      <c r="V24" s="5">
        <v>5959</v>
      </c>
      <c r="W24" s="5"/>
    </row>
    <row r="25" spans="1:23" ht="22.5" customHeight="1" x14ac:dyDescent="0.25">
      <c r="A25" s="2">
        <v>44522</v>
      </c>
      <c r="B25" s="5">
        <v>395606</v>
      </c>
      <c r="C25" s="3">
        <v>28313430</v>
      </c>
      <c r="D25" s="3">
        <v>7624706</v>
      </c>
      <c r="E25" s="15"/>
      <c r="F25" s="3">
        <v>66898</v>
      </c>
      <c r="G25" s="5">
        <v>19962</v>
      </c>
      <c r="H25" s="16"/>
      <c r="I25" s="3">
        <v>46087</v>
      </c>
      <c r="J25" s="5">
        <v>51596178</v>
      </c>
      <c r="K25" s="10">
        <v>217501</v>
      </c>
      <c r="L25" s="29"/>
      <c r="M25" s="6">
        <v>10387</v>
      </c>
      <c r="N25" s="5">
        <v>63</v>
      </c>
      <c r="O25" s="6">
        <v>37</v>
      </c>
      <c r="P25" s="19"/>
      <c r="Q25" s="19"/>
      <c r="R25" s="3">
        <v>50391</v>
      </c>
      <c r="S25" s="5">
        <v>198065</v>
      </c>
      <c r="T25" s="5">
        <v>9825052</v>
      </c>
      <c r="U25" s="5">
        <v>28272</v>
      </c>
      <c r="V25" s="10">
        <v>6889</v>
      </c>
      <c r="W25" s="5"/>
    </row>
    <row r="26" spans="1:23" ht="22.5" customHeight="1" x14ac:dyDescent="0.25">
      <c r="A26" s="2">
        <v>44523</v>
      </c>
      <c r="B26" s="5">
        <v>400298</v>
      </c>
      <c r="C26" s="3">
        <v>28329442</v>
      </c>
      <c r="D26" s="5">
        <v>7628399</v>
      </c>
      <c r="E26" s="16"/>
      <c r="F26" s="5">
        <v>66991</v>
      </c>
      <c r="G26" s="5">
        <v>19968</v>
      </c>
      <c r="H26" s="16"/>
      <c r="I26" s="5">
        <v>46138</v>
      </c>
      <c r="J26" s="4">
        <v>51600417</v>
      </c>
      <c r="K26" s="5">
        <v>217611</v>
      </c>
      <c r="L26" s="16"/>
      <c r="M26" s="5">
        <v>10810</v>
      </c>
      <c r="N26" s="5">
        <v>66</v>
      </c>
      <c r="O26" s="6">
        <v>38</v>
      </c>
      <c r="P26" s="19"/>
      <c r="Q26" s="19"/>
      <c r="R26" s="5">
        <v>50391</v>
      </c>
      <c r="S26" s="4">
        <v>198214</v>
      </c>
      <c r="T26" s="4">
        <v>9832554</v>
      </c>
      <c r="U26" s="4">
        <v>28274</v>
      </c>
      <c r="V26" s="5">
        <v>7677</v>
      </c>
      <c r="W26" s="5"/>
    </row>
    <row r="27" spans="1:23" ht="21" customHeight="1" x14ac:dyDescent="0.25">
      <c r="A27" s="2">
        <v>44524</v>
      </c>
      <c r="B27" s="3">
        <v>405134</v>
      </c>
      <c r="C27" s="3">
        <v>28332705</v>
      </c>
      <c r="D27" s="5">
        <v>7631956</v>
      </c>
      <c r="E27" s="16"/>
      <c r="F27" s="5">
        <v>67077</v>
      </c>
      <c r="G27" s="5">
        <v>19973</v>
      </c>
      <c r="H27" s="16"/>
      <c r="I27" s="5">
        <v>46186</v>
      </c>
      <c r="J27" s="5">
        <v>51604647</v>
      </c>
      <c r="K27" s="5">
        <v>217732</v>
      </c>
      <c r="L27" s="16"/>
      <c r="M27" s="5">
        <v>11247</v>
      </c>
      <c r="N27" s="5">
        <v>69</v>
      </c>
      <c r="O27" s="6">
        <v>39</v>
      </c>
      <c r="P27" s="19"/>
      <c r="Q27" s="19"/>
      <c r="R27" s="5"/>
      <c r="S27" s="5"/>
      <c r="T27" s="5"/>
      <c r="U27" s="5"/>
      <c r="V27" s="5"/>
      <c r="W27" s="5"/>
    </row>
    <row r="28" spans="1:23" ht="22.5" customHeight="1" x14ac:dyDescent="0.25">
      <c r="A28" s="2">
        <v>44525</v>
      </c>
      <c r="B28" s="3">
        <v>409761</v>
      </c>
      <c r="C28" s="3">
        <v>28342289</v>
      </c>
      <c r="D28" s="3">
        <v>763593</v>
      </c>
      <c r="E28" s="16"/>
      <c r="F28" s="5">
        <v>67166</v>
      </c>
      <c r="G28" s="5">
        <v>19979</v>
      </c>
      <c r="H28" s="16"/>
      <c r="I28" s="3">
        <v>46249</v>
      </c>
      <c r="J28" s="5">
        <v>51608955</v>
      </c>
      <c r="K28" s="10">
        <v>217846</v>
      </c>
      <c r="L28" s="29"/>
      <c r="M28" s="3">
        <v>11685</v>
      </c>
      <c r="N28" s="3">
        <v>71</v>
      </c>
      <c r="O28" s="6">
        <v>42</v>
      </c>
      <c r="P28" s="19"/>
      <c r="Q28" s="19"/>
      <c r="R28" s="3">
        <v>50391</v>
      </c>
      <c r="S28" s="5">
        <v>198473</v>
      </c>
      <c r="T28" s="5">
        <v>9845269</v>
      </c>
      <c r="U28" s="5">
        <v>28277</v>
      </c>
      <c r="V28" s="10">
        <v>8909</v>
      </c>
      <c r="W28" s="5"/>
    </row>
    <row r="29" spans="1:23" ht="21" customHeight="1" x14ac:dyDescent="0.25">
      <c r="A29" s="2">
        <v>44526</v>
      </c>
      <c r="B29" s="5">
        <v>414339</v>
      </c>
      <c r="C29" s="3">
        <v>28352109</v>
      </c>
      <c r="D29" s="3">
        <v>7638839</v>
      </c>
      <c r="E29" s="15"/>
      <c r="F29" s="5">
        <v>67220</v>
      </c>
      <c r="G29" s="3">
        <v>19985</v>
      </c>
      <c r="H29" s="15"/>
      <c r="I29" s="5">
        <v>46319</v>
      </c>
      <c r="J29" s="4">
        <v>51613533</v>
      </c>
      <c r="K29" s="11">
        <v>217954</v>
      </c>
      <c r="L29" s="30"/>
      <c r="M29" s="5">
        <v>12142</v>
      </c>
      <c r="N29" s="3">
        <v>74</v>
      </c>
      <c r="O29" s="6">
        <v>43</v>
      </c>
      <c r="P29" s="19"/>
      <c r="Q29" s="19"/>
      <c r="R29" s="5">
        <v>50391</v>
      </c>
      <c r="S29" s="4">
        <v>198574</v>
      </c>
      <c r="T29" s="4">
        <v>9847321</v>
      </c>
      <c r="U29" s="4">
        <v>28277</v>
      </c>
      <c r="V29" s="11">
        <v>9468</v>
      </c>
      <c r="W29" s="5"/>
    </row>
    <row r="30" spans="1:23" ht="22.5" customHeight="1" x14ac:dyDescent="0.25">
      <c r="A30" s="2">
        <v>44527</v>
      </c>
      <c r="B30" s="3">
        <v>419120</v>
      </c>
      <c r="C30" s="3">
        <v>28361553</v>
      </c>
      <c r="D30" s="3">
        <v>7642413</v>
      </c>
      <c r="E30" s="15"/>
      <c r="F30" s="3">
        <v>67330</v>
      </c>
      <c r="G30" s="5">
        <v>19990</v>
      </c>
      <c r="H30" s="16"/>
      <c r="I30" s="5">
        <v>46394</v>
      </c>
      <c r="J30" s="4">
        <v>51617651</v>
      </c>
      <c r="K30" s="5">
        <v>218080</v>
      </c>
      <c r="L30" s="16"/>
      <c r="M30" s="5">
        <v>12561</v>
      </c>
      <c r="N30" s="5">
        <v>77</v>
      </c>
      <c r="O30" s="6">
        <v>43</v>
      </c>
      <c r="P30" s="19"/>
      <c r="Q30" s="19"/>
      <c r="R30" s="5">
        <v>50469</v>
      </c>
      <c r="S30" s="4">
        <v>198715</v>
      </c>
      <c r="T30" s="4">
        <v>9856097</v>
      </c>
      <c r="U30" s="4">
        <v>28280</v>
      </c>
      <c r="V30" s="5">
        <v>40011</v>
      </c>
      <c r="W30" s="5"/>
    </row>
    <row r="31" spans="1:23" ht="23.25" customHeight="1" x14ac:dyDescent="0.25">
      <c r="A31" s="2">
        <v>44528</v>
      </c>
      <c r="B31" s="3">
        <v>4240464</v>
      </c>
      <c r="C31" s="3">
        <v>28370959</v>
      </c>
      <c r="D31" s="5">
        <v>7646029</v>
      </c>
      <c r="E31" s="15"/>
      <c r="F31" s="5">
        <v>67437</v>
      </c>
      <c r="G31" s="5">
        <v>19999</v>
      </c>
      <c r="H31" s="16"/>
      <c r="I31" s="3">
        <v>46486</v>
      </c>
      <c r="J31" s="4">
        <v>51621842</v>
      </c>
      <c r="K31" s="10">
        <v>218209</v>
      </c>
      <c r="L31" s="29"/>
      <c r="M31" s="3">
        <v>12989</v>
      </c>
      <c r="N31" s="5">
        <v>79</v>
      </c>
      <c r="O31" s="6">
        <v>46</v>
      </c>
      <c r="P31" s="19"/>
      <c r="Q31" s="19"/>
      <c r="R31" s="3">
        <v>50509</v>
      </c>
      <c r="S31" s="4">
        <v>198858</v>
      </c>
      <c r="T31" s="4">
        <v>9865448</v>
      </c>
      <c r="U31" s="4">
        <v>28285</v>
      </c>
      <c r="V31" s="10">
        <v>40716</v>
      </c>
      <c r="W31" s="5"/>
    </row>
    <row r="32" spans="1:23" ht="23.25" customHeight="1" x14ac:dyDescent="0.25">
      <c r="A32" s="2">
        <v>44529</v>
      </c>
      <c r="B32" s="3">
        <v>428415</v>
      </c>
      <c r="C32" s="3">
        <v>28379856</v>
      </c>
      <c r="D32" s="5">
        <v>7649408</v>
      </c>
      <c r="E32" s="16"/>
      <c r="F32" s="5">
        <v>67529</v>
      </c>
      <c r="G32" s="3">
        <v>20000</v>
      </c>
      <c r="H32" s="15"/>
      <c r="I32" s="3">
        <v>46570</v>
      </c>
      <c r="J32" s="5">
        <v>51626133</v>
      </c>
      <c r="K32" s="3">
        <v>218311</v>
      </c>
      <c r="L32" s="15"/>
      <c r="M32" s="3">
        <v>13398</v>
      </c>
      <c r="N32" s="3">
        <v>82</v>
      </c>
      <c r="O32" s="6">
        <v>47</v>
      </c>
      <c r="P32" s="19"/>
      <c r="Q32" s="19"/>
      <c r="R32" s="3">
        <v>50509</v>
      </c>
      <c r="S32" s="5">
        <v>199024</v>
      </c>
      <c r="T32" s="5">
        <v>987889</v>
      </c>
      <c r="U32" s="5">
        <v>28287</v>
      </c>
      <c r="V32" s="3">
        <v>1627</v>
      </c>
      <c r="W32" s="5"/>
    </row>
    <row r="33" spans="1:23" ht="21.75" customHeight="1" x14ac:dyDescent="0.25">
      <c r="A33" s="2">
        <v>44530</v>
      </c>
      <c r="B33" s="31">
        <v>433123</v>
      </c>
      <c r="C33" s="5">
        <v>28389437</v>
      </c>
      <c r="D33" s="32">
        <v>7652931</v>
      </c>
      <c r="E33" s="16"/>
      <c r="F33" s="3">
        <v>67617</v>
      </c>
      <c r="G33" s="3">
        <v>20005</v>
      </c>
      <c r="H33" s="15"/>
      <c r="I33" s="3">
        <v>46644</v>
      </c>
      <c r="J33" s="3">
        <v>51630104</v>
      </c>
      <c r="K33" s="3">
        <v>218432</v>
      </c>
      <c r="L33" s="15"/>
      <c r="M33" s="3">
        <v>13833</v>
      </c>
      <c r="N33" s="3">
        <v>84</v>
      </c>
      <c r="O33" s="6">
        <v>49</v>
      </c>
      <c r="P33" s="19"/>
      <c r="Q33" s="19"/>
      <c r="R33" s="3">
        <v>50509</v>
      </c>
      <c r="S33" s="3">
        <v>199157</v>
      </c>
      <c r="T33" s="3">
        <v>988008</v>
      </c>
      <c r="U33" s="3">
        <v>28288</v>
      </c>
      <c r="V33" s="3">
        <v>42398</v>
      </c>
      <c r="W33" s="3"/>
    </row>
    <row r="34" spans="1:23" ht="21" customHeight="1" x14ac:dyDescent="0.25">
      <c r="A34" s="2"/>
      <c r="B34" s="3"/>
      <c r="C34" s="3"/>
      <c r="D34" s="3"/>
      <c r="E34" s="15"/>
      <c r="F34" s="3"/>
      <c r="G34" s="3"/>
      <c r="H34" s="15"/>
      <c r="I34" s="3"/>
      <c r="J34" s="3"/>
      <c r="K34" s="3"/>
      <c r="L34" s="15"/>
      <c r="M34" s="3"/>
      <c r="N34" s="3"/>
      <c r="O34" s="6"/>
      <c r="P34" s="19"/>
      <c r="Q34" s="19"/>
      <c r="R34" s="3"/>
      <c r="S34" s="3"/>
      <c r="T34" s="3"/>
      <c r="U34" s="3"/>
      <c r="V34" s="3"/>
      <c r="W34" s="3"/>
    </row>
    <row r="35" spans="1:23" ht="19.5" customHeight="1" x14ac:dyDescent="0.25">
      <c r="A35" s="2"/>
      <c r="B35" s="12"/>
      <c r="C35" s="12"/>
      <c r="D35" s="12"/>
      <c r="E35" s="20"/>
      <c r="F35" s="12"/>
      <c r="G35" s="12"/>
      <c r="H35" s="20"/>
      <c r="I35" s="12"/>
      <c r="J35" s="12"/>
      <c r="K35" s="12"/>
      <c r="L35" s="20"/>
      <c r="M35" s="12"/>
      <c r="N35" s="12"/>
      <c r="O35" s="12"/>
      <c r="P35" s="20"/>
      <c r="Q35" s="20"/>
      <c r="R35" s="12"/>
      <c r="S35" s="12"/>
      <c r="T35" s="12"/>
      <c r="U35" s="12"/>
      <c r="V35" s="12"/>
      <c r="W35" s="12"/>
    </row>
    <row r="36" spans="1:23" ht="15.75" x14ac:dyDescent="0.25">
      <c r="A36" s="34" t="s">
        <v>23</v>
      </c>
      <c r="B36" s="35">
        <f>B33-B4</f>
        <v>135442</v>
      </c>
      <c r="C36" s="35">
        <f>C33-C4</f>
        <v>276520</v>
      </c>
      <c r="D36" s="35">
        <f>D33-D4</f>
        <v>107924</v>
      </c>
      <c r="E36" s="20"/>
      <c r="F36" s="35">
        <f>F33-F4</f>
        <v>2857</v>
      </c>
      <c r="G36" s="35">
        <f>G33-G4</f>
        <v>-79845</v>
      </c>
      <c r="H36" s="20"/>
      <c r="I36" s="35">
        <f>I33-I4</f>
        <v>1757</v>
      </c>
      <c r="J36" s="36">
        <f>J33-J4</f>
        <v>147883</v>
      </c>
      <c r="K36" s="36">
        <f>K33-K4</f>
        <v>2739</v>
      </c>
      <c r="L36" s="20"/>
      <c r="M36" s="35">
        <f>M33-M4</f>
        <v>12241</v>
      </c>
      <c r="N36" s="35">
        <f t="shared" ref="N36:O36" si="0">N33-N4</f>
        <v>75</v>
      </c>
      <c r="O36" s="35">
        <f t="shared" si="0"/>
        <v>45</v>
      </c>
      <c r="P36" s="20"/>
      <c r="Q36" s="20"/>
      <c r="R36" s="35">
        <v>0</v>
      </c>
      <c r="S36" s="36">
        <f>S33-S4</f>
        <v>4144</v>
      </c>
      <c r="T36" s="36">
        <f>T33-T4</f>
        <v>-8681224</v>
      </c>
      <c r="U36" s="36">
        <f t="shared" ref="U36:V36" si="1">U33-U4</f>
        <v>74</v>
      </c>
      <c r="V36" s="36">
        <f t="shared" si="1"/>
        <v>22519</v>
      </c>
    </row>
    <row r="37" spans="1:23" x14ac:dyDescent="0.25">
      <c r="A37" s="34" t="s">
        <v>26</v>
      </c>
      <c r="B37" s="37">
        <v>135548</v>
      </c>
      <c r="C37" s="37">
        <v>288848</v>
      </c>
      <c r="D37" s="37">
        <v>96932</v>
      </c>
      <c r="E37" s="38"/>
      <c r="F37" s="37">
        <v>3258</v>
      </c>
      <c r="G37" s="37">
        <v>180</v>
      </c>
      <c r="H37" s="38"/>
      <c r="I37" s="37">
        <v>1432</v>
      </c>
      <c r="J37" s="37">
        <v>17053802</v>
      </c>
      <c r="K37" s="37">
        <v>1599</v>
      </c>
      <c r="L37" s="38"/>
      <c r="M37" s="37">
        <v>12574</v>
      </c>
      <c r="N37" s="37">
        <v>68</v>
      </c>
      <c r="O37" s="37">
        <v>43</v>
      </c>
      <c r="P37" s="38"/>
      <c r="Q37" s="38"/>
      <c r="R37" s="37">
        <v>1</v>
      </c>
      <c r="S37" s="37">
        <v>4681</v>
      </c>
      <c r="T37" s="37">
        <v>200321</v>
      </c>
      <c r="U37" s="37">
        <v>65</v>
      </c>
      <c r="V37" s="37">
        <v>25408</v>
      </c>
    </row>
    <row r="38" spans="1:23" ht="15.75" x14ac:dyDescent="0.25">
      <c r="A38" s="34" t="s">
        <v>24</v>
      </c>
      <c r="B38" s="35">
        <f>B36-B37</f>
        <v>-106</v>
      </c>
      <c r="C38" s="35">
        <f t="shared" ref="C38:V38" si="2">C36-C37</f>
        <v>-12328</v>
      </c>
      <c r="D38" s="35">
        <f t="shared" si="2"/>
        <v>10992</v>
      </c>
      <c r="E38" s="15">
        <f t="shared" si="2"/>
        <v>0</v>
      </c>
      <c r="F38" s="35">
        <f t="shared" si="2"/>
        <v>-401</v>
      </c>
      <c r="G38" s="35">
        <f t="shared" si="2"/>
        <v>-80025</v>
      </c>
      <c r="H38" s="15">
        <f t="shared" si="2"/>
        <v>0</v>
      </c>
      <c r="I38" s="35">
        <f t="shared" si="2"/>
        <v>325</v>
      </c>
      <c r="J38" s="35">
        <f t="shared" si="2"/>
        <v>-16905919</v>
      </c>
      <c r="K38" s="35">
        <f t="shared" si="2"/>
        <v>1140</v>
      </c>
      <c r="L38" s="15">
        <f t="shared" si="2"/>
        <v>0</v>
      </c>
      <c r="M38" s="35">
        <f t="shared" si="2"/>
        <v>-333</v>
      </c>
      <c r="N38" s="35">
        <f t="shared" si="2"/>
        <v>7</v>
      </c>
      <c r="O38" s="35">
        <f t="shared" si="2"/>
        <v>2</v>
      </c>
      <c r="P38" s="15"/>
      <c r="Q38" s="15">
        <f t="shared" si="2"/>
        <v>0</v>
      </c>
      <c r="R38" s="35">
        <f t="shared" si="2"/>
        <v>-1</v>
      </c>
      <c r="S38" s="35">
        <f t="shared" si="2"/>
        <v>-537</v>
      </c>
      <c r="T38" s="35">
        <f t="shared" si="2"/>
        <v>-8881545</v>
      </c>
      <c r="U38" s="35">
        <f t="shared" si="2"/>
        <v>9</v>
      </c>
      <c r="V38" s="35">
        <f t="shared" si="2"/>
        <v>-2889</v>
      </c>
    </row>
    <row r="39" spans="1:23" x14ac:dyDescent="0.25">
      <c r="A39" s="34" t="s">
        <v>25</v>
      </c>
      <c r="B39" s="39">
        <f>B38/B37</f>
        <v>-7.8201080060200079E-4</v>
      </c>
      <c r="C39" s="39">
        <f t="shared" ref="C39:V39" si="3">C38/C37</f>
        <v>-4.2679886999390682E-2</v>
      </c>
      <c r="D39" s="39">
        <f t="shared" si="3"/>
        <v>0.11339908389386374</v>
      </c>
      <c r="E39" s="40"/>
      <c r="F39" s="39">
        <f t="shared" si="3"/>
        <v>-0.1230816451810927</v>
      </c>
      <c r="G39" s="39">
        <f t="shared" si="3"/>
        <v>-444.58333333333331</v>
      </c>
      <c r="H39" s="40"/>
      <c r="I39" s="39">
        <f t="shared" si="3"/>
        <v>0.22695530726256982</v>
      </c>
      <c r="J39" s="39">
        <f t="shared" si="3"/>
        <v>-0.99132844394464059</v>
      </c>
      <c r="K39" s="39">
        <f t="shared" si="3"/>
        <v>0.71294559099437149</v>
      </c>
      <c r="L39" s="40"/>
      <c r="M39" s="39">
        <f t="shared" si="3"/>
        <v>-2.6483219341498328E-2</v>
      </c>
      <c r="N39" s="39">
        <f t="shared" si="3"/>
        <v>0.10294117647058823</v>
      </c>
      <c r="O39" s="39">
        <f t="shared" si="3"/>
        <v>4.6511627906976744E-2</v>
      </c>
      <c r="P39" s="40"/>
      <c r="Q39" s="40"/>
      <c r="R39" s="39">
        <v>0</v>
      </c>
      <c r="S39" s="39">
        <f t="shared" si="3"/>
        <v>-0.11471907712027345</v>
      </c>
      <c r="T39" s="39">
        <f t="shared" si="3"/>
        <v>-44.336564813474375</v>
      </c>
      <c r="U39" s="39">
        <f t="shared" si="3"/>
        <v>0.13846153846153847</v>
      </c>
      <c r="V39" s="39">
        <f t="shared" si="3"/>
        <v>-0.11370434508816121</v>
      </c>
    </row>
  </sheetData>
  <mergeCells count="22">
    <mergeCell ref="W1:W3"/>
    <mergeCell ref="R2:R3"/>
    <mergeCell ref="S2:S3"/>
    <mergeCell ref="T2:T3"/>
    <mergeCell ref="U2:U3"/>
    <mergeCell ref="V2:V3"/>
    <mergeCell ref="R1:V1"/>
    <mergeCell ref="A1:A3"/>
    <mergeCell ref="B1:D1"/>
    <mergeCell ref="F1:G1"/>
    <mergeCell ref="I1:K1"/>
    <mergeCell ref="M1:Q1"/>
    <mergeCell ref="K2:K3"/>
    <mergeCell ref="M2:M3"/>
    <mergeCell ref="N2:N3"/>
    <mergeCell ref="O2:O3"/>
    <mergeCell ref="P2:P3"/>
    <mergeCell ref="F2:F3"/>
    <mergeCell ref="G2:G3"/>
    <mergeCell ref="I2:I3"/>
    <mergeCell ref="J2:J3"/>
    <mergeCell ref="Q2:Q3"/>
  </mergeCells>
  <pageMargins left="0" right="0" top="0" bottom="0" header="0" footer="0"/>
  <pageSetup paperSize="5" scale="7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Four Seasons Hotel Baltimore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Gibbons</dc:creator>
  <cp:lastModifiedBy>Robin Baugus</cp:lastModifiedBy>
  <cp:lastPrinted>2021-11-01T12:09:43Z</cp:lastPrinted>
  <dcterms:created xsi:type="dcterms:W3CDTF">2014-07-01T13:26:04Z</dcterms:created>
  <dcterms:modified xsi:type="dcterms:W3CDTF">2021-11-30T13:58:08Z</dcterms:modified>
</cp:coreProperties>
</file>