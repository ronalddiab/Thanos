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I17" i="10" s="1"/>
  <c r="H16" i="10"/>
  <c r="I16" i="10" s="1"/>
  <c r="H15" i="10"/>
  <c r="I15" i="10" s="1"/>
  <c r="H14" i="10"/>
  <c r="H13" i="10"/>
  <c r="I13" i="10" s="1"/>
  <c r="H12" i="10"/>
  <c r="H11" i="10"/>
  <c r="I11" i="10" s="1"/>
  <c r="H10" i="10"/>
  <c r="I10" i="10" s="1"/>
  <c r="H9" i="10"/>
  <c r="I9" i="10" s="1"/>
  <c r="H8" i="10"/>
  <c r="H7" i="10"/>
  <c r="H6" i="10"/>
  <c r="I6" i="10" s="1"/>
  <c r="I5" i="10"/>
  <c r="H5" i="10"/>
  <c r="H4" i="10"/>
  <c r="I4" i="10" s="1"/>
  <c r="G18" i="9"/>
  <c r="I18" i="9" s="1"/>
  <c r="J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18" i="8"/>
  <c r="G17" i="8"/>
  <c r="H17" i="8" s="1"/>
  <c r="G16" i="8"/>
  <c r="H16" i="8" s="1"/>
  <c r="G15" i="8"/>
  <c r="H15" i="8" s="1"/>
  <c r="G14" i="8"/>
  <c r="G13" i="8"/>
  <c r="G12" i="8"/>
  <c r="G11" i="8"/>
  <c r="H11" i="8" s="1"/>
  <c r="G10" i="8"/>
  <c r="H10" i="8" s="1"/>
  <c r="G9" i="8"/>
  <c r="H9" i="8" s="1"/>
  <c r="G8" i="8"/>
  <c r="G7" i="8"/>
  <c r="G6" i="8"/>
  <c r="G5" i="8"/>
  <c r="H5" i="8" s="1"/>
  <c r="G4" i="8"/>
  <c r="H4" i="8" s="1"/>
  <c r="H12" i="8" l="1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U35" i="10" s="1"/>
  <c r="H34" i="10"/>
  <c r="AX33" i="10"/>
  <c r="AV33" i="10"/>
  <c r="AS33" i="10"/>
  <c r="AQ33" i="10"/>
  <c r="AO33" i="10"/>
  <c r="AP33" i="10" s="1"/>
  <c r="AC33" i="10"/>
  <c r="AD34" i="10" s="1"/>
  <c r="T33" i="10"/>
  <c r="H33" i="10"/>
  <c r="AX32" i="10"/>
  <c r="AV32" i="10"/>
  <c r="AS32" i="10"/>
  <c r="AT33" i="10" s="1"/>
  <c r="AQ32" i="10"/>
  <c r="AO32" i="10"/>
  <c r="AP32" i="10" s="1"/>
  <c r="AC32" i="10"/>
  <c r="T32" i="10"/>
  <c r="H32" i="10"/>
  <c r="AX31" i="10"/>
  <c r="AV31" i="10"/>
  <c r="AS31" i="10"/>
  <c r="AQ31" i="10"/>
  <c r="AO31" i="10"/>
  <c r="AC31" i="10"/>
  <c r="T31" i="10"/>
  <c r="U32" i="10" s="1"/>
  <c r="H31" i="10"/>
  <c r="AX30" i="10"/>
  <c r="AV30" i="10"/>
  <c r="AS30" i="10"/>
  <c r="AQ30" i="10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U27" i="10" s="1"/>
  <c r="H27" i="10"/>
  <c r="AX26" i="10"/>
  <c r="AV26" i="10"/>
  <c r="AS26" i="10"/>
  <c r="AT27" i="10" s="1"/>
  <c r="AQ26" i="10"/>
  <c r="AR27" i="10" s="1"/>
  <c r="AO26" i="10"/>
  <c r="AC26" i="10"/>
  <c r="T26" i="10"/>
  <c r="H26" i="10"/>
  <c r="AX25" i="10"/>
  <c r="AV25" i="10"/>
  <c r="AS25" i="10"/>
  <c r="AT25" i="10" s="1"/>
  <c r="AQ25" i="10"/>
  <c r="AR26" i="10" s="1"/>
  <c r="AO25" i="10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O21" i="10"/>
  <c r="AC21" i="10"/>
  <c r="AD22" i="10" s="1"/>
  <c r="T21" i="10"/>
  <c r="H21" i="10"/>
  <c r="AX20" i="10"/>
  <c r="AV20" i="10"/>
  <c r="AS20" i="10"/>
  <c r="AQ20" i="10"/>
  <c r="AO20" i="10"/>
  <c r="AP20" i="10" s="1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T17" i="10" s="1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C8" i="10"/>
  <c r="T8" i="10"/>
  <c r="U8" i="10" s="1"/>
  <c r="E6" i="5"/>
  <c r="AX7" i="10"/>
  <c r="AV7" i="10"/>
  <c r="AS7" i="10"/>
  <c r="AQ7" i="10"/>
  <c r="AO7" i="10"/>
  <c r="AC7" i="10"/>
  <c r="AD7" i="10"/>
  <c r="T7" i="10"/>
  <c r="E5" i="5"/>
  <c r="AX6" i="10"/>
  <c r="AV6" i="10"/>
  <c r="AS6" i="10"/>
  <c r="AQ6" i="10"/>
  <c r="AR6" i="10" s="1"/>
  <c r="AO6" i="10"/>
  <c r="AC6" i="10"/>
  <c r="AD6" i="10" s="1"/>
  <c r="T6" i="10"/>
  <c r="AX5" i="10"/>
  <c r="AV5" i="10"/>
  <c r="AS5" i="10"/>
  <c r="AT6" i="10" s="1"/>
  <c r="AQ5" i="10"/>
  <c r="AO5" i="10"/>
  <c r="AP6" i="10" s="1"/>
  <c r="AC5" i="10"/>
  <c r="AD5" i="10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/>
  <c r="J31" i="9" s="1"/>
  <c r="G30" i="9"/>
  <c r="I30" i="9" s="1"/>
  <c r="G29" i="9"/>
  <c r="I29" i="9" s="1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/>
  <c r="J20" i="9" s="1"/>
  <c r="G19" i="9"/>
  <c r="I19" i="9" s="1"/>
  <c r="I35" i="8"/>
  <c r="G34" i="8"/>
  <c r="G33" i="8"/>
  <c r="H33" i="8" s="1"/>
  <c r="G32" i="8"/>
  <c r="G31" i="8"/>
  <c r="G30" i="8"/>
  <c r="H30" i="8" s="1"/>
  <c r="I28" i="5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20" i="10"/>
  <c r="U22" i="10"/>
  <c r="U23" i="10"/>
  <c r="U26" i="10"/>
  <c r="U28" i="10"/>
  <c r="U30" i="10"/>
  <c r="U31" i="10"/>
  <c r="U34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8" i="10"/>
  <c r="AT21" i="10"/>
  <c r="AT22" i="10"/>
  <c r="AT23" i="10"/>
  <c r="AT26" i="10"/>
  <c r="AT29" i="10"/>
  <c r="AT30" i="10"/>
  <c r="AT31" i="10"/>
  <c r="AT34" i="10"/>
  <c r="AP21" i="10"/>
  <c r="AP24" i="10"/>
  <c r="AP25" i="10"/>
  <c r="AP35" i="10"/>
  <c r="AW13" i="10"/>
  <c r="V13" i="10"/>
  <c r="J23" i="9" l="1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AX36" i="10"/>
  <c r="U11" i="10"/>
  <c r="AP14" i="10"/>
  <c r="AR19" i="10"/>
  <c r="AD20" i="10"/>
  <c r="AR22" i="10"/>
  <c r="AD26" i="10"/>
  <c r="AR31" i="10"/>
  <c r="AD32" i="10"/>
  <c r="AR34" i="10"/>
  <c r="J32" i="9"/>
  <c r="AP5" i="10"/>
  <c r="AU5" i="10" s="1"/>
  <c r="AP9" i="10"/>
  <c r="AP19" i="10"/>
  <c r="U21" i="10"/>
  <c r="AT28" i="10"/>
  <c r="AP28" i="10"/>
  <c r="U33" i="10"/>
  <c r="AP11" i="10"/>
  <c r="H21" i="8"/>
  <c r="J21" i="9"/>
  <c r="G19" i="5" s="1"/>
  <c r="J29" i="9"/>
  <c r="G27" i="5" s="1"/>
  <c r="G10" i="5"/>
  <c r="V9" i="10"/>
  <c r="H25" i="8"/>
  <c r="J28" i="9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D15" i="10"/>
  <c r="AP22" i="10"/>
  <c r="AU22" i="10" s="1"/>
  <c r="AU31" i="10"/>
  <c r="AP34" i="10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H22" i="8"/>
  <c r="I20" i="5" s="1"/>
  <c r="J19" i="9"/>
  <c r="G17" i="5" s="1"/>
  <c r="J24" i="9"/>
  <c r="G22" i="5" s="1"/>
  <c r="J30" i="9"/>
  <c r="E4" i="5"/>
  <c r="AP7" i="10"/>
  <c r="AD9" i="10"/>
  <c r="U10" i="10"/>
  <c r="AT10" i="10"/>
  <c r="AU10" i="10" s="1"/>
  <c r="AP12" i="10"/>
  <c r="AU12" i="10" s="1"/>
  <c r="AT15" i="10"/>
  <c r="AU15" i="10" s="1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I23" i="5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V35" i="10" s="1"/>
  <c r="W35" i="10" s="1"/>
  <c r="AU35" i="10"/>
  <c r="AU28" i="10"/>
  <c r="AU9" i="10"/>
  <c r="AU32" i="10"/>
  <c r="AT8" i="10"/>
  <c r="AR25" i="10"/>
  <c r="AU25" i="10" s="1"/>
  <c r="AR33" i="10"/>
  <c r="AU33" i="10" s="1"/>
  <c r="AP23" i="10"/>
  <c r="AU23" i="10" s="1"/>
  <c r="AT11" i="10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30" i="5"/>
  <c r="G11" i="5"/>
  <c r="G14" i="5"/>
  <c r="G28" i="5"/>
  <c r="G31" i="5"/>
  <c r="G16" i="5"/>
  <c r="G18" i="5"/>
  <c r="G29" i="5"/>
  <c r="L37" i="9"/>
  <c r="M37" i="9" s="1"/>
  <c r="G9" i="5"/>
  <c r="G26" i="5"/>
  <c r="AW21" i="10"/>
  <c r="V21" i="10"/>
  <c r="W21" i="10" s="1"/>
  <c r="AE21" i="10"/>
  <c r="AF21" i="10" s="1"/>
  <c r="AE22" i="10"/>
  <c r="AF22" i="10" s="1"/>
  <c r="AW30" i="10"/>
  <c r="V30" i="10"/>
  <c r="W30" i="10" s="1"/>
  <c r="V11" i="10"/>
  <c r="W11" i="10" s="1"/>
  <c r="AE11" i="10"/>
  <c r="AF11" i="10" s="1"/>
  <c r="AW11" i="10"/>
  <c r="V29" i="10"/>
  <c r="W29" i="10" s="1"/>
  <c r="AE6" i="10"/>
  <c r="AF6" i="10" s="1"/>
  <c r="AE17" i="10"/>
  <c r="AF17" i="10" s="1"/>
  <c r="V17" i="10"/>
  <c r="W17" i="10" s="1"/>
  <c r="AW17" i="10"/>
  <c r="AW25" i="10"/>
  <c r="V33" i="10"/>
  <c r="W33" i="10" s="1"/>
  <c r="AE33" i="10"/>
  <c r="AF33" i="10" s="1"/>
  <c r="AW33" i="10"/>
  <c r="AW18" i="10"/>
  <c r="AE18" i="10"/>
  <c r="AF18" i="10" s="1"/>
  <c r="V18" i="10"/>
  <c r="W18" i="10" s="1"/>
  <c r="AW26" i="10"/>
  <c r="V34" i="10"/>
  <c r="W34" i="10" s="1"/>
  <c r="AW34" i="10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35" i="10"/>
  <c r="AE35" i="10"/>
  <c r="AF35" i="10" s="1"/>
  <c r="AW7" i="10"/>
  <c r="AW5" i="10"/>
  <c r="AE7" i="10"/>
  <c r="AF7" i="10" s="1"/>
  <c r="AE8" i="10"/>
  <c r="AF8" i="10" s="1"/>
  <c r="AE9" i="10"/>
  <c r="V10" i="10"/>
  <c r="V24" i="10" l="1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<sst xmlns="http://schemas.openxmlformats.org/spreadsheetml/2006/main" count="116" uniqueCount="58">
  <si>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</si>
  <si>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</si>
  <si>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</si>
  <si>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</si>
  <si>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</si>
  <si>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</si>
  <si>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</si>
  <si>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</si>
  <si>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</si>
  <si>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</si>
  <si>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</si>
  <si>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</si>
  <si>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</si>
  <si>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</si>
  <si>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</si>
  <si>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</si>
  <si>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</si>
  <si>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</si>
  <si>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</si>
  <si>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</si>
  <si>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</si>
  <si>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</si>
  <si>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</si>
  <si>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</si>
  <si>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</si>
  <si>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</si>
  <si>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</si>
  <si>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</si>
  <si>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</si>
  <si>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</si>
  <si>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</si>
  <si>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</si>
  <si>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</si>
  <si>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</si>
  <si>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</si>
  <si>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</si>
  <si>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</si>
  <si>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</si>
  <si>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</si>
  <si>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</si>
  <si>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</si>
  <si>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</si>
  <si>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</si>
  <si>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</si>
  <si>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</si>
  <si>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</si>
  <si>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</si>
  <si>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</si>
  <si>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</si>
  <si>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</si>
  <si>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</si>
  <si>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</si>
  <si>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</si>
  <si>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</si>
  <si>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</si>
  <si>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Istanbul at Sultanahmet</t>
  </si>
  <si>
    <t>BİRİM FİYAT : 0.70  x 44794,8 =28668,6 TL/Kwh+KDV</t>
  </si>
  <si>
    <t>BİRİM FİYAT :   12.93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</si>
</sst>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0296"/>
        <c:axId val="8799512"/>
      </c:lineChart>
      <c:dateAx>
        <c:axId val="8800296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9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879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0296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944"/>
        <c:axId val="8801080"/>
      </c:lineChart>
      <c:dateAx>
        <c:axId val="879794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080"/>
        <c:crosses val="autoZero"/>
        <c:auto val="0"/>
        <c:lblOffset val="100"/>
        <c:baseTimeUnit val="days"/>
      </c:dateAx>
      <c:valAx>
        <c:axId val="88010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94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31736"/>
        <c:axId val="371832520"/>
      </c:lineChart>
      <c:dateAx>
        <c:axId val="3718317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2520"/>
        <c:crosses val="autoZero"/>
        <c:auto val="0"/>
        <c:lblOffset val="100"/>
        <c:baseTimeUnit val="days"/>
        <c:majorUnit val="1"/>
        <c:majorTimeUnit val="days"/>
      </c:dateAx>
      <c:valAx>
        <c:axId val="371832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17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0" zoomScale="110" zoomScaleNormal="110" workbookViewId="0">
      <selection activeCell="M6" sqref="M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0.7</v>
      </c>
      <c r="G2" s="13">
        <v>0</v>
      </c>
      <c r="H2" s="3">
        <v>1.65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0.7</v>
      </c>
      <c r="G3" s="13">
        <f>Gas!J5</f>
        <v>0</v>
      </c>
      <c r="H3" s="3">
        <v>1.65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0.7</v>
      </c>
      <c r="G4" s="13">
        <f>Gas!J6</f>
        <v>0</v>
      </c>
      <c r="H4" s="3">
        <v>1.65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0.7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0.7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0.7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55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0.7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0.7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55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0.7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55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0.7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55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0.7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55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0.7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0.7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0.7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55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0.7</v>
      </c>
      <c r="G16" s="13">
        <f>Gas!J18</f>
        <v>0</v>
      </c>
      <c r="H16" s="3">
        <v>1.65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55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0.7</v>
      </c>
      <c r="G17" s="13">
        <f>Gas!J19</f>
        <v>0</v>
      </c>
      <c r="H17" s="3">
        <v>1.65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55</v>
      </c>
      <c r="B18" s="15">
        <f t="shared" si="0"/>
        <v>17</v>
      </c>
      <c r="C18" s="3">
        <v>3</v>
      </c>
      <c r="D18" s="12">
        <v>2021</v>
      </c>
      <c r="E18" s="13">
        <f>Electricity!I20</f>
        <v>1835.3999999985099</v>
      </c>
      <c r="F18" s="3">
        <v>0.7</v>
      </c>
      <c r="G18" s="13">
        <f>Gas!J20</f>
        <v>0</v>
      </c>
      <c r="H18" s="3">
        <v>1.65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55</v>
      </c>
      <c r="B19" s="15">
        <f t="shared" si="0"/>
        <v>18</v>
      </c>
      <c r="C19" s="3">
        <v>3</v>
      </c>
      <c r="D19" s="12">
        <v>2021</v>
      </c>
      <c r="E19" s="13">
        <f>Electricity!I21</f>
        <v>1868.519999999553</v>
      </c>
      <c r="F19" s="3">
        <v>0.7</v>
      </c>
      <c r="G19" s="13">
        <f>Gas!J21</f>
        <v>0</v>
      </c>
      <c r="H19" s="3">
        <v>1.65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55</v>
      </c>
      <c r="B20" s="15">
        <f t="shared" si="0"/>
        <v>19</v>
      </c>
      <c r="C20" s="3">
        <v>3</v>
      </c>
      <c r="D20" s="12">
        <v>2021</v>
      </c>
      <c r="E20" s="13">
        <f>Electricity!I22</f>
        <v>1901.640000000596</v>
      </c>
      <c r="F20" s="3">
        <v>0.7</v>
      </c>
      <c r="G20" s="13">
        <f>Gas!J22</f>
        <v>0</v>
      </c>
      <c r="H20" s="3">
        <v>1.65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55</v>
      </c>
      <c r="B21" s="15">
        <f t="shared" si="0"/>
        <v>20</v>
      </c>
      <c r="C21" s="3">
        <v>3</v>
      </c>
      <c r="D21" s="12">
        <v>2021</v>
      </c>
      <c r="E21" s="13">
        <f>Electricity!I23</f>
        <v>1705.6800000015646</v>
      </c>
      <c r="F21" s="3">
        <v>0.7</v>
      </c>
      <c r="G21" s="13">
        <f>Gas!J23</f>
        <v>0</v>
      </c>
      <c r="H21" s="3">
        <v>1.65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55</v>
      </c>
      <c r="B22" s="15">
        <f t="shared" si="0"/>
        <v>21</v>
      </c>
      <c r="C22" s="3">
        <v>3</v>
      </c>
      <c r="D22" s="12">
        <v>2021</v>
      </c>
      <c r="E22" s="13">
        <f>Electricity!I24</f>
        <v>1747.0800000000745</v>
      </c>
      <c r="F22" s="3">
        <v>0.7</v>
      </c>
      <c r="G22" s="13">
        <f>Gas!J24</f>
        <v>0</v>
      </c>
      <c r="H22" s="3">
        <v>1.65</v>
      </c>
      <c r="I22" s="13">
        <f>Water!H24</f>
        <v>4</v>
      </c>
      <c r="J22" s="3">
        <v>12.93</v>
      </c>
      <c r="K22" s="12">
        <v>0</v>
      </c>
    </row>
    <row r="23" spans="1:11" s="16" customFormat="1" x14ac:dyDescent="0.25">
      <c r="A23" s="26" t="s">
        <v>55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0.7</v>
      </c>
      <c r="G23" s="13">
        <f>Gas!J25</f>
        <v>0</v>
      </c>
      <c r="H23" s="3">
        <v>1.65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0.7</v>
      </c>
      <c r="G24" s="13">
        <f>Gas!J26</f>
        <v>0</v>
      </c>
      <c r="H24" s="3">
        <v>1.65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0.7</v>
      </c>
      <c r="G25" s="13">
        <f>Gas!J27</f>
        <v>0</v>
      </c>
      <c r="H25" s="3">
        <v>1.65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0.7</v>
      </c>
      <c r="G26" s="13">
        <f>Gas!J28</f>
        <v>0</v>
      </c>
      <c r="H26" s="3">
        <v>1.65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0.7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0.7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0.7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0.7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0.7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0.7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25" sqref="E2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54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28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ref="G19:G34" si="3">E19+F19</f>
        <v>10033</v>
      </c>
      <c r="H19" s="25">
        <f t="shared" ref="H19:H34" si="4">IF((G19-G18)&gt;0,G19-G18,0)</f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>
        <v>8971</v>
      </c>
      <c r="F20" s="24">
        <v>1065</v>
      </c>
      <c r="G20" s="24">
        <f t="shared" si="3"/>
        <v>10036</v>
      </c>
      <c r="H20" s="25">
        <f t="shared" si="4"/>
        <v>3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>
        <v>8974</v>
      </c>
      <c r="F21" s="24">
        <v>1065</v>
      </c>
      <c r="G21" s="24">
        <f t="shared" si="3"/>
        <v>10039</v>
      </c>
      <c r="H21" s="25">
        <f t="shared" si="4"/>
        <v>3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>
        <v>8979</v>
      </c>
      <c r="F22" s="24">
        <v>1065</v>
      </c>
      <c r="G22" s="24">
        <f t="shared" si="3"/>
        <v>10044</v>
      </c>
      <c r="H22" s="25">
        <f t="shared" si="4"/>
        <v>5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>
        <v>8982</v>
      </c>
      <c r="F23" s="24">
        <v>1065</v>
      </c>
      <c r="G23" s="24">
        <f t="shared" si="3"/>
        <v>10047</v>
      </c>
      <c r="H23" s="25">
        <f t="shared" si="4"/>
        <v>3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>
        <v>8986</v>
      </c>
      <c r="F24" s="24">
        <v>1065</v>
      </c>
      <c r="G24" s="24">
        <f t="shared" si="3"/>
        <v>10051</v>
      </c>
      <c r="H24" s="25">
        <f t="shared" si="4"/>
        <v>4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3"/>
        <v>1065</v>
      </c>
      <c r="H25" s="25">
        <f t="shared" si="4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3"/>
        <v>1065</v>
      </c>
      <c r="H26" s="25">
        <f t="shared" si="4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29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3"/>
        <v>1065</v>
      </c>
      <c r="H27" s="25">
        <f t="shared" si="4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3"/>
        <v>1065</v>
      </c>
      <c r="H28" s="25">
        <f t="shared" si="4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3"/>
        <v>1065</v>
      </c>
      <c r="H29" s="25">
        <f t="shared" si="4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3"/>
        <v>1065</v>
      </c>
      <c r="H30" s="25">
        <f t="shared" si="4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30</v>
      </c>
      <c r="E35" s="49"/>
      <c r="F35" s="49"/>
      <c r="G35" s="29"/>
      <c r="H35" s="50">
        <f>SUM(H4:H34)</f>
        <v>61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31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5" sqref="F2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52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32</v>
      </c>
      <c r="C3" s="33" t="s">
        <v>33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ref="G19:G34" si="5">E19+F19</f>
        <v>932850</v>
      </c>
      <c r="H19" s="18">
        <v>1.3011159999999999</v>
      </c>
      <c r="I19" s="24">
        <f t="shared" ref="I19:I34" si="6">H19*G19</f>
        <v>1213746.0606</v>
      </c>
      <c r="J19" s="25">
        <f t="shared" ref="J19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>
        <v>760788</v>
      </c>
      <c r="F20" s="24">
        <v>172062</v>
      </c>
      <c r="G20" s="24">
        <f t="shared" si="5"/>
        <v>932850</v>
      </c>
      <c r="H20" s="18">
        <v>1.3011159999999999</v>
      </c>
      <c r="I20" s="24">
        <f t="shared" si="6"/>
        <v>1213746.0606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>
        <v>760788</v>
      </c>
      <c r="F21" s="24">
        <v>172062</v>
      </c>
      <c r="G21" s="24">
        <f t="shared" si="5"/>
        <v>932850</v>
      </c>
      <c r="H21" s="18">
        <v>1.3011159999999999</v>
      </c>
      <c r="I21" s="24">
        <f t="shared" si="6"/>
        <v>1213746.0606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>
        <v>760788</v>
      </c>
      <c r="F22" s="24">
        <v>172062</v>
      </c>
      <c r="G22" s="24">
        <f t="shared" si="5"/>
        <v>932850</v>
      </c>
      <c r="H22" s="18">
        <v>1.3011159999999999</v>
      </c>
      <c r="I22" s="24">
        <f t="shared" si="6"/>
        <v>1213746.0606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>
        <v>760788</v>
      </c>
      <c r="F23" s="24">
        <v>172062</v>
      </c>
      <c r="G23" s="24">
        <f t="shared" si="5"/>
        <v>932850</v>
      </c>
      <c r="H23" s="18">
        <v>1.3011159999999999</v>
      </c>
      <c r="I23" s="24">
        <f t="shared" si="6"/>
        <v>1213746.0606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>
        <v>760788</v>
      </c>
      <c r="F24" s="24">
        <v>172062</v>
      </c>
      <c r="G24" s="24">
        <f t="shared" si="5"/>
        <v>932850</v>
      </c>
      <c r="H24" s="18">
        <v>1.3011159999999999</v>
      </c>
      <c r="I24" s="24">
        <f t="shared" si="6"/>
        <v>1213746.0606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5"/>
        <v>0</v>
      </c>
      <c r="H25" s="18">
        <v>1.3011159999999999</v>
      </c>
      <c r="I25" s="24">
        <f t="shared" si="6"/>
        <v>0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5"/>
        <v>0</v>
      </c>
      <c r="H26" s="18">
        <v>1.3011159999999999</v>
      </c>
      <c r="I26" s="24">
        <f t="shared" si="6"/>
        <v>0</v>
      </c>
      <c r="J26" s="25">
        <f t="shared" si="7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5"/>
        <v>0</v>
      </c>
      <c r="H27" s="18">
        <v>1.3011159999999999</v>
      </c>
      <c r="I27" s="24">
        <f t="shared" si="6"/>
        <v>0</v>
      </c>
      <c r="J27" s="25">
        <f t="shared" si="7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5"/>
        <v>0</v>
      </c>
      <c r="H28" s="18">
        <v>1.3011159999999999</v>
      </c>
      <c r="I28" s="24">
        <f t="shared" si="6"/>
        <v>0</v>
      </c>
      <c r="J28" s="25">
        <f t="shared" si="7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5"/>
        <v>0</v>
      </c>
      <c r="H29" s="18">
        <v>1.3011159999999999</v>
      </c>
      <c r="I29" s="24">
        <f t="shared" si="6"/>
        <v>0</v>
      </c>
      <c r="J29" s="25">
        <f t="shared" si="7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5"/>
        <v>0</v>
      </c>
      <c r="H30" s="18">
        <v>1.3011159999999999</v>
      </c>
      <c r="I30" s="24">
        <f>H30*G30</f>
        <v>0</v>
      </c>
      <c r="J30" s="25">
        <f t="shared" si="7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5"/>
        <v>0</v>
      </c>
      <c r="H31" s="18">
        <v>1.3011159999999999</v>
      </c>
      <c r="I31" s="24">
        <f t="shared" si="6"/>
        <v>0</v>
      </c>
      <c r="J31" s="25">
        <f t="shared" si="7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5"/>
        <v>0</v>
      </c>
      <c r="H32" s="18">
        <v>1.3011159999999999</v>
      </c>
      <c r="I32" s="24">
        <f t="shared" si="6"/>
        <v>0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5"/>
        <v>0</v>
      </c>
      <c r="H33" s="18">
        <v>1.3011159999999999</v>
      </c>
      <c r="I33" s="24">
        <f t="shared" si="6"/>
        <v>0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5"/>
        <v>0</v>
      </c>
      <c r="H34" s="18">
        <v>1.3011159999999999</v>
      </c>
      <c r="I34" s="24">
        <f t="shared" si="6"/>
        <v>0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30</v>
      </c>
      <c r="E35" s="65"/>
      <c r="F35" s="65"/>
      <c r="G35" s="65"/>
      <c r="H35" s="65"/>
      <c r="I35" s="66"/>
      <c r="J35" s="50">
        <f>SUM(J4:J34)</f>
        <v>196.46851600008085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53</v>
      </c>
    </row>
    <row r="39" spans="4:18" ht="12.75" customHeight="1" x14ac:dyDescent="0.25">
      <c r="D39" s="55" t="s">
        <v>31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25" sqref="F25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51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49</v>
      </c>
      <c r="R1" s="108"/>
      <c r="S1" s="108"/>
      <c r="T1" s="108"/>
      <c r="U1" s="108"/>
      <c r="V1" s="108"/>
      <c r="W1" s="108"/>
      <c r="X1" s="108"/>
      <c r="Y1" s="17"/>
      <c r="Z1" s="108" t="s">
        <v>50</v>
      </c>
      <c r="AA1" s="108"/>
      <c r="AB1" s="108"/>
      <c r="AC1" s="108"/>
      <c r="AD1" s="108"/>
      <c r="AE1" s="108"/>
      <c r="AF1" s="108"/>
      <c r="AG1" s="108"/>
      <c r="AI1" s="108" t="s">
        <v>51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34</v>
      </c>
      <c r="D3" s="75" t="s">
        <v>35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36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37</v>
      </c>
      <c r="S3" s="19" t="s">
        <v>13</v>
      </c>
      <c r="T3" s="19" t="s">
        <v>38</v>
      </c>
      <c r="U3" s="19" t="s">
        <v>39</v>
      </c>
      <c r="V3" s="19" t="s">
        <v>40</v>
      </c>
      <c r="W3" s="19" t="s">
        <v>41</v>
      </c>
      <c r="X3" s="79" t="s">
        <v>42</v>
      </c>
      <c r="Y3" s="33"/>
      <c r="Z3" s="18" t="s">
        <v>11</v>
      </c>
      <c r="AA3" s="19" t="s">
        <v>37</v>
      </c>
      <c r="AB3" s="19" t="s">
        <v>13</v>
      </c>
      <c r="AC3" s="19" t="s">
        <v>38</v>
      </c>
      <c r="AD3" s="19" t="s">
        <v>43</v>
      </c>
      <c r="AE3" s="19" t="s">
        <v>40</v>
      </c>
      <c r="AF3" s="19" t="s">
        <v>44</v>
      </c>
      <c r="AG3" s="79" t="s">
        <v>42</v>
      </c>
      <c r="AI3" s="18" t="s">
        <v>11</v>
      </c>
      <c r="AJ3" s="19" t="s">
        <v>12</v>
      </c>
      <c r="AK3" s="79" t="s">
        <v>45</v>
      </c>
      <c r="AL3" s="79" t="s">
        <v>46</v>
      </c>
      <c r="AM3" s="79" t="s">
        <v>47</v>
      </c>
      <c r="AN3" s="19" t="s">
        <v>13</v>
      </c>
      <c r="AO3" s="109" t="s">
        <v>45</v>
      </c>
      <c r="AP3" s="110"/>
      <c r="AQ3" s="109" t="s">
        <v>46</v>
      </c>
      <c r="AR3" s="110"/>
      <c r="AS3" s="109" t="s">
        <v>47</v>
      </c>
      <c r="AT3" s="110"/>
      <c r="AU3" s="19"/>
      <c r="AV3" s="19" t="s">
        <v>14</v>
      </c>
      <c r="AW3" s="19" t="s">
        <v>15</v>
      </c>
      <c r="AX3" s="19" t="s">
        <v>36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107">
        <v>4646.5309999999999</v>
      </c>
      <c r="G19" s="23">
        <v>2760</v>
      </c>
      <c r="H19" s="24">
        <f t="shared" ref="H19:H35" si="28">G19*F19</f>
        <v>12824425.560000001</v>
      </c>
      <c r="I19" s="25">
        <f t="shared" ref="I19:I35" si="29">IF((H19-H18)&gt;0,H19-H18,0)</f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1813.320000000298</v>
      </c>
      <c r="AF19" s="87">
        <f t="shared" si="26"/>
        <v>0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107">
        <v>4647.1959999999999</v>
      </c>
      <c r="G20" s="23">
        <v>2760</v>
      </c>
      <c r="H20" s="24">
        <f t="shared" si="28"/>
        <v>12826260.959999999</v>
      </c>
      <c r="I20" s="25">
        <f t="shared" si="29"/>
        <v>1835.3999999985099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1835.3999999985099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1835.3999999985099</v>
      </c>
      <c r="AF20" s="87">
        <f t="shared" si="26"/>
        <v>0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1835.3999999985099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>
        <v>4647.8729999999996</v>
      </c>
      <c r="G21" s="23">
        <v>2760</v>
      </c>
      <c r="H21" s="24">
        <f t="shared" si="28"/>
        <v>12828129.479999999</v>
      </c>
      <c r="I21" s="25">
        <f t="shared" si="29"/>
        <v>1868.519999999553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1868.519999999553</v>
      </c>
      <c r="W21" s="87">
        <f t="shared" si="2"/>
        <v>0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1868.519999999553</v>
      </c>
      <c r="AF21" s="87">
        <f>AD21/AE21</f>
        <v>0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1868.519999999553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>
        <v>4648.5619999999999</v>
      </c>
      <c r="G22" s="23">
        <v>2760</v>
      </c>
      <c r="H22" s="24">
        <f t="shared" si="28"/>
        <v>12830031.119999999</v>
      </c>
      <c r="I22" s="25">
        <f t="shared" si="29"/>
        <v>1901.640000000596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1901.640000000596</v>
      </c>
      <c r="W22" s="87">
        <f t="shared" si="2"/>
        <v>0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1901.640000000596</v>
      </c>
      <c r="AF22" s="87">
        <f t="shared" si="26"/>
        <v>0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1901.640000000596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>
        <v>4649.18</v>
      </c>
      <c r="G23" s="23">
        <v>2760</v>
      </c>
      <c r="H23" s="24">
        <f t="shared" si="28"/>
        <v>12831736.800000001</v>
      </c>
      <c r="I23" s="25">
        <f t="shared" si="29"/>
        <v>1705.6800000015646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1705.6800000015646</v>
      </c>
      <c r="W23" s="87">
        <f t="shared" si="2"/>
        <v>0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1705.6800000015646</v>
      </c>
      <c r="AF23" s="87">
        <f t="shared" si="26"/>
        <v>0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1705.6800000015646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>
        <v>4649.8130000000001</v>
      </c>
      <c r="G24" s="23">
        <v>2760</v>
      </c>
      <c r="H24" s="24">
        <f t="shared" si="28"/>
        <v>12833483.880000001</v>
      </c>
      <c r="I24" s="25">
        <f t="shared" si="29"/>
        <v>1747.0800000000745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1747.0800000000745</v>
      </c>
      <c r="W24" s="87">
        <f t="shared" si="2"/>
        <v>0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1747.0800000000745</v>
      </c>
      <c r="AF24" s="87">
        <f t="shared" si="26"/>
        <v>0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1747.0800000000745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8"/>
        <v>0</v>
      </c>
      <c r="I25" s="25">
        <f t="shared" si="29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0</v>
      </c>
      <c r="AF25" s="87" t="e">
        <f t="shared" si="26"/>
        <v>#DIV/0!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0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8"/>
        <v>0</v>
      </c>
      <c r="I26" s="25">
        <f t="shared" si="29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0</v>
      </c>
      <c r="AF26" s="100" t="e">
        <f>AD26/AE26</f>
        <v>#DIV/0!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0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8"/>
        <v>0</v>
      </c>
      <c r="I27" s="25">
        <f t="shared" si="29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0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8"/>
        <v>0</v>
      </c>
      <c r="I28" s="25">
        <f t="shared" si="29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0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8"/>
        <v>0</v>
      </c>
      <c r="I29" s="25">
        <f t="shared" si="29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0</v>
      </c>
      <c r="AF29" s="100" t="e">
        <f t="shared" si="26"/>
        <v>#DIV/0!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0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8"/>
        <v>0</v>
      </c>
      <c r="I30" s="25">
        <f t="shared" si="29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0</v>
      </c>
      <c r="AF30" s="100" t="e">
        <f t="shared" si="26"/>
        <v>#DIV/0!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0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8"/>
        <v>0</v>
      </c>
      <c r="I31" s="25">
        <f t="shared" si="29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0</v>
      </c>
      <c r="AF31" s="100" t="e">
        <f t="shared" si="26"/>
        <v>#DIV/0!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0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8"/>
        <v>0</v>
      </c>
      <c r="I32" s="25">
        <f t="shared" si="29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0</v>
      </c>
      <c r="AF32" s="100" t="e">
        <f t="shared" si="26"/>
        <v>#DIV/0!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0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8"/>
        <v>0</v>
      </c>
      <c r="I33" s="25">
        <f t="shared" si="29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0</v>
      </c>
      <c r="AF33" s="100" t="e">
        <f t="shared" si="26"/>
        <v>#DIV/0!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8"/>
        <v>0</v>
      </c>
      <c r="I34" s="25">
        <f t="shared" si="29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30</v>
      </c>
      <c r="F36" s="49"/>
      <c r="G36" s="49"/>
      <c r="H36" s="29"/>
      <c r="I36" s="99">
        <f>SUM(I5:I35)</f>
        <v>32565.240000000224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30</v>
      </c>
      <c r="R36" s="49"/>
      <c r="S36" s="49"/>
      <c r="T36" s="29"/>
      <c r="U36" s="99"/>
      <c r="V36" s="99">
        <f t="shared" si="22"/>
        <v>32565.240000000224</v>
      </c>
      <c r="W36" s="100">
        <f>U36/V36</f>
        <v>0</v>
      </c>
      <c r="X36" s="88">
        <v>0.2</v>
      </c>
      <c r="Y36" s="33"/>
      <c r="Z36" s="102" t="s">
        <v>30</v>
      </c>
      <c r="AA36" s="40"/>
      <c r="AB36" s="49"/>
      <c r="AC36" s="29"/>
      <c r="AD36" s="99"/>
      <c r="AE36" s="99">
        <f>V36</f>
        <v>32565.240000000224</v>
      </c>
      <c r="AF36" s="100">
        <f>AD36/AE36</f>
        <v>0</v>
      </c>
      <c r="AG36" s="88">
        <v>0.15</v>
      </c>
      <c r="AI36" s="48" t="s">
        <v>30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33815.520000001416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48</v>
      </c>
      <c r="E38" s="54" t="s">
        <v>56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2021-03-21T03:57:51Z</dcterms:modified>
</cp:coreProperties>
</file>