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1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858" documentId="8_{5B502D95-7A37-4D5A-8B6B-374537CC2F26}" xr6:coauthVersionLast="47" xr6:coauthVersionMax="47" xr10:uidLastSave="{1A6F6D48-4C38-4060-B713-1040D0D5E59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2" l="1"/>
  <c r="V25" i="2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0" i="2"/>
  <c r="V21" i="2"/>
  <c r="V22" i="2"/>
  <c r="V23" i="2"/>
  <c r="N21" i="2"/>
  <c r="N22" i="2"/>
  <c r="N23" i="2"/>
  <c r="N24" i="2"/>
  <c r="M21" i="2"/>
  <c r="M22" i="2"/>
  <c r="M23" i="2"/>
  <c r="M24" i="2"/>
  <c r="L22" i="2"/>
  <c r="L23" i="2"/>
  <c r="L24" i="2"/>
  <c r="F21" i="2"/>
  <c r="F22" i="2"/>
  <c r="F23" i="2"/>
  <c r="F24" i="2"/>
  <c r="K21" i="6"/>
  <c r="I21" i="6"/>
  <c r="G23" i="6"/>
  <c r="G21" i="6"/>
  <c r="G22" i="6"/>
  <c r="E21" i="6"/>
  <c r="C21" i="6"/>
  <c r="K20" i="6"/>
  <c r="I20" i="6"/>
  <c r="G20" i="6"/>
  <c r="E20" i="6"/>
  <c r="C20" i="6"/>
  <c r="V19" i="2"/>
  <c r="N20" i="2"/>
  <c r="M20" i="2"/>
  <c r="L20" i="2"/>
  <c r="L21" i="2"/>
  <c r="F20" i="2"/>
  <c r="K19" i="6"/>
  <c r="I19" i="6"/>
  <c r="G19" i="6"/>
  <c r="E19" i="6"/>
  <c r="C19" i="6"/>
  <c r="V18" i="2"/>
  <c r="N19" i="2"/>
  <c r="M19" i="2"/>
  <c r="L19" i="2"/>
  <c r="M18" i="2"/>
  <c r="F19" i="2"/>
  <c r="K18" i="6"/>
  <c r="I18" i="6"/>
  <c r="G18" i="6"/>
  <c r="E18" i="6"/>
  <c r="C18" i="6"/>
  <c r="V17" i="2"/>
  <c r="N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M12" i="2"/>
  <c r="L12" i="2"/>
  <c r="F12" i="2"/>
  <c r="K11" i="6"/>
  <c r="I11" i="6"/>
  <c r="G11" i="6"/>
  <c r="E11" i="6"/>
  <c r="C11" i="6"/>
  <c r="Q10" i="2"/>
  <c r="V10" i="2"/>
  <c r="N11" i="2"/>
  <c r="N12" i="2"/>
  <c r="M11" i="2"/>
  <c r="N10" i="2"/>
  <c r="L11" i="2"/>
  <c r="F11" i="2"/>
  <c r="K10" i="6"/>
  <c r="I10" i="6"/>
  <c r="G10" i="6"/>
  <c r="E10" i="6"/>
  <c r="C10" i="6"/>
  <c r="M10" i="2"/>
  <c r="L10" i="2"/>
  <c r="F10" i="2"/>
  <c r="G4" i="4"/>
  <c r="E4" i="4"/>
  <c r="C4" i="4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E27" i="22"/>
  <c r="E28" i="22"/>
  <c r="E29" i="22"/>
  <c r="E30" i="22"/>
  <c r="E31" i="22"/>
  <c r="E32" i="22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G27" i="21"/>
  <c r="G28" i="21"/>
  <c r="G29" i="21"/>
  <c r="G30" i="21"/>
  <c r="G31" i="21"/>
  <c r="F27" i="21"/>
  <c r="F28" i="21"/>
  <c r="F29" i="21"/>
  <c r="F30" i="21"/>
  <c r="F31" i="21"/>
  <c r="F32" i="21"/>
  <c r="E27" i="21"/>
  <c r="E28" i="21"/>
  <c r="E29" i="21"/>
  <c r="E30" i="21"/>
  <c r="E31" i="21"/>
  <c r="E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X40" i="2"/>
  <c r="K37" i="6"/>
  <c r="I37" i="6"/>
  <c r="G37" i="6"/>
  <c r="E37" i="6"/>
  <c r="C37" i="6"/>
  <c r="X34" i="2"/>
  <c r="X35" i="2"/>
  <c r="X38" i="2"/>
  <c r="K36" i="6"/>
  <c r="I36" i="6"/>
  <c r="G36" i="6"/>
  <c r="E36" i="6"/>
  <c r="C36" i="6"/>
  <c r="K34" i="6"/>
  <c r="I34" i="6"/>
  <c r="G34" i="6"/>
  <c r="E34" i="6"/>
  <c r="C34" i="6"/>
  <c r="X33" i="2"/>
  <c r="K33" i="6"/>
  <c r="I33" i="6"/>
  <c r="G33" i="6"/>
  <c r="E33" i="6"/>
  <c r="C33" i="6"/>
  <c r="G27" i="4"/>
  <c r="E27" i="4"/>
  <c r="C27" i="4"/>
  <c r="K32" i="6"/>
  <c r="I32" i="6"/>
  <c r="G32" i="6"/>
  <c r="E32" i="6"/>
  <c r="C32" i="6"/>
  <c r="K31" i="6"/>
  <c r="I31" i="6"/>
  <c r="G31" i="6"/>
  <c r="E31" i="6"/>
  <c r="C31" i="6"/>
  <c r="X30" i="2"/>
  <c r="K30" i="6"/>
  <c r="I30" i="6"/>
  <c r="G30" i="6"/>
  <c r="E30" i="6"/>
  <c r="C30" i="6"/>
  <c r="X28" i="2"/>
  <c r="X29" i="2"/>
  <c r="K29" i="6"/>
  <c r="I29" i="6"/>
  <c r="G29" i="6"/>
  <c r="E29" i="6"/>
  <c r="C29" i="6"/>
  <c r="K28" i="6"/>
  <c r="I28" i="6"/>
  <c r="G28" i="6"/>
  <c r="E28" i="6"/>
  <c r="C28" i="6"/>
  <c r="X27" i="2"/>
  <c r="K27" i="6"/>
  <c r="I27" i="6"/>
  <c r="G27" i="6"/>
  <c r="E27" i="6"/>
  <c r="C27" i="6"/>
  <c r="X26" i="2"/>
  <c r="X24" i="2"/>
  <c r="X19" i="2"/>
  <c r="X20" i="2"/>
  <c r="X21" i="2"/>
  <c r="X22" i="2"/>
  <c r="X23" i="2"/>
  <c r="X17" i="2"/>
  <c r="X18" i="2"/>
  <c r="X13" i="2"/>
  <c r="X14" i="2"/>
  <c r="X15" i="2"/>
  <c r="X12" i="2"/>
  <c r="X10" i="2"/>
  <c r="K35" i="6"/>
  <c r="I35" i="6"/>
  <c r="G35" i="6"/>
  <c r="E35" i="6"/>
  <c r="C35" i="6"/>
  <c r="Q28" i="2"/>
  <c r="G21" i="4"/>
  <c r="E21" i="4"/>
  <c r="C21" i="4"/>
  <c r="K23" i="6"/>
  <c r="I23" i="6"/>
  <c r="E23" i="6"/>
  <c r="C23" i="6"/>
  <c r="K22" i="6"/>
  <c r="I22" i="6"/>
  <c r="E22" i="6"/>
  <c r="C22" i="6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32" i="22"/>
  <c r="K20" i="22"/>
  <c r="K21" i="22"/>
  <c r="K22" i="22"/>
  <c r="K23" i="22"/>
  <c r="K24" i="22"/>
  <c r="K25" i="22"/>
  <c r="K26" i="22"/>
  <c r="K31" i="22"/>
  <c r="K32" i="22"/>
  <c r="C35" i="4"/>
  <c r="G32" i="21"/>
  <c r="I32" i="22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9" i="4" l="1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P5" i="4" l="1"/>
  <c r="V11" i="2"/>
  <c r="X11" i="2" s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2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<sst xmlns="http://schemas.openxmlformats.org/spreadsheetml/2006/main" count="484" uniqueCount="187">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</sst>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2">
                  <c:v>106.79999999998836</c:v>
                </c:pt>
                <c:pt idx="3">
                  <c:v>102.20000000001164</c:v>
                </c:pt>
                <c:pt idx="4">
                  <c:v>110.89999999999418</c:v>
                </c:pt>
                <c:pt idx="5">
                  <c:v>111</c:v>
                </c:pt>
                <c:pt idx="6">
                  <c:v>127</c:v>
                </c:pt>
                <c:pt idx="7">
                  <c:v>103</c:v>
                </c:pt>
                <c:pt idx="8">
                  <c:v>110</c:v>
                </c:pt>
                <c:pt idx="9">
                  <c:v>122.5</c:v>
                </c:pt>
                <c:pt idx="10">
                  <c:v>116.10000000000582</c:v>
                </c:pt>
                <c:pt idx="11">
                  <c:v>144.39999999999418</c:v>
                </c:pt>
                <c:pt idx="12">
                  <c:v>110</c:v>
                </c:pt>
                <c:pt idx="13">
                  <c:v>113</c:v>
                </c:pt>
                <c:pt idx="14">
                  <c:v>129</c:v>
                </c:pt>
                <c:pt idx="15">
                  <c:v>114.10000000000582</c:v>
                </c:pt>
                <c:pt idx="16">
                  <c:v>116.89999999999418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2">
                  <c:v>3621</c:v>
                </c:pt>
                <c:pt idx="3">
                  <c:v>3575</c:v>
                </c:pt>
                <c:pt idx="4">
                  <c:v>3314</c:v>
                </c:pt>
                <c:pt idx="5">
                  <c:v>3297</c:v>
                </c:pt>
                <c:pt idx="6">
                  <c:v>3145</c:v>
                </c:pt>
                <c:pt idx="7">
                  <c:v>3258</c:v>
                </c:pt>
                <c:pt idx="8">
                  <c:v>3352</c:v>
                </c:pt>
                <c:pt idx="9">
                  <c:v>3785</c:v>
                </c:pt>
                <c:pt idx="10">
                  <c:v>2380</c:v>
                </c:pt>
                <c:pt idx="11">
                  <c:v>3938</c:v>
                </c:pt>
                <c:pt idx="12">
                  <c:v>3512</c:v>
                </c:pt>
                <c:pt idx="13">
                  <c:v>3510</c:v>
                </c:pt>
                <c:pt idx="14">
                  <c:v>3434</c:v>
                </c:pt>
                <c:pt idx="15">
                  <c:v>3121</c:v>
                </c:pt>
                <c:pt idx="16">
                  <c:v>4584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2">
                  <c:v>5590</c:v>
                </c:pt>
                <c:pt idx="3">
                  <c:v>5483</c:v>
                </c:pt>
                <c:pt idx="4">
                  <c:v>5519</c:v>
                </c:pt>
                <c:pt idx="5">
                  <c:v>4485</c:v>
                </c:pt>
                <c:pt idx="6">
                  <c:v>4460</c:v>
                </c:pt>
                <c:pt idx="7">
                  <c:v>4459</c:v>
                </c:pt>
                <c:pt idx="8">
                  <c:v>5585</c:v>
                </c:pt>
                <c:pt idx="9">
                  <c:v>4666</c:v>
                </c:pt>
                <c:pt idx="10">
                  <c:v>5397</c:v>
                </c:pt>
                <c:pt idx="11">
                  <c:v>5273</c:v>
                </c:pt>
                <c:pt idx="12">
                  <c:v>5160</c:v>
                </c:pt>
                <c:pt idx="13">
                  <c:v>4751</c:v>
                </c:pt>
                <c:pt idx="14">
                  <c:v>5434</c:v>
                </c:pt>
                <c:pt idx="15">
                  <c:v>5144</c:v>
                </c:pt>
                <c:pt idx="16">
                  <c:v>5828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2">
                  <c:v>2422</c:v>
                </c:pt>
                <c:pt idx="3">
                  <c:v>2723</c:v>
                </c:pt>
                <c:pt idx="4">
                  <c:v>2284</c:v>
                </c:pt>
                <c:pt idx="5">
                  <c:v>2245</c:v>
                </c:pt>
                <c:pt idx="6">
                  <c:v>2135</c:v>
                </c:pt>
                <c:pt idx="7">
                  <c:v>2320</c:v>
                </c:pt>
                <c:pt idx="8">
                  <c:v>2311</c:v>
                </c:pt>
                <c:pt idx="9">
                  <c:v>2259</c:v>
                </c:pt>
                <c:pt idx="10">
                  <c:v>2603</c:v>
                </c:pt>
                <c:pt idx="11">
                  <c:v>2186</c:v>
                </c:pt>
                <c:pt idx="12">
                  <c:v>2376</c:v>
                </c:pt>
                <c:pt idx="13">
                  <c:v>2551</c:v>
                </c:pt>
                <c:pt idx="14">
                  <c:v>2509</c:v>
                </c:pt>
                <c:pt idx="15">
                  <c:v>2528</c:v>
                </c:pt>
                <c:pt idx="16">
                  <c:v>2822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479.98815000000002</c:v>
                </c:pt>
                <c:pt idx="2">
                  <c:v>415.98973000000001</c:v>
                </c:pt>
                <c:pt idx="3">
                  <c:v>769.43280000000004</c:v>
                </c:pt>
                <c:pt idx="4">
                  <c:v>447.98894000000001</c:v>
                </c:pt>
                <c:pt idx="5">
                  <c:v>575.98577999999998</c:v>
                </c:pt>
                <c:pt idx="6">
                  <c:v>543.98657000000003</c:v>
                </c:pt>
                <c:pt idx="7">
                  <c:v>735.98183000000006</c:v>
                </c:pt>
                <c:pt idx="8">
                  <c:v>671.98341000000005</c:v>
                </c:pt>
                <c:pt idx="9">
                  <c:v>607.98499000000004</c:v>
                </c:pt>
                <c:pt idx="10">
                  <c:v>543.98657000000003</c:v>
                </c:pt>
                <c:pt idx="11">
                  <c:v>479.98815000000002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799.98025000000007</c:v>
                </c:pt>
                <c:pt idx="15">
                  <c:v>863.97867000000008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L26" sqref="L26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9.9649999999999999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11039</v>
      </c>
      <c r="F3" s="134">
        <v>1.05</v>
      </c>
      <c r="G3" s="134">
        <f>'Consommation mensuel énergie'!V11</f>
        <v>479.98815000000002</v>
      </c>
      <c r="H3" s="134">
        <v>9.9649999999999999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98</v>
      </c>
      <c r="L3" s="137">
        <f>'Consommation mensuel énergie'!E11</f>
        <v>137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11633</v>
      </c>
      <c r="F4" s="134">
        <v>1.05</v>
      </c>
      <c r="G4" s="134">
        <f>'Consommation mensuel énergie'!V12</f>
        <v>415.98973000000001</v>
      </c>
      <c r="H4" s="134">
        <v>9.9649999999999999</v>
      </c>
      <c r="I4" s="134">
        <f>'Consommation mensuel énergie'!F12</f>
        <v>106.79999999998836</v>
      </c>
      <c r="J4" s="134">
        <v>11.4</v>
      </c>
      <c r="K4" s="137">
        <f>'Consommation mensuel énergie'!D12</f>
        <v>108</v>
      </c>
      <c r="L4" s="137">
        <f>'Consommation mensuel énergie'!E12</f>
        <v>165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11781</v>
      </c>
      <c r="F5" s="134">
        <v>1.05</v>
      </c>
      <c r="G5" s="134">
        <f>'Consommation mensuel énergie'!V13</f>
        <v>769.43280000000004</v>
      </c>
      <c r="H5" s="134">
        <v>9.9649999999999999</v>
      </c>
      <c r="I5" s="134">
        <f>'Consommation mensuel énergie'!F13</f>
        <v>102.20000000001164</v>
      </c>
      <c r="J5" s="134">
        <v>11.4</v>
      </c>
      <c r="K5" s="137">
        <f>'Consommation mensuel énergie'!D13</f>
        <v>105</v>
      </c>
      <c r="L5" s="137">
        <f>'Consommation mensuel énergie'!E13</f>
        <v>164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11117</v>
      </c>
      <c r="F6" s="134">
        <v>1.05</v>
      </c>
      <c r="G6" s="134">
        <f>'Consommation mensuel énergie'!V14</f>
        <v>447.98894000000001</v>
      </c>
      <c r="H6" s="134">
        <v>9.9649999999999999</v>
      </c>
      <c r="I6" s="134">
        <f>'Consommation mensuel énergie'!F14</f>
        <v>110.89999999999418</v>
      </c>
      <c r="J6" s="134">
        <v>11.4</v>
      </c>
      <c r="K6" s="137">
        <f>'Consommation mensuel énergie'!D14</f>
        <v>113</v>
      </c>
      <c r="L6" s="137">
        <f>'Consommation mensuel énergie'!E14</f>
        <v>184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10027</v>
      </c>
      <c r="F7" s="134">
        <v>1.05</v>
      </c>
      <c r="G7" s="134">
        <f>'Consommation mensuel énergie'!V15</f>
        <v>575.98577999999998</v>
      </c>
      <c r="H7" s="134">
        <v>9.9649999999999999</v>
      </c>
      <c r="I7" s="134">
        <f>'Consommation mensuel énergie'!F15</f>
        <v>111</v>
      </c>
      <c r="J7" s="134">
        <v>11.4</v>
      </c>
      <c r="K7" s="137">
        <f>'Consommation mensuel énergie'!D15</f>
        <v>89</v>
      </c>
      <c r="L7" s="137">
        <f>'Consommation mensuel énergie'!E15</f>
        <v>130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9740</v>
      </c>
      <c r="F8" s="134">
        <v>1.05</v>
      </c>
      <c r="G8" s="134">
        <f>'Consommation mensuel énergie'!V16</f>
        <v>543.98657000000003</v>
      </c>
      <c r="H8" s="134">
        <v>9.9649999999999999</v>
      </c>
      <c r="I8" s="134">
        <f>'Consommation mensuel énergie'!F16</f>
        <v>127</v>
      </c>
      <c r="J8" s="134">
        <v>11.4</v>
      </c>
      <c r="K8" s="137">
        <f>'Consommation mensuel énergie'!D16</f>
        <v>128</v>
      </c>
      <c r="L8" s="137">
        <f>'Consommation mensuel énergie'!E16</f>
        <v>177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10037</v>
      </c>
      <c r="F9" s="134">
        <v>1.05</v>
      </c>
      <c r="G9" s="134">
        <f>'Consommation mensuel énergie'!V17</f>
        <v>735.98183000000006</v>
      </c>
      <c r="H9" s="134">
        <v>9.9649999999999999</v>
      </c>
      <c r="I9" s="134">
        <f>'Consommation mensuel énergie'!F17</f>
        <v>103</v>
      </c>
      <c r="J9" s="134">
        <v>11.4</v>
      </c>
      <c r="K9" s="137">
        <f>'Consommation mensuel énergie'!D17</f>
        <v>128</v>
      </c>
      <c r="L9" s="137">
        <f>'Consommation mensuel énergie'!E17</f>
        <v>166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11248</v>
      </c>
      <c r="F10" s="134">
        <v>1.05</v>
      </c>
      <c r="G10" s="134">
        <f>'Consommation mensuel énergie'!V19</f>
        <v>607.98499000000004</v>
      </c>
      <c r="H10" s="134">
        <v>9.9649999999999999</v>
      </c>
      <c r="I10" s="134">
        <f>'Consommation mensuel énergie'!F18</f>
        <v>110</v>
      </c>
      <c r="J10" s="134">
        <v>11.4</v>
      </c>
      <c r="K10" s="137">
        <f>'Consommation mensuel énergie'!D18</f>
        <v>144</v>
      </c>
      <c r="L10" s="137">
        <f>'Consommation mensuel énergie'!E18</f>
        <v>188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10710</v>
      </c>
      <c r="F11" s="134">
        <v>1.05</v>
      </c>
      <c r="G11" s="134">
        <f>'Consommation mensuel énergie'!V20</f>
        <v>543.98657000000003</v>
      </c>
      <c r="H11" s="134">
        <v>9.9649999999999999</v>
      </c>
      <c r="I11" s="134">
        <f>'Consommation mensuel énergie'!F19</f>
        <v>122.5</v>
      </c>
      <c r="J11" s="134">
        <v>11.4</v>
      </c>
      <c r="K11" s="137">
        <f>'Consommation mensuel énergie'!D19</f>
        <v>152</v>
      </c>
      <c r="L11" s="137">
        <f>'Consommation mensuel énergie'!E19</f>
        <v>210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10380</v>
      </c>
      <c r="F12" s="134">
        <v>1.05</v>
      </c>
      <c r="G12" s="134">
        <f>'Consommation mensuel énergie'!V21</f>
        <v>479.98815000000002</v>
      </c>
      <c r="H12" s="134">
        <v>9.9649999999999999</v>
      </c>
      <c r="I12" s="134">
        <f>'Consommation mensuel énergie'!F20</f>
        <v>116.10000000000582</v>
      </c>
      <c r="J12" s="134">
        <v>11.4</v>
      </c>
      <c r="K12" s="137">
        <f>'Consommation mensuel énergie'!D20</f>
        <v>116</v>
      </c>
      <c r="L12" s="137">
        <f>'Consommation mensuel énergie'!E20</f>
        <v>176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11397</v>
      </c>
      <c r="F13" s="134">
        <v>1.05</v>
      </c>
      <c r="G13" s="134">
        <f>'Consommation mensuel énergie'!V22</f>
        <v>511.98736000000002</v>
      </c>
      <c r="H13" s="134">
        <v>9.9649999999999999</v>
      </c>
      <c r="I13" s="134">
        <f>'Consommation mensuel énergie'!F21</f>
        <v>144.39999999999418</v>
      </c>
      <c r="J13" s="134">
        <v>11.4</v>
      </c>
      <c r="K13" s="137">
        <f>'Consommation mensuel énergie'!D21</f>
        <v>124</v>
      </c>
      <c r="L13" s="137">
        <f>'Consommation mensuel énergie'!E21</f>
        <v>205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11048</v>
      </c>
      <c r="F14" s="134">
        <v>1.05</v>
      </c>
      <c r="G14" s="134">
        <f>'Consommation mensuel énergie'!V23</f>
        <v>479.98815000000002</v>
      </c>
      <c r="H14" s="134">
        <v>9.9649999999999999</v>
      </c>
      <c r="I14" s="134">
        <f>'Consommation mensuel énergie'!F22</f>
        <v>110</v>
      </c>
      <c r="J14" s="134">
        <v>11.4</v>
      </c>
      <c r="K14" s="137">
        <f>'Consommation mensuel énergie'!D22</f>
        <v>139</v>
      </c>
      <c r="L14" s="137">
        <f>'Consommation mensuel énergie'!E22</f>
        <v>216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10812</v>
      </c>
      <c r="F15" s="134">
        <v>1.05</v>
      </c>
      <c r="G15" s="134">
        <f>'Consommation mensuel énergie'!V24</f>
        <v>799.98025000000007</v>
      </c>
      <c r="H15" s="134">
        <v>9.9649999999999999</v>
      </c>
      <c r="I15" s="134">
        <f>'Consommation mensuel énergie'!F23</f>
        <v>113</v>
      </c>
      <c r="J15" s="134">
        <v>11.4</v>
      </c>
      <c r="K15" s="137">
        <f>'Consommation mensuel énergie'!D23</f>
        <v>134</v>
      </c>
      <c r="L15" s="137">
        <f>'Consommation mensuel énergie'!E23</f>
        <v>190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11377</v>
      </c>
      <c r="F16" s="134">
        <v>1.05</v>
      </c>
      <c r="G16" s="134">
        <f>'Consommation mensuel énergie'!V25</f>
        <v>863.97867000000008</v>
      </c>
      <c r="H16" s="134">
        <v>9.9649999999999999</v>
      </c>
      <c r="I16" s="134">
        <f>'Consommation mensuel énergie'!F24</f>
        <v>129</v>
      </c>
      <c r="J16" s="134">
        <v>11.4</v>
      </c>
      <c r="K16" s="137">
        <f>'Consommation mensuel énergie'!D24</f>
        <v>176</v>
      </c>
      <c r="L16" s="137">
        <f>'Consommation mensuel énergie'!E24</f>
        <v>206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10793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114.10000000000582</v>
      </c>
      <c r="J17" s="134">
        <v>11.4</v>
      </c>
      <c r="K17" s="137">
        <f>'Consommation mensuel énergie'!D25</f>
        <v>173</v>
      </c>
      <c r="L17" s="137">
        <f>'Consommation mensuel énergie'!E25</f>
        <v>213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13234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116.89999999999418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énergie'!V41</f>
        <v>10049.2037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4" workbookViewId="0">
      <selection activeCell="I25" sqref="I25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énergie'!N14</f>
        <v>2284</v>
      </c>
      <c r="H3" s="137">
        <f>'Consommation mensuel énergie'!D11</f>
        <v>98</v>
      </c>
      <c r="I3" s="137">
        <f>'Consommation mensuel énergie'!E11</f>
        <v>137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3621</v>
      </c>
      <c r="F4" s="137">
        <f>'Consommation mensuel énergie'!M12</f>
        <v>5590</v>
      </c>
      <c r="G4" s="137">
        <f>'Consommation mensuel énergie'!N12</f>
        <v>2422</v>
      </c>
      <c r="H4" s="137">
        <f>'Consommation mensuel énergie'!D12</f>
        <v>108</v>
      </c>
      <c r="I4" s="137">
        <f>'Consommation mensuel énergie'!E12</f>
        <v>165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3575</v>
      </c>
      <c r="F5" s="137">
        <f>'Consommation mensuel énergie'!M13</f>
        <v>5483</v>
      </c>
      <c r="G5" s="137">
        <f>'Consommation mensuel énergie'!N13</f>
        <v>2723</v>
      </c>
      <c r="H5" s="137">
        <f>'Consommation mensuel énergie'!D13</f>
        <v>105</v>
      </c>
      <c r="I5" s="137">
        <f>'Consommation mensuel énergie'!E13</f>
        <v>164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3314</v>
      </c>
      <c r="F6" s="137">
        <f>'Consommation mensuel énergie'!M14</f>
        <v>5519</v>
      </c>
      <c r="G6" s="137">
        <f>'Consommation mensuel énergie'!N14</f>
        <v>2284</v>
      </c>
      <c r="H6" s="137">
        <f>'Consommation mensuel énergie'!D14</f>
        <v>113</v>
      </c>
      <c r="I6" s="137">
        <f>'Consommation mensuel énergie'!E14</f>
        <v>184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3297</v>
      </c>
      <c r="F7" s="137">
        <f>'Consommation mensuel énergie'!M15</f>
        <v>4485</v>
      </c>
      <c r="G7" s="137">
        <f>'Consommation mensuel énergie'!N15</f>
        <v>2245</v>
      </c>
      <c r="H7" s="137">
        <f>'Consommation mensuel énergie'!D15</f>
        <v>89</v>
      </c>
      <c r="I7" s="137">
        <f>'Consommation mensuel énergie'!E15</f>
        <v>130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3145</v>
      </c>
      <c r="F8" s="137">
        <f>'Consommation mensuel énergie'!M16</f>
        <v>4460</v>
      </c>
      <c r="G8" s="137">
        <f>'Consommation mensuel énergie'!N16</f>
        <v>2135</v>
      </c>
      <c r="H8" s="137">
        <f>'Consommation mensuel énergie'!D16</f>
        <v>128</v>
      </c>
      <c r="I8" s="137">
        <f>'Consommation mensuel énergie'!E16</f>
        <v>177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3258</v>
      </c>
      <c r="F9" s="137">
        <f>'Consommation mensuel énergie'!M17</f>
        <v>4459</v>
      </c>
      <c r="G9" s="137">
        <f>'Consommation mensuel énergie'!N17</f>
        <v>2320</v>
      </c>
      <c r="H9" s="137">
        <f>'Consommation mensuel énergie'!D17</f>
        <v>128</v>
      </c>
      <c r="I9" s="137">
        <f>'Consommation mensuel énergie'!E17</f>
        <v>166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3352</v>
      </c>
      <c r="F10" s="137">
        <f>'Consommation mensuel énergie'!M18</f>
        <v>5585</v>
      </c>
      <c r="G10" s="137">
        <f>'Consommation mensuel énergie'!N18</f>
        <v>2311</v>
      </c>
      <c r="H10" s="137">
        <f>'Consommation mensuel énergie'!D18</f>
        <v>144</v>
      </c>
      <c r="I10" s="137">
        <f>'Consommation mensuel énergie'!E18</f>
        <v>188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3785</v>
      </c>
      <c r="F11" s="137">
        <f>'Consommation mensuel énergie'!M19</f>
        <v>4666</v>
      </c>
      <c r="G11" s="137">
        <f>'Consommation mensuel énergie'!N19</f>
        <v>2259</v>
      </c>
      <c r="H11" s="137">
        <f>'Consommation mensuel énergie'!D19</f>
        <v>152</v>
      </c>
      <c r="I11" s="137">
        <f>'Consommation mensuel énergie'!E19</f>
        <v>210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2380</v>
      </c>
      <c r="F12" s="137">
        <f>'Consommation mensuel énergie'!M20</f>
        <v>5397</v>
      </c>
      <c r="G12" s="137">
        <f>'Consommation mensuel énergie'!N20</f>
        <v>2603</v>
      </c>
      <c r="H12" s="137">
        <f>'Consommation mensuel énergie'!D20</f>
        <v>116</v>
      </c>
      <c r="I12" s="137">
        <f>'Consommation mensuel énergie'!E20</f>
        <v>176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3938</v>
      </c>
      <c r="F13" s="137">
        <f>'Consommation mensuel énergie'!M21</f>
        <v>5273</v>
      </c>
      <c r="G13" s="137">
        <f>'Consommation mensuel énergie'!N21</f>
        <v>2186</v>
      </c>
      <c r="H13" s="137">
        <f>'Consommation mensuel énergie'!D21</f>
        <v>124</v>
      </c>
      <c r="I13" s="137">
        <f>'Consommation mensuel énergie'!E21</f>
        <v>205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3512</v>
      </c>
      <c r="F14" s="137">
        <f>'Consommation mensuel énergie'!M22</f>
        <v>5160</v>
      </c>
      <c r="G14" s="137">
        <f>'Consommation mensuel énergie'!N22</f>
        <v>2376</v>
      </c>
      <c r="H14" s="137">
        <f>'Consommation mensuel énergie'!D22</f>
        <v>139</v>
      </c>
      <c r="I14" s="137">
        <f>'Consommation mensuel énergie'!E22</f>
        <v>216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3510</v>
      </c>
      <c r="F15" s="137">
        <f>'Consommation mensuel énergie'!M23</f>
        <v>4751</v>
      </c>
      <c r="G15" s="137">
        <f>'Consommation mensuel énergie'!N23</f>
        <v>2551</v>
      </c>
      <c r="H15" s="137">
        <f>'Consommation mensuel énergie'!D23</f>
        <v>134</v>
      </c>
      <c r="I15" s="137">
        <f>'Consommation mensuel énergie'!E23</f>
        <v>190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3434</v>
      </c>
      <c r="F16" s="137">
        <f>'Consommation mensuel énergie'!M24</f>
        <v>5434</v>
      </c>
      <c r="G16" s="137">
        <f>'Consommation mensuel énergie'!N24</f>
        <v>2509</v>
      </c>
      <c r="H16" s="137">
        <f>'Consommation mensuel énergie'!D24</f>
        <v>176</v>
      </c>
      <c r="I16" s="137">
        <f>'Consommation mensuel énergie'!E24</f>
        <v>206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3121</v>
      </c>
      <c r="F17" s="137">
        <f>'Consommation mensuel énergie'!M25</f>
        <v>5144</v>
      </c>
      <c r="G17" s="137">
        <f>'Consommation mensuel énergie'!N25</f>
        <v>2528</v>
      </c>
      <c r="H17" s="137">
        <f>'Consommation mensuel énergie'!D25</f>
        <v>173</v>
      </c>
      <c r="I17" s="137">
        <f>'Consommation mensuel énergie'!E25</f>
        <v>213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4584</v>
      </c>
      <c r="F18" s="137">
        <f>'Consommation mensuel énergie'!M26</f>
        <v>5828</v>
      </c>
      <c r="G18" s="137">
        <f>'Consommation mensuel énergie'!N26</f>
        <v>2822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2" activePane="bottomRight" state="frozen"/>
      <selection pane="bottomRight" activeCell="F26" sqref="F26:F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/>
    <row r="4" spans="1:24" ht="39" hidden="1" customHeight="1" thickBot="1">
      <c r="A4" s="238"/>
      <c r="B4" s="238"/>
      <c r="C4" s="23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5"/>
      <c r="E5" s="5"/>
      <c r="F5" s="5"/>
      <c r="G5" s="5"/>
      <c r="H5" s="5"/>
      <c r="I5" s="5"/>
      <c r="J5" s="5"/>
      <c r="K5" s="5"/>
      <c r="L5" s="5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9">
        <f>F10*8.79</f>
        <v>914.15999999999985</v>
      </c>
      <c r="I10" s="170"/>
      <c r="J10" s="170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V10*11.79</f>
        <v>13204.474006499999</v>
      </c>
    </row>
    <row r="11" spans="1:24" ht="32.25" customHeight="1">
      <c r="A11" s="2"/>
      <c r="B11" s="6">
        <v>44622</v>
      </c>
      <c r="C11" s="7"/>
      <c r="D11" s="143">
        <v>98</v>
      </c>
      <c r="E11" s="143">
        <v>137</v>
      </c>
      <c r="F11" s="13">
        <f>'Suivi EAU-ELEC'!E10</f>
        <v>119.10000000000582</v>
      </c>
      <c r="G11" s="11"/>
      <c r="H11" s="169">
        <f t="shared" ref="H11:H21" si="0">F11*8.79</f>
        <v>1046.8890000000511</v>
      </c>
      <c r="I11" s="170"/>
      <c r="J11" s="170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10471.6101</v>
      </c>
      <c r="R11" s="11"/>
      <c r="S11" s="28"/>
      <c r="T11" s="11"/>
      <c r="U11" s="28"/>
      <c r="V11" s="146">
        <f>'Suvi Gaz'!O5</f>
        <v>479.98815000000002</v>
      </c>
      <c r="W11" s="11"/>
      <c r="X11" s="34">
        <f t="shared" ref="X11:X40" si="1">V11*11.79</f>
        <v>5659.0602884999998</v>
      </c>
    </row>
    <row r="12" spans="1:24" ht="32.25" customHeight="1">
      <c r="A12" s="2"/>
      <c r="B12" s="6">
        <v>44623</v>
      </c>
      <c r="C12" s="7"/>
      <c r="D12" s="143">
        <v>108</v>
      </c>
      <c r="E12" s="143">
        <v>165</v>
      </c>
      <c r="F12" s="13">
        <f>'Suivi EAU-ELEC'!E11</f>
        <v>106.79999999998836</v>
      </c>
      <c r="G12" s="11"/>
      <c r="H12" s="169">
        <f t="shared" si="0"/>
        <v>938.77199999989762</v>
      </c>
      <c r="I12" s="170"/>
      <c r="J12" s="170"/>
      <c r="K12" s="60">
        <v>42280</v>
      </c>
      <c r="L12" s="90">
        <f>'Suivi EAU-ELEC'!G11</f>
        <v>3621</v>
      </c>
      <c r="M12" s="91">
        <f>'Suivi EAU-ELEC'!I11</f>
        <v>5590</v>
      </c>
      <c r="N12" s="91">
        <f>'Suivi EAU-ELEC'!K11</f>
        <v>2422</v>
      </c>
      <c r="O12" s="91">
        <f>L12+M12+N12</f>
        <v>11633</v>
      </c>
      <c r="P12" s="11"/>
      <c r="Q12" s="34">
        <f>L12*0.6985+M12*0.9514+N12*1.3304</f>
        <v>11069.8233</v>
      </c>
      <c r="R12" s="11"/>
      <c r="S12" s="28"/>
      <c r="T12" s="11"/>
      <c r="U12" s="28"/>
      <c r="V12" s="146">
        <f>'Suvi Gaz'!O6</f>
        <v>415.98973000000001</v>
      </c>
      <c r="W12" s="11"/>
      <c r="X12" s="34">
        <f t="shared" si="1"/>
        <v>4904.5189166999999</v>
      </c>
    </row>
    <row r="13" spans="1:24" ht="32.25" customHeight="1">
      <c r="A13" s="2"/>
      <c r="B13" s="6">
        <v>44624</v>
      </c>
      <c r="C13" s="7"/>
      <c r="D13" s="143">
        <v>105</v>
      </c>
      <c r="E13" s="143">
        <v>164</v>
      </c>
      <c r="F13" s="13">
        <f>'Suivi EAU-ELEC'!E12</f>
        <v>102.20000000001164</v>
      </c>
      <c r="G13" s="11"/>
      <c r="H13" s="169">
        <f t="shared" si="0"/>
        <v>898.33800000010228</v>
      </c>
      <c r="I13" s="170"/>
      <c r="J13" s="170"/>
      <c r="K13" s="60">
        <v>42281</v>
      </c>
      <c r="L13" s="90">
        <f>'Suivi EAU-ELEC'!G12</f>
        <v>3575</v>
      </c>
      <c r="M13" s="91">
        <f>'Suivi EAU-ELEC'!I12</f>
        <v>5483</v>
      </c>
      <c r="N13" s="91">
        <f>'Suivi EAU-ELEC'!K12</f>
        <v>2723</v>
      </c>
      <c r="O13" s="91">
        <f t="shared" ref="O13:O40" si="2">L13+M13+N13</f>
        <v>11781</v>
      </c>
      <c r="P13" s="11"/>
      <c r="Q13" s="34">
        <f t="shared" ref="Q13:Q40" si="3">L13*0.6985+M13*0.9514+N13*1.3304</f>
        <v>11336.3429</v>
      </c>
      <c r="R13" s="11"/>
      <c r="S13" s="28"/>
      <c r="T13" s="11"/>
      <c r="U13" s="28"/>
      <c r="V13" s="146">
        <f>'Suvi Gaz'!O7</f>
        <v>769.43280000000004</v>
      </c>
      <c r="W13" s="11"/>
      <c r="X13" s="34">
        <f t="shared" si="1"/>
        <v>9071.6127120000001</v>
      </c>
    </row>
    <row r="14" spans="1:24" ht="32.25" customHeight="1">
      <c r="A14" s="2"/>
      <c r="B14" s="6">
        <v>44625</v>
      </c>
      <c r="C14" s="7"/>
      <c r="D14" s="143">
        <v>113</v>
      </c>
      <c r="E14" s="143">
        <v>184</v>
      </c>
      <c r="F14" s="13">
        <f>'Suivi EAU-ELEC'!E13</f>
        <v>110.89999999999418</v>
      </c>
      <c r="G14" s="12"/>
      <c r="H14" s="169">
        <f t="shared" si="0"/>
        <v>974.81099999994876</v>
      </c>
      <c r="I14" s="170"/>
      <c r="J14" s="170"/>
      <c r="K14" s="60">
        <v>42282</v>
      </c>
      <c r="L14" s="90">
        <f>'Suivi EAU-ELEC'!G13</f>
        <v>3314</v>
      </c>
      <c r="M14" s="91">
        <f>'Suivi EAU-ELEC'!I13</f>
        <v>5519</v>
      </c>
      <c r="N14" s="91">
        <f>'Suivi EAU-ELEC'!K13</f>
        <v>2284</v>
      </c>
      <c r="O14" s="91">
        <f t="shared" si="2"/>
        <v>11117</v>
      </c>
      <c r="P14" s="12"/>
      <c r="Q14" s="34">
        <f t="shared" si="3"/>
        <v>10604.2392</v>
      </c>
      <c r="R14" s="12"/>
      <c r="S14" s="28"/>
      <c r="T14" s="12"/>
      <c r="U14" s="28"/>
      <c r="V14" s="146">
        <f>'Suvi Gaz'!O8</f>
        <v>447.98894000000001</v>
      </c>
      <c r="W14" s="11"/>
      <c r="X14" s="34">
        <f t="shared" si="1"/>
        <v>5281.7896025999999</v>
      </c>
    </row>
    <row r="15" spans="1:24" ht="32.25" customHeight="1">
      <c r="A15" s="5"/>
      <c r="B15" s="6">
        <v>44626</v>
      </c>
      <c r="C15" s="7"/>
      <c r="D15" s="143">
        <v>89</v>
      </c>
      <c r="E15" s="143">
        <v>130</v>
      </c>
      <c r="F15" s="13">
        <f>'Suivi EAU-ELEC'!E14</f>
        <v>111</v>
      </c>
      <c r="G15" s="11"/>
      <c r="H15" s="169">
        <f t="shared" si="0"/>
        <v>975.68999999999994</v>
      </c>
      <c r="I15" s="170"/>
      <c r="J15" s="170"/>
      <c r="K15" s="60">
        <v>42283</v>
      </c>
      <c r="L15" s="90">
        <f>'Suivi EAU-ELEC'!G14</f>
        <v>3297</v>
      </c>
      <c r="M15" s="91">
        <f>'Suivi EAU-ELEC'!I14</f>
        <v>4485</v>
      </c>
      <c r="N15" s="91">
        <f>'Suivi EAU-ELEC'!K14</f>
        <v>2245</v>
      </c>
      <c r="O15" s="91">
        <f t="shared" si="2"/>
        <v>10027</v>
      </c>
      <c r="P15" s="12"/>
      <c r="Q15" s="34">
        <f>L15*0.6985+M15*0.9514+N15*1.3304</f>
        <v>9556.7314999999999</v>
      </c>
      <c r="R15" s="12"/>
      <c r="S15" s="28"/>
      <c r="T15" s="12"/>
      <c r="U15" s="28"/>
      <c r="V15" s="146">
        <f>'Suvi Gaz'!O9</f>
        <v>575.98577999999998</v>
      </c>
      <c r="W15" s="11"/>
      <c r="X15" s="34">
        <f t="shared" si="1"/>
        <v>6790.8723461999989</v>
      </c>
    </row>
    <row r="16" spans="1:24" ht="32.25" customHeight="1">
      <c r="A16" s="5"/>
      <c r="B16" s="6">
        <v>44627</v>
      </c>
      <c r="C16" s="7"/>
      <c r="D16" s="143">
        <v>128</v>
      </c>
      <c r="E16" s="143">
        <v>177</v>
      </c>
      <c r="F16" s="13">
        <f>'Suivi EAU-ELEC'!E15</f>
        <v>127</v>
      </c>
      <c r="G16" s="11"/>
      <c r="H16" s="169">
        <f t="shared" si="0"/>
        <v>1116.33</v>
      </c>
      <c r="I16" s="170"/>
      <c r="J16" s="170"/>
      <c r="K16" s="60">
        <v>42284</v>
      </c>
      <c r="L16" s="90">
        <f>'Suivi EAU-ELEC'!G15</f>
        <v>3145</v>
      </c>
      <c r="M16" s="91">
        <f>'Suivi EAU-ELEC'!I15</f>
        <v>4460</v>
      </c>
      <c r="N16" s="91">
        <f>'Suivi EAU-ELEC'!K15</f>
        <v>2135</v>
      </c>
      <c r="O16" s="91">
        <f t="shared" si="2"/>
        <v>9740</v>
      </c>
      <c r="P16" s="11"/>
      <c r="Q16" s="34">
        <f t="shared" si="3"/>
        <v>9280.4305000000004</v>
      </c>
      <c r="R16" s="11"/>
      <c r="S16" s="28"/>
      <c r="T16" s="11"/>
      <c r="U16" s="28"/>
      <c r="V16" s="146">
        <f>'Suvi Gaz'!O10</f>
        <v>543.98657000000003</v>
      </c>
      <c r="W16" s="11"/>
      <c r="X16" s="34">
        <f t="shared" si="1"/>
        <v>6413.6016602999998</v>
      </c>
    </row>
    <row r="17" spans="1:24" s="5" customFormat="1" ht="32.25" customHeight="1">
      <c r="A17" s="2"/>
      <c r="B17" s="6">
        <v>44628</v>
      </c>
      <c r="C17" s="7"/>
      <c r="D17" s="143">
        <v>128</v>
      </c>
      <c r="E17" s="143">
        <v>166</v>
      </c>
      <c r="F17" s="13">
        <f>'Suivi EAU-ELEC'!E16</f>
        <v>103</v>
      </c>
      <c r="G17" s="11"/>
      <c r="H17" s="169">
        <f t="shared" si="0"/>
        <v>905.36999999999989</v>
      </c>
      <c r="I17" s="170"/>
      <c r="J17" s="170"/>
      <c r="K17" s="60">
        <v>42285</v>
      </c>
      <c r="L17" s="90">
        <f>'Suivi EAU-ELEC'!G16</f>
        <v>3258</v>
      </c>
      <c r="M17" s="91">
        <f>'Suivi EAU-ELEC'!I16</f>
        <v>4459</v>
      </c>
      <c r="N17" s="91">
        <f>'Suivi EAU-ELEC'!K16</f>
        <v>2320</v>
      </c>
      <c r="O17" s="91">
        <f t="shared" si="2"/>
        <v>10037</v>
      </c>
      <c r="P17" s="12"/>
      <c r="Q17" s="34">
        <f t="shared" si="3"/>
        <v>9604.5336000000007</v>
      </c>
      <c r="R17" s="12"/>
      <c r="S17" s="28"/>
      <c r="T17" s="12"/>
      <c r="U17" s="28"/>
      <c r="V17" s="146">
        <f>'Suvi Gaz'!O11</f>
        <v>735.98183000000006</v>
      </c>
      <c r="W17" s="11"/>
      <c r="X17" s="34">
        <f t="shared" si="1"/>
        <v>8677.2257757000007</v>
      </c>
    </row>
    <row r="18" spans="1:24" ht="32.25" customHeight="1">
      <c r="A18" s="2"/>
      <c r="B18" s="6">
        <v>44629</v>
      </c>
      <c r="C18" s="7"/>
      <c r="D18" s="143">
        <v>144</v>
      </c>
      <c r="E18" s="143">
        <v>188</v>
      </c>
      <c r="F18" s="13">
        <f>'Suivi EAU-ELEC'!E17</f>
        <v>110</v>
      </c>
      <c r="G18" s="11"/>
      <c r="H18" s="169">
        <f t="shared" si="0"/>
        <v>966.89999999999986</v>
      </c>
      <c r="I18" s="170"/>
      <c r="J18" s="170"/>
      <c r="K18" s="60">
        <v>42286</v>
      </c>
      <c r="L18" s="90">
        <f>'Suivi EAU-ELEC'!G17</f>
        <v>3352</v>
      </c>
      <c r="M18" s="91">
        <f>'Suivi EAU-ELEC'!I17</f>
        <v>5585</v>
      </c>
      <c r="N18" s="91">
        <f>'Suivi EAU-ELEC'!K17</f>
        <v>2311</v>
      </c>
      <c r="O18" s="91">
        <f t="shared" si="2"/>
        <v>11248</v>
      </c>
      <c r="P18" s="12"/>
      <c r="Q18" s="34">
        <f t="shared" si="3"/>
        <v>10729.4954</v>
      </c>
      <c r="R18" s="12"/>
      <c r="S18" s="28"/>
      <c r="T18" s="12"/>
      <c r="U18" s="28"/>
      <c r="V18" s="146">
        <f>'Suvi Gaz'!O12</f>
        <v>671.98341000000005</v>
      </c>
      <c r="W18" s="11"/>
      <c r="X18" s="34">
        <f t="shared" si="1"/>
        <v>7922.6844038999998</v>
      </c>
    </row>
    <row r="19" spans="1:24" ht="32.25" customHeight="1">
      <c r="A19" s="2"/>
      <c r="B19" s="6">
        <v>44630</v>
      </c>
      <c r="C19" s="7"/>
      <c r="D19" s="143">
        <v>152</v>
      </c>
      <c r="E19" s="143">
        <v>210</v>
      </c>
      <c r="F19" s="13">
        <f>'Suivi EAU-ELEC'!E18</f>
        <v>122.5</v>
      </c>
      <c r="G19" s="12"/>
      <c r="H19" s="169">
        <f t="shared" si="0"/>
        <v>1076.7749999999999</v>
      </c>
      <c r="I19" s="170"/>
      <c r="J19" s="170"/>
      <c r="K19" s="60">
        <v>42287</v>
      </c>
      <c r="L19" s="90">
        <f>'Suivi EAU-ELEC'!G18</f>
        <v>3785</v>
      </c>
      <c r="M19" s="91">
        <f>'Suivi EAU-ELEC'!I18</f>
        <v>4666</v>
      </c>
      <c r="N19" s="91">
        <f>'Suivi EAU-ELEC'!K18</f>
        <v>2259</v>
      </c>
      <c r="O19" s="91">
        <f t="shared" si="2"/>
        <v>10710</v>
      </c>
      <c r="P19" s="12"/>
      <c r="Q19" s="34">
        <f t="shared" si="3"/>
        <v>10088.4285</v>
      </c>
      <c r="R19" s="12"/>
      <c r="S19" s="28"/>
      <c r="T19" s="12"/>
      <c r="U19" s="28"/>
      <c r="V19" s="146">
        <f>'Suvi Gaz'!O13</f>
        <v>607.98499000000004</v>
      </c>
      <c r="W19" s="11"/>
      <c r="X19" s="34">
        <f t="shared" si="1"/>
        <v>7168.1430320999998</v>
      </c>
    </row>
    <row r="20" spans="1:24" ht="32.25" customHeight="1">
      <c r="A20" s="2"/>
      <c r="B20" s="6">
        <v>44631</v>
      </c>
      <c r="C20" s="7"/>
      <c r="D20" s="143">
        <v>116</v>
      </c>
      <c r="E20" s="143">
        <v>176</v>
      </c>
      <c r="F20" s="13">
        <f>'Suivi EAU-ELEC'!E19</f>
        <v>116.10000000000582</v>
      </c>
      <c r="G20" s="12"/>
      <c r="H20" s="169">
        <f t="shared" si="0"/>
        <v>1020.5190000000511</v>
      </c>
      <c r="I20" s="170"/>
      <c r="J20" s="170"/>
      <c r="K20" s="60">
        <v>42288</v>
      </c>
      <c r="L20" s="90">
        <f>'Suivi EAU-ELEC'!G19</f>
        <v>2380</v>
      </c>
      <c r="M20" s="91">
        <f>'Suivi EAU-ELEC'!I19</f>
        <v>5397</v>
      </c>
      <c r="N20" s="91">
        <f>'Suivi EAU-ELEC'!K19</f>
        <v>2603</v>
      </c>
      <c r="O20" s="91">
        <f t="shared" si="2"/>
        <v>10380</v>
      </c>
      <c r="P20" s="12"/>
      <c r="Q20" s="34">
        <f t="shared" si="3"/>
        <v>10260.166999999999</v>
      </c>
      <c r="R20" s="12"/>
      <c r="S20" s="28"/>
      <c r="T20" s="12"/>
      <c r="U20" s="28"/>
      <c r="V20" s="146">
        <f>'Suvi Gaz'!O14</f>
        <v>543.98657000000003</v>
      </c>
      <c r="W20" s="11"/>
      <c r="X20" s="34">
        <f t="shared" si="1"/>
        <v>6413.6016602999998</v>
      </c>
    </row>
    <row r="21" spans="1:24" ht="32.25" customHeight="1">
      <c r="A21" s="2"/>
      <c r="B21" s="6">
        <v>44632</v>
      </c>
      <c r="C21" s="7"/>
      <c r="D21" s="143">
        <v>124</v>
      </c>
      <c r="E21" s="143">
        <v>205</v>
      </c>
      <c r="F21" s="13">
        <f>'Suivi EAU-ELEC'!E20</f>
        <v>144.39999999999418</v>
      </c>
      <c r="G21" s="12"/>
      <c r="H21" s="169">
        <f t="shared" si="0"/>
        <v>1269.2759999999487</v>
      </c>
      <c r="I21" s="170"/>
      <c r="J21" s="170"/>
      <c r="K21" s="60">
        <v>42289</v>
      </c>
      <c r="L21" s="90">
        <f>'Suivi EAU-ELEC'!G20</f>
        <v>3938</v>
      </c>
      <c r="M21" s="91">
        <f>'Suivi EAU-ELEC'!I20</f>
        <v>5273</v>
      </c>
      <c r="N21" s="91">
        <f>'Suivi EAU-ELEC'!K20</f>
        <v>2186</v>
      </c>
      <c r="O21" s="91">
        <f>L21+M21+N21</f>
        <v>11397</v>
      </c>
      <c r="P21" s="12"/>
      <c r="Q21" s="34">
        <f t="shared" si="3"/>
        <v>10675.679600000001</v>
      </c>
      <c r="R21" s="12"/>
      <c r="S21" s="28"/>
      <c r="T21" s="12"/>
      <c r="U21" s="28"/>
      <c r="V21" s="146">
        <f>'Suvi Gaz'!O15</f>
        <v>479.98815000000002</v>
      </c>
      <c r="W21" s="11"/>
      <c r="X21" s="34">
        <f t="shared" si="1"/>
        <v>5659.0602884999998</v>
      </c>
    </row>
    <row r="22" spans="1:24" ht="32.25" customHeight="1">
      <c r="A22" s="2"/>
      <c r="B22" s="6">
        <v>44633</v>
      </c>
      <c r="C22" s="7"/>
      <c r="D22" s="143">
        <v>139</v>
      </c>
      <c r="E22" s="143">
        <v>216</v>
      </c>
      <c r="F22" s="13">
        <f>'Suivi EAU-ELEC'!E21</f>
        <v>110</v>
      </c>
      <c r="G22" s="12"/>
      <c r="H22" s="169">
        <f t="shared" ref="H22:H35" si="4">F22*8.79</f>
        <v>966.89999999999986</v>
      </c>
      <c r="I22" s="170"/>
      <c r="J22" s="170"/>
      <c r="K22" s="60">
        <v>42290</v>
      </c>
      <c r="L22" s="90">
        <f>'Suivi EAU-ELEC'!G21</f>
        <v>3512</v>
      </c>
      <c r="M22" s="91">
        <f>'Suivi EAU-ELEC'!I21</f>
        <v>5160</v>
      </c>
      <c r="N22" s="91">
        <f>'Suivi EAU-ELEC'!K21</f>
        <v>2376</v>
      </c>
      <c r="O22" s="91">
        <f t="shared" si="2"/>
        <v>11048</v>
      </c>
      <c r="P22" s="12"/>
      <c r="Q22" s="34">
        <f t="shared" si="3"/>
        <v>10523.386399999999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6036.3309743999998</v>
      </c>
    </row>
    <row r="23" spans="1:24" ht="32.25" customHeight="1">
      <c r="A23" s="2"/>
      <c r="B23" s="6">
        <v>44634</v>
      </c>
      <c r="C23" s="7"/>
      <c r="D23" s="143">
        <v>134</v>
      </c>
      <c r="E23" s="143">
        <v>190</v>
      </c>
      <c r="F23" s="13">
        <f>'Suivi EAU-ELEC'!E22</f>
        <v>113</v>
      </c>
      <c r="G23" s="14"/>
      <c r="H23" s="169">
        <f t="shared" si="4"/>
        <v>993.26999999999987</v>
      </c>
      <c r="I23" s="170"/>
      <c r="J23" s="170"/>
      <c r="K23" s="60">
        <v>42291</v>
      </c>
      <c r="L23" s="90">
        <f>'Suivi EAU-ELEC'!G22</f>
        <v>3510</v>
      </c>
      <c r="M23" s="91">
        <f>'Suivi EAU-ELEC'!I22</f>
        <v>4751</v>
      </c>
      <c r="N23" s="91">
        <f>'Suivi EAU-ELEC'!K22</f>
        <v>2551</v>
      </c>
      <c r="O23" s="91">
        <f>L23+M23+N23</f>
        <v>10812</v>
      </c>
      <c r="P23" s="12"/>
      <c r="Q23" s="34">
        <f>L23*0.6985+M23*0.9514+N23*1.3304</f>
        <v>10365.686799999999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5659.0602884999998</v>
      </c>
    </row>
    <row r="24" spans="1:24" ht="32.25" customHeight="1">
      <c r="A24" s="2"/>
      <c r="B24" s="6">
        <v>44635</v>
      </c>
      <c r="C24" s="7"/>
      <c r="D24" s="143">
        <v>176</v>
      </c>
      <c r="E24" s="143">
        <v>206</v>
      </c>
      <c r="F24" s="13">
        <f>'Suivi EAU-ELEC'!E23</f>
        <v>129</v>
      </c>
      <c r="G24" s="14"/>
      <c r="H24" s="169">
        <f t="shared" si="4"/>
        <v>1133.9099999999999</v>
      </c>
      <c r="I24" s="170"/>
      <c r="J24" s="170"/>
      <c r="K24" s="60">
        <v>42292</v>
      </c>
      <c r="L24" s="90">
        <f>'Suivi EAU-ELEC'!G23</f>
        <v>3434</v>
      </c>
      <c r="M24" s="91">
        <f>'Suivi EAU-ELEC'!I23</f>
        <v>5434</v>
      </c>
      <c r="N24" s="91">
        <f>'Suivi EAU-ELEC'!K23</f>
        <v>2509</v>
      </c>
      <c r="O24" s="91">
        <f>L24+M24+N24</f>
        <v>11377</v>
      </c>
      <c r="P24" s="12"/>
      <c r="Q24" s="34">
        <f>L24*0.6985+M24*0.9514+N24*1.3304</f>
        <v>10906.530200000001</v>
      </c>
      <c r="R24" s="12"/>
      <c r="S24" s="28"/>
      <c r="T24" s="14"/>
      <c r="U24" s="28"/>
      <c r="V24" s="146">
        <f>'Suvi Gaz'!O18</f>
        <v>799.98025000000007</v>
      </c>
      <c r="W24" s="11"/>
      <c r="X24" s="34">
        <f t="shared" si="1"/>
        <v>9431.7671475000006</v>
      </c>
    </row>
    <row r="25" spans="1:24" ht="32.25" customHeight="1">
      <c r="A25" s="2"/>
      <c r="B25" s="6">
        <v>44636</v>
      </c>
      <c r="C25" s="7"/>
      <c r="D25" s="143">
        <v>173</v>
      </c>
      <c r="E25" s="143">
        <v>213</v>
      </c>
      <c r="F25" s="13">
        <f>'Suivi EAU-ELEC'!E24</f>
        <v>114.10000000000582</v>
      </c>
      <c r="G25" s="14"/>
      <c r="H25" s="169">
        <f t="shared" si="4"/>
        <v>1002.9390000000511</v>
      </c>
      <c r="I25" s="170"/>
      <c r="J25" s="170"/>
      <c r="K25" s="60">
        <v>42293</v>
      </c>
      <c r="L25" s="90">
        <f>'Suivi EAU-ELEC'!G24</f>
        <v>3121</v>
      </c>
      <c r="M25" s="91">
        <f>'Suivi EAU-ELEC'!I24</f>
        <v>5144</v>
      </c>
      <c r="N25" s="91">
        <f>'Suivi EAU-ELEC'!K24</f>
        <v>2528</v>
      </c>
      <c r="O25" s="91">
        <f>L25+M25+N25</f>
        <v>10793</v>
      </c>
      <c r="P25" s="12"/>
      <c r="Q25" s="34">
        <f>L25*0.6985+M25*0.9514+N25*1.3304</f>
        <v>10437.2713</v>
      </c>
      <c r="R25" s="12"/>
      <c r="S25" s="28"/>
      <c r="T25" s="14"/>
      <c r="U25" s="28"/>
      <c r="V25" s="146">
        <f>'Suvi Gaz'!O19</f>
        <v>863.97867000000008</v>
      </c>
      <c r="W25" s="11"/>
      <c r="X25" s="34">
        <f t="shared" si="1"/>
        <v>10186.308519300001</v>
      </c>
    </row>
    <row r="26" spans="1:24" ht="32.25" customHeight="1">
      <c r="A26" s="2"/>
      <c r="B26" s="6">
        <v>44637</v>
      </c>
      <c r="C26" s="7"/>
      <c r="D26" s="143"/>
      <c r="E26" s="143"/>
      <c r="F26" s="13">
        <f>'Suivi EAU-ELEC'!E25</f>
        <v>116.89999999999418</v>
      </c>
      <c r="G26" s="14"/>
      <c r="H26" s="169">
        <f t="shared" si="4"/>
        <v>1027.5509999999488</v>
      </c>
      <c r="I26" s="170"/>
      <c r="J26" s="170"/>
      <c r="K26" s="60">
        <v>42294</v>
      </c>
      <c r="L26" s="90">
        <f>'Suivi EAU-ELEC'!G25</f>
        <v>4584</v>
      </c>
      <c r="M26" s="91">
        <f>'Suivi EAU-ELEC'!I25</f>
        <v>5828</v>
      </c>
      <c r="N26" s="91">
        <f>'Suivi EAU-ELEC'!K25</f>
        <v>2822</v>
      </c>
      <c r="O26" s="91">
        <f>L26+M26+N26</f>
        <v>13234</v>
      </c>
      <c r="P26" s="14"/>
      <c r="Q26" s="34">
        <f>L26*0.6985+M26*0.9514+N26*1.3304</f>
        <v>12501.072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44638</v>
      </c>
      <c r="C27" s="7"/>
      <c r="D27" s="143"/>
      <c r="E27" s="143"/>
      <c r="F27" s="13">
        <f>'Suivi EAU-ELEC'!E26</f>
        <v>0</v>
      </c>
      <c r="G27" s="14"/>
      <c r="H27" s="169">
        <f t="shared" si="4"/>
        <v>0</v>
      </c>
      <c r="I27" s="170"/>
      <c r="J27" s="170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44639</v>
      </c>
      <c r="C28" s="7"/>
      <c r="D28" s="143"/>
      <c r="E28" s="143"/>
      <c r="F28" s="13"/>
      <c r="G28" s="11"/>
      <c r="H28" s="169">
        <f t="shared" si="4"/>
        <v>0</v>
      </c>
      <c r="I28" s="170"/>
      <c r="J28" s="170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44640</v>
      </c>
      <c r="C29" s="7"/>
      <c r="D29" s="143"/>
      <c r="E29" s="143"/>
      <c r="F29" s="13"/>
      <c r="G29" s="11"/>
      <c r="H29" s="169">
        <f t="shared" si="4"/>
        <v>0</v>
      </c>
      <c r="I29" s="170"/>
      <c r="J29" s="170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44641</v>
      </c>
      <c r="C30" s="7"/>
      <c r="D30" s="143"/>
      <c r="E30" s="143"/>
      <c r="F30" s="13"/>
      <c r="G30" s="11"/>
      <c r="H30" s="169">
        <f t="shared" si="4"/>
        <v>0</v>
      </c>
      <c r="I30" s="170"/>
      <c r="J30" s="170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44642</v>
      </c>
      <c r="C31" s="7"/>
      <c r="D31" s="143"/>
      <c r="E31" s="143"/>
      <c r="F31" s="13"/>
      <c r="G31" s="11"/>
      <c r="H31" s="169">
        <f t="shared" si="4"/>
        <v>0</v>
      </c>
      <c r="I31" s="170"/>
      <c r="J31" s="170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44643</v>
      </c>
      <c r="C32" s="7"/>
      <c r="D32" s="143"/>
      <c r="E32" s="143"/>
      <c r="F32" s="13"/>
      <c r="G32" s="11"/>
      <c r="H32" s="169">
        <f t="shared" si="4"/>
        <v>0</v>
      </c>
      <c r="I32" s="170"/>
      <c r="J32" s="170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44644</v>
      </c>
      <c r="C33" s="7"/>
      <c r="D33" s="143"/>
      <c r="E33" s="143"/>
      <c r="F33" s="13"/>
      <c r="G33" s="11"/>
      <c r="H33" s="169">
        <f t="shared" si="4"/>
        <v>0</v>
      </c>
      <c r="I33" s="170"/>
      <c r="J33" s="170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44645</v>
      </c>
      <c r="C34" s="7"/>
      <c r="D34" s="143"/>
      <c r="E34" s="143"/>
      <c r="F34" s="13"/>
      <c r="G34" s="11"/>
      <c r="H34" s="169">
        <f t="shared" si="4"/>
        <v>0</v>
      </c>
      <c r="I34" s="170"/>
      <c r="J34" s="170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44646</v>
      </c>
      <c r="C35" s="7"/>
      <c r="D35" s="143"/>
      <c r="E35" s="143"/>
      <c r="F35" s="13"/>
      <c r="G35" s="11"/>
      <c r="H35" s="169">
        <f t="shared" si="4"/>
        <v>0</v>
      </c>
      <c r="I35" s="170"/>
      <c r="J35" s="170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44647</v>
      </c>
      <c r="C36" s="7"/>
      <c r="D36" s="143"/>
      <c r="E36" s="143"/>
      <c r="F36" s="13"/>
      <c r="G36" s="11"/>
      <c r="H36" s="169">
        <f t="shared" ref="H36:H37" si="5">F36*8.79</f>
        <v>0</v>
      </c>
      <c r="I36" s="170"/>
      <c r="J36" s="170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/>
    </row>
    <row r="37" spans="1:24" ht="33.75" customHeight="1">
      <c r="A37" s="2"/>
      <c r="B37" s="6">
        <v>44648</v>
      </c>
      <c r="C37" s="7"/>
      <c r="D37" s="143"/>
      <c r="E37" s="143"/>
      <c r="F37" s="13"/>
      <c r="G37" s="11"/>
      <c r="H37" s="169">
        <f t="shared" si="5"/>
        <v>0</v>
      </c>
      <c r="I37" s="170"/>
      <c r="J37" s="170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/>
    </row>
    <row r="38" spans="1:24" ht="33.75" customHeight="1">
      <c r="A38" s="2"/>
      <c r="B38" s="6">
        <v>44649</v>
      </c>
      <c r="C38" s="7"/>
      <c r="D38" s="143"/>
      <c r="E38" s="143"/>
      <c r="F38" s="13"/>
      <c r="G38" s="11"/>
      <c r="H38" s="169">
        <f>F38*8.79</f>
        <v>0</v>
      </c>
      <c r="I38" s="170"/>
      <c r="J38" s="170"/>
      <c r="K38" s="60">
        <v>42304</v>
      </c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44650</v>
      </c>
      <c r="C39" s="7"/>
      <c r="D39" s="143"/>
      <c r="E39" s="143"/>
      <c r="F39" s="13"/>
      <c r="G39" s="11"/>
      <c r="H39" s="169">
        <f>F39*8.79</f>
        <v>0</v>
      </c>
      <c r="I39" s="170"/>
      <c r="J39" s="170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44651</v>
      </c>
      <c r="C40" s="7"/>
      <c r="D40" s="143"/>
      <c r="E40" s="143"/>
      <c r="F40" s="13"/>
      <c r="G40" s="11"/>
      <c r="H40" s="169">
        <f t="shared" ref="H40" si="6">F40*8.79</f>
        <v>0</v>
      </c>
      <c r="I40" s="170"/>
      <c r="J40" s="170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2029</v>
      </c>
      <c r="E41" s="8">
        <f>SUM(E10:E40)</f>
        <v>2876</v>
      </c>
      <c r="F41" s="152">
        <f>SUM(F10:F40)</f>
        <v>1960</v>
      </c>
      <c r="G41" s="1"/>
      <c r="H41" s="207">
        <f>SUM(H10:H40)</f>
        <v>17228.399999999998</v>
      </c>
      <c r="I41" s="208"/>
      <c r="J41" s="209"/>
      <c r="K41" s="1"/>
      <c r="L41" s="53">
        <f>SUM(L10:L40)</f>
        <v>58562</v>
      </c>
      <c r="M41" s="53">
        <f>SUM(M10:M40)</f>
        <v>87693</v>
      </c>
      <c r="N41" s="54">
        <f>SUM(N10:N40)</f>
        <v>41194</v>
      </c>
      <c r="O41" s="55">
        <f>SUM(O10:O40)</f>
        <v>187449</v>
      </c>
      <c r="P41" s="31"/>
      <c r="Q41" s="32">
        <f>SUM(Q10:Q40)</f>
        <v>178868.44279999996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10049.2037</v>
      </c>
      <c r="W41" s="31"/>
      <c r="X41" s="32">
        <f>SUM(X10:X40)</f>
        <v>118480.11162299999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7" t="s">
        <v>33</v>
      </c>
      <c r="B43" s="188"/>
      <c r="C43" s="188"/>
      <c r="D43" s="188"/>
      <c r="E43" s="188"/>
      <c r="F43" s="189"/>
      <c r="G43" s="26"/>
      <c r="H43" s="27" t="s">
        <v>34</v>
      </c>
      <c r="I43" s="199" t="s">
        <v>35</v>
      </c>
      <c r="J43" s="200"/>
      <c r="K43" s="201"/>
      <c r="L43" s="230" t="s">
        <v>36</v>
      </c>
      <c r="M43" s="231"/>
      <c r="N43" s="187" t="s">
        <v>37</v>
      </c>
      <c r="O43" s="188"/>
      <c r="P43" s="188"/>
      <c r="Q43" s="188"/>
      <c r="R43" s="188"/>
      <c r="S43" s="188"/>
      <c r="T43" s="188"/>
      <c r="U43" s="188"/>
      <c r="V43" s="188"/>
      <c r="W43" s="188"/>
      <c r="X43" s="189"/>
    </row>
    <row r="44" spans="1:24" s="18" customFormat="1" ht="29.25" customHeight="1" thickBot="1">
      <c r="A44" s="224" t="s">
        <v>38</v>
      </c>
      <c r="B44" s="225"/>
      <c r="C44" s="226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1">
        <f>L41</f>
        <v>58562</v>
      </c>
      <c r="J44" s="222"/>
      <c r="K44" s="223"/>
      <c r="L44" s="205">
        <f>I44*H44</f>
        <v>40905.557000000001</v>
      </c>
      <c r="M44" s="206"/>
      <c r="N44" s="178">
        <f>L44+L45+L46</f>
        <v>179141.17480000001</v>
      </c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9.25" customHeight="1" thickBot="1">
      <c r="A45" s="227"/>
      <c r="B45" s="228"/>
      <c r="C45" s="229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1">
        <f>M41</f>
        <v>87693</v>
      </c>
      <c r="J45" s="222"/>
      <c r="K45" s="223"/>
      <c r="L45" s="205">
        <f>I45*H45</f>
        <v>83431.120200000005</v>
      </c>
      <c r="M45" s="206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24.75" customHeight="1" thickBot="1">
      <c r="A46" s="227"/>
      <c r="B46" s="228"/>
      <c r="C46" s="229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6">
        <f>N41</f>
        <v>41194</v>
      </c>
      <c r="J46" s="197"/>
      <c r="K46" s="198"/>
      <c r="L46" s="205">
        <f>I46*H46</f>
        <v>54804.497600000002</v>
      </c>
      <c r="M46" s="206"/>
      <c r="N46" s="184"/>
      <c r="O46" s="185"/>
      <c r="P46" s="185"/>
      <c r="Q46" s="185"/>
      <c r="R46" s="185"/>
      <c r="S46" s="185"/>
      <c r="T46" s="185"/>
      <c r="U46" s="185"/>
      <c r="V46" s="185"/>
      <c r="W46" s="185"/>
      <c r="X46" s="186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2">
        <f>N44*1.3</f>
        <v>232883.52724000002</v>
      </c>
      <c r="O47" s="203"/>
      <c r="P47" s="203"/>
      <c r="Q47" s="203"/>
      <c r="R47" s="203"/>
      <c r="S47" s="203"/>
      <c r="T47" s="203"/>
      <c r="U47" s="203"/>
      <c r="V47" s="203"/>
      <c r="W47" s="203"/>
      <c r="X47" s="204"/>
    </row>
    <row r="48" spans="1:24" s="23" customFormat="1" ht="32.25" customHeight="1" thickBot="1">
      <c r="A48" s="216" t="s">
        <v>39</v>
      </c>
      <c r="B48" s="217"/>
      <c r="C48" s="217"/>
      <c r="D48" s="217"/>
      <c r="E48" s="217"/>
      <c r="F48" s="218"/>
      <c r="G48" s="21"/>
      <c r="H48" s="22">
        <v>8.7899999999999991</v>
      </c>
      <c r="I48" s="216">
        <f>F41</f>
        <v>1960</v>
      </c>
      <c r="J48" s="217"/>
      <c r="K48" s="218"/>
      <c r="L48" s="219">
        <f>I48*H48</f>
        <v>17228.399999999998</v>
      </c>
      <c r="M48" s="220"/>
      <c r="N48" s="175">
        <f>L48</f>
        <v>17228.399999999998</v>
      </c>
      <c r="O48" s="176"/>
      <c r="P48" s="176"/>
      <c r="Q48" s="176"/>
      <c r="R48" s="176"/>
      <c r="S48" s="176"/>
      <c r="T48" s="176"/>
      <c r="U48" s="176"/>
      <c r="V48" s="176"/>
      <c r="W48" s="176"/>
      <c r="X48" s="177"/>
    </row>
    <row r="49" spans="1:24" s="23" customFormat="1" ht="36.75" customHeight="1">
      <c r="A49" s="190" t="s">
        <v>40</v>
      </c>
      <c r="B49" s="191"/>
      <c r="C49" s="191"/>
      <c r="D49" s="191"/>
      <c r="E49" s="191"/>
      <c r="F49" s="192"/>
      <c r="G49" s="24"/>
      <c r="H49" s="25">
        <v>11.79</v>
      </c>
      <c r="I49" s="193">
        <f>V41</f>
        <v>10049.2037</v>
      </c>
      <c r="J49" s="194"/>
      <c r="K49" s="195"/>
      <c r="L49" s="193">
        <f>I49*H49</f>
        <v>118480.11162299999</v>
      </c>
      <c r="M49" s="195"/>
      <c r="N49" s="172">
        <f>L49</f>
        <v>118480.11162299999</v>
      </c>
      <c r="O49" s="173"/>
      <c r="P49" s="173"/>
      <c r="Q49" s="173"/>
      <c r="R49" s="173"/>
      <c r="S49" s="173"/>
      <c r="T49" s="173"/>
      <c r="U49" s="173"/>
      <c r="V49" s="173"/>
      <c r="W49" s="173"/>
      <c r="X49" s="174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</row>
  </sheetData>
  <mergeCells count="73"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3" activePane="bottomRight" state="frozen"/>
      <selection pane="bottomRight" activeCell="B25" sqref="B25:K2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/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>
      <c r="A10" s="59">
        <v>44622</v>
      </c>
      <c r="B10" s="116">
        <v>2560</v>
      </c>
      <c r="C10" s="115">
        <f>B10-B9</f>
        <v>0</v>
      </c>
      <c r="D10" s="57">
        <v>136629.1</v>
      </c>
      <c r="E10" s="50">
        <f>D10-D9</f>
        <v>119.10000000000582</v>
      </c>
      <c r="F10" s="51">
        <v>11514865</v>
      </c>
      <c r="G10" s="50">
        <f>F10-F9</f>
        <v>3545</v>
      </c>
      <c r="H10" s="51">
        <v>19518835</v>
      </c>
      <c r="I10" s="50">
        <f>H10-H9</f>
        <v>5210</v>
      </c>
      <c r="J10" s="51">
        <v>8576024</v>
      </c>
      <c r="K10" s="50">
        <f>J10-J9</f>
        <v>2489</v>
      </c>
    </row>
    <row r="11" spans="1:12" ht="19.5">
      <c r="A11" s="59">
        <v>44623</v>
      </c>
      <c r="B11" s="116">
        <v>2560</v>
      </c>
      <c r="C11" s="115">
        <f>B11-B10</f>
        <v>0</v>
      </c>
      <c r="D11" s="57">
        <v>136735.9</v>
      </c>
      <c r="E11" s="50">
        <f>D11-D10</f>
        <v>106.79999999998836</v>
      </c>
      <c r="F11" s="51">
        <v>11518486</v>
      </c>
      <c r="G11" s="50">
        <f>F11-F10</f>
        <v>3621</v>
      </c>
      <c r="H11" s="51">
        <v>19524425</v>
      </c>
      <c r="I11" s="50">
        <f>H11-H10</f>
        <v>5590</v>
      </c>
      <c r="J11" s="51">
        <v>8578446</v>
      </c>
      <c r="K11" s="50">
        <f>J11-J10</f>
        <v>2422</v>
      </c>
    </row>
    <row r="12" spans="1:12" ht="19.5">
      <c r="A12" s="59">
        <v>44624</v>
      </c>
      <c r="B12" s="116">
        <v>2560</v>
      </c>
      <c r="C12" s="115">
        <f>B12-B11</f>
        <v>0</v>
      </c>
      <c r="D12" s="57">
        <v>136838.1</v>
      </c>
      <c r="E12" s="50">
        <f>D12-D11</f>
        <v>102.20000000001164</v>
      </c>
      <c r="F12" s="51">
        <v>11522061</v>
      </c>
      <c r="G12" s="50">
        <f>F12-F11</f>
        <v>3575</v>
      </c>
      <c r="H12" s="51">
        <v>19529908</v>
      </c>
      <c r="I12" s="50">
        <f>H12-H11</f>
        <v>5483</v>
      </c>
      <c r="J12" s="51">
        <v>8581169</v>
      </c>
      <c r="K12" s="50">
        <f>J12-J11</f>
        <v>2723</v>
      </c>
    </row>
    <row r="13" spans="1:12" ht="19.5">
      <c r="A13" s="59">
        <v>44625</v>
      </c>
      <c r="B13" s="116">
        <v>2560</v>
      </c>
      <c r="C13" s="115">
        <f>B13-B12</f>
        <v>0</v>
      </c>
      <c r="D13" s="57">
        <v>136949</v>
      </c>
      <c r="E13" s="50">
        <f>D13-D12</f>
        <v>110.89999999999418</v>
      </c>
      <c r="F13" s="51">
        <v>11525375</v>
      </c>
      <c r="G13" s="50">
        <f>F13-F12</f>
        <v>3314</v>
      </c>
      <c r="H13" s="51">
        <v>19535427</v>
      </c>
      <c r="I13" s="50">
        <f>H13-H12</f>
        <v>5519</v>
      </c>
      <c r="J13" s="51">
        <v>8583453</v>
      </c>
      <c r="K13" s="50">
        <f>J13-J12</f>
        <v>2284</v>
      </c>
    </row>
    <row r="14" spans="1:12" ht="19.5">
      <c r="A14" s="59">
        <v>44626</v>
      </c>
      <c r="B14" s="116">
        <v>2560</v>
      </c>
      <c r="C14" s="115">
        <f>B14-B13</f>
        <v>0</v>
      </c>
      <c r="D14" s="57">
        <v>137060</v>
      </c>
      <c r="E14" s="50">
        <f>D14-D13</f>
        <v>111</v>
      </c>
      <c r="F14" s="51">
        <v>11528672</v>
      </c>
      <c r="G14" s="50">
        <f>F14-F13</f>
        <v>3297</v>
      </c>
      <c r="H14" s="51">
        <v>19539912</v>
      </c>
      <c r="I14" s="50">
        <f>H14-H13</f>
        <v>4485</v>
      </c>
      <c r="J14" s="51">
        <v>8585698</v>
      </c>
      <c r="K14" s="50">
        <f>J14-J13</f>
        <v>2245</v>
      </c>
    </row>
    <row r="15" spans="1:12" ht="19.5">
      <c r="A15" s="59">
        <v>44627</v>
      </c>
      <c r="B15" s="116">
        <v>2560</v>
      </c>
      <c r="C15" s="115">
        <f>B15-B14</f>
        <v>0</v>
      </c>
      <c r="D15" s="57">
        <v>137187</v>
      </c>
      <c r="E15" s="50">
        <f>D15-D14</f>
        <v>127</v>
      </c>
      <c r="F15" s="51">
        <v>11531817</v>
      </c>
      <c r="G15" s="50">
        <f>F15-F14</f>
        <v>3145</v>
      </c>
      <c r="H15" s="51">
        <v>19544372</v>
      </c>
      <c r="I15" s="50">
        <f>H15-H14</f>
        <v>4460</v>
      </c>
      <c r="J15" s="51">
        <v>8587833</v>
      </c>
      <c r="K15" s="50">
        <f>J15-J14</f>
        <v>2135</v>
      </c>
    </row>
    <row r="16" spans="1:12" ht="19.5">
      <c r="A16" s="59">
        <v>44628</v>
      </c>
      <c r="B16" s="116">
        <v>2560</v>
      </c>
      <c r="C16" s="115">
        <f>B16-B15</f>
        <v>0</v>
      </c>
      <c r="D16" s="57">
        <v>137290</v>
      </c>
      <c r="E16" s="50">
        <f>D16-D15</f>
        <v>103</v>
      </c>
      <c r="F16" s="51">
        <v>11535075</v>
      </c>
      <c r="G16" s="50">
        <f>F16-F15</f>
        <v>3258</v>
      </c>
      <c r="H16" s="51">
        <v>19548831</v>
      </c>
      <c r="I16" s="50">
        <f>H16-H15</f>
        <v>4459</v>
      </c>
      <c r="J16" s="51">
        <v>8590153</v>
      </c>
      <c r="K16" s="50">
        <f>J16-J15</f>
        <v>2320</v>
      </c>
    </row>
    <row r="17" spans="1:29" ht="19.5">
      <c r="A17" s="59">
        <v>44629</v>
      </c>
      <c r="B17" s="116">
        <v>2560</v>
      </c>
      <c r="C17" s="115">
        <f>B17-B16</f>
        <v>0</v>
      </c>
      <c r="D17" s="57">
        <v>137400</v>
      </c>
      <c r="E17" s="50">
        <f>D17-D16</f>
        <v>110</v>
      </c>
      <c r="F17" s="51">
        <v>11538427</v>
      </c>
      <c r="G17" s="50">
        <f>F17-F16</f>
        <v>3352</v>
      </c>
      <c r="H17" s="51">
        <v>19554416</v>
      </c>
      <c r="I17" s="50">
        <f>H17-H16</f>
        <v>5585</v>
      </c>
      <c r="J17" s="51">
        <v>8592464</v>
      </c>
      <c r="K17" s="50">
        <f>J17-J16</f>
        <v>2311</v>
      </c>
    </row>
    <row r="18" spans="1:29" ht="19.5">
      <c r="A18" s="59">
        <v>44630</v>
      </c>
      <c r="B18" s="116">
        <v>2560</v>
      </c>
      <c r="C18" s="115">
        <f>B18-B17</f>
        <v>0</v>
      </c>
      <c r="D18" s="57">
        <v>137522.5</v>
      </c>
      <c r="E18" s="50">
        <f>D18-D17</f>
        <v>122.5</v>
      </c>
      <c r="F18" s="51">
        <v>11542212</v>
      </c>
      <c r="G18" s="50">
        <f>F18-F17</f>
        <v>3785</v>
      </c>
      <c r="H18" s="51">
        <v>19559082</v>
      </c>
      <c r="I18" s="50">
        <f>H18-H17</f>
        <v>4666</v>
      </c>
      <c r="J18" s="51">
        <v>8594723</v>
      </c>
      <c r="K18" s="50">
        <f>J18-J17</f>
        <v>2259</v>
      </c>
    </row>
    <row r="19" spans="1:29" ht="19.5">
      <c r="A19" s="59">
        <v>44631</v>
      </c>
      <c r="B19" s="116">
        <v>2560</v>
      </c>
      <c r="C19" s="115">
        <f>B19-B18</f>
        <v>0</v>
      </c>
      <c r="D19" s="57">
        <v>137638.6</v>
      </c>
      <c r="E19" s="50">
        <f>D19-D18</f>
        <v>116.10000000000582</v>
      </c>
      <c r="F19" s="51">
        <v>11544592</v>
      </c>
      <c r="G19" s="50">
        <f>F19-F18</f>
        <v>2380</v>
      </c>
      <c r="H19" s="51">
        <v>19564479</v>
      </c>
      <c r="I19" s="50">
        <f>H19-H18</f>
        <v>5397</v>
      </c>
      <c r="J19" s="51">
        <v>8597326</v>
      </c>
      <c r="K19" s="50">
        <f>J19-J18</f>
        <v>2603</v>
      </c>
    </row>
    <row r="20" spans="1:29" ht="25.5">
      <c r="A20" s="59">
        <v>44632</v>
      </c>
      <c r="B20" s="116">
        <v>2560</v>
      </c>
      <c r="C20" s="115">
        <f>B20-B19</f>
        <v>0</v>
      </c>
      <c r="D20" s="57">
        <v>137783</v>
      </c>
      <c r="E20" s="50">
        <f>D20-D19</f>
        <v>144.39999999999418</v>
      </c>
      <c r="F20" s="51">
        <v>11548530</v>
      </c>
      <c r="G20" s="50">
        <f>F20-F19</f>
        <v>3938</v>
      </c>
      <c r="H20" s="51">
        <v>19569752</v>
      </c>
      <c r="I20" s="50">
        <f>H20-H19</f>
        <v>5273</v>
      </c>
      <c r="J20" s="51">
        <v>8599512</v>
      </c>
      <c r="K20" s="50">
        <f>J20-J19</f>
        <v>2186</v>
      </c>
      <c r="L20" s="117" t="s">
        <v>18</v>
      </c>
      <c r="AC20" t="s">
        <v>56</v>
      </c>
    </row>
    <row r="21" spans="1:29" ht="19.5">
      <c r="A21" s="59">
        <v>44633</v>
      </c>
      <c r="B21" s="116">
        <v>2560</v>
      </c>
      <c r="C21" s="115">
        <f>B21-B20</f>
        <v>0</v>
      </c>
      <c r="D21" s="57">
        <v>137893</v>
      </c>
      <c r="E21" s="50">
        <f>D21-D20</f>
        <v>110</v>
      </c>
      <c r="F21" s="51">
        <v>11552042</v>
      </c>
      <c r="G21" s="50">
        <f t="shared" ref="G21:G25" si="0">F21-F20</f>
        <v>3512</v>
      </c>
      <c r="H21" s="51">
        <v>19574912</v>
      </c>
      <c r="I21" s="50">
        <f>H21-H20</f>
        <v>5160</v>
      </c>
      <c r="J21" s="51">
        <v>8601888</v>
      </c>
      <c r="K21" s="50">
        <f>J21-J20</f>
        <v>2376</v>
      </c>
    </row>
    <row r="22" spans="1:29" ht="19.5">
      <c r="A22" s="59">
        <v>44634</v>
      </c>
      <c r="B22" s="116">
        <v>2560</v>
      </c>
      <c r="C22" s="115">
        <f>B22-B21</f>
        <v>0</v>
      </c>
      <c r="D22" s="57">
        <v>138006</v>
      </c>
      <c r="E22" s="50">
        <f>D22-D21</f>
        <v>113</v>
      </c>
      <c r="F22" s="51">
        <v>11555552</v>
      </c>
      <c r="G22" s="50">
        <f t="shared" si="0"/>
        <v>3510</v>
      </c>
      <c r="H22" s="51">
        <v>19579663</v>
      </c>
      <c r="I22" s="50">
        <f>H22-H21</f>
        <v>4751</v>
      </c>
      <c r="J22" s="51">
        <v>8604439</v>
      </c>
      <c r="K22" s="50">
        <f>J22-J21</f>
        <v>2551</v>
      </c>
    </row>
    <row r="23" spans="1:29" ht="19.5">
      <c r="A23" s="59">
        <v>44635</v>
      </c>
      <c r="B23" s="116">
        <v>2560</v>
      </c>
      <c r="C23" s="115">
        <f>B23-B22</f>
        <v>0</v>
      </c>
      <c r="D23" s="57">
        <v>138135</v>
      </c>
      <c r="E23" s="50">
        <f>D23-D22</f>
        <v>129</v>
      </c>
      <c r="F23" s="51">
        <v>11558986</v>
      </c>
      <c r="G23" s="50">
        <f t="shared" si="0"/>
        <v>3434</v>
      </c>
      <c r="H23" s="51">
        <v>19585097</v>
      </c>
      <c r="I23" s="50">
        <f>H23-H22</f>
        <v>5434</v>
      </c>
      <c r="J23" s="51">
        <v>8606948</v>
      </c>
      <c r="K23" s="50">
        <f>J23-J22</f>
        <v>2509</v>
      </c>
    </row>
    <row r="24" spans="1:29" ht="19.5">
      <c r="A24" s="59">
        <v>44636</v>
      </c>
      <c r="B24" s="116">
        <v>2560</v>
      </c>
      <c r="C24" s="115">
        <f>B24-B23</f>
        <v>0</v>
      </c>
      <c r="D24" s="57">
        <v>138249.1</v>
      </c>
      <c r="E24" s="50">
        <f>D24-D23</f>
        <v>114.10000000000582</v>
      </c>
      <c r="F24" s="51">
        <v>11562107</v>
      </c>
      <c r="G24" s="50">
        <f t="shared" si="0"/>
        <v>3121</v>
      </c>
      <c r="H24" s="51">
        <v>19590241</v>
      </c>
      <c r="I24" s="50">
        <f>H24-H23</f>
        <v>5144</v>
      </c>
      <c r="J24" s="51">
        <v>8609476</v>
      </c>
      <c r="K24" s="50">
        <f>J24-J23</f>
        <v>2528</v>
      </c>
    </row>
    <row r="25" spans="1:29" ht="19.5">
      <c r="A25" s="59">
        <v>44637</v>
      </c>
      <c r="B25" s="116">
        <v>2560</v>
      </c>
      <c r="C25" s="115">
        <f>B25-B24</f>
        <v>0</v>
      </c>
      <c r="D25" s="57">
        <v>138366</v>
      </c>
      <c r="E25" s="50">
        <f>D25-D24</f>
        <v>116.89999999999418</v>
      </c>
      <c r="F25" s="51">
        <v>11566691</v>
      </c>
      <c r="G25" s="50">
        <f t="shared" si="0"/>
        <v>4584</v>
      </c>
      <c r="H25" s="51">
        <v>19596069</v>
      </c>
      <c r="I25" s="50">
        <f>H25-H24</f>
        <v>5828</v>
      </c>
      <c r="J25" s="51">
        <v>8612298</v>
      </c>
      <c r="K25" s="50">
        <f>J25-J24</f>
        <v>2822</v>
      </c>
    </row>
    <row r="26" spans="1:29" ht="19.5">
      <c r="A26" s="59">
        <v>44638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44639</v>
      </c>
      <c r="B27" s="116"/>
      <c r="C27" s="115">
        <f>B27-B26</f>
        <v>0</v>
      </c>
      <c r="D27" s="57"/>
      <c r="E27" s="50">
        <f>D27-D26</f>
        <v>0</v>
      </c>
      <c r="F27" s="51"/>
      <c r="G27" s="50">
        <f t="shared" ref="G25:G34" si="1"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44640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 t="shared" si="1"/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44641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 t="shared" si="1"/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44642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 t="shared" si="1"/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44643</v>
      </c>
      <c r="B31" s="116"/>
      <c r="C31" s="115">
        <f>B31-B30</f>
        <v>0</v>
      </c>
      <c r="D31" s="57"/>
      <c r="E31" s="50">
        <f t="shared" ref="E31:E34" si="2">D31-D30</f>
        <v>0</v>
      </c>
      <c r="F31" s="51"/>
      <c r="G31" s="50">
        <f t="shared" si="1"/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44644</v>
      </c>
      <c r="B32" s="116"/>
      <c r="C32" s="115">
        <f>B32-B31</f>
        <v>0</v>
      </c>
      <c r="D32" s="57"/>
      <c r="E32" s="50">
        <f t="shared" si="2"/>
        <v>0</v>
      </c>
      <c r="F32" s="51"/>
      <c r="G32" s="50">
        <f t="shared" si="1"/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44645</v>
      </c>
      <c r="B33" s="116"/>
      <c r="C33" s="115">
        <f>B33-B32</f>
        <v>0</v>
      </c>
      <c r="D33" s="57"/>
      <c r="E33" s="50">
        <f t="shared" si="2"/>
        <v>0</v>
      </c>
      <c r="F33" s="51"/>
      <c r="G33" s="50">
        <f t="shared" si="1"/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44646</v>
      </c>
      <c r="B34" s="116"/>
      <c r="C34" s="115">
        <f>B34-B33</f>
        <v>0</v>
      </c>
      <c r="D34" s="57"/>
      <c r="E34" s="50">
        <f t="shared" si="2"/>
        <v>0</v>
      </c>
      <c r="F34" s="51"/>
      <c r="G34" s="50">
        <f t="shared" si="1"/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44647</v>
      </c>
      <c r="B35" s="116"/>
      <c r="C35" s="115">
        <f t="shared" ref="C24:C40" si="3">B35-B34</f>
        <v>0</v>
      </c>
      <c r="D35" s="57"/>
      <c r="E35" s="50">
        <f t="shared" ref="E24:E40" si="4">D35-D34</f>
        <v>0</v>
      </c>
      <c r="F35" s="51"/>
      <c r="G35" s="50">
        <f>F35-F34</f>
        <v>0</v>
      </c>
      <c r="H35" s="51"/>
      <c r="I35" s="50">
        <f t="shared" ref="I24:I40" si="5">H35-H34</f>
        <v>0</v>
      </c>
      <c r="J35" s="51"/>
      <c r="K35" s="50">
        <f t="shared" ref="K24:K40" si="6">J35-J34</f>
        <v>0</v>
      </c>
    </row>
    <row r="36" spans="1:11" ht="19.5">
      <c r="A36" s="59">
        <v>44648</v>
      </c>
      <c r="B36" s="116"/>
      <c r="C36" s="115">
        <f t="shared" si="3"/>
        <v>0</v>
      </c>
      <c r="D36" s="57"/>
      <c r="E36" s="50">
        <f t="shared" si="4"/>
        <v>0</v>
      </c>
      <c r="F36" s="51"/>
      <c r="G36" s="50">
        <f>F36-F35</f>
        <v>0</v>
      </c>
      <c r="H36" s="51"/>
      <c r="I36" s="50">
        <f t="shared" si="5"/>
        <v>0</v>
      </c>
      <c r="J36" s="51"/>
      <c r="K36" s="50">
        <f t="shared" si="6"/>
        <v>0</v>
      </c>
    </row>
    <row r="37" spans="1:11" ht="19.5">
      <c r="A37" s="59">
        <v>44649</v>
      </c>
      <c r="B37" s="116"/>
      <c r="C37" s="115">
        <f t="shared" si="3"/>
        <v>0</v>
      </c>
      <c r="D37" s="57"/>
      <c r="E37" s="50">
        <f t="shared" si="4"/>
        <v>0</v>
      </c>
      <c r="F37" s="51"/>
      <c r="G37" s="50">
        <f>F37-F36</f>
        <v>0</v>
      </c>
      <c r="H37" s="51"/>
      <c r="I37" s="50">
        <f t="shared" si="5"/>
        <v>0</v>
      </c>
      <c r="J37" s="51"/>
      <c r="K37" s="50">
        <f t="shared" si="6"/>
        <v>0</v>
      </c>
    </row>
    <row r="38" spans="1:11" ht="19.5">
      <c r="A38" s="59">
        <v>44650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44651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44652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9" activePane="bottomRight" state="frozen"/>
      <selection pane="bottomRight" activeCell="B20" sqref="B20:H2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9">
        <f t="shared" ref="M4:M7" si="3">6049*4</f>
        <v>24196</v>
      </c>
      <c r="N4" s="39">
        <f>L4*M4/100</f>
        <v>2117.15</v>
      </c>
      <c r="O4" s="168">
        <f>N4*0.529</f>
        <v>1119.97235</v>
      </c>
      <c r="P4" s="42">
        <f>O4*11.79</f>
        <v>13204.474006499999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44622</v>
      </c>
      <c r="B5" s="41">
        <v>57</v>
      </c>
      <c r="C5" s="39">
        <f t="shared" ref="C4:C35" si="7">IF(AC5&gt;0,((B5-R5)+(S5-B6)),IF(B6=0, ,(B5-B6)))</f>
        <v>4</v>
      </c>
      <c r="D5" s="41">
        <v>58</v>
      </c>
      <c r="E5" s="39">
        <f t="shared" ref="E4:E35" si="8">IF(AC5&gt;0,((D5-U5)+(V5-D6)),IF(D6=0, ,(D5-D6)))</f>
        <v>4</v>
      </c>
      <c r="F5" s="41">
        <v>63</v>
      </c>
      <c r="G5" s="39">
        <f t="shared" ref="G4:G35" si="9">IF(AC5&gt;0,((F5-X5)+(Y5-F6)),IF(F6=0, ,(F5-F6)))</f>
        <v>5</v>
      </c>
      <c r="H5" s="41">
        <v>66</v>
      </c>
      <c r="I5" s="39">
        <f>IF(AC5&gt;0,((H5-AA5)+(AB5-H6)),IF(H6=0, ,(H5-H6)))</f>
        <v>2</v>
      </c>
      <c r="J5" s="39">
        <f>B5+D5+F5+H5</f>
        <v>244</v>
      </c>
      <c r="K5" s="39">
        <f>J5/4</f>
        <v>61</v>
      </c>
      <c r="L5" s="39">
        <f>IF(AC5&gt;0,((K5-AD5)+(AE5-K6)),IF(K6=0, ,(K5-K6)))</f>
        <v>3.75</v>
      </c>
      <c r="M5" s="149">
        <f t="shared" si="3"/>
        <v>24196</v>
      </c>
      <c r="N5" s="39">
        <f>L5*M5/100</f>
        <v>907.35</v>
      </c>
      <c r="O5" s="39">
        <f>N5*0.529</f>
        <v>479.98815000000002</v>
      </c>
      <c r="P5" s="42">
        <f t="shared" ref="P5:P36" si="10">O5*11.79</f>
        <v>5659.0602884999998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44623</v>
      </c>
      <c r="B6" s="41">
        <v>53</v>
      </c>
      <c r="C6" s="39">
        <f t="shared" si="7"/>
        <v>3</v>
      </c>
      <c r="D6" s="41">
        <v>54</v>
      </c>
      <c r="E6" s="39">
        <f t="shared" si="8"/>
        <v>3</v>
      </c>
      <c r="F6" s="41">
        <v>58</v>
      </c>
      <c r="G6" s="39">
        <f t="shared" si="9"/>
        <v>2</v>
      </c>
      <c r="H6" s="41">
        <v>64</v>
      </c>
      <c r="I6" s="39">
        <f t="shared" ref="I6:I36" si="11">IF(AC6&gt;0,((H6-AA6)+(AB6-H7)),IF(H7=0, ,(H6-H7)))</f>
        <v>5</v>
      </c>
      <c r="J6" s="39">
        <f t="shared" ref="J6:J42" si="12">B6+D6+F6+H6</f>
        <v>229</v>
      </c>
      <c r="K6" s="39">
        <f t="shared" ref="K6:K42" si="13">J6/4</f>
        <v>57.25</v>
      </c>
      <c r="L6" s="39">
        <f t="shared" ref="L6:L19" si="14">IF(AC6&gt;0,((K6-AD6)+(AE6-K7)),IF(K7=0, ,(K6-K7)))</f>
        <v>3.25</v>
      </c>
      <c r="M6" s="149">
        <f t="shared" si="3"/>
        <v>24196</v>
      </c>
      <c r="N6" s="39">
        <f t="shared" ref="N6:N42" si="15">L6*M6/100</f>
        <v>786.37</v>
      </c>
      <c r="O6" s="39">
        <f>N6*0.529</f>
        <v>415.98973000000001</v>
      </c>
      <c r="P6" s="42">
        <f t="shared" si="10"/>
        <v>4904.5189166999999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44624</v>
      </c>
      <c r="B7" s="41">
        <v>50</v>
      </c>
      <c r="C7" s="39">
        <f t="shared" si="7"/>
        <v>7</v>
      </c>
      <c r="D7" s="41">
        <v>51</v>
      </c>
      <c r="E7" s="39">
        <f t="shared" si="8"/>
        <v>5</v>
      </c>
      <c r="F7" s="41">
        <v>56</v>
      </c>
      <c r="G7" s="39">
        <f t="shared" si="9"/>
        <v>3</v>
      </c>
      <c r="H7" s="41">
        <v>59</v>
      </c>
      <c r="I7" s="39">
        <f t="shared" si="11"/>
        <v>9</v>
      </c>
      <c r="J7" s="39">
        <f t="shared" si="12"/>
        <v>216</v>
      </c>
      <c r="K7" s="39">
        <f t="shared" si="13"/>
        <v>54</v>
      </c>
      <c r="L7" s="39">
        <f t="shared" si="14"/>
        <v>6</v>
      </c>
      <c r="M7" s="149">
        <f t="shared" si="3"/>
        <v>24196</v>
      </c>
      <c r="N7" s="39">
        <f t="shared" si="15"/>
        <v>1451.76</v>
      </c>
      <c r="O7" s="39">
        <f>N7*0.53</f>
        <v>769.43280000000004</v>
      </c>
      <c r="P7" s="42">
        <f t="shared" si="10"/>
        <v>9071.6127120000001</v>
      </c>
      <c r="Q7" s="39">
        <v>2595</v>
      </c>
      <c r="R7" s="39">
        <v>44</v>
      </c>
      <c r="S7" s="39">
        <v>80</v>
      </c>
      <c r="T7" s="39">
        <v>2355</v>
      </c>
      <c r="U7" s="39">
        <v>46</v>
      </c>
      <c r="V7" s="39">
        <v>80</v>
      </c>
      <c r="W7" s="39">
        <v>2150</v>
      </c>
      <c r="X7" s="39">
        <v>54</v>
      </c>
      <c r="Y7" s="39">
        <v>82</v>
      </c>
      <c r="Z7" s="39">
        <v>2206</v>
      </c>
      <c r="AA7" s="39">
        <v>50</v>
      </c>
      <c r="AB7" s="39">
        <v>82</v>
      </c>
      <c r="AC7" s="39">
        <f t="shared" si="4"/>
        <v>9306</v>
      </c>
      <c r="AD7" s="38">
        <f t="shared" si="5"/>
        <v>48.5</v>
      </c>
      <c r="AE7" s="38">
        <f t="shared" si="6"/>
        <v>81</v>
      </c>
    </row>
    <row r="8" spans="1:31" ht="32.25" customHeight="1">
      <c r="A8" s="40">
        <v>44625</v>
      </c>
      <c r="B8" s="41">
        <v>79</v>
      </c>
      <c r="C8" s="39">
        <f t="shared" si="7"/>
        <v>5</v>
      </c>
      <c r="D8" s="41">
        <v>80</v>
      </c>
      <c r="E8" s="39">
        <f t="shared" si="8"/>
        <v>3</v>
      </c>
      <c r="F8" s="41">
        <v>81</v>
      </c>
      <c r="G8" s="39">
        <f t="shared" si="9"/>
        <v>3</v>
      </c>
      <c r="H8" s="41">
        <v>82</v>
      </c>
      <c r="I8" s="39">
        <f t="shared" si="11"/>
        <v>3</v>
      </c>
      <c r="J8" s="39">
        <f t="shared" si="12"/>
        <v>322</v>
      </c>
      <c r="K8" s="39">
        <f t="shared" si="13"/>
        <v>80.5</v>
      </c>
      <c r="L8" s="39">
        <f t="shared" si="14"/>
        <v>3.5</v>
      </c>
      <c r="M8" s="149">
        <f>6049*4</f>
        <v>24196</v>
      </c>
      <c r="N8" s="39">
        <f t="shared" si="15"/>
        <v>846.86</v>
      </c>
      <c r="O8" s="148">
        <f t="shared" ref="O8:O37" si="16">N8*0.529</f>
        <v>447.98894000000001</v>
      </c>
      <c r="P8" s="42">
        <f t="shared" si="10"/>
        <v>5281.7896025999999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44626</v>
      </c>
      <c r="B9" s="41">
        <v>74</v>
      </c>
      <c r="C9" s="39">
        <f t="shared" si="7"/>
        <v>4</v>
      </c>
      <c r="D9" s="41">
        <v>77</v>
      </c>
      <c r="E9" s="39">
        <f t="shared" si="8"/>
        <v>7</v>
      </c>
      <c r="F9" s="41">
        <v>78</v>
      </c>
      <c r="G9" s="39">
        <f t="shared" si="9"/>
        <v>3</v>
      </c>
      <c r="H9" s="41">
        <v>79</v>
      </c>
      <c r="I9" s="39">
        <f t="shared" si="11"/>
        <v>4</v>
      </c>
      <c r="J9" s="39">
        <f t="shared" si="12"/>
        <v>308</v>
      </c>
      <c r="K9" s="39">
        <f t="shared" si="13"/>
        <v>77</v>
      </c>
      <c r="L9" s="39">
        <f t="shared" si="14"/>
        <v>4.5</v>
      </c>
      <c r="M9" s="149">
        <f t="shared" ref="M9:M42" si="17">6049*4</f>
        <v>24196</v>
      </c>
      <c r="N9" s="39">
        <f t="shared" si="15"/>
        <v>1088.82</v>
      </c>
      <c r="O9" s="39">
        <f t="shared" si="16"/>
        <v>575.98577999999998</v>
      </c>
      <c r="P9" s="42">
        <f t="shared" si="10"/>
        <v>6790.8723461999989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44627</v>
      </c>
      <c r="B10" s="41">
        <v>70</v>
      </c>
      <c r="C10" s="39">
        <f t="shared" si="7"/>
        <v>5</v>
      </c>
      <c r="D10" s="41">
        <v>70</v>
      </c>
      <c r="E10" s="39">
        <f t="shared" si="8"/>
        <v>5</v>
      </c>
      <c r="F10" s="41">
        <v>75</v>
      </c>
      <c r="G10" s="39">
        <f t="shared" si="9"/>
        <v>4</v>
      </c>
      <c r="H10" s="41">
        <v>75</v>
      </c>
      <c r="I10" s="39">
        <f t="shared" si="11"/>
        <v>3</v>
      </c>
      <c r="J10" s="39">
        <f t="shared" si="12"/>
        <v>290</v>
      </c>
      <c r="K10" s="39">
        <f t="shared" si="13"/>
        <v>72.5</v>
      </c>
      <c r="L10" s="39">
        <f t="shared" si="14"/>
        <v>4.25</v>
      </c>
      <c r="M10" s="149">
        <f t="shared" si="17"/>
        <v>24196</v>
      </c>
      <c r="N10" s="39">
        <f t="shared" si="15"/>
        <v>1028.33</v>
      </c>
      <c r="O10" s="148">
        <f t="shared" si="16"/>
        <v>543.98657000000003</v>
      </c>
      <c r="P10" s="42">
        <f t="shared" si="10"/>
        <v>6413.6016602999998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44628</v>
      </c>
      <c r="B11" s="41">
        <v>65</v>
      </c>
      <c r="C11" s="39">
        <f t="shared" si="7"/>
        <v>5</v>
      </c>
      <c r="D11" s="41">
        <v>65</v>
      </c>
      <c r="E11" s="39">
        <f t="shared" si="8"/>
        <v>5</v>
      </c>
      <c r="F11" s="41">
        <v>71</v>
      </c>
      <c r="G11" s="39">
        <f t="shared" si="9"/>
        <v>6</v>
      </c>
      <c r="H11" s="41">
        <v>72</v>
      </c>
      <c r="I11" s="39">
        <f t="shared" si="11"/>
        <v>7</v>
      </c>
      <c r="J11" s="39">
        <f t="shared" si="12"/>
        <v>273</v>
      </c>
      <c r="K11" s="39">
        <f t="shared" si="13"/>
        <v>68.25</v>
      </c>
      <c r="L11" s="39">
        <f t="shared" si="14"/>
        <v>5.75</v>
      </c>
      <c r="M11" s="149">
        <f t="shared" si="17"/>
        <v>24196</v>
      </c>
      <c r="N11" s="39">
        <f t="shared" si="15"/>
        <v>1391.27</v>
      </c>
      <c r="O11" s="39">
        <f t="shared" si="16"/>
        <v>735.98183000000006</v>
      </c>
      <c r="P11" s="42">
        <f t="shared" si="10"/>
        <v>8677.2257757000007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44629</v>
      </c>
      <c r="B12" s="41">
        <v>60</v>
      </c>
      <c r="C12" s="39">
        <f t="shared" si="7"/>
        <v>5</v>
      </c>
      <c r="D12" s="41">
        <v>60</v>
      </c>
      <c r="E12" s="39">
        <f t="shared" si="8"/>
        <v>5</v>
      </c>
      <c r="F12" s="41">
        <v>65</v>
      </c>
      <c r="G12" s="39">
        <f t="shared" si="9"/>
        <v>5</v>
      </c>
      <c r="H12" s="41">
        <v>65</v>
      </c>
      <c r="I12" s="39">
        <f t="shared" si="11"/>
        <v>6</v>
      </c>
      <c r="J12" s="39">
        <f t="shared" si="12"/>
        <v>250</v>
      </c>
      <c r="K12" s="39">
        <f t="shared" si="13"/>
        <v>62.5</v>
      </c>
      <c r="L12" s="39">
        <f t="shared" si="14"/>
        <v>5.25</v>
      </c>
      <c r="M12" s="149">
        <f t="shared" si="17"/>
        <v>24196</v>
      </c>
      <c r="N12" s="39">
        <f t="shared" si="15"/>
        <v>1270.29</v>
      </c>
      <c r="O12" s="39">
        <f t="shared" si="16"/>
        <v>671.98341000000005</v>
      </c>
      <c r="P12" s="42">
        <f t="shared" si="10"/>
        <v>7922.6844038999998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44630</v>
      </c>
      <c r="B13" s="41">
        <v>55</v>
      </c>
      <c r="C13" s="39">
        <f t="shared" si="7"/>
        <v>5</v>
      </c>
      <c r="D13" s="41">
        <v>55</v>
      </c>
      <c r="E13" s="39">
        <f t="shared" si="8"/>
        <v>5</v>
      </c>
      <c r="F13" s="41">
        <v>60</v>
      </c>
      <c r="G13" s="39">
        <f t="shared" si="9"/>
        <v>4</v>
      </c>
      <c r="H13" s="41">
        <v>59</v>
      </c>
      <c r="I13" s="39">
        <f t="shared" si="11"/>
        <v>5</v>
      </c>
      <c r="J13" s="39">
        <f t="shared" si="12"/>
        <v>229</v>
      </c>
      <c r="K13" s="39">
        <f t="shared" si="13"/>
        <v>57.25</v>
      </c>
      <c r="L13" s="39">
        <f t="shared" si="14"/>
        <v>4.75</v>
      </c>
      <c r="M13" s="149">
        <f t="shared" si="17"/>
        <v>24196</v>
      </c>
      <c r="N13" s="39">
        <f t="shared" si="15"/>
        <v>1149.31</v>
      </c>
      <c r="O13" s="39">
        <f t="shared" si="16"/>
        <v>607.98499000000004</v>
      </c>
      <c r="P13" s="42">
        <f t="shared" si="10"/>
        <v>7168.1430320999998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44631</v>
      </c>
      <c r="B14" s="41">
        <v>50</v>
      </c>
      <c r="C14" s="39">
        <f t="shared" si="7"/>
        <v>5</v>
      </c>
      <c r="D14" s="41">
        <v>50</v>
      </c>
      <c r="E14" s="39">
        <f t="shared" si="8"/>
        <v>4</v>
      </c>
      <c r="F14" s="41">
        <v>56</v>
      </c>
      <c r="G14" s="39">
        <f t="shared" si="9"/>
        <v>6</v>
      </c>
      <c r="H14" s="41">
        <v>54</v>
      </c>
      <c r="I14" s="39">
        <f>IF(AC14&gt;0,((H14-AA14)+(AB14-H15)),IF(H15=0, ,(H14-H15)))</f>
        <v>2</v>
      </c>
      <c r="J14" s="39">
        <f t="shared" si="12"/>
        <v>210</v>
      </c>
      <c r="K14" s="39">
        <f t="shared" si="13"/>
        <v>52.5</v>
      </c>
      <c r="L14" s="39">
        <f t="shared" si="14"/>
        <v>4.25</v>
      </c>
      <c r="M14" s="149">
        <f t="shared" si="17"/>
        <v>24196</v>
      </c>
      <c r="N14" s="39">
        <f t="shared" si="15"/>
        <v>1028.33</v>
      </c>
      <c r="O14" s="39">
        <f t="shared" si="16"/>
        <v>543.98657000000003</v>
      </c>
      <c r="P14" s="42">
        <f t="shared" si="10"/>
        <v>6413.6016602999998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44632</v>
      </c>
      <c r="B15" s="41">
        <v>45</v>
      </c>
      <c r="C15" s="39">
        <f t="shared" si="7"/>
        <v>8</v>
      </c>
      <c r="D15" s="41">
        <v>46</v>
      </c>
      <c r="E15" s="39">
        <f t="shared" si="8"/>
        <v>5</v>
      </c>
      <c r="F15" s="41">
        <v>50</v>
      </c>
      <c r="G15" s="39">
        <f t="shared" si="9"/>
        <v>2</v>
      </c>
      <c r="H15" s="41">
        <v>52</v>
      </c>
      <c r="I15" s="39">
        <f>IF(AC15&gt;0,((H15-AA15)+(AB15-H16)),IF(H16=0, ,(H15-H16)))</f>
        <v>0</v>
      </c>
      <c r="J15" s="39">
        <f t="shared" si="12"/>
        <v>193</v>
      </c>
      <c r="K15" s="39">
        <f t="shared" si="13"/>
        <v>48.25</v>
      </c>
      <c r="L15" s="39">
        <f t="shared" si="14"/>
        <v>3.75</v>
      </c>
      <c r="M15" s="149">
        <f t="shared" si="17"/>
        <v>24196</v>
      </c>
      <c r="N15" s="39">
        <f t="shared" si="15"/>
        <v>907.35</v>
      </c>
      <c r="O15" s="39">
        <f t="shared" si="16"/>
        <v>479.98815000000002</v>
      </c>
      <c r="P15" s="42">
        <f t="shared" si="10"/>
        <v>5659.0602884999998</v>
      </c>
      <c r="Q15" s="39">
        <v>2982</v>
      </c>
      <c r="R15" s="39">
        <v>42</v>
      </c>
      <c r="S15" s="39">
        <v>85</v>
      </c>
      <c r="T15" s="39">
        <v>3056</v>
      </c>
      <c r="U15" s="39">
        <v>45</v>
      </c>
      <c r="V15" s="39">
        <v>85</v>
      </c>
      <c r="W15" s="39">
        <v>2947</v>
      </c>
      <c r="X15" s="39">
        <v>48</v>
      </c>
      <c r="Y15" s="39">
        <v>85</v>
      </c>
      <c r="Z15" s="39">
        <v>2786</v>
      </c>
      <c r="AA15" s="39">
        <v>52</v>
      </c>
      <c r="AB15" s="39">
        <v>85</v>
      </c>
      <c r="AC15" s="39">
        <f>Q15+T15+W15+Z15</f>
        <v>11771</v>
      </c>
      <c r="AD15" s="38">
        <f>(R15+U15+X15+AA15)/4</f>
        <v>46.75</v>
      </c>
      <c r="AE15" s="38">
        <f>(S15+V15+Y15+AB15)/4</f>
        <v>85</v>
      </c>
    </row>
    <row r="16" spans="1:31" ht="32.25" customHeight="1">
      <c r="A16" s="40">
        <v>44633</v>
      </c>
      <c r="B16" s="41">
        <v>80</v>
      </c>
      <c r="C16" s="39">
        <f t="shared" si="7"/>
        <v>4</v>
      </c>
      <c r="D16" s="41">
        <v>81</v>
      </c>
      <c r="E16" s="39">
        <f t="shared" si="8"/>
        <v>4</v>
      </c>
      <c r="F16" s="41">
        <v>85</v>
      </c>
      <c r="G16" s="39">
        <f t="shared" si="9"/>
        <v>5</v>
      </c>
      <c r="H16" s="41">
        <v>85</v>
      </c>
      <c r="I16" s="39">
        <f t="shared" si="11"/>
        <v>3</v>
      </c>
      <c r="J16" s="39">
        <f t="shared" si="12"/>
        <v>331</v>
      </c>
      <c r="K16" s="39">
        <f t="shared" si="13"/>
        <v>82.75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6036.3309743999998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44634</v>
      </c>
      <c r="B17" s="41">
        <v>76</v>
      </c>
      <c r="C17" s="39">
        <f t="shared" si="7"/>
        <v>5</v>
      </c>
      <c r="D17" s="41">
        <v>77</v>
      </c>
      <c r="E17" s="39">
        <f t="shared" si="8"/>
        <v>3</v>
      </c>
      <c r="F17" s="41">
        <v>80</v>
      </c>
      <c r="G17" s="39">
        <f t="shared" si="9"/>
        <v>4</v>
      </c>
      <c r="H17" s="41">
        <v>82</v>
      </c>
      <c r="I17" s="39">
        <f t="shared" si="11"/>
        <v>3</v>
      </c>
      <c r="J17" s="39">
        <f t="shared" si="12"/>
        <v>315</v>
      </c>
      <c r="K17" s="39">
        <f t="shared" si="13"/>
        <v>78.75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5659.0602884999998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44635</v>
      </c>
      <c r="B18" s="41">
        <v>71</v>
      </c>
      <c r="C18" s="39">
        <f t="shared" si="7"/>
        <v>3</v>
      </c>
      <c r="D18" s="41">
        <v>74</v>
      </c>
      <c r="E18" s="39">
        <f t="shared" si="8"/>
        <v>9</v>
      </c>
      <c r="F18" s="41">
        <v>76</v>
      </c>
      <c r="G18" s="39">
        <f t="shared" si="9"/>
        <v>5</v>
      </c>
      <c r="H18" s="41">
        <v>79</v>
      </c>
      <c r="I18" s="39">
        <f t="shared" si="11"/>
        <v>8</v>
      </c>
      <c r="J18" s="39">
        <f t="shared" si="12"/>
        <v>300</v>
      </c>
      <c r="K18" s="39">
        <f t="shared" si="13"/>
        <v>75</v>
      </c>
      <c r="L18" s="39">
        <f t="shared" si="14"/>
        <v>6.25</v>
      </c>
      <c r="M18" s="149">
        <f t="shared" si="17"/>
        <v>24196</v>
      </c>
      <c r="N18" s="39">
        <f t="shared" si="15"/>
        <v>1512.25</v>
      </c>
      <c r="O18" s="39">
        <f t="shared" si="16"/>
        <v>799.98025000000007</v>
      </c>
      <c r="P18" s="42">
        <f t="shared" si="10"/>
        <v>9431.7671475000006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44636</v>
      </c>
      <c r="B19" s="41">
        <v>68</v>
      </c>
      <c r="C19" s="39">
        <f t="shared" si="7"/>
        <v>8</v>
      </c>
      <c r="D19" s="41">
        <v>65</v>
      </c>
      <c r="E19" s="39">
        <f t="shared" si="8"/>
        <v>5</v>
      </c>
      <c r="F19" s="41">
        <v>71</v>
      </c>
      <c r="G19" s="39">
        <f t="shared" si="9"/>
        <v>8</v>
      </c>
      <c r="H19" s="41">
        <v>71</v>
      </c>
      <c r="I19" s="39">
        <f t="shared" si="11"/>
        <v>6</v>
      </c>
      <c r="J19" s="39">
        <f t="shared" si="12"/>
        <v>275</v>
      </c>
      <c r="K19" s="39">
        <f t="shared" si="13"/>
        <v>68.75</v>
      </c>
      <c r="L19" s="39">
        <f t="shared" si="14"/>
        <v>6.75</v>
      </c>
      <c r="M19" s="149">
        <f t="shared" si="17"/>
        <v>24196</v>
      </c>
      <c r="N19" s="39">
        <f t="shared" si="15"/>
        <v>1633.23</v>
      </c>
      <c r="O19" s="39">
        <f t="shared" si="16"/>
        <v>863.97867000000008</v>
      </c>
      <c r="P19" s="42">
        <f t="shared" si="10"/>
        <v>10186.308519300001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44637</v>
      </c>
      <c r="B20" s="41">
        <v>60</v>
      </c>
      <c r="C20" s="39">
        <f t="shared" si="7"/>
        <v>0</v>
      </c>
      <c r="D20" s="41">
        <v>60</v>
      </c>
      <c r="E20" s="39">
        <f t="shared" si="8"/>
        <v>0</v>
      </c>
      <c r="F20" s="41">
        <v>63</v>
      </c>
      <c r="G20" s="39">
        <f t="shared" si="9"/>
        <v>0</v>
      </c>
      <c r="H20" s="41">
        <v>65</v>
      </c>
      <c r="I20" s="39">
        <f t="shared" si="11"/>
        <v>0</v>
      </c>
      <c r="J20" s="39">
        <f t="shared" si="12"/>
        <v>248</v>
      </c>
      <c r="K20" s="39">
        <f t="shared" si="13"/>
        <v>62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44638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44639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44640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44641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44642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44643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44644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44645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44646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44647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44648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44649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44650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44651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44652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18993.86</v>
      </c>
      <c r="O43" s="39">
        <f>N43*0.529</f>
        <v>10047.75194</v>
      </c>
      <c r="P43" s="42">
        <f>O43*11.79</f>
        <v>118462.99537259999</v>
      </c>
      <c r="Q43" s="287">
        <f>SUM(Q4:Q42)</f>
        <v>5577</v>
      </c>
      <c r="R43" s="288"/>
      <c r="S43" s="289"/>
      <c r="T43" s="290">
        <f>SUM(T4:T42)</f>
        <v>5411</v>
      </c>
      <c r="U43" s="288"/>
      <c r="V43" s="289"/>
      <c r="W43" s="290">
        <f>SUM(W4:W42)</f>
        <v>5097</v>
      </c>
      <c r="X43" s="288"/>
      <c r="Y43" s="289"/>
      <c r="Z43" s="290">
        <f>SUM(Z4:Z42)</f>
        <v>4992</v>
      </c>
      <c r="AA43" s="288"/>
      <c r="AB43" s="289"/>
      <c r="AC43" s="39">
        <f t="shared" si="20"/>
        <v>21077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21077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21077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18993.86</v>
      </c>
      <c r="L47" s="46">
        <f>O43</f>
        <v>10047.75194</v>
      </c>
      <c r="M47" s="46">
        <f>P43</f>
        <v>118462.99537259999</v>
      </c>
    </row>
    <row r="48" spans="1:31" ht="54.75" customHeight="1" thickBot="1">
      <c r="H48" s="283" t="s">
        <v>86</v>
      </c>
      <c r="I48" s="284"/>
      <c r="J48" s="285"/>
      <c r="K48" s="43">
        <f>AC44</f>
        <v>21077</v>
      </c>
      <c r="L48" s="44">
        <f>K48*0.529</f>
        <v>11149.733</v>
      </c>
      <c r="M48" s="44">
        <f>L48*11.79</f>
        <v>131455.35206999999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2" zoomScaleNormal="100"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44224</v>
      </c>
      <c r="D8" s="353"/>
      <c r="E8" s="113">
        <v>44620</v>
      </c>
      <c r="F8" s="163" t="s">
        <v>97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815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9"/>
      <c r="H17" s="340"/>
      <c r="I17" s="339">
        <f>+E17</f>
        <v>109699</v>
      </c>
      <c r="J17" s="340"/>
    </row>
    <row r="18" spans="1:10">
      <c r="A18" s="337" t="s">
        <v>111</v>
      </c>
      <c r="B18" s="338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9"/>
      <c r="H18" s="340"/>
      <c r="I18" s="339">
        <f>+E18</f>
        <v>81818</v>
      </c>
      <c r="J18" s="340"/>
    </row>
    <row r="19" spans="1:10">
      <c r="A19" s="337" t="s">
        <v>112</v>
      </c>
      <c r="B19" s="338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9"/>
      <c r="H19" s="340"/>
      <c r="I19" s="339">
        <f>+E19</f>
        <v>53266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244783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05">
        <f>SUM(H25,F25)</f>
        <v>118979.09660399999</v>
      </c>
      <c r="J25" s="306"/>
    </row>
    <row r="26" spans="1:10" ht="15">
      <c r="A26" s="302" t="s">
        <v>124</v>
      </c>
      <c r="B26" s="303"/>
      <c r="C26" s="304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5">
        <f t="shared" ref="I26:I31" si="0">SUM(H26,F26)</f>
        <v>65150.855219999998</v>
      </c>
      <c r="J26" s="306"/>
    </row>
    <row r="27" spans="1:10" ht="15">
      <c r="A27" s="302" t="s">
        <v>125</v>
      </c>
      <c r="B27" s="303"/>
      <c r="C27" s="304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5">
        <f>SUM(H27,F27)</f>
        <v>80786.198495999997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278597.25799999997</v>
      </c>
      <c r="G32" s="85"/>
      <c r="H32" s="86"/>
      <c r="I32" s="314">
        <f>SUM(I25:J31)</f>
        <v>317546.89412000001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59" t="s">
        <v>131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44297</v>
      </c>
      <c r="D8" s="353"/>
      <c r="E8" s="113">
        <v>44327</v>
      </c>
      <c r="F8" s="163" t="s">
        <v>132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5">
        <f>SUM(H25,F25)</f>
        <v>7469.6126519999998</v>
      </c>
      <c r="J25" s="306"/>
    </row>
    <row r="26" spans="1:10" ht="15">
      <c r="A26" s="302" t="s">
        <v>124</v>
      </c>
      <c r="B26" s="303"/>
      <c r="C26" s="304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5">
        <f t="shared" ref="I26:I31" si="0">SUM(H26,F26)</f>
        <v>3025.1057100000003</v>
      </c>
      <c r="J26" s="306"/>
    </row>
    <row r="27" spans="1:10" ht="15">
      <c r="A27" s="302" t="s">
        <v>125</v>
      </c>
      <c r="B27" s="303"/>
      <c r="C27" s="304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5">
        <f>SUM(H27,F27)</f>
        <v>4660.6838879999996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59508.8825</v>
      </c>
      <c r="G32" s="85"/>
      <c r="H32" s="86"/>
      <c r="I32" s="314">
        <f>SUM(I25:J31)</f>
        <v>67786.146049999996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2215.8999999999942</v>
      </c>
      <c r="C13" s="397"/>
      <c r="D13" s="397">
        <v>8.7899999999999991</v>
      </c>
      <c r="E13" s="397"/>
      <c r="F13" s="401">
        <f>PRODUCT(D13,B13)</f>
        <v>19477.760999999948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2215.8999999999942</v>
      </c>
      <c r="C19" s="397"/>
      <c r="D19" s="397">
        <v>2.61</v>
      </c>
      <c r="E19" s="397"/>
      <c r="F19" s="397">
        <f>PRODUCT(D19,B19)</f>
        <v>5783.4989999999843</v>
      </c>
      <c r="G19" s="397"/>
      <c r="H19" s="397"/>
    </row>
    <row r="20" spans="1:8" ht="18.75">
      <c r="A20" s="393" t="s">
        <v>149</v>
      </c>
      <c r="B20" s="394"/>
      <c r="C20" s="394"/>
      <c r="D20" s="394"/>
      <c r="E20" s="395"/>
      <c r="F20" s="396">
        <f>SUM(F11+F13+F16+F17+F18+F19)</f>
        <v>25284.259999999933</v>
      </c>
      <c r="G20" s="396"/>
      <c r="H20" s="396"/>
    </row>
    <row r="21" spans="1:8" ht="15">
      <c r="A21" s="382" t="s">
        <v>150</v>
      </c>
      <c r="B21" s="383"/>
      <c r="C21" s="383"/>
      <c r="D21" s="383"/>
      <c r="E21" s="384"/>
      <c r="F21" s="397">
        <f>PRODUCT(F20,0.07)</f>
        <v>1769.8981999999955</v>
      </c>
      <c r="G21" s="397"/>
      <c r="H21" s="397"/>
    </row>
    <row r="22" spans="1:8" ht="15">
      <c r="A22" s="435" t="s">
        <v>151</v>
      </c>
      <c r="B22" s="436"/>
      <c r="C22" s="436"/>
      <c r="D22" s="436"/>
      <c r="E22" s="437"/>
      <c r="F22" s="397">
        <v>208.26</v>
      </c>
      <c r="G22" s="397"/>
      <c r="H22" s="397"/>
    </row>
    <row r="23" spans="1:8" ht="15.75">
      <c r="A23" s="382" t="s">
        <v>152</v>
      </c>
      <c r="B23" s="383"/>
      <c r="C23" s="383"/>
      <c r="D23" s="383"/>
      <c r="E23" s="384"/>
      <c r="F23" s="385">
        <f>SUM(F21:H22)</f>
        <v>1978.1581999999955</v>
      </c>
      <c r="G23" s="385"/>
      <c r="H23" s="385"/>
    </row>
    <row r="24" spans="1:8">
      <c r="A24" s="386" t="s">
        <v>153</v>
      </c>
      <c r="B24" s="387"/>
      <c r="C24" s="387"/>
      <c r="D24" s="387"/>
      <c r="E24" s="388"/>
      <c r="F24" s="392">
        <f>SUM(F20,F23)</f>
        <v>27262.418199999927</v>
      </c>
      <c r="G24" s="392"/>
      <c r="H24" s="392"/>
    </row>
    <row r="25" spans="1:8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401">
        <f>PRODUCT(D13,B13)</f>
        <v>1018.3000000000247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8">
        <v>0</v>
      </c>
      <c r="E19" s="419"/>
      <c r="F19" s="418">
        <v>0</v>
      </c>
      <c r="G19" s="419"/>
      <c r="H19" s="165"/>
    </row>
    <row r="20" spans="1:8" ht="1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393" t="s">
        <v>149</v>
      </c>
      <c r="B21" s="394"/>
      <c r="C21" s="394"/>
      <c r="D21" s="394"/>
      <c r="E21" s="395"/>
      <c r="F21" s="396">
        <f>SUM(F11+F13+F16+F17+F18+F20)</f>
        <v>1345.5920000000322</v>
      </c>
      <c r="G21" s="396"/>
      <c r="H21" s="396"/>
    </row>
    <row r="22" spans="1:8" ht="15">
      <c r="A22" s="382" t="s">
        <v>150</v>
      </c>
      <c r="B22" s="383"/>
      <c r="C22" s="383"/>
      <c r="D22" s="383"/>
      <c r="E22" s="384"/>
      <c r="F22" s="397">
        <f>PRODUCT(F21,0.07)</f>
        <v>94.19144000000226</v>
      </c>
      <c r="G22" s="397"/>
      <c r="H22" s="397"/>
    </row>
    <row r="23" spans="1:8" ht="15">
      <c r="A23" s="435" t="s">
        <v>151</v>
      </c>
      <c r="B23" s="436"/>
      <c r="C23" s="436"/>
      <c r="D23" s="436"/>
      <c r="E23" s="437"/>
      <c r="F23" s="397">
        <v>208.26</v>
      </c>
      <c r="G23" s="397"/>
      <c r="H23" s="397"/>
    </row>
    <row r="24" spans="1:8" ht="15.75">
      <c r="A24" s="382" t="s">
        <v>152</v>
      </c>
      <c r="B24" s="383"/>
      <c r="C24" s="383"/>
      <c r="D24" s="383"/>
      <c r="E24" s="384"/>
      <c r="F24" s="385">
        <f>SUM(F22:H23)</f>
        <v>302.45144000000226</v>
      </c>
      <c r="G24" s="385"/>
      <c r="H24" s="385"/>
    </row>
    <row r="25" spans="1:8">
      <c r="A25" s="386" t="s">
        <v>153</v>
      </c>
      <c r="B25" s="387"/>
      <c r="C25" s="387"/>
      <c r="D25" s="387"/>
      <c r="E25" s="388"/>
      <c r="F25" s="392">
        <f>SUM(F21,F24)</f>
        <v>1648.0434400000345</v>
      </c>
      <c r="G25" s="392"/>
      <c r="H25" s="392"/>
    </row>
    <row r="26" spans="1:8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155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44228</v>
      </c>
      <c r="E8" s="96">
        <v>2560</v>
      </c>
      <c r="F8" s="97">
        <v>44621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401">
        <f>PRODUCT(D13,B13)</f>
        <v>0</v>
      </c>
      <c r="G13" s="401"/>
      <c r="H13" s="401"/>
    </row>
    <row r="14" spans="1:8" ht="1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5"/>
    </row>
    <row r="25" spans="1:8" ht="18.75">
      <c r="A25" s="393" t="s">
        <v>149</v>
      </c>
      <c r="B25" s="394"/>
      <c r="C25" s="394"/>
      <c r="D25" s="394"/>
      <c r="E25" s="395"/>
      <c r="F25" s="420">
        <f>SUM(F11+F13+F20+F21+F22+F23)</f>
        <v>15</v>
      </c>
      <c r="G25" s="396"/>
      <c r="H25" s="396"/>
    </row>
    <row r="26" spans="1:8" ht="1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>
      <c r="A27" s="435" t="s">
        <v>151</v>
      </c>
      <c r="B27" s="436"/>
      <c r="C27" s="436"/>
      <c r="D27" s="436"/>
      <c r="E27" s="437"/>
      <c r="F27" s="397">
        <v>2.4300000000000002</v>
      </c>
      <c r="G27" s="397"/>
      <c r="H27" s="397"/>
    </row>
    <row r="28" spans="1:8" ht="15.7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>
      <c r="A29" s="386" t="s">
        <v>153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182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184</v>
      </c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3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185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186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2022-03-17T08:40:46Z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