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F14" i="9"/>
  <c r="N12" i="9"/>
  <c r="P21" i="9"/>
  <c r="AM28" i="7"/>
  <c r="J26" i="9"/>
  <c r="AL32" i="7"/>
  <c r="AL33" i="7"/>
  <c r="AG33" i="7"/>
  <c r="AJ33" i="7"/>
  <c r="AO35" i="7"/>
  <c r="R30" i="9"/>
  <c r="G30" i="5" s="1"/>
  <c r="AF11" i="7"/>
  <c r="AW13" i="7"/>
  <c r="R6" i="9"/>
  <c r="G6" i="5" s="1"/>
  <c r="AW19" i="7"/>
  <c r="L11" i="9"/>
  <c r="F11" i="9"/>
  <c r="AN7" i="7"/>
  <c r="G6" i="9"/>
  <c r="F24" i="9" l="1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<sst xmlns="http://schemas.openxmlformats.org/spreadsheetml/2006/main" count="128" uniqueCount="49">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</sst>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64640</v>
      </c>
      <c r="F13" s="11">
        <v>5.0000000000000001E-3</v>
      </c>
      <c r="G13" s="12">
        <f>Submetering!R13</f>
        <v>705.60042399999998</v>
      </c>
      <c r="H13" s="11">
        <v>0.52800000000000002</v>
      </c>
      <c r="I13" s="12">
        <f>Hotel!B18</f>
        <v>161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65940</v>
      </c>
      <c r="F14" s="11">
        <v>5.0000000000000001E-3</v>
      </c>
      <c r="G14" s="12">
        <f>Submetering!R14</f>
        <v>621.18578100000002</v>
      </c>
      <c r="H14" s="11">
        <v>0.52800000000000002</v>
      </c>
      <c r="I14" s="12">
        <f>Hotel!B19</f>
        <v>178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643.51969999999994</v>
      </c>
      <c r="H15" s="11">
        <v>0.52800000000000002</v>
      </c>
      <c r="I15" s="12">
        <f>Hotel!B20</f>
        <v>267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68650</v>
      </c>
      <c r="F16" s="11">
        <v>5.0000000000000001E-3</v>
      </c>
      <c r="G16" s="12">
        <f>Submetering!R16</f>
        <v>567.81150000000002</v>
      </c>
      <c r="H16" s="11">
        <v>0.52800000000000002</v>
      </c>
      <c r="I16" s="12">
        <f>Hotel!B21</f>
        <v>257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67330</v>
      </c>
      <c r="F17" s="11">
        <v>5.0000000000000001E-3</v>
      </c>
      <c r="G17" s="12">
        <f>Submetering!R17</f>
        <v>567.81150000000002</v>
      </c>
      <c r="H17" s="11">
        <v>0.52800000000000002</v>
      </c>
      <c r="I17" s="12">
        <f>Hotel!B22</f>
        <v>266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68680</v>
      </c>
      <c r="F18" s="11">
        <v>5.0000000000000001E-3</v>
      </c>
      <c r="G18" s="12">
        <f>Submetering!R18</f>
        <v>792.66485399999999</v>
      </c>
      <c r="H18" s="11">
        <v>0.52800000000000002</v>
      </c>
      <c r="I18" s="12">
        <f>Hotel!B23</f>
        <v>238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65570</v>
      </c>
      <c r="F19" s="11">
        <v>5.0000000000000001E-3</v>
      </c>
      <c r="G19" s="12">
        <f>Submetering!R19</f>
        <v>593.55228799999998</v>
      </c>
      <c r="H19" s="11">
        <v>0.52800000000000002</v>
      </c>
      <c r="I19" s="12">
        <f>Hotel!B24</f>
        <v>115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66880</v>
      </c>
      <c r="F20" s="11">
        <v>5.0000000000000001E-3</v>
      </c>
      <c r="G20" s="12">
        <f>Submetering!R20</f>
        <v>628.37806</v>
      </c>
      <c r="H20" s="11">
        <v>0.52800000000000002</v>
      </c>
      <c r="I20" s="12">
        <f>Hotel!B25</f>
        <v>118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67950</v>
      </c>
      <c r="F21" s="11">
        <v>5.0000000000000001E-3</v>
      </c>
      <c r="G21" s="12">
        <f>Submetering!R21</f>
        <v>628.37806</v>
      </c>
      <c r="H21" s="11">
        <v>0.52800000000000002</v>
      </c>
      <c r="I21" s="12">
        <f>Hotel!B26</f>
        <v>133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66480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129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65700</v>
      </c>
      <c r="F23" s="11">
        <v>5.0000000000000001E-3</v>
      </c>
      <c r="G23" s="12">
        <f>Submetering!R23</f>
        <v>1795.4199629999998</v>
      </c>
      <c r="H23" s="11">
        <v>0.52800000000000002</v>
      </c>
      <c r="I23" s="12">
        <f>Hotel!B28</f>
        <v>152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66950</v>
      </c>
      <c r="F24" s="11">
        <v>5.0000000000000001E-3</v>
      </c>
      <c r="G24" s="12">
        <f>Submetering!R24</f>
        <v>685.916292</v>
      </c>
      <c r="H24" s="11">
        <v>0.52800000000000002</v>
      </c>
      <c r="I24" s="12">
        <f>Hotel!B29</f>
        <v>208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77160</v>
      </c>
      <c r="F25" s="11">
        <v>5.0000000000000001E-3</v>
      </c>
      <c r="G25" s="12">
        <f>Submetering!R25</f>
        <v>567.81150000000002</v>
      </c>
      <c r="H25" s="11">
        <v>0.52800000000000002</v>
      </c>
      <c r="I25" s="12">
        <f>Hotel!B30</f>
        <v>187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56650</v>
      </c>
      <c r="F26" s="11">
        <v>5.0000000000000001E-3</v>
      </c>
      <c r="G26" s="12">
        <f>Submetering!R26</f>
        <v>871.40138200000001</v>
      </c>
      <c r="H26" s="11">
        <v>0.52800000000000002</v>
      </c>
      <c r="I26" s="12">
        <f>Hotel!B31</f>
        <v>109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530</v>
      </c>
      <c r="F13" s="4">
        <f>Hotel!R18</f>
        <v>9450</v>
      </c>
      <c r="G13" s="4">
        <f>Hotel!S18</f>
        <v>0</v>
      </c>
      <c r="H13" s="4">
        <f>Hotel!T18</f>
        <v>1460</v>
      </c>
      <c r="I13" s="4">
        <f>Hotel!U18</f>
        <v>6870</v>
      </c>
      <c r="J13" s="4">
        <f>Hotel!V18</f>
        <v>4930</v>
      </c>
      <c r="K13" s="4">
        <f>Hotel!W18</f>
        <v>2940</v>
      </c>
      <c r="L13" s="4">
        <f>Hotel!X18</f>
        <v>4550</v>
      </c>
      <c r="M13" s="4">
        <f>Hotel!Y18</f>
        <v>5240</v>
      </c>
      <c r="N13" s="4">
        <f>Hotel!Z18</f>
        <v>2900</v>
      </c>
      <c r="O13" s="4">
        <f>Hotel!AA18</f>
        <v>3650</v>
      </c>
      <c r="P13" s="4">
        <f>Hotel!AB18</f>
        <v>6960</v>
      </c>
      <c r="Q13" s="4">
        <f>Hotel!AC18</f>
        <v>15160</v>
      </c>
      <c r="R13" s="4">
        <f>Hotel!AV18*0.00378541*100</f>
        <v>705.60042399999998</v>
      </c>
      <c r="S13" s="4">
        <f>Hotel!B18</f>
        <v>161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520</v>
      </c>
      <c r="F14" s="4">
        <f>Hotel!R19</f>
        <v>9860</v>
      </c>
      <c r="G14" s="4">
        <f>Hotel!S19</f>
        <v>0</v>
      </c>
      <c r="H14" s="4">
        <f>Hotel!T19</f>
        <v>1500</v>
      </c>
      <c r="I14" s="4">
        <f>Hotel!U19</f>
        <v>6740</v>
      </c>
      <c r="J14" s="4">
        <f>Hotel!V19</f>
        <v>4800</v>
      </c>
      <c r="K14" s="4">
        <f>Hotel!W19</f>
        <v>3180</v>
      </c>
      <c r="L14" s="4">
        <f>Hotel!X19</f>
        <v>4490</v>
      </c>
      <c r="M14" s="4">
        <f>Hotel!Y19</f>
        <v>5040</v>
      </c>
      <c r="N14" s="4">
        <f>Hotel!Z19</f>
        <v>2920</v>
      </c>
      <c r="O14" s="4">
        <f>Hotel!AA19</f>
        <v>3540</v>
      </c>
      <c r="P14" s="4">
        <f>Hotel!AB19</f>
        <v>7170</v>
      </c>
      <c r="Q14" s="4">
        <f>Hotel!AC19</f>
        <v>16180</v>
      </c>
      <c r="R14" s="4">
        <f>Hotel!AV19*0.00378541*100</f>
        <v>621.18578100000002</v>
      </c>
      <c r="S14" s="4">
        <f>Hotel!B19</f>
        <v>178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530</v>
      </c>
      <c r="F15" s="4">
        <f>Hotel!R20</f>
        <v>9610</v>
      </c>
      <c r="G15" s="4">
        <f>Hotel!S20</f>
        <v>0</v>
      </c>
      <c r="H15" s="4">
        <f>Hotel!T20</f>
        <v>1400</v>
      </c>
      <c r="I15" s="4">
        <f>Hotel!U20</f>
        <v>7140</v>
      </c>
      <c r="J15" s="4">
        <f>Hotel!V20</f>
        <v>4990</v>
      </c>
      <c r="K15" s="4">
        <f>Hotel!W20</f>
        <v>3450</v>
      </c>
      <c r="L15" s="4">
        <f>Hotel!X20</f>
        <v>4600</v>
      </c>
      <c r="M15" s="4">
        <f>Hotel!Y20</f>
        <v>5150</v>
      </c>
      <c r="N15" s="4">
        <f>Hotel!Z20</f>
        <v>3220</v>
      </c>
      <c r="O15" s="4">
        <f>Hotel!AA20</f>
        <v>3900</v>
      </c>
      <c r="P15" s="4">
        <f>Hotel!AB20</f>
        <v>7560</v>
      </c>
      <c r="Q15" s="4">
        <f>Hotel!AC20</f>
        <v>16630</v>
      </c>
      <c r="R15" s="4">
        <f>Hotel!AV20*0.00378541*100</f>
        <v>643.51969999999994</v>
      </c>
      <c r="S15" s="4">
        <f>Hotel!B20</f>
        <v>267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540</v>
      </c>
      <c r="F16" s="4">
        <f>Hotel!R21</f>
        <v>9560</v>
      </c>
      <c r="G16" s="4">
        <f>Hotel!S21</f>
        <v>0</v>
      </c>
      <c r="H16" s="4">
        <f>Hotel!T21</f>
        <v>1470</v>
      </c>
      <c r="I16" s="4">
        <f>Hotel!U21</f>
        <v>7260</v>
      </c>
      <c r="J16" s="4">
        <f>Hotel!V21</f>
        <v>4980</v>
      </c>
      <c r="K16" s="4">
        <f>Hotel!W21</f>
        <v>3240</v>
      </c>
      <c r="L16" s="4">
        <f>Hotel!X21</f>
        <v>4810</v>
      </c>
      <c r="M16" s="4">
        <f>Hotel!Y21</f>
        <v>5570</v>
      </c>
      <c r="N16" s="4">
        <f>Hotel!Z21</f>
        <v>3140</v>
      </c>
      <c r="O16" s="4">
        <f>Hotel!AA21</f>
        <v>3820</v>
      </c>
      <c r="P16" s="4">
        <f>Hotel!AB21</f>
        <v>7550</v>
      </c>
      <c r="Q16" s="4">
        <f>Hotel!AC21</f>
        <v>16710</v>
      </c>
      <c r="R16" s="4">
        <f>Hotel!AV21*0.00378541*100</f>
        <v>567.81150000000002</v>
      </c>
      <c r="S16" s="4">
        <f>Hotel!B21</f>
        <v>257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510</v>
      </c>
      <c r="F17" s="4">
        <f>Hotel!R22</f>
        <v>9920</v>
      </c>
      <c r="G17" s="4">
        <f>Hotel!S22</f>
        <v>0</v>
      </c>
      <c r="H17" s="4">
        <f>Hotel!T22</f>
        <v>1420</v>
      </c>
      <c r="I17" s="4">
        <f>Hotel!U22</f>
        <v>7310</v>
      </c>
      <c r="J17" s="4">
        <f>Hotel!V22</f>
        <v>4830</v>
      </c>
      <c r="K17" s="4">
        <f>Hotel!W22</f>
        <v>2960</v>
      </c>
      <c r="L17" s="4">
        <f>Hotel!X22</f>
        <v>4490</v>
      </c>
      <c r="M17" s="4">
        <f>Hotel!Y22</f>
        <v>5300</v>
      </c>
      <c r="N17" s="4">
        <f>Hotel!Z22</f>
        <v>3090</v>
      </c>
      <c r="O17" s="4">
        <f>Hotel!AA22</f>
        <v>3890</v>
      </c>
      <c r="P17" s="4">
        <f>Hotel!AB22</f>
        <v>7080</v>
      </c>
      <c r="Q17" s="4">
        <f>Hotel!AC22</f>
        <v>16530</v>
      </c>
      <c r="R17" s="4">
        <f>Hotel!AV22*0.00378541*100</f>
        <v>567.81150000000002</v>
      </c>
      <c r="S17" s="4">
        <f>Hotel!B22</f>
        <v>266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530</v>
      </c>
      <c r="F18" s="4">
        <f>Hotel!R23</f>
        <v>10470</v>
      </c>
      <c r="G18" s="4">
        <f>Hotel!S23</f>
        <v>0</v>
      </c>
      <c r="H18" s="4">
        <f>Hotel!T23</f>
        <v>1470</v>
      </c>
      <c r="I18" s="4">
        <f>Hotel!U23</f>
        <v>7020</v>
      </c>
      <c r="J18" s="4">
        <f>Hotel!V23</f>
        <v>4810</v>
      </c>
      <c r="K18" s="4">
        <f>Hotel!W23</f>
        <v>3050</v>
      </c>
      <c r="L18" s="4">
        <f>Hotel!X23</f>
        <v>4670</v>
      </c>
      <c r="M18" s="4">
        <f>Hotel!Y23</f>
        <v>5580</v>
      </c>
      <c r="N18" s="4">
        <f>Hotel!Z23</f>
        <v>2910</v>
      </c>
      <c r="O18" s="4">
        <f>Hotel!AA23</f>
        <v>3800</v>
      </c>
      <c r="P18" s="4">
        <f>Hotel!AB23</f>
        <v>7490</v>
      </c>
      <c r="Q18" s="4">
        <f>Hotel!AC23</f>
        <v>16880</v>
      </c>
      <c r="R18" s="4">
        <f>Hotel!AV23*0.00378541*100</f>
        <v>792.66485399999999</v>
      </c>
      <c r="S18" s="4">
        <f>Hotel!B23</f>
        <v>238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520</v>
      </c>
      <c r="F19" s="4">
        <f>Hotel!R24</f>
        <v>9860</v>
      </c>
      <c r="G19" s="4">
        <f>Hotel!S24</f>
        <v>0</v>
      </c>
      <c r="H19" s="4">
        <f>Hotel!T24</f>
        <v>1430</v>
      </c>
      <c r="I19" s="4">
        <f>Hotel!U24</f>
        <v>6930</v>
      </c>
      <c r="J19" s="4">
        <f>Hotel!V24</f>
        <v>4710</v>
      </c>
      <c r="K19" s="4">
        <f>Hotel!W24</f>
        <v>3130</v>
      </c>
      <c r="L19" s="4">
        <f>Hotel!X24</f>
        <v>4440</v>
      </c>
      <c r="M19" s="4">
        <f>Hotel!Y24</f>
        <v>5190</v>
      </c>
      <c r="N19" s="4">
        <f>Hotel!Z24</f>
        <v>2830</v>
      </c>
      <c r="O19" s="4">
        <f>Hotel!AA24</f>
        <v>3480</v>
      </c>
      <c r="P19" s="4">
        <f>Hotel!AB24</f>
        <v>6970</v>
      </c>
      <c r="Q19" s="4">
        <f>Hotel!AC24</f>
        <v>16080</v>
      </c>
      <c r="R19" s="4">
        <f>Hotel!AV24*0.00378541*100</f>
        <v>593.55228799999998</v>
      </c>
      <c r="S19" s="4">
        <f>Hotel!B24</f>
        <v>115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530</v>
      </c>
      <c r="F20" s="4">
        <f>Hotel!R25</f>
        <v>10220</v>
      </c>
      <c r="G20" s="4">
        <f>Hotel!S25</f>
        <v>0</v>
      </c>
      <c r="H20" s="4">
        <f>Hotel!T25</f>
        <v>1470</v>
      </c>
      <c r="I20" s="4">
        <f>Hotel!U25</f>
        <v>6660</v>
      </c>
      <c r="J20" s="4">
        <f>Hotel!V25</f>
        <v>4780</v>
      </c>
      <c r="K20" s="4">
        <f>Hotel!W25</f>
        <v>3600</v>
      </c>
      <c r="L20" s="4">
        <f>Hotel!X25</f>
        <v>4430</v>
      </c>
      <c r="M20" s="4">
        <f>Hotel!Y25</f>
        <v>4800</v>
      </c>
      <c r="N20" s="4">
        <f>Hotel!Z25</f>
        <v>2810</v>
      </c>
      <c r="O20" s="4">
        <f>Hotel!AA25</f>
        <v>3490</v>
      </c>
      <c r="P20" s="4">
        <f>Hotel!AB25</f>
        <v>6930</v>
      </c>
      <c r="Q20" s="4">
        <f>Hotel!AC25</f>
        <v>17160</v>
      </c>
      <c r="R20" s="4">
        <f>Hotel!AV25*0.00378541*100</f>
        <v>628.37806</v>
      </c>
      <c r="S20" s="4">
        <f>Hotel!B25</f>
        <v>118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530</v>
      </c>
      <c r="F21" s="4">
        <f>Hotel!R26</f>
        <v>10680</v>
      </c>
      <c r="G21" s="4">
        <f>Hotel!S26</f>
        <v>0</v>
      </c>
      <c r="H21" s="4">
        <f>Hotel!T26</f>
        <v>1470</v>
      </c>
      <c r="I21" s="4">
        <f>Hotel!U26</f>
        <v>6700</v>
      </c>
      <c r="J21" s="4">
        <f>Hotel!V26</f>
        <v>4790</v>
      </c>
      <c r="K21" s="4">
        <f>Hotel!W26</f>
        <v>3390</v>
      </c>
      <c r="L21" s="4">
        <f>Hotel!X26</f>
        <v>5120</v>
      </c>
      <c r="M21" s="4">
        <f>Hotel!Y26</f>
        <v>4990</v>
      </c>
      <c r="N21" s="4">
        <f>Hotel!Z26</f>
        <v>2780</v>
      </c>
      <c r="O21" s="4">
        <f>Hotel!AA26</f>
        <v>3340</v>
      </c>
      <c r="P21" s="4">
        <f>Hotel!AB26</f>
        <v>6940</v>
      </c>
      <c r="Q21" s="4">
        <f>Hotel!AC26</f>
        <v>17220</v>
      </c>
      <c r="R21" s="4">
        <f>Hotel!AV26*0.00378541*100</f>
        <v>628.37806</v>
      </c>
      <c r="S21" s="4">
        <f>Hotel!B26</f>
        <v>133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530</v>
      </c>
      <c r="F22" s="4">
        <f>Hotel!R27</f>
        <v>10450</v>
      </c>
      <c r="G22" s="4">
        <f>Hotel!S27</f>
        <v>0</v>
      </c>
      <c r="H22" s="4">
        <f>Hotel!T27</f>
        <v>1480</v>
      </c>
      <c r="I22" s="4">
        <f>Hotel!U27</f>
        <v>6560</v>
      </c>
      <c r="J22" s="4">
        <f>Hotel!V27</f>
        <v>4830</v>
      </c>
      <c r="K22" s="4">
        <f>Hotel!W27</f>
        <v>3460</v>
      </c>
      <c r="L22" s="4">
        <f>Hotel!X27</f>
        <v>4950</v>
      </c>
      <c r="M22" s="4">
        <f>Hotel!Y27</f>
        <v>4960</v>
      </c>
      <c r="N22" s="4">
        <f>Hotel!Z27</f>
        <v>2650</v>
      </c>
      <c r="O22" s="4">
        <f>Hotel!AA27</f>
        <v>3210</v>
      </c>
      <c r="P22" s="4">
        <f>Hotel!AB27</f>
        <v>6870</v>
      </c>
      <c r="Q22" s="4">
        <f>Hotel!AC27</f>
        <v>16530</v>
      </c>
      <c r="R22" s="4">
        <f>Hotel!AV27*0.00378541*100</f>
        <v>0</v>
      </c>
      <c r="S22" s="4">
        <f>Hotel!B27</f>
        <v>129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520</v>
      </c>
      <c r="F23" s="4">
        <f>Hotel!R28</f>
        <v>10140</v>
      </c>
      <c r="G23" s="4">
        <f>Hotel!S28</f>
        <v>0</v>
      </c>
      <c r="H23" s="4">
        <f>Hotel!T28</f>
        <v>1410</v>
      </c>
      <c r="I23" s="4">
        <f>Hotel!U28</f>
        <v>6650</v>
      </c>
      <c r="J23" s="4">
        <f>Hotel!V28</f>
        <v>4680</v>
      </c>
      <c r="K23" s="4">
        <f>Hotel!W28</f>
        <v>3460</v>
      </c>
      <c r="L23" s="4">
        <f>Hotel!X28</f>
        <v>4370</v>
      </c>
      <c r="M23" s="4">
        <f>Hotel!Y28</f>
        <v>5120</v>
      </c>
      <c r="N23" s="4">
        <f>Hotel!Z28</f>
        <v>2780</v>
      </c>
      <c r="O23" s="4">
        <f>Hotel!AA28</f>
        <v>3160</v>
      </c>
      <c r="P23" s="4">
        <f>Hotel!AB28</f>
        <v>7080</v>
      </c>
      <c r="Q23" s="4">
        <f>Hotel!AC28</f>
        <v>16330</v>
      </c>
      <c r="R23" s="4">
        <f>Hotel!AV28*0.00378541*100</f>
        <v>1795.4199629999998</v>
      </c>
      <c r="S23" s="4">
        <f>Hotel!B28</f>
        <v>152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520</v>
      </c>
      <c r="F24" s="4">
        <f>Hotel!R29</f>
        <v>9620</v>
      </c>
      <c r="G24" s="4">
        <f>Hotel!S29</f>
        <v>0</v>
      </c>
      <c r="H24" s="4">
        <f>Hotel!T29</f>
        <v>1420</v>
      </c>
      <c r="I24" s="4">
        <f>Hotel!U29</f>
        <v>6980</v>
      </c>
      <c r="J24" s="4">
        <f>Hotel!V29</f>
        <v>5380</v>
      </c>
      <c r="K24" s="4">
        <f>Hotel!W29</f>
        <v>3410</v>
      </c>
      <c r="L24" s="4">
        <f>Hotel!X29</f>
        <v>4430</v>
      </c>
      <c r="M24" s="4">
        <f>Hotel!Y29</f>
        <v>5440</v>
      </c>
      <c r="N24" s="4">
        <f>Hotel!Z29</f>
        <v>2850</v>
      </c>
      <c r="O24" s="4">
        <f>Hotel!AA29</f>
        <v>3550</v>
      </c>
      <c r="P24" s="4">
        <f>Hotel!AB29</f>
        <v>6700</v>
      </c>
      <c r="Q24" s="4">
        <f>Hotel!AC29</f>
        <v>16650</v>
      </c>
      <c r="R24" s="4">
        <f>Hotel!AV29*0.00378541*100</f>
        <v>685.916292</v>
      </c>
      <c r="S24" s="4">
        <f>Hotel!B29</f>
        <v>208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600</v>
      </c>
      <c r="F25" s="4">
        <f>Hotel!R30</f>
        <v>11800</v>
      </c>
      <c r="G25" s="4">
        <f>Hotel!S30</f>
        <v>0</v>
      </c>
      <c r="H25" s="4">
        <f>Hotel!T30</f>
        <v>1660</v>
      </c>
      <c r="I25" s="4">
        <f>Hotel!U30</f>
        <v>8000</v>
      </c>
      <c r="J25" s="4">
        <f>Hotel!V30</f>
        <v>4750</v>
      </c>
      <c r="K25" s="4">
        <f>Hotel!W30</f>
        <v>4000</v>
      </c>
      <c r="L25" s="4">
        <f>Hotel!X30</f>
        <v>4960</v>
      </c>
      <c r="M25" s="4">
        <f>Hotel!Y30</f>
        <v>6460</v>
      </c>
      <c r="N25" s="4">
        <f>Hotel!Z30</f>
        <v>3190</v>
      </c>
      <c r="O25" s="4">
        <f>Hotel!AA30</f>
        <v>4300</v>
      </c>
      <c r="P25" s="4">
        <f>Hotel!AB30</f>
        <v>8220</v>
      </c>
      <c r="Q25" s="4">
        <f>Hotel!AC30</f>
        <v>19220</v>
      </c>
      <c r="R25" s="4">
        <f>Hotel!AV30*0.00378541*100</f>
        <v>567.81150000000002</v>
      </c>
      <c r="S25" s="4">
        <f>Hotel!B30</f>
        <v>187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460</v>
      </c>
      <c r="F26" s="4">
        <f>Hotel!R31</f>
        <v>7720</v>
      </c>
      <c r="G26" s="4">
        <f>Hotel!S31</f>
        <v>0</v>
      </c>
      <c r="H26" s="4">
        <f>Hotel!T31</f>
        <v>1250</v>
      </c>
      <c r="I26" s="4">
        <f>Hotel!U31</f>
        <v>5940</v>
      </c>
      <c r="J26" s="4">
        <f>Hotel!V31</f>
        <v>4190</v>
      </c>
      <c r="K26" s="4">
        <f>Hotel!W31</f>
        <v>2470</v>
      </c>
      <c r="L26" s="4">
        <f>Hotel!X31</f>
        <v>4210</v>
      </c>
      <c r="M26" s="4">
        <f>Hotel!Y31</f>
        <v>4580</v>
      </c>
      <c r="N26" s="4">
        <f>Hotel!Z31</f>
        <v>2450</v>
      </c>
      <c r="O26" s="4">
        <f>Hotel!AA31</f>
        <v>3160</v>
      </c>
      <c r="P26" s="4">
        <f>Hotel!AB31</f>
        <v>6150</v>
      </c>
      <c r="Q26" s="4">
        <f>Hotel!AC31</f>
        <v>14070</v>
      </c>
      <c r="R26" s="4">
        <f>Hotel!AV31*0.00378541*100</f>
        <v>871.40138200000001</v>
      </c>
      <c r="S26" s="4">
        <f>Hotel!B31</f>
        <v>109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31" sqref="B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>
        <v>161</v>
      </c>
      <c r="C18" s="24">
        <v>5928950</v>
      </c>
      <c r="D18" s="24">
        <v>12528470</v>
      </c>
      <c r="E18" s="24">
        <v>1470310</v>
      </c>
      <c r="F18" s="24">
        <v>2662760</v>
      </c>
      <c r="G18" s="24">
        <v>8181450</v>
      </c>
      <c r="H18" s="24">
        <v>3940320</v>
      </c>
      <c r="I18" s="24">
        <v>3871820</v>
      </c>
      <c r="J18" s="24">
        <v>4413420</v>
      </c>
      <c r="K18" s="24">
        <v>7056820</v>
      </c>
      <c r="L18" s="24">
        <v>2553120</v>
      </c>
      <c r="M18" s="24">
        <v>6470060</v>
      </c>
      <c r="N18" s="24">
        <v>8939320</v>
      </c>
      <c r="O18" s="24">
        <v>11873010</v>
      </c>
      <c r="Q18" s="37">
        <f t="shared" si="16"/>
        <v>530</v>
      </c>
      <c r="R18" s="37">
        <f t="shared" si="17"/>
        <v>9450</v>
      </c>
      <c r="S18" s="37">
        <f t="shared" si="15"/>
        <v>0</v>
      </c>
      <c r="T18" s="37">
        <f t="shared" si="18"/>
        <v>1460</v>
      </c>
      <c r="U18" s="37">
        <f t="shared" si="19"/>
        <v>6870</v>
      </c>
      <c r="V18" s="37">
        <f t="shared" si="20"/>
        <v>4930</v>
      </c>
      <c r="W18" s="37">
        <f t="shared" si="21"/>
        <v>2940</v>
      </c>
      <c r="X18" s="37">
        <f t="shared" si="22"/>
        <v>4550</v>
      </c>
      <c r="Y18" s="37">
        <f t="shared" si="23"/>
        <v>5240</v>
      </c>
      <c r="Z18" s="37">
        <f t="shared" si="24"/>
        <v>2900</v>
      </c>
      <c r="AA18" s="37">
        <f t="shared" si="25"/>
        <v>3650</v>
      </c>
      <c r="AB18" s="37">
        <f t="shared" si="26"/>
        <v>6960</v>
      </c>
      <c r="AC18" s="37">
        <f t="shared" si="27"/>
        <v>15160</v>
      </c>
      <c r="AD18" s="35">
        <f t="shared" si="28"/>
        <v>64640</v>
      </c>
      <c r="AF18" s="20">
        <f t="shared" si="1"/>
        <v>2.65</v>
      </c>
      <c r="AG18" s="20">
        <f t="shared" si="2"/>
        <v>47.25</v>
      </c>
      <c r="AH18" s="20">
        <f t="shared" si="3"/>
        <v>0</v>
      </c>
      <c r="AI18" s="20">
        <f t="shared" si="4"/>
        <v>7.3</v>
      </c>
      <c r="AJ18" s="20">
        <f t="shared" si="5"/>
        <v>34.35</v>
      </c>
      <c r="AK18" s="20">
        <f t="shared" si="6"/>
        <v>24.650000000000002</v>
      </c>
      <c r="AL18" s="20">
        <f t="shared" si="7"/>
        <v>14.700000000000001</v>
      </c>
      <c r="AM18" s="20">
        <f t="shared" si="8"/>
        <v>22.75</v>
      </c>
      <c r="AN18" s="20">
        <f t="shared" si="9"/>
        <v>26.2</v>
      </c>
      <c r="AO18" s="20">
        <f t="shared" si="10"/>
        <v>14.5</v>
      </c>
      <c r="AP18" s="20">
        <f t="shared" si="11"/>
        <v>18.25</v>
      </c>
      <c r="AQ18" s="20">
        <f t="shared" si="12"/>
        <v>34.800000000000004</v>
      </c>
      <c r="AR18" s="20">
        <f t="shared" si="13"/>
        <v>75.8</v>
      </c>
      <c r="AS18" s="35">
        <f t="shared" si="29"/>
        <v>323.2</v>
      </c>
      <c r="AU18" s="47">
        <v>736074</v>
      </c>
      <c r="AV18" s="37">
        <f t="shared" si="31"/>
        <v>1864</v>
      </c>
      <c r="AW18" s="35">
        <f t="shared" si="30"/>
        <v>3.7280000000000002</v>
      </c>
    </row>
    <row r="19" spans="1:49" x14ac:dyDescent="0.25">
      <c r="A19" s="23">
        <v>43843</v>
      </c>
      <c r="B19" s="40">
        <v>178</v>
      </c>
      <c r="C19" s="24">
        <v>5929470</v>
      </c>
      <c r="D19" s="24">
        <v>12538330</v>
      </c>
      <c r="E19" s="24">
        <v>1470310</v>
      </c>
      <c r="F19" s="24">
        <v>2664260</v>
      </c>
      <c r="G19" s="24">
        <v>8188190</v>
      </c>
      <c r="H19" s="24">
        <v>3945120</v>
      </c>
      <c r="I19" s="24">
        <v>3875000</v>
      </c>
      <c r="J19" s="24">
        <v>4417910</v>
      </c>
      <c r="K19" s="24">
        <v>7061860</v>
      </c>
      <c r="L19" s="24">
        <v>2556040</v>
      </c>
      <c r="M19" s="24">
        <v>6473600</v>
      </c>
      <c r="N19" s="24">
        <v>8946490</v>
      </c>
      <c r="O19" s="24">
        <v>11889190</v>
      </c>
      <c r="Q19" s="37">
        <f t="shared" si="16"/>
        <v>520</v>
      </c>
      <c r="R19" s="37">
        <f t="shared" si="17"/>
        <v>9860</v>
      </c>
      <c r="S19" s="37">
        <f t="shared" si="15"/>
        <v>0</v>
      </c>
      <c r="T19" s="37">
        <f t="shared" si="18"/>
        <v>1500</v>
      </c>
      <c r="U19" s="37">
        <f t="shared" si="19"/>
        <v>6740</v>
      </c>
      <c r="V19" s="37">
        <f t="shared" si="20"/>
        <v>4800</v>
      </c>
      <c r="W19" s="37">
        <f t="shared" si="21"/>
        <v>3180</v>
      </c>
      <c r="X19" s="37">
        <f t="shared" si="22"/>
        <v>4490</v>
      </c>
      <c r="Y19" s="37">
        <f t="shared" si="23"/>
        <v>5040</v>
      </c>
      <c r="Z19" s="37">
        <f t="shared" si="24"/>
        <v>2920</v>
      </c>
      <c r="AA19" s="37">
        <f t="shared" si="25"/>
        <v>3540</v>
      </c>
      <c r="AB19" s="37">
        <f t="shared" si="26"/>
        <v>7170</v>
      </c>
      <c r="AC19" s="37">
        <f t="shared" si="27"/>
        <v>16180</v>
      </c>
      <c r="AD19" s="35">
        <f t="shared" si="28"/>
        <v>65940</v>
      </c>
      <c r="AF19" s="20">
        <f t="shared" si="1"/>
        <v>2.6</v>
      </c>
      <c r="AG19" s="20">
        <f t="shared" si="2"/>
        <v>49.300000000000004</v>
      </c>
      <c r="AH19" s="20">
        <f t="shared" si="3"/>
        <v>0</v>
      </c>
      <c r="AI19" s="20">
        <f t="shared" si="4"/>
        <v>7.5</v>
      </c>
      <c r="AJ19" s="20">
        <f t="shared" si="5"/>
        <v>33.700000000000003</v>
      </c>
      <c r="AK19" s="20">
        <f t="shared" si="6"/>
        <v>24</v>
      </c>
      <c r="AL19" s="20">
        <f t="shared" si="7"/>
        <v>15.9</v>
      </c>
      <c r="AM19" s="20">
        <f t="shared" si="8"/>
        <v>22.45</v>
      </c>
      <c r="AN19" s="20">
        <f t="shared" si="9"/>
        <v>25.2</v>
      </c>
      <c r="AO19" s="20">
        <f t="shared" si="10"/>
        <v>14.6</v>
      </c>
      <c r="AP19" s="20">
        <f t="shared" si="11"/>
        <v>17.7</v>
      </c>
      <c r="AQ19" s="20">
        <f t="shared" si="12"/>
        <v>35.85</v>
      </c>
      <c r="AR19" s="20">
        <f t="shared" si="13"/>
        <v>80.900000000000006</v>
      </c>
      <c r="AS19" s="35">
        <f t="shared" si="29"/>
        <v>329.69999999999993</v>
      </c>
      <c r="AU19" s="47">
        <v>737715</v>
      </c>
      <c r="AV19" s="37">
        <f t="shared" si="31"/>
        <v>1641</v>
      </c>
      <c r="AW19" s="35">
        <f t="shared" si="30"/>
        <v>3.282</v>
      </c>
    </row>
    <row r="20" spans="1:49" x14ac:dyDescent="0.25">
      <c r="A20" s="23">
        <v>43844</v>
      </c>
      <c r="B20" s="40">
        <v>267</v>
      </c>
      <c r="C20" s="24">
        <v>5930000</v>
      </c>
      <c r="D20" s="24">
        <v>12547940</v>
      </c>
      <c r="E20" s="24">
        <v>1470310</v>
      </c>
      <c r="F20" s="24">
        <v>2665660</v>
      </c>
      <c r="G20" s="24">
        <v>8195330</v>
      </c>
      <c r="H20" s="24">
        <v>3950110</v>
      </c>
      <c r="I20" s="24">
        <v>3878450</v>
      </c>
      <c r="J20" s="24">
        <v>4422510</v>
      </c>
      <c r="K20" s="24">
        <v>7067010</v>
      </c>
      <c r="L20" s="24">
        <v>2559260</v>
      </c>
      <c r="M20" s="24">
        <v>6477500</v>
      </c>
      <c r="N20" s="24">
        <v>8954050</v>
      </c>
      <c r="O20" s="24">
        <v>11905820</v>
      </c>
      <c r="Q20" s="37">
        <f t="shared" si="16"/>
        <v>530</v>
      </c>
      <c r="R20" s="37">
        <f t="shared" si="17"/>
        <v>9610</v>
      </c>
      <c r="S20" s="37">
        <f t="shared" si="15"/>
        <v>0</v>
      </c>
      <c r="T20" s="37">
        <f t="shared" si="18"/>
        <v>1400</v>
      </c>
      <c r="U20" s="37">
        <f t="shared" si="19"/>
        <v>7140</v>
      </c>
      <c r="V20" s="37">
        <f t="shared" si="20"/>
        <v>4990</v>
      </c>
      <c r="W20" s="37">
        <f t="shared" si="21"/>
        <v>3450</v>
      </c>
      <c r="X20" s="37">
        <f t="shared" si="22"/>
        <v>4600</v>
      </c>
      <c r="Y20" s="37">
        <f t="shared" si="23"/>
        <v>5150</v>
      </c>
      <c r="Z20" s="37">
        <f t="shared" si="24"/>
        <v>3220</v>
      </c>
      <c r="AA20" s="37">
        <f t="shared" si="25"/>
        <v>3900</v>
      </c>
      <c r="AB20" s="37">
        <f t="shared" si="26"/>
        <v>7560</v>
      </c>
      <c r="AC20" s="37">
        <f t="shared" si="27"/>
        <v>16630</v>
      </c>
      <c r="AD20" s="35">
        <f t="shared" si="28"/>
        <v>68180</v>
      </c>
      <c r="AF20" s="20">
        <f t="shared" si="1"/>
        <v>2.65</v>
      </c>
      <c r="AG20" s="20">
        <f t="shared" si="2"/>
        <v>48.050000000000004</v>
      </c>
      <c r="AH20" s="20">
        <f t="shared" si="3"/>
        <v>0</v>
      </c>
      <c r="AI20" s="20">
        <f t="shared" si="4"/>
        <v>7</v>
      </c>
      <c r="AJ20" s="20">
        <f t="shared" si="5"/>
        <v>35.700000000000003</v>
      </c>
      <c r="AK20" s="20">
        <f t="shared" si="6"/>
        <v>24.95</v>
      </c>
      <c r="AL20" s="20">
        <f t="shared" si="7"/>
        <v>17.25</v>
      </c>
      <c r="AM20" s="20">
        <f t="shared" si="8"/>
        <v>23</v>
      </c>
      <c r="AN20" s="20">
        <f t="shared" si="9"/>
        <v>25.75</v>
      </c>
      <c r="AO20" s="20">
        <f t="shared" si="10"/>
        <v>16.100000000000001</v>
      </c>
      <c r="AP20" s="20">
        <f t="shared" si="11"/>
        <v>19.5</v>
      </c>
      <c r="AQ20" s="20">
        <f t="shared" si="12"/>
        <v>37.800000000000004</v>
      </c>
      <c r="AR20" s="20">
        <f t="shared" si="13"/>
        <v>83.15</v>
      </c>
      <c r="AS20" s="35">
        <f t="shared" si="29"/>
        <v>340.9</v>
      </c>
      <c r="AU20" s="47">
        <v>739415</v>
      </c>
      <c r="AV20" s="37">
        <f t="shared" si="31"/>
        <v>1700</v>
      </c>
      <c r="AW20" s="35">
        <f t="shared" si="30"/>
        <v>3.4</v>
      </c>
    </row>
    <row r="21" spans="1:49" x14ac:dyDescent="0.25">
      <c r="A21" s="23">
        <v>43845</v>
      </c>
      <c r="B21" s="40">
        <v>257</v>
      </c>
      <c r="C21" s="24">
        <v>5930540</v>
      </c>
      <c r="D21" s="24">
        <v>12557500</v>
      </c>
      <c r="E21" s="24">
        <v>1470310</v>
      </c>
      <c r="F21" s="24">
        <v>2667130</v>
      </c>
      <c r="G21" s="24">
        <v>8202590</v>
      </c>
      <c r="H21" s="24">
        <v>3955090</v>
      </c>
      <c r="I21" s="24">
        <v>3881690</v>
      </c>
      <c r="J21" s="24">
        <v>4427320</v>
      </c>
      <c r="K21" s="24">
        <v>7072580</v>
      </c>
      <c r="L21" s="24">
        <v>2562400</v>
      </c>
      <c r="M21" s="24">
        <v>6481320</v>
      </c>
      <c r="N21" s="24">
        <v>8961600</v>
      </c>
      <c r="O21" s="24">
        <v>11922530</v>
      </c>
      <c r="Q21" s="37">
        <f t="shared" si="16"/>
        <v>540</v>
      </c>
      <c r="R21" s="37">
        <f t="shared" si="17"/>
        <v>9560</v>
      </c>
      <c r="S21" s="37">
        <f t="shared" si="15"/>
        <v>0</v>
      </c>
      <c r="T21" s="37">
        <f t="shared" si="18"/>
        <v>1470</v>
      </c>
      <c r="U21" s="37">
        <f t="shared" si="19"/>
        <v>7260</v>
      </c>
      <c r="V21" s="37">
        <f t="shared" si="20"/>
        <v>4980</v>
      </c>
      <c r="W21" s="37">
        <f t="shared" si="21"/>
        <v>3240</v>
      </c>
      <c r="X21" s="37">
        <f t="shared" si="22"/>
        <v>4810</v>
      </c>
      <c r="Y21" s="37">
        <f t="shared" si="23"/>
        <v>5570</v>
      </c>
      <c r="Z21" s="37">
        <f t="shared" si="24"/>
        <v>3140</v>
      </c>
      <c r="AA21" s="37">
        <f t="shared" si="25"/>
        <v>3820</v>
      </c>
      <c r="AB21" s="37">
        <f t="shared" si="26"/>
        <v>7550</v>
      </c>
      <c r="AC21" s="37">
        <f t="shared" si="27"/>
        <v>16710</v>
      </c>
      <c r="AD21" s="35">
        <f t="shared" si="28"/>
        <v>68650</v>
      </c>
      <c r="AF21" s="20">
        <f t="shared" si="1"/>
        <v>2.7</v>
      </c>
      <c r="AG21" s="20">
        <f t="shared" si="2"/>
        <v>47.800000000000004</v>
      </c>
      <c r="AH21" s="20">
        <f t="shared" si="3"/>
        <v>0</v>
      </c>
      <c r="AI21" s="20">
        <f t="shared" si="4"/>
        <v>7.3500000000000005</v>
      </c>
      <c r="AJ21" s="20">
        <f t="shared" si="5"/>
        <v>36.300000000000004</v>
      </c>
      <c r="AK21" s="20">
        <f t="shared" si="6"/>
        <v>24.900000000000002</v>
      </c>
      <c r="AL21" s="20">
        <f t="shared" si="7"/>
        <v>16.2</v>
      </c>
      <c r="AM21" s="20">
        <f t="shared" si="8"/>
        <v>24.05</v>
      </c>
      <c r="AN21" s="20">
        <f t="shared" si="9"/>
        <v>27.85</v>
      </c>
      <c r="AO21" s="20">
        <f t="shared" si="10"/>
        <v>15.700000000000001</v>
      </c>
      <c r="AP21" s="20">
        <f t="shared" si="11"/>
        <v>19.100000000000001</v>
      </c>
      <c r="AQ21" s="20">
        <f t="shared" si="12"/>
        <v>37.75</v>
      </c>
      <c r="AR21" s="20">
        <f t="shared" si="13"/>
        <v>83.55</v>
      </c>
      <c r="AS21" s="35">
        <f t="shared" si="29"/>
        <v>343.25</v>
      </c>
      <c r="AU21" s="47">
        <v>740915</v>
      </c>
      <c r="AV21" s="37">
        <f t="shared" si="31"/>
        <v>1500</v>
      </c>
      <c r="AW21" s="35">
        <f t="shared" si="30"/>
        <v>3</v>
      </c>
    </row>
    <row r="22" spans="1:49" x14ac:dyDescent="0.25">
      <c r="A22" s="23">
        <v>43846</v>
      </c>
      <c r="B22" s="40">
        <v>266</v>
      </c>
      <c r="C22" s="24">
        <v>5931050</v>
      </c>
      <c r="D22" s="24">
        <v>12567420</v>
      </c>
      <c r="E22" s="24">
        <v>1470310</v>
      </c>
      <c r="F22" s="24">
        <v>2668550</v>
      </c>
      <c r="G22" s="24">
        <v>8209900</v>
      </c>
      <c r="H22" s="24">
        <v>3959920</v>
      </c>
      <c r="I22" s="24">
        <v>3884650</v>
      </c>
      <c r="J22" s="44">
        <v>4431810</v>
      </c>
      <c r="K22" s="24">
        <v>7077880</v>
      </c>
      <c r="L22" s="24">
        <v>2565490</v>
      </c>
      <c r="M22" s="24">
        <v>6485210</v>
      </c>
      <c r="N22" s="24">
        <v>8968680</v>
      </c>
      <c r="O22" s="44">
        <v>11939060</v>
      </c>
      <c r="Q22" s="37">
        <f t="shared" si="16"/>
        <v>510</v>
      </c>
      <c r="R22" s="37">
        <f t="shared" si="17"/>
        <v>9920</v>
      </c>
      <c r="S22" s="37">
        <f t="shared" si="15"/>
        <v>0</v>
      </c>
      <c r="T22" s="37">
        <f t="shared" si="18"/>
        <v>1420</v>
      </c>
      <c r="U22" s="37">
        <f t="shared" si="19"/>
        <v>7310</v>
      </c>
      <c r="V22" s="37">
        <f t="shared" si="20"/>
        <v>4830</v>
      </c>
      <c r="W22" s="37">
        <f t="shared" si="21"/>
        <v>2960</v>
      </c>
      <c r="X22" s="37">
        <f t="shared" si="22"/>
        <v>4490</v>
      </c>
      <c r="Y22" s="37">
        <f t="shared" si="23"/>
        <v>5300</v>
      </c>
      <c r="Z22" s="37">
        <f t="shared" si="24"/>
        <v>3090</v>
      </c>
      <c r="AA22" s="37">
        <f t="shared" si="25"/>
        <v>3890</v>
      </c>
      <c r="AB22" s="37">
        <f t="shared" si="26"/>
        <v>7080</v>
      </c>
      <c r="AC22" s="37">
        <f t="shared" si="27"/>
        <v>16530</v>
      </c>
      <c r="AD22" s="35">
        <f t="shared" si="28"/>
        <v>67330</v>
      </c>
      <c r="AF22" s="20">
        <f t="shared" si="1"/>
        <v>2.5500000000000003</v>
      </c>
      <c r="AG22" s="20">
        <f t="shared" si="2"/>
        <v>49.6</v>
      </c>
      <c r="AH22" s="20">
        <f t="shared" si="3"/>
        <v>0</v>
      </c>
      <c r="AI22" s="20">
        <f t="shared" si="4"/>
        <v>7.1000000000000005</v>
      </c>
      <c r="AJ22" s="20">
        <f t="shared" si="5"/>
        <v>36.550000000000004</v>
      </c>
      <c r="AK22" s="20">
        <f t="shared" si="6"/>
        <v>24.150000000000002</v>
      </c>
      <c r="AL22" s="20">
        <f t="shared" si="7"/>
        <v>14.8</v>
      </c>
      <c r="AM22" s="20">
        <f t="shared" si="8"/>
        <v>22.45</v>
      </c>
      <c r="AN22" s="20">
        <f t="shared" si="9"/>
        <v>26.5</v>
      </c>
      <c r="AO22" s="20">
        <f t="shared" si="10"/>
        <v>15.450000000000001</v>
      </c>
      <c r="AP22" s="20">
        <f t="shared" si="11"/>
        <v>19.45</v>
      </c>
      <c r="AQ22" s="20">
        <f t="shared" si="12"/>
        <v>35.4</v>
      </c>
      <c r="AR22" s="20">
        <f t="shared" si="13"/>
        <v>82.65</v>
      </c>
      <c r="AS22" s="35">
        <f t="shared" si="29"/>
        <v>336.65</v>
      </c>
      <c r="AU22" s="47">
        <v>742415</v>
      </c>
      <c r="AV22" s="37">
        <f t="shared" si="31"/>
        <v>1500</v>
      </c>
      <c r="AW22" s="35">
        <f t="shared" si="30"/>
        <v>3</v>
      </c>
    </row>
    <row r="23" spans="1:49" x14ac:dyDescent="0.25">
      <c r="A23" s="23">
        <v>43847</v>
      </c>
      <c r="B23" s="40">
        <v>238</v>
      </c>
      <c r="C23" s="24">
        <v>5931580</v>
      </c>
      <c r="D23" s="24">
        <v>12577890</v>
      </c>
      <c r="E23" s="24">
        <v>1470310</v>
      </c>
      <c r="F23" s="24">
        <v>2670020</v>
      </c>
      <c r="G23" s="24">
        <v>8216920</v>
      </c>
      <c r="H23" s="24">
        <v>3964730</v>
      </c>
      <c r="I23" s="24">
        <v>3887700</v>
      </c>
      <c r="J23" s="24">
        <v>4436480</v>
      </c>
      <c r="K23" s="24">
        <v>7083460</v>
      </c>
      <c r="L23" s="24">
        <v>2568400</v>
      </c>
      <c r="M23" s="24">
        <v>6489010</v>
      </c>
      <c r="N23" s="24">
        <v>8976170</v>
      </c>
      <c r="O23" s="24">
        <v>11955940</v>
      </c>
      <c r="Q23" s="37">
        <f t="shared" si="16"/>
        <v>530</v>
      </c>
      <c r="R23" s="37">
        <f t="shared" si="17"/>
        <v>10470</v>
      </c>
      <c r="S23" s="37">
        <f t="shared" si="15"/>
        <v>0</v>
      </c>
      <c r="T23" s="37">
        <f t="shared" si="18"/>
        <v>1470</v>
      </c>
      <c r="U23" s="37">
        <f t="shared" si="19"/>
        <v>7020</v>
      </c>
      <c r="V23" s="37">
        <f t="shared" si="20"/>
        <v>4810</v>
      </c>
      <c r="W23" s="37">
        <f t="shared" si="21"/>
        <v>3050</v>
      </c>
      <c r="X23" s="37">
        <f t="shared" si="22"/>
        <v>4670</v>
      </c>
      <c r="Y23" s="37">
        <f t="shared" si="23"/>
        <v>5580</v>
      </c>
      <c r="Z23" s="37">
        <f t="shared" si="24"/>
        <v>2910</v>
      </c>
      <c r="AA23" s="37">
        <f t="shared" si="25"/>
        <v>3800</v>
      </c>
      <c r="AB23" s="37">
        <f t="shared" si="26"/>
        <v>7490</v>
      </c>
      <c r="AC23" s="37">
        <f t="shared" si="27"/>
        <v>16880</v>
      </c>
      <c r="AD23" s="35">
        <f t="shared" si="28"/>
        <v>68680</v>
      </c>
      <c r="AF23" s="20">
        <f t="shared" si="1"/>
        <v>2.65</v>
      </c>
      <c r="AG23" s="20">
        <f t="shared" si="2"/>
        <v>52.35</v>
      </c>
      <c r="AH23" s="20">
        <f t="shared" si="3"/>
        <v>0</v>
      </c>
      <c r="AI23" s="20">
        <f t="shared" si="4"/>
        <v>7.3500000000000005</v>
      </c>
      <c r="AJ23" s="20">
        <f t="shared" si="5"/>
        <v>35.1</v>
      </c>
      <c r="AK23" s="20">
        <f t="shared" si="6"/>
        <v>24.05</v>
      </c>
      <c r="AL23" s="20">
        <f t="shared" si="7"/>
        <v>15.25</v>
      </c>
      <c r="AM23" s="20">
        <f t="shared" si="8"/>
        <v>23.35</v>
      </c>
      <c r="AN23" s="20">
        <f t="shared" si="9"/>
        <v>27.900000000000002</v>
      </c>
      <c r="AO23" s="20">
        <f t="shared" si="10"/>
        <v>14.55</v>
      </c>
      <c r="AP23" s="20">
        <f t="shared" si="11"/>
        <v>19</v>
      </c>
      <c r="AQ23" s="20">
        <f t="shared" si="12"/>
        <v>37.450000000000003</v>
      </c>
      <c r="AR23" s="20">
        <f t="shared" si="13"/>
        <v>84.4</v>
      </c>
      <c r="AS23" s="35">
        <f t="shared" si="29"/>
        <v>343.4</v>
      </c>
      <c r="AU23" s="47">
        <v>744509</v>
      </c>
      <c r="AV23" s="37">
        <f t="shared" si="31"/>
        <v>2094</v>
      </c>
      <c r="AW23" s="35">
        <f t="shared" si="30"/>
        <v>4.1879999999999997</v>
      </c>
    </row>
    <row r="24" spans="1:49" x14ac:dyDescent="0.25">
      <c r="A24" s="23">
        <v>43848</v>
      </c>
      <c r="B24" s="40">
        <v>115</v>
      </c>
      <c r="C24" s="24">
        <v>5932100</v>
      </c>
      <c r="D24" s="24">
        <v>12587750</v>
      </c>
      <c r="E24" s="24">
        <v>1470310</v>
      </c>
      <c r="F24" s="24">
        <v>2671450</v>
      </c>
      <c r="G24" s="24">
        <v>8223850</v>
      </c>
      <c r="H24" s="24">
        <v>3969440</v>
      </c>
      <c r="I24" s="24">
        <v>3890830</v>
      </c>
      <c r="J24" s="24">
        <v>4440920</v>
      </c>
      <c r="K24" s="24">
        <v>7088650</v>
      </c>
      <c r="L24" s="24">
        <v>2571230</v>
      </c>
      <c r="M24" s="24">
        <v>6492490</v>
      </c>
      <c r="N24" s="24">
        <v>8983140</v>
      </c>
      <c r="O24" s="24">
        <v>11972020</v>
      </c>
      <c r="Q24" s="37">
        <f t="shared" si="16"/>
        <v>520</v>
      </c>
      <c r="R24" s="37">
        <f t="shared" si="17"/>
        <v>9860</v>
      </c>
      <c r="S24" s="37">
        <f t="shared" si="15"/>
        <v>0</v>
      </c>
      <c r="T24" s="37">
        <f t="shared" si="18"/>
        <v>1430</v>
      </c>
      <c r="U24" s="37">
        <f t="shared" si="19"/>
        <v>6930</v>
      </c>
      <c r="V24" s="37">
        <f t="shared" si="20"/>
        <v>4710</v>
      </c>
      <c r="W24" s="37">
        <f t="shared" si="21"/>
        <v>3130</v>
      </c>
      <c r="X24" s="37">
        <f t="shared" si="22"/>
        <v>4440</v>
      </c>
      <c r="Y24" s="37">
        <f t="shared" si="23"/>
        <v>5190</v>
      </c>
      <c r="Z24" s="37">
        <f t="shared" si="24"/>
        <v>2830</v>
      </c>
      <c r="AA24" s="37">
        <f t="shared" si="25"/>
        <v>3480</v>
      </c>
      <c r="AB24" s="37">
        <f t="shared" si="26"/>
        <v>6970</v>
      </c>
      <c r="AC24" s="37">
        <f t="shared" si="27"/>
        <v>16080</v>
      </c>
      <c r="AD24" s="35">
        <f t="shared" si="28"/>
        <v>65570</v>
      </c>
      <c r="AF24" s="20">
        <f t="shared" si="1"/>
        <v>2.6</v>
      </c>
      <c r="AG24" s="20">
        <f t="shared" si="2"/>
        <v>49.300000000000004</v>
      </c>
      <c r="AH24" s="20">
        <f t="shared" si="3"/>
        <v>0</v>
      </c>
      <c r="AI24" s="20">
        <f t="shared" si="4"/>
        <v>7.15</v>
      </c>
      <c r="AJ24" s="20">
        <f t="shared" si="5"/>
        <v>34.65</v>
      </c>
      <c r="AK24" s="20">
        <f t="shared" si="6"/>
        <v>23.55</v>
      </c>
      <c r="AL24" s="20">
        <f t="shared" si="7"/>
        <v>15.65</v>
      </c>
      <c r="AM24" s="20">
        <f t="shared" si="8"/>
        <v>22.2</v>
      </c>
      <c r="AN24" s="20">
        <f t="shared" si="9"/>
        <v>25.95</v>
      </c>
      <c r="AO24" s="20">
        <f t="shared" si="10"/>
        <v>14.15</v>
      </c>
      <c r="AP24" s="20">
        <f t="shared" si="11"/>
        <v>17.400000000000002</v>
      </c>
      <c r="AQ24" s="20">
        <f t="shared" si="12"/>
        <v>34.85</v>
      </c>
      <c r="AR24" s="20">
        <f t="shared" si="13"/>
        <v>80.400000000000006</v>
      </c>
      <c r="AS24" s="35">
        <f t="shared" si="29"/>
        <v>327.85</v>
      </c>
      <c r="AU24" s="47">
        <v>746077</v>
      </c>
      <c r="AV24" s="37">
        <f t="shared" si="31"/>
        <v>1568</v>
      </c>
      <c r="AW24" s="35">
        <f t="shared" si="30"/>
        <v>3.1360000000000001</v>
      </c>
    </row>
    <row r="25" spans="1:49" x14ac:dyDescent="0.25">
      <c r="A25" s="23">
        <v>43849</v>
      </c>
      <c r="B25" s="40">
        <v>118</v>
      </c>
      <c r="C25" s="24">
        <v>5932630</v>
      </c>
      <c r="D25" s="24">
        <v>12597970</v>
      </c>
      <c r="E25" s="24">
        <v>1470310</v>
      </c>
      <c r="F25" s="24">
        <v>2672920</v>
      </c>
      <c r="G25" s="24">
        <v>8230510</v>
      </c>
      <c r="H25" s="24">
        <v>3974220</v>
      </c>
      <c r="I25" s="24">
        <v>3894430</v>
      </c>
      <c r="J25" s="24">
        <v>4445350</v>
      </c>
      <c r="K25" s="24">
        <v>7093450</v>
      </c>
      <c r="L25" s="24">
        <v>2574040</v>
      </c>
      <c r="M25" s="24">
        <v>6495980</v>
      </c>
      <c r="N25" s="24">
        <v>8990070</v>
      </c>
      <c r="O25" s="24">
        <v>11989180</v>
      </c>
      <c r="Q25" s="37">
        <f t="shared" ref="Q25:AC27" si="33">IF((C25-C24&lt;0), "0",C25-C24)</f>
        <v>530</v>
      </c>
      <c r="R25" s="37">
        <f t="shared" si="33"/>
        <v>10220</v>
      </c>
      <c r="S25" s="37">
        <f t="shared" si="33"/>
        <v>0</v>
      </c>
      <c r="T25" s="37">
        <f t="shared" si="33"/>
        <v>1470</v>
      </c>
      <c r="U25" s="37">
        <f t="shared" si="33"/>
        <v>6660</v>
      </c>
      <c r="V25" s="37">
        <f t="shared" si="33"/>
        <v>4780</v>
      </c>
      <c r="W25" s="37">
        <f t="shared" si="33"/>
        <v>3600</v>
      </c>
      <c r="X25" s="37">
        <f t="shared" si="33"/>
        <v>4430</v>
      </c>
      <c r="Y25" s="37">
        <f t="shared" si="33"/>
        <v>4800</v>
      </c>
      <c r="Z25" s="37">
        <f t="shared" si="33"/>
        <v>2810</v>
      </c>
      <c r="AA25" s="37">
        <f t="shared" si="33"/>
        <v>3490</v>
      </c>
      <c r="AB25" s="37">
        <f t="shared" si="33"/>
        <v>6930</v>
      </c>
      <c r="AC25" s="37">
        <f t="shared" si="33"/>
        <v>17160</v>
      </c>
      <c r="AD25" s="35">
        <f t="shared" si="28"/>
        <v>66880</v>
      </c>
      <c r="AF25" s="20">
        <f t="shared" si="1"/>
        <v>2.65</v>
      </c>
      <c r="AG25" s="20">
        <f t="shared" si="2"/>
        <v>51.1</v>
      </c>
      <c r="AH25" s="20">
        <f t="shared" si="3"/>
        <v>0</v>
      </c>
      <c r="AI25" s="20">
        <f t="shared" si="4"/>
        <v>7.3500000000000005</v>
      </c>
      <c r="AJ25" s="20">
        <f t="shared" si="5"/>
        <v>33.299999999999997</v>
      </c>
      <c r="AK25" s="20">
        <f t="shared" si="6"/>
        <v>23.900000000000002</v>
      </c>
      <c r="AL25" s="20">
        <f t="shared" si="7"/>
        <v>18</v>
      </c>
      <c r="AM25" s="20">
        <f t="shared" si="8"/>
        <v>22.150000000000002</v>
      </c>
      <c r="AN25" s="20">
        <f t="shared" si="9"/>
        <v>24</v>
      </c>
      <c r="AO25" s="20">
        <f t="shared" si="10"/>
        <v>14.05</v>
      </c>
      <c r="AP25" s="20">
        <f t="shared" si="11"/>
        <v>17.45</v>
      </c>
      <c r="AQ25" s="20">
        <f t="shared" si="12"/>
        <v>34.65</v>
      </c>
      <c r="AR25" s="20">
        <f t="shared" si="13"/>
        <v>85.8</v>
      </c>
      <c r="AS25" s="35">
        <f t="shared" si="29"/>
        <v>334.40000000000003</v>
      </c>
      <c r="AU25" s="47">
        <v>747737</v>
      </c>
      <c r="AV25" s="37">
        <f t="shared" si="31"/>
        <v>1660</v>
      </c>
      <c r="AW25" s="35">
        <f t="shared" si="30"/>
        <v>3.3200000000000003</v>
      </c>
    </row>
    <row r="26" spans="1:49" x14ac:dyDescent="0.25">
      <c r="A26" s="23">
        <v>43850</v>
      </c>
      <c r="B26" s="40">
        <v>133</v>
      </c>
      <c r="C26" s="24">
        <v>5933160</v>
      </c>
      <c r="D26" s="24">
        <v>12608650</v>
      </c>
      <c r="E26" s="24">
        <v>1470310</v>
      </c>
      <c r="F26" s="24">
        <v>2674390</v>
      </c>
      <c r="G26" s="24">
        <v>8237210</v>
      </c>
      <c r="H26" s="24">
        <v>3979010</v>
      </c>
      <c r="I26" s="24">
        <v>3897820</v>
      </c>
      <c r="J26" s="24">
        <v>4450470</v>
      </c>
      <c r="K26" s="24">
        <v>7098440</v>
      </c>
      <c r="L26" s="24">
        <v>2576820</v>
      </c>
      <c r="M26" s="24">
        <v>6499320</v>
      </c>
      <c r="N26" s="24">
        <v>8997010</v>
      </c>
      <c r="O26" s="24">
        <v>12006400</v>
      </c>
      <c r="Q26" s="37">
        <f t="shared" si="33"/>
        <v>530</v>
      </c>
      <c r="R26" s="37">
        <f t="shared" si="33"/>
        <v>10680</v>
      </c>
      <c r="S26" s="37">
        <f t="shared" si="33"/>
        <v>0</v>
      </c>
      <c r="T26" s="37">
        <f t="shared" si="33"/>
        <v>1470</v>
      </c>
      <c r="U26" s="37">
        <f t="shared" si="33"/>
        <v>6700</v>
      </c>
      <c r="V26" s="37">
        <f t="shared" si="33"/>
        <v>4790</v>
      </c>
      <c r="W26" s="37">
        <f t="shared" si="33"/>
        <v>3390</v>
      </c>
      <c r="X26" s="37">
        <f t="shared" si="33"/>
        <v>5120</v>
      </c>
      <c r="Y26" s="37">
        <f t="shared" si="33"/>
        <v>4990</v>
      </c>
      <c r="Z26" s="37">
        <f t="shared" si="33"/>
        <v>2780</v>
      </c>
      <c r="AA26" s="37">
        <f t="shared" si="33"/>
        <v>3340</v>
      </c>
      <c r="AB26" s="37">
        <f t="shared" si="33"/>
        <v>6940</v>
      </c>
      <c r="AC26" s="37">
        <f t="shared" si="33"/>
        <v>17220</v>
      </c>
      <c r="AD26" s="35">
        <f t="shared" si="28"/>
        <v>67950</v>
      </c>
      <c r="AF26" s="20">
        <f t="shared" si="1"/>
        <v>2.65</v>
      </c>
      <c r="AG26" s="20">
        <f t="shared" si="2"/>
        <v>53.4</v>
      </c>
      <c r="AH26" s="20">
        <f t="shared" si="3"/>
        <v>0</v>
      </c>
      <c r="AI26" s="20">
        <f t="shared" si="4"/>
        <v>7.3500000000000005</v>
      </c>
      <c r="AJ26" s="20">
        <f t="shared" si="5"/>
        <v>33.5</v>
      </c>
      <c r="AK26" s="20">
        <f t="shared" si="6"/>
        <v>23.95</v>
      </c>
      <c r="AL26" s="20">
        <f t="shared" si="7"/>
        <v>16.95</v>
      </c>
      <c r="AM26" s="20">
        <f t="shared" si="8"/>
        <v>25.6</v>
      </c>
      <c r="AN26" s="20">
        <f t="shared" si="9"/>
        <v>24.95</v>
      </c>
      <c r="AO26" s="20">
        <f t="shared" si="10"/>
        <v>13.9</v>
      </c>
      <c r="AP26" s="20">
        <f t="shared" si="11"/>
        <v>16.7</v>
      </c>
      <c r="AQ26" s="20">
        <f t="shared" si="12"/>
        <v>34.700000000000003</v>
      </c>
      <c r="AR26" s="20">
        <f t="shared" si="13"/>
        <v>86.100000000000009</v>
      </c>
      <c r="AS26" s="35">
        <f t="shared" si="29"/>
        <v>339.75</v>
      </c>
      <c r="AU26" s="47">
        <v>749397</v>
      </c>
      <c r="AV26" s="37">
        <f t="shared" si="31"/>
        <v>1660</v>
      </c>
      <c r="AW26" s="35">
        <f t="shared" si="30"/>
        <v>3.3200000000000003</v>
      </c>
    </row>
    <row r="27" spans="1:49" x14ac:dyDescent="0.25">
      <c r="A27" s="23">
        <v>43851</v>
      </c>
      <c r="B27" s="40">
        <v>129</v>
      </c>
      <c r="C27" s="24">
        <v>5933690</v>
      </c>
      <c r="D27" s="24">
        <v>12619100</v>
      </c>
      <c r="E27" s="24">
        <v>1470310</v>
      </c>
      <c r="F27" s="24">
        <v>2675870</v>
      </c>
      <c r="G27" s="24">
        <v>8243770</v>
      </c>
      <c r="H27" s="24">
        <v>3983840</v>
      </c>
      <c r="I27" s="24">
        <v>3901280</v>
      </c>
      <c r="J27" s="24">
        <v>4455420</v>
      </c>
      <c r="K27" s="24">
        <v>7103400</v>
      </c>
      <c r="L27" s="24">
        <v>2579470</v>
      </c>
      <c r="M27" s="24">
        <v>6502530</v>
      </c>
      <c r="N27" s="24">
        <v>9003880</v>
      </c>
      <c r="O27" s="24">
        <v>12022930</v>
      </c>
      <c r="Q27" s="37">
        <f t="shared" si="33"/>
        <v>530</v>
      </c>
      <c r="R27" s="37">
        <f t="shared" si="33"/>
        <v>10450</v>
      </c>
      <c r="S27" s="37">
        <f t="shared" si="33"/>
        <v>0</v>
      </c>
      <c r="T27" s="37">
        <f t="shared" si="33"/>
        <v>1480</v>
      </c>
      <c r="U27" s="37">
        <f t="shared" si="33"/>
        <v>6560</v>
      </c>
      <c r="V27" s="37">
        <f t="shared" si="33"/>
        <v>4830</v>
      </c>
      <c r="W27" s="37">
        <f t="shared" si="33"/>
        <v>3460</v>
      </c>
      <c r="X27" s="37">
        <f t="shared" si="33"/>
        <v>4950</v>
      </c>
      <c r="Y27" s="37">
        <f t="shared" si="33"/>
        <v>4960</v>
      </c>
      <c r="Z27" s="37">
        <f t="shared" si="33"/>
        <v>2650</v>
      </c>
      <c r="AA27" s="37">
        <f t="shared" si="33"/>
        <v>3210</v>
      </c>
      <c r="AB27" s="37">
        <f t="shared" si="33"/>
        <v>6870</v>
      </c>
      <c r="AC27" s="37">
        <f t="shared" si="33"/>
        <v>16530</v>
      </c>
      <c r="AD27" s="35">
        <f t="shared" si="28"/>
        <v>66480</v>
      </c>
      <c r="AF27" s="20">
        <f t="shared" si="1"/>
        <v>2.65</v>
      </c>
      <c r="AG27" s="20">
        <f t="shared" si="2"/>
        <v>52.25</v>
      </c>
      <c r="AH27" s="20">
        <f t="shared" si="3"/>
        <v>0</v>
      </c>
      <c r="AI27" s="20">
        <f t="shared" si="4"/>
        <v>7.4</v>
      </c>
      <c r="AJ27" s="20">
        <f t="shared" si="5"/>
        <v>32.799999999999997</v>
      </c>
      <c r="AK27" s="20">
        <f t="shared" si="6"/>
        <v>24.150000000000002</v>
      </c>
      <c r="AL27" s="20">
        <f t="shared" si="7"/>
        <v>17.3</v>
      </c>
      <c r="AM27" s="20">
        <f t="shared" si="8"/>
        <v>24.75</v>
      </c>
      <c r="AN27" s="20">
        <f t="shared" si="9"/>
        <v>24.8</v>
      </c>
      <c r="AO27" s="20">
        <f t="shared" si="10"/>
        <v>13.25</v>
      </c>
      <c r="AP27" s="20">
        <f t="shared" si="11"/>
        <v>16.05</v>
      </c>
      <c r="AQ27" s="20">
        <f t="shared" si="12"/>
        <v>34.35</v>
      </c>
      <c r="AR27" s="20">
        <f t="shared" si="13"/>
        <v>82.65</v>
      </c>
      <c r="AS27" s="35">
        <f t="shared" si="29"/>
        <v>332.40000000000003</v>
      </c>
      <c r="AU27" s="47">
        <v>747737</v>
      </c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>
        <v>152</v>
      </c>
      <c r="C28" s="24">
        <v>5934210</v>
      </c>
      <c r="D28" s="24">
        <v>12629240</v>
      </c>
      <c r="E28" s="24">
        <v>1470310</v>
      </c>
      <c r="F28" s="24">
        <v>2677280</v>
      </c>
      <c r="G28" s="24">
        <v>8250420</v>
      </c>
      <c r="H28" s="24">
        <v>3988520</v>
      </c>
      <c r="I28" s="24">
        <v>3904740</v>
      </c>
      <c r="J28" s="24">
        <v>4459790</v>
      </c>
      <c r="K28" s="24">
        <v>7108520</v>
      </c>
      <c r="L28" s="24">
        <v>2582250</v>
      </c>
      <c r="M28" s="24">
        <v>6505690</v>
      </c>
      <c r="N28" s="24">
        <v>9010960</v>
      </c>
      <c r="O28" s="24">
        <v>12039260</v>
      </c>
      <c r="Q28" s="37">
        <f t="shared" si="16"/>
        <v>520</v>
      </c>
      <c r="R28" s="37">
        <f t="shared" si="17"/>
        <v>10140</v>
      </c>
      <c r="S28" s="37">
        <f t="shared" si="15"/>
        <v>0</v>
      </c>
      <c r="T28" s="37">
        <f t="shared" si="18"/>
        <v>1410</v>
      </c>
      <c r="U28" s="37">
        <f t="shared" si="19"/>
        <v>6650</v>
      </c>
      <c r="V28" s="37">
        <f t="shared" si="20"/>
        <v>4680</v>
      </c>
      <c r="W28" s="37">
        <f t="shared" si="21"/>
        <v>3460</v>
      </c>
      <c r="X28" s="37">
        <f t="shared" si="22"/>
        <v>4370</v>
      </c>
      <c r="Y28" s="37">
        <f t="shared" si="23"/>
        <v>5120</v>
      </c>
      <c r="Z28" s="37">
        <f t="shared" si="24"/>
        <v>2780</v>
      </c>
      <c r="AA28" s="37">
        <f t="shared" si="25"/>
        <v>3160</v>
      </c>
      <c r="AB28" s="37">
        <f t="shared" si="26"/>
        <v>7080</v>
      </c>
      <c r="AC28" s="37">
        <f t="shared" si="27"/>
        <v>16330</v>
      </c>
      <c r="AD28" s="35">
        <f t="shared" si="28"/>
        <v>65700</v>
      </c>
      <c r="AF28" s="20">
        <f t="shared" si="1"/>
        <v>2.6</v>
      </c>
      <c r="AG28" s="20">
        <f t="shared" si="2"/>
        <v>50.7</v>
      </c>
      <c r="AH28" s="20">
        <f t="shared" si="3"/>
        <v>0</v>
      </c>
      <c r="AI28" s="20">
        <f t="shared" si="4"/>
        <v>7.05</v>
      </c>
      <c r="AJ28" s="20">
        <f t="shared" si="5"/>
        <v>33.25</v>
      </c>
      <c r="AK28" s="20">
        <f t="shared" si="6"/>
        <v>23.400000000000002</v>
      </c>
      <c r="AL28" s="20">
        <f t="shared" si="7"/>
        <v>17.3</v>
      </c>
      <c r="AM28" s="20">
        <f t="shared" si="8"/>
        <v>21.85</v>
      </c>
      <c r="AN28" s="20">
        <f t="shared" si="9"/>
        <v>25.6</v>
      </c>
      <c r="AO28" s="20">
        <f t="shared" si="10"/>
        <v>13.9</v>
      </c>
      <c r="AP28" s="20">
        <f t="shared" si="11"/>
        <v>15.8</v>
      </c>
      <c r="AQ28" s="20">
        <f t="shared" si="12"/>
        <v>35.4</v>
      </c>
      <c r="AR28" s="20">
        <f t="shared" si="13"/>
        <v>81.650000000000006</v>
      </c>
      <c r="AS28" s="35">
        <f t="shared" si="29"/>
        <v>328.5</v>
      </c>
      <c r="AU28" s="47">
        <v>752480</v>
      </c>
      <c r="AV28" s="37">
        <f>IF((AU28-AU27&lt;0),"0",AU28-AU27)</f>
        <v>4743</v>
      </c>
      <c r="AW28" s="35">
        <f t="shared" si="30"/>
        <v>9.4860000000000007</v>
      </c>
    </row>
    <row r="29" spans="1:49" x14ac:dyDescent="0.25">
      <c r="A29" s="23">
        <v>43853</v>
      </c>
      <c r="B29" s="40">
        <v>208</v>
      </c>
      <c r="C29" s="24">
        <v>5934730</v>
      </c>
      <c r="D29" s="24">
        <v>12638860</v>
      </c>
      <c r="E29" s="24">
        <v>1470310</v>
      </c>
      <c r="F29" s="24">
        <v>2678700</v>
      </c>
      <c r="G29" s="24">
        <v>8257400</v>
      </c>
      <c r="H29" s="24">
        <v>3993900</v>
      </c>
      <c r="I29" s="24">
        <v>3908150</v>
      </c>
      <c r="J29" s="24">
        <v>4464220</v>
      </c>
      <c r="K29" s="24">
        <v>7113960</v>
      </c>
      <c r="L29" s="24">
        <v>2585100</v>
      </c>
      <c r="M29" s="24">
        <v>6509240</v>
      </c>
      <c r="N29" s="24">
        <v>9017660</v>
      </c>
      <c r="O29" s="24">
        <v>12055910</v>
      </c>
      <c r="Q29" s="37">
        <f t="shared" si="16"/>
        <v>520</v>
      </c>
      <c r="R29" s="37">
        <f t="shared" si="17"/>
        <v>9620</v>
      </c>
      <c r="S29" s="37">
        <f t="shared" si="15"/>
        <v>0</v>
      </c>
      <c r="T29" s="37">
        <f t="shared" si="18"/>
        <v>1420</v>
      </c>
      <c r="U29" s="37">
        <f t="shared" si="19"/>
        <v>6980</v>
      </c>
      <c r="V29" s="37">
        <f t="shared" si="20"/>
        <v>5380</v>
      </c>
      <c r="W29" s="37">
        <f t="shared" si="21"/>
        <v>3410</v>
      </c>
      <c r="X29" s="37">
        <f t="shared" si="22"/>
        <v>4430</v>
      </c>
      <c r="Y29" s="37">
        <f t="shared" si="23"/>
        <v>5440</v>
      </c>
      <c r="Z29" s="37">
        <f t="shared" si="24"/>
        <v>2850</v>
      </c>
      <c r="AA29" s="37">
        <f t="shared" si="25"/>
        <v>3550</v>
      </c>
      <c r="AB29" s="37">
        <f t="shared" si="26"/>
        <v>6700</v>
      </c>
      <c r="AC29" s="37">
        <f t="shared" si="27"/>
        <v>16650</v>
      </c>
      <c r="AD29" s="35">
        <f t="shared" si="28"/>
        <v>66950</v>
      </c>
      <c r="AF29" s="20">
        <f t="shared" si="1"/>
        <v>2.6</v>
      </c>
      <c r="AG29" s="20">
        <f t="shared" si="2"/>
        <v>48.1</v>
      </c>
      <c r="AH29" s="20">
        <f t="shared" si="3"/>
        <v>0</v>
      </c>
      <c r="AI29" s="20">
        <f t="shared" si="4"/>
        <v>7.1000000000000005</v>
      </c>
      <c r="AJ29" s="20">
        <f t="shared" si="5"/>
        <v>34.9</v>
      </c>
      <c r="AK29" s="20">
        <f t="shared" si="6"/>
        <v>26.900000000000002</v>
      </c>
      <c r="AL29" s="20">
        <f t="shared" si="7"/>
        <v>17.05</v>
      </c>
      <c r="AM29" s="20">
        <f t="shared" si="8"/>
        <v>22.150000000000002</v>
      </c>
      <c r="AN29" s="20">
        <f t="shared" si="9"/>
        <v>27.2</v>
      </c>
      <c r="AO29" s="20">
        <f t="shared" si="10"/>
        <v>14.25</v>
      </c>
      <c r="AP29" s="20">
        <f t="shared" si="11"/>
        <v>17.75</v>
      </c>
      <c r="AQ29" s="20">
        <f t="shared" si="12"/>
        <v>33.5</v>
      </c>
      <c r="AR29" s="20">
        <f t="shared" si="13"/>
        <v>83.25</v>
      </c>
      <c r="AS29" s="35">
        <f t="shared" si="29"/>
        <v>334.75</v>
      </c>
      <c r="AU29" s="47">
        <v>754292</v>
      </c>
      <c r="AV29" s="37">
        <f t="shared" ref="AV29:AV35" si="34">IF((AU29-AU28&lt;0),"0",AU29-AU28)</f>
        <v>1812</v>
      </c>
      <c r="AW29" s="35">
        <f t="shared" si="30"/>
        <v>3.6240000000000001</v>
      </c>
    </row>
    <row r="30" spans="1:49" x14ac:dyDescent="0.25">
      <c r="A30" s="23">
        <v>43854</v>
      </c>
      <c r="B30" s="40">
        <v>187</v>
      </c>
      <c r="C30" s="24">
        <v>5935330</v>
      </c>
      <c r="D30" s="24">
        <v>12650660</v>
      </c>
      <c r="E30" s="24">
        <v>1470310</v>
      </c>
      <c r="F30" s="24">
        <v>2680360</v>
      </c>
      <c r="G30" s="24">
        <v>8265400</v>
      </c>
      <c r="H30" s="24">
        <v>3998650</v>
      </c>
      <c r="I30" s="24">
        <v>3912150</v>
      </c>
      <c r="J30" s="24">
        <v>4469180</v>
      </c>
      <c r="K30" s="24">
        <v>7120420</v>
      </c>
      <c r="L30" s="24">
        <v>2588290</v>
      </c>
      <c r="M30" s="24">
        <v>6513540</v>
      </c>
      <c r="N30" s="24">
        <v>9025880</v>
      </c>
      <c r="O30" s="24">
        <v>12075130</v>
      </c>
      <c r="Q30" s="37">
        <f t="shared" si="16"/>
        <v>600</v>
      </c>
      <c r="R30" s="37">
        <f t="shared" si="17"/>
        <v>11800</v>
      </c>
      <c r="S30" s="37">
        <f t="shared" si="15"/>
        <v>0</v>
      </c>
      <c r="T30" s="37">
        <f t="shared" si="18"/>
        <v>1660</v>
      </c>
      <c r="U30" s="37">
        <f t="shared" si="19"/>
        <v>8000</v>
      </c>
      <c r="V30" s="37">
        <f t="shared" si="20"/>
        <v>4750</v>
      </c>
      <c r="W30" s="37">
        <f t="shared" si="21"/>
        <v>4000</v>
      </c>
      <c r="X30" s="37">
        <f t="shared" si="22"/>
        <v>4960</v>
      </c>
      <c r="Y30" s="37">
        <f t="shared" si="23"/>
        <v>6460</v>
      </c>
      <c r="Z30" s="37">
        <f t="shared" si="24"/>
        <v>3190</v>
      </c>
      <c r="AA30" s="37">
        <f t="shared" si="25"/>
        <v>4300</v>
      </c>
      <c r="AB30" s="37">
        <f t="shared" si="26"/>
        <v>8220</v>
      </c>
      <c r="AC30" s="37">
        <f t="shared" si="27"/>
        <v>19220</v>
      </c>
      <c r="AD30" s="35">
        <f t="shared" si="28"/>
        <v>77160</v>
      </c>
      <c r="AF30" s="20">
        <f t="shared" si="1"/>
        <v>3</v>
      </c>
      <c r="AG30" s="20">
        <f t="shared" si="2"/>
        <v>59</v>
      </c>
      <c r="AH30" s="20">
        <f t="shared" si="3"/>
        <v>0</v>
      </c>
      <c r="AI30" s="20">
        <f t="shared" si="4"/>
        <v>8.3000000000000007</v>
      </c>
      <c r="AJ30" s="20">
        <f t="shared" si="5"/>
        <v>40</v>
      </c>
      <c r="AK30" s="20">
        <f t="shared" si="6"/>
        <v>23.75</v>
      </c>
      <c r="AL30" s="20">
        <f t="shared" si="7"/>
        <v>20</v>
      </c>
      <c r="AM30" s="20">
        <f t="shared" si="8"/>
        <v>24.8</v>
      </c>
      <c r="AN30" s="20">
        <f t="shared" si="9"/>
        <v>32.299999999999997</v>
      </c>
      <c r="AO30" s="20">
        <f t="shared" si="10"/>
        <v>15.950000000000001</v>
      </c>
      <c r="AP30" s="20">
        <f t="shared" si="11"/>
        <v>21.5</v>
      </c>
      <c r="AQ30" s="20">
        <f t="shared" si="12"/>
        <v>41.1</v>
      </c>
      <c r="AR30" s="20">
        <f t="shared" si="13"/>
        <v>96.100000000000009</v>
      </c>
      <c r="AS30" s="35">
        <f t="shared" si="29"/>
        <v>385.80000000000007</v>
      </c>
      <c r="AU30" s="47">
        <v>755792</v>
      </c>
      <c r="AV30" s="37">
        <f t="shared" si="34"/>
        <v>1500</v>
      </c>
      <c r="AW30" s="35">
        <f t="shared" si="30"/>
        <v>3</v>
      </c>
    </row>
    <row r="31" spans="1:49" x14ac:dyDescent="0.25">
      <c r="A31" s="23">
        <v>43855</v>
      </c>
      <c r="B31" s="40">
        <v>109</v>
      </c>
      <c r="C31" s="24">
        <v>5935790</v>
      </c>
      <c r="D31" s="24">
        <v>12658380</v>
      </c>
      <c r="E31" s="24">
        <v>1470310</v>
      </c>
      <c r="F31" s="24">
        <v>2681610</v>
      </c>
      <c r="G31" s="24">
        <v>8271340</v>
      </c>
      <c r="H31" s="24">
        <v>4002840</v>
      </c>
      <c r="I31" s="24">
        <v>3914620</v>
      </c>
      <c r="J31" s="24">
        <v>4473390</v>
      </c>
      <c r="K31" s="24">
        <v>7125000</v>
      </c>
      <c r="L31" s="24">
        <v>2590740</v>
      </c>
      <c r="M31" s="24">
        <v>6516700</v>
      </c>
      <c r="N31" s="24">
        <v>9032030</v>
      </c>
      <c r="O31" s="24">
        <v>12089200</v>
      </c>
      <c r="Q31" s="37">
        <f t="shared" si="16"/>
        <v>460</v>
      </c>
      <c r="R31" s="37">
        <f t="shared" si="17"/>
        <v>7720</v>
      </c>
      <c r="S31" s="37">
        <f t="shared" si="15"/>
        <v>0</v>
      </c>
      <c r="T31" s="37">
        <f t="shared" si="18"/>
        <v>1250</v>
      </c>
      <c r="U31" s="37">
        <f t="shared" si="19"/>
        <v>5940</v>
      </c>
      <c r="V31" s="37">
        <f t="shared" si="20"/>
        <v>4190</v>
      </c>
      <c r="W31" s="37">
        <f t="shared" si="21"/>
        <v>2470</v>
      </c>
      <c r="X31" s="37">
        <f t="shared" si="22"/>
        <v>4210</v>
      </c>
      <c r="Y31" s="37">
        <f t="shared" si="23"/>
        <v>4580</v>
      </c>
      <c r="Z31" s="37">
        <f t="shared" si="24"/>
        <v>2450</v>
      </c>
      <c r="AA31" s="37">
        <f t="shared" si="25"/>
        <v>3160</v>
      </c>
      <c r="AB31" s="37">
        <f t="shared" si="26"/>
        <v>6150</v>
      </c>
      <c r="AC31" s="37">
        <f t="shared" si="27"/>
        <v>14070</v>
      </c>
      <c r="AD31" s="35">
        <f t="shared" si="28"/>
        <v>56650</v>
      </c>
      <c r="AF31" s="20">
        <f t="shared" si="1"/>
        <v>2.3000000000000003</v>
      </c>
      <c r="AG31" s="20">
        <f t="shared" si="2"/>
        <v>38.6</v>
      </c>
      <c r="AH31" s="20">
        <f t="shared" si="3"/>
        <v>0</v>
      </c>
      <c r="AI31" s="20">
        <f t="shared" si="4"/>
        <v>6.25</v>
      </c>
      <c r="AJ31" s="20">
        <f t="shared" si="5"/>
        <v>29.7</v>
      </c>
      <c r="AK31" s="20">
        <f t="shared" si="6"/>
        <v>20.95</v>
      </c>
      <c r="AL31" s="20">
        <f t="shared" si="7"/>
        <v>12.35</v>
      </c>
      <c r="AM31" s="20">
        <f t="shared" si="8"/>
        <v>21.05</v>
      </c>
      <c r="AN31" s="20">
        <f t="shared" si="9"/>
        <v>22.900000000000002</v>
      </c>
      <c r="AO31" s="20">
        <f t="shared" si="10"/>
        <v>12.25</v>
      </c>
      <c r="AP31" s="20">
        <f t="shared" si="11"/>
        <v>15.8</v>
      </c>
      <c r="AQ31" s="20">
        <f t="shared" si="12"/>
        <v>30.75</v>
      </c>
      <c r="AR31" s="20">
        <f t="shared" si="13"/>
        <v>70.350000000000009</v>
      </c>
      <c r="AS31" s="35">
        <f t="shared" si="29"/>
        <v>283.25</v>
      </c>
      <c r="AU31" s="47">
        <v>758094</v>
      </c>
      <c r="AV31" s="37">
        <f t="shared" si="34"/>
        <v>2302</v>
      </c>
      <c r="AW31" s="35">
        <f t="shared" si="30"/>
        <v>4.6040000000000001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 t="shared" si="16"/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13140</v>
      </c>
      <c r="R38" s="30">
        <f t="shared" si="64"/>
        <v>257700</v>
      </c>
      <c r="S38" s="30">
        <f t="shared" si="64"/>
        <v>10</v>
      </c>
      <c r="T38" s="30">
        <f t="shared" si="64"/>
        <v>36430</v>
      </c>
      <c r="U38" s="30">
        <f t="shared" si="64"/>
        <v>176090</v>
      </c>
      <c r="V38" s="30">
        <f t="shared" si="64"/>
        <v>119400</v>
      </c>
      <c r="W38" s="30">
        <f t="shared" si="64"/>
        <v>78860</v>
      </c>
      <c r="X38" s="30">
        <f t="shared" si="64"/>
        <v>114300</v>
      </c>
      <c r="Y38" s="30">
        <f t="shared" si="64"/>
        <v>132860</v>
      </c>
      <c r="Z38" s="30">
        <f t="shared" si="64"/>
        <v>72990</v>
      </c>
      <c r="AA38" s="30">
        <f t="shared" si="64"/>
        <v>91800</v>
      </c>
      <c r="AB38" s="30">
        <f t="shared" si="64"/>
        <v>179620</v>
      </c>
      <c r="AC38" s="30">
        <f t="shared" si="64"/>
        <v>399240</v>
      </c>
      <c r="AD38" s="35">
        <f t="shared" si="64"/>
        <v>1672440</v>
      </c>
      <c r="AF38" s="35">
        <f t="shared" ref="AF38:AS38" si="65">SUM(AF7:AF34)</f>
        <v>65.7</v>
      </c>
      <c r="AG38" s="35">
        <f t="shared" si="65"/>
        <v>1288.4999999999998</v>
      </c>
      <c r="AH38" s="35">
        <f t="shared" si="65"/>
        <v>0.05</v>
      </c>
      <c r="AI38" s="35">
        <f t="shared" si="65"/>
        <v>182.15</v>
      </c>
      <c r="AJ38" s="35">
        <f t="shared" si="65"/>
        <v>880.44999999999982</v>
      </c>
      <c r="AK38" s="35">
        <f t="shared" si="65"/>
        <v>596.99999999999989</v>
      </c>
      <c r="AL38" s="35">
        <f t="shared" si="65"/>
        <v>394.30000000000007</v>
      </c>
      <c r="AM38" s="35">
        <f t="shared" si="65"/>
        <v>571.5</v>
      </c>
      <c r="AN38" s="35">
        <f t="shared" si="65"/>
        <v>664.3</v>
      </c>
      <c r="AO38" s="35">
        <f t="shared" si="65"/>
        <v>364.94999999999993</v>
      </c>
      <c r="AP38" s="35">
        <f t="shared" si="65"/>
        <v>459</v>
      </c>
      <c r="AQ38" s="35">
        <f t="shared" si="65"/>
        <v>898.10000000000014</v>
      </c>
      <c r="AR38" s="35">
        <f t="shared" si="65"/>
        <v>1996.2</v>
      </c>
      <c r="AS38" s="35">
        <f t="shared" si="65"/>
        <v>8362.1999999999989</v>
      </c>
      <c r="AU38" s="48"/>
      <c r="AV38" s="35">
        <f>SUM(AV7:AV34)</f>
        <v>42946</v>
      </c>
      <c r="AW38" s="35">
        <f>SUM(AW7:AW34)</f>
        <v>79.055999999999997</v>
      </c>
    </row>
    <row r="39" spans="1:49" x14ac:dyDescent="0.25">
      <c r="D39">
        <v>5.0000000000000001E-3</v>
      </c>
      <c r="AV39" s="36">
        <f>AV38*0.00378541*1000</f>
        <v>162568.21786</v>
      </c>
    </row>
    <row r="40" spans="1:49" x14ac:dyDescent="0.25">
      <c r="D40">
        <v>2E-3</v>
      </c>
      <c r="AV40">
        <f>AV39/31</f>
        <v>5244.1360599999998</v>
      </c>
    </row>
    <row r="41" spans="1:49" x14ac:dyDescent="0.25">
      <c r="AV41">
        <f>AV38*0.00378541</f>
        <v>162.56821786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2020-01-26T14:58:17Z</dcterms:modified>
</cp:coreProperties>
</file>