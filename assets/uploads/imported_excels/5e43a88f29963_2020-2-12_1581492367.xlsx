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7" i="6" l="1"/>
  <c r="E27" i="6"/>
  <c r="C23" i="4"/>
  <c r="E23" i="4"/>
  <c r="G23" i="4"/>
  <c r="G22" i="4" l="1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26" i="4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C33" i="6"/>
  <c r="E33" i="6"/>
  <c r="J27" i="1" s="1"/>
  <c r="G33" i="6"/>
  <c r="K27" i="1" s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L16" i="4" l="1"/>
  <c r="N16" i="4" s="1"/>
  <c r="O16" i="4" s="1"/>
  <c r="P16" i="4" s="1"/>
  <c r="C16" i="4"/>
  <c r="I16" i="4"/>
  <c r="G16" i="4"/>
  <c r="G43" i="4" s="1"/>
  <c r="E16" i="4"/>
  <c r="I15" i="4"/>
  <c r="G15" i="4"/>
  <c r="E15" i="4"/>
  <c r="L15" i="4"/>
  <c r="N15" i="4" s="1"/>
  <c r="O15" i="4" s="1"/>
  <c r="P15" i="4" s="1"/>
  <c r="C15" i="4"/>
  <c r="E43" i="4"/>
  <c r="C13" i="4"/>
  <c r="C43" i="4" s="1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G28" i="4"/>
  <c r="E28" i="4"/>
  <c r="L28" i="4"/>
  <c r="N28" i="4" s="1"/>
  <c r="O28" i="4" s="1"/>
  <c r="P28" i="4" s="1"/>
  <c r="C28" i="4"/>
  <c r="I28" i="4"/>
  <c r="L26" i="4"/>
  <c r="N26" i="4" s="1"/>
  <c r="O26" i="4" s="1"/>
  <c r="P26" i="4" s="1"/>
  <c r="I26" i="4"/>
  <c r="E26" i="4"/>
  <c r="C26" i="4"/>
  <c r="I24" i="4"/>
  <c r="G24" i="4"/>
  <c r="E24" i="4"/>
  <c r="L24" i="4"/>
  <c r="N24" i="4" s="1"/>
  <c r="O24" i="4" s="1"/>
  <c r="P24" i="4" s="1"/>
  <c r="C24" i="4"/>
  <c r="L22" i="4"/>
  <c r="N22" i="4" s="1"/>
  <c r="O22" i="4" s="1"/>
  <c r="P22" i="4" s="1"/>
  <c r="I22" i="4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E27" i="4"/>
  <c r="L27" i="4"/>
  <c r="N27" i="4" s="1"/>
  <c r="O27" i="4" s="1"/>
  <c r="P27" i="4" s="1"/>
  <c r="C27" i="4"/>
  <c r="I27" i="4"/>
  <c r="G27" i="4"/>
  <c r="I25" i="4"/>
  <c r="G25" i="4"/>
  <c r="E25" i="4"/>
  <c r="L25" i="4"/>
  <c r="N25" i="4" s="1"/>
  <c r="O25" i="4" s="1"/>
  <c r="P25" i="4" s="1"/>
  <c r="C25" i="4"/>
  <c r="L23" i="4"/>
  <c r="N23" i="4" s="1"/>
  <c r="O23" i="4" s="1"/>
  <c r="P23" i="4" s="1"/>
  <c r="I23" i="4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G29" i="10" l="1"/>
  <c r="O29" i="10" s="1"/>
  <c r="W37" i="1"/>
  <c r="G15" i="10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15" i="10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<sst xmlns="http://schemas.openxmlformats.org/spreadsheetml/2006/main" count="123" uniqueCount="82">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</sst>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480</c:v>
                </c:pt>
                <c:pt idx="10">
                  <c:v>690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90144"/>
        <c:axId val="271592832"/>
      </c:lineChart>
      <c:dateAx>
        <c:axId val="2715901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592832"/>
        <c:crosses val="autoZero"/>
        <c:auto val="1"/>
        <c:lblOffset val="100"/>
        <c:baseTimeUnit val="days"/>
      </c:dateAx>
      <c:valAx>
        <c:axId val="27159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5901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5442</c:v>
                </c:pt>
                <c:pt idx="10">
                  <c:v>4611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7290</c:v>
                </c:pt>
                <c:pt idx="10">
                  <c:v>7836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3521</c:v>
                </c:pt>
                <c:pt idx="10">
                  <c:v>3995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30720"/>
        <c:axId val="271632256"/>
      </c:lineChart>
      <c:dateAx>
        <c:axId val="2716307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32256"/>
        <c:crosses val="autoZero"/>
        <c:auto val="1"/>
        <c:lblOffset val="100"/>
        <c:baseTimeUnit val="days"/>
      </c:dateAx>
      <c:valAx>
        <c:axId val="271632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519.4</c:v>
                </c:pt>
                <c:pt idx="11">
                  <c:v>853.30000000000007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320384"/>
        <c:axId val="272321920"/>
      </c:lineChart>
      <c:dateAx>
        <c:axId val="2723203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321920"/>
        <c:crosses val="autoZero"/>
        <c:auto val="1"/>
        <c:lblOffset val="100"/>
        <c:baseTimeUnit val="days"/>
      </c:dateAx>
      <c:valAx>
        <c:axId val="2723219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3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2" sqref="A12:XFD1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16253</v>
      </c>
      <c r="F11" s="108">
        <v>1.002</v>
      </c>
      <c r="G11" s="108">
        <f>'Consommation du 01.02 au 29.02'!U19</f>
        <v>519.4</v>
      </c>
      <c r="H11" s="108">
        <v>9.3657000000000004</v>
      </c>
      <c r="I11" s="108">
        <f>'Consommation du 01.02 au 29.02'!Y19*1000</f>
        <v>16710.000000002765</v>
      </c>
      <c r="J11" s="108">
        <v>0.53</v>
      </c>
      <c r="K11" s="108">
        <f>'Consommation du 01.02 au 29.02'!D19</f>
        <v>480</v>
      </c>
      <c r="L11" s="108">
        <v>12.67</v>
      </c>
      <c r="M11" s="122">
        <f>'Consommation du 01.02 au 29.02'!AC19</f>
        <v>87</v>
      </c>
      <c r="N11" s="122">
        <v>178</v>
      </c>
      <c r="O11" s="108">
        <f t="shared" si="0"/>
        <v>36087.950580001467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16442</v>
      </c>
      <c r="F12" s="108">
        <v>1.002</v>
      </c>
      <c r="G12" s="108">
        <f>'Consommation du 01.02 au 29.02'!U20</f>
        <v>853.30000000000007</v>
      </c>
      <c r="H12" s="108">
        <v>9.3657000000000004</v>
      </c>
      <c r="I12" s="108">
        <f>'Consommation du 01.02 au 29.02'!Y20*1000</f>
        <v>14319.999999999709</v>
      </c>
      <c r="J12" s="108">
        <v>0.53</v>
      </c>
      <c r="K12" s="108">
        <f>'Consommation du 01.02 au 29.02'!D20</f>
        <v>690</v>
      </c>
      <c r="L12" s="108">
        <v>12.67</v>
      </c>
      <c r="M12" s="122">
        <f>'Consommation du 01.02 au 29.02'!AC20</f>
        <v>76</v>
      </c>
      <c r="N12" s="122">
        <v>160</v>
      </c>
      <c r="O12" s="108">
        <f t="shared" si="0"/>
        <v>40798.535809999848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0</v>
      </c>
      <c r="F13" s="108">
        <v>1.002</v>
      </c>
      <c r="G13" s="108">
        <f>'Consommation du 01.02 au 29.02'!U21</f>
        <v>0</v>
      </c>
      <c r="H13" s="108">
        <v>9.3657000000000004</v>
      </c>
      <c r="I13" s="108">
        <f>'Consommation du 01.02 au 29.02'!Y21*1000</f>
        <v>0</v>
      </c>
      <c r="J13" s="108">
        <v>0.53</v>
      </c>
      <c r="K13" s="108">
        <f>'Consommation du 01.02 au 29.02'!D21</f>
        <v>0</v>
      </c>
      <c r="L13" s="108">
        <v>12.67</v>
      </c>
      <c r="M13" s="122">
        <f>'Consommation du 01.02 au 29.02'!AC21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0</v>
      </c>
      <c r="F14" s="108">
        <v>1.002</v>
      </c>
      <c r="G14" s="108">
        <f>'Consommation du 01.02 au 29.02'!U22</f>
        <v>0</v>
      </c>
      <c r="H14" s="108">
        <v>9.3657000000000004</v>
      </c>
      <c r="I14" s="108">
        <f>'Consommation du 01.02 au 29.02'!Y22*1000</f>
        <v>0</v>
      </c>
      <c r="J14" s="108">
        <v>0.53</v>
      </c>
      <c r="K14" s="108">
        <f>'Consommation du 01.02 au 29.02'!D22</f>
        <v>0</v>
      </c>
      <c r="L14" s="108">
        <v>12.67</v>
      </c>
      <c r="M14" s="122">
        <f>'Consommation du 01.02 au 29.02'!AC22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0</v>
      </c>
      <c r="F15" s="108">
        <v>1.002</v>
      </c>
      <c r="G15" s="108">
        <f>'Consommation du 01.02 au 29.02'!U23</f>
        <v>0</v>
      </c>
      <c r="H15" s="108">
        <v>9.3657000000000004</v>
      </c>
      <c r="I15" s="108">
        <f>'Consommation du 01.02 au 29.02'!Y23*1000</f>
        <v>0</v>
      </c>
      <c r="J15" s="108">
        <v>0.53</v>
      </c>
      <c r="K15" s="108">
        <f>'Consommation du 01.02 au 29.02'!D23</f>
        <v>0</v>
      </c>
      <c r="L15" s="108">
        <v>12.67</v>
      </c>
      <c r="M15" s="122">
        <f>'Consommation du 01.02 au 29.02'!AC23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0</v>
      </c>
      <c r="F16" s="108">
        <v>1.002</v>
      </c>
      <c r="G16" s="108">
        <f>'Consommation du 01.02 au 29.02'!U24</f>
        <v>0</v>
      </c>
      <c r="H16" s="108">
        <v>9.3657000000000004</v>
      </c>
      <c r="I16" s="108">
        <f>'Consommation du 01.02 au 29.02'!Y24*1000</f>
        <v>0</v>
      </c>
      <c r="J16" s="108">
        <v>0.53</v>
      </c>
      <c r="K16" s="108">
        <f>'Consommation du 01.02 au 29.02'!D24</f>
        <v>0</v>
      </c>
      <c r="L16" s="108">
        <v>12.67</v>
      </c>
      <c r="M16" s="122">
        <f>'Consommation du 01.02 au 29.02'!AC24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0</v>
      </c>
      <c r="F17" s="108">
        <v>1.002</v>
      </c>
      <c r="G17" s="108">
        <f>'Consommation du 01.02 au 29.02'!U25</f>
        <v>0</v>
      </c>
      <c r="H17" s="108">
        <v>9.3657000000000004</v>
      </c>
      <c r="I17" s="108">
        <f>'Consommation du 01.02 au 29.02'!Y25*1000</f>
        <v>0</v>
      </c>
      <c r="J17" s="108">
        <v>0.53</v>
      </c>
      <c r="K17" s="108">
        <f>'Consommation du 01.02 au 29.02'!D25</f>
        <v>0</v>
      </c>
      <c r="L17" s="108">
        <v>12.67</v>
      </c>
      <c r="M17" s="122">
        <f>'Consommation du 01.02 au 29.02'!AC25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0</v>
      </c>
      <c r="F18" s="108">
        <v>1.002</v>
      </c>
      <c r="G18" s="108">
        <f>'Consommation du 01.02 au 29.02'!U26</f>
        <v>0</v>
      </c>
      <c r="H18" s="108">
        <v>9.3657000000000004</v>
      </c>
      <c r="I18" s="108">
        <f>'Consommation du 01.02 au 29.02'!Y26*1000</f>
        <v>0</v>
      </c>
      <c r="J18" s="108">
        <v>0.53</v>
      </c>
      <c r="K18" s="108">
        <f>'Consommation du 01.02 au 29.02'!D26</f>
        <v>0</v>
      </c>
      <c r="L18" s="108">
        <v>12.67</v>
      </c>
      <c r="M18" s="122">
        <f>'Consommation du 01.02 au 29.02'!AC26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22" sqref="X22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1"/>
      <c r="B2" s="182"/>
      <c r="C2" s="182"/>
      <c r="D2" s="182"/>
      <c r="E2" s="182"/>
      <c r="F2" s="183"/>
      <c r="G2" s="170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2"/>
      <c r="AD2" s="169"/>
      <c r="AE2" s="169"/>
      <c r="AF2" s="169"/>
      <c r="AJ2" s="63"/>
    </row>
    <row r="3" spans="1:37" ht="1.5" customHeight="1" x14ac:dyDescent="0.2"/>
    <row r="4" spans="1:37" ht="39" hidden="1" customHeight="1" x14ac:dyDescent="0.2">
      <c r="A4" s="184"/>
      <c r="B4" s="184"/>
      <c r="C4" s="18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4"/>
      <c r="B5" s="184"/>
      <c r="C5" s="184"/>
      <c r="D5" s="6"/>
      <c r="E5" s="6"/>
      <c r="F5" s="6"/>
      <c r="G5" s="6"/>
      <c r="H5" s="6"/>
      <c r="I5" s="6"/>
      <c r="J5" s="6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6"/>
      <c r="E7" s="186"/>
      <c r="F7" s="186"/>
      <c r="G7" s="186"/>
      <c r="H7" s="186"/>
      <c r="I7" s="186"/>
      <c r="J7" s="186"/>
      <c r="K7" s="186"/>
      <c r="L7" s="238"/>
      <c r="M7" s="238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4"/>
      <c r="AC7" s="14"/>
      <c r="AI7" s="6"/>
      <c r="AJ7" s="6"/>
      <c r="AK7" s="6"/>
    </row>
    <row r="8" spans="1:37" ht="2.25" customHeight="1" thickBot="1" x14ac:dyDescent="0.25">
      <c r="A8" s="186"/>
      <c r="B8" s="187" t="s">
        <v>1</v>
      </c>
      <c r="C8" s="4"/>
      <c r="D8" s="188" t="s">
        <v>4</v>
      </c>
      <c r="E8" s="5"/>
      <c r="F8" s="173" t="s">
        <v>12</v>
      </c>
      <c r="G8" s="174"/>
      <c r="H8" s="175"/>
      <c r="I8" s="5"/>
      <c r="J8" s="193" t="s">
        <v>3</v>
      </c>
      <c r="K8" s="193"/>
      <c r="L8" s="193"/>
      <c r="M8" s="193" t="s">
        <v>2</v>
      </c>
      <c r="N8" s="5"/>
      <c r="O8" s="179" t="s">
        <v>12</v>
      </c>
      <c r="P8" s="5"/>
      <c r="Q8" s="179" t="s">
        <v>5</v>
      </c>
      <c r="R8" s="5"/>
      <c r="S8" s="179" t="s">
        <v>6</v>
      </c>
      <c r="T8" s="5"/>
      <c r="U8" s="239" t="s">
        <v>39</v>
      </c>
      <c r="V8" s="5"/>
      <c r="W8" s="179" t="s">
        <v>12</v>
      </c>
      <c r="X8" s="70"/>
      <c r="Y8" s="70"/>
      <c r="Z8" s="70"/>
      <c r="AA8" s="192"/>
      <c r="AB8" s="190" t="s">
        <v>80</v>
      </c>
      <c r="AC8" s="179" t="s">
        <v>75</v>
      </c>
      <c r="AD8" s="167" t="s">
        <v>54</v>
      </c>
      <c r="AE8" s="165" t="s">
        <v>59</v>
      </c>
      <c r="AF8" s="165" t="s">
        <v>60</v>
      </c>
      <c r="AG8" s="163" t="s">
        <v>61</v>
      </c>
      <c r="AH8" s="163" t="s">
        <v>62</v>
      </c>
      <c r="AI8" s="74"/>
      <c r="AJ8" s="74"/>
      <c r="AK8" s="74"/>
    </row>
    <row r="9" spans="1:37" ht="116.25" customHeight="1" thickBot="1" x14ac:dyDescent="0.25">
      <c r="A9" s="186"/>
      <c r="B9" s="187"/>
      <c r="C9" s="4"/>
      <c r="D9" s="189"/>
      <c r="E9" s="5"/>
      <c r="F9" s="176"/>
      <c r="G9" s="177"/>
      <c r="H9" s="178"/>
      <c r="I9" s="5"/>
      <c r="J9" s="86" t="s">
        <v>7</v>
      </c>
      <c r="K9" s="86" t="s">
        <v>8</v>
      </c>
      <c r="L9" s="86" t="s">
        <v>9</v>
      </c>
      <c r="M9" s="193"/>
      <c r="N9" s="5"/>
      <c r="O9" s="180"/>
      <c r="P9" s="5"/>
      <c r="Q9" s="180"/>
      <c r="R9" s="5"/>
      <c r="S9" s="180"/>
      <c r="T9" s="5"/>
      <c r="U9" s="240"/>
      <c r="V9" s="5"/>
      <c r="W9" s="180"/>
      <c r="X9" s="132" t="s">
        <v>81</v>
      </c>
      <c r="Y9" s="101" t="s">
        <v>55</v>
      </c>
      <c r="Z9" s="102" t="s">
        <v>56</v>
      </c>
      <c r="AA9" s="192"/>
      <c r="AB9" s="191"/>
      <c r="AC9" s="185"/>
      <c r="AD9" s="168"/>
      <c r="AE9" s="166"/>
      <c r="AF9" s="166"/>
      <c r="AG9" s="164"/>
      <c r="AH9" s="164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234">
        <f>D10*12.67</f>
        <v>5954.9</v>
      </c>
      <c r="G10" s="234"/>
      <c r="H10" s="235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234">
        <f t="shared" ref="F11:F40" si="0">D11*12.67</f>
        <v>6841.8</v>
      </c>
      <c r="G11" s="234"/>
      <c r="H11" s="235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234">
        <f t="shared" si="0"/>
        <v>5954.9</v>
      </c>
      <c r="G12" s="234"/>
      <c r="H12" s="235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234">
        <f t="shared" si="0"/>
        <v>6335</v>
      </c>
      <c r="G13" s="234"/>
      <c r="H13" s="235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234">
        <f t="shared" si="0"/>
        <v>6588.4</v>
      </c>
      <c r="G14" s="234"/>
      <c r="H14" s="235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234">
        <f t="shared" si="0"/>
        <v>6461.7</v>
      </c>
      <c r="G15" s="234"/>
      <c r="H15" s="235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234">
        <f t="shared" si="0"/>
        <v>6335</v>
      </c>
      <c r="G16" s="234"/>
      <c r="H16" s="235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234">
        <f t="shared" si="0"/>
        <v>7095.2</v>
      </c>
      <c r="G17" s="234"/>
      <c r="H17" s="235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234">
        <f t="shared" si="0"/>
        <v>5954.9</v>
      </c>
      <c r="G18" s="234"/>
      <c r="H18" s="235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480</v>
      </c>
      <c r="E19" s="112"/>
      <c r="F19" s="234">
        <f t="shared" si="0"/>
        <v>6081.6</v>
      </c>
      <c r="G19" s="234"/>
      <c r="H19" s="235"/>
      <c r="I19" s="93"/>
      <c r="J19" s="117">
        <f>'Suivi EAU-ELEC'!E25</f>
        <v>5442</v>
      </c>
      <c r="K19" s="118">
        <f>'Suivi EAU-ELEC'!G25</f>
        <v>7290</v>
      </c>
      <c r="L19" s="118">
        <f>'Suivi EAU-ELEC'!I25</f>
        <v>3521</v>
      </c>
      <c r="M19" s="119">
        <f t="shared" si="1"/>
        <v>16253</v>
      </c>
      <c r="N19" s="92"/>
      <c r="O19" s="95">
        <f t="shared" si="2"/>
        <v>16285.505999999999</v>
      </c>
      <c r="P19" s="91"/>
      <c r="Q19" s="90"/>
      <c r="R19" s="89"/>
      <c r="S19" s="90"/>
      <c r="T19" s="97"/>
      <c r="U19" s="96">
        <f>'Suvi Gaz'!O20</f>
        <v>519.4</v>
      </c>
      <c r="V19" s="93"/>
      <c r="W19" s="95">
        <f t="shared" si="3"/>
        <v>4864.5445799999998</v>
      </c>
      <c r="X19" s="137">
        <v>16522.349999999999</v>
      </c>
      <c r="Y19" s="99">
        <f t="shared" si="4"/>
        <v>16.710000000002765</v>
      </c>
      <c r="Z19" s="100">
        <f t="shared" si="5"/>
        <v>8856.3000000014672</v>
      </c>
      <c r="AA19" s="98"/>
      <c r="AB19" s="115">
        <v>21</v>
      </c>
      <c r="AC19" s="129">
        <v>87</v>
      </c>
      <c r="AD19" s="125">
        <v>0.68500000000000005</v>
      </c>
      <c r="AE19" s="136">
        <v>28</v>
      </c>
      <c r="AF19" s="136">
        <v>29</v>
      </c>
      <c r="AG19" s="134">
        <v>27.6</v>
      </c>
      <c r="AH19" s="135">
        <v>27.5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690</v>
      </c>
      <c r="E20" s="112"/>
      <c r="F20" s="234">
        <f t="shared" si="0"/>
        <v>8742.2999999999993</v>
      </c>
      <c r="G20" s="234"/>
      <c r="H20" s="235"/>
      <c r="I20" s="93"/>
      <c r="J20" s="117">
        <f>'Suivi EAU-ELEC'!E26</f>
        <v>4611</v>
      </c>
      <c r="K20" s="118">
        <f>'Suivi EAU-ELEC'!G26</f>
        <v>7836</v>
      </c>
      <c r="L20" s="118">
        <f>'Suivi EAU-ELEC'!I26</f>
        <v>3995</v>
      </c>
      <c r="M20" s="119">
        <f t="shared" si="1"/>
        <v>16442</v>
      </c>
      <c r="N20" s="92"/>
      <c r="O20" s="95">
        <f t="shared" si="2"/>
        <v>16474.884000000002</v>
      </c>
      <c r="P20" s="91"/>
      <c r="Q20" s="90"/>
      <c r="R20" s="89"/>
      <c r="S20" s="90"/>
      <c r="T20" s="97"/>
      <c r="U20" s="96">
        <f>'Suvi Gaz'!O21</f>
        <v>853.30000000000007</v>
      </c>
      <c r="V20" s="93"/>
      <c r="W20" s="95">
        <f t="shared" si="3"/>
        <v>7991.7518100000007</v>
      </c>
      <c r="X20" s="137">
        <v>16539.060000000001</v>
      </c>
      <c r="Y20" s="99">
        <f t="shared" si="4"/>
        <v>14.319999999999709</v>
      </c>
      <c r="Z20" s="100">
        <f t="shared" si="5"/>
        <v>7589.5999999998467</v>
      </c>
      <c r="AA20" s="98">
        <v>14</v>
      </c>
      <c r="AB20" s="115">
        <v>23</v>
      </c>
      <c r="AC20" s="129">
        <v>76</v>
      </c>
      <c r="AD20" s="125">
        <v>0.58460000000000001</v>
      </c>
      <c r="AE20" s="136">
        <v>27.5</v>
      </c>
      <c r="AF20" s="136">
        <v>28.5</v>
      </c>
      <c r="AG20" s="134">
        <v>27</v>
      </c>
      <c r="AH20" s="135">
        <v>28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0</v>
      </c>
      <c r="E21" s="112"/>
      <c r="F21" s="234">
        <f t="shared" si="0"/>
        <v>0</v>
      </c>
      <c r="G21" s="234"/>
      <c r="H21" s="235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7">
        <v>16553.38</v>
      </c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6"/>
      <c r="AF21" s="130"/>
      <c r="AG21" s="134"/>
      <c r="AH21" s="135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0</v>
      </c>
      <c r="E22" s="112"/>
      <c r="F22" s="234">
        <f t="shared" si="0"/>
        <v>0</v>
      </c>
      <c r="G22" s="234"/>
      <c r="H22" s="235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7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6"/>
      <c r="AF22" s="130"/>
      <c r="AG22" s="134"/>
      <c r="AH22" s="135"/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0</v>
      </c>
      <c r="E23" s="112"/>
      <c r="F23" s="234">
        <f t="shared" si="0"/>
        <v>0</v>
      </c>
      <c r="G23" s="234"/>
      <c r="H23" s="235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7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6"/>
      <c r="AF23" s="130"/>
      <c r="AG23" s="134"/>
      <c r="AH23" s="135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0</v>
      </c>
      <c r="E24" s="112"/>
      <c r="F24" s="234">
        <f t="shared" si="0"/>
        <v>0</v>
      </c>
      <c r="G24" s="234"/>
      <c r="H24" s="235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7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6"/>
      <c r="AF24" s="136"/>
      <c r="AG24" s="134"/>
      <c r="AH24" s="135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0</v>
      </c>
      <c r="E25" s="112"/>
      <c r="F25" s="234">
        <f t="shared" si="0"/>
        <v>0</v>
      </c>
      <c r="G25" s="234"/>
      <c r="H25" s="235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7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6"/>
      <c r="AF25" s="136"/>
      <c r="AG25" s="134"/>
      <c r="AH25" s="135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0</v>
      </c>
      <c r="E26" s="113"/>
      <c r="F26" s="234">
        <f t="shared" si="0"/>
        <v>0</v>
      </c>
      <c r="G26" s="234"/>
      <c r="H26" s="235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7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6"/>
      <c r="AF26" s="130"/>
      <c r="AG26" s="134"/>
      <c r="AH26" s="135"/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234">
        <f t="shared" si="0"/>
        <v>0</v>
      </c>
      <c r="G27" s="234"/>
      <c r="H27" s="235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234">
        <f t="shared" si="0"/>
        <v>0</v>
      </c>
      <c r="G28" s="234"/>
      <c r="H28" s="235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234">
        <f t="shared" si="0"/>
        <v>0</v>
      </c>
      <c r="G29" s="234"/>
      <c r="H29" s="235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234">
        <f t="shared" si="0"/>
        <v>0</v>
      </c>
      <c r="G30" s="234"/>
      <c r="H30" s="235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234">
        <f t="shared" si="0"/>
        <v>0</v>
      </c>
      <c r="G31" s="234"/>
      <c r="H31" s="235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234">
        <f t="shared" si="0"/>
        <v>0</v>
      </c>
      <c r="G32" s="234"/>
      <c r="H32" s="235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234">
        <f t="shared" si="0"/>
        <v>0</v>
      </c>
      <c r="G33" s="234"/>
      <c r="H33" s="235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234">
        <f t="shared" si="0"/>
        <v>0</v>
      </c>
      <c r="G34" s="234"/>
      <c r="H34" s="235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234">
        <f t="shared" si="0"/>
        <v>0</v>
      </c>
      <c r="G35" s="234"/>
      <c r="H35" s="235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234">
        <f t="shared" si="0"/>
        <v>0</v>
      </c>
      <c r="G36" s="234"/>
      <c r="H36" s="235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234">
        <f t="shared" si="0"/>
        <v>0</v>
      </c>
      <c r="G37" s="234"/>
      <c r="H37" s="235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234">
        <f t="shared" si="0"/>
        <v>0</v>
      </c>
      <c r="G38" s="234"/>
      <c r="H38" s="235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234">
        <f t="shared" si="0"/>
        <v>0</v>
      </c>
      <c r="G39" s="234"/>
      <c r="H39" s="235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234">
        <f t="shared" si="0"/>
        <v>0</v>
      </c>
      <c r="G40" s="234"/>
      <c r="H40" s="235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5710</v>
      </c>
      <c r="E41" s="1"/>
      <c r="F41" s="197">
        <v>470</v>
      </c>
      <c r="G41" s="198"/>
      <c r="H41" s="199"/>
      <c r="I41" s="1"/>
      <c r="J41" s="87">
        <f>SUM(J10:J38)</f>
        <v>53942</v>
      </c>
      <c r="K41" s="87">
        <f>SUM(K10:K38)</f>
        <v>78414</v>
      </c>
      <c r="L41" s="87">
        <f>SUM(L10:L38)</f>
        <v>39487</v>
      </c>
      <c r="M41" s="87">
        <f>SUM(M10:M38)</f>
        <v>171843</v>
      </c>
      <c r="N41" s="28"/>
      <c r="O41" s="197">
        <f>SUM(O10:O38)</f>
        <v>172186.68599999996</v>
      </c>
      <c r="P41" s="198"/>
      <c r="Q41" s="199"/>
      <c r="R41" s="28"/>
      <c r="S41" s="88">
        <f>SUM(S10:S40)</f>
        <v>0</v>
      </c>
      <c r="T41" s="28"/>
      <c r="U41" s="87">
        <f>SUM(U10:U38)</f>
        <v>9646</v>
      </c>
      <c r="V41" s="28"/>
      <c r="W41" s="87">
        <f>SUM(W10:W38)</f>
        <v>90341.542200000011</v>
      </c>
      <c r="X41" s="128"/>
      <c r="Y41" s="87">
        <f>SUM(Y10:Y38)</f>
        <v>159.21000000000276</v>
      </c>
      <c r="Z41" s="87">
        <f>SUM(Z10:Z38)</f>
        <v>84381.300000001473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6"/>
      <c r="G42" s="236"/>
      <c r="H42" s="23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200" t="s">
        <v>10</v>
      </c>
      <c r="B43" s="201"/>
      <c r="C43" s="202"/>
      <c r="D43" s="19" t="s">
        <v>7</v>
      </c>
      <c r="E43" s="53"/>
      <c r="F43" s="20">
        <v>1.002</v>
      </c>
      <c r="G43" s="206">
        <f>J41</f>
        <v>53942</v>
      </c>
      <c r="H43" s="207"/>
      <c r="I43" s="208"/>
      <c r="J43" s="223">
        <f>G43*F43</f>
        <v>54049.883999999998</v>
      </c>
      <c r="K43" s="224"/>
      <c r="L43" s="225">
        <f>J43+J44+J45</f>
        <v>172186.68599999999</v>
      </c>
      <c r="M43" s="226"/>
      <c r="N43" s="226"/>
      <c r="O43" s="226"/>
      <c r="P43" s="226"/>
      <c r="Q43" s="226"/>
      <c r="R43" s="226"/>
      <c r="S43" s="226"/>
      <c r="T43" s="226"/>
      <c r="U43" s="227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203"/>
      <c r="B44" s="204"/>
      <c r="C44" s="205"/>
      <c r="D44" s="17" t="s">
        <v>8</v>
      </c>
      <c r="E44" s="53"/>
      <c r="F44" s="20">
        <v>1.002</v>
      </c>
      <c r="G44" s="206">
        <f>K41</f>
        <v>78414</v>
      </c>
      <c r="H44" s="207"/>
      <c r="I44" s="208"/>
      <c r="J44" s="223">
        <f>G44*F44</f>
        <v>78570.827999999994</v>
      </c>
      <c r="K44" s="224"/>
      <c r="L44" s="228"/>
      <c r="M44" s="229"/>
      <c r="N44" s="229"/>
      <c r="O44" s="229"/>
      <c r="P44" s="229"/>
      <c r="Q44" s="229"/>
      <c r="R44" s="229"/>
      <c r="S44" s="229"/>
      <c r="T44" s="229"/>
      <c r="U44" s="23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3"/>
      <c r="B45" s="204"/>
      <c r="C45" s="205"/>
      <c r="D45" s="23" t="s">
        <v>9</v>
      </c>
      <c r="E45" s="54"/>
      <c r="F45" s="20">
        <v>1.002</v>
      </c>
      <c r="G45" s="206">
        <f>L41</f>
        <v>39487</v>
      </c>
      <c r="H45" s="207"/>
      <c r="I45" s="208"/>
      <c r="J45" s="223">
        <f>G45*F45</f>
        <v>39565.974000000002</v>
      </c>
      <c r="K45" s="224"/>
      <c r="L45" s="231"/>
      <c r="M45" s="232"/>
      <c r="N45" s="232"/>
      <c r="O45" s="232"/>
      <c r="P45" s="232"/>
      <c r="Q45" s="232"/>
      <c r="R45" s="232"/>
      <c r="S45" s="232"/>
      <c r="T45" s="232"/>
      <c r="U45" s="23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4" t="s">
        <v>11</v>
      </c>
      <c r="B46" s="195"/>
      <c r="C46" s="195"/>
      <c r="D46" s="196"/>
      <c r="E46" s="53"/>
      <c r="F46" s="24">
        <v>12.67</v>
      </c>
      <c r="G46" s="194">
        <f>D41</f>
        <v>5710</v>
      </c>
      <c r="H46" s="195"/>
      <c r="I46" s="196"/>
      <c r="J46" s="209">
        <f>G46*F46</f>
        <v>72345.7</v>
      </c>
      <c r="K46" s="210"/>
      <c r="L46" s="217">
        <f>J46</f>
        <v>72345.7</v>
      </c>
      <c r="M46" s="218"/>
      <c r="N46" s="218"/>
      <c r="O46" s="218"/>
      <c r="P46" s="218"/>
      <c r="Q46" s="218"/>
      <c r="R46" s="218"/>
      <c r="S46" s="218"/>
      <c r="T46" s="218"/>
      <c r="U46" s="21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4" t="s">
        <v>13</v>
      </c>
      <c r="B47" s="215"/>
      <c r="C47" s="215"/>
      <c r="D47" s="216"/>
      <c r="E47" s="53"/>
      <c r="F47" s="26">
        <v>9.3657000000000004</v>
      </c>
      <c r="G47" s="211">
        <f>U41</f>
        <v>9646</v>
      </c>
      <c r="H47" s="212"/>
      <c r="I47" s="213"/>
      <c r="J47" s="211">
        <f>G47*F47</f>
        <v>90341.542199999996</v>
      </c>
      <c r="K47" s="213"/>
      <c r="L47" s="220">
        <f>J47</f>
        <v>90341.542199999996</v>
      </c>
      <c r="M47" s="221"/>
      <c r="N47" s="221"/>
      <c r="O47" s="221"/>
      <c r="P47" s="221"/>
      <c r="Q47" s="221"/>
      <c r="R47" s="221"/>
      <c r="S47" s="221"/>
      <c r="T47" s="221"/>
      <c r="U47" s="22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3" sqref="B23:H23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79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23" si="0">IF(AC4&gt;0,((B4-R4)+(S4-B5)),IF(B5=0, ,(B4-B5)))</f>
        <v>11</v>
      </c>
      <c r="D4" s="138">
        <v>74</v>
      </c>
      <c r="E4" s="139">
        <f t="shared" ref="E4:E23" si="1">IF(AC4&gt;0,((D4-U4)+(V4-D5)),IF(D5=0, ,(D4-D5)))</f>
        <v>10</v>
      </c>
      <c r="F4" s="138">
        <v>68</v>
      </c>
      <c r="G4" s="139">
        <f t="shared" ref="G4:G23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1</v>
      </c>
      <c r="D20" s="138">
        <v>68</v>
      </c>
      <c r="E20" s="139">
        <f t="shared" si="1"/>
        <v>3</v>
      </c>
      <c r="F20" s="138">
        <v>65</v>
      </c>
      <c r="G20" s="139">
        <f t="shared" si="2"/>
        <v>5</v>
      </c>
      <c r="H20" s="138">
        <v>65</v>
      </c>
      <c r="I20" s="139">
        <f t="shared" si="3"/>
        <v>5</v>
      </c>
      <c r="J20" s="139">
        <f t="shared" si="4"/>
        <v>264</v>
      </c>
      <c r="K20" s="139">
        <f t="shared" si="5"/>
        <v>66</v>
      </c>
      <c r="L20" s="139">
        <f t="shared" si="6"/>
        <v>3.5</v>
      </c>
      <c r="M20" s="139">
        <f t="shared" si="7"/>
        <v>28000</v>
      </c>
      <c r="N20" s="139">
        <f t="shared" si="8"/>
        <v>980</v>
      </c>
      <c r="O20" s="139">
        <f t="shared" si="9"/>
        <v>519.4</v>
      </c>
      <c r="P20" s="38">
        <f t="shared" si="18"/>
        <v>4864.5445799999998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>
        <v>65</v>
      </c>
      <c r="C21" s="139">
        <f t="shared" si="0"/>
        <v>9</v>
      </c>
      <c r="D21" s="138">
        <v>65</v>
      </c>
      <c r="E21" s="139">
        <f t="shared" si="1"/>
        <v>4</v>
      </c>
      <c r="F21" s="138">
        <v>60</v>
      </c>
      <c r="G21" s="139">
        <f t="shared" si="2"/>
        <v>5</v>
      </c>
      <c r="H21" s="138">
        <v>60</v>
      </c>
      <c r="I21" s="139">
        <f t="shared" si="3"/>
        <v>5</v>
      </c>
      <c r="J21" s="139">
        <f t="shared" si="4"/>
        <v>250</v>
      </c>
      <c r="K21" s="139">
        <f t="shared" si="5"/>
        <v>62.5</v>
      </c>
      <c r="L21" s="139">
        <f t="shared" si="6"/>
        <v>5.75</v>
      </c>
      <c r="M21" s="139">
        <f t="shared" si="7"/>
        <v>28000</v>
      </c>
      <c r="N21" s="139">
        <f t="shared" si="8"/>
        <v>1610</v>
      </c>
      <c r="O21" s="139">
        <f t="shared" si="9"/>
        <v>853.30000000000007</v>
      </c>
      <c r="P21" s="38">
        <f t="shared" si="18"/>
        <v>7991.7518100000007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>
        <v>56</v>
      </c>
      <c r="C22" s="139">
        <f t="shared" si="0"/>
        <v>0</v>
      </c>
      <c r="D22" s="138">
        <v>61</v>
      </c>
      <c r="E22" s="139">
        <f t="shared" si="1"/>
        <v>0</v>
      </c>
      <c r="F22" s="138">
        <v>55</v>
      </c>
      <c r="G22" s="139">
        <f t="shared" si="2"/>
        <v>0</v>
      </c>
      <c r="H22" s="138">
        <v>55</v>
      </c>
      <c r="I22" s="139">
        <f t="shared" si="3"/>
        <v>0</v>
      </c>
      <c r="J22" s="139">
        <f t="shared" si="4"/>
        <v>227</v>
      </c>
      <c r="K22" s="139">
        <f t="shared" si="5"/>
        <v>56.75</v>
      </c>
      <c r="L22" s="139">
        <f t="shared" si="6"/>
        <v>0</v>
      </c>
      <c r="M22" s="139">
        <f t="shared" si="7"/>
        <v>28000</v>
      </c>
      <c r="N22" s="139">
        <f t="shared" si="8"/>
        <v>0</v>
      </c>
      <c r="O22" s="139">
        <f t="shared" si="9"/>
        <v>0</v>
      </c>
      <c r="P22" s="38">
        <f t="shared" si="18"/>
        <v>0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43874</v>
      </c>
      <c r="B23" s="138"/>
      <c r="C23" s="139">
        <f t="shared" ref="C23:C42" si="19">IF(AC23&gt;0,((B23-R23)+(S23-B24)),IF(B24=0, ,(B23-B24)))</f>
        <v>0</v>
      </c>
      <c r="D23" s="138"/>
      <c r="E23" s="139">
        <f t="shared" ref="E23:E42" si="20">IF(AC23&gt;0,((D23-U23)+(V23-D24)),IF(D24=0, ,(D23-D24)))</f>
        <v>0</v>
      </c>
      <c r="F23" s="138"/>
      <c r="G23" s="139">
        <f t="shared" ref="G23:G42" si="21">IF(AC23&gt;0,((F23-X23)+(Y23-F24)),IF(F24=0, ,(F23-F24)))</f>
        <v>0</v>
      </c>
      <c r="H23" s="138"/>
      <c r="I23" s="139">
        <f t="shared" si="3"/>
        <v>0</v>
      </c>
      <c r="J23" s="139">
        <f t="shared" si="4"/>
        <v>0</v>
      </c>
      <c r="K23" s="139">
        <f t="shared" si="5"/>
        <v>0</v>
      </c>
      <c r="L23" s="139">
        <f t="shared" si="6"/>
        <v>0</v>
      </c>
      <c r="M23" s="139">
        <f t="shared" si="7"/>
        <v>28000</v>
      </c>
      <c r="N23" s="139">
        <f t="shared" si="8"/>
        <v>0</v>
      </c>
      <c r="O23" s="139">
        <f t="shared" si="9"/>
        <v>0</v>
      </c>
      <c r="P23" s="38">
        <f t="shared" si="18"/>
        <v>0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/>
      <c r="C24" s="139">
        <f t="shared" si="19"/>
        <v>0</v>
      </c>
      <c r="D24" s="138"/>
      <c r="E24" s="139">
        <f t="shared" si="20"/>
        <v>0</v>
      </c>
      <c r="F24" s="138"/>
      <c r="G24" s="139">
        <f t="shared" si="21"/>
        <v>0</v>
      </c>
      <c r="H24" s="138"/>
      <c r="I24" s="139">
        <f t="shared" si="3"/>
        <v>0</v>
      </c>
      <c r="J24" s="139">
        <f t="shared" si="4"/>
        <v>0</v>
      </c>
      <c r="K24" s="139">
        <f t="shared" si="5"/>
        <v>0</v>
      </c>
      <c r="L24" s="139">
        <f t="shared" si="6"/>
        <v>0</v>
      </c>
      <c r="M24" s="139">
        <f t="shared" si="7"/>
        <v>28000</v>
      </c>
      <c r="N24" s="139">
        <f t="shared" si="8"/>
        <v>0</v>
      </c>
      <c r="O24" s="139">
        <f t="shared" si="9"/>
        <v>0</v>
      </c>
      <c r="P24" s="38">
        <f t="shared" si="18"/>
        <v>0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/>
      <c r="C25" s="139">
        <f t="shared" si="19"/>
        <v>0</v>
      </c>
      <c r="D25" s="138"/>
      <c r="E25" s="139">
        <f t="shared" si="20"/>
        <v>0</v>
      </c>
      <c r="F25" s="138"/>
      <c r="G25" s="139">
        <f t="shared" si="21"/>
        <v>0</v>
      </c>
      <c r="H25" s="138"/>
      <c r="I25" s="139">
        <f t="shared" si="3"/>
        <v>0</v>
      </c>
      <c r="J25" s="139">
        <f t="shared" si="4"/>
        <v>0</v>
      </c>
      <c r="K25" s="139">
        <f t="shared" si="5"/>
        <v>0</v>
      </c>
      <c r="L25" s="139">
        <f t="shared" si="6"/>
        <v>0</v>
      </c>
      <c r="M25" s="139">
        <f t="shared" si="7"/>
        <v>28000</v>
      </c>
      <c r="N25" s="139">
        <f t="shared" si="8"/>
        <v>0</v>
      </c>
      <c r="O25" s="139">
        <f t="shared" si="9"/>
        <v>0</v>
      </c>
      <c r="P25" s="38">
        <f t="shared" si="18"/>
        <v>0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/>
      <c r="C26" s="139">
        <f t="shared" si="19"/>
        <v>0</v>
      </c>
      <c r="D26" s="138"/>
      <c r="E26" s="139">
        <f t="shared" si="20"/>
        <v>0</v>
      </c>
      <c r="F26" s="138"/>
      <c r="G26" s="139">
        <f t="shared" si="21"/>
        <v>0</v>
      </c>
      <c r="H26" s="138"/>
      <c r="I26" s="139">
        <f t="shared" si="3"/>
        <v>0</v>
      </c>
      <c r="J26" s="139">
        <f t="shared" si="4"/>
        <v>0</v>
      </c>
      <c r="K26" s="139">
        <f t="shared" si="5"/>
        <v>0</v>
      </c>
      <c r="L26" s="139">
        <f t="shared" si="6"/>
        <v>0</v>
      </c>
      <c r="M26" s="139">
        <f t="shared" si="7"/>
        <v>28000</v>
      </c>
      <c r="N26" s="139">
        <f t="shared" si="8"/>
        <v>0</v>
      </c>
      <c r="O26" s="139">
        <f t="shared" si="9"/>
        <v>0</v>
      </c>
      <c r="P26" s="38">
        <f t="shared" si="18"/>
        <v>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/>
      <c r="C27" s="139">
        <f t="shared" si="19"/>
        <v>0</v>
      </c>
      <c r="D27" s="138"/>
      <c r="E27" s="139">
        <f t="shared" si="20"/>
        <v>0</v>
      </c>
      <c r="F27" s="138"/>
      <c r="G27" s="139">
        <f t="shared" si="21"/>
        <v>0</v>
      </c>
      <c r="H27" s="138"/>
      <c r="I27" s="139">
        <f t="shared" si="3"/>
        <v>0</v>
      </c>
      <c r="J27" s="139">
        <f t="shared" si="4"/>
        <v>0</v>
      </c>
      <c r="K27" s="139">
        <f t="shared" si="5"/>
        <v>0</v>
      </c>
      <c r="L27" s="139">
        <f t="shared" si="6"/>
        <v>0</v>
      </c>
      <c r="M27" s="139">
        <f t="shared" si="7"/>
        <v>28000</v>
      </c>
      <c r="N27" s="139">
        <f t="shared" si="8"/>
        <v>0</v>
      </c>
      <c r="O27" s="139">
        <f t="shared" si="9"/>
        <v>0</v>
      </c>
      <c r="P27" s="38">
        <f t="shared" si="18"/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/>
      <c r="C28" s="139">
        <f t="shared" si="19"/>
        <v>0</v>
      </c>
      <c r="D28" s="138"/>
      <c r="E28" s="139">
        <f t="shared" si="20"/>
        <v>0</v>
      </c>
      <c r="F28" s="138"/>
      <c r="G28" s="139">
        <f t="shared" si="21"/>
        <v>0</v>
      </c>
      <c r="H28" s="138"/>
      <c r="I28" s="139">
        <f t="shared" si="3"/>
        <v>0</v>
      </c>
      <c r="J28" s="139">
        <f t="shared" si="4"/>
        <v>0</v>
      </c>
      <c r="K28" s="139">
        <f t="shared" si="5"/>
        <v>0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si="19"/>
        <v>0</v>
      </c>
      <c r="D29" s="138"/>
      <c r="E29" s="139">
        <f t="shared" si="20"/>
        <v>0</v>
      </c>
      <c r="F29" s="138"/>
      <c r="G29" s="139">
        <f t="shared" si="21"/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0"/>
        <v>0</v>
      </c>
      <c r="F30" s="138"/>
      <c r="G30" s="139">
        <f t="shared" si="21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0"/>
        <v>0</v>
      </c>
      <c r="F31" s="138"/>
      <c r="G31" s="139">
        <f t="shared" si="21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0"/>
        <v>0</v>
      </c>
      <c r="F32" s="138"/>
      <c r="G32" s="139">
        <f t="shared" si="21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0"/>
        <v>0</v>
      </c>
      <c r="F33" s="138"/>
      <c r="G33" s="139">
        <f t="shared" si="21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0"/>
        <v>0</v>
      </c>
      <c r="F34" s="138"/>
      <c r="G34" s="139">
        <f t="shared" si="21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0"/>
        <v>0</v>
      </c>
      <c r="F35" s="138"/>
      <c r="G35" s="139">
        <f t="shared" si="21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0"/>
        <v>0</v>
      </c>
      <c r="F36" s="138"/>
      <c r="G36" s="139">
        <f t="shared" si="21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0"/>
        <v>0</v>
      </c>
      <c r="F37" s="138"/>
      <c r="G37" s="139">
        <f t="shared" si="21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0"/>
        <v>0</v>
      </c>
      <c r="F38" s="138"/>
      <c r="G38" s="139">
        <f t="shared" si="21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0"/>
        <v>0</v>
      </c>
      <c r="F39" s="138"/>
      <c r="G39" s="139">
        <f t="shared" si="21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0"/>
        <v>0</v>
      </c>
      <c r="F40" s="138"/>
      <c r="G40" s="139">
        <f t="shared" si="21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0"/>
        <v>0</v>
      </c>
      <c r="F41" s="138"/>
      <c r="G41" s="139">
        <f t="shared" si="21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0"/>
        <v>0</v>
      </c>
      <c r="F42" s="138"/>
      <c r="G42" s="139">
        <f t="shared" si="21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78</v>
      </c>
      <c r="D43" s="37"/>
      <c r="E43" s="139">
        <f>SUM(E11:E39)</f>
        <v>34</v>
      </c>
      <c r="F43" s="37"/>
      <c r="G43" s="139">
        <f>SUM(G11:G39)</f>
        <v>76</v>
      </c>
      <c r="H43" s="37"/>
      <c r="I43" s="139">
        <f>SUM(I11:I39)</f>
        <v>72</v>
      </c>
      <c r="J43" s="33"/>
      <c r="K43" s="33"/>
      <c r="L43" s="33"/>
      <c r="M43" s="33"/>
      <c r="N43" s="139">
        <f>SUM(N11:N39)</f>
        <v>18200</v>
      </c>
      <c r="O43" s="35">
        <f>N43*0.53</f>
        <v>9646</v>
      </c>
      <c r="P43" s="38">
        <f>O43*9.3657</f>
        <v>90341.542199999996</v>
      </c>
      <c r="Q43" s="244">
        <f>SUM(Q11:Q39)</f>
        <v>5657</v>
      </c>
      <c r="R43" s="245"/>
      <c r="S43" s="246"/>
      <c r="T43" s="244">
        <f>SUM(T11:T39)</f>
        <v>1500</v>
      </c>
      <c r="U43" s="245"/>
      <c r="V43" s="246"/>
      <c r="W43" s="244">
        <f>SUM(W11:W39)</f>
        <v>5158</v>
      </c>
      <c r="X43" s="245"/>
      <c r="Y43" s="246"/>
      <c r="Z43" s="244">
        <f>SUM(Z11:Z39)</f>
        <v>3679</v>
      </c>
      <c r="AA43" s="245"/>
      <c r="AB43" s="246"/>
      <c r="AC43" s="35">
        <f>SUM(AC11:AC39)</f>
        <v>15994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15994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15994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18200</v>
      </c>
      <c r="L47" s="46">
        <f>O43</f>
        <v>9646</v>
      </c>
      <c r="M47" s="46">
        <f>P43</f>
        <v>90341.542199999996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15994</v>
      </c>
      <c r="L48" s="44">
        <f>K48*0.53</f>
        <v>8476.82</v>
      </c>
      <c r="M48" s="44">
        <f>L48*9.3657</f>
        <v>79391.353073999999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7" sqref="B27:H27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6" si="5">IF(B18&lt;B17,0,B18-B17)*10</f>
        <v>540</v>
      </c>
      <c r="D17" s="142">
        <v>18141145</v>
      </c>
      <c r="E17" s="141">
        <f t="shared" ref="E17:E27" si="6">IF(D18&lt;D17,0,D18-D17)</f>
        <v>4712</v>
      </c>
      <c r="F17" s="142">
        <v>32698628</v>
      </c>
      <c r="G17" s="141">
        <f t="shared" ref="G17:G27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480</v>
      </c>
      <c r="D25" s="142">
        <v>18181019</v>
      </c>
      <c r="E25" s="141">
        <f t="shared" si="6"/>
        <v>5442</v>
      </c>
      <c r="F25" s="142">
        <v>32755678</v>
      </c>
      <c r="G25" s="141">
        <f t="shared" si="7"/>
        <v>7290</v>
      </c>
      <c r="H25" s="142">
        <v>14491945</v>
      </c>
      <c r="I25" s="141">
        <f t="shared" si="8"/>
        <v>3521</v>
      </c>
    </row>
    <row r="26" spans="1:9" ht="21" thickTop="1" thickBot="1" x14ac:dyDescent="0.35">
      <c r="A26" s="59">
        <f t="shared" si="4"/>
        <v>43872</v>
      </c>
      <c r="B26" s="140">
        <v>120129</v>
      </c>
      <c r="C26" s="141">
        <f t="shared" si="5"/>
        <v>690</v>
      </c>
      <c r="D26" s="142">
        <v>18186461</v>
      </c>
      <c r="E26" s="141">
        <f t="shared" si="6"/>
        <v>4611</v>
      </c>
      <c r="F26" s="142">
        <v>32762968</v>
      </c>
      <c r="G26" s="141">
        <f t="shared" si="7"/>
        <v>7836</v>
      </c>
      <c r="H26" s="142">
        <v>14495466</v>
      </c>
      <c r="I26" s="141">
        <f t="shared" si="8"/>
        <v>3995</v>
      </c>
    </row>
    <row r="27" spans="1:9" ht="21" thickTop="1" thickBot="1" x14ac:dyDescent="0.35">
      <c r="A27" s="59">
        <f t="shared" si="4"/>
        <v>43873</v>
      </c>
      <c r="B27" s="140">
        <v>120198</v>
      </c>
      <c r="C27" s="141"/>
      <c r="D27" s="142">
        <v>18191072</v>
      </c>
      <c r="E27" s="141">
        <f t="shared" si="6"/>
        <v>0</v>
      </c>
      <c r="F27" s="142">
        <v>32770804</v>
      </c>
      <c r="G27" s="141">
        <f t="shared" si="7"/>
        <v>0</v>
      </c>
      <c r="H27" s="142">
        <v>14499461</v>
      </c>
      <c r="I27" s="141">
        <f t="shared" si="8"/>
        <v>0</v>
      </c>
    </row>
    <row r="28" spans="1:9" ht="21" thickTop="1" thickBot="1" x14ac:dyDescent="0.35">
      <c r="A28" s="59">
        <f t="shared" si="4"/>
        <v>43874</v>
      </c>
      <c r="B28" s="140"/>
      <c r="C28" s="141">
        <f t="shared" ref="C27:C32" si="9">IF(B29&lt;B28,0,B29-B28)*10</f>
        <v>0</v>
      </c>
      <c r="D28" s="142"/>
      <c r="E28" s="141">
        <f t="shared" ref="E27:E32" si="10">IF(D29&lt;D28,0,D29-D28)</f>
        <v>0</v>
      </c>
      <c r="F28" s="142"/>
      <c r="G28" s="141">
        <f t="shared" ref="G27:G32" si="11">IF(F29&lt;F28,0,F29-F28)</f>
        <v>0</v>
      </c>
      <c r="H28" s="142"/>
      <c r="I28" s="141">
        <f t="shared" si="8"/>
        <v>0</v>
      </c>
    </row>
    <row r="29" spans="1:9" ht="21" thickTop="1" thickBot="1" x14ac:dyDescent="0.35">
      <c r="A29" s="59">
        <f t="shared" si="4"/>
        <v>43875</v>
      </c>
      <c r="B29" s="140"/>
      <c r="C29" s="141">
        <f t="shared" si="9"/>
        <v>0</v>
      </c>
      <c r="D29" s="142"/>
      <c r="E29" s="141">
        <f t="shared" si="10"/>
        <v>0</v>
      </c>
      <c r="F29" s="142"/>
      <c r="G29" s="141">
        <f t="shared" si="11"/>
        <v>0</v>
      </c>
      <c r="H29" s="142"/>
      <c r="I29" s="141">
        <f t="shared" si="8"/>
        <v>0</v>
      </c>
    </row>
    <row r="30" spans="1:9" ht="21" thickTop="1" thickBot="1" x14ac:dyDescent="0.35">
      <c r="A30" s="59">
        <f t="shared" si="4"/>
        <v>43876</v>
      </c>
      <c r="B30" s="140"/>
      <c r="C30" s="141">
        <f t="shared" si="9"/>
        <v>0</v>
      </c>
      <c r="D30" s="142"/>
      <c r="E30" s="141">
        <f t="shared" si="10"/>
        <v>0</v>
      </c>
      <c r="F30" s="142"/>
      <c r="G30" s="141">
        <f t="shared" si="11"/>
        <v>0</v>
      </c>
      <c r="H30" s="142"/>
      <c r="I30" s="141">
        <f t="shared" si="8"/>
        <v>0</v>
      </c>
    </row>
    <row r="31" spans="1:9" ht="21" thickTop="1" thickBot="1" x14ac:dyDescent="0.35">
      <c r="A31" s="59">
        <f>A30+1</f>
        <v>43877</v>
      </c>
      <c r="B31" s="140"/>
      <c r="C31" s="141">
        <f t="shared" si="9"/>
        <v>0</v>
      </c>
      <c r="D31" s="142"/>
      <c r="E31" s="141">
        <f t="shared" si="10"/>
        <v>0</v>
      </c>
      <c r="F31" s="142"/>
      <c r="G31" s="141">
        <f t="shared" si="11"/>
        <v>0</v>
      </c>
      <c r="H31" s="142"/>
      <c r="I31" s="141">
        <f t="shared" si="8"/>
        <v>0</v>
      </c>
    </row>
    <row r="32" spans="1:9" ht="21" thickTop="1" thickBot="1" x14ac:dyDescent="0.35">
      <c r="A32" s="59">
        <f t="shared" si="4"/>
        <v>43878</v>
      </c>
      <c r="B32" s="140"/>
      <c r="C32" s="141">
        <f t="shared" si="9"/>
        <v>0</v>
      </c>
      <c r="D32" s="142"/>
      <c r="E32" s="141">
        <f t="shared" si="10"/>
        <v>0</v>
      </c>
      <c r="F32" s="142"/>
      <c r="G32" s="141">
        <f t="shared" si="11"/>
        <v>0</v>
      </c>
      <c r="H32" s="142"/>
      <c r="I32" s="141">
        <f t="shared" si="8"/>
        <v>0</v>
      </c>
    </row>
    <row r="33" spans="1:9" ht="21" thickTop="1" thickBot="1" x14ac:dyDescent="0.35">
      <c r="A33" s="59">
        <f t="shared" si="4"/>
        <v>43879</v>
      </c>
      <c r="B33" s="140"/>
      <c r="C33" s="141">
        <f t="shared" ref="C33:C46" si="12">IF(B34&lt;B33,0,B34-B33)*10</f>
        <v>0</v>
      </c>
      <c r="D33" s="142"/>
      <c r="E33" s="141">
        <f t="shared" ref="E33:E46" si="13">IF(D34&lt;D33,0,D34-D33)</f>
        <v>0</v>
      </c>
      <c r="F33" s="142"/>
      <c r="G33" s="141">
        <f t="shared" ref="G33:G46" si="14">IF(F34&lt;F33,0,F34-F33)</f>
        <v>0</v>
      </c>
      <c r="H33" s="142"/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si="12"/>
        <v>0</v>
      </c>
      <c r="D34" s="142"/>
      <c r="E34" s="141">
        <f t="shared" si="13"/>
        <v>0</v>
      </c>
      <c r="F34" s="142"/>
      <c r="G34" s="141">
        <f t="shared" si="14"/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2"/>
        <v>0</v>
      </c>
      <c r="D35" s="142"/>
      <c r="E35" s="141">
        <f t="shared" si="13"/>
        <v>0</v>
      </c>
      <c r="F35" s="142"/>
      <c r="G35" s="141">
        <f t="shared" si="14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2"/>
        <v>0</v>
      </c>
      <c r="D36" s="142"/>
      <c r="E36" s="141">
        <f t="shared" si="13"/>
        <v>0</v>
      </c>
      <c r="F36" s="142"/>
      <c r="G36" s="141">
        <f t="shared" si="14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2"/>
        <v>0</v>
      </c>
      <c r="D37" s="142"/>
      <c r="E37" s="141">
        <f t="shared" si="13"/>
        <v>0</v>
      </c>
      <c r="F37" s="142"/>
      <c r="G37" s="141">
        <f t="shared" si="14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2"/>
        <v>0</v>
      </c>
      <c r="D38" s="142"/>
      <c r="E38" s="141">
        <f t="shared" si="13"/>
        <v>0</v>
      </c>
      <c r="F38" s="142"/>
      <c r="G38" s="141">
        <f t="shared" si="14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2"/>
        <v>0</v>
      </c>
      <c r="D39" s="142"/>
      <c r="E39" s="141">
        <f t="shared" si="13"/>
        <v>0</v>
      </c>
      <c r="F39" s="142"/>
      <c r="G39" s="141">
        <f t="shared" si="14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2"/>
        <v>0</v>
      </c>
      <c r="D40" s="142"/>
      <c r="E40" s="141">
        <f t="shared" si="13"/>
        <v>0</v>
      </c>
      <c r="F40" s="142"/>
      <c r="G40" s="141">
        <f t="shared" si="14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2"/>
        <v>0</v>
      </c>
      <c r="D41" s="142"/>
      <c r="E41" s="141">
        <f t="shared" si="13"/>
        <v>0</v>
      </c>
      <c r="F41" s="142"/>
      <c r="G41" s="141">
        <f t="shared" si="14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2"/>
        <v>0</v>
      </c>
      <c r="D42" s="142"/>
      <c r="E42" s="141">
        <f t="shared" si="13"/>
        <v>0</v>
      </c>
      <c r="F42" s="142"/>
      <c r="G42" s="141">
        <f t="shared" si="14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2"/>
        <v>0</v>
      </c>
      <c r="D43" s="142"/>
      <c r="E43" s="141">
        <f t="shared" si="13"/>
        <v>0</v>
      </c>
      <c r="F43" s="142"/>
      <c r="G43" s="141">
        <f t="shared" si="14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2"/>
        <v>0</v>
      </c>
      <c r="D44" s="142"/>
      <c r="E44" s="141">
        <f t="shared" si="13"/>
        <v>0</v>
      </c>
      <c r="F44" s="142"/>
      <c r="G44" s="141">
        <f t="shared" si="14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2"/>
        <v>0</v>
      </c>
      <c r="D45" s="142"/>
      <c r="E45" s="141">
        <f t="shared" si="13"/>
        <v>0</v>
      </c>
      <c r="F45" s="142"/>
      <c r="G45" s="141">
        <f t="shared" si="14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2"/>
        <v>0</v>
      </c>
      <c r="D46" s="142"/>
      <c r="E46" s="141">
        <f t="shared" si="13"/>
        <v>0</v>
      </c>
      <c r="F46" s="142"/>
      <c r="G46" s="141">
        <f t="shared" si="14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5710</v>
      </c>
      <c r="E48" s="141">
        <f>SUM(E16:E44)</f>
        <v>53942</v>
      </c>
      <c r="F48" s="84"/>
      <c r="G48" s="141">
        <f>SUM(G16:G44)</f>
        <v>78414</v>
      </c>
      <c r="H48" s="84"/>
      <c r="I48" s="141">
        <f>SUM(I16:I44)</f>
        <v>39487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96" priority="3034" stopIfTrue="1" operator="lessThanOrEqual">
      <formula>0</formula>
    </cfRule>
  </conditionalFormatting>
  <conditionalFormatting sqref="C48">
    <cfRule type="cellIs" dxfId="95" priority="144" stopIfTrue="1" operator="lessThanOrEqual">
      <formula>0</formula>
    </cfRule>
  </conditionalFormatting>
  <conditionalFormatting sqref="C48">
    <cfRule type="cellIs" dxfId="94" priority="143" stopIfTrue="1" operator="lessThanOrEqual">
      <formula>0</formula>
    </cfRule>
  </conditionalFormatting>
  <conditionalFormatting sqref="C48">
    <cfRule type="cellIs" dxfId="93" priority="142" stopIfTrue="1" operator="lessThanOrEqual">
      <formula>0</formula>
    </cfRule>
  </conditionalFormatting>
  <conditionalFormatting sqref="C48">
    <cfRule type="cellIs" dxfId="92" priority="141" stopIfTrue="1" operator="lessThanOrEqual">
      <formula>0</formula>
    </cfRule>
  </conditionalFormatting>
  <conditionalFormatting sqref="C33:C46">
    <cfRule type="cellIs" dxfId="91" priority="132" stopIfTrue="1" operator="lessThanOrEqual">
      <formula>0</formula>
    </cfRule>
  </conditionalFormatting>
  <conditionalFormatting sqref="C33:C46">
    <cfRule type="cellIs" dxfId="90" priority="131" stopIfTrue="1" operator="lessThanOrEqual">
      <formula>0</formula>
    </cfRule>
  </conditionalFormatting>
  <conditionalFormatting sqref="C33:C46">
    <cfRule type="cellIs" dxfId="89" priority="130" stopIfTrue="1" operator="lessThanOrEqual">
      <formula>0</formula>
    </cfRule>
  </conditionalFormatting>
  <conditionalFormatting sqref="C33:C46">
    <cfRule type="cellIs" dxfId="88" priority="129" stopIfTrue="1" operator="lessThanOrEqual">
      <formula>0</formula>
    </cfRule>
  </conditionalFormatting>
  <conditionalFormatting sqref="C28">
    <cfRule type="cellIs" dxfId="83" priority="80" stopIfTrue="1" operator="lessThanOrEqual">
      <formula>0</formula>
    </cfRule>
  </conditionalFormatting>
  <conditionalFormatting sqref="C28">
    <cfRule type="cellIs" dxfId="82" priority="79" stopIfTrue="1" operator="lessThanOrEqual">
      <formula>0</formula>
    </cfRule>
  </conditionalFormatting>
  <conditionalFormatting sqref="C28">
    <cfRule type="cellIs" dxfId="81" priority="78" stopIfTrue="1" operator="lessThanOrEqual">
      <formula>0</formula>
    </cfRule>
  </conditionalFormatting>
  <conditionalFormatting sqref="C28">
    <cfRule type="cellIs" dxfId="80" priority="77" stopIfTrue="1" operator="lessThanOrEqual">
      <formula>0</formula>
    </cfRule>
  </conditionalFormatting>
  <conditionalFormatting sqref="C29:C30">
    <cfRule type="cellIs" dxfId="79" priority="76" stopIfTrue="1" operator="lessThanOrEqual">
      <formula>0</formula>
    </cfRule>
  </conditionalFormatting>
  <conditionalFormatting sqref="C29:C30">
    <cfRule type="cellIs" dxfId="78" priority="75" stopIfTrue="1" operator="lessThanOrEqual">
      <formula>0</formula>
    </cfRule>
  </conditionalFormatting>
  <conditionalFormatting sqref="C29:C30">
    <cfRule type="cellIs" dxfId="77" priority="74" stopIfTrue="1" operator="lessThanOrEqual">
      <formula>0</formula>
    </cfRule>
  </conditionalFormatting>
  <conditionalFormatting sqref="C29:C30">
    <cfRule type="cellIs" dxfId="76" priority="73" stopIfTrue="1" operator="lessThanOrEqual">
      <formula>0</formula>
    </cfRule>
  </conditionalFormatting>
  <conditionalFormatting sqref="C31">
    <cfRule type="cellIs" dxfId="75" priority="72" stopIfTrue="1" operator="lessThanOrEqual">
      <formula>0</formula>
    </cfRule>
  </conditionalFormatting>
  <conditionalFormatting sqref="C31">
    <cfRule type="cellIs" dxfId="74" priority="71" stopIfTrue="1" operator="lessThanOrEqual">
      <formula>0</formula>
    </cfRule>
  </conditionalFormatting>
  <conditionalFormatting sqref="C31">
    <cfRule type="cellIs" dxfId="73" priority="70" stopIfTrue="1" operator="lessThanOrEqual">
      <formula>0</formula>
    </cfRule>
  </conditionalFormatting>
  <conditionalFormatting sqref="C31">
    <cfRule type="cellIs" dxfId="72" priority="69" stopIfTrue="1" operator="lessThanOrEqual">
      <formula>0</formula>
    </cfRule>
  </conditionalFormatting>
  <conditionalFormatting sqref="C32">
    <cfRule type="cellIs" dxfId="71" priority="68" stopIfTrue="1" operator="lessThanOrEqual">
      <formula>0</formula>
    </cfRule>
  </conditionalFormatting>
  <conditionalFormatting sqref="C32">
    <cfRule type="cellIs" dxfId="70" priority="67" stopIfTrue="1" operator="lessThanOrEqual">
      <formula>0</formula>
    </cfRule>
  </conditionalFormatting>
  <conditionalFormatting sqref="C32">
    <cfRule type="cellIs" dxfId="69" priority="66" stopIfTrue="1" operator="lessThanOrEqual">
      <formula>0</formula>
    </cfRule>
  </conditionalFormatting>
  <conditionalFormatting sqref="C32">
    <cfRule type="cellIs" dxfId="68" priority="65" stopIfTrue="1" operator="lessThanOrEqual">
      <formula>0</formula>
    </cfRule>
  </conditionalFormatting>
  <conditionalFormatting sqref="C47">
    <cfRule type="cellIs" dxfId="67" priority="64" stopIfTrue="1" operator="lessThanOrEqual">
      <formula>0</formula>
    </cfRule>
  </conditionalFormatting>
  <conditionalFormatting sqref="C47">
    <cfRule type="cellIs" dxfId="66" priority="63" stopIfTrue="1" operator="lessThanOrEqual">
      <formula>0</formula>
    </cfRule>
  </conditionalFormatting>
  <conditionalFormatting sqref="C47">
    <cfRule type="cellIs" dxfId="65" priority="62" stopIfTrue="1" operator="lessThanOrEqual">
      <formula>0</formula>
    </cfRule>
  </conditionalFormatting>
  <conditionalFormatting sqref="C47">
    <cfRule type="cellIs" dxfId="64" priority="61" stopIfTrue="1" operator="lessThanOrEqual">
      <formula>0</formula>
    </cfRule>
  </conditionalFormatting>
  <conditionalFormatting sqref="C9:C15">
    <cfRule type="cellIs" dxfId="63" priority="60" stopIfTrue="1" operator="lessThanOrEqual">
      <formula>0</formula>
    </cfRule>
  </conditionalFormatting>
  <conditionalFormatting sqref="C9:C15">
    <cfRule type="cellIs" dxfId="62" priority="59" stopIfTrue="1" operator="lessThanOrEqual">
      <formula>0</formula>
    </cfRule>
  </conditionalFormatting>
  <conditionalFormatting sqref="C9:C15">
    <cfRule type="cellIs" dxfId="61" priority="58" stopIfTrue="1" operator="lessThanOrEqual">
      <formula>0</formula>
    </cfRule>
  </conditionalFormatting>
  <conditionalFormatting sqref="C9:C15">
    <cfRule type="cellIs" dxfId="60" priority="57" stopIfTrue="1" operator="lessThanOrEqual">
      <formula>0</formula>
    </cfRule>
  </conditionalFormatting>
  <conditionalFormatting sqref="C16">
    <cfRule type="cellIs" dxfId="59" priority="56" stopIfTrue="1" operator="lessThanOrEqual">
      <formula>0</formula>
    </cfRule>
  </conditionalFormatting>
  <conditionalFormatting sqref="C16">
    <cfRule type="cellIs" dxfId="58" priority="55" stopIfTrue="1" operator="lessThanOrEqual">
      <formula>0</formula>
    </cfRule>
  </conditionalFormatting>
  <conditionalFormatting sqref="C16">
    <cfRule type="cellIs" dxfId="57" priority="54" stopIfTrue="1" operator="lessThanOrEqual">
      <formula>0</formula>
    </cfRule>
  </conditionalFormatting>
  <conditionalFormatting sqref="C16">
    <cfRule type="cellIs" dxfId="56" priority="53" stopIfTrue="1" operator="lessThanOrEqual">
      <formula>0</formula>
    </cfRule>
  </conditionalFormatting>
  <conditionalFormatting sqref="E48">
    <cfRule type="cellIs" dxfId="55" priority="52" stopIfTrue="1" operator="lessThanOrEqual">
      <formula>0</formula>
    </cfRule>
  </conditionalFormatting>
  <conditionalFormatting sqref="E48">
    <cfRule type="cellIs" dxfId="54" priority="51" stopIfTrue="1" operator="lessThanOrEqual">
      <formula>0</formula>
    </cfRule>
  </conditionalFormatting>
  <conditionalFormatting sqref="E48">
    <cfRule type="cellIs" dxfId="53" priority="50" stopIfTrue="1" operator="lessThanOrEqual">
      <formula>0</formula>
    </cfRule>
  </conditionalFormatting>
  <conditionalFormatting sqref="E48">
    <cfRule type="cellIs" dxfId="52" priority="49" stopIfTrue="1" operator="lessThanOrEqual">
      <formula>0</formula>
    </cfRule>
  </conditionalFormatting>
  <conditionalFormatting sqref="G48">
    <cfRule type="cellIs" dxfId="51" priority="48" stopIfTrue="1" operator="lessThanOrEqual">
      <formula>0</formula>
    </cfRule>
  </conditionalFormatting>
  <conditionalFormatting sqref="G48">
    <cfRule type="cellIs" dxfId="50" priority="47" stopIfTrue="1" operator="lessThanOrEqual">
      <formula>0</formula>
    </cfRule>
  </conditionalFormatting>
  <conditionalFormatting sqref="G48">
    <cfRule type="cellIs" dxfId="49" priority="46" stopIfTrue="1" operator="lessThanOrEqual">
      <formula>0</formula>
    </cfRule>
  </conditionalFormatting>
  <conditionalFormatting sqref="G48">
    <cfRule type="cellIs" dxfId="48" priority="45" stopIfTrue="1" operator="lessThanOrEqual">
      <formula>0</formula>
    </cfRule>
  </conditionalFormatting>
  <conditionalFormatting sqref="I48">
    <cfRule type="cellIs" dxfId="47" priority="44" stopIfTrue="1" operator="lessThanOrEqual">
      <formula>0</formula>
    </cfRule>
  </conditionalFormatting>
  <conditionalFormatting sqref="I48">
    <cfRule type="cellIs" dxfId="46" priority="43" stopIfTrue="1" operator="lessThanOrEqual">
      <formula>0</formula>
    </cfRule>
  </conditionalFormatting>
  <conditionalFormatting sqref="I48">
    <cfRule type="cellIs" dxfId="45" priority="42" stopIfTrue="1" operator="lessThanOrEqual">
      <formula>0</formula>
    </cfRule>
  </conditionalFormatting>
  <conditionalFormatting sqref="I48">
    <cfRule type="cellIs" dxfId="44" priority="41" stopIfTrue="1" operator="lessThanOrEqual">
      <formula>0</formula>
    </cfRule>
  </conditionalFormatting>
  <conditionalFormatting sqref="C17">
    <cfRule type="cellIs" dxfId="43" priority="40" stopIfTrue="1" operator="lessThanOrEqual">
      <formula>0</formula>
    </cfRule>
  </conditionalFormatting>
  <conditionalFormatting sqref="C17">
    <cfRule type="cellIs" dxfId="42" priority="39" stopIfTrue="1" operator="lessThanOrEqual">
      <formula>0</formula>
    </cfRule>
  </conditionalFormatting>
  <conditionalFormatting sqref="C17">
    <cfRule type="cellIs" dxfId="41" priority="38" stopIfTrue="1" operator="lessThanOrEqual">
      <formula>0</formula>
    </cfRule>
  </conditionalFormatting>
  <conditionalFormatting sqref="C17">
    <cfRule type="cellIs" dxfId="40" priority="37" stopIfTrue="1" operator="lessThanOrEqual">
      <formula>0</formula>
    </cfRule>
  </conditionalFormatting>
  <conditionalFormatting sqref="C18">
    <cfRule type="cellIs" dxfId="39" priority="36" stopIfTrue="1" operator="lessThanOrEqual">
      <formula>0</formula>
    </cfRule>
  </conditionalFormatting>
  <conditionalFormatting sqref="C18">
    <cfRule type="cellIs" dxfId="38" priority="35" stopIfTrue="1" operator="lessThanOrEqual">
      <formula>0</formula>
    </cfRule>
  </conditionalFormatting>
  <conditionalFormatting sqref="C18">
    <cfRule type="cellIs" dxfId="37" priority="34" stopIfTrue="1" operator="lessThanOrEqual">
      <formula>0</formula>
    </cfRule>
  </conditionalFormatting>
  <conditionalFormatting sqref="C18">
    <cfRule type="cellIs" dxfId="36" priority="33" stopIfTrue="1" operator="lessThanOrEqual">
      <formula>0</formula>
    </cfRule>
  </conditionalFormatting>
  <conditionalFormatting sqref="C19">
    <cfRule type="cellIs" dxfId="35" priority="32" stopIfTrue="1" operator="lessThanOrEqual">
      <formula>0</formula>
    </cfRule>
  </conditionalFormatting>
  <conditionalFormatting sqref="C19">
    <cfRule type="cellIs" dxfId="34" priority="31" stopIfTrue="1" operator="lessThanOrEqual">
      <formula>0</formula>
    </cfRule>
  </conditionalFormatting>
  <conditionalFormatting sqref="C19">
    <cfRule type="cellIs" dxfId="33" priority="30" stopIfTrue="1" operator="lessThanOrEqual">
      <formula>0</formula>
    </cfRule>
  </conditionalFormatting>
  <conditionalFormatting sqref="C19">
    <cfRule type="cellIs" dxfId="32" priority="29" stopIfTrue="1" operator="lessThanOrEqual">
      <formula>0</formula>
    </cfRule>
  </conditionalFormatting>
  <conditionalFormatting sqref="C20">
    <cfRule type="cellIs" dxfId="31" priority="28" stopIfTrue="1" operator="lessThanOrEqual">
      <formula>0</formula>
    </cfRule>
  </conditionalFormatting>
  <conditionalFormatting sqref="C20">
    <cfRule type="cellIs" dxfId="30" priority="27" stopIfTrue="1" operator="lessThanOrEqual">
      <formula>0</formula>
    </cfRule>
  </conditionalFormatting>
  <conditionalFormatting sqref="C20">
    <cfRule type="cellIs" dxfId="29" priority="26" stopIfTrue="1" operator="lessThanOrEqual">
      <formula>0</formula>
    </cfRule>
  </conditionalFormatting>
  <conditionalFormatting sqref="C20">
    <cfRule type="cellIs" dxfId="28" priority="25" stopIfTrue="1" operator="lessThanOrEqual">
      <formula>0</formula>
    </cfRule>
  </conditionalFormatting>
  <conditionalFormatting sqref="C21">
    <cfRule type="cellIs" dxfId="27" priority="24" stopIfTrue="1" operator="lessThanOrEqual">
      <formula>0</formula>
    </cfRule>
  </conditionalFormatting>
  <conditionalFormatting sqref="C21">
    <cfRule type="cellIs" dxfId="26" priority="23" stopIfTrue="1" operator="lessThanOrEqual">
      <formula>0</formula>
    </cfRule>
  </conditionalFormatting>
  <conditionalFormatting sqref="C21">
    <cfRule type="cellIs" dxfId="25" priority="22" stopIfTrue="1" operator="lessThanOrEqual">
      <formula>0</formula>
    </cfRule>
  </conditionalFormatting>
  <conditionalFormatting sqref="C21">
    <cfRule type="cellIs" dxfId="24" priority="21" stopIfTrue="1" operator="lessThanOrEqual">
      <formula>0</formula>
    </cfRule>
  </conditionalFormatting>
  <conditionalFormatting sqref="C22:C23">
    <cfRule type="cellIs" dxfId="23" priority="20" stopIfTrue="1" operator="lessThanOrEqual">
      <formula>0</formula>
    </cfRule>
  </conditionalFormatting>
  <conditionalFormatting sqref="C22:C23">
    <cfRule type="cellIs" dxfId="22" priority="19" stopIfTrue="1" operator="lessThanOrEqual">
      <formula>0</formula>
    </cfRule>
  </conditionalFormatting>
  <conditionalFormatting sqref="C22:C23">
    <cfRule type="cellIs" dxfId="21" priority="18" stopIfTrue="1" operator="lessThanOrEqual">
      <formula>0</formula>
    </cfRule>
  </conditionalFormatting>
  <conditionalFormatting sqref="C22:C23">
    <cfRule type="cellIs" dxfId="20" priority="17" stopIfTrue="1" operator="lessThanOrEqual">
      <formula>0</formula>
    </cfRule>
  </conditionalFormatting>
  <conditionalFormatting sqref="C24">
    <cfRule type="cellIs" dxfId="19" priority="16" stopIfTrue="1" operator="lessThanOrEqual">
      <formula>0</formula>
    </cfRule>
  </conditionalFormatting>
  <conditionalFormatting sqref="C24">
    <cfRule type="cellIs" dxfId="18" priority="15" stopIfTrue="1" operator="lessThanOrEqual">
      <formula>0</formula>
    </cfRule>
  </conditionalFormatting>
  <conditionalFormatting sqref="C24">
    <cfRule type="cellIs" dxfId="17" priority="14" stopIfTrue="1" operator="lessThanOrEqual">
      <formula>0</formula>
    </cfRule>
  </conditionalFormatting>
  <conditionalFormatting sqref="C24">
    <cfRule type="cellIs" dxfId="16" priority="13" stopIfTrue="1" operator="lessThanOrEqual">
      <formula>0</formula>
    </cfRule>
  </conditionalFormatting>
  <conditionalFormatting sqref="C25">
    <cfRule type="cellIs" dxfId="15" priority="12" stopIfTrue="1" operator="lessThanOrEqual">
      <formula>0</formula>
    </cfRule>
  </conditionalFormatting>
  <conditionalFormatting sqref="C25">
    <cfRule type="cellIs" dxfId="14" priority="11" stopIfTrue="1" operator="lessThanOrEqual">
      <formula>0</formula>
    </cfRule>
  </conditionalFormatting>
  <conditionalFormatting sqref="C25">
    <cfRule type="cellIs" dxfId="13" priority="10" stopIfTrue="1" operator="lessThanOrEqual">
      <formula>0</formula>
    </cfRule>
  </conditionalFormatting>
  <conditionalFormatting sqref="C25">
    <cfRule type="cellIs" dxfId="12" priority="9" stopIfTrue="1" operator="lessThanOrEqual">
      <formula>0</formula>
    </cfRule>
  </conditionalFormatting>
  <conditionalFormatting sqref="C26">
    <cfRule type="cellIs" dxfId="11" priority="8" stopIfTrue="1" operator="lessThanOrEqual">
      <formula>0</formula>
    </cfRule>
  </conditionalFormatting>
  <conditionalFormatting sqref="C26">
    <cfRule type="cellIs" dxfId="10" priority="7" stopIfTrue="1" operator="lessThanOrEqual">
      <formula>0</formula>
    </cfRule>
  </conditionalFormatting>
  <conditionalFormatting sqref="C26">
    <cfRule type="cellIs" dxfId="9" priority="6" stopIfTrue="1" operator="lessThanOrEqual">
      <formula>0</formula>
    </cfRule>
  </conditionalFormatting>
  <conditionalFormatting sqref="C26">
    <cfRule type="cellIs" dxfId="8" priority="5" stopIfTrue="1" operator="lessThanOrEqual">
      <formula>0</formula>
    </cfRule>
  </conditionalFormatting>
  <conditionalFormatting sqref="C27">
    <cfRule type="cellIs" dxfId="7" priority="4" stopIfTrue="1" operator="lessThanOrEqual">
      <formula>0</formula>
    </cfRule>
  </conditionalFormatting>
  <conditionalFormatting sqref="C27">
    <cfRule type="cellIs" dxfId="5" priority="3" stopIfTrue="1" operator="lessThanOrEqual">
      <formula>0</formula>
    </cfRule>
  </conditionalFormatting>
  <conditionalFormatting sqref="C27">
    <cfRule type="cellIs" dxfId="3" priority="2" stopIfTrue="1" operator="lessThanOrEqual">
      <formula>0</formula>
    </cfRule>
  </conditionalFormatting>
  <conditionalFormatting sqref="C2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2020-02-12T07:24:53Z</dcterms:modified>
</cp:coreProperties>
</file>