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<sst xmlns="http://schemas.openxmlformats.org/spreadsheetml/2006/main" count="173" uniqueCount="94">
  <si>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</si>
  <si>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</si>
  <si>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</si>
  <si>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</si>
  <si>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</si>
  <si>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</si>
  <si>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</si>
  <si>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</si>
  <si>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</si>
  <si>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</si>
  <si>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</si>
  <si>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</si>
  <si>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</si>
  <si>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</si>
  <si>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</si>
  <si>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</si>
  <si>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</si>
  <si>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</si>
  <si>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</si>
  <si>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</si>
  <si>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</si>
  <si>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</si>
  <si>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</si>
  <si>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</si>
  <si>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</si>
  <si>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</si>
  <si>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</si>
  <si>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</si>
  <si>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</si>
  <si>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</si>
  <si>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</si>
  <si>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</si>
  <si>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</si>
  <si>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</si>
  <si>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</si>
  <si>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</si>
  <si>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</si>
  <si>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</si>
  <si>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</si>
  <si>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</si>
  <si>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</si>
  <si>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</si>
  <si>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</si>
  <si>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</si>
  <si>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</si>
  <si>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</si>
  <si>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</si>
  <si>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</si>
  <si>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</si>
  <si>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</si>
  <si>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</si>
  <si>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</si>
  <si>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</si>
  <si>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</si>
  <si>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</si>
  <si>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</si>
  <si>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</si>
  <si>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</si>
  <si>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</si>
  <si>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</si>
  <si>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</si>
  <si>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</si>
  <si>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</si>
  <si>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</si>
  <si>
    <t>209894</t>
  </si>
  <si>
    <t>212103</t>
  </si>
  <si>
    <t>8468120</t>
  </si>
  <si>
    <t>20520810</t>
  </si>
  <si>
    <t>3619290</t>
  </si>
  <si>
    <t>4270640</t>
  </si>
  <si>
    <t>12581240</t>
  </si>
  <si>
    <t>7386740</t>
  </si>
  <si>
    <t>6411150</t>
  </si>
  <si>
    <t>7967890</t>
  </si>
  <si>
    <t>11635650</t>
  </si>
  <si>
    <t>5065540</t>
  </si>
  <si>
    <t>9363330</t>
  </si>
  <si>
    <t>15408750</t>
  </si>
  <si>
    <t>21543960</t>
  </si>
  <si>
    <t>8467110</t>
  </si>
  <si>
    <t>20507050</t>
  </si>
  <si>
    <t>3615850</t>
  </si>
  <si>
    <t>4268950</t>
  </si>
  <si>
    <t>12576450</t>
  </si>
  <si>
    <t>7382410</t>
  </si>
  <si>
    <t>6407730</t>
  </si>
  <si>
    <t>7963210</t>
  </si>
  <si>
    <t>11629690</t>
  </si>
  <si>
    <t>5062830</t>
  </si>
  <si>
    <t>9360170</t>
  </si>
  <si>
    <t>15401530</t>
  </si>
  <si>
    <t>21531110</t>
  </si>
  <si>
    <t>227592</t>
  </si>
  <si>
    <t>229374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</si>
</sst>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0" fillId="3" borderId="2" xfId="0" quotePrefix="1" applyNumberFormat="1" applyFont="1" applyFill="1" applyBorder="1" applyAlignment="1">
      <alignment horizontal="right"/>
    </xf>
    <xf numFmtId="0" fontId="7" fillId="7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105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103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Submetering!R4</f>
        <v>877.07949699999995</v>
      </c>
      <c r="H4" s="11">
        <v>0.52800000000000002</v>
      </c>
      <c r="I4" s="12">
        <f>Hotel!B9</f>
        <v>88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Submetering!R5</f>
        <v>812.34898599999997</v>
      </c>
      <c r="H5" s="11">
        <v>0.52800000000000002</v>
      </c>
      <c r="I5" s="12">
        <f>Hotel!B10</f>
        <v>87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Submetering!R6</f>
        <v>799.47859200000005</v>
      </c>
      <c r="H6" s="11">
        <v>0.52800000000000002</v>
      </c>
      <c r="I6" s="12">
        <f>Hotel!B11</f>
        <v>90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Submetering!R7</f>
        <v>732.85537599999998</v>
      </c>
      <c r="H7" s="11">
        <v>0.52800000000000002</v>
      </c>
      <c r="I7" s="12">
        <f>Hotel!B12</f>
        <v>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Submetering!R8</f>
        <v>784.336952</v>
      </c>
      <c r="H8" s="11">
        <v>0.52800000000000002</v>
      </c>
      <c r="I8" s="12">
        <f>Hotel!B13</f>
        <v>94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Submetering!R9</f>
        <v>858.15244699999994</v>
      </c>
      <c r="H9" s="11">
        <v>0.52800000000000002</v>
      </c>
      <c r="I9" s="12">
        <f>Hotel!B14</f>
        <v>82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Submetering!R10</f>
        <v>840.73956099999998</v>
      </c>
      <c r="H10" s="11">
        <v>0.52800000000000002</v>
      </c>
      <c r="I10" s="12">
        <f>Hotel!B15</f>
        <v>111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Submetering!R11</f>
        <v>718.09227699999997</v>
      </c>
      <c r="H11" s="11">
        <v>0.52800000000000002</v>
      </c>
      <c r="I11" s="12">
        <f>Hotel!B16</f>
        <v>91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Submetering!R12</f>
        <v>920.99025299999994</v>
      </c>
      <c r="H12" s="11">
        <v>0.52800000000000002</v>
      </c>
      <c r="I12" s="12">
        <f>Hotel!B17</f>
        <v>110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Submetering!R13</f>
        <v>1033.7954709999999</v>
      </c>
      <c r="H13" s="11">
        <v>0.52800000000000002</v>
      </c>
      <c r="I13" s="12">
        <f>Hotel!B18</f>
        <v>116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Submetering!R14</f>
        <v>799.85713299999998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Submetering!R15</f>
        <v>975.50015699999994</v>
      </c>
      <c r="H15" s="11">
        <v>0.52800000000000002</v>
      </c>
      <c r="I15" s="12">
        <f>Hotel!B20</f>
        <v>76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Submetering!R16</f>
        <v>920.99025299999994</v>
      </c>
      <c r="H16" s="11">
        <v>0.52800000000000002</v>
      </c>
      <c r="I16" s="12">
        <f>Hotel!B21</f>
        <v>101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57080</v>
      </c>
      <c r="F17" s="11">
        <v>5.0000000000000001E-3</v>
      </c>
      <c r="G17" s="12">
        <f>Submetering!R17</f>
        <v>836.19706899999994</v>
      </c>
      <c r="H17" s="11">
        <v>0.52800000000000002</v>
      </c>
      <c r="I17" s="12">
        <f>Hotel!B22</f>
        <v>139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65889</v>
      </c>
      <c r="F18" s="11">
        <v>5.0000000000000001E-3</v>
      </c>
      <c r="G18" s="12">
        <f>Submetering!R18</f>
        <v>866.48034900000005</v>
      </c>
      <c r="H18" s="11">
        <v>0.52800000000000002</v>
      </c>
      <c r="I18" s="12">
        <f>Hotel!B23</f>
        <v>74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63541</v>
      </c>
      <c r="F19" s="11">
        <v>5.0000000000000001E-3</v>
      </c>
      <c r="G19" s="12">
        <f>Submetering!R19</f>
        <v>863.8305620000001</v>
      </c>
      <c r="H19" s="11">
        <v>0.52800000000000002</v>
      </c>
      <c r="I19" s="12">
        <f>Hotel!B24</f>
        <v>86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61430</v>
      </c>
      <c r="F20" s="11">
        <v>5.0000000000000001E-3</v>
      </c>
      <c r="G20" s="12">
        <f>Submetering!R20</f>
        <v>35.582853999999998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65060</v>
      </c>
      <c r="F21" s="11">
        <v>5.0000000000000001E-3</v>
      </c>
      <c r="G21" s="12">
        <f>Submetering!R21</f>
        <v>1548.6112309999999</v>
      </c>
      <c r="H21" s="11">
        <v>0.52800000000000002</v>
      </c>
      <c r="I21" s="12">
        <f>Hotel!B26</f>
        <v>112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66810</v>
      </c>
      <c r="F22" s="11">
        <v>5.0000000000000001E-3</v>
      </c>
      <c r="G22" s="12">
        <f>Submetering!R22</f>
        <v>832.03311800000006</v>
      </c>
      <c r="H22" s="11">
        <v>0.52800000000000002</v>
      </c>
      <c r="I22" s="12">
        <f>Hotel!B27</f>
        <v>135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65580</v>
      </c>
      <c r="F23" s="11">
        <v>5.0000000000000001E-3</v>
      </c>
      <c r="G23" s="12">
        <f>Submetering!R23</f>
        <v>927.803991</v>
      </c>
      <c r="H23" s="11">
        <v>0.52800000000000002</v>
      </c>
      <c r="I23" s="12">
        <f>Hotel!B28</f>
        <v>155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66220</v>
      </c>
      <c r="F24" s="11">
        <v>5.0000000000000001E-3</v>
      </c>
      <c r="G24" s="12">
        <f>Submetering!R24</f>
        <v>788.87944400000003</v>
      </c>
      <c r="H24" s="11">
        <v>0.52800000000000002</v>
      </c>
      <c r="I24" s="12">
        <f>Hotel!B29</f>
        <v>176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69020</v>
      </c>
      <c r="F25" s="11">
        <v>5.0000000000000001E-3</v>
      </c>
      <c r="G25" s="12">
        <f>Submetering!R25</f>
        <v>674.56006200000002</v>
      </c>
      <c r="H25" s="11">
        <v>0.52800000000000002</v>
      </c>
      <c r="I25" s="12">
        <f>Hotel!B30</f>
        <v>98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65620</v>
      </c>
      <c r="F26" s="11">
        <v>5.0000000000000001E-3</v>
      </c>
      <c r="G26" s="12">
        <f>Submetering!R26</f>
        <v>562.89046699999994</v>
      </c>
      <c r="H26" s="11">
        <v>0.52800000000000002</v>
      </c>
      <c r="I26" s="12">
        <f>Hotel!B31</f>
        <v>121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105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103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Hotel!AV9*0.00378541*100</f>
        <v>877.07949699999995</v>
      </c>
      <c r="S4" s="4">
        <f>Hotel!B9</f>
        <v>88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Hotel!AV10*0.00378541*100</f>
        <v>812.34898599999997</v>
      </c>
      <c r="S5" s="4">
        <f>Hotel!B10</f>
        <v>87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Hotel!AV11*0.00378541*100</f>
        <v>799.47859200000005</v>
      </c>
      <c r="S6" s="4">
        <f>Hotel!B11</f>
        <v>90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Hotel!AV12*0.00378541*100</f>
        <v>732.85537599999998</v>
      </c>
      <c r="S7" s="4">
        <f>Hotel!B12</f>
        <v>89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Hotel!AV13*0.00378541*100</f>
        <v>784.336952</v>
      </c>
      <c r="S8" s="4">
        <f>Hotel!B13</f>
        <v>94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Hotel!AV14*0.00378541*100</f>
        <v>858.15244699999994</v>
      </c>
      <c r="S9" s="4">
        <f>Hotel!B14</f>
        <v>82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Hotel!AV15*0.00378541*100</f>
        <v>840.73956099999998</v>
      </c>
      <c r="S10" s="4">
        <f>Hotel!B15</f>
        <v>111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Hotel!AV16*0.00378541*100</f>
        <v>718.09227699999997</v>
      </c>
      <c r="S11" s="4">
        <f>Hotel!B16</f>
        <v>91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Hotel!AV17*0.00378541*100</f>
        <v>920.99025299999994</v>
      </c>
      <c r="S12" s="4">
        <f>Hotel!B17</f>
        <v>110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Hotel!AV18*0.00378541*100</f>
        <v>1033.7954709999999</v>
      </c>
      <c r="S13" s="4">
        <f>Hotel!B18</f>
        <v>116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Hotel!AV19*0.00378541*100</f>
        <v>799.85713299999998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Hotel!AV20*0.00378541*100</f>
        <v>975.50015699999994</v>
      </c>
      <c r="S15" s="4">
        <f>Hotel!B20</f>
        <v>76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Hotel!AV21*0.00378541*100</f>
        <v>920.99025299999994</v>
      </c>
      <c r="S16" s="4">
        <f>Hotel!B21</f>
        <v>101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840</v>
      </c>
      <c r="F17" s="4">
        <f>Hotel!R22</f>
        <v>11560</v>
      </c>
      <c r="G17" s="4">
        <f>Hotel!S22</f>
        <v>2970</v>
      </c>
      <c r="H17" s="4">
        <f>Hotel!T22</f>
        <v>1410</v>
      </c>
      <c r="I17" s="4">
        <f>Hotel!U22</f>
        <v>3870</v>
      </c>
      <c r="J17" s="4">
        <f>Hotel!V22</f>
        <v>3680</v>
      </c>
      <c r="K17" s="4">
        <f>Hotel!W22</f>
        <v>2920</v>
      </c>
      <c r="L17" s="4">
        <f>Hotel!X22</f>
        <v>4000</v>
      </c>
      <c r="M17" s="4">
        <f>Hotel!Y22</f>
        <v>5040</v>
      </c>
      <c r="N17" s="4">
        <f>Hotel!Z22</f>
        <v>2210</v>
      </c>
      <c r="O17" s="4">
        <f>Hotel!AA22</f>
        <v>2660</v>
      </c>
      <c r="P17" s="4">
        <f>Hotel!AB22</f>
        <v>5980</v>
      </c>
      <c r="Q17" s="4">
        <f>Hotel!AC22</f>
        <v>9940</v>
      </c>
      <c r="R17" s="4">
        <f>Hotel!AV22*0.00378541*100</f>
        <v>836.19706899999994</v>
      </c>
      <c r="S17" s="4">
        <f>Hotel!B22</f>
        <v>139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999</v>
      </c>
      <c r="F18" s="4">
        <f>Hotel!R23</f>
        <v>13220</v>
      </c>
      <c r="G18" s="4">
        <f>Hotel!S23</f>
        <v>3360</v>
      </c>
      <c r="H18" s="4">
        <f>Hotel!T23</f>
        <v>1610</v>
      </c>
      <c r="I18" s="4">
        <f>Hotel!U23</f>
        <v>4400</v>
      </c>
      <c r="J18" s="4">
        <f>Hotel!V23</f>
        <v>4160</v>
      </c>
      <c r="K18" s="4">
        <f>Hotel!W23</f>
        <v>3820</v>
      </c>
      <c r="L18" s="4">
        <f>Hotel!X23</f>
        <v>4570</v>
      </c>
      <c r="M18" s="4">
        <f>Hotel!Y23</f>
        <v>5690</v>
      </c>
      <c r="N18" s="4">
        <f>Hotel!Z23</f>
        <v>2470</v>
      </c>
      <c r="O18" s="4">
        <f>Hotel!AA23</f>
        <v>2930</v>
      </c>
      <c r="P18" s="4">
        <f>Hotel!AB23</f>
        <v>6960</v>
      </c>
      <c r="Q18" s="4">
        <f>Hotel!AC23</f>
        <v>11700</v>
      </c>
      <c r="R18" s="4">
        <f>Hotel!AV23*0.00378541*100</f>
        <v>866.48034900000005</v>
      </c>
      <c r="S18" s="4">
        <f>Hotel!B23</f>
        <v>74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1001</v>
      </c>
      <c r="F19" s="4">
        <f>Hotel!R24</f>
        <v>13260</v>
      </c>
      <c r="G19" s="4">
        <f>Hotel!S24</f>
        <v>3330</v>
      </c>
      <c r="H19" s="4">
        <f>Hotel!T24</f>
        <v>1630</v>
      </c>
      <c r="I19" s="4">
        <f>Hotel!U24</f>
        <v>4270</v>
      </c>
      <c r="J19" s="4">
        <f>Hotel!V24</f>
        <v>4250</v>
      </c>
      <c r="K19" s="4">
        <f>Hotel!W24</f>
        <v>3170</v>
      </c>
      <c r="L19" s="4">
        <f>Hotel!X24</f>
        <v>4300</v>
      </c>
      <c r="M19" s="4">
        <f>Hotel!Y24</f>
        <v>5320</v>
      </c>
      <c r="N19" s="4">
        <f>Hotel!Z24</f>
        <v>2500</v>
      </c>
      <c r="O19" s="4">
        <f>Hotel!AA24</f>
        <v>2740</v>
      </c>
      <c r="P19" s="4">
        <f>Hotel!AB24</f>
        <v>7040</v>
      </c>
      <c r="Q19" s="4">
        <f>Hotel!AC24</f>
        <v>10730</v>
      </c>
      <c r="R19" s="4">
        <f>Hotel!AV24*0.00378541*100</f>
        <v>863.8305620000001</v>
      </c>
      <c r="S19" s="4">
        <f>Hotel!B24</f>
        <v>86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980</v>
      </c>
      <c r="F20" s="4">
        <f>Hotel!R25</f>
        <v>12910</v>
      </c>
      <c r="G20" s="4">
        <f>Hotel!S25</f>
        <v>3240</v>
      </c>
      <c r="H20" s="4">
        <f>Hotel!T25</f>
        <v>1600</v>
      </c>
      <c r="I20" s="4">
        <f>Hotel!U25</f>
        <v>4140</v>
      </c>
      <c r="J20" s="4">
        <f>Hotel!V25</f>
        <v>4020</v>
      </c>
      <c r="K20" s="4">
        <f>Hotel!W25</f>
        <v>2980</v>
      </c>
      <c r="L20" s="4">
        <f>Hotel!X25</f>
        <v>4420</v>
      </c>
      <c r="M20" s="4">
        <f>Hotel!Y25</f>
        <v>5490</v>
      </c>
      <c r="N20" s="4">
        <f>Hotel!Z25</f>
        <v>2380</v>
      </c>
      <c r="O20" s="4">
        <f>Hotel!AA25</f>
        <v>2820</v>
      </c>
      <c r="P20" s="4">
        <f>Hotel!AB25</f>
        <v>6780</v>
      </c>
      <c r="Q20" s="4">
        <f>Hotel!AC25</f>
        <v>9670</v>
      </c>
      <c r="R20" s="4">
        <f>Hotel!AV25*0.00378541*100</f>
        <v>35.582853999999998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1060</v>
      </c>
      <c r="F21" s="4">
        <f>Hotel!R26</f>
        <v>14890</v>
      </c>
      <c r="G21" s="4">
        <f>Hotel!S26</f>
        <v>3920</v>
      </c>
      <c r="H21" s="4">
        <f>Hotel!T26</f>
        <v>1680</v>
      </c>
      <c r="I21" s="4">
        <f>Hotel!U26</f>
        <v>4370</v>
      </c>
      <c r="J21" s="4">
        <f>Hotel!V26</f>
        <v>4260</v>
      </c>
      <c r="K21" s="4">
        <f>Hotel!W26</f>
        <v>3390</v>
      </c>
      <c r="L21" s="4">
        <f>Hotel!X26</f>
        <v>4510</v>
      </c>
      <c r="M21" s="4">
        <f>Hotel!Y26</f>
        <v>5490</v>
      </c>
      <c r="N21" s="4">
        <f>Hotel!Z26</f>
        <v>2580</v>
      </c>
      <c r="O21" s="4">
        <f>Hotel!AA26</f>
        <v>2880</v>
      </c>
      <c r="P21" s="4">
        <f>Hotel!AB26</f>
        <v>6880</v>
      </c>
      <c r="Q21" s="4">
        <f>Hotel!AC26</f>
        <v>9150</v>
      </c>
      <c r="R21" s="4">
        <f>Hotel!AV26*0.00378541*100</f>
        <v>1548.6112309999999</v>
      </c>
      <c r="S21" s="4">
        <f>Hotel!B26</f>
        <v>112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2650</v>
      </c>
      <c r="F22" s="4">
        <f>Hotel!R27</f>
        <v>15530</v>
      </c>
      <c r="G22" s="4">
        <f>Hotel!S27</f>
        <v>4120</v>
      </c>
      <c r="H22" s="4">
        <f>Hotel!T27</f>
        <v>1650</v>
      </c>
      <c r="I22" s="4">
        <f>Hotel!U27</f>
        <v>4460</v>
      </c>
      <c r="J22" s="4">
        <f>Hotel!V27</f>
        <v>4260</v>
      </c>
      <c r="K22" s="4">
        <f>Hotel!W27</f>
        <v>3400</v>
      </c>
      <c r="L22" s="4">
        <f>Hotel!X27</f>
        <v>4610</v>
      </c>
      <c r="M22" s="4">
        <f>Hotel!Y27</f>
        <v>5510</v>
      </c>
      <c r="N22" s="4">
        <f>Hotel!Z27</f>
        <v>2510</v>
      </c>
      <c r="O22" s="4">
        <f>Hotel!AA27</f>
        <v>2830</v>
      </c>
      <c r="P22" s="4">
        <f>Hotel!AB27</f>
        <v>6810</v>
      </c>
      <c r="Q22" s="4">
        <f>Hotel!AC27</f>
        <v>8470</v>
      </c>
      <c r="R22" s="4">
        <f>Hotel!AV27*0.00378541*100</f>
        <v>832.03311800000006</v>
      </c>
      <c r="S22" s="4">
        <f>Hotel!B27</f>
        <v>135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990</v>
      </c>
      <c r="F23" s="4">
        <f>Hotel!R28</f>
        <v>14350</v>
      </c>
      <c r="G23" s="4">
        <f>Hotel!S28</f>
        <v>3750</v>
      </c>
      <c r="H23" s="4">
        <f>Hotel!T28</f>
        <v>1650</v>
      </c>
      <c r="I23" s="4">
        <f>Hotel!U28</f>
        <v>4620</v>
      </c>
      <c r="J23" s="4">
        <f>Hotel!V28</f>
        <v>4280</v>
      </c>
      <c r="K23" s="4">
        <f>Hotel!W28</f>
        <v>3500</v>
      </c>
      <c r="L23" s="4">
        <f>Hotel!X28</f>
        <v>4620</v>
      </c>
      <c r="M23" s="4">
        <f>Hotel!Y28</f>
        <v>5650</v>
      </c>
      <c r="N23" s="4">
        <f>Hotel!Z28</f>
        <v>2660</v>
      </c>
      <c r="O23" s="4">
        <f>Hotel!AA28</f>
        <v>3030</v>
      </c>
      <c r="P23" s="4">
        <f>Hotel!AB28</f>
        <v>7100</v>
      </c>
      <c r="Q23" s="4">
        <f>Hotel!AC28</f>
        <v>9380</v>
      </c>
      <c r="R23" s="4">
        <f>Hotel!AV28*0.00378541*100</f>
        <v>927.803991</v>
      </c>
      <c r="S23" s="4">
        <f>Hotel!B28</f>
        <v>155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1150</v>
      </c>
      <c r="F24" s="4">
        <f>Hotel!R29</f>
        <v>15080</v>
      </c>
      <c r="G24" s="4">
        <f>Hotel!S29</f>
        <v>4080</v>
      </c>
      <c r="H24" s="4">
        <f>Hotel!T29</f>
        <v>1640</v>
      </c>
      <c r="I24" s="4">
        <f>Hotel!U29</f>
        <v>4580</v>
      </c>
      <c r="J24" s="4">
        <f>Hotel!V29</f>
        <v>4160</v>
      </c>
      <c r="K24" s="4">
        <f>Hotel!W29</f>
        <v>3580</v>
      </c>
      <c r="L24" s="4">
        <f>Hotel!X29</f>
        <v>4350</v>
      </c>
      <c r="M24" s="4">
        <f>Hotel!Y29</f>
        <v>5620</v>
      </c>
      <c r="N24" s="4">
        <f>Hotel!Z29</f>
        <v>2750</v>
      </c>
      <c r="O24" s="4">
        <f>Hotel!AA29</f>
        <v>3060</v>
      </c>
      <c r="P24" s="4">
        <f>Hotel!AB29</f>
        <v>7000</v>
      </c>
      <c r="Q24" s="4">
        <f>Hotel!AC29</f>
        <v>9170</v>
      </c>
      <c r="R24" s="4">
        <f>Hotel!AV29*0.00378541*100</f>
        <v>788.87944400000003</v>
      </c>
      <c r="S24" s="4">
        <f>Hotel!B29</f>
        <v>176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1010</v>
      </c>
      <c r="F25" s="4">
        <f>Hotel!R30</f>
        <v>13760</v>
      </c>
      <c r="G25" s="4">
        <f>Hotel!S30</f>
        <v>3440</v>
      </c>
      <c r="H25" s="4">
        <f>Hotel!T30</f>
        <v>1690</v>
      </c>
      <c r="I25" s="4">
        <f>Hotel!U30</f>
        <v>4790</v>
      </c>
      <c r="J25" s="4">
        <f>Hotel!V30</f>
        <v>4330</v>
      </c>
      <c r="K25" s="4">
        <f>Hotel!W30</f>
        <v>3420</v>
      </c>
      <c r="L25" s="4">
        <f>Hotel!X30</f>
        <v>4680</v>
      </c>
      <c r="M25" s="4">
        <f>Hotel!Y30</f>
        <v>5960</v>
      </c>
      <c r="N25" s="4">
        <f>Hotel!Z30</f>
        <v>2710</v>
      </c>
      <c r="O25" s="4">
        <f>Hotel!AA30</f>
        <v>3160</v>
      </c>
      <c r="P25" s="4">
        <f>Hotel!AB30</f>
        <v>7220</v>
      </c>
      <c r="Q25" s="4">
        <f>Hotel!AC30</f>
        <v>12850</v>
      </c>
      <c r="R25" s="4">
        <f>Hotel!AV30*0.00378541*100</f>
        <v>674.56006200000002</v>
      </c>
      <c r="S25" s="4">
        <f>Hotel!B30</f>
        <v>98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1000</v>
      </c>
      <c r="F26" s="4">
        <f>Hotel!R31</f>
        <v>13150</v>
      </c>
      <c r="G26" s="4">
        <f>Hotel!S31</f>
        <v>3280</v>
      </c>
      <c r="H26" s="4">
        <f>Hotel!T31</f>
        <v>1640</v>
      </c>
      <c r="I26" s="4">
        <f>Hotel!U31</f>
        <v>4580</v>
      </c>
      <c r="J26" s="4">
        <f>Hotel!V31</f>
        <v>4080</v>
      </c>
      <c r="K26" s="4">
        <f>Hotel!W31</f>
        <v>3230</v>
      </c>
      <c r="L26" s="4">
        <f>Hotel!X31</f>
        <v>4240</v>
      </c>
      <c r="M26" s="4">
        <f>Hotel!Y31</f>
        <v>5360</v>
      </c>
      <c r="N26" s="4">
        <f>Hotel!Z31</f>
        <v>2540</v>
      </c>
      <c r="O26" s="4">
        <f>Hotel!AA31</f>
        <v>2950</v>
      </c>
      <c r="P26" s="4">
        <f>Hotel!AB31</f>
        <v>6890</v>
      </c>
      <c r="Q26" s="4">
        <f>Hotel!AC31</f>
        <v>12680</v>
      </c>
      <c r="R26" s="4">
        <f>Hotel!AV31*0.00378541*100</f>
        <v>562.89046699999994</v>
      </c>
      <c r="S26" s="4">
        <f>Hotel!B31</f>
        <v>121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0" zoomScale="93" zoomScaleNormal="93" workbookViewId="0">
      <selection activeCell="AU37" sqref="AU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4">
        <v>8408970</v>
      </c>
      <c r="D2" s="54">
        <v>20178550</v>
      </c>
      <c r="E2" s="54">
        <v>3529170</v>
      </c>
      <c r="F2" s="54">
        <v>4230550</v>
      </c>
      <c r="G2" s="54">
        <v>12475530</v>
      </c>
      <c r="H2" s="54">
        <v>7286630</v>
      </c>
      <c r="I2" s="54">
        <v>6331940</v>
      </c>
      <c r="J2" s="54">
        <v>7862680</v>
      </c>
      <c r="K2" s="54">
        <v>11501880</v>
      </c>
      <c r="L2" s="54">
        <v>5005660</v>
      </c>
      <c r="M2" s="54">
        <v>9294450</v>
      </c>
      <c r="N2" s="54">
        <v>15241450</v>
      </c>
      <c r="O2" s="54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9" t="s">
        <v>23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Q4" s="71" t="s">
        <v>24</v>
      </c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3"/>
      <c r="AD4" s="28" t="s">
        <v>25</v>
      </c>
      <c r="AF4" s="74" t="s">
        <v>26</v>
      </c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29" t="s">
        <v>27</v>
      </c>
      <c r="AU4" s="65" t="s">
        <v>28</v>
      </c>
      <c r="AV4" s="66" t="s">
        <v>29</v>
      </c>
      <c r="AW4" s="66" t="s">
        <v>48</v>
      </c>
      <c r="AX4" s="6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5"/>
      <c r="AV5" s="67"/>
      <c r="AW5" s="67"/>
      <c r="AX5" s="6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175395</v>
      </c>
    </row>
    <row r="7" spans="1:50" x14ac:dyDescent="0.25">
      <c r="A7" s="23">
        <v>44805</v>
      </c>
      <c r="B7" s="40">
        <v>105</v>
      </c>
      <c r="C7" s="53">
        <v>8409960</v>
      </c>
      <c r="D7" s="53">
        <v>20192600</v>
      </c>
      <c r="E7" s="53">
        <v>3532910</v>
      </c>
      <c r="F7" s="53">
        <v>4232220</v>
      </c>
      <c r="G7" s="53">
        <v>12479930</v>
      </c>
      <c r="H7" s="53">
        <v>7291070</v>
      </c>
      <c r="I7" s="53">
        <v>6335400</v>
      </c>
      <c r="J7" s="53">
        <v>7867180</v>
      </c>
      <c r="K7" s="53">
        <v>11507740</v>
      </c>
      <c r="L7" s="53">
        <v>5008120</v>
      </c>
      <c r="M7" s="53">
        <v>9297260</v>
      </c>
      <c r="N7" s="53">
        <v>15248530</v>
      </c>
      <c r="O7" s="53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56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103</v>
      </c>
      <c r="C8" s="58" t="s">
        <v>50</v>
      </c>
      <c r="D8" s="58" t="s">
        <v>51</v>
      </c>
      <c r="E8" s="58" t="s">
        <v>52</v>
      </c>
      <c r="F8" s="58" t="s">
        <v>53</v>
      </c>
      <c r="G8" s="58" t="s">
        <v>54</v>
      </c>
      <c r="H8" s="58" t="s">
        <v>55</v>
      </c>
      <c r="I8" s="58" t="s">
        <v>56</v>
      </c>
      <c r="J8" s="58" t="s">
        <v>57</v>
      </c>
      <c r="K8" s="58" t="s">
        <v>58</v>
      </c>
      <c r="L8" s="58" t="s">
        <v>59</v>
      </c>
      <c r="M8" s="58" t="s">
        <v>60</v>
      </c>
      <c r="N8" s="58" t="s">
        <v>61</v>
      </c>
      <c r="O8" s="58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59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>
        <v>88</v>
      </c>
      <c r="C9" s="53">
        <v>8411940</v>
      </c>
      <c r="D9" s="53">
        <v>20220130</v>
      </c>
      <c r="E9" s="53">
        <v>3540180</v>
      </c>
      <c r="F9" s="53">
        <v>4235530</v>
      </c>
      <c r="G9" s="53">
        <v>12488850</v>
      </c>
      <c r="H9" s="53">
        <v>7299530</v>
      </c>
      <c r="I9" s="53">
        <v>6341550</v>
      </c>
      <c r="J9" s="53">
        <v>7876360</v>
      </c>
      <c r="K9" s="53">
        <v>11518960</v>
      </c>
      <c r="L9" s="53">
        <v>5013190</v>
      </c>
      <c r="M9" s="53">
        <v>9303210</v>
      </c>
      <c r="N9" s="53">
        <v>15262680</v>
      </c>
      <c r="O9" s="53">
        <v>21339410</v>
      </c>
      <c r="Q9" s="37">
        <f t="shared" ref="Q9:Q30" si="17">IF((C9-C8&lt;0), "0",C9-C8)</f>
        <v>970</v>
      </c>
      <c r="R9" s="37">
        <f t="shared" ref="R9:R37" si="18">IF((D9-D8&lt;0), "0",D9-D8)</f>
        <v>13220</v>
      </c>
      <c r="S9" s="37">
        <f t="shared" si="16"/>
        <v>3460</v>
      </c>
      <c r="T9" s="37">
        <f t="shared" ref="T9:T35" si="19">IF((F9-F8&lt;0), "0",F9-F8)</f>
        <v>1620</v>
      </c>
      <c r="U9" s="37">
        <f t="shared" ref="U9:U35" si="20">IF((G9-G8&lt;0), "0",G9-G8)</f>
        <v>4390</v>
      </c>
      <c r="V9" s="37">
        <f t="shared" ref="V9:V35" si="21">IF((H9-H8&lt;0), "0",H9-H8)</f>
        <v>4140</v>
      </c>
      <c r="W9" s="37">
        <f t="shared" ref="W9:W35" si="22">IF((I9-I8&lt;0), "0",I9-I8)</f>
        <v>2940</v>
      </c>
      <c r="X9" s="37">
        <f t="shared" ref="X9:X37" si="23">IF((J9-J8&lt;0), "0",J9-J8)</f>
        <v>4570</v>
      </c>
      <c r="Y9" s="37">
        <f t="shared" ref="Y9:Y35" si="24">IF((K9-K8&lt;0), "0",K9-K8)</f>
        <v>5400</v>
      </c>
      <c r="Z9" s="37">
        <f t="shared" ref="Z9:Z35" si="25">IF((L9-L8&lt;0), "0",L9-L8)</f>
        <v>2450</v>
      </c>
      <c r="AA9" s="37">
        <f t="shared" ref="AA9:AA35" si="26">IF((M9-M8&lt;0), "0",M9-M8)</f>
        <v>2980</v>
      </c>
      <c r="AB9" s="37">
        <f t="shared" ref="AB9:AB37" si="27">IF((N9-N8&lt;0), "0",N9-N8)</f>
        <v>6900</v>
      </c>
      <c r="AC9" s="37">
        <f t="shared" ref="AC9:AC37" si="28">IF((O9-O8&lt;0), "0",O9-O8)</f>
        <v>9070</v>
      </c>
      <c r="AD9" s="35">
        <f t="shared" ref="AD9:AD37" si="29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0">SUM(AF9:AR9)</f>
        <v>310.54999999999995</v>
      </c>
      <c r="AU9" s="56">
        <v>182956</v>
      </c>
      <c r="AV9" s="37">
        <f>IF((AU9-AU8&lt;0),"0",AU9-AU8)</f>
        <v>2317</v>
      </c>
      <c r="AW9" s="37">
        <f>AV9*100*AV44</f>
        <v>877.07949699999995</v>
      </c>
      <c r="AX9" s="35">
        <f t="shared" si="14"/>
        <v>4.6340000000000003</v>
      </c>
    </row>
    <row r="10" spans="1:50" x14ac:dyDescent="0.25">
      <c r="A10" s="23">
        <v>44808</v>
      </c>
      <c r="B10" s="40">
        <v>87</v>
      </c>
      <c r="C10" s="54">
        <v>8412900</v>
      </c>
      <c r="D10" s="54">
        <v>20233460</v>
      </c>
      <c r="E10" s="54">
        <v>3543710</v>
      </c>
      <c r="F10" s="54">
        <v>4237140</v>
      </c>
      <c r="G10" s="54">
        <v>12493080</v>
      </c>
      <c r="H10" s="54">
        <v>7303660</v>
      </c>
      <c r="I10" s="54">
        <v>6344780</v>
      </c>
      <c r="J10" s="54">
        <v>7880610</v>
      </c>
      <c r="K10" s="54">
        <v>11524220</v>
      </c>
      <c r="L10" s="54">
        <v>5015590</v>
      </c>
      <c r="M10" s="54">
        <v>9306100</v>
      </c>
      <c r="N10" s="54">
        <v>15269520</v>
      </c>
      <c r="O10" s="54">
        <v>21348660</v>
      </c>
      <c r="Q10" s="37">
        <f t="shared" si="17"/>
        <v>960</v>
      </c>
      <c r="R10" s="37">
        <f t="shared" si="18"/>
        <v>13330</v>
      </c>
      <c r="S10" s="37">
        <f t="shared" si="16"/>
        <v>3530</v>
      </c>
      <c r="T10" s="37">
        <f t="shared" si="19"/>
        <v>1610</v>
      </c>
      <c r="U10" s="37">
        <f t="shared" si="20"/>
        <v>4230</v>
      </c>
      <c r="V10" s="37">
        <f t="shared" si="21"/>
        <v>4130</v>
      </c>
      <c r="W10" s="37">
        <f t="shared" si="22"/>
        <v>3230</v>
      </c>
      <c r="X10" s="37">
        <f t="shared" si="23"/>
        <v>4250</v>
      </c>
      <c r="Y10" s="37">
        <f t="shared" si="24"/>
        <v>5260</v>
      </c>
      <c r="Z10" s="37">
        <f t="shared" si="25"/>
        <v>2400</v>
      </c>
      <c r="AA10" s="37">
        <f t="shared" si="26"/>
        <v>2890</v>
      </c>
      <c r="AB10" s="37">
        <f t="shared" si="27"/>
        <v>6840</v>
      </c>
      <c r="AC10" s="37">
        <f t="shared" si="28"/>
        <v>9250</v>
      </c>
      <c r="AD10" s="35">
        <f t="shared" si="29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0"/>
        <v>309.55</v>
      </c>
      <c r="AU10" s="57">
        <v>185102</v>
      </c>
      <c r="AV10" s="37">
        <f t="shared" ref="AV10:AV26" si="31">IF((AU10-AU9&lt;0),"0",AU10-AU9)</f>
        <v>2146</v>
      </c>
      <c r="AW10" s="37">
        <f>AV10*100*AV44</f>
        <v>812.34898599999997</v>
      </c>
      <c r="AX10" s="35">
        <f t="shared" si="14"/>
        <v>4.2919999999999998</v>
      </c>
    </row>
    <row r="11" spans="1:50" x14ac:dyDescent="0.25">
      <c r="A11" s="23">
        <v>44809</v>
      </c>
      <c r="B11" s="40">
        <v>90</v>
      </c>
      <c r="C11" s="53">
        <v>8413920</v>
      </c>
      <c r="D11" s="53">
        <v>20247440</v>
      </c>
      <c r="E11" s="53">
        <v>3547420</v>
      </c>
      <c r="F11" s="53">
        <v>4238830</v>
      </c>
      <c r="G11" s="53">
        <v>12497590</v>
      </c>
      <c r="H11" s="53">
        <v>7308010</v>
      </c>
      <c r="I11" s="53">
        <v>6348090</v>
      </c>
      <c r="J11" s="53">
        <v>7885120</v>
      </c>
      <c r="K11" s="53">
        <v>11529810</v>
      </c>
      <c r="L11" s="53">
        <v>5018080</v>
      </c>
      <c r="M11" s="53">
        <v>9309090</v>
      </c>
      <c r="N11" s="53">
        <v>15276790</v>
      </c>
      <c r="O11" s="53">
        <v>21359030</v>
      </c>
      <c r="Q11" s="37">
        <f t="shared" si="17"/>
        <v>1020</v>
      </c>
      <c r="R11" s="37">
        <f t="shared" si="18"/>
        <v>13980</v>
      </c>
      <c r="S11" s="37">
        <f t="shared" si="16"/>
        <v>3710</v>
      </c>
      <c r="T11" s="37">
        <f t="shared" si="19"/>
        <v>1690</v>
      </c>
      <c r="U11" s="37">
        <f t="shared" si="20"/>
        <v>4510</v>
      </c>
      <c r="V11" s="37">
        <f t="shared" si="21"/>
        <v>4350</v>
      </c>
      <c r="W11" s="37">
        <f t="shared" si="22"/>
        <v>3310</v>
      </c>
      <c r="X11" s="37">
        <f t="shared" si="23"/>
        <v>4510</v>
      </c>
      <c r="Y11" s="37">
        <f t="shared" si="24"/>
        <v>5590</v>
      </c>
      <c r="Z11" s="37">
        <f t="shared" si="25"/>
        <v>2490</v>
      </c>
      <c r="AA11" s="37">
        <f t="shared" si="26"/>
        <v>2990</v>
      </c>
      <c r="AB11" s="37">
        <f t="shared" si="27"/>
        <v>7270</v>
      </c>
      <c r="AC11" s="37">
        <f t="shared" si="28"/>
        <v>10370</v>
      </c>
      <c r="AD11" s="35">
        <f t="shared" si="29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0"/>
        <v>328.95000000000005</v>
      </c>
      <c r="AU11" s="60">
        <v>187214</v>
      </c>
      <c r="AV11" s="37">
        <f t="shared" si="31"/>
        <v>2112</v>
      </c>
      <c r="AW11" s="37">
        <f>AV11*100*AV44</f>
        <v>799.47859199999994</v>
      </c>
      <c r="AX11" s="35">
        <f t="shared" si="14"/>
        <v>4.2240000000000002</v>
      </c>
    </row>
    <row r="12" spans="1:50" x14ac:dyDescent="0.25">
      <c r="A12" s="23">
        <v>44810</v>
      </c>
      <c r="B12" s="40">
        <v>89</v>
      </c>
      <c r="C12" s="54">
        <v>8418340</v>
      </c>
      <c r="D12" s="54">
        <v>20262780</v>
      </c>
      <c r="E12" s="54">
        <v>3551470</v>
      </c>
      <c r="F12" s="54">
        <v>4240560</v>
      </c>
      <c r="G12" s="54">
        <v>12502030</v>
      </c>
      <c r="H12" s="54">
        <v>7312200</v>
      </c>
      <c r="I12" s="54">
        <v>6351110</v>
      </c>
      <c r="J12" s="54">
        <v>7889130</v>
      </c>
      <c r="K12" s="54">
        <v>11535470</v>
      </c>
      <c r="L12" s="54">
        <v>5020560</v>
      </c>
      <c r="M12" s="54">
        <v>9311930</v>
      </c>
      <c r="N12" s="54">
        <v>15284010</v>
      </c>
      <c r="O12" s="54">
        <v>21368530</v>
      </c>
      <c r="Q12" s="37">
        <f t="shared" si="17"/>
        <v>4420</v>
      </c>
      <c r="R12" s="37">
        <f t="shared" si="18"/>
        <v>15340</v>
      </c>
      <c r="S12" s="37">
        <f t="shared" si="16"/>
        <v>4050</v>
      </c>
      <c r="T12" s="37">
        <f t="shared" ref="T12:W14" si="32">IF((F12-F11&lt;0), "0",F12-F11)</f>
        <v>1730</v>
      </c>
      <c r="U12" s="37">
        <f t="shared" si="32"/>
        <v>4440</v>
      </c>
      <c r="V12" s="37">
        <f t="shared" si="32"/>
        <v>4190</v>
      </c>
      <c r="W12" s="37">
        <f t="shared" si="32"/>
        <v>3020</v>
      </c>
      <c r="X12" s="37">
        <f t="shared" si="23"/>
        <v>4010</v>
      </c>
      <c r="Y12" s="37">
        <f t="shared" si="24"/>
        <v>5660</v>
      </c>
      <c r="Z12" s="37">
        <f>IF((L12-L11&lt;0), "0",L12-L11)</f>
        <v>2480</v>
      </c>
      <c r="AA12" s="37">
        <f t="shared" si="26"/>
        <v>2840</v>
      </c>
      <c r="AB12" s="37">
        <f t="shared" si="27"/>
        <v>7220</v>
      </c>
      <c r="AC12" s="37">
        <f t="shared" si="28"/>
        <v>9500</v>
      </c>
      <c r="AD12" s="35">
        <f t="shared" si="29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0"/>
        <v>344.50000000000006</v>
      </c>
      <c r="AU12" s="57">
        <v>189150</v>
      </c>
      <c r="AV12" s="37">
        <f t="shared" si="31"/>
        <v>1936</v>
      </c>
      <c r="AW12" s="37">
        <f>AV12*100*AV44</f>
        <v>732.85537599999998</v>
      </c>
      <c r="AX12" s="35">
        <f t="shared" si="14"/>
        <v>3.8719999999999999</v>
      </c>
    </row>
    <row r="13" spans="1:50" x14ac:dyDescent="0.25">
      <c r="A13" s="23">
        <v>44811</v>
      </c>
      <c r="B13" s="40">
        <v>94</v>
      </c>
      <c r="C13" s="53">
        <v>8429010</v>
      </c>
      <c r="D13" s="53">
        <v>20278420</v>
      </c>
      <c r="E13" s="53">
        <v>3555670</v>
      </c>
      <c r="F13" s="53">
        <v>4242250</v>
      </c>
      <c r="G13" s="53">
        <v>12506280</v>
      </c>
      <c r="H13" s="53">
        <v>7316180</v>
      </c>
      <c r="I13" s="53">
        <v>6353920</v>
      </c>
      <c r="J13" s="53">
        <v>7892330</v>
      </c>
      <c r="K13" s="53">
        <v>11540880</v>
      </c>
      <c r="L13" s="53">
        <v>5022960</v>
      </c>
      <c r="M13" s="53">
        <v>9314580</v>
      </c>
      <c r="N13" s="53">
        <v>15290770</v>
      </c>
      <c r="O13" s="53">
        <v>21377140</v>
      </c>
      <c r="Q13" s="37">
        <f t="shared" si="17"/>
        <v>10670</v>
      </c>
      <c r="R13" s="37">
        <f t="shared" si="18"/>
        <v>15640</v>
      </c>
      <c r="S13" s="37">
        <f t="shared" si="16"/>
        <v>4200</v>
      </c>
      <c r="T13" s="37">
        <f t="shared" si="32"/>
        <v>1690</v>
      </c>
      <c r="U13" s="37">
        <f t="shared" si="32"/>
        <v>4250</v>
      </c>
      <c r="V13" s="37">
        <f t="shared" si="32"/>
        <v>3980</v>
      </c>
      <c r="W13" s="37">
        <f t="shared" si="32"/>
        <v>2810</v>
      </c>
      <c r="X13" s="37">
        <f t="shared" si="23"/>
        <v>3200</v>
      </c>
      <c r="Y13" s="37">
        <f t="shared" si="24"/>
        <v>5410</v>
      </c>
      <c r="Z13" s="37">
        <f>IF((L13-L12&lt;0), "0",L13-L12)</f>
        <v>2400</v>
      </c>
      <c r="AA13" s="37">
        <f t="shared" si="26"/>
        <v>2650</v>
      </c>
      <c r="AB13" s="37">
        <f t="shared" si="27"/>
        <v>6760</v>
      </c>
      <c r="AC13" s="37">
        <f t="shared" si="28"/>
        <v>8610</v>
      </c>
      <c r="AD13" s="35">
        <f t="shared" si="29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0"/>
        <v>361.35</v>
      </c>
      <c r="AU13" s="60">
        <v>191222</v>
      </c>
      <c r="AV13" s="37">
        <f t="shared" si="31"/>
        <v>2072</v>
      </c>
      <c r="AW13" s="37">
        <f>AV13*100*AV44</f>
        <v>784.336952</v>
      </c>
      <c r="AX13" s="35">
        <f t="shared" si="14"/>
        <v>4.1440000000000001</v>
      </c>
    </row>
    <row r="14" spans="1:50" x14ac:dyDescent="0.25">
      <c r="A14" s="23">
        <v>44812</v>
      </c>
      <c r="B14" s="40">
        <v>82</v>
      </c>
      <c r="C14" s="54">
        <v>8440860</v>
      </c>
      <c r="D14" s="54">
        <v>20294740</v>
      </c>
      <c r="E14" s="54">
        <v>3559960</v>
      </c>
      <c r="F14" s="54">
        <v>4244000</v>
      </c>
      <c r="G14" s="54">
        <v>12510790</v>
      </c>
      <c r="H14" s="54">
        <v>7320330</v>
      </c>
      <c r="I14" s="54">
        <v>6357330</v>
      </c>
      <c r="J14" s="54">
        <v>7897160</v>
      </c>
      <c r="K14" s="54">
        <v>11546650</v>
      </c>
      <c r="L14" s="54">
        <v>5025330</v>
      </c>
      <c r="M14" s="54">
        <v>9317360</v>
      </c>
      <c r="N14" s="54">
        <v>15297900</v>
      </c>
      <c r="O14" s="54">
        <v>21385820</v>
      </c>
      <c r="P14" s="51"/>
      <c r="Q14" s="37">
        <f t="shared" si="17"/>
        <v>11850</v>
      </c>
      <c r="R14" s="37">
        <f t="shared" si="18"/>
        <v>16320</v>
      </c>
      <c r="S14" s="37">
        <f t="shared" si="16"/>
        <v>4290</v>
      </c>
      <c r="T14" s="37">
        <f t="shared" si="32"/>
        <v>1750</v>
      </c>
      <c r="U14" s="37">
        <f t="shared" si="32"/>
        <v>4510</v>
      </c>
      <c r="V14" s="37">
        <f t="shared" si="32"/>
        <v>4150</v>
      </c>
      <c r="W14" s="37">
        <f t="shared" si="32"/>
        <v>3410</v>
      </c>
      <c r="X14" s="37">
        <f t="shared" si="23"/>
        <v>4830</v>
      </c>
      <c r="Y14" s="37">
        <f t="shared" si="24"/>
        <v>5770</v>
      </c>
      <c r="Z14" s="37">
        <f>IF((L14-L13&lt;0), "0",L14-L13)</f>
        <v>2370</v>
      </c>
      <c r="AA14" s="37">
        <f t="shared" si="26"/>
        <v>2780</v>
      </c>
      <c r="AB14" s="37">
        <f t="shared" si="27"/>
        <v>7130</v>
      </c>
      <c r="AC14" s="37">
        <f t="shared" si="28"/>
        <v>8680</v>
      </c>
      <c r="AD14" s="35">
        <f t="shared" si="29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0"/>
        <v>389.2</v>
      </c>
      <c r="AU14" s="57">
        <v>193489</v>
      </c>
      <c r="AV14" s="37">
        <f t="shared" si="31"/>
        <v>2267</v>
      </c>
      <c r="AW14" s="37">
        <f>AV14*100*AV44</f>
        <v>858.15244699999994</v>
      </c>
      <c r="AX14" s="35">
        <f t="shared" si="14"/>
        <v>4.5339999999999998</v>
      </c>
    </row>
    <row r="15" spans="1:50" x14ac:dyDescent="0.25">
      <c r="A15" s="23">
        <v>44813</v>
      </c>
      <c r="B15" s="40">
        <v>111</v>
      </c>
      <c r="C15" s="53">
        <v>8450390</v>
      </c>
      <c r="D15" s="53">
        <v>20309650</v>
      </c>
      <c r="E15" s="53">
        <v>3563820</v>
      </c>
      <c r="F15" s="53">
        <v>4245650</v>
      </c>
      <c r="G15" s="53">
        <v>12515070</v>
      </c>
      <c r="H15" s="53">
        <v>7324320</v>
      </c>
      <c r="I15" s="53">
        <v>6360580</v>
      </c>
      <c r="J15" s="53">
        <v>7901300</v>
      </c>
      <c r="K15" s="53">
        <v>11551870</v>
      </c>
      <c r="L15" s="53">
        <v>5027630</v>
      </c>
      <c r="M15" s="53">
        <v>9320110</v>
      </c>
      <c r="N15" s="53">
        <v>15304680</v>
      </c>
      <c r="O15" s="53">
        <v>21394040</v>
      </c>
      <c r="Q15" s="37">
        <f t="shared" si="17"/>
        <v>9530</v>
      </c>
      <c r="R15" s="37">
        <f t="shared" si="18"/>
        <v>14910</v>
      </c>
      <c r="S15" s="37">
        <f t="shared" si="16"/>
        <v>3860</v>
      </c>
      <c r="T15" s="37">
        <f t="shared" si="19"/>
        <v>1650</v>
      </c>
      <c r="U15" s="37">
        <f t="shared" si="20"/>
        <v>4280</v>
      </c>
      <c r="V15" s="37">
        <f t="shared" si="21"/>
        <v>3990</v>
      </c>
      <c r="W15" s="37">
        <f t="shared" si="22"/>
        <v>3250</v>
      </c>
      <c r="X15" s="37">
        <f t="shared" si="23"/>
        <v>4140</v>
      </c>
      <c r="Y15" s="37">
        <f t="shared" si="24"/>
        <v>5220</v>
      </c>
      <c r="Z15" s="37">
        <f t="shared" si="25"/>
        <v>2300</v>
      </c>
      <c r="AA15" s="37">
        <f t="shared" si="26"/>
        <v>2750</v>
      </c>
      <c r="AB15" s="37">
        <f t="shared" si="27"/>
        <v>6780</v>
      </c>
      <c r="AC15" s="37">
        <f t="shared" si="28"/>
        <v>8220</v>
      </c>
      <c r="AD15" s="35">
        <f t="shared" si="29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0"/>
        <v>354.4</v>
      </c>
      <c r="AU15" s="56">
        <v>195710</v>
      </c>
      <c r="AV15" s="37">
        <f t="shared" si="31"/>
        <v>2221</v>
      </c>
      <c r="AW15" s="37">
        <f>AV15*100*AV44</f>
        <v>840.73956099999998</v>
      </c>
      <c r="AX15" s="35">
        <f t="shared" si="14"/>
        <v>4.4420000000000002</v>
      </c>
    </row>
    <row r="16" spans="1:50" x14ac:dyDescent="0.25">
      <c r="A16" s="23">
        <v>44814</v>
      </c>
      <c r="B16" s="40">
        <v>91</v>
      </c>
      <c r="C16" s="54">
        <v>8451370</v>
      </c>
      <c r="D16" s="54">
        <v>20323970</v>
      </c>
      <c r="E16" s="54">
        <v>3567690</v>
      </c>
      <c r="F16" s="54">
        <v>4247360</v>
      </c>
      <c r="G16" s="54">
        <v>12519560</v>
      </c>
      <c r="H16" s="54">
        <v>7328400</v>
      </c>
      <c r="I16" s="54">
        <v>6363700</v>
      </c>
      <c r="J16" s="54">
        <v>7905670</v>
      </c>
      <c r="K16" s="54">
        <v>11557450</v>
      </c>
      <c r="L16" s="54">
        <v>5030150</v>
      </c>
      <c r="M16" s="54">
        <v>9323020</v>
      </c>
      <c r="N16" s="54">
        <v>15311770</v>
      </c>
      <c r="O16" s="54">
        <v>21402710</v>
      </c>
      <c r="Q16" s="37">
        <f t="shared" si="17"/>
        <v>980</v>
      </c>
      <c r="R16" s="37">
        <f t="shared" si="18"/>
        <v>14320</v>
      </c>
      <c r="S16" s="37">
        <f t="shared" si="16"/>
        <v>3870</v>
      </c>
      <c r="T16" s="37">
        <f t="shared" si="19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2"/>
        <v>3120</v>
      </c>
      <c r="X16" s="37">
        <f t="shared" si="23"/>
        <v>4370</v>
      </c>
      <c r="Y16" s="37">
        <f t="shared" si="24"/>
        <v>5580</v>
      </c>
      <c r="Z16" s="37">
        <f t="shared" si="25"/>
        <v>2520</v>
      </c>
      <c r="AA16" s="37">
        <f t="shared" si="26"/>
        <v>2910</v>
      </c>
      <c r="AB16" s="37">
        <f t="shared" si="27"/>
        <v>7090</v>
      </c>
      <c r="AC16" s="37">
        <f t="shared" si="28"/>
        <v>8670</v>
      </c>
      <c r="AD16" s="35">
        <f t="shared" si="29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0"/>
        <v>318.55000000000007</v>
      </c>
      <c r="AU16" s="57">
        <v>197607</v>
      </c>
      <c r="AV16" s="37">
        <f t="shared" si="31"/>
        <v>1897</v>
      </c>
      <c r="AW16" s="37">
        <f>AV16*100*AV44</f>
        <v>718.09227699999997</v>
      </c>
      <c r="AX16" s="35">
        <f t="shared" si="14"/>
        <v>3.794</v>
      </c>
    </row>
    <row r="17" spans="1:50" x14ac:dyDescent="0.25">
      <c r="A17" s="23">
        <v>44815</v>
      </c>
      <c r="B17" s="40">
        <v>110</v>
      </c>
      <c r="C17" s="53">
        <v>8452340</v>
      </c>
      <c r="D17" s="53">
        <v>20337590</v>
      </c>
      <c r="E17" s="53">
        <v>3571330</v>
      </c>
      <c r="F17" s="53">
        <v>4249050</v>
      </c>
      <c r="G17" s="53">
        <v>12523770</v>
      </c>
      <c r="H17" s="53">
        <v>7332400</v>
      </c>
      <c r="I17" s="53">
        <v>6366840</v>
      </c>
      <c r="J17" s="53">
        <v>7909800</v>
      </c>
      <c r="K17" s="53">
        <v>11562870</v>
      </c>
      <c r="L17" s="53">
        <v>5032570</v>
      </c>
      <c r="M17" s="53">
        <v>9325800</v>
      </c>
      <c r="N17" s="53">
        <v>15318680</v>
      </c>
      <c r="O17" s="53">
        <v>21411850</v>
      </c>
      <c r="Q17" s="37">
        <f t="shared" si="17"/>
        <v>970</v>
      </c>
      <c r="R17" s="37">
        <f t="shared" si="18"/>
        <v>13620</v>
      </c>
      <c r="S17" s="37">
        <f t="shared" si="16"/>
        <v>3640</v>
      </c>
      <c r="T17" s="37">
        <f t="shared" si="19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2"/>
        <v>3140</v>
      </c>
      <c r="X17" s="37">
        <f t="shared" si="23"/>
        <v>4130</v>
      </c>
      <c r="Y17" s="37">
        <f t="shared" si="24"/>
        <v>5420</v>
      </c>
      <c r="Z17" s="37">
        <f t="shared" si="25"/>
        <v>2420</v>
      </c>
      <c r="AA17" s="37">
        <f t="shared" si="26"/>
        <v>2780</v>
      </c>
      <c r="AB17" s="37">
        <f t="shared" si="27"/>
        <v>6910</v>
      </c>
      <c r="AC17" s="37">
        <f t="shared" si="28"/>
        <v>9140</v>
      </c>
      <c r="AD17" s="35">
        <f t="shared" si="29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0"/>
        <v>310.34999999999997</v>
      </c>
      <c r="AU17" s="60">
        <v>200040</v>
      </c>
      <c r="AV17" s="37">
        <f t="shared" si="31"/>
        <v>2433</v>
      </c>
      <c r="AW17" s="37">
        <f>AV17*100*AV44</f>
        <v>920.99025299999994</v>
      </c>
      <c r="AX17" s="35">
        <f t="shared" si="14"/>
        <v>4.8659999999999997</v>
      </c>
    </row>
    <row r="18" spans="1:50" x14ac:dyDescent="0.25">
      <c r="A18" s="23">
        <v>44816</v>
      </c>
      <c r="B18" s="40">
        <v>116</v>
      </c>
      <c r="C18" s="54">
        <v>8453310</v>
      </c>
      <c r="D18" s="54">
        <v>20351080</v>
      </c>
      <c r="E18" s="54">
        <v>3574920</v>
      </c>
      <c r="F18" s="54">
        <v>4250720</v>
      </c>
      <c r="G18" s="54">
        <v>12528140</v>
      </c>
      <c r="H18" s="54">
        <v>7336540</v>
      </c>
      <c r="I18" s="54">
        <v>6370330</v>
      </c>
      <c r="J18" s="54">
        <v>7914240</v>
      </c>
      <c r="K18" s="54">
        <v>11568390</v>
      </c>
      <c r="L18" s="54">
        <v>5035020</v>
      </c>
      <c r="M18" s="54">
        <v>9328530</v>
      </c>
      <c r="N18" s="54">
        <v>15325440</v>
      </c>
      <c r="O18" s="54">
        <v>21421810</v>
      </c>
      <c r="Q18" s="37">
        <f t="shared" si="17"/>
        <v>970</v>
      </c>
      <c r="R18" s="37">
        <f t="shared" si="18"/>
        <v>13490</v>
      </c>
      <c r="S18" s="37">
        <f t="shared" si="16"/>
        <v>3590</v>
      </c>
      <c r="T18" s="37">
        <f t="shared" si="19"/>
        <v>1670</v>
      </c>
      <c r="U18" s="37">
        <f t="shared" si="20"/>
        <v>4370</v>
      </c>
      <c r="V18" s="37">
        <f t="shared" si="21"/>
        <v>4140</v>
      </c>
      <c r="W18" s="37">
        <f t="shared" si="22"/>
        <v>3490</v>
      </c>
      <c r="X18" s="37">
        <f t="shared" si="23"/>
        <v>4440</v>
      </c>
      <c r="Y18" s="37">
        <f t="shared" si="24"/>
        <v>5520</v>
      </c>
      <c r="Z18" s="37">
        <f t="shared" si="25"/>
        <v>2450</v>
      </c>
      <c r="AA18" s="37">
        <f t="shared" si="26"/>
        <v>2730</v>
      </c>
      <c r="AB18" s="37">
        <f t="shared" si="27"/>
        <v>6760</v>
      </c>
      <c r="AC18" s="37">
        <f t="shared" si="28"/>
        <v>9960</v>
      </c>
      <c r="AD18" s="35">
        <f t="shared" si="29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0"/>
        <v>317.89999999999998</v>
      </c>
      <c r="AU18" s="57">
        <v>202771</v>
      </c>
      <c r="AV18" s="37">
        <f t="shared" si="31"/>
        <v>2731</v>
      </c>
      <c r="AW18" s="37">
        <f>AV18*100*AV44</f>
        <v>1033.7954709999999</v>
      </c>
      <c r="AX18" s="35">
        <f t="shared" si="14"/>
        <v>5.4619999999999997</v>
      </c>
    </row>
    <row r="19" spans="1:50" x14ac:dyDescent="0.25">
      <c r="A19" s="23">
        <v>44817</v>
      </c>
      <c r="B19" s="40">
        <v>71</v>
      </c>
      <c r="C19" s="53">
        <v>8454380</v>
      </c>
      <c r="D19" s="53">
        <v>20366620</v>
      </c>
      <c r="E19" s="53">
        <v>3579120</v>
      </c>
      <c r="F19" s="53">
        <v>4252570</v>
      </c>
      <c r="G19" s="53">
        <v>12532850</v>
      </c>
      <c r="H19" s="53">
        <v>7340870</v>
      </c>
      <c r="I19" s="53">
        <v>6374030</v>
      </c>
      <c r="J19" s="53">
        <v>7918910</v>
      </c>
      <c r="K19" s="53">
        <v>11574280</v>
      </c>
      <c r="L19" s="53">
        <v>5037670</v>
      </c>
      <c r="M19" s="53">
        <v>9331470</v>
      </c>
      <c r="N19" s="53">
        <v>15332890</v>
      </c>
      <c r="O19" s="53">
        <v>21432670</v>
      </c>
      <c r="Q19" s="37">
        <f t="shared" si="17"/>
        <v>1070</v>
      </c>
      <c r="R19" s="37">
        <f t="shared" si="18"/>
        <v>15540</v>
      </c>
      <c r="S19" s="37">
        <f t="shared" si="16"/>
        <v>4200</v>
      </c>
      <c r="T19" s="37">
        <f t="shared" si="19"/>
        <v>1850</v>
      </c>
      <c r="U19" s="37">
        <f t="shared" si="20"/>
        <v>4710</v>
      </c>
      <c r="V19" s="37">
        <f t="shared" si="21"/>
        <v>4330</v>
      </c>
      <c r="W19" s="37">
        <f t="shared" si="22"/>
        <v>3700</v>
      </c>
      <c r="X19" s="37">
        <f t="shared" si="23"/>
        <v>4670</v>
      </c>
      <c r="Y19" s="37">
        <f t="shared" si="24"/>
        <v>5890</v>
      </c>
      <c r="Z19" s="37">
        <f t="shared" si="25"/>
        <v>2650</v>
      </c>
      <c r="AA19" s="37">
        <f t="shared" si="26"/>
        <v>2940</v>
      </c>
      <c r="AB19" s="37">
        <f t="shared" si="27"/>
        <v>7450</v>
      </c>
      <c r="AC19" s="37">
        <f t="shared" si="28"/>
        <v>10860</v>
      </c>
      <c r="AD19" s="35">
        <f t="shared" si="29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0"/>
        <v>349.3</v>
      </c>
      <c r="AU19" s="56">
        <v>204884</v>
      </c>
      <c r="AV19" s="37">
        <f t="shared" si="31"/>
        <v>2113</v>
      </c>
      <c r="AW19" s="37">
        <f>AV19*100*AV44</f>
        <v>799.85713299999998</v>
      </c>
      <c r="AX19" s="35">
        <f t="shared" si="14"/>
        <v>4.226</v>
      </c>
    </row>
    <row r="20" spans="1:50" x14ac:dyDescent="0.25">
      <c r="A20" s="23">
        <v>44818</v>
      </c>
      <c r="B20" s="40">
        <v>76</v>
      </c>
      <c r="C20" s="54">
        <v>8456370</v>
      </c>
      <c r="D20" s="54">
        <v>20381300</v>
      </c>
      <c r="E20" s="54">
        <v>3583130</v>
      </c>
      <c r="F20" s="54">
        <v>4254250</v>
      </c>
      <c r="G20" s="54">
        <v>12537020</v>
      </c>
      <c r="H20" s="54">
        <v>7344930</v>
      </c>
      <c r="I20" s="54">
        <v>6377240</v>
      </c>
      <c r="J20" s="54">
        <v>7923120</v>
      </c>
      <c r="K20" s="54">
        <v>11579690</v>
      </c>
      <c r="L20" s="54">
        <v>5040040</v>
      </c>
      <c r="M20" s="54">
        <v>9334190</v>
      </c>
      <c r="N20" s="54">
        <v>15339530</v>
      </c>
      <c r="O20" s="54">
        <v>21441610</v>
      </c>
      <c r="Q20" s="37">
        <f t="shared" si="17"/>
        <v>1990</v>
      </c>
      <c r="R20" s="37">
        <f t="shared" si="18"/>
        <v>14680</v>
      </c>
      <c r="S20" s="37">
        <f t="shared" si="16"/>
        <v>4010</v>
      </c>
      <c r="T20" s="37">
        <f t="shared" si="19"/>
        <v>1680</v>
      </c>
      <c r="U20" s="37">
        <f t="shared" si="20"/>
        <v>4170</v>
      </c>
      <c r="V20" s="37">
        <f t="shared" si="21"/>
        <v>4060</v>
      </c>
      <c r="W20" s="37">
        <f t="shared" si="22"/>
        <v>3210</v>
      </c>
      <c r="X20" s="37">
        <f t="shared" si="23"/>
        <v>4210</v>
      </c>
      <c r="Y20" s="37">
        <f t="shared" si="24"/>
        <v>5410</v>
      </c>
      <c r="Z20" s="37">
        <f t="shared" si="25"/>
        <v>2370</v>
      </c>
      <c r="AA20" s="37">
        <f t="shared" si="26"/>
        <v>2720</v>
      </c>
      <c r="AB20" s="37">
        <f t="shared" si="27"/>
        <v>6640</v>
      </c>
      <c r="AC20" s="37">
        <f t="shared" si="28"/>
        <v>8940</v>
      </c>
      <c r="AD20" s="35">
        <f t="shared" si="29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0"/>
        <v>320.45000000000005</v>
      </c>
      <c r="AU20" s="57">
        <v>207461</v>
      </c>
      <c r="AV20" s="37">
        <f t="shared" si="31"/>
        <v>2577</v>
      </c>
      <c r="AW20" s="37">
        <f>AV20*100*AV44</f>
        <v>975.50015699999994</v>
      </c>
      <c r="AX20" s="35">
        <f t="shared" si="14"/>
        <v>5.1539999999999999</v>
      </c>
    </row>
    <row r="21" spans="1:50" x14ac:dyDescent="0.25">
      <c r="A21" s="23">
        <v>44819</v>
      </c>
      <c r="B21" s="40">
        <v>101</v>
      </c>
      <c r="C21" s="61">
        <v>8457440</v>
      </c>
      <c r="D21" s="61">
        <v>20396250</v>
      </c>
      <c r="E21" s="61">
        <v>3587080</v>
      </c>
      <c r="F21" s="61">
        <v>4256080</v>
      </c>
      <c r="G21" s="61">
        <v>12541740</v>
      </c>
      <c r="H21" s="61">
        <v>7349340</v>
      </c>
      <c r="I21" s="61">
        <v>6380970</v>
      </c>
      <c r="J21" s="61">
        <v>7927830</v>
      </c>
      <c r="K21" s="61">
        <v>11585880</v>
      </c>
      <c r="L21" s="61">
        <v>5042770</v>
      </c>
      <c r="M21" s="61">
        <v>9337220</v>
      </c>
      <c r="N21" s="61">
        <v>15346980</v>
      </c>
      <c r="O21" s="61">
        <v>21452900</v>
      </c>
      <c r="Q21" s="37">
        <f t="shared" si="17"/>
        <v>1070</v>
      </c>
      <c r="R21" s="37">
        <f t="shared" si="18"/>
        <v>14950</v>
      </c>
      <c r="S21" s="37">
        <f t="shared" si="16"/>
        <v>3950</v>
      </c>
      <c r="T21" s="37">
        <f t="shared" si="19"/>
        <v>1830</v>
      </c>
      <c r="U21" s="37">
        <f t="shared" si="20"/>
        <v>4720</v>
      </c>
      <c r="V21" s="37">
        <f t="shared" si="21"/>
        <v>4410</v>
      </c>
      <c r="W21" s="37">
        <f t="shared" si="22"/>
        <v>3730</v>
      </c>
      <c r="X21" s="37">
        <f t="shared" si="23"/>
        <v>4710</v>
      </c>
      <c r="Y21" s="37">
        <f t="shared" si="24"/>
        <v>6190</v>
      </c>
      <c r="Z21" s="37">
        <f t="shared" si="25"/>
        <v>2730</v>
      </c>
      <c r="AA21" s="37">
        <f t="shared" si="26"/>
        <v>3030</v>
      </c>
      <c r="AB21" s="37">
        <f t="shared" si="27"/>
        <v>7450</v>
      </c>
      <c r="AC21" s="37">
        <f t="shared" si="28"/>
        <v>11290</v>
      </c>
      <c r="AD21" s="35">
        <f t="shared" si="29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0"/>
        <v>350.3</v>
      </c>
      <c r="AU21" s="62" t="s">
        <v>64</v>
      </c>
      <c r="AV21" s="37">
        <f>IF((AU21-AU20&lt;0),"0",AU21-AU20)</f>
        <v>2433</v>
      </c>
      <c r="AW21" s="37">
        <f>AV21*100*AV44</f>
        <v>920.99025299999994</v>
      </c>
      <c r="AX21" s="35">
        <f t="shared" si="14"/>
        <v>4.8659999999999997</v>
      </c>
    </row>
    <row r="22" spans="1:50" x14ac:dyDescent="0.25">
      <c r="A22" s="23">
        <v>44820</v>
      </c>
      <c r="B22" s="40">
        <v>139</v>
      </c>
      <c r="C22" s="58">
        <v>8458280</v>
      </c>
      <c r="D22" s="58">
        <v>20407810</v>
      </c>
      <c r="E22" s="58">
        <v>3590050</v>
      </c>
      <c r="F22" s="58">
        <v>4257490</v>
      </c>
      <c r="G22" s="58">
        <v>12545610</v>
      </c>
      <c r="H22" s="58">
        <v>7353020</v>
      </c>
      <c r="I22" s="58">
        <v>6383890</v>
      </c>
      <c r="J22" s="58">
        <v>7931830</v>
      </c>
      <c r="K22" s="58">
        <v>11590920</v>
      </c>
      <c r="L22" s="58">
        <v>5044980</v>
      </c>
      <c r="M22" s="58">
        <v>9339880</v>
      </c>
      <c r="N22" s="58">
        <v>15352960</v>
      </c>
      <c r="O22" s="58">
        <v>21462840</v>
      </c>
      <c r="Q22" s="37">
        <f t="shared" si="17"/>
        <v>840</v>
      </c>
      <c r="R22" s="37">
        <f t="shared" si="18"/>
        <v>11560</v>
      </c>
      <c r="S22" s="37">
        <f t="shared" si="16"/>
        <v>2970</v>
      </c>
      <c r="T22" s="37">
        <f t="shared" si="19"/>
        <v>1410</v>
      </c>
      <c r="U22" s="37">
        <f t="shared" si="20"/>
        <v>3870</v>
      </c>
      <c r="V22" s="37">
        <f t="shared" si="21"/>
        <v>3680</v>
      </c>
      <c r="W22" s="37">
        <f t="shared" si="22"/>
        <v>2920</v>
      </c>
      <c r="X22" s="37">
        <f t="shared" si="23"/>
        <v>4000</v>
      </c>
      <c r="Y22" s="37">
        <f t="shared" si="24"/>
        <v>5040</v>
      </c>
      <c r="Z22" s="37">
        <f t="shared" si="25"/>
        <v>2210</v>
      </c>
      <c r="AA22" s="37">
        <f t="shared" si="26"/>
        <v>2660</v>
      </c>
      <c r="AB22" s="37">
        <f t="shared" si="27"/>
        <v>5980</v>
      </c>
      <c r="AC22" s="37">
        <f t="shared" si="28"/>
        <v>9940</v>
      </c>
      <c r="AD22" s="35">
        <f t="shared" si="29"/>
        <v>57080</v>
      </c>
      <c r="AF22" s="20">
        <f t="shared" si="1"/>
        <v>4.2</v>
      </c>
      <c r="AG22" s="20">
        <f t="shared" si="2"/>
        <v>57.800000000000004</v>
      </c>
      <c r="AH22" s="20">
        <f t="shared" si="3"/>
        <v>14.85</v>
      </c>
      <c r="AI22" s="20">
        <f t="shared" si="4"/>
        <v>7.05</v>
      </c>
      <c r="AJ22" s="20">
        <f t="shared" si="5"/>
        <v>19.350000000000001</v>
      </c>
      <c r="AK22" s="20">
        <f t="shared" si="6"/>
        <v>18.400000000000002</v>
      </c>
      <c r="AL22" s="20">
        <f t="shared" si="7"/>
        <v>14.6</v>
      </c>
      <c r="AM22" s="20">
        <f t="shared" si="8"/>
        <v>20</v>
      </c>
      <c r="AN22" s="20">
        <f t="shared" si="9"/>
        <v>25.2</v>
      </c>
      <c r="AO22" s="20">
        <f t="shared" si="10"/>
        <v>11.05</v>
      </c>
      <c r="AP22" s="20">
        <f t="shared" si="11"/>
        <v>13.3</v>
      </c>
      <c r="AQ22" s="20">
        <f t="shared" si="12"/>
        <v>29.900000000000002</v>
      </c>
      <c r="AR22" s="20">
        <f t="shared" si="13"/>
        <v>49.7</v>
      </c>
      <c r="AS22" s="35">
        <f t="shared" si="30"/>
        <v>285.40000000000003</v>
      </c>
      <c r="AU22" s="59" t="s">
        <v>65</v>
      </c>
      <c r="AV22" s="37">
        <f>IF((AU22-AU21&lt;0),"0",AU22-AU21)</f>
        <v>2209</v>
      </c>
      <c r="AW22" s="37">
        <f>AV22*100*AV44</f>
        <v>836.19706899999994</v>
      </c>
      <c r="AX22" s="35">
        <f t="shared" si="14"/>
        <v>4.4180000000000001</v>
      </c>
    </row>
    <row r="23" spans="1:50" x14ac:dyDescent="0.25">
      <c r="A23" s="23">
        <v>44821</v>
      </c>
      <c r="B23" s="40">
        <v>74</v>
      </c>
      <c r="C23" s="24">
        <v>8459279</v>
      </c>
      <c r="D23" s="24">
        <v>20421030</v>
      </c>
      <c r="E23" s="24">
        <v>3593410</v>
      </c>
      <c r="F23" s="24">
        <v>4259100</v>
      </c>
      <c r="G23" s="24">
        <v>12550010</v>
      </c>
      <c r="H23" s="24">
        <v>7357180</v>
      </c>
      <c r="I23" s="24">
        <v>6387710</v>
      </c>
      <c r="J23" s="24">
        <v>7936400</v>
      </c>
      <c r="K23" s="24">
        <v>11596610</v>
      </c>
      <c r="L23" s="24">
        <v>5047450</v>
      </c>
      <c r="M23" s="24">
        <v>9342810</v>
      </c>
      <c r="N23" s="24">
        <v>15359920</v>
      </c>
      <c r="O23" s="24">
        <v>21474540</v>
      </c>
      <c r="Q23" s="37">
        <f t="shared" si="17"/>
        <v>999</v>
      </c>
      <c r="R23" s="37">
        <f t="shared" si="18"/>
        <v>13220</v>
      </c>
      <c r="S23" s="37">
        <f t="shared" si="16"/>
        <v>3360</v>
      </c>
      <c r="T23" s="37">
        <f t="shared" si="19"/>
        <v>1610</v>
      </c>
      <c r="U23" s="37">
        <f t="shared" si="20"/>
        <v>4400</v>
      </c>
      <c r="V23" s="37">
        <f t="shared" si="21"/>
        <v>4160</v>
      </c>
      <c r="W23" s="37">
        <f t="shared" si="22"/>
        <v>3820</v>
      </c>
      <c r="X23" s="37">
        <f t="shared" si="23"/>
        <v>4570</v>
      </c>
      <c r="Y23" s="37">
        <f t="shared" si="24"/>
        <v>5690</v>
      </c>
      <c r="Z23" s="37">
        <f t="shared" si="25"/>
        <v>2470</v>
      </c>
      <c r="AA23" s="37">
        <f t="shared" si="26"/>
        <v>2930</v>
      </c>
      <c r="AB23" s="37">
        <f t="shared" si="27"/>
        <v>6960</v>
      </c>
      <c r="AC23" s="37">
        <f t="shared" si="28"/>
        <v>11700</v>
      </c>
      <c r="AD23" s="35">
        <f t="shared" si="29"/>
        <v>65889</v>
      </c>
      <c r="AF23" s="20">
        <f t="shared" si="1"/>
        <v>4.9950000000000001</v>
      </c>
      <c r="AG23" s="20">
        <f t="shared" si="2"/>
        <v>66.099999999999994</v>
      </c>
      <c r="AH23" s="20">
        <f t="shared" si="3"/>
        <v>16.8</v>
      </c>
      <c r="AI23" s="20">
        <f t="shared" si="4"/>
        <v>8.0500000000000007</v>
      </c>
      <c r="AJ23" s="20">
        <f t="shared" si="5"/>
        <v>22</v>
      </c>
      <c r="AK23" s="20">
        <f t="shared" si="6"/>
        <v>20.8</v>
      </c>
      <c r="AL23" s="20">
        <f t="shared" si="7"/>
        <v>19.100000000000001</v>
      </c>
      <c r="AM23" s="20">
        <f t="shared" si="8"/>
        <v>22.85</v>
      </c>
      <c r="AN23" s="20">
        <f t="shared" si="9"/>
        <v>28.45</v>
      </c>
      <c r="AO23" s="20">
        <f t="shared" si="10"/>
        <v>12.35</v>
      </c>
      <c r="AP23" s="20">
        <f t="shared" si="11"/>
        <v>14.65</v>
      </c>
      <c r="AQ23" s="20">
        <f t="shared" si="12"/>
        <v>34.800000000000004</v>
      </c>
      <c r="AR23" s="20">
        <f t="shared" si="13"/>
        <v>58.5</v>
      </c>
      <c r="AS23" s="35">
        <f t="shared" si="30"/>
        <v>329.44499999999999</v>
      </c>
      <c r="AU23" s="55">
        <v>214392</v>
      </c>
      <c r="AV23" s="37">
        <f t="shared" si="31"/>
        <v>2289</v>
      </c>
      <c r="AW23" s="37">
        <f>AV23*100*AV44</f>
        <v>866.48034899999993</v>
      </c>
      <c r="AX23" s="35">
        <f t="shared" si="14"/>
        <v>4.5780000000000003</v>
      </c>
    </row>
    <row r="24" spans="1:50" x14ac:dyDescent="0.25">
      <c r="A24" s="23">
        <v>44822</v>
      </c>
      <c r="B24" s="40">
        <v>86</v>
      </c>
      <c r="C24" s="24">
        <v>8460280</v>
      </c>
      <c r="D24" s="24">
        <v>20434290</v>
      </c>
      <c r="E24" s="24">
        <v>3596740</v>
      </c>
      <c r="F24" s="24">
        <v>4260730</v>
      </c>
      <c r="G24" s="24">
        <v>12554280</v>
      </c>
      <c r="H24" s="24">
        <v>7361430</v>
      </c>
      <c r="I24" s="24">
        <v>6390880</v>
      </c>
      <c r="J24" s="24">
        <v>7940700</v>
      </c>
      <c r="K24" s="24">
        <v>11601930</v>
      </c>
      <c r="L24" s="24">
        <v>5049950</v>
      </c>
      <c r="M24" s="24">
        <v>9345550</v>
      </c>
      <c r="N24" s="24">
        <v>15366960</v>
      </c>
      <c r="O24" s="24">
        <v>21485270</v>
      </c>
      <c r="Q24" s="37">
        <f t="shared" si="17"/>
        <v>1001</v>
      </c>
      <c r="R24" s="37">
        <f t="shared" si="18"/>
        <v>13260</v>
      </c>
      <c r="S24" s="37">
        <f t="shared" si="16"/>
        <v>3330</v>
      </c>
      <c r="T24" s="37">
        <f t="shared" si="19"/>
        <v>1630</v>
      </c>
      <c r="U24" s="37">
        <f t="shared" si="20"/>
        <v>4270</v>
      </c>
      <c r="V24" s="37">
        <f t="shared" si="21"/>
        <v>4250</v>
      </c>
      <c r="W24" s="37">
        <f t="shared" si="22"/>
        <v>3170</v>
      </c>
      <c r="X24" s="37">
        <f t="shared" si="23"/>
        <v>4300</v>
      </c>
      <c r="Y24" s="37">
        <f t="shared" si="24"/>
        <v>5320</v>
      </c>
      <c r="Z24" s="37">
        <f t="shared" si="25"/>
        <v>2500</v>
      </c>
      <c r="AA24" s="37">
        <f t="shared" si="26"/>
        <v>2740</v>
      </c>
      <c r="AB24" s="37">
        <f t="shared" si="27"/>
        <v>7040</v>
      </c>
      <c r="AC24" s="37">
        <f t="shared" si="28"/>
        <v>10730</v>
      </c>
      <c r="AD24" s="35">
        <f t="shared" si="29"/>
        <v>63541</v>
      </c>
      <c r="AF24" s="20">
        <f t="shared" si="1"/>
        <v>5.0049999999999999</v>
      </c>
      <c r="AG24" s="20">
        <f t="shared" si="2"/>
        <v>66.3</v>
      </c>
      <c r="AH24" s="20">
        <f t="shared" si="3"/>
        <v>16.649999999999999</v>
      </c>
      <c r="AI24" s="20">
        <f t="shared" si="4"/>
        <v>8.15</v>
      </c>
      <c r="AJ24" s="20">
        <f t="shared" si="5"/>
        <v>21.35</v>
      </c>
      <c r="AK24" s="20">
        <f t="shared" si="6"/>
        <v>21.25</v>
      </c>
      <c r="AL24" s="20">
        <f t="shared" si="7"/>
        <v>15.85</v>
      </c>
      <c r="AM24" s="20">
        <f t="shared" si="8"/>
        <v>21.5</v>
      </c>
      <c r="AN24" s="20">
        <f t="shared" si="9"/>
        <v>26.6</v>
      </c>
      <c r="AO24" s="20">
        <f t="shared" si="10"/>
        <v>12.5</v>
      </c>
      <c r="AP24" s="20">
        <f t="shared" si="11"/>
        <v>13.700000000000001</v>
      </c>
      <c r="AQ24" s="20">
        <f t="shared" si="12"/>
        <v>35.200000000000003</v>
      </c>
      <c r="AR24" s="20">
        <f t="shared" si="13"/>
        <v>53.65</v>
      </c>
      <c r="AS24" s="35">
        <f t="shared" si="30"/>
        <v>317.70499999999993</v>
      </c>
      <c r="AU24" s="55">
        <v>216674</v>
      </c>
      <c r="AV24" s="37">
        <f t="shared" si="31"/>
        <v>2282</v>
      </c>
      <c r="AW24" s="37">
        <f>AV24*100*AV44</f>
        <v>863.83056199999999</v>
      </c>
      <c r="AX24" s="35">
        <f t="shared" si="14"/>
        <v>4.5640000000000001</v>
      </c>
    </row>
    <row r="25" spans="1:50" x14ac:dyDescent="0.25">
      <c r="A25" s="23">
        <v>44823</v>
      </c>
      <c r="B25" s="40">
        <v>105</v>
      </c>
      <c r="C25" s="24">
        <v>8461260</v>
      </c>
      <c r="D25" s="24">
        <v>20447200</v>
      </c>
      <c r="E25" s="24">
        <v>3599980</v>
      </c>
      <c r="F25" s="24">
        <v>4262330</v>
      </c>
      <c r="G25" s="24">
        <v>12558420</v>
      </c>
      <c r="H25" s="24">
        <v>7365450</v>
      </c>
      <c r="I25" s="24">
        <v>6393860</v>
      </c>
      <c r="J25" s="24">
        <v>7945120</v>
      </c>
      <c r="K25" s="24">
        <v>11607420</v>
      </c>
      <c r="L25" s="24">
        <v>5052330</v>
      </c>
      <c r="M25" s="24">
        <v>9348370</v>
      </c>
      <c r="N25" s="24">
        <v>15373740</v>
      </c>
      <c r="O25" s="24">
        <v>21494940</v>
      </c>
      <c r="Q25" s="37">
        <f t="shared" ref="Q25:AC27" si="33">IF((C25-C24&lt;0), "0",C25-C24)</f>
        <v>980</v>
      </c>
      <c r="R25" s="37">
        <f t="shared" si="18"/>
        <v>12910</v>
      </c>
      <c r="S25" s="37">
        <f t="shared" si="33"/>
        <v>3240</v>
      </c>
      <c r="T25" s="37">
        <f t="shared" si="33"/>
        <v>1600</v>
      </c>
      <c r="U25" s="37">
        <f t="shared" si="33"/>
        <v>4140</v>
      </c>
      <c r="V25" s="37">
        <f t="shared" si="33"/>
        <v>4020</v>
      </c>
      <c r="W25" s="37">
        <f t="shared" si="33"/>
        <v>2980</v>
      </c>
      <c r="X25" s="37">
        <f t="shared" si="33"/>
        <v>4420</v>
      </c>
      <c r="Y25" s="37">
        <f t="shared" si="33"/>
        <v>5490</v>
      </c>
      <c r="Z25" s="37">
        <f t="shared" si="33"/>
        <v>2380</v>
      </c>
      <c r="AA25" s="37">
        <f t="shared" si="33"/>
        <v>2820</v>
      </c>
      <c r="AB25" s="37">
        <f t="shared" si="33"/>
        <v>6780</v>
      </c>
      <c r="AC25" s="37">
        <f t="shared" si="33"/>
        <v>9670</v>
      </c>
      <c r="AD25" s="35">
        <f t="shared" si="29"/>
        <v>61430</v>
      </c>
      <c r="AF25" s="20">
        <f t="shared" si="1"/>
        <v>4.9000000000000004</v>
      </c>
      <c r="AG25" s="20">
        <f t="shared" si="2"/>
        <v>64.55</v>
      </c>
      <c r="AH25" s="20">
        <f t="shared" si="3"/>
        <v>16.2</v>
      </c>
      <c r="AI25" s="20">
        <f t="shared" si="4"/>
        <v>8</v>
      </c>
      <c r="AJ25" s="20">
        <f t="shared" si="5"/>
        <v>20.7</v>
      </c>
      <c r="AK25" s="20">
        <f t="shared" si="6"/>
        <v>20.100000000000001</v>
      </c>
      <c r="AL25" s="20">
        <f t="shared" si="7"/>
        <v>14.9</v>
      </c>
      <c r="AM25" s="20">
        <f t="shared" si="8"/>
        <v>22.1</v>
      </c>
      <c r="AN25" s="20">
        <f t="shared" si="9"/>
        <v>27.45</v>
      </c>
      <c r="AO25" s="20">
        <f t="shared" si="10"/>
        <v>11.9</v>
      </c>
      <c r="AP25" s="20">
        <f t="shared" si="11"/>
        <v>14.1</v>
      </c>
      <c r="AQ25" s="20">
        <f t="shared" si="12"/>
        <v>33.9</v>
      </c>
      <c r="AR25" s="20">
        <f t="shared" si="13"/>
        <v>48.35</v>
      </c>
      <c r="AS25" s="35">
        <f t="shared" si="30"/>
        <v>307.15000000000003</v>
      </c>
      <c r="AU25" s="55">
        <v>216768</v>
      </c>
      <c r="AV25" s="37">
        <f t="shared" si="31"/>
        <v>94</v>
      </c>
      <c r="AW25" s="37">
        <f>AV25*100*AV44</f>
        <v>35.582853999999998</v>
      </c>
      <c r="AX25" s="35">
        <f t="shared" si="14"/>
        <v>0.188</v>
      </c>
    </row>
    <row r="26" spans="1:50" x14ac:dyDescent="0.25">
      <c r="A26" s="23">
        <v>44824</v>
      </c>
      <c r="B26" s="40">
        <v>112</v>
      </c>
      <c r="C26" s="24">
        <v>8462320</v>
      </c>
      <c r="D26" s="24">
        <v>20462090</v>
      </c>
      <c r="E26" s="24">
        <v>3603900</v>
      </c>
      <c r="F26" s="24">
        <v>4264010</v>
      </c>
      <c r="G26" s="24">
        <v>12562790</v>
      </c>
      <c r="H26" s="24">
        <v>7369710</v>
      </c>
      <c r="I26" s="24">
        <v>6397250</v>
      </c>
      <c r="J26" s="24">
        <v>7949630</v>
      </c>
      <c r="K26" s="24">
        <v>11612910</v>
      </c>
      <c r="L26" s="24">
        <v>5054910</v>
      </c>
      <c r="M26" s="24">
        <v>9351250</v>
      </c>
      <c r="N26" s="24">
        <v>15380620</v>
      </c>
      <c r="O26" s="24">
        <v>21504090</v>
      </c>
      <c r="Q26" s="37">
        <f t="shared" si="33"/>
        <v>1060</v>
      </c>
      <c r="R26" s="37">
        <f t="shared" si="18"/>
        <v>14890</v>
      </c>
      <c r="S26" s="37">
        <f t="shared" si="33"/>
        <v>3920</v>
      </c>
      <c r="T26" s="37">
        <f t="shared" si="33"/>
        <v>1680</v>
      </c>
      <c r="U26" s="37">
        <f t="shared" si="33"/>
        <v>4370</v>
      </c>
      <c r="V26" s="37">
        <f t="shared" si="33"/>
        <v>4260</v>
      </c>
      <c r="W26" s="37">
        <f t="shared" si="33"/>
        <v>3390</v>
      </c>
      <c r="X26" s="37">
        <f t="shared" si="33"/>
        <v>4510</v>
      </c>
      <c r="Y26" s="37">
        <f t="shared" si="33"/>
        <v>5490</v>
      </c>
      <c r="Z26" s="37">
        <f t="shared" si="33"/>
        <v>2580</v>
      </c>
      <c r="AA26" s="37">
        <f t="shared" si="33"/>
        <v>2880</v>
      </c>
      <c r="AB26" s="37">
        <f t="shared" si="33"/>
        <v>6880</v>
      </c>
      <c r="AC26" s="37">
        <f t="shared" si="33"/>
        <v>9150</v>
      </c>
      <c r="AD26" s="35">
        <f t="shared" si="29"/>
        <v>65060</v>
      </c>
      <c r="AF26" s="20">
        <f t="shared" si="1"/>
        <v>5.3</v>
      </c>
      <c r="AG26" s="20">
        <f t="shared" si="2"/>
        <v>74.45</v>
      </c>
      <c r="AH26" s="20">
        <f t="shared" si="3"/>
        <v>19.600000000000001</v>
      </c>
      <c r="AI26" s="20">
        <f t="shared" si="4"/>
        <v>8.4</v>
      </c>
      <c r="AJ26" s="20">
        <f t="shared" si="5"/>
        <v>21.85</v>
      </c>
      <c r="AK26" s="20">
        <f t="shared" si="6"/>
        <v>21.3</v>
      </c>
      <c r="AL26" s="20">
        <f t="shared" si="7"/>
        <v>16.95</v>
      </c>
      <c r="AM26" s="20">
        <f t="shared" si="8"/>
        <v>22.55</v>
      </c>
      <c r="AN26" s="20">
        <f t="shared" si="9"/>
        <v>27.45</v>
      </c>
      <c r="AO26" s="20">
        <f t="shared" si="10"/>
        <v>12.9</v>
      </c>
      <c r="AP26" s="20">
        <f t="shared" si="11"/>
        <v>14.4</v>
      </c>
      <c r="AQ26" s="20">
        <f t="shared" si="12"/>
        <v>34.4</v>
      </c>
      <c r="AR26" s="20">
        <f t="shared" si="13"/>
        <v>45.75</v>
      </c>
      <c r="AS26" s="35">
        <f t="shared" si="30"/>
        <v>325.3</v>
      </c>
      <c r="AU26" s="55">
        <v>220859</v>
      </c>
      <c r="AV26" s="37">
        <f t="shared" si="31"/>
        <v>4091</v>
      </c>
      <c r="AW26" s="37">
        <f>AV26*100*AV44</f>
        <v>1548.6112309999999</v>
      </c>
      <c r="AX26" s="35">
        <f t="shared" si="14"/>
        <v>8.1820000000000004</v>
      </c>
    </row>
    <row r="27" spans="1:50" x14ac:dyDescent="0.25">
      <c r="A27" s="23">
        <v>44825</v>
      </c>
      <c r="B27" s="40">
        <v>135</v>
      </c>
      <c r="C27" s="24">
        <v>8464970</v>
      </c>
      <c r="D27" s="24">
        <v>20477620</v>
      </c>
      <c r="E27" s="24">
        <v>3608020</v>
      </c>
      <c r="F27" s="24">
        <v>4265660</v>
      </c>
      <c r="G27" s="24">
        <v>12567250</v>
      </c>
      <c r="H27" s="24">
        <v>7373970</v>
      </c>
      <c r="I27" s="24">
        <v>6400650</v>
      </c>
      <c r="J27" s="24">
        <v>7954240</v>
      </c>
      <c r="K27" s="24">
        <v>11618420</v>
      </c>
      <c r="L27" s="24">
        <v>5057420</v>
      </c>
      <c r="M27" s="24">
        <v>9354080</v>
      </c>
      <c r="N27" s="24">
        <v>15387430</v>
      </c>
      <c r="O27" s="24">
        <v>21512560</v>
      </c>
      <c r="Q27" s="37">
        <f t="shared" si="33"/>
        <v>2650</v>
      </c>
      <c r="R27" s="37">
        <f t="shared" si="18"/>
        <v>15530</v>
      </c>
      <c r="S27" s="37">
        <f t="shared" si="33"/>
        <v>4120</v>
      </c>
      <c r="T27" s="37">
        <f t="shared" si="33"/>
        <v>1650</v>
      </c>
      <c r="U27" s="37">
        <f t="shared" si="33"/>
        <v>4460</v>
      </c>
      <c r="V27" s="37">
        <f t="shared" si="33"/>
        <v>4260</v>
      </c>
      <c r="W27" s="37">
        <f t="shared" si="33"/>
        <v>3400</v>
      </c>
      <c r="X27" s="37">
        <f t="shared" si="33"/>
        <v>4610</v>
      </c>
      <c r="Y27" s="37">
        <f t="shared" si="33"/>
        <v>5510</v>
      </c>
      <c r="Z27" s="37">
        <f t="shared" si="33"/>
        <v>2510</v>
      </c>
      <c r="AA27" s="37">
        <f t="shared" si="33"/>
        <v>2830</v>
      </c>
      <c r="AB27" s="37">
        <f t="shared" si="33"/>
        <v>6810</v>
      </c>
      <c r="AC27" s="37">
        <f t="shared" si="33"/>
        <v>8470</v>
      </c>
      <c r="AD27" s="35">
        <f t="shared" si="29"/>
        <v>66810</v>
      </c>
      <c r="AF27" s="20">
        <f t="shared" si="1"/>
        <v>13.25</v>
      </c>
      <c r="AG27" s="20">
        <f t="shared" si="2"/>
        <v>77.650000000000006</v>
      </c>
      <c r="AH27" s="20">
        <f t="shared" si="3"/>
        <v>20.6</v>
      </c>
      <c r="AI27" s="20">
        <f t="shared" si="4"/>
        <v>8.25</v>
      </c>
      <c r="AJ27" s="20">
        <f t="shared" si="5"/>
        <v>22.3</v>
      </c>
      <c r="AK27" s="20">
        <f t="shared" si="6"/>
        <v>21.3</v>
      </c>
      <c r="AL27" s="20">
        <f t="shared" si="7"/>
        <v>17</v>
      </c>
      <c r="AM27" s="20">
        <f t="shared" si="8"/>
        <v>23.05</v>
      </c>
      <c r="AN27" s="20">
        <f t="shared" si="9"/>
        <v>27.55</v>
      </c>
      <c r="AO27" s="20">
        <f t="shared" si="10"/>
        <v>12.55</v>
      </c>
      <c r="AP27" s="20">
        <f t="shared" si="11"/>
        <v>14.15</v>
      </c>
      <c r="AQ27" s="20">
        <f t="shared" si="12"/>
        <v>34.049999999999997</v>
      </c>
      <c r="AR27" s="20">
        <f t="shared" si="13"/>
        <v>42.35</v>
      </c>
      <c r="AS27" s="35">
        <f t="shared" si="30"/>
        <v>334.05000000000007</v>
      </c>
      <c r="AU27" s="55">
        <v>223057</v>
      </c>
      <c r="AV27" s="37">
        <f>IF((AU27-AU26&lt;0),"0",AU27-AU26)</f>
        <v>2198</v>
      </c>
      <c r="AW27" s="37">
        <f>AV27*100*AV44</f>
        <v>832.03311799999994</v>
      </c>
      <c r="AX27" s="35">
        <f t="shared" si="14"/>
        <v>4.3959999999999999</v>
      </c>
    </row>
    <row r="28" spans="1:50" x14ac:dyDescent="0.25">
      <c r="A28" s="23">
        <v>44826</v>
      </c>
      <c r="B28" s="40">
        <v>155</v>
      </c>
      <c r="C28" s="24">
        <v>8465960</v>
      </c>
      <c r="D28" s="24">
        <v>20491970</v>
      </c>
      <c r="E28" s="24">
        <v>3611770</v>
      </c>
      <c r="F28" s="24">
        <v>4267310</v>
      </c>
      <c r="G28" s="24">
        <v>12571870</v>
      </c>
      <c r="H28" s="24">
        <v>7378250</v>
      </c>
      <c r="I28" s="24">
        <v>6404150</v>
      </c>
      <c r="J28" s="24">
        <v>7958860</v>
      </c>
      <c r="K28" s="24">
        <v>11624070</v>
      </c>
      <c r="L28" s="24">
        <v>5060080</v>
      </c>
      <c r="M28" s="24">
        <v>9357110</v>
      </c>
      <c r="N28" s="24">
        <v>15394530</v>
      </c>
      <c r="O28" s="24">
        <v>21521940</v>
      </c>
      <c r="Q28" s="37">
        <f t="shared" si="17"/>
        <v>990</v>
      </c>
      <c r="R28" s="37">
        <f t="shared" si="18"/>
        <v>14350</v>
      </c>
      <c r="S28" s="37">
        <f t="shared" si="16"/>
        <v>3750</v>
      </c>
      <c r="T28" s="37">
        <f t="shared" si="19"/>
        <v>1650</v>
      </c>
      <c r="U28" s="37">
        <f t="shared" si="20"/>
        <v>4620</v>
      </c>
      <c r="V28" s="37">
        <f t="shared" si="21"/>
        <v>4280</v>
      </c>
      <c r="W28" s="37">
        <f t="shared" si="22"/>
        <v>3500</v>
      </c>
      <c r="X28" s="37">
        <f t="shared" si="23"/>
        <v>4620</v>
      </c>
      <c r="Y28" s="37">
        <f t="shared" si="24"/>
        <v>5650</v>
      </c>
      <c r="Z28" s="37">
        <f t="shared" si="25"/>
        <v>2660</v>
      </c>
      <c r="AA28" s="37">
        <f t="shared" si="26"/>
        <v>3030</v>
      </c>
      <c r="AB28" s="37">
        <f t="shared" si="27"/>
        <v>7100</v>
      </c>
      <c r="AC28" s="37">
        <f t="shared" si="28"/>
        <v>9380</v>
      </c>
      <c r="AD28" s="35">
        <f t="shared" si="29"/>
        <v>65580</v>
      </c>
      <c r="AF28" s="20">
        <f t="shared" si="1"/>
        <v>4.95</v>
      </c>
      <c r="AG28" s="20">
        <f t="shared" si="2"/>
        <v>71.75</v>
      </c>
      <c r="AH28" s="20">
        <f t="shared" si="3"/>
        <v>18.75</v>
      </c>
      <c r="AI28" s="20">
        <f t="shared" si="4"/>
        <v>8.25</v>
      </c>
      <c r="AJ28" s="20">
        <f t="shared" si="5"/>
        <v>23.1</v>
      </c>
      <c r="AK28" s="20">
        <f t="shared" si="6"/>
        <v>21.400000000000002</v>
      </c>
      <c r="AL28" s="20">
        <f t="shared" si="7"/>
        <v>17.5</v>
      </c>
      <c r="AM28" s="20">
        <f t="shared" si="8"/>
        <v>23.1</v>
      </c>
      <c r="AN28" s="20">
        <f t="shared" si="9"/>
        <v>28.25</v>
      </c>
      <c r="AO28" s="20">
        <f t="shared" si="10"/>
        <v>13.3</v>
      </c>
      <c r="AP28" s="20">
        <f t="shared" si="11"/>
        <v>15.15</v>
      </c>
      <c r="AQ28" s="20">
        <f t="shared" si="12"/>
        <v>35.5</v>
      </c>
      <c r="AR28" s="20">
        <f t="shared" si="13"/>
        <v>46.9</v>
      </c>
      <c r="AS28" s="35">
        <f t="shared" si="30"/>
        <v>327.9</v>
      </c>
      <c r="AU28" s="55">
        <v>225508</v>
      </c>
      <c r="AV28" s="37">
        <f>IF((AU28-AU27&lt;0),"0",AU28-AU27)</f>
        <v>2451</v>
      </c>
      <c r="AW28" s="37">
        <f>AV28*100*AV44</f>
        <v>927.803991</v>
      </c>
      <c r="AX28" s="35">
        <f t="shared" si="14"/>
        <v>4.9020000000000001</v>
      </c>
    </row>
    <row r="29" spans="1:50" x14ac:dyDescent="0.25">
      <c r="A29" s="23">
        <v>44827</v>
      </c>
      <c r="B29" s="40">
        <v>176</v>
      </c>
      <c r="C29" s="63" t="s">
        <v>79</v>
      </c>
      <c r="D29" s="63" t="s">
        <v>80</v>
      </c>
      <c r="E29" s="63" t="s">
        <v>81</v>
      </c>
      <c r="F29" s="63" t="s">
        <v>82</v>
      </c>
      <c r="G29" s="63" t="s">
        <v>83</v>
      </c>
      <c r="H29" s="63" t="s">
        <v>84</v>
      </c>
      <c r="I29" s="63" t="s">
        <v>85</v>
      </c>
      <c r="J29" s="63" t="s">
        <v>86</v>
      </c>
      <c r="K29" s="63" t="s">
        <v>87</v>
      </c>
      <c r="L29" s="63" t="s">
        <v>88</v>
      </c>
      <c r="M29" s="63" t="s">
        <v>89</v>
      </c>
      <c r="N29" s="63" t="s">
        <v>90</v>
      </c>
      <c r="O29" s="63" t="s">
        <v>91</v>
      </c>
      <c r="Q29" s="37">
        <f t="shared" si="17"/>
        <v>1150</v>
      </c>
      <c r="R29" s="37">
        <f t="shared" si="18"/>
        <v>15080</v>
      </c>
      <c r="S29" s="37">
        <f t="shared" si="16"/>
        <v>4080</v>
      </c>
      <c r="T29" s="37">
        <f t="shared" si="19"/>
        <v>1640</v>
      </c>
      <c r="U29" s="37">
        <f t="shared" si="20"/>
        <v>4580</v>
      </c>
      <c r="V29" s="37">
        <f t="shared" si="21"/>
        <v>4160</v>
      </c>
      <c r="W29" s="37">
        <f t="shared" si="22"/>
        <v>3580</v>
      </c>
      <c r="X29" s="37">
        <f t="shared" si="23"/>
        <v>4350</v>
      </c>
      <c r="Y29" s="37">
        <f t="shared" si="24"/>
        <v>5620</v>
      </c>
      <c r="Z29" s="37">
        <f t="shared" si="25"/>
        <v>2750</v>
      </c>
      <c r="AA29" s="37">
        <f t="shared" si="26"/>
        <v>3060</v>
      </c>
      <c r="AB29" s="37">
        <f t="shared" si="27"/>
        <v>7000</v>
      </c>
      <c r="AC29" s="37">
        <f t="shared" si="28"/>
        <v>9170</v>
      </c>
      <c r="AD29" s="35">
        <f t="shared" si="29"/>
        <v>66220</v>
      </c>
      <c r="AF29" s="20">
        <f t="shared" si="1"/>
        <v>5.75</v>
      </c>
      <c r="AG29" s="20">
        <f t="shared" si="2"/>
        <v>75.400000000000006</v>
      </c>
      <c r="AH29" s="20">
        <f t="shared" si="3"/>
        <v>20.400000000000002</v>
      </c>
      <c r="AI29" s="20">
        <f t="shared" si="4"/>
        <v>8.1999999999999993</v>
      </c>
      <c r="AJ29" s="20">
        <f t="shared" si="5"/>
        <v>22.900000000000002</v>
      </c>
      <c r="AK29" s="20">
        <f t="shared" si="6"/>
        <v>20.8</v>
      </c>
      <c r="AL29" s="20">
        <f t="shared" si="7"/>
        <v>17.900000000000002</v>
      </c>
      <c r="AM29" s="20">
        <f t="shared" si="8"/>
        <v>21.75</v>
      </c>
      <c r="AN29" s="20">
        <f t="shared" si="9"/>
        <v>28.1</v>
      </c>
      <c r="AO29" s="20">
        <f t="shared" si="10"/>
        <v>13.75</v>
      </c>
      <c r="AP29" s="20">
        <f t="shared" si="11"/>
        <v>15.3</v>
      </c>
      <c r="AQ29" s="20">
        <f t="shared" si="12"/>
        <v>35</v>
      </c>
      <c r="AR29" s="20">
        <f t="shared" si="13"/>
        <v>45.85</v>
      </c>
      <c r="AS29" s="35">
        <f t="shared" si="30"/>
        <v>331.1</v>
      </c>
      <c r="AU29" s="62" t="s">
        <v>92</v>
      </c>
      <c r="AV29" s="37">
        <f>IF((AU29-AU28&lt;0),"0",AU29-AU28)</f>
        <v>2084</v>
      </c>
      <c r="AW29" s="37">
        <f>AV29*100*AV44</f>
        <v>788.87944400000003</v>
      </c>
      <c r="AX29" s="35">
        <f t="shared" si="14"/>
        <v>4.1680000000000001</v>
      </c>
    </row>
    <row r="30" spans="1:50" x14ac:dyDescent="0.25">
      <c r="A30" s="23">
        <v>44828</v>
      </c>
      <c r="B30" s="40">
        <v>98</v>
      </c>
      <c r="C30" s="58" t="s">
        <v>66</v>
      </c>
      <c r="D30" s="58" t="s">
        <v>67</v>
      </c>
      <c r="E30" s="58" t="s">
        <v>68</v>
      </c>
      <c r="F30" s="58" t="s">
        <v>69</v>
      </c>
      <c r="G30" s="58" t="s">
        <v>70</v>
      </c>
      <c r="H30" s="58" t="s">
        <v>71</v>
      </c>
      <c r="I30" s="58" t="s">
        <v>72</v>
      </c>
      <c r="J30" s="58" t="s">
        <v>73</v>
      </c>
      <c r="K30" s="58" t="s">
        <v>74</v>
      </c>
      <c r="L30" s="58" t="s">
        <v>75</v>
      </c>
      <c r="M30" s="58" t="s">
        <v>76</v>
      </c>
      <c r="N30" s="58" t="s">
        <v>77</v>
      </c>
      <c r="O30" s="58" t="s">
        <v>78</v>
      </c>
      <c r="Q30" s="37">
        <f t="shared" si="17"/>
        <v>1010</v>
      </c>
      <c r="R30" s="37">
        <f t="shared" si="18"/>
        <v>13760</v>
      </c>
      <c r="S30" s="37">
        <f t="shared" si="16"/>
        <v>3440</v>
      </c>
      <c r="T30" s="37">
        <f t="shared" si="19"/>
        <v>1690</v>
      </c>
      <c r="U30" s="37">
        <f t="shared" si="20"/>
        <v>4790</v>
      </c>
      <c r="V30" s="37">
        <f t="shared" si="21"/>
        <v>4330</v>
      </c>
      <c r="W30" s="37">
        <f t="shared" si="22"/>
        <v>3420</v>
      </c>
      <c r="X30" s="37">
        <f t="shared" si="23"/>
        <v>4680</v>
      </c>
      <c r="Y30" s="37">
        <f t="shared" si="24"/>
        <v>5960</v>
      </c>
      <c r="Z30" s="37">
        <f t="shared" si="25"/>
        <v>2710</v>
      </c>
      <c r="AA30" s="37">
        <f t="shared" si="26"/>
        <v>3160</v>
      </c>
      <c r="AB30" s="37">
        <f t="shared" si="27"/>
        <v>7220</v>
      </c>
      <c r="AC30" s="37">
        <f t="shared" si="28"/>
        <v>12850</v>
      </c>
      <c r="AD30" s="35">
        <f t="shared" si="29"/>
        <v>69020</v>
      </c>
      <c r="AF30" s="20">
        <f t="shared" si="1"/>
        <v>5.05</v>
      </c>
      <c r="AG30" s="20">
        <f t="shared" si="2"/>
        <v>68.8</v>
      </c>
      <c r="AH30" s="20">
        <f t="shared" si="3"/>
        <v>17.2</v>
      </c>
      <c r="AI30" s="20">
        <f t="shared" si="4"/>
        <v>8.4499999999999993</v>
      </c>
      <c r="AJ30" s="20">
        <f t="shared" si="5"/>
        <v>23.95</v>
      </c>
      <c r="AK30" s="20">
        <f t="shared" si="6"/>
        <v>21.650000000000002</v>
      </c>
      <c r="AL30" s="20">
        <f t="shared" si="7"/>
        <v>17.100000000000001</v>
      </c>
      <c r="AM30" s="20">
        <f t="shared" si="8"/>
        <v>23.400000000000002</v>
      </c>
      <c r="AN30" s="20">
        <f t="shared" si="9"/>
        <v>29.8</v>
      </c>
      <c r="AO30" s="20">
        <f t="shared" si="10"/>
        <v>13.55</v>
      </c>
      <c r="AP30" s="20">
        <f t="shared" si="11"/>
        <v>15.8</v>
      </c>
      <c r="AQ30" s="20">
        <f t="shared" si="12"/>
        <v>36.1</v>
      </c>
      <c r="AR30" s="20">
        <f t="shared" si="13"/>
        <v>64.25</v>
      </c>
      <c r="AS30" s="35">
        <f t="shared" si="30"/>
        <v>345.1</v>
      </c>
      <c r="AU30" s="64" t="s">
        <v>93</v>
      </c>
      <c r="AV30" s="37">
        <f t="shared" ref="AV30:AV36" si="34">IF((AU30-AU29&lt;0),"0",AU30-AU29)</f>
        <v>1782</v>
      </c>
      <c r="AW30" s="37">
        <f>AV30*100*AV44</f>
        <v>674.56006200000002</v>
      </c>
      <c r="AX30" s="35">
        <f t="shared" si="14"/>
        <v>3.5640000000000001</v>
      </c>
    </row>
    <row r="31" spans="1:50" x14ac:dyDescent="0.25">
      <c r="A31" s="23">
        <v>44829</v>
      </c>
      <c r="B31" s="40">
        <v>121</v>
      </c>
      <c r="C31" s="24">
        <v>8469120</v>
      </c>
      <c r="D31" s="53">
        <v>20533960</v>
      </c>
      <c r="E31" s="53">
        <v>3622570</v>
      </c>
      <c r="F31" s="53">
        <v>4272280</v>
      </c>
      <c r="G31" s="53">
        <v>12585820</v>
      </c>
      <c r="H31" s="53">
        <v>7390820</v>
      </c>
      <c r="I31" s="53">
        <v>6414380</v>
      </c>
      <c r="J31" s="53">
        <v>7972130</v>
      </c>
      <c r="K31" s="53">
        <v>11641010</v>
      </c>
      <c r="L31" s="53">
        <v>5068080</v>
      </c>
      <c r="M31" s="53">
        <v>9366280</v>
      </c>
      <c r="N31" s="53">
        <v>15415640</v>
      </c>
      <c r="O31" s="53">
        <v>21556640</v>
      </c>
      <c r="Q31" s="37">
        <f>IF((C31-C30&lt;0), "0",C31-C30)</f>
        <v>1000</v>
      </c>
      <c r="R31" s="37">
        <f t="shared" si="18"/>
        <v>13150</v>
      </c>
      <c r="S31" s="37">
        <f t="shared" si="16"/>
        <v>3280</v>
      </c>
      <c r="T31" s="37">
        <f t="shared" si="19"/>
        <v>1640</v>
      </c>
      <c r="U31" s="37">
        <f t="shared" si="20"/>
        <v>4580</v>
      </c>
      <c r="V31" s="37">
        <f t="shared" si="21"/>
        <v>4080</v>
      </c>
      <c r="W31" s="37">
        <f t="shared" si="22"/>
        <v>3230</v>
      </c>
      <c r="X31" s="37">
        <f t="shared" si="23"/>
        <v>4240</v>
      </c>
      <c r="Y31" s="37">
        <f t="shared" si="24"/>
        <v>5360</v>
      </c>
      <c r="Z31" s="37">
        <f t="shared" si="25"/>
        <v>2540</v>
      </c>
      <c r="AA31" s="37">
        <f t="shared" si="26"/>
        <v>2950</v>
      </c>
      <c r="AB31" s="37">
        <f t="shared" si="27"/>
        <v>6890</v>
      </c>
      <c r="AC31" s="37">
        <f t="shared" si="28"/>
        <v>12680</v>
      </c>
      <c r="AD31" s="35">
        <f t="shared" si="29"/>
        <v>65620</v>
      </c>
      <c r="AF31" s="20">
        <f t="shared" si="1"/>
        <v>5</v>
      </c>
      <c r="AG31" s="20">
        <f t="shared" si="2"/>
        <v>65.75</v>
      </c>
      <c r="AH31" s="20">
        <f t="shared" si="3"/>
        <v>16.399999999999999</v>
      </c>
      <c r="AI31" s="20">
        <f t="shared" si="4"/>
        <v>8.1999999999999993</v>
      </c>
      <c r="AJ31" s="20">
        <f t="shared" si="5"/>
        <v>22.900000000000002</v>
      </c>
      <c r="AK31" s="20">
        <f t="shared" si="6"/>
        <v>20.400000000000002</v>
      </c>
      <c r="AL31" s="20">
        <f t="shared" si="7"/>
        <v>16.149999999999999</v>
      </c>
      <c r="AM31" s="20">
        <f t="shared" si="8"/>
        <v>21.2</v>
      </c>
      <c r="AN31" s="20">
        <f t="shared" si="9"/>
        <v>26.8</v>
      </c>
      <c r="AO31" s="20">
        <f t="shared" si="10"/>
        <v>12.700000000000001</v>
      </c>
      <c r="AP31" s="20">
        <f t="shared" si="11"/>
        <v>14.75</v>
      </c>
      <c r="AQ31" s="20">
        <f t="shared" si="12"/>
        <v>34.450000000000003</v>
      </c>
      <c r="AR31" s="20">
        <f t="shared" si="13"/>
        <v>63.4</v>
      </c>
      <c r="AS31" s="35">
        <f t="shared" si="30"/>
        <v>328.09999999999997</v>
      </c>
      <c r="AU31" s="56">
        <v>230861</v>
      </c>
      <c r="AV31" s="37">
        <f t="shared" si="34"/>
        <v>1487</v>
      </c>
      <c r="AW31" s="37">
        <f>AV31*100*AV44</f>
        <v>562.89046699999994</v>
      </c>
      <c r="AX31" s="35">
        <f t="shared" si="14"/>
        <v>2.9740000000000002</v>
      </c>
    </row>
    <row r="32" spans="1:50" x14ac:dyDescent="0.25">
      <c r="A32" s="23">
        <v>44830</v>
      </c>
      <c r="B32" s="40"/>
      <c r="C32" s="2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7"/>
      <c r="AV32" s="37" t="str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44831</v>
      </c>
      <c r="B33" s="40"/>
      <c r="C33" s="24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6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44832</v>
      </c>
      <c r="B34" s="49"/>
      <c r="C34" s="48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44833</v>
      </c>
      <c r="B35" s="40"/>
      <c r="C35" s="24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6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44834</v>
      </c>
      <c r="B36" s="40"/>
      <c r="C36" s="24"/>
      <c r="D36" s="24"/>
      <c r="E36" s="24"/>
      <c r="F36" s="24"/>
      <c r="G36" s="24"/>
      <c r="H36" s="24"/>
      <c r="I36" s="24"/>
      <c r="J36" s="50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6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60150</v>
      </c>
      <c r="R38" s="38">
        <f t="shared" ref="R38:AD38" si="60">SUM(R7:R37)</f>
        <v>355410</v>
      </c>
      <c r="S38" s="38">
        <f t="shared" si="60"/>
        <v>93400</v>
      </c>
      <c r="T38" s="38">
        <f t="shared" si="60"/>
        <v>41730</v>
      </c>
      <c r="U38" s="38">
        <f t="shared" si="60"/>
        <v>110290</v>
      </c>
      <c r="V38" s="38">
        <f t="shared" si="60"/>
        <v>104190</v>
      </c>
      <c r="W38" s="38">
        <f t="shared" si="60"/>
        <v>82440</v>
      </c>
      <c r="X38" s="38">
        <f t="shared" si="60"/>
        <v>109450</v>
      </c>
      <c r="Y38" s="38">
        <f t="shared" si="60"/>
        <v>139130</v>
      </c>
      <c r="Z38" s="38">
        <f t="shared" si="60"/>
        <v>62420</v>
      </c>
      <c r="AA38" s="38">
        <f t="shared" si="60"/>
        <v>71830</v>
      </c>
      <c r="AB38" s="38">
        <f t="shared" si="60"/>
        <v>174190</v>
      </c>
      <c r="AC38" s="38">
        <f t="shared" si="60"/>
        <v>245890</v>
      </c>
      <c r="AD38" s="38">
        <f t="shared" si="60"/>
        <v>1650520</v>
      </c>
      <c r="AF38" s="35">
        <f>SUM(AF7:AF37)</f>
        <v>300.75</v>
      </c>
      <c r="AG38" s="35">
        <f t="shared" ref="AG38:AS38" si="61">SUM(AG7:AG37)</f>
        <v>1777.05</v>
      </c>
      <c r="AH38" s="35">
        <f t="shared" si="61"/>
        <v>466.99999999999994</v>
      </c>
      <c r="AI38" s="35">
        <f t="shared" si="61"/>
        <v>208.65</v>
      </c>
      <c r="AJ38" s="35">
        <f t="shared" si="61"/>
        <v>551.45000000000016</v>
      </c>
      <c r="AK38" s="35">
        <f t="shared" si="61"/>
        <v>520.95000000000005</v>
      </c>
      <c r="AL38" s="35">
        <f t="shared" si="61"/>
        <v>412.2</v>
      </c>
      <c r="AM38" s="35">
        <f t="shared" si="61"/>
        <v>547.25000000000023</v>
      </c>
      <c r="AN38" s="35">
        <f t="shared" si="61"/>
        <v>695.65</v>
      </c>
      <c r="AO38" s="35">
        <f t="shared" si="61"/>
        <v>312.10000000000002</v>
      </c>
      <c r="AP38" s="35">
        <f t="shared" si="61"/>
        <v>359.15</v>
      </c>
      <c r="AQ38" s="35">
        <f t="shared" si="61"/>
        <v>870.94999999999993</v>
      </c>
      <c r="AR38" s="35">
        <f t="shared" si="61"/>
        <v>1229.45</v>
      </c>
      <c r="AS38" s="35">
        <f t="shared" si="61"/>
        <v>8252.6</v>
      </c>
      <c r="AU38" s="47"/>
      <c r="AV38" s="34">
        <f>SUM(AV7:AV37)</f>
        <v>55466</v>
      </c>
      <c r="AW38" s="34">
        <f>SUM(AW7:AW37)</f>
        <v>20996.155105999998</v>
      </c>
      <c r="AX38" s="35">
        <f>SUM(AX7:AX37)</f>
        <v>110.932</v>
      </c>
    </row>
    <row r="39" spans="1:50" x14ac:dyDescent="0.25">
      <c r="B39" s="39">
        <f>SUM(B7:B36)</f>
        <v>2615</v>
      </c>
      <c r="D39">
        <v>5.0000000000000001E-3</v>
      </c>
      <c r="AV39" s="36"/>
      <c r="AW39" s="52">
        <f>AW38/31</f>
        <v>677.29532599999993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 AU21:AU22 C29:O30 AU29:AU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2022-09-26T09:11:31Z</dcterms:modified>
</cp:coreProperties>
</file>