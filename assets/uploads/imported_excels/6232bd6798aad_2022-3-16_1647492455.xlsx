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ABS_Engineering_O365-FSENG-Admin/Shared Documents/FSENG-Admin/FSENG/HEP/"/>
    </mc:Choice>
  </mc:AlternateContent>
  <bookViews>
    <workbookView xWindow="0" yWindow="0" windowWidth="28800" windowHeight="12000"/>
  </bookViews>
  <sheets>
    <sheet name="Waste 2022" sheetId="2" r:id="rId1"/>
    <sheet name="Waste 2021" sheetId="1" r:id="rId2"/>
    <sheet name="Waste 2020" sheetId="3" r:id="rId3"/>
    <sheet name="Waste 2019" sheetId="4" r:id="rId4"/>
    <sheet name="Waste 2018" sheetId="5" r:id="rId5"/>
    <sheet name="Waste 2017" sheetId="6" r:id="rId6"/>
    <sheet name="Waste 2016" sheetId="7" r:id="rId7"/>
  </sheets>
  <definedNames>
    <definedName name="_xlnm.Print_Area" localSheetId="2">'Waste 2020'!$A$1:$O$14</definedName>
    <definedName name="_xlnm.Print_Area" localSheetId="1">'Waste 2021'!$A$1:$O$14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7" l="1"/>
  <c r="F13" i="7"/>
  <c r="D12" i="7" l="1"/>
  <c r="D11" i="7"/>
  <c r="D10" i="7"/>
  <c r="D9" i="7"/>
  <c r="D8" i="7"/>
  <c r="D7" i="7"/>
  <c r="D6" i="7"/>
  <c r="M11" i="7"/>
  <c r="J9" i="7"/>
  <c r="J8" i="7"/>
  <c r="J14" i="7" s="1"/>
  <c r="H11" i="7"/>
  <c r="H9" i="7"/>
  <c r="H14" i="7" s="1"/>
  <c r="H8" i="7"/>
  <c r="F11" i="7"/>
  <c r="F10" i="7"/>
  <c r="F9" i="7"/>
  <c r="F8" i="7"/>
  <c r="E14" i="7"/>
  <c r="O14" i="5"/>
  <c r="N14" i="5"/>
  <c r="M14" i="5"/>
  <c r="L14" i="5"/>
  <c r="K14" i="5"/>
  <c r="J14" i="5"/>
  <c r="H14" i="5"/>
  <c r="I14" i="5"/>
  <c r="G14" i="5"/>
  <c r="E14" i="5"/>
  <c r="F14" i="5"/>
  <c r="D14" i="5"/>
  <c r="P5" i="4"/>
  <c r="E14" i="6"/>
  <c r="G6" i="6"/>
  <c r="E6" i="6"/>
  <c r="G7" i="6"/>
  <c r="E7" i="6"/>
  <c r="G8" i="6"/>
  <c r="E8" i="6"/>
  <c r="I9" i="6"/>
  <c r="G9" i="6"/>
  <c r="E9" i="6"/>
  <c r="E10" i="6"/>
  <c r="E11" i="6"/>
  <c r="K12" i="6"/>
  <c r="G12" i="6"/>
  <c r="E12" i="6"/>
  <c r="G13" i="6"/>
  <c r="E13" i="6"/>
  <c r="O3" i="5"/>
  <c r="I3" i="5"/>
  <c r="G3" i="5"/>
  <c r="M6" i="7"/>
  <c r="G6" i="7"/>
  <c r="G14" i="7" s="1"/>
  <c r="F6" i="7"/>
  <c r="M7" i="7"/>
  <c r="K7" i="7"/>
  <c r="J7" i="7"/>
  <c r="G7" i="7"/>
  <c r="F7" i="7"/>
  <c r="F14" i="7" s="1"/>
  <c r="E7" i="7"/>
  <c r="E11" i="7"/>
  <c r="M12" i="7"/>
  <c r="G12" i="7"/>
  <c r="F12" i="7"/>
  <c r="E12" i="7"/>
  <c r="E13" i="7"/>
  <c r="O14" i="7"/>
  <c r="N14" i="7"/>
  <c r="L14" i="7"/>
  <c r="I14" i="7"/>
  <c r="K14" i="7"/>
  <c r="D14" i="7"/>
  <c r="M2" i="6"/>
  <c r="K2" i="6"/>
  <c r="G2" i="6"/>
  <c r="E2" i="6"/>
  <c r="M3" i="6"/>
  <c r="K3" i="6"/>
  <c r="G3" i="6"/>
  <c r="E3" i="6"/>
  <c r="M4" i="6"/>
  <c r="K4" i="6"/>
  <c r="G4" i="6"/>
  <c r="E4" i="6"/>
  <c r="G5" i="6"/>
  <c r="E5" i="6"/>
  <c r="M14" i="7" l="1"/>
  <c r="S14" i="4"/>
  <c r="Q14" i="4"/>
  <c r="O14" i="4"/>
  <c r="M14" i="4"/>
  <c r="K14" i="4"/>
  <c r="I14" i="4"/>
  <c r="G14" i="4"/>
  <c r="D13" i="6" l="1"/>
  <c r="D12" i="6"/>
  <c r="D11" i="6"/>
  <c r="D10" i="6"/>
  <c r="D9" i="6"/>
  <c r="D8" i="6"/>
  <c r="D7" i="6"/>
  <c r="D6" i="6"/>
  <c r="D5" i="6"/>
  <c r="D4" i="6"/>
  <c r="D3" i="6"/>
  <c r="D2" i="6"/>
  <c r="G14" i="6"/>
  <c r="M14" i="6"/>
  <c r="L14" i="6"/>
  <c r="K14" i="6"/>
  <c r="J14" i="6"/>
  <c r="I14" i="6"/>
  <c r="H14" i="6"/>
  <c r="N14" i="6"/>
  <c r="O14" i="6"/>
  <c r="M13" i="6"/>
  <c r="M12" i="6"/>
  <c r="D14" i="6" l="1"/>
  <c r="J12" i="6" l="1"/>
  <c r="J6" i="6"/>
  <c r="J4" i="6"/>
  <c r="J3" i="6"/>
  <c r="J2" i="6"/>
  <c r="H9" i="6"/>
  <c r="F14" i="6"/>
  <c r="F13" i="6"/>
  <c r="F12" i="6"/>
  <c r="F9" i="6"/>
  <c r="F8" i="6"/>
  <c r="F7" i="6"/>
  <c r="F6" i="6"/>
  <c r="F5" i="6"/>
  <c r="F4" i="6"/>
  <c r="F3" i="6"/>
  <c r="F2" i="6"/>
  <c r="M11" i="6"/>
  <c r="G11" i="6"/>
  <c r="F11" i="6"/>
  <c r="M10" i="6"/>
  <c r="J10" i="6"/>
  <c r="F10" i="6"/>
  <c r="K10" i="6"/>
  <c r="G10" i="6"/>
  <c r="G2" i="5"/>
  <c r="E9" i="5" l="1"/>
  <c r="E10" i="5"/>
  <c r="E11" i="5"/>
  <c r="E12" i="5"/>
  <c r="E13" i="5"/>
  <c r="E4" i="4"/>
  <c r="E7" i="4"/>
  <c r="E6" i="4"/>
  <c r="E5" i="4"/>
  <c r="E3" i="4"/>
  <c r="E2" i="4"/>
  <c r="L12" i="4" l="1"/>
  <c r="E13" i="4"/>
  <c r="E12" i="4"/>
  <c r="E11" i="4"/>
  <c r="L14" i="4"/>
  <c r="E10" i="4"/>
  <c r="E9" i="4"/>
  <c r="E8" i="4"/>
  <c r="O14" i="3"/>
  <c r="M14" i="3"/>
  <c r="K14" i="3"/>
  <c r="I14" i="3"/>
  <c r="G14" i="3"/>
  <c r="E14" i="4" l="1"/>
  <c r="M12" i="3"/>
  <c r="L12" i="3"/>
  <c r="I11" i="3"/>
  <c r="G11" i="3"/>
  <c r="I10" i="3"/>
  <c r="G10" i="3"/>
  <c r="I9" i="3"/>
  <c r="G9" i="3"/>
  <c r="I8" i="3"/>
  <c r="G8" i="3"/>
  <c r="M8" i="3"/>
  <c r="L8" i="3"/>
  <c r="I7" i="3"/>
  <c r="G7" i="3"/>
  <c r="O4" i="3"/>
  <c r="K4" i="3"/>
  <c r="G4" i="3"/>
  <c r="I5" i="3"/>
  <c r="G5" i="3"/>
  <c r="M4" i="3"/>
  <c r="L4" i="3"/>
  <c r="M3" i="3"/>
  <c r="L3" i="3"/>
  <c r="O3" i="3"/>
  <c r="I3" i="3"/>
  <c r="K3" i="3"/>
  <c r="G3" i="3"/>
  <c r="M2" i="3"/>
  <c r="L2" i="3"/>
  <c r="I2" i="3"/>
  <c r="K2" i="3"/>
  <c r="G2" i="3"/>
  <c r="N14" i="3"/>
  <c r="J14" i="3"/>
  <c r="H14" i="3"/>
  <c r="F14" i="3"/>
  <c r="E14" i="3"/>
  <c r="D14" i="3"/>
  <c r="E12" i="3"/>
  <c r="E11" i="3"/>
  <c r="E10" i="3"/>
  <c r="E9" i="3"/>
  <c r="E8" i="3"/>
  <c r="E7" i="3"/>
  <c r="E6" i="3"/>
  <c r="E5" i="3"/>
  <c r="E4" i="3"/>
  <c r="E3" i="3"/>
  <c r="E2" i="3"/>
  <c r="E14" i="2"/>
  <c r="E3" i="2"/>
  <c r="E2" i="2"/>
  <c r="O14" i="2"/>
  <c r="M14" i="2"/>
  <c r="K14" i="2"/>
  <c r="I14" i="2"/>
  <c r="G14" i="2"/>
  <c r="N14" i="2"/>
  <c r="L14" i="2"/>
  <c r="J14" i="2"/>
  <c r="H14" i="2"/>
  <c r="F14" i="2"/>
  <c r="D14" i="2"/>
  <c r="O14" i="1"/>
  <c r="M14" i="1"/>
  <c r="K14" i="1"/>
  <c r="I14" i="1"/>
  <c r="G14" i="1"/>
  <c r="E14" i="1"/>
  <c r="N14" i="1"/>
  <c r="L14" i="1"/>
  <c r="J14" i="1"/>
  <c r="H14" i="1"/>
  <c r="F14" i="1"/>
  <c r="D14" i="1"/>
  <c r="E13" i="1"/>
  <c r="E12" i="1"/>
  <c r="E11" i="1"/>
  <c r="E10" i="1"/>
  <c r="E9" i="1"/>
  <c r="E8" i="1"/>
  <c r="E7" i="1"/>
  <c r="E6" i="1"/>
  <c r="E5" i="1"/>
  <c r="E4" i="1"/>
  <c r="E3" i="1"/>
  <c r="E2" i="1"/>
  <c r="E13" i="3"/>
  <c r="D13" i="5"/>
  <c r="D12" i="5"/>
  <c r="D11" i="5"/>
  <c r="D10" i="5"/>
  <c r="D9" i="5"/>
  <c r="D8" i="5"/>
  <c r="D7" i="5"/>
  <c r="D6" i="5"/>
  <c r="D5" i="5"/>
  <c r="D4" i="5"/>
  <c r="D3" i="5"/>
  <c r="D2" i="5"/>
  <c r="L9" i="5"/>
  <c r="L6" i="5"/>
  <c r="L5" i="5"/>
  <c r="L3" i="5"/>
  <c r="L2" i="5"/>
  <c r="N3" i="5"/>
  <c r="H12" i="5"/>
  <c r="H11" i="5"/>
  <c r="H9" i="5"/>
  <c r="H8" i="5"/>
  <c r="H7" i="5"/>
  <c r="H6" i="5"/>
  <c r="H5" i="5"/>
  <c r="H4" i="5"/>
  <c r="H3" i="5"/>
  <c r="J13" i="5"/>
  <c r="J12" i="5"/>
  <c r="J10" i="5"/>
  <c r="J9" i="5"/>
  <c r="J8" i="5"/>
  <c r="J7" i="5"/>
  <c r="J6" i="5"/>
  <c r="J5" i="5"/>
  <c r="J4" i="5"/>
  <c r="F13" i="5"/>
  <c r="F12" i="5"/>
  <c r="F11" i="5"/>
  <c r="F10" i="5"/>
  <c r="F9" i="5"/>
  <c r="F8" i="5"/>
  <c r="F7" i="5"/>
  <c r="F6" i="5"/>
  <c r="F5" i="5"/>
  <c r="F4" i="5"/>
  <c r="F3" i="5"/>
  <c r="F2" i="5"/>
  <c r="D13" i="4"/>
  <c r="D12" i="4"/>
  <c r="D11" i="4"/>
  <c r="D10" i="4"/>
  <c r="D9" i="4"/>
  <c r="D8" i="4"/>
  <c r="D7" i="4"/>
  <c r="D6" i="4"/>
  <c r="D5" i="4"/>
  <c r="D4" i="4"/>
  <c r="D3" i="4"/>
  <c r="D2" i="4"/>
  <c r="R2" i="4"/>
  <c r="R14" i="4" s="1"/>
  <c r="N5" i="4"/>
  <c r="N14" i="4" s="1"/>
  <c r="P14" i="4"/>
  <c r="H13" i="4"/>
  <c r="H11" i="4"/>
  <c r="H10" i="4"/>
  <c r="H9" i="4"/>
  <c r="H6" i="4"/>
  <c r="H4" i="4"/>
  <c r="H2" i="4"/>
  <c r="J12" i="4"/>
  <c r="J9" i="4"/>
  <c r="J6" i="4"/>
  <c r="J5" i="4"/>
  <c r="J3" i="4"/>
  <c r="J2" i="4"/>
  <c r="F13" i="4"/>
  <c r="F12" i="4"/>
  <c r="F11" i="4"/>
  <c r="F10" i="4"/>
  <c r="F9" i="4"/>
  <c r="F8" i="4"/>
  <c r="F7" i="4"/>
  <c r="F6" i="4"/>
  <c r="F5" i="4"/>
  <c r="F4" i="4"/>
  <c r="F3" i="4"/>
  <c r="F2" i="4"/>
  <c r="D11" i="3"/>
  <c r="D10" i="3"/>
  <c r="D9" i="3"/>
  <c r="D8" i="3"/>
  <c r="D7" i="3"/>
  <c r="D6" i="3"/>
  <c r="D5" i="3"/>
  <c r="D4" i="3"/>
  <c r="D3" i="3"/>
  <c r="D2" i="3"/>
  <c r="N8" i="3"/>
  <c r="N7" i="3"/>
  <c r="N4" i="3"/>
  <c r="N3" i="3"/>
  <c r="H11" i="3"/>
  <c r="H10" i="3"/>
  <c r="H9" i="3"/>
  <c r="H8" i="3"/>
  <c r="H7" i="3"/>
  <c r="H5" i="3"/>
  <c r="H3" i="3"/>
  <c r="H2" i="3"/>
  <c r="J8" i="3"/>
  <c r="J7" i="3"/>
  <c r="J4" i="3"/>
  <c r="J3" i="3"/>
  <c r="J2" i="3"/>
  <c r="F11" i="3"/>
  <c r="F10" i="3"/>
  <c r="F9" i="3"/>
  <c r="F8" i="3"/>
  <c r="F7" i="3"/>
  <c r="F5" i="3"/>
  <c r="F4" i="3"/>
  <c r="F3" i="3"/>
  <c r="F2" i="3"/>
  <c r="H12" i="3"/>
  <c r="F12" i="3"/>
  <c r="D12" i="3"/>
  <c r="F14" i="4" l="1"/>
  <c r="J14" i="4"/>
  <c r="D14" i="4"/>
  <c r="H14" i="4"/>
  <c r="L14" i="3"/>
</calcChain>
</file>

<file path=xl/comments1.xml><?xml version="1.0" encoding="utf-8"?>
<comments xmlns="http://schemas.openxmlformats.org/spreadsheetml/2006/main">
  <authors>
    <author>Janet Perona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Alphamed Rebates are 50% of the amount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Dulsco started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<sst xmlns="http://schemas.openxmlformats.org/spreadsheetml/2006/main" count="200" uniqueCount="21">
  <si>
    <t>Site Name</t>
  </si>
  <si>
    <t>Month</t>
  </si>
  <si>
    <t>Year</t>
  </si>
  <si>
    <t>Abu Dhabi</t>
  </si>
  <si>
    <t xml:space="preserve">Total (in Kgs) Garbage waste </t>
  </si>
  <si>
    <t>Total (in Kgs)  Cardboard</t>
  </si>
  <si>
    <t>Total (in Kgs)  Plastic</t>
  </si>
  <si>
    <t>Total (in Kgs)  Paper</t>
  </si>
  <si>
    <t>Total (in Kgs) Metal</t>
  </si>
  <si>
    <t>Total cost (AED) Garbage waste</t>
  </si>
  <si>
    <t>Total cost (AED) Cardboard</t>
  </si>
  <si>
    <t>Total cost (AED) Plastic</t>
  </si>
  <si>
    <t>Total cost (AED) Paper</t>
  </si>
  <si>
    <t>Total cost (AED) Used Cooking Oil</t>
  </si>
  <si>
    <t>Total cost (AED) Metal</t>
  </si>
  <si>
    <t>Total (in L)  Used Cooking Oil</t>
  </si>
  <si>
    <t>Total (in Kgs) Engine Oil</t>
  </si>
  <si>
    <t>Total cost (AED) Engine Oil</t>
  </si>
  <si>
    <t>TOTAL</t>
  </si>
  <si>
    <t>Total cost (AED) Can</t>
  </si>
  <si>
    <t>Total (in Kgs)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</si>
</sst>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0" borderId="9" xfId="0" applyNumberForma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3" fontId="4" fillId="3" borderId="14" xfId="0" applyNumberFormat="1" applyFont="1" applyFill="1" applyBorder="1" applyAlignment="1">
      <alignment horizontal="center" vertical="center"/>
    </xf>
    <xf numFmtId="164" fontId="0" fillId="0" borderId="0" xfId="0" applyNumberFormat="1"/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wrapText="1"/>
    </xf>
    <xf numFmtId="2" fontId="1" fillId="0" borderId="15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0" borderId="6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4" fontId="0" fillId="0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0" xfId="0" applyFill="1"/>
    <xf numFmtId="4" fontId="4" fillId="0" borderId="3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H28" sqref="H28"/>
    </sheetView>
  </sheetViews>
  <sheetFormatPr defaultRowHeight="15" x14ac:dyDescent="0.25"/>
  <cols>
    <col min="1" max="1" width="14.42578125" style="1" customWidth="1"/>
    <col min="2" max="2" width="12.42578125" style="1" customWidth="1"/>
    <col min="3" max="3" width="9.140625" style="1"/>
    <col min="4" max="4" width="19" style="1" customWidth="1"/>
    <col min="5" max="5" width="15.28515625" style="1" customWidth="1"/>
    <col min="6" max="6" width="15.85546875" style="1" customWidth="1"/>
    <col min="7" max="7" width="13.85546875" style="1" customWidth="1"/>
    <col min="8" max="8" width="14.28515625" style="1" customWidth="1"/>
    <col min="9" max="10" width="15.42578125" style="1" customWidth="1"/>
    <col min="11" max="11" width="15.28515625" style="1" customWidth="1"/>
    <col min="12" max="12" width="14.140625" style="1" customWidth="1"/>
    <col min="13" max="13" width="15" style="1" customWidth="1"/>
    <col min="14" max="14" width="15.5703125" style="1" customWidth="1"/>
    <col min="15" max="15" width="15.42578125" style="1" customWidth="1"/>
  </cols>
  <sheetData>
    <row r="1" spans="1:16" ht="45.75" thickBot="1" x14ac:dyDescent="0.3">
      <c r="A1" s="11" t="s">
        <v>0</v>
      </c>
      <c r="B1" s="12" t="s">
        <v>1</v>
      </c>
      <c r="C1" s="22" t="s">
        <v>2</v>
      </c>
      <c r="D1" s="30" t="s">
        <v>4</v>
      </c>
      <c r="E1" s="13" t="s">
        <v>9</v>
      </c>
      <c r="F1" s="30" t="s">
        <v>5</v>
      </c>
      <c r="G1" s="13" t="s">
        <v>10</v>
      </c>
      <c r="H1" s="30" t="s">
        <v>6</v>
      </c>
      <c r="I1" s="13" t="s">
        <v>11</v>
      </c>
      <c r="J1" s="30" t="s">
        <v>7</v>
      </c>
      <c r="K1" s="13" t="s">
        <v>12</v>
      </c>
      <c r="L1" s="30" t="s">
        <v>15</v>
      </c>
      <c r="M1" s="13" t="s">
        <v>13</v>
      </c>
      <c r="N1" s="26" t="s">
        <v>8</v>
      </c>
      <c r="O1" s="13" t="s">
        <v>14</v>
      </c>
    </row>
    <row r="2" spans="1:16" x14ac:dyDescent="0.25">
      <c r="A2" s="14" t="s">
        <v>3</v>
      </c>
      <c r="B2" s="15">
        <v>1</v>
      </c>
      <c r="C2" s="23">
        <v>2022</v>
      </c>
      <c r="D2" s="31">
        <v>26980</v>
      </c>
      <c r="E2" s="16">
        <f>393.75+3288.6</f>
        <v>3682.35</v>
      </c>
      <c r="F2" s="31">
        <v>1040</v>
      </c>
      <c r="G2" s="16">
        <v>232.96</v>
      </c>
      <c r="H2" s="31">
        <v>30</v>
      </c>
      <c r="I2" s="16">
        <v>1.2</v>
      </c>
      <c r="J2" s="31">
        <v>0</v>
      </c>
      <c r="K2" s="16">
        <v>0</v>
      </c>
      <c r="L2" s="31">
        <v>1020</v>
      </c>
      <c r="M2" s="16">
        <v>1020</v>
      </c>
      <c r="N2" s="27">
        <v>0</v>
      </c>
      <c r="O2" s="16">
        <v>0</v>
      </c>
      <c r="P2" s="49"/>
    </row>
    <row r="3" spans="1:16" x14ac:dyDescent="0.25">
      <c r="A3" s="17" t="s">
        <v>3</v>
      </c>
      <c r="B3" s="5">
        <v>2</v>
      </c>
      <c r="C3" s="24">
        <v>2022</v>
      </c>
      <c r="D3" s="32">
        <v>27070</v>
      </c>
      <c r="E3" s="18">
        <f>787.5+3213</f>
        <v>4000.5</v>
      </c>
      <c r="F3" s="32">
        <v>1350</v>
      </c>
      <c r="G3" s="18">
        <v>302.39999999999998</v>
      </c>
      <c r="H3" s="32">
        <v>0</v>
      </c>
      <c r="I3" s="18">
        <v>0</v>
      </c>
      <c r="J3" s="32">
        <v>0</v>
      </c>
      <c r="K3" s="18">
        <v>0</v>
      </c>
      <c r="L3" s="32">
        <v>1440</v>
      </c>
      <c r="M3" s="18">
        <v>1440</v>
      </c>
      <c r="N3" s="28">
        <v>0</v>
      </c>
      <c r="O3" s="18">
        <v>0</v>
      </c>
      <c r="P3" s="49"/>
    </row>
    <row r="4" spans="1:16" x14ac:dyDescent="0.25">
      <c r="A4" s="17" t="s">
        <v>3</v>
      </c>
      <c r="B4" s="5">
        <v>3</v>
      </c>
      <c r="C4" s="24">
        <v>2022</v>
      </c>
      <c r="D4" s="32"/>
      <c r="E4" s="18"/>
      <c r="F4" s="32"/>
      <c r="G4" s="18"/>
      <c r="H4" s="32"/>
      <c r="I4" s="18"/>
      <c r="J4" s="32"/>
      <c r="K4" s="18"/>
      <c r="L4" s="32"/>
      <c r="M4" s="18"/>
      <c r="N4" s="28"/>
      <c r="O4" s="18"/>
      <c r="P4" s="49"/>
    </row>
    <row r="5" spans="1:16" x14ac:dyDescent="0.25">
      <c r="A5" s="17" t="s">
        <v>3</v>
      </c>
      <c r="B5" s="5">
        <v>4</v>
      </c>
      <c r="C5" s="24">
        <v>2022</v>
      </c>
      <c r="D5" s="32"/>
      <c r="E5" s="18"/>
      <c r="F5" s="32"/>
      <c r="G5" s="18"/>
      <c r="H5" s="32"/>
      <c r="I5" s="18"/>
      <c r="J5" s="32"/>
      <c r="K5" s="18"/>
      <c r="L5" s="32"/>
      <c r="M5" s="18"/>
      <c r="N5" s="28"/>
      <c r="O5" s="18"/>
      <c r="P5" s="49"/>
    </row>
    <row r="6" spans="1:16" x14ac:dyDescent="0.25">
      <c r="A6" s="17" t="s">
        <v>3</v>
      </c>
      <c r="B6" s="5">
        <v>5</v>
      </c>
      <c r="C6" s="24">
        <v>2022</v>
      </c>
      <c r="D6" s="32"/>
      <c r="E6" s="18"/>
      <c r="F6" s="32"/>
      <c r="G6" s="18"/>
      <c r="H6" s="32"/>
      <c r="I6" s="18"/>
      <c r="J6" s="32"/>
      <c r="K6" s="18"/>
      <c r="L6" s="32"/>
      <c r="M6" s="18"/>
      <c r="N6" s="28"/>
      <c r="O6" s="18"/>
      <c r="P6" s="49"/>
    </row>
    <row r="7" spans="1:16" x14ac:dyDescent="0.25">
      <c r="A7" s="17" t="s">
        <v>3</v>
      </c>
      <c r="B7" s="5">
        <v>6</v>
      </c>
      <c r="C7" s="24">
        <v>2022</v>
      </c>
      <c r="D7" s="32"/>
      <c r="E7" s="18"/>
      <c r="F7" s="32"/>
      <c r="G7" s="18"/>
      <c r="H7" s="32"/>
      <c r="I7" s="18"/>
      <c r="J7" s="32"/>
      <c r="K7" s="18"/>
      <c r="L7" s="32"/>
      <c r="M7" s="18"/>
      <c r="N7" s="28"/>
      <c r="O7" s="18"/>
      <c r="P7" s="49"/>
    </row>
    <row r="8" spans="1:16" x14ac:dyDescent="0.25">
      <c r="A8" s="17" t="s">
        <v>3</v>
      </c>
      <c r="B8" s="5">
        <v>7</v>
      </c>
      <c r="C8" s="24">
        <v>2022</v>
      </c>
      <c r="D8" s="32"/>
      <c r="E8" s="18"/>
      <c r="F8" s="32"/>
      <c r="G8" s="18"/>
      <c r="H8" s="32"/>
      <c r="I8" s="18"/>
      <c r="J8" s="32"/>
      <c r="K8" s="18"/>
      <c r="L8" s="32"/>
      <c r="M8" s="18"/>
      <c r="N8" s="28"/>
      <c r="O8" s="18"/>
      <c r="P8" s="49"/>
    </row>
    <row r="9" spans="1:16" x14ac:dyDescent="0.25">
      <c r="A9" s="17" t="s">
        <v>3</v>
      </c>
      <c r="B9" s="8">
        <v>8</v>
      </c>
      <c r="C9" s="24">
        <v>2022</v>
      </c>
      <c r="D9" s="32"/>
      <c r="E9" s="18"/>
      <c r="F9" s="32"/>
      <c r="G9" s="34"/>
      <c r="H9" s="32"/>
      <c r="I9" s="34"/>
      <c r="J9" s="32"/>
      <c r="K9" s="18"/>
      <c r="L9" s="32"/>
      <c r="M9" s="34"/>
      <c r="N9" s="28"/>
      <c r="O9" s="18"/>
      <c r="P9" s="49"/>
    </row>
    <row r="10" spans="1:16" x14ac:dyDescent="0.25">
      <c r="A10" s="17" t="s">
        <v>3</v>
      </c>
      <c r="B10" s="8">
        <v>9</v>
      </c>
      <c r="C10" s="24">
        <v>2022</v>
      </c>
      <c r="D10" s="32"/>
      <c r="E10" s="18"/>
      <c r="F10" s="32"/>
      <c r="G10" s="34"/>
      <c r="H10" s="32"/>
      <c r="I10" s="18"/>
      <c r="J10" s="32"/>
      <c r="K10" s="18"/>
      <c r="L10" s="32"/>
      <c r="M10" s="34"/>
      <c r="N10" s="28"/>
      <c r="O10" s="18"/>
      <c r="P10" s="49"/>
    </row>
    <row r="11" spans="1:16" x14ac:dyDescent="0.25">
      <c r="A11" s="17" t="s">
        <v>3</v>
      </c>
      <c r="B11" s="5">
        <v>10</v>
      </c>
      <c r="C11" s="24">
        <v>2022</v>
      </c>
      <c r="D11" s="32"/>
      <c r="E11" s="18"/>
      <c r="F11" s="32"/>
      <c r="G11" s="18"/>
      <c r="H11" s="32"/>
      <c r="I11" s="18"/>
      <c r="J11" s="32"/>
      <c r="K11" s="18"/>
      <c r="L11" s="32"/>
      <c r="M11" s="18"/>
      <c r="N11" s="28"/>
      <c r="O11" s="18"/>
      <c r="P11" s="49"/>
    </row>
    <row r="12" spans="1:16" x14ac:dyDescent="0.25">
      <c r="A12" s="17" t="s">
        <v>3</v>
      </c>
      <c r="B12" s="5">
        <v>11</v>
      </c>
      <c r="C12" s="24">
        <v>2022</v>
      </c>
      <c r="D12" s="32"/>
      <c r="E12" s="18"/>
      <c r="F12" s="32"/>
      <c r="G12" s="18"/>
      <c r="H12" s="32"/>
      <c r="I12" s="18"/>
      <c r="J12" s="32"/>
      <c r="K12" s="18"/>
      <c r="L12" s="32"/>
      <c r="M12" s="18"/>
      <c r="N12" s="28"/>
      <c r="O12" s="18"/>
      <c r="P12" s="49"/>
    </row>
    <row r="13" spans="1:16" ht="15.75" thickBot="1" x14ac:dyDescent="0.3">
      <c r="A13" s="19" t="s">
        <v>3</v>
      </c>
      <c r="B13" s="20">
        <v>12</v>
      </c>
      <c r="C13" s="25">
        <v>2022</v>
      </c>
      <c r="D13" s="33"/>
      <c r="E13" s="21"/>
      <c r="F13" s="33"/>
      <c r="G13" s="21"/>
      <c r="H13" s="33"/>
      <c r="I13" s="21"/>
      <c r="J13" s="33"/>
      <c r="K13" s="21"/>
      <c r="L13" s="33"/>
      <c r="M13" s="21"/>
      <c r="N13" s="29"/>
      <c r="O13" s="21"/>
      <c r="P13" s="49"/>
    </row>
    <row r="14" spans="1:16" ht="24.95" customHeight="1" thickBot="1" x14ac:dyDescent="0.3">
      <c r="A14" s="47" t="s">
        <v>18</v>
      </c>
      <c r="B14" s="48"/>
      <c r="C14" s="35">
        <v>2022</v>
      </c>
      <c r="D14" s="36">
        <f t="shared" ref="D14:O14" si="0">SUM(D2:D13)</f>
        <v>54050</v>
      </c>
      <c r="E14" s="37">
        <f t="shared" si="0"/>
        <v>7682.85</v>
      </c>
      <c r="F14" s="36">
        <f t="shared" si="0"/>
        <v>2390</v>
      </c>
      <c r="G14" s="37">
        <f t="shared" si="0"/>
        <v>535.36</v>
      </c>
      <c r="H14" s="36">
        <f t="shared" si="0"/>
        <v>30</v>
      </c>
      <c r="I14" s="37">
        <f t="shared" si="0"/>
        <v>1.2</v>
      </c>
      <c r="J14" s="36">
        <f t="shared" si="0"/>
        <v>0</v>
      </c>
      <c r="K14" s="37">
        <f t="shared" si="0"/>
        <v>0</v>
      </c>
      <c r="L14" s="36">
        <f t="shared" si="0"/>
        <v>2460</v>
      </c>
      <c r="M14" s="37">
        <f t="shared" si="0"/>
        <v>2460</v>
      </c>
      <c r="N14" s="38">
        <f t="shared" si="0"/>
        <v>0</v>
      </c>
      <c r="O14" s="37">
        <f t="shared" si="0"/>
        <v>0</v>
      </c>
    </row>
  </sheetData>
  <mergeCells count="2">
    <mergeCell ref="A14:B14"/>
    <mergeCell ref="P2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zoomScaleNormal="100" workbookViewId="0">
      <selection activeCell="D27" sqref="D27"/>
    </sheetView>
  </sheetViews>
  <sheetFormatPr defaultRowHeight="15" x14ac:dyDescent="0.25"/>
  <cols>
    <col min="1" max="1" width="14.42578125" style="1" customWidth="1"/>
    <col min="2" max="2" width="12.42578125" style="1" customWidth="1"/>
    <col min="3" max="3" width="9.140625" style="1"/>
    <col min="4" max="4" width="19" style="1" customWidth="1"/>
    <col min="5" max="5" width="15.28515625" style="1" customWidth="1"/>
    <col min="6" max="6" width="15.85546875" style="1" customWidth="1"/>
    <col min="7" max="7" width="13.85546875" style="1" customWidth="1"/>
    <col min="8" max="8" width="14.28515625" style="1" customWidth="1"/>
    <col min="9" max="10" width="15.42578125" style="1" customWidth="1"/>
    <col min="11" max="11" width="15.28515625" style="1" customWidth="1"/>
    <col min="12" max="12" width="14.140625" style="1" customWidth="1"/>
    <col min="13" max="13" width="15" style="1" customWidth="1"/>
    <col min="14" max="14" width="15.5703125" style="1" customWidth="1"/>
    <col min="15" max="15" width="15.42578125" style="1" customWidth="1"/>
    <col min="16" max="17" width="9.140625" style="1"/>
    <col min="18" max="18" width="12.140625" style="1" bestFit="1" customWidth="1"/>
    <col min="19" max="16384" width="9.140625" style="1"/>
  </cols>
  <sheetData>
    <row r="1" spans="1:18" s="2" customFormat="1" ht="45.75" thickBot="1" x14ac:dyDescent="0.3">
      <c r="A1" s="11" t="s">
        <v>0</v>
      </c>
      <c r="B1" s="12" t="s">
        <v>1</v>
      </c>
      <c r="C1" s="22" t="s">
        <v>2</v>
      </c>
      <c r="D1" s="30" t="s">
        <v>4</v>
      </c>
      <c r="E1" s="13" t="s">
        <v>9</v>
      </c>
      <c r="F1" s="30" t="s">
        <v>5</v>
      </c>
      <c r="G1" s="13" t="s">
        <v>10</v>
      </c>
      <c r="H1" s="30" t="s">
        <v>6</v>
      </c>
      <c r="I1" s="13" t="s">
        <v>11</v>
      </c>
      <c r="J1" s="30" t="s">
        <v>7</v>
      </c>
      <c r="K1" s="13" t="s">
        <v>12</v>
      </c>
      <c r="L1" s="30" t="s">
        <v>15</v>
      </c>
      <c r="M1" s="13" t="s">
        <v>13</v>
      </c>
      <c r="N1" s="26" t="s">
        <v>8</v>
      </c>
      <c r="O1" s="13" t="s">
        <v>14</v>
      </c>
    </row>
    <row r="2" spans="1:18" ht="15" customHeight="1" x14ac:dyDescent="0.25">
      <c r="A2" s="14" t="s">
        <v>3</v>
      </c>
      <c r="B2" s="15">
        <v>1</v>
      </c>
      <c r="C2" s="23">
        <v>2021</v>
      </c>
      <c r="D2" s="31">
        <v>23250</v>
      </c>
      <c r="E2" s="16">
        <f>1181.25+2778.3</f>
        <v>3959.55</v>
      </c>
      <c r="F2" s="31">
        <v>1400</v>
      </c>
      <c r="G2" s="16">
        <v>268.8</v>
      </c>
      <c r="H2" s="31">
        <v>0</v>
      </c>
      <c r="I2" s="16">
        <v>0</v>
      </c>
      <c r="J2" s="31">
        <v>0</v>
      </c>
      <c r="K2" s="16">
        <v>0</v>
      </c>
      <c r="L2" s="31">
        <v>900</v>
      </c>
      <c r="M2" s="16">
        <v>900</v>
      </c>
      <c r="N2" s="27">
        <v>0</v>
      </c>
      <c r="O2" s="16">
        <v>0</v>
      </c>
      <c r="P2" s="49"/>
      <c r="Q2" s="68"/>
      <c r="R2" s="69"/>
    </row>
    <row r="3" spans="1:18" ht="15" customHeight="1" x14ac:dyDescent="0.25">
      <c r="A3" s="17" t="s">
        <v>3</v>
      </c>
      <c r="B3" s="5">
        <v>2</v>
      </c>
      <c r="C3" s="24">
        <v>2021</v>
      </c>
      <c r="D3" s="32">
        <v>19050</v>
      </c>
      <c r="E3" s="18">
        <f>1181.25+2400.3</f>
        <v>3581.55</v>
      </c>
      <c r="F3" s="32">
        <v>700</v>
      </c>
      <c r="G3" s="18">
        <v>134.4</v>
      </c>
      <c r="H3" s="32">
        <v>0</v>
      </c>
      <c r="I3" s="18">
        <v>0</v>
      </c>
      <c r="J3" s="32">
        <v>0</v>
      </c>
      <c r="K3" s="18">
        <v>0</v>
      </c>
      <c r="L3" s="32">
        <v>700</v>
      </c>
      <c r="M3" s="18">
        <v>700</v>
      </c>
      <c r="N3" s="28">
        <v>0</v>
      </c>
      <c r="O3" s="18">
        <v>0</v>
      </c>
      <c r="P3" s="49"/>
      <c r="Q3" s="68"/>
      <c r="R3" s="69"/>
    </row>
    <row r="4" spans="1:18" ht="15" customHeight="1" x14ac:dyDescent="0.25">
      <c r="A4" s="17" t="s">
        <v>3</v>
      </c>
      <c r="B4" s="5">
        <v>3</v>
      </c>
      <c r="C4" s="24">
        <v>2021</v>
      </c>
      <c r="D4" s="32">
        <v>20250</v>
      </c>
      <c r="E4" s="18">
        <f>787.5+2551.5</f>
        <v>3339</v>
      </c>
      <c r="F4" s="32">
        <v>1680</v>
      </c>
      <c r="G4" s="18">
        <v>322.56</v>
      </c>
      <c r="H4" s="32">
        <v>70</v>
      </c>
      <c r="I4" s="18">
        <v>2.8</v>
      </c>
      <c r="J4" s="32">
        <v>0</v>
      </c>
      <c r="K4" s="18">
        <v>0</v>
      </c>
      <c r="L4" s="32">
        <v>900</v>
      </c>
      <c r="M4" s="18">
        <v>900</v>
      </c>
      <c r="N4" s="28">
        <v>0</v>
      </c>
      <c r="O4" s="18">
        <v>0</v>
      </c>
      <c r="P4" s="49"/>
      <c r="Q4" s="68"/>
      <c r="R4" s="69"/>
    </row>
    <row r="5" spans="1:18" ht="15" customHeight="1" x14ac:dyDescent="0.25">
      <c r="A5" s="17" t="s">
        <v>3</v>
      </c>
      <c r="B5" s="5">
        <v>4</v>
      </c>
      <c r="C5" s="24">
        <v>2021</v>
      </c>
      <c r="D5" s="32">
        <v>21605</v>
      </c>
      <c r="E5" s="18">
        <f>787.5+2523.15</f>
        <v>3310.65</v>
      </c>
      <c r="F5" s="32">
        <v>1380</v>
      </c>
      <c r="G5" s="18">
        <v>309.12</v>
      </c>
      <c r="H5" s="32">
        <v>30</v>
      </c>
      <c r="I5" s="18">
        <v>1.2</v>
      </c>
      <c r="J5" s="32">
        <v>160</v>
      </c>
      <c r="K5" s="18">
        <v>35.840000000000003</v>
      </c>
      <c r="L5" s="32">
        <v>995</v>
      </c>
      <c r="M5" s="18">
        <v>990</v>
      </c>
      <c r="N5" s="28">
        <v>0</v>
      </c>
      <c r="O5" s="18">
        <v>0</v>
      </c>
      <c r="P5" s="49"/>
      <c r="Q5" s="68"/>
      <c r="R5" s="69"/>
    </row>
    <row r="6" spans="1:18" ht="15" customHeight="1" x14ac:dyDescent="0.25">
      <c r="A6" s="17" t="s">
        <v>3</v>
      </c>
      <c r="B6" s="5">
        <v>5</v>
      </c>
      <c r="C6" s="24">
        <v>2021</v>
      </c>
      <c r="D6" s="32">
        <v>23425</v>
      </c>
      <c r="E6" s="18">
        <f>787.5+2740.5</f>
        <v>3528</v>
      </c>
      <c r="F6" s="32">
        <v>920</v>
      </c>
      <c r="G6" s="18">
        <v>206.08</v>
      </c>
      <c r="H6" s="32">
        <v>0</v>
      </c>
      <c r="I6" s="18">
        <v>0</v>
      </c>
      <c r="J6" s="32">
        <v>0</v>
      </c>
      <c r="K6" s="18">
        <v>0</v>
      </c>
      <c r="L6" s="32">
        <v>1110</v>
      </c>
      <c r="M6" s="18">
        <v>1110</v>
      </c>
      <c r="N6" s="28">
        <v>0</v>
      </c>
      <c r="O6" s="18">
        <v>0</v>
      </c>
      <c r="P6" s="49"/>
      <c r="Q6" s="68"/>
      <c r="R6" s="69"/>
    </row>
    <row r="7" spans="1:18" ht="15" customHeight="1" x14ac:dyDescent="0.25">
      <c r="A7" s="17" t="s">
        <v>3</v>
      </c>
      <c r="B7" s="5">
        <v>6</v>
      </c>
      <c r="C7" s="24">
        <v>2021</v>
      </c>
      <c r="D7" s="32">
        <v>23460</v>
      </c>
      <c r="E7" s="18">
        <f>787.5+2853.9</f>
        <v>3641.4</v>
      </c>
      <c r="F7" s="32">
        <v>940</v>
      </c>
      <c r="G7" s="18">
        <v>210.56</v>
      </c>
      <c r="H7" s="32">
        <v>20</v>
      </c>
      <c r="I7" s="18">
        <v>0.8</v>
      </c>
      <c r="J7" s="32">
        <v>30</v>
      </c>
      <c r="K7" s="18">
        <v>6.72</v>
      </c>
      <c r="L7" s="32">
        <v>1050</v>
      </c>
      <c r="M7" s="18">
        <v>1050</v>
      </c>
      <c r="N7" s="28">
        <v>0</v>
      </c>
      <c r="O7" s="18">
        <v>0</v>
      </c>
      <c r="P7" s="49"/>
      <c r="Q7" s="68"/>
      <c r="R7" s="69"/>
    </row>
    <row r="8" spans="1:18" ht="15" customHeight="1" x14ac:dyDescent="0.25">
      <c r="A8" s="17" t="s">
        <v>3</v>
      </c>
      <c r="B8" s="5">
        <v>7</v>
      </c>
      <c r="C8" s="24">
        <v>2021</v>
      </c>
      <c r="D8" s="32">
        <v>22680</v>
      </c>
      <c r="E8" s="18">
        <f>787.5+2608.2</f>
        <v>3395.7</v>
      </c>
      <c r="F8" s="32">
        <v>1120</v>
      </c>
      <c r="G8" s="18">
        <v>250.88</v>
      </c>
      <c r="H8" s="32">
        <v>60</v>
      </c>
      <c r="I8" s="18">
        <v>2.4</v>
      </c>
      <c r="J8" s="32">
        <v>0</v>
      </c>
      <c r="K8" s="18">
        <v>0</v>
      </c>
      <c r="L8" s="32">
        <v>920</v>
      </c>
      <c r="M8" s="18">
        <v>920</v>
      </c>
      <c r="N8" s="28">
        <v>0</v>
      </c>
      <c r="O8" s="18">
        <v>0</v>
      </c>
      <c r="P8" s="49"/>
      <c r="Q8" s="68"/>
      <c r="R8" s="69"/>
    </row>
    <row r="9" spans="1:18" ht="15" customHeight="1" x14ac:dyDescent="0.25">
      <c r="A9" s="17" t="s">
        <v>3</v>
      </c>
      <c r="B9" s="8">
        <v>8</v>
      </c>
      <c r="C9" s="24">
        <v>2021</v>
      </c>
      <c r="D9" s="32">
        <v>22255</v>
      </c>
      <c r="E9" s="18">
        <f>787.5+2400.3</f>
        <v>3187.8</v>
      </c>
      <c r="F9" s="32">
        <v>1080</v>
      </c>
      <c r="G9" s="34">
        <v>241.92</v>
      </c>
      <c r="H9" s="32">
        <v>50</v>
      </c>
      <c r="I9" s="34">
        <v>2</v>
      </c>
      <c r="J9" s="32">
        <v>0</v>
      </c>
      <c r="K9" s="18">
        <v>0</v>
      </c>
      <c r="L9" s="32">
        <v>700</v>
      </c>
      <c r="M9" s="34">
        <v>700</v>
      </c>
      <c r="N9" s="28">
        <v>0</v>
      </c>
      <c r="O9" s="18">
        <v>0</v>
      </c>
      <c r="P9" s="49"/>
      <c r="Q9" s="68"/>
      <c r="R9" s="69"/>
    </row>
    <row r="10" spans="1:18" ht="15" customHeight="1" x14ac:dyDescent="0.25">
      <c r="A10" s="17" t="s">
        <v>3</v>
      </c>
      <c r="B10" s="8">
        <v>9</v>
      </c>
      <c r="C10" s="24">
        <v>2021</v>
      </c>
      <c r="D10" s="32">
        <v>17955</v>
      </c>
      <c r="E10" s="18">
        <f>787.5+2419.2</f>
        <v>3206.7</v>
      </c>
      <c r="F10" s="32">
        <v>1080</v>
      </c>
      <c r="G10" s="34">
        <v>241.92</v>
      </c>
      <c r="H10" s="32">
        <v>0</v>
      </c>
      <c r="I10" s="18">
        <v>0</v>
      </c>
      <c r="J10" s="32">
        <v>0</v>
      </c>
      <c r="K10" s="18">
        <v>0</v>
      </c>
      <c r="L10" s="32">
        <v>730</v>
      </c>
      <c r="M10" s="34">
        <v>730</v>
      </c>
      <c r="N10" s="28">
        <v>0</v>
      </c>
      <c r="O10" s="18">
        <v>0</v>
      </c>
      <c r="P10" s="49"/>
      <c r="Q10" s="68"/>
      <c r="R10" s="69"/>
    </row>
    <row r="11" spans="1:18" ht="15" customHeight="1" x14ac:dyDescent="0.25">
      <c r="A11" s="17" t="s">
        <v>3</v>
      </c>
      <c r="B11" s="5">
        <v>10</v>
      </c>
      <c r="C11" s="24">
        <v>2021</v>
      </c>
      <c r="D11" s="32">
        <v>25420</v>
      </c>
      <c r="E11" s="18">
        <f>787.5+3005.1</f>
        <v>3792.6</v>
      </c>
      <c r="F11" s="32">
        <v>1580</v>
      </c>
      <c r="G11" s="18">
        <v>353.92</v>
      </c>
      <c r="H11" s="32">
        <v>100</v>
      </c>
      <c r="I11" s="18">
        <v>4</v>
      </c>
      <c r="J11" s="32">
        <v>0</v>
      </c>
      <c r="K11" s="18">
        <v>0</v>
      </c>
      <c r="L11" s="32">
        <v>1710</v>
      </c>
      <c r="M11" s="18">
        <v>1710</v>
      </c>
      <c r="N11" s="28">
        <v>0</v>
      </c>
      <c r="O11" s="18">
        <v>0</v>
      </c>
      <c r="P11" s="49"/>
      <c r="Q11" s="68"/>
      <c r="R11" s="69"/>
    </row>
    <row r="12" spans="1:18" ht="15" customHeight="1" x14ac:dyDescent="0.25">
      <c r="A12" s="17" t="s">
        <v>3</v>
      </c>
      <c r="B12" s="5">
        <v>11</v>
      </c>
      <c r="C12" s="24">
        <v>2021</v>
      </c>
      <c r="D12" s="32">
        <v>26000</v>
      </c>
      <c r="E12" s="18">
        <f>787.5+3203.55</f>
        <v>3991.05</v>
      </c>
      <c r="F12" s="32">
        <v>1590</v>
      </c>
      <c r="G12" s="18">
        <v>356.16</v>
      </c>
      <c r="H12" s="32">
        <v>110</v>
      </c>
      <c r="I12" s="18">
        <v>4.4000000000000004</v>
      </c>
      <c r="J12" s="32">
        <v>0</v>
      </c>
      <c r="K12" s="18">
        <v>0</v>
      </c>
      <c r="L12" s="32">
        <v>1710</v>
      </c>
      <c r="M12" s="18">
        <v>1330</v>
      </c>
      <c r="N12" s="28">
        <v>0</v>
      </c>
      <c r="O12" s="18">
        <v>0</v>
      </c>
      <c r="P12" s="49"/>
      <c r="Q12" s="68"/>
      <c r="R12" s="69"/>
    </row>
    <row r="13" spans="1:18" ht="15" customHeight="1" thickBot="1" x14ac:dyDescent="0.3">
      <c r="A13" s="19" t="s">
        <v>3</v>
      </c>
      <c r="B13" s="20">
        <v>12</v>
      </c>
      <c r="C13" s="25">
        <v>2021</v>
      </c>
      <c r="D13" s="33">
        <v>30175</v>
      </c>
      <c r="E13" s="21">
        <f>1181.25+3505.95</f>
        <v>4687.2</v>
      </c>
      <c r="F13" s="33">
        <v>1140</v>
      </c>
      <c r="G13" s="21">
        <v>255.36</v>
      </c>
      <c r="H13" s="33">
        <v>60</v>
      </c>
      <c r="I13" s="21">
        <v>2.4</v>
      </c>
      <c r="J13" s="33">
        <v>0</v>
      </c>
      <c r="K13" s="21">
        <v>0</v>
      </c>
      <c r="L13" s="33">
        <v>1340</v>
      </c>
      <c r="M13" s="21">
        <v>1340</v>
      </c>
      <c r="N13" s="29">
        <v>0</v>
      </c>
      <c r="O13" s="21">
        <v>0</v>
      </c>
      <c r="P13" s="49"/>
      <c r="Q13" s="68"/>
      <c r="R13" s="69"/>
    </row>
    <row r="14" spans="1:18" ht="24.95" customHeight="1" thickBot="1" x14ac:dyDescent="0.3">
      <c r="A14" s="47" t="s">
        <v>18</v>
      </c>
      <c r="B14" s="48"/>
      <c r="C14" s="35">
        <v>2021</v>
      </c>
      <c r="D14" s="36">
        <f t="shared" ref="D14:O14" si="0">SUM(D2:D13)</f>
        <v>275525</v>
      </c>
      <c r="E14" s="37">
        <f t="shared" si="0"/>
        <v>43621.200000000004</v>
      </c>
      <c r="F14" s="36">
        <f t="shared" si="0"/>
        <v>14610</v>
      </c>
      <c r="G14" s="37">
        <f t="shared" si="0"/>
        <v>3151.6800000000003</v>
      </c>
      <c r="H14" s="36">
        <f t="shared" si="0"/>
        <v>500</v>
      </c>
      <c r="I14" s="37">
        <f t="shared" si="0"/>
        <v>20</v>
      </c>
      <c r="J14" s="36">
        <f t="shared" si="0"/>
        <v>190</v>
      </c>
      <c r="K14" s="37">
        <f t="shared" si="0"/>
        <v>42.56</v>
      </c>
      <c r="L14" s="36">
        <f t="shared" si="0"/>
        <v>12765</v>
      </c>
      <c r="M14" s="37">
        <f t="shared" si="0"/>
        <v>12380</v>
      </c>
      <c r="N14" s="38">
        <f t="shared" si="0"/>
        <v>0</v>
      </c>
      <c r="O14" s="37">
        <f t="shared" si="0"/>
        <v>0</v>
      </c>
    </row>
  </sheetData>
  <mergeCells count="2">
    <mergeCell ref="A14:B14"/>
    <mergeCell ref="P2:P13"/>
  </mergeCells>
  <printOptions horizontalCentered="1"/>
  <pageMargins left="0.25" right="0.25" top="0.75" bottom="0.5" header="0" footer="0"/>
  <pageSetup scale="60" orientation="landscape" r:id="rId1"/>
  <colBreaks count="1" manualBreakCount="1">
    <brk id="15" max="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5"/>
  <sheetViews>
    <sheetView zoomScaleNormal="100" workbookViewId="0">
      <selection activeCell="E23" sqref="E23"/>
    </sheetView>
  </sheetViews>
  <sheetFormatPr defaultRowHeight="15" x14ac:dyDescent="0.25"/>
  <cols>
    <col min="1" max="1" width="11.7109375" style="1" customWidth="1"/>
    <col min="2" max="2" width="8.140625" style="1" customWidth="1"/>
    <col min="3" max="3" width="9.140625" style="1"/>
    <col min="4" max="4" width="19" style="1" customWidth="1"/>
    <col min="5" max="5" width="15.28515625" style="1" customWidth="1"/>
    <col min="6" max="6" width="15.85546875" style="1" customWidth="1"/>
    <col min="7" max="7" width="13.85546875" style="1" customWidth="1"/>
    <col min="8" max="8" width="14.28515625" style="1" customWidth="1"/>
    <col min="9" max="10" width="15.42578125" style="1" customWidth="1"/>
    <col min="11" max="11" width="15.28515625" style="1" customWidth="1"/>
    <col min="12" max="12" width="14.140625" style="1" customWidth="1"/>
    <col min="13" max="13" width="15" style="1" customWidth="1"/>
    <col min="14" max="14" width="15.5703125" style="1" customWidth="1"/>
    <col min="15" max="15" width="15.42578125" style="1" customWidth="1"/>
    <col min="16" max="16" width="10.85546875" bestFit="1" customWidth="1"/>
    <col min="19" max="19" width="12.140625" bestFit="1" customWidth="1"/>
  </cols>
  <sheetData>
    <row r="1" spans="1:19" ht="45.75" thickBot="1" x14ac:dyDescent="0.3">
      <c r="A1" s="11" t="s">
        <v>0</v>
      </c>
      <c r="B1" s="12" t="s">
        <v>1</v>
      </c>
      <c r="C1" s="22" t="s">
        <v>2</v>
      </c>
      <c r="D1" s="30" t="s">
        <v>4</v>
      </c>
      <c r="E1" s="13" t="s">
        <v>9</v>
      </c>
      <c r="F1" s="30" t="s">
        <v>5</v>
      </c>
      <c r="G1" s="13" t="s">
        <v>10</v>
      </c>
      <c r="H1" s="30" t="s">
        <v>6</v>
      </c>
      <c r="I1" s="13" t="s">
        <v>11</v>
      </c>
      <c r="J1" s="30" t="s">
        <v>7</v>
      </c>
      <c r="K1" s="13" t="s">
        <v>12</v>
      </c>
      <c r="L1" s="30" t="s">
        <v>15</v>
      </c>
      <c r="M1" s="13" t="s">
        <v>13</v>
      </c>
      <c r="N1" s="26" t="s">
        <v>8</v>
      </c>
      <c r="O1" s="13" t="s">
        <v>14</v>
      </c>
    </row>
    <row r="2" spans="1:19" ht="15" customHeight="1" x14ac:dyDescent="0.25">
      <c r="A2" s="14" t="s">
        <v>3</v>
      </c>
      <c r="B2" s="15">
        <v>1</v>
      </c>
      <c r="C2" s="23">
        <v>2020</v>
      </c>
      <c r="D2" s="31">
        <f>60.74*1000</f>
        <v>60740</v>
      </c>
      <c r="E2" s="16">
        <f>(6946*5%)+6946</f>
        <v>7293.3</v>
      </c>
      <c r="F2" s="31">
        <f>2.77*1000</f>
        <v>2770</v>
      </c>
      <c r="G2" s="16">
        <f>(664.8+33.24)/2</f>
        <v>349.02</v>
      </c>
      <c r="H2" s="31">
        <f>0.2*1000</f>
        <v>200</v>
      </c>
      <c r="I2" s="16">
        <f>(52+2.6)/2</f>
        <v>27.3</v>
      </c>
      <c r="J2" s="31">
        <f>0.05*1000</f>
        <v>50</v>
      </c>
      <c r="K2" s="16">
        <f>(22.5+1.13)/2</f>
        <v>11.815</v>
      </c>
      <c r="L2" s="31">
        <f>3*1000</f>
        <v>3000</v>
      </c>
      <c r="M2" s="16">
        <f>(855+42.75)/2</f>
        <v>448.875</v>
      </c>
      <c r="N2" s="27">
        <v>0</v>
      </c>
      <c r="O2" s="16">
        <v>0</v>
      </c>
      <c r="P2" s="49"/>
      <c r="R2" s="68"/>
      <c r="S2" s="69"/>
    </row>
    <row r="3" spans="1:19" ht="15" customHeight="1" x14ac:dyDescent="0.25">
      <c r="A3" s="17" t="s">
        <v>3</v>
      </c>
      <c r="B3" s="5">
        <v>2</v>
      </c>
      <c r="C3" s="24">
        <v>2020</v>
      </c>
      <c r="D3" s="32">
        <f>51.54*1000</f>
        <v>51540</v>
      </c>
      <c r="E3" s="18">
        <f>(5675*5%)+5675</f>
        <v>5958.75</v>
      </c>
      <c r="F3" s="32">
        <f>2.445*1000</f>
        <v>2445</v>
      </c>
      <c r="G3" s="18">
        <f>(586.8+29.34)/2</f>
        <v>308.07</v>
      </c>
      <c r="H3" s="32">
        <f>0.18*1000</f>
        <v>180</v>
      </c>
      <c r="I3" s="18">
        <f>(46.8+2.34)/2</f>
        <v>24.57</v>
      </c>
      <c r="J3" s="32">
        <f>0.15*1000</f>
        <v>150</v>
      </c>
      <c r="K3" s="18">
        <f>(36+1.8)/2</f>
        <v>18.899999999999999</v>
      </c>
      <c r="L3" s="32">
        <f>3*1000</f>
        <v>3000</v>
      </c>
      <c r="M3" s="18">
        <f>(855+42.75)/2</f>
        <v>448.875</v>
      </c>
      <c r="N3" s="28">
        <f>0.05*1000</f>
        <v>50</v>
      </c>
      <c r="O3" s="18">
        <f>(20+1)/2</f>
        <v>10.5</v>
      </c>
      <c r="P3" s="49"/>
      <c r="R3" s="68"/>
      <c r="S3" s="69"/>
    </row>
    <row r="4" spans="1:19" ht="15" customHeight="1" x14ac:dyDescent="0.25">
      <c r="A4" s="17" t="s">
        <v>3</v>
      </c>
      <c r="B4" s="5">
        <v>3</v>
      </c>
      <c r="C4" s="24">
        <v>2020</v>
      </c>
      <c r="D4" s="32">
        <f>40.98*1000</f>
        <v>40980</v>
      </c>
      <c r="E4" s="18">
        <f>(4353*5%)+4353</f>
        <v>4570.6499999999996</v>
      </c>
      <c r="F4" s="32">
        <f>1.235*1000</f>
        <v>1235</v>
      </c>
      <c r="G4" s="34">
        <f>(296.4+14.82)/2</f>
        <v>155.60999999999999</v>
      </c>
      <c r="H4" s="32">
        <v>0</v>
      </c>
      <c r="I4" s="18">
        <v>0</v>
      </c>
      <c r="J4" s="32">
        <f>0.08*1000</f>
        <v>80</v>
      </c>
      <c r="K4" s="34">
        <f>(19.2+0.96)/2</f>
        <v>10.08</v>
      </c>
      <c r="L4" s="32">
        <f>3*1000</f>
        <v>3000</v>
      </c>
      <c r="M4" s="18">
        <f>(855+42.75)/2</f>
        <v>448.875</v>
      </c>
      <c r="N4" s="28">
        <f>0.03*1000</f>
        <v>30</v>
      </c>
      <c r="O4" s="34">
        <f>(12+0.6)/2</f>
        <v>6.3</v>
      </c>
      <c r="P4" s="49"/>
      <c r="R4" s="68"/>
      <c r="S4" s="69"/>
    </row>
    <row r="5" spans="1:19" ht="15" customHeight="1" x14ac:dyDescent="0.25">
      <c r="A5" s="17" t="s">
        <v>3</v>
      </c>
      <c r="B5" s="5">
        <v>4</v>
      </c>
      <c r="C5" s="24">
        <v>2020</v>
      </c>
      <c r="D5" s="32">
        <f>27.69*1000</f>
        <v>27690</v>
      </c>
      <c r="E5" s="18">
        <f>(3451*5%)+3451</f>
        <v>3623.55</v>
      </c>
      <c r="F5" s="32">
        <f>1.095*1000</f>
        <v>1095</v>
      </c>
      <c r="G5" s="18">
        <f>(262.8+13.14)/2</f>
        <v>137.97</v>
      </c>
      <c r="H5" s="32">
        <f>0.05*1000</f>
        <v>50</v>
      </c>
      <c r="I5" s="18">
        <f>(13+0.65)/2</f>
        <v>6.8250000000000002</v>
      </c>
      <c r="J5" s="32">
        <v>0</v>
      </c>
      <c r="K5" s="18">
        <v>0</v>
      </c>
      <c r="L5" s="32">
        <v>0</v>
      </c>
      <c r="M5" s="18">
        <v>0</v>
      </c>
      <c r="N5" s="28">
        <v>0</v>
      </c>
      <c r="O5" s="18">
        <v>0</v>
      </c>
      <c r="P5" s="49"/>
      <c r="R5" s="68"/>
      <c r="S5" s="69"/>
    </row>
    <row r="6" spans="1:19" ht="15" customHeight="1" x14ac:dyDescent="0.25">
      <c r="A6" s="17" t="s">
        <v>3</v>
      </c>
      <c r="B6" s="5">
        <v>5</v>
      </c>
      <c r="C6" s="24">
        <v>2020</v>
      </c>
      <c r="D6" s="32">
        <f>24.75*1000</f>
        <v>24750</v>
      </c>
      <c r="E6" s="18">
        <f>(2666*5%)+2666</f>
        <v>2799.3</v>
      </c>
      <c r="F6" s="32">
        <v>0</v>
      </c>
      <c r="G6" s="18">
        <v>0</v>
      </c>
      <c r="H6" s="32">
        <v>0</v>
      </c>
      <c r="I6" s="18">
        <v>0</v>
      </c>
      <c r="J6" s="32">
        <v>0</v>
      </c>
      <c r="K6" s="18">
        <v>0</v>
      </c>
      <c r="L6" s="32">
        <v>0</v>
      </c>
      <c r="M6" s="18">
        <v>0</v>
      </c>
      <c r="N6" s="28">
        <v>0</v>
      </c>
      <c r="O6" s="18">
        <v>0</v>
      </c>
      <c r="P6" s="49"/>
      <c r="R6" s="68"/>
      <c r="S6" s="69"/>
    </row>
    <row r="7" spans="1:19" ht="15" customHeight="1" x14ac:dyDescent="0.25">
      <c r="A7" s="17" t="s">
        <v>3</v>
      </c>
      <c r="B7" s="5">
        <v>6</v>
      </c>
      <c r="C7" s="24">
        <v>2020</v>
      </c>
      <c r="D7" s="32">
        <f>33.49*1000</f>
        <v>33490</v>
      </c>
      <c r="E7" s="18">
        <f>(3836*5%)+3836</f>
        <v>4027.8</v>
      </c>
      <c r="F7" s="32">
        <f>1.985*1000</f>
        <v>1985</v>
      </c>
      <c r="G7" s="18">
        <f>149.31+100.8</f>
        <v>250.11</v>
      </c>
      <c r="H7" s="32">
        <f>0.11*1000</f>
        <v>110</v>
      </c>
      <c r="I7" s="18">
        <f>10.92+4.1</f>
        <v>15.02</v>
      </c>
      <c r="J7" s="32">
        <f>0.02*1000</f>
        <v>20</v>
      </c>
      <c r="K7" s="18">
        <v>2.52</v>
      </c>
      <c r="L7" s="32">
        <v>0</v>
      </c>
      <c r="M7" s="18">
        <v>0</v>
      </c>
      <c r="N7" s="28">
        <f>0.015*1000</f>
        <v>15</v>
      </c>
      <c r="O7" s="18">
        <v>3.15</v>
      </c>
      <c r="P7" s="49"/>
      <c r="R7" s="68"/>
      <c r="S7" s="69"/>
    </row>
    <row r="8" spans="1:19" ht="15" customHeight="1" x14ac:dyDescent="0.25">
      <c r="A8" s="17" t="s">
        <v>3</v>
      </c>
      <c r="B8" s="5">
        <v>7</v>
      </c>
      <c r="C8" s="24">
        <v>2020</v>
      </c>
      <c r="D8" s="32">
        <f>38.79*1000</f>
        <v>38790</v>
      </c>
      <c r="E8" s="18">
        <f>(4520*5%)+4520</f>
        <v>4746</v>
      </c>
      <c r="F8" s="32">
        <f>1.66*1000</f>
        <v>1660</v>
      </c>
      <c r="G8" s="18">
        <f>166.32+42.84</f>
        <v>209.16</v>
      </c>
      <c r="H8" s="32">
        <f>0.16*1000</f>
        <v>160</v>
      </c>
      <c r="I8" s="18">
        <f>13.65+8.19</f>
        <v>21.84</v>
      </c>
      <c r="J8" s="32">
        <f>0.05*1000</f>
        <v>50</v>
      </c>
      <c r="K8" s="18">
        <v>6.3</v>
      </c>
      <c r="L8" s="32">
        <f>3*1000</f>
        <v>3000</v>
      </c>
      <c r="M8" s="18">
        <f>(855+42.75)/2</f>
        <v>448.875</v>
      </c>
      <c r="N8" s="28">
        <f>0.015*1000</f>
        <v>15</v>
      </c>
      <c r="O8" s="18">
        <v>3.15</v>
      </c>
      <c r="P8" s="49"/>
      <c r="R8" s="68"/>
      <c r="S8" s="69"/>
    </row>
    <row r="9" spans="1:19" ht="15" customHeight="1" x14ac:dyDescent="0.25">
      <c r="A9" s="17" t="s">
        <v>3</v>
      </c>
      <c r="B9" s="8">
        <v>8</v>
      </c>
      <c r="C9" s="24">
        <v>2020</v>
      </c>
      <c r="D9" s="32">
        <f>37.56*1000</f>
        <v>37560</v>
      </c>
      <c r="E9" s="18">
        <f>(4210*5%)+4210</f>
        <v>4420.5</v>
      </c>
      <c r="F9" s="32">
        <f>1.4*1000</f>
        <v>1400</v>
      </c>
      <c r="G9" s="34">
        <f>63+113.4</f>
        <v>176.4</v>
      </c>
      <c r="H9" s="32">
        <f>0.08*1000</f>
        <v>80</v>
      </c>
      <c r="I9" s="34">
        <f>5.46+5.46</f>
        <v>10.92</v>
      </c>
      <c r="J9" s="32">
        <v>0</v>
      </c>
      <c r="K9" s="18">
        <v>0</v>
      </c>
      <c r="L9" s="32">
        <v>0</v>
      </c>
      <c r="M9" s="34">
        <v>0</v>
      </c>
      <c r="N9" s="28">
        <v>0</v>
      </c>
      <c r="O9" s="18">
        <v>0</v>
      </c>
      <c r="P9" s="49"/>
      <c r="R9" s="68"/>
      <c r="S9" s="69"/>
    </row>
    <row r="10" spans="1:19" ht="15" customHeight="1" x14ac:dyDescent="0.25">
      <c r="A10" s="17" t="s">
        <v>3</v>
      </c>
      <c r="B10" s="8">
        <v>9</v>
      </c>
      <c r="C10" s="24">
        <v>2020</v>
      </c>
      <c r="D10" s="32">
        <f>40.26*1000</f>
        <v>40260</v>
      </c>
      <c r="E10" s="18">
        <f>(4852*5%)+4852</f>
        <v>5094.6000000000004</v>
      </c>
      <c r="F10" s="32">
        <f>1.235*1000</f>
        <v>1235</v>
      </c>
      <c r="G10" s="34">
        <f>63.63+91.98</f>
        <v>155.61000000000001</v>
      </c>
      <c r="H10" s="32">
        <f>0.1*1000</f>
        <v>100</v>
      </c>
      <c r="I10" s="18">
        <f>6.83+6.83</f>
        <v>13.66</v>
      </c>
      <c r="J10" s="32">
        <v>0</v>
      </c>
      <c r="K10" s="18">
        <v>0</v>
      </c>
      <c r="L10" s="32">
        <v>6000</v>
      </c>
      <c r="M10" s="34">
        <v>897.75</v>
      </c>
      <c r="N10" s="28">
        <v>0</v>
      </c>
      <c r="O10" s="18">
        <v>0</v>
      </c>
      <c r="P10" s="49"/>
      <c r="R10" s="68"/>
      <c r="S10" s="69"/>
    </row>
    <row r="11" spans="1:19" ht="15" customHeight="1" x14ac:dyDescent="0.25">
      <c r="A11" s="17" t="s">
        <v>3</v>
      </c>
      <c r="B11" s="5">
        <v>10</v>
      </c>
      <c r="C11" s="24">
        <v>2020</v>
      </c>
      <c r="D11" s="32">
        <f>38.83*1000</f>
        <v>38830</v>
      </c>
      <c r="E11" s="18">
        <f>(4520*5%)+4520</f>
        <v>4746</v>
      </c>
      <c r="F11" s="32">
        <f>1.915*1000</f>
        <v>1915</v>
      </c>
      <c r="G11" s="18">
        <f>91.98+76.23+73.08</f>
        <v>241.29000000000002</v>
      </c>
      <c r="H11" s="32">
        <f>0.1*1000</f>
        <v>100</v>
      </c>
      <c r="I11" s="18">
        <f>2.73+4.1+6.83</f>
        <v>13.66</v>
      </c>
      <c r="J11" s="32">
        <v>0</v>
      </c>
      <c r="K11" s="18">
        <v>0</v>
      </c>
      <c r="L11" s="32">
        <v>0</v>
      </c>
      <c r="M11" s="18">
        <v>0</v>
      </c>
      <c r="N11" s="28">
        <v>0</v>
      </c>
      <c r="O11" s="18">
        <v>0</v>
      </c>
      <c r="P11" s="49"/>
      <c r="R11" s="68"/>
      <c r="S11" s="69"/>
    </row>
    <row r="12" spans="1:19" ht="15" customHeight="1" x14ac:dyDescent="0.25">
      <c r="A12" s="17" t="s">
        <v>3</v>
      </c>
      <c r="B12" s="5">
        <v>11</v>
      </c>
      <c r="C12" s="24">
        <v>2020</v>
      </c>
      <c r="D12" s="32">
        <f>20.25*1000</f>
        <v>20250</v>
      </c>
      <c r="E12" s="18">
        <f>(2437*5%)+2437</f>
        <v>2558.85</v>
      </c>
      <c r="F12" s="32">
        <f>0.52*1000</f>
        <v>520</v>
      </c>
      <c r="G12" s="18">
        <v>65.52</v>
      </c>
      <c r="H12" s="32">
        <f>0.03*1000</f>
        <v>30</v>
      </c>
      <c r="I12" s="18">
        <v>4.0999999999999996</v>
      </c>
      <c r="J12" s="32">
        <v>0</v>
      </c>
      <c r="K12" s="18">
        <v>0</v>
      </c>
      <c r="L12" s="32">
        <f>6.5*1000</f>
        <v>6500</v>
      </c>
      <c r="M12" s="18">
        <f>822.94+149.63</f>
        <v>972.57</v>
      </c>
      <c r="N12" s="28">
        <v>0</v>
      </c>
      <c r="O12" s="18">
        <v>0</v>
      </c>
      <c r="P12" s="49"/>
      <c r="R12" s="68"/>
      <c r="S12" s="69"/>
    </row>
    <row r="13" spans="1:19" ht="15" customHeight="1" thickBot="1" x14ac:dyDescent="0.3">
      <c r="A13" s="19" t="s">
        <v>3</v>
      </c>
      <c r="B13" s="20">
        <v>12</v>
      </c>
      <c r="C13" s="25">
        <v>2020</v>
      </c>
      <c r="D13" s="33">
        <v>24150</v>
      </c>
      <c r="E13" s="21">
        <f>1181.25+3042.9</f>
        <v>4224.1499999999996</v>
      </c>
      <c r="F13" s="33">
        <v>1230</v>
      </c>
      <c r="G13" s="21">
        <v>236.16</v>
      </c>
      <c r="H13" s="33">
        <v>0</v>
      </c>
      <c r="I13" s="21">
        <v>0</v>
      </c>
      <c r="J13" s="33">
        <v>0</v>
      </c>
      <c r="K13" s="21">
        <v>0</v>
      </c>
      <c r="L13" s="33">
        <v>800</v>
      </c>
      <c r="M13" s="21">
        <v>800</v>
      </c>
      <c r="N13" s="29">
        <v>0</v>
      </c>
      <c r="O13" s="21">
        <v>0</v>
      </c>
      <c r="P13" s="1"/>
      <c r="R13" s="68"/>
      <c r="S13" s="69"/>
    </row>
    <row r="14" spans="1:19" ht="24.95" customHeight="1" thickBot="1" x14ac:dyDescent="0.3">
      <c r="A14" s="47" t="s">
        <v>18</v>
      </c>
      <c r="B14" s="48"/>
      <c r="C14" s="35">
        <v>2020</v>
      </c>
      <c r="D14" s="36">
        <f t="shared" ref="D14:O14" si="0">SUM(D2:D13)</f>
        <v>439030</v>
      </c>
      <c r="E14" s="37">
        <f t="shared" si="0"/>
        <v>54063.44999999999</v>
      </c>
      <c r="F14" s="36">
        <f t="shared" si="0"/>
        <v>17490</v>
      </c>
      <c r="G14" s="37">
        <f t="shared" si="0"/>
        <v>2284.92</v>
      </c>
      <c r="H14" s="36">
        <f t="shared" si="0"/>
        <v>1010</v>
      </c>
      <c r="I14" s="37">
        <f t="shared" si="0"/>
        <v>137.89500000000001</v>
      </c>
      <c r="J14" s="36">
        <f t="shared" si="0"/>
        <v>350</v>
      </c>
      <c r="K14" s="37">
        <f t="shared" si="0"/>
        <v>49.614999999999995</v>
      </c>
      <c r="L14" s="36">
        <f t="shared" si="0"/>
        <v>25300</v>
      </c>
      <c r="M14" s="37">
        <f t="shared" si="0"/>
        <v>4465.82</v>
      </c>
      <c r="N14" s="38">
        <f t="shared" si="0"/>
        <v>110</v>
      </c>
      <c r="O14" s="37">
        <f t="shared" si="0"/>
        <v>23.099999999999998</v>
      </c>
    </row>
    <row r="25" spans="16:16" x14ac:dyDescent="0.25">
      <c r="P25" s="39"/>
    </row>
  </sheetData>
  <mergeCells count="2">
    <mergeCell ref="A14:B14"/>
    <mergeCell ref="P2:P12"/>
  </mergeCells>
  <printOptions horizontalCentered="1"/>
  <pageMargins left="0.25" right="0.25" top="0.5" bottom="0.75" header="0" footer="0"/>
  <pageSetup scale="62" orientation="landscape" r:id="rId1"/>
  <headerFooter alignWithMargins="0"/>
  <colBreaks count="1" manualBreakCount="1">
    <brk id="15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selection activeCell="G24" sqref="G24"/>
    </sheetView>
  </sheetViews>
  <sheetFormatPr defaultRowHeight="15" x14ac:dyDescent="0.25"/>
  <cols>
    <col min="1" max="1" width="14.42578125" style="1" customWidth="1"/>
    <col min="2" max="2" width="12.42578125" style="1" customWidth="1"/>
    <col min="3" max="3" width="9.140625" style="1"/>
    <col min="4" max="4" width="19" style="1" customWidth="1"/>
    <col min="5" max="5" width="15.28515625" style="1" customWidth="1"/>
    <col min="6" max="6" width="15.85546875" style="1" customWidth="1"/>
    <col min="7" max="7" width="13.85546875" style="1" customWidth="1"/>
    <col min="8" max="8" width="14.28515625" style="1" customWidth="1"/>
    <col min="9" max="10" width="15.42578125" style="1" customWidth="1"/>
    <col min="11" max="11" width="15.28515625" style="1" customWidth="1"/>
    <col min="12" max="12" width="14.140625" style="1" customWidth="1"/>
    <col min="13" max="13" width="15" style="1" customWidth="1"/>
    <col min="14" max="14" width="15.5703125" style="1" customWidth="1"/>
    <col min="15" max="15" width="15.42578125" style="1" customWidth="1"/>
    <col min="16" max="16" width="15.5703125" style="1" customWidth="1"/>
    <col min="17" max="17" width="15.42578125" style="1" customWidth="1"/>
    <col min="18" max="18" width="15.5703125" style="1" customWidth="1"/>
    <col min="19" max="19" width="15.42578125" style="1" customWidth="1"/>
  </cols>
  <sheetData>
    <row r="1" spans="1:19" ht="45.75" thickBot="1" x14ac:dyDescent="0.3">
      <c r="A1" s="40" t="s">
        <v>0</v>
      </c>
      <c r="B1" s="41" t="s">
        <v>1</v>
      </c>
      <c r="C1" s="43" t="s">
        <v>2</v>
      </c>
      <c r="D1" s="45" t="s">
        <v>4</v>
      </c>
      <c r="E1" s="42" t="s">
        <v>9</v>
      </c>
      <c r="F1" s="45" t="s">
        <v>5</v>
      </c>
      <c r="G1" s="42" t="s">
        <v>10</v>
      </c>
      <c r="H1" s="45" t="s">
        <v>6</v>
      </c>
      <c r="I1" s="42" t="s">
        <v>11</v>
      </c>
      <c r="J1" s="45" t="s">
        <v>7</v>
      </c>
      <c r="K1" s="42" t="s">
        <v>12</v>
      </c>
      <c r="L1" s="45" t="s">
        <v>15</v>
      </c>
      <c r="M1" s="42" t="s">
        <v>13</v>
      </c>
      <c r="N1" s="45" t="s">
        <v>8</v>
      </c>
      <c r="O1" s="42" t="s">
        <v>14</v>
      </c>
      <c r="P1" s="45" t="s">
        <v>20</v>
      </c>
      <c r="Q1" s="42" t="s">
        <v>19</v>
      </c>
      <c r="R1" s="44" t="s">
        <v>16</v>
      </c>
      <c r="S1" s="42" t="s">
        <v>17</v>
      </c>
    </row>
    <row r="2" spans="1:19" ht="15" customHeight="1" x14ac:dyDescent="0.25">
      <c r="A2" s="14" t="s">
        <v>3</v>
      </c>
      <c r="B2" s="15">
        <v>1</v>
      </c>
      <c r="C2" s="23">
        <v>2019</v>
      </c>
      <c r="D2" s="31">
        <f>51.44*1000</f>
        <v>51440</v>
      </c>
      <c r="E2" s="18">
        <f>(6993.86*5%)+6993.86</f>
        <v>7343.5529999999999</v>
      </c>
      <c r="F2" s="31">
        <f>2.36*1000</f>
        <v>2360</v>
      </c>
      <c r="G2" s="16">
        <v>545.16</v>
      </c>
      <c r="H2" s="31">
        <f>0.01*1000</f>
        <v>10</v>
      </c>
      <c r="I2" s="16">
        <v>1.31</v>
      </c>
      <c r="J2" s="31">
        <f>0.3*1000</f>
        <v>300</v>
      </c>
      <c r="K2" s="16">
        <v>78.75</v>
      </c>
      <c r="L2" s="31">
        <v>285</v>
      </c>
      <c r="M2" s="16">
        <v>149.63</v>
      </c>
      <c r="N2" s="31">
        <v>0</v>
      </c>
      <c r="O2" s="16">
        <v>0</v>
      </c>
      <c r="P2" s="31">
        <v>0</v>
      </c>
      <c r="Q2" s="16">
        <v>0</v>
      </c>
      <c r="R2" s="27">
        <f>0.42*1000</f>
        <v>420</v>
      </c>
      <c r="S2" s="16">
        <v>210</v>
      </c>
    </row>
    <row r="3" spans="1:19" ht="15" customHeight="1" x14ac:dyDescent="0.25">
      <c r="A3" s="17" t="s">
        <v>3</v>
      </c>
      <c r="B3" s="5">
        <v>2</v>
      </c>
      <c r="C3" s="24">
        <v>2019</v>
      </c>
      <c r="D3" s="32">
        <f>45.78*1000</f>
        <v>45780</v>
      </c>
      <c r="E3" s="18">
        <f>(6199.28*5%)+6199.28</f>
        <v>6509.2439999999997</v>
      </c>
      <c r="F3" s="32">
        <f>1.59*1000</f>
        <v>1590</v>
      </c>
      <c r="G3" s="18">
        <v>325.55</v>
      </c>
      <c r="H3" s="32">
        <v>0</v>
      </c>
      <c r="I3" s="18">
        <v>0</v>
      </c>
      <c r="J3" s="32">
        <f>0.23*1000</f>
        <v>230</v>
      </c>
      <c r="K3" s="18">
        <v>60.38</v>
      </c>
      <c r="L3" s="32">
        <v>855</v>
      </c>
      <c r="M3" s="18">
        <v>448.88</v>
      </c>
      <c r="N3" s="32">
        <v>0</v>
      </c>
      <c r="O3" s="18">
        <v>0</v>
      </c>
      <c r="P3" s="32">
        <v>0</v>
      </c>
      <c r="Q3" s="18">
        <v>0</v>
      </c>
      <c r="R3" s="28">
        <v>0</v>
      </c>
      <c r="S3" s="18">
        <v>0</v>
      </c>
    </row>
    <row r="4" spans="1:19" ht="15" customHeight="1" x14ac:dyDescent="0.25">
      <c r="A4" s="17" t="s">
        <v>3</v>
      </c>
      <c r="B4" s="8">
        <v>3</v>
      </c>
      <c r="C4" s="24">
        <v>2019</v>
      </c>
      <c r="D4" s="32">
        <f>47.93*1000</f>
        <v>47930</v>
      </c>
      <c r="E4" s="18">
        <f>1554+5020.49</f>
        <v>6574.49</v>
      </c>
      <c r="F4" s="32">
        <f>2.17*1000</f>
        <v>2170</v>
      </c>
      <c r="G4" s="18">
        <v>273.42</v>
      </c>
      <c r="H4" s="32">
        <f>0.02*1000</f>
        <v>20</v>
      </c>
      <c r="I4" s="18">
        <v>2.1</v>
      </c>
      <c r="J4" s="32">
        <v>0</v>
      </c>
      <c r="K4" s="18">
        <v>0</v>
      </c>
      <c r="L4" s="32">
        <v>855</v>
      </c>
      <c r="M4" s="18">
        <v>448.88</v>
      </c>
      <c r="N4" s="32">
        <v>0</v>
      </c>
      <c r="O4" s="18">
        <v>0</v>
      </c>
      <c r="P4" s="32">
        <v>0</v>
      </c>
      <c r="Q4" s="18">
        <v>0</v>
      </c>
      <c r="R4" s="28">
        <v>0</v>
      </c>
      <c r="S4" s="18">
        <v>0</v>
      </c>
    </row>
    <row r="5" spans="1:19" s="75" customFormat="1" ht="15" customHeight="1" x14ac:dyDescent="0.25">
      <c r="A5" s="73" t="s">
        <v>3</v>
      </c>
      <c r="B5" s="8">
        <v>4</v>
      </c>
      <c r="C5" s="74">
        <v>2019</v>
      </c>
      <c r="D5" s="32">
        <f>49.87*1000</f>
        <v>49870</v>
      </c>
      <c r="E5" s="34">
        <f>(6875.96*5%)+6875.96</f>
        <v>7219.7579999999998</v>
      </c>
      <c r="F5" s="32">
        <f>1.86*1000</f>
        <v>1860</v>
      </c>
      <c r="G5" s="34">
        <v>362.72</v>
      </c>
      <c r="H5" s="32">
        <v>0</v>
      </c>
      <c r="I5" s="34">
        <v>0</v>
      </c>
      <c r="J5" s="32">
        <f>0.07*1000</f>
        <v>70</v>
      </c>
      <c r="K5" s="34">
        <v>17.850000000000001</v>
      </c>
      <c r="L5" s="32">
        <v>855</v>
      </c>
      <c r="M5" s="34">
        <v>448.88</v>
      </c>
      <c r="N5" s="32">
        <f>0.01*1000</f>
        <v>10</v>
      </c>
      <c r="O5" s="34">
        <v>2.1</v>
      </c>
      <c r="P5" s="32">
        <f>0.001*1000</f>
        <v>1</v>
      </c>
      <c r="Q5" s="34">
        <v>1.26</v>
      </c>
      <c r="R5" s="28">
        <v>0</v>
      </c>
      <c r="S5" s="34">
        <v>0</v>
      </c>
    </row>
    <row r="6" spans="1:19" ht="15" customHeight="1" x14ac:dyDescent="0.25">
      <c r="A6" s="17" t="s">
        <v>3</v>
      </c>
      <c r="B6" s="5">
        <v>5</v>
      </c>
      <c r="C6" s="24">
        <v>2019</v>
      </c>
      <c r="D6" s="32">
        <f>54.42*1000</f>
        <v>54420</v>
      </c>
      <c r="E6" s="18">
        <f>2682.75+3857.7</f>
        <v>6540.45</v>
      </c>
      <c r="F6" s="32">
        <f>1.7*1000</f>
        <v>1700</v>
      </c>
      <c r="G6" s="18">
        <v>214.2</v>
      </c>
      <c r="H6" s="32">
        <f>0.01*1000</f>
        <v>10</v>
      </c>
      <c r="I6" s="18">
        <v>1.05</v>
      </c>
      <c r="J6" s="32">
        <f>0.15*1000</f>
        <v>150</v>
      </c>
      <c r="K6" s="18">
        <v>35.44</v>
      </c>
      <c r="L6" s="32">
        <v>855</v>
      </c>
      <c r="M6" s="18">
        <v>448.88</v>
      </c>
      <c r="N6" s="32">
        <v>0</v>
      </c>
      <c r="O6" s="18">
        <v>0</v>
      </c>
      <c r="P6" s="32">
        <v>0</v>
      </c>
      <c r="Q6" s="18">
        <v>0</v>
      </c>
      <c r="R6" s="28">
        <v>0</v>
      </c>
      <c r="S6" s="18">
        <v>0</v>
      </c>
    </row>
    <row r="7" spans="1:19" ht="15" customHeight="1" x14ac:dyDescent="0.25">
      <c r="A7" s="17" t="s">
        <v>3</v>
      </c>
      <c r="B7" s="5">
        <v>6</v>
      </c>
      <c r="C7" s="24">
        <v>2019</v>
      </c>
      <c r="D7" s="32">
        <f>46.47*1000</f>
        <v>46470</v>
      </c>
      <c r="E7" s="18">
        <f>1533+3672.9</f>
        <v>5205.8999999999996</v>
      </c>
      <c r="F7" s="32">
        <f>1.18*1000</f>
        <v>1180</v>
      </c>
      <c r="G7" s="18">
        <v>148.68</v>
      </c>
      <c r="H7" s="32">
        <v>0</v>
      </c>
      <c r="I7" s="18">
        <v>0</v>
      </c>
      <c r="J7" s="32">
        <v>0</v>
      </c>
      <c r="K7" s="18">
        <v>0</v>
      </c>
      <c r="L7" s="32">
        <v>855</v>
      </c>
      <c r="M7" s="18">
        <v>448.88</v>
      </c>
      <c r="N7" s="32">
        <v>0</v>
      </c>
      <c r="O7" s="18">
        <v>0</v>
      </c>
      <c r="P7" s="32">
        <v>0</v>
      </c>
      <c r="Q7" s="18">
        <v>0</v>
      </c>
      <c r="R7" s="28">
        <v>0</v>
      </c>
      <c r="S7" s="18">
        <v>0</v>
      </c>
    </row>
    <row r="8" spans="1:19" ht="15" customHeight="1" x14ac:dyDescent="0.25">
      <c r="A8" s="17" t="s">
        <v>3</v>
      </c>
      <c r="B8" s="5">
        <v>7</v>
      </c>
      <c r="C8" s="24">
        <v>2019</v>
      </c>
      <c r="D8" s="32">
        <f>47.37*1000</f>
        <v>47370</v>
      </c>
      <c r="E8" s="18">
        <f>(4969*5%)+4969</f>
        <v>5217.45</v>
      </c>
      <c r="F8" s="32">
        <f>1.77*1000</f>
        <v>1770</v>
      </c>
      <c r="G8" s="18">
        <v>223.02</v>
      </c>
      <c r="H8" s="32">
        <v>0</v>
      </c>
      <c r="I8" s="18">
        <v>0</v>
      </c>
      <c r="J8" s="32">
        <v>0</v>
      </c>
      <c r="K8" s="18">
        <v>0</v>
      </c>
      <c r="L8" s="32">
        <v>0</v>
      </c>
      <c r="M8" s="18">
        <v>0</v>
      </c>
      <c r="N8" s="32">
        <v>0</v>
      </c>
      <c r="O8" s="18">
        <v>0</v>
      </c>
      <c r="P8" s="32">
        <v>0</v>
      </c>
      <c r="Q8" s="18">
        <v>0</v>
      </c>
      <c r="R8" s="28">
        <v>0</v>
      </c>
      <c r="S8" s="18">
        <v>0</v>
      </c>
    </row>
    <row r="9" spans="1:19" ht="15" customHeight="1" x14ac:dyDescent="0.25">
      <c r="A9" s="17" t="s">
        <v>3</v>
      </c>
      <c r="B9" s="8">
        <v>8</v>
      </c>
      <c r="C9" s="24">
        <v>2019</v>
      </c>
      <c r="D9" s="32">
        <f>46.44*1000</f>
        <v>46440</v>
      </c>
      <c r="E9" s="18">
        <f>(5037*5%)+5037</f>
        <v>5288.85</v>
      </c>
      <c r="F9" s="32">
        <f>0.89*1000</f>
        <v>890</v>
      </c>
      <c r="G9" s="34">
        <v>112.14</v>
      </c>
      <c r="H9" s="32">
        <f>0.15*1000</f>
        <v>150</v>
      </c>
      <c r="I9" s="34">
        <v>20.48</v>
      </c>
      <c r="J9" s="32">
        <f>0.07*1000</f>
        <v>70</v>
      </c>
      <c r="K9" s="18">
        <v>16.54</v>
      </c>
      <c r="L9" s="32">
        <v>1140</v>
      </c>
      <c r="M9" s="34">
        <v>598.5</v>
      </c>
      <c r="N9" s="32">
        <v>0</v>
      </c>
      <c r="O9" s="18">
        <v>0</v>
      </c>
      <c r="P9" s="32">
        <v>0</v>
      </c>
      <c r="Q9" s="18">
        <v>0</v>
      </c>
      <c r="R9" s="28">
        <v>0</v>
      </c>
      <c r="S9" s="18">
        <v>0</v>
      </c>
    </row>
    <row r="10" spans="1:19" ht="15" customHeight="1" x14ac:dyDescent="0.25">
      <c r="A10" s="17" t="s">
        <v>3</v>
      </c>
      <c r="B10" s="8">
        <v>9</v>
      </c>
      <c r="C10" s="24">
        <v>2019</v>
      </c>
      <c r="D10" s="32">
        <f>51.47*1000</f>
        <v>51470</v>
      </c>
      <c r="E10" s="18">
        <f>(5644*5%)+5644</f>
        <v>5926.2</v>
      </c>
      <c r="F10" s="32">
        <f>2.24*1000</f>
        <v>2240</v>
      </c>
      <c r="G10" s="34">
        <v>282.24</v>
      </c>
      <c r="H10" s="32">
        <f>0.055*1000</f>
        <v>55</v>
      </c>
      <c r="I10" s="18">
        <v>7.51</v>
      </c>
      <c r="J10" s="32">
        <v>0</v>
      </c>
      <c r="K10" s="18">
        <v>0</v>
      </c>
      <c r="L10" s="32">
        <v>855</v>
      </c>
      <c r="M10" s="34">
        <v>448.88</v>
      </c>
      <c r="N10" s="32">
        <v>0</v>
      </c>
      <c r="O10" s="18">
        <v>0</v>
      </c>
      <c r="P10" s="32">
        <v>0</v>
      </c>
      <c r="Q10" s="18">
        <v>0</v>
      </c>
      <c r="R10" s="28">
        <v>0</v>
      </c>
      <c r="S10" s="18">
        <v>0</v>
      </c>
    </row>
    <row r="11" spans="1:19" ht="15" customHeight="1" x14ac:dyDescent="0.25">
      <c r="A11" s="17" t="s">
        <v>3</v>
      </c>
      <c r="B11" s="5">
        <v>10</v>
      </c>
      <c r="C11" s="24">
        <v>2019</v>
      </c>
      <c r="D11" s="32">
        <f>56.54*1000</f>
        <v>56540</v>
      </c>
      <c r="E11" s="18">
        <f>(6394*5%)+6394</f>
        <v>6713.7</v>
      </c>
      <c r="F11" s="32">
        <f>1.575*1000</f>
        <v>1575</v>
      </c>
      <c r="G11" s="18">
        <v>198.45</v>
      </c>
      <c r="H11" s="32">
        <f>0.05*1000</f>
        <v>50</v>
      </c>
      <c r="I11" s="18">
        <v>6.83</v>
      </c>
      <c r="J11" s="32">
        <v>0</v>
      </c>
      <c r="K11" s="18">
        <v>0</v>
      </c>
      <c r="L11" s="32">
        <v>0</v>
      </c>
      <c r="M11" s="18">
        <v>0</v>
      </c>
      <c r="N11" s="32">
        <v>0</v>
      </c>
      <c r="O11" s="18">
        <v>0</v>
      </c>
      <c r="P11" s="32">
        <v>0</v>
      </c>
      <c r="Q11" s="18">
        <v>0</v>
      </c>
      <c r="R11" s="28">
        <v>0</v>
      </c>
      <c r="S11" s="18">
        <v>0</v>
      </c>
    </row>
    <row r="12" spans="1:19" ht="15" customHeight="1" x14ac:dyDescent="0.25">
      <c r="A12" s="17" t="s">
        <v>3</v>
      </c>
      <c r="B12" s="5">
        <v>11</v>
      </c>
      <c r="C12" s="24">
        <v>2019</v>
      </c>
      <c r="D12" s="32">
        <f>56.64*1000</f>
        <v>56640</v>
      </c>
      <c r="E12" s="18">
        <f>(6361*5%)+6361</f>
        <v>6679.05</v>
      </c>
      <c r="F12" s="32">
        <f>2.91*1000</f>
        <v>2910</v>
      </c>
      <c r="G12" s="18">
        <v>366.66</v>
      </c>
      <c r="H12" s="32">
        <v>0</v>
      </c>
      <c r="I12" s="18">
        <v>0</v>
      </c>
      <c r="J12" s="32">
        <f>0.1*1000</f>
        <v>100</v>
      </c>
      <c r="K12" s="18">
        <v>23.63</v>
      </c>
      <c r="L12" s="32">
        <f>855+855</f>
        <v>1710</v>
      </c>
      <c r="M12" s="18">
        <v>897.75</v>
      </c>
      <c r="N12" s="32">
        <v>0</v>
      </c>
      <c r="O12" s="18">
        <v>0</v>
      </c>
      <c r="P12" s="32">
        <v>0</v>
      </c>
      <c r="Q12" s="18">
        <v>0</v>
      </c>
      <c r="R12" s="28">
        <v>0</v>
      </c>
      <c r="S12" s="18">
        <v>0</v>
      </c>
    </row>
    <row r="13" spans="1:19" ht="15" customHeight="1" thickBot="1" x14ac:dyDescent="0.3">
      <c r="A13" s="19" t="s">
        <v>3</v>
      </c>
      <c r="B13" s="20">
        <v>12</v>
      </c>
      <c r="C13" s="25">
        <v>2019</v>
      </c>
      <c r="D13" s="33">
        <f>55.27*1000</f>
        <v>55270</v>
      </c>
      <c r="E13" s="18">
        <f>(5895*5%)+5895</f>
        <v>6189.75</v>
      </c>
      <c r="F13" s="33">
        <f>3.003*1000</f>
        <v>3003</v>
      </c>
      <c r="G13" s="21">
        <v>378.38</v>
      </c>
      <c r="H13" s="33">
        <f>0.215*1000</f>
        <v>215</v>
      </c>
      <c r="I13" s="21">
        <v>29.35</v>
      </c>
      <c r="J13" s="33">
        <v>0</v>
      </c>
      <c r="K13" s="21">
        <v>0</v>
      </c>
      <c r="L13" s="33">
        <v>1140</v>
      </c>
      <c r="M13" s="21">
        <v>598.5</v>
      </c>
      <c r="N13" s="33">
        <v>0</v>
      </c>
      <c r="O13" s="21">
        <v>0</v>
      </c>
      <c r="P13" s="33">
        <v>0</v>
      </c>
      <c r="Q13" s="21">
        <v>0</v>
      </c>
      <c r="R13" s="29">
        <v>0</v>
      </c>
      <c r="S13" s="21">
        <v>0</v>
      </c>
    </row>
    <row r="14" spans="1:19" ht="24.95" customHeight="1" thickBot="1" x14ac:dyDescent="0.3">
      <c r="A14" s="47" t="s">
        <v>18</v>
      </c>
      <c r="B14" s="48"/>
      <c r="C14" s="35">
        <v>2019</v>
      </c>
      <c r="D14" s="36">
        <f>SUM(D2:D13)</f>
        <v>609640</v>
      </c>
      <c r="E14" s="37">
        <f>SUM(E2:E13)</f>
        <v>75408.39499999999</v>
      </c>
      <c r="F14" s="36">
        <f>SUM(F2:F13)</f>
        <v>23248</v>
      </c>
      <c r="G14" s="37">
        <f>SUM(G2:G13)</f>
        <v>3430.62</v>
      </c>
      <c r="H14" s="36">
        <f>SUM(H2:H13)</f>
        <v>510</v>
      </c>
      <c r="I14" s="37">
        <f>SUM(I2:I13)</f>
        <v>68.63</v>
      </c>
      <c r="J14" s="36">
        <f>SUM(J2:J13)</f>
        <v>920</v>
      </c>
      <c r="K14" s="37">
        <f>SUM(K2:K13)</f>
        <v>232.58999999999997</v>
      </c>
      <c r="L14" s="36">
        <f>SUM(L2:L13)</f>
        <v>9405</v>
      </c>
      <c r="M14" s="37">
        <f>SUM(M2:M13)</f>
        <v>4937.66</v>
      </c>
      <c r="N14" s="36">
        <f>SUM(N2:N13)</f>
        <v>10</v>
      </c>
      <c r="O14" s="37">
        <f>SUM(O2:O13)</f>
        <v>2.1</v>
      </c>
      <c r="P14" s="36">
        <f>SUM(P2:P13)</f>
        <v>1</v>
      </c>
      <c r="Q14" s="37">
        <f>SUM(Q2:Q13)</f>
        <v>1.26</v>
      </c>
      <c r="R14" s="38">
        <f>SUM(R2:R13)</f>
        <v>420</v>
      </c>
      <c r="S14" s="37">
        <f>SUM(S2:S13)</f>
        <v>210</v>
      </c>
    </row>
    <row r="18" spans="2:14" x14ac:dyDescent="0.25">
      <c r="G18" s="69"/>
      <c r="I18" s="69"/>
    </row>
    <row r="19" spans="2:14" x14ac:dyDescent="0.25">
      <c r="F19" s="69"/>
    </row>
    <row r="20" spans="2:14" x14ac:dyDescent="0.25">
      <c r="F20" s="69"/>
    </row>
    <row r="21" spans="2:14" x14ac:dyDescent="0.25">
      <c r="G21" s="69"/>
      <c r="I21" s="69"/>
      <c r="L21" s="69"/>
      <c r="M21" s="69"/>
      <c r="N21" s="69"/>
    </row>
    <row r="22" spans="2:14" x14ac:dyDescent="0.25">
      <c r="G22" s="69"/>
      <c r="I22" s="46"/>
      <c r="J22" s="46"/>
      <c r="K22" s="46"/>
      <c r="N22" s="69"/>
    </row>
    <row r="23" spans="2:14" x14ac:dyDescent="0.25">
      <c r="G23" s="69"/>
      <c r="I23" s="46"/>
      <c r="J23" s="46"/>
      <c r="K23" s="46"/>
    </row>
    <row r="24" spans="2:14" x14ac:dyDescent="0.25">
      <c r="G24" s="69"/>
      <c r="H24" s="69"/>
      <c r="I24" s="69"/>
      <c r="J24" s="69"/>
      <c r="K24" s="69"/>
      <c r="L24" s="69"/>
    </row>
    <row r="25" spans="2:14" x14ac:dyDescent="0.25">
      <c r="E25" s="69"/>
      <c r="G25" s="69"/>
      <c r="H25" s="69"/>
      <c r="I25" s="69"/>
      <c r="J25" s="69"/>
      <c r="K25" s="69"/>
      <c r="L25" s="69"/>
      <c r="M25" s="69"/>
    </row>
    <row r="26" spans="2:14" x14ac:dyDescent="0.25">
      <c r="G26" s="69"/>
      <c r="H26" s="69"/>
      <c r="I26" s="69"/>
      <c r="J26" s="69"/>
      <c r="K26" s="69"/>
      <c r="L26" s="69"/>
      <c r="M26" s="69"/>
    </row>
    <row r="27" spans="2:14" x14ac:dyDescent="0.25">
      <c r="G27" s="69"/>
      <c r="H27" s="69"/>
      <c r="I27" s="69"/>
      <c r="J27" s="69"/>
      <c r="K27" s="69"/>
      <c r="L27" s="69"/>
    </row>
    <row r="31" spans="2:14" x14ac:dyDescent="0.25">
      <c r="B31" s="46"/>
    </row>
    <row r="32" spans="2:14" x14ac:dyDescent="0.25">
      <c r="B32" s="46"/>
    </row>
    <row r="33" spans="2:14" x14ac:dyDescent="0.25">
      <c r="B33" s="46"/>
      <c r="C33" s="46"/>
      <c r="D33" s="46"/>
      <c r="H33" s="46"/>
    </row>
    <row r="34" spans="2:14" x14ac:dyDescent="0.25">
      <c r="H34" s="46"/>
      <c r="J34" s="46"/>
      <c r="K34" s="46"/>
      <c r="L34" s="46"/>
      <c r="M34" s="46"/>
      <c r="N34" s="46"/>
    </row>
    <row r="36" spans="2:14" x14ac:dyDescent="0.25">
      <c r="H36" s="46"/>
    </row>
  </sheetData>
  <mergeCells count="1">
    <mergeCell ref="A14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activeCell="F32" sqref="F32"/>
    </sheetView>
  </sheetViews>
  <sheetFormatPr defaultRowHeight="15" x14ac:dyDescent="0.25"/>
  <cols>
    <col min="1" max="1" width="14.42578125" style="1" customWidth="1"/>
    <col min="2" max="2" width="12.42578125" style="1" customWidth="1"/>
    <col min="3" max="3" width="9.140625" style="1"/>
    <col min="4" max="4" width="19" style="1" customWidth="1"/>
    <col min="5" max="5" width="15.28515625" style="1" customWidth="1"/>
    <col min="6" max="6" width="15.85546875" style="1" customWidth="1"/>
    <col min="7" max="7" width="13.85546875" style="1" customWidth="1"/>
    <col min="8" max="8" width="14.28515625" style="1" customWidth="1"/>
    <col min="9" max="10" width="15.42578125" style="1" customWidth="1"/>
    <col min="11" max="11" width="15.28515625" style="1" customWidth="1"/>
    <col min="12" max="12" width="14.140625" style="1" customWidth="1"/>
    <col min="13" max="13" width="15" style="1" customWidth="1"/>
    <col min="14" max="14" width="15.5703125" style="1" customWidth="1"/>
    <col min="15" max="15" width="15.42578125" style="1" customWidth="1"/>
    <col min="16" max="16" width="10.85546875" bestFit="1" customWidth="1"/>
  </cols>
  <sheetData>
    <row r="1" spans="1:16" ht="45" x14ac:dyDescent="0.25">
      <c r="A1" s="3" t="s">
        <v>0</v>
      </c>
      <c r="B1" s="3" t="s">
        <v>1</v>
      </c>
      <c r="C1" s="3" t="s">
        <v>2</v>
      </c>
      <c r="D1" s="9" t="s">
        <v>4</v>
      </c>
      <c r="E1" s="4" t="s">
        <v>9</v>
      </c>
      <c r="F1" s="9" t="s">
        <v>5</v>
      </c>
      <c r="G1" s="4" t="s">
        <v>10</v>
      </c>
      <c r="H1" s="9" t="s">
        <v>6</v>
      </c>
      <c r="I1" s="4" t="s">
        <v>11</v>
      </c>
      <c r="J1" s="9" t="s">
        <v>7</v>
      </c>
      <c r="K1" s="4" t="s">
        <v>12</v>
      </c>
      <c r="L1" s="9" t="s">
        <v>15</v>
      </c>
      <c r="M1" s="4" t="s">
        <v>13</v>
      </c>
      <c r="N1" s="9" t="s">
        <v>8</v>
      </c>
      <c r="O1" s="4" t="s">
        <v>14</v>
      </c>
    </row>
    <row r="2" spans="1:16" x14ac:dyDescent="0.25">
      <c r="A2" s="5" t="s">
        <v>3</v>
      </c>
      <c r="B2" s="5">
        <v>1</v>
      </c>
      <c r="C2" s="5">
        <v>2018</v>
      </c>
      <c r="D2" s="10">
        <f>47.92*1000</f>
        <v>47920</v>
      </c>
      <c r="E2" s="6">
        <v>10049.66</v>
      </c>
      <c r="F2" s="10">
        <f>1.97*1000</f>
        <v>1970</v>
      </c>
      <c r="G2" s="6">
        <f>985/2</f>
        <v>492.5</v>
      </c>
      <c r="H2" s="10">
        <v>0</v>
      </c>
      <c r="I2" s="6">
        <v>0</v>
      </c>
      <c r="J2" s="10">
        <v>0</v>
      </c>
      <c r="K2" s="6">
        <v>0</v>
      </c>
      <c r="L2" s="10">
        <f>1*1000</f>
        <v>1000</v>
      </c>
      <c r="M2" s="6">
        <v>525</v>
      </c>
      <c r="N2" s="10">
        <v>0</v>
      </c>
      <c r="O2" s="6">
        <v>0</v>
      </c>
      <c r="P2" s="56"/>
    </row>
    <row r="3" spans="1:16" x14ac:dyDescent="0.25">
      <c r="A3" s="5" t="s">
        <v>3</v>
      </c>
      <c r="B3" s="5">
        <v>2</v>
      </c>
      <c r="C3" s="5">
        <v>2018</v>
      </c>
      <c r="D3" s="10">
        <f>54.13*1000</f>
        <v>54130</v>
      </c>
      <c r="E3" s="6">
        <v>8202.92</v>
      </c>
      <c r="F3" s="10">
        <f>1.91*1000</f>
        <v>1910</v>
      </c>
      <c r="G3" s="6">
        <f>955*50%</f>
        <v>477.5</v>
      </c>
      <c r="H3" s="10">
        <f>0.03*1000</f>
        <v>30</v>
      </c>
      <c r="I3" s="6">
        <f>7.5*50%</f>
        <v>3.75</v>
      </c>
      <c r="J3" s="10">
        <v>0</v>
      </c>
      <c r="K3" s="6">
        <v>0</v>
      </c>
      <c r="L3" s="10">
        <f>0.55*1000</f>
        <v>550</v>
      </c>
      <c r="M3" s="6">
        <v>288.75</v>
      </c>
      <c r="N3" s="10">
        <f>0.005*1000</f>
        <v>5</v>
      </c>
      <c r="O3" s="6">
        <f>2*50%</f>
        <v>1</v>
      </c>
      <c r="P3" s="56"/>
    </row>
    <row r="4" spans="1:16" x14ac:dyDescent="0.25">
      <c r="A4" s="5" t="s">
        <v>3</v>
      </c>
      <c r="B4" s="5">
        <v>3</v>
      </c>
      <c r="C4" s="5">
        <v>2018</v>
      </c>
      <c r="D4" s="10">
        <f>53.05*1000</f>
        <v>53050</v>
      </c>
      <c r="E4" s="6">
        <v>8349.2900000000009</v>
      </c>
      <c r="F4" s="10">
        <f>1.45*1000</f>
        <v>1450</v>
      </c>
      <c r="G4" s="6">
        <v>357.32</v>
      </c>
      <c r="H4" s="10">
        <f>0.01*1000</f>
        <v>10</v>
      </c>
      <c r="I4" s="6">
        <v>1.31</v>
      </c>
      <c r="J4" s="10">
        <f>0.1*1000</f>
        <v>100</v>
      </c>
      <c r="K4" s="6">
        <v>26.25</v>
      </c>
      <c r="L4" s="10">
        <v>0</v>
      </c>
      <c r="M4" s="6">
        <v>0</v>
      </c>
      <c r="N4" s="10">
        <v>0</v>
      </c>
      <c r="O4" s="6">
        <v>0</v>
      </c>
      <c r="P4" s="56"/>
    </row>
    <row r="5" spans="1:16" x14ac:dyDescent="0.25">
      <c r="A5" s="5" t="s">
        <v>3</v>
      </c>
      <c r="B5" s="5">
        <v>4</v>
      </c>
      <c r="C5" s="5">
        <v>2018</v>
      </c>
      <c r="D5" s="10">
        <f>53.28*1000</f>
        <v>53280</v>
      </c>
      <c r="E5" s="6">
        <v>8540.81</v>
      </c>
      <c r="F5" s="10">
        <f>1.19*1000</f>
        <v>1190</v>
      </c>
      <c r="G5" s="6">
        <v>274.89</v>
      </c>
      <c r="H5" s="10">
        <f>0.084*1000</f>
        <v>84</v>
      </c>
      <c r="I5" s="6">
        <v>11.03</v>
      </c>
      <c r="J5" s="10">
        <f>0.19*1000</f>
        <v>190</v>
      </c>
      <c r="K5" s="6">
        <v>49.88</v>
      </c>
      <c r="L5" s="10">
        <f>1.6*1000</f>
        <v>1600</v>
      </c>
      <c r="M5" s="6">
        <v>840</v>
      </c>
      <c r="N5" s="10">
        <v>0</v>
      </c>
      <c r="O5" s="6">
        <v>0</v>
      </c>
      <c r="P5" s="56"/>
    </row>
    <row r="6" spans="1:16" x14ac:dyDescent="0.25">
      <c r="A6" s="5" t="s">
        <v>3</v>
      </c>
      <c r="B6" s="5">
        <v>5</v>
      </c>
      <c r="C6" s="5">
        <v>2018</v>
      </c>
      <c r="D6" s="10">
        <f>50.83*1000</f>
        <v>50830</v>
      </c>
      <c r="E6" s="6">
        <v>8812.2099999999991</v>
      </c>
      <c r="F6" s="10">
        <f>1.16*1000</f>
        <v>1160</v>
      </c>
      <c r="G6" s="6">
        <v>267.95999999999998</v>
      </c>
      <c r="H6" s="10">
        <f>0.02*1000</f>
        <v>20</v>
      </c>
      <c r="I6" s="6">
        <v>2.63</v>
      </c>
      <c r="J6" s="10">
        <f>0.1*1000</f>
        <v>100</v>
      </c>
      <c r="K6" s="6">
        <v>26.25</v>
      </c>
      <c r="L6" s="10">
        <f>0.8*1000</f>
        <v>800</v>
      </c>
      <c r="M6" s="6">
        <v>420</v>
      </c>
      <c r="N6" s="10">
        <v>0</v>
      </c>
      <c r="O6" s="6">
        <v>0</v>
      </c>
      <c r="P6" s="56"/>
    </row>
    <row r="7" spans="1:16" x14ac:dyDescent="0.25">
      <c r="A7" s="5" t="s">
        <v>3</v>
      </c>
      <c r="B7" s="5">
        <v>6</v>
      </c>
      <c r="C7" s="5">
        <v>2018</v>
      </c>
      <c r="D7" s="10">
        <f>49.26*1000</f>
        <v>49260</v>
      </c>
      <c r="E7" s="7">
        <v>7339.33</v>
      </c>
      <c r="F7" s="10">
        <f>1.38*1000</f>
        <v>1380</v>
      </c>
      <c r="G7" s="6">
        <v>318.77999999999997</v>
      </c>
      <c r="H7" s="10">
        <f>0.02*1000</f>
        <v>20</v>
      </c>
      <c r="I7" s="6">
        <v>2.63</v>
      </c>
      <c r="J7" s="10">
        <f>0.08*1000</f>
        <v>80</v>
      </c>
      <c r="K7" s="6">
        <v>21</v>
      </c>
      <c r="L7" s="10">
        <v>855</v>
      </c>
      <c r="M7" s="6">
        <v>448.88</v>
      </c>
      <c r="N7" s="10">
        <v>0</v>
      </c>
      <c r="O7" s="6">
        <v>0</v>
      </c>
      <c r="P7" s="56"/>
    </row>
    <row r="8" spans="1:16" x14ac:dyDescent="0.25">
      <c r="A8" s="5" t="s">
        <v>3</v>
      </c>
      <c r="B8" s="5">
        <v>7</v>
      </c>
      <c r="C8" s="5">
        <v>2018</v>
      </c>
      <c r="D8" s="10">
        <f>40.02*1000</f>
        <v>40020</v>
      </c>
      <c r="E8" s="6">
        <v>6232.38</v>
      </c>
      <c r="F8" s="10">
        <f>0.86*1000</f>
        <v>860</v>
      </c>
      <c r="G8" s="6">
        <v>198.66</v>
      </c>
      <c r="H8" s="10">
        <f>0.01*1000</f>
        <v>10</v>
      </c>
      <c r="I8" s="6">
        <v>1.31</v>
      </c>
      <c r="J8" s="10">
        <f>0.36*1000</f>
        <v>360</v>
      </c>
      <c r="K8" s="6">
        <v>94.5</v>
      </c>
      <c r="L8" s="10">
        <v>0</v>
      </c>
      <c r="M8" s="6">
        <v>0</v>
      </c>
      <c r="N8" s="10">
        <v>0</v>
      </c>
      <c r="O8" s="6">
        <v>0</v>
      </c>
      <c r="P8" s="56"/>
    </row>
    <row r="9" spans="1:16" x14ac:dyDescent="0.25">
      <c r="A9" s="5" t="s">
        <v>3</v>
      </c>
      <c r="B9" s="8">
        <v>8</v>
      </c>
      <c r="C9" s="5">
        <v>2018</v>
      </c>
      <c r="D9" s="10">
        <f>40.99*1000</f>
        <v>40990</v>
      </c>
      <c r="E9" s="6">
        <f>3108+3439.7</f>
        <v>6547.7</v>
      </c>
      <c r="F9" s="10">
        <f>1.61*1000</f>
        <v>1610</v>
      </c>
      <c r="G9" s="7">
        <v>371.91</v>
      </c>
      <c r="H9" s="10">
        <f>0.01*1000</f>
        <v>10</v>
      </c>
      <c r="I9" s="7">
        <v>1.31</v>
      </c>
      <c r="J9" s="10">
        <f>0.1*1000</f>
        <v>100</v>
      </c>
      <c r="K9" s="6">
        <v>26.25</v>
      </c>
      <c r="L9" s="10">
        <f>0.63*1000</f>
        <v>630</v>
      </c>
      <c r="M9" s="7">
        <v>330.75</v>
      </c>
      <c r="N9" s="10">
        <v>0</v>
      </c>
      <c r="O9" s="6">
        <v>0</v>
      </c>
      <c r="P9" s="56"/>
    </row>
    <row r="10" spans="1:16" x14ac:dyDescent="0.25">
      <c r="A10" s="5" t="s">
        <v>3</v>
      </c>
      <c r="B10" s="8">
        <v>9</v>
      </c>
      <c r="C10" s="5">
        <v>2018</v>
      </c>
      <c r="D10" s="10">
        <f>40.1*1000</f>
        <v>40100</v>
      </c>
      <c r="E10" s="6">
        <f>2331+3908.08</f>
        <v>6239.08</v>
      </c>
      <c r="F10" s="10">
        <f>1.11*1000</f>
        <v>1110</v>
      </c>
      <c r="G10" s="7">
        <v>256.41000000000003</v>
      </c>
      <c r="H10" s="10">
        <v>0</v>
      </c>
      <c r="I10" s="6">
        <v>0</v>
      </c>
      <c r="J10" s="10">
        <f>0.1*1000</f>
        <v>100</v>
      </c>
      <c r="K10" s="6">
        <v>26.25</v>
      </c>
      <c r="L10" s="10">
        <v>712.5</v>
      </c>
      <c r="M10" s="7">
        <v>374.06</v>
      </c>
      <c r="N10" s="10">
        <v>0</v>
      </c>
      <c r="O10" s="6">
        <v>0</v>
      </c>
      <c r="P10" s="56"/>
    </row>
    <row r="11" spans="1:16" x14ac:dyDescent="0.25">
      <c r="A11" s="5" t="s">
        <v>3</v>
      </c>
      <c r="B11" s="5">
        <v>10</v>
      </c>
      <c r="C11" s="5">
        <v>2018</v>
      </c>
      <c r="D11" s="10">
        <f>40.05*1000</f>
        <v>40050</v>
      </c>
      <c r="E11" s="6">
        <f>1942.5+4010.54</f>
        <v>5953.04</v>
      </c>
      <c r="F11" s="10">
        <f>1.23*1000</f>
        <v>1230</v>
      </c>
      <c r="G11" s="6">
        <v>284.13</v>
      </c>
      <c r="H11" s="10">
        <f>0.01*1000</f>
        <v>10</v>
      </c>
      <c r="I11" s="6">
        <v>1.31</v>
      </c>
      <c r="J11" s="10">
        <v>0</v>
      </c>
      <c r="K11" s="6">
        <v>0</v>
      </c>
      <c r="L11" s="10">
        <v>855</v>
      </c>
      <c r="M11" s="6">
        <v>448.88</v>
      </c>
      <c r="N11" s="10">
        <v>0</v>
      </c>
      <c r="O11" s="6">
        <v>0</v>
      </c>
      <c r="P11" s="56"/>
    </row>
    <row r="12" spans="1:16" x14ac:dyDescent="0.25">
      <c r="A12" s="5" t="s">
        <v>3</v>
      </c>
      <c r="B12" s="5">
        <v>11</v>
      </c>
      <c r="C12" s="5">
        <v>2018</v>
      </c>
      <c r="D12" s="10">
        <f>49.5*1000</f>
        <v>49500</v>
      </c>
      <c r="E12" s="6">
        <f>2719.5+4625.29</f>
        <v>7344.79</v>
      </c>
      <c r="F12" s="10">
        <f>2.42*1000</f>
        <v>2420</v>
      </c>
      <c r="G12" s="6">
        <v>559.02</v>
      </c>
      <c r="H12" s="10">
        <f>0.02*1000</f>
        <v>20</v>
      </c>
      <c r="I12" s="6">
        <v>2.63</v>
      </c>
      <c r="J12" s="10">
        <f>0.25*1000</f>
        <v>250</v>
      </c>
      <c r="K12" s="6">
        <v>65.63</v>
      </c>
      <c r="L12" s="10">
        <v>855</v>
      </c>
      <c r="M12" s="6">
        <v>448.88</v>
      </c>
      <c r="N12" s="10">
        <v>0</v>
      </c>
      <c r="O12" s="6">
        <v>0</v>
      </c>
      <c r="P12" s="56"/>
    </row>
    <row r="13" spans="1:16" ht="15.75" thickBot="1" x14ac:dyDescent="0.3">
      <c r="A13" s="50" t="s">
        <v>3</v>
      </c>
      <c r="B13" s="50">
        <v>12</v>
      </c>
      <c r="C13" s="50">
        <v>2018</v>
      </c>
      <c r="D13" s="51">
        <f>50.73*1000</f>
        <v>50730</v>
      </c>
      <c r="E13" s="52">
        <f>2331+4859.48</f>
        <v>7190.48</v>
      </c>
      <c r="F13" s="51">
        <f>1.83*1000</f>
        <v>1830</v>
      </c>
      <c r="G13" s="52">
        <v>422.73</v>
      </c>
      <c r="H13" s="51">
        <v>0</v>
      </c>
      <c r="I13" s="52">
        <v>0</v>
      </c>
      <c r="J13" s="51">
        <f>0.1*1000</f>
        <v>100</v>
      </c>
      <c r="K13" s="52">
        <v>26.25</v>
      </c>
      <c r="L13" s="51">
        <v>855</v>
      </c>
      <c r="M13" s="52">
        <v>448.88</v>
      </c>
      <c r="N13" s="51">
        <v>0</v>
      </c>
      <c r="O13" s="6">
        <v>0</v>
      </c>
      <c r="P13" s="56"/>
    </row>
    <row r="14" spans="1:16" ht="24.95" customHeight="1" thickBot="1" x14ac:dyDescent="0.3">
      <c r="A14" s="47" t="s">
        <v>18</v>
      </c>
      <c r="B14" s="48"/>
      <c r="C14" s="53">
        <v>2018</v>
      </c>
      <c r="D14" s="57">
        <f>SUM(D2:D13)</f>
        <v>569860</v>
      </c>
      <c r="E14" s="76">
        <f>SUM(E2:E13)</f>
        <v>90801.689999999973</v>
      </c>
      <c r="F14" s="57">
        <f>SUM(F2:F13)</f>
        <v>18120</v>
      </c>
      <c r="G14" s="76">
        <f>SUM(G2:G13)</f>
        <v>4281.8099999999995</v>
      </c>
      <c r="H14" s="57">
        <f>SUM(H2:H13)</f>
        <v>214</v>
      </c>
      <c r="I14" s="76">
        <f>SUM(I2:I13)</f>
        <v>27.909999999999993</v>
      </c>
      <c r="J14" s="57">
        <f>SUM(J2:J13)</f>
        <v>1380</v>
      </c>
      <c r="K14" s="76">
        <f>SUM(K2:K13)</f>
        <v>362.26</v>
      </c>
      <c r="L14" s="57">
        <f>SUM(L2:L13)</f>
        <v>8712.5</v>
      </c>
      <c r="M14" s="76">
        <f>SUM(M2:M13)</f>
        <v>4574.08</v>
      </c>
      <c r="N14" s="57">
        <f>SUM(N2:N13)</f>
        <v>5</v>
      </c>
      <c r="O14" s="77">
        <f>SUM(O2:O13)</f>
        <v>1</v>
      </c>
    </row>
    <row r="16" spans="1:16" x14ac:dyDescent="0.25">
      <c r="P16" s="1"/>
    </row>
    <row r="17" spans="8:16" x14ac:dyDescent="0.25">
      <c r="L17" s="46"/>
      <c r="P17" s="1"/>
    </row>
    <row r="18" spans="8:16" x14ac:dyDescent="0.25">
      <c r="P18" s="1"/>
    </row>
    <row r="19" spans="8:16" x14ac:dyDescent="0.25">
      <c r="H19" s="55"/>
      <c r="P19" s="1"/>
    </row>
    <row r="20" spans="8:16" x14ac:dyDescent="0.25">
      <c r="H20" s="55"/>
      <c r="P20" s="1"/>
    </row>
    <row r="21" spans="8:16" x14ac:dyDescent="0.25">
      <c r="H21" s="55"/>
      <c r="L21" s="46"/>
      <c r="P21" s="1"/>
    </row>
    <row r="22" spans="8:16" x14ac:dyDescent="0.25">
      <c r="H22" s="55"/>
      <c r="L22" s="46"/>
      <c r="P22" s="1"/>
    </row>
    <row r="23" spans="8:16" x14ac:dyDescent="0.25">
      <c r="H23" s="55"/>
      <c r="L23" s="46"/>
      <c r="P23" s="1"/>
    </row>
    <row r="24" spans="8:16" x14ac:dyDescent="0.25">
      <c r="L24" s="46"/>
      <c r="P24" s="1"/>
    </row>
    <row r="25" spans="8:16" x14ac:dyDescent="0.25">
      <c r="P25" s="1"/>
    </row>
    <row r="26" spans="8:16" x14ac:dyDescent="0.25">
      <c r="P26" s="1"/>
    </row>
    <row r="27" spans="8:16" x14ac:dyDescent="0.25">
      <c r="P27" s="1"/>
    </row>
    <row r="28" spans="8:16" x14ac:dyDescent="0.25">
      <c r="P28" s="1"/>
    </row>
    <row r="29" spans="8:16" x14ac:dyDescent="0.25">
      <c r="P29" s="1"/>
    </row>
    <row r="30" spans="8:16" x14ac:dyDescent="0.25">
      <c r="H30" s="46"/>
      <c r="I30" s="46"/>
      <c r="J30" s="46"/>
      <c r="K30" s="46"/>
      <c r="L30" s="46"/>
      <c r="P30" s="1"/>
    </row>
    <row r="31" spans="8:16" x14ac:dyDescent="0.25">
      <c r="P31" s="1"/>
    </row>
    <row r="32" spans="8:16" x14ac:dyDescent="0.25">
      <c r="P32" s="1"/>
    </row>
    <row r="33" spans="16:16" x14ac:dyDescent="0.25">
      <c r="P33" s="1"/>
    </row>
    <row r="34" spans="16:16" x14ac:dyDescent="0.25">
      <c r="P34" s="1"/>
    </row>
    <row r="35" spans="16:16" x14ac:dyDescent="0.25">
      <c r="P35" s="1"/>
    </row>
    <row r="36" spans="16:16" x14ac:dyDescent="0.25">
      <c r="P36" s="1"/>
    </row>
  </sheetData>
  <mergeCells count="2">
    <mergeCell ref="P2:P13"/>
    <mergeCell ref="A14:B14"/>
  </mergeCells>
  <pageMargins left="0.7" right="0.7" top="0.75" bottom="0.75" header="0.3" footer="0.3"/>
  <pageSetup orientation="portrait" r:id="rId1"/>
  <ignoredErrors>
    <ignoredError sqref="J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ySplit="1" topLeftCell="A2" activePane="bottomLeft" state="frozen"/>
      <selection pane="bottomLeft" activeCell="K26" sqref="K26"/>
    </sheetView>
  </sheetViews>
  <sheetFormatPr defaultRowHeight="15" x14ac:dyDescent="0.25"/>
  <cols>
    <col min="1" max="1" width="14.42578125" style="1" customWidth="1"/>
    <col min="2" max="2" width="12.42578125" style="1" customWidth="1"/>
    <col min="3" max="3" width="9.140625" style="1"/>
    <col min="4" max="4" width="19" style="1" customWidth="1"/>
    <col min="5" max="5" width="15.28515625" style="1" customWidth="1"/>
    <col min="6" max="6" width="15.85546875" style="1" customWidth="1"/>
    <col min="7" max="7" width="13.85546875" style="1" customWidth="1"/>
    <col min="8" max="8" width="14.28515625" style="1" customWidth="1"/>
    <col min="9" max="10" width="15.42578125" style="1" customWidth="1"/>
    <col min="11" max="11" width="15.28515625" style="1" customWidth="1"/>
    <col min="12" max="12" width="14.140625" style="1" customWidth="1"/>
    <col min="13" max="13" width="15" style="1" customWidth="1"/>
    <col min="14" max="14" width="15.5703125" style="1" customWidth="1"/>
    <col min="15" max="15" width="15.42578125" style="1" customWidth="1"/>
    <col min="16" max="16" width="10.85546875" bestFit="1" customWidth="1"/>
  </cols>
  <sheetData>
    <row r="1" spans="1:16" ht="45.75" thickBot="1" x14ac:dyDescent="0.3">
      <c r="A1" s="11" t="s">
        <v>0</v>
      </c>
      <c r="B1" s="12" t="s">
        <v>1</v>
      </c>
      <c r="C1" s="12" t="s">
        <v>2</v>
      </c>
      <c r="D1" s="58" t="s">
        <v>4</v>
      </c>
      <c r="E1" s="59" t="s">
        <v>9</v>
      </c>
      <c r="F1" s="58" t="s">
        <v>5</v>
      </c>
      <c r="G1" s="59" t="s">
        <v>10</v>
      </c>
      <c r="H1" s="58" t="s">
        <v>6</v>
      </c>
      <c r="I1" s="59" t="s">
        <v>11</v>
      </c>
      <c r="J1" s="58" t="s">
        <v>7</v>
      </c>
      <c r="K1" s="59" t="s">
        <v>12</v>
      </c>
      <c r="L1" s="58" t="s">
        <v>15</v>
      </c>
      <c r="M1" s="59" t="s">
        <v>13</v>
      </c>
      <c r="N1" s="58" t="s">
        <v>8</v>
      </c>
      <c r="O1" s="13" t="s">
        <v>14</v>
      </c>
    </row>
    <row r="2" spans="1:16" x14ac:dyDescent="0.25">
      <c r="A2" s="14" t="s">
        <v>3</v>
      </c>
      <c r="B2" s="15">
        <v>1</v>
      </c>
      <c r="C2" s="15">
        <v>2017</v>
      </c>
      <c r="D2" s="61">
        <f>36.23*1000</f>
        <v>36230</v>
      </c>
      <c r="E2" s="62">
        <f>2960+3825</f>
        <v>6785</v>
      </c>
      <c r="F2" s="61">
        <f>3.4*1000</f>
        <v>3400</v>
      </c>
      <c r="G2" s="63">
        <f>1496*40%</f>
        <v>598.4</v>
      </c>
      <c r="H2" s="61">
        <v>0</v>
      </c>
      <c r="I2" s="63">
        <v>0</v>
      </c>
      <c r="J2" s="61">
        <f>0.163*1000</f>
        <v>163</v>
      </c>
      <c r="K2" s="63">
        <f>71.72*40%</f>
        <v>28.688000000000002</v>
      </c>
      <c r="L2" s="61">
        <v>400</v>
      </c>
      <c r="M2" s="63">
        <f>400*40%</f>
        <v>160</v>
      </c>
      <c r="N2" s="61">
        <v>0</v>
      </c>
      <c r="O2" s="16">
        <v>0</v>
      </c>
      <c r="P2" s="60"/>
    </row>
    <row r="3" spans="1:16" x14ac:dyDescent="0.25">
      <c r="A3" s="17" t="s">
        <v>3</v>
      </c>
      <c r="B3" s="5">
        <v>2</v>
      </c>
      <c r="C3" s="5">
        <v>2017</v>
      </c>
      <c r="D3" s="10">
        <f>33*1000</f>
        <v>33000</v>
      </c>
      <c r="E3" s="7">
        <f>2220+3808</f>
        <v>6028</v>
      </c>
      <c r="F3" s="10">
        <f>1.34*1000</f>
        <v>1340</v>
      </c>
      <c r="G3" s="6">
        <f>670*40%</f>
        <v>268</v>
      </c>
      <c r="H3" s="10">
        <v>0</v>
      </c>
      <c r="I3" s="6">
        <v>0</v>
      </c>
      <c r="J3" s="10">
        <f>0.2*1000</f>
        <v>200</v>
      </c>
      <c r="K3" s="6">
        <f>100*40%</f>
        <v>40</v>
      </c>
      <c r="L3" s="10">
        <v>600</v>
      </c>
      <c r="M3" s="6">
        <f>600*40%</f>
        <v>240</v>
      </c>
      <c r="N3" s="10">
        <v>0</v>
      </c>
      <c r="O3" s="18">
        <v>0</v>
      </c>
      <c r="P3" s="60"/>
    </row>
    <row r="4" spans="1:16" x14ac:dyDescent="0.25">
      <c r="A4" s="17" t="s">
        <v>3</v>
      </c>
      <c r="B4" s="5">
        <v>3</v>
      </c>
      <c r="C4" s="5">
        <v>2017</v>
      </c>
      <c r="D4" s="10">
        <f>34.52*1000</f>
        <v>34520</v>
      </c>
      <c r="E4" s="7">
        <f>2220+3961</f>
        <v>6181</v>
      </c>
      <c r="F4" s="10">
        <f>2.031*1000</f>
        <v>2031.0000000000002</v>
      </c>
      <c r="G4" s="6">
        <f>1015.5*40%</f>
        <v>406.20000000000005</v>
      </c>
      <c r="H4" s="10">
        <v>0</v>
      </c>
      <c r="I4" s="6">
        <v>0</v>
      </c>
      <c r="J4" s="10">
        <f>0.116*1000</f>
        <v>116</v>
      </c>
      <c r="K4" s="6">
        <f>58*40%</f>
        <v>23.200000000000003</v>
      </c>
      <c r="L4" s="10">
        <v>800</v>
      </c>
      <c r="M4" s="6">
        <f>800*40%</f>
        <v>320</v>
      </c>
      <c r="N4" s="10">
        <v>0</v>
      </c>
      <c r="O4" s="18">
        <v>0</v>
      </c>
      <c r="P4" s="60"/>
    </row>
    <row r="5" spans="1:16" x14ac:dyDescent="0.25">
      <c r="A5" s="17" t="s">
        <v>3</v>
      </c>
      <c r="B5" s="5">
        <v>4</v>
      </c>
      <c r="C5" s="5">
        <v>2017</v>
      </c>
      <c r="D5" s="10">
        <f>49.54*1000</f>
        <v>49540</v>
      </c>
      <c r="E5" s="7">
        <f>2960+3706</f>
        <v>6666</v>
      </c>
      <c r="F5" s="10">
        <f>2.11*1000</f>
        <v>2110</v>
      </c>
      <c r="G5" s="6">
        <f>1055*40%</f>
        <v>422</v>
      </c>
      <c r="H5" s="10">
        <v>0</v>
      </c>
      <c r="I5" s="6">
        <v>0</v>
      </c>
      <c r="J5" s="10">
        <v>0</v>
      </c>
      <c r="K5" s="6">
        <v>0</v>
      </c>
      <c r="L5" s="10">
        <v>0</v>
      </c>
      <c r="M5" s="6">
        <v>0</v>
      </c>
      <c r="N5" s="10">
        <v>0</v>
      </c>
      <c r="O5" s="18">
        <v>0</v>
      </c>
      <c r="P5" s="60"/>
    </row>
    <row r="6" spans="1:16" x14ac:dyDescent="0.25">
      <c r="A6" s="17" t="s">
        <v>3</v>
      </c>
      <c r="B6" s="5">
        <v>5</v>
      </c>
      <c r="C6" s="5">
        <v>2017</v>
      </c>
      <c r="D6" s="10">
        <f>52.07*1000</f>
        <v>52070</v>
      </c>
      <c r="E6" s="7">
        <f>4335+2220</f>
        <v>6555</v>
      </c>
      <c r="F6" s="10">
        <f>1.49*1000</f>
        <v>1490</v>
      </c>
      <c r="G6" s="6">
        <f>745*40%</f>
        <v>298</v>
      </c>
      <c r="H6" s="10">
        <v>0</v>
      </c>
      <c r="I6" s="6">
        <v>0</v>
      </c>
      <c r="J6" s="10">
        <f>0.16*1000</f>
        <v>160</v>
      </c>
      <c r="K6" s="6">
        <v>32</v>
      </c>
      <c r="L6" s="10">
        <v>0</v>
      </c>
      <c r="M6" s="6">
        <v>0</v>
      </c>
      <c r="N6" s="10">
        <v>0</v>
      </c>
      <c r="O6" s="18">
        <v>0</v>
      </c>
      <c r="P6" s="60"/>
    </row>
    <row r="7" spans="1:16" x14ac:dyDescent="0.25">
      <c r="A7" s="17" t="s">
        <v>3</v>
      </c>
      <c r="B7" s="5">
        <v>6</v>
      </c>
      <c r="C7" s="5">
        <v>2017</v>
      </c>
      <c r="D7" s="10">
        <f>35.24*1000</f>
        <v>35240</v>
      </c>
      <c r="E7" s="7">
        <f>1480+3451</f>
        <v>4931</v>
      </c>
      <c r="F7" s="10">
        <f>1.054*1000</f>
        <v>1054</v>
      </c>
      <c r="G7" s="6">
        <f>527*40%</f>
        <v>210.8</v>
      </c>
      <c r="H7" s="10">
        <v>0</v>
      </c>
      <c r="I7" s="6">
        <v>0</v>
      </c>
      <c r="J7" s="10">
        <v>0</v>
      </c>
      <c r="K7" s="6">
        <v>0</v>
      </c>
      <c r="L7" s="10">
        <v>0</v>
      </c>
      <c r="M7" s="6">
        <v>0</v>
      </c>
      <c r="N7" s="10">
        <v>0</v>
      </c>
      <c r="O7" s="18">
        <v>0</v>
      </c>
      <c r="P7" s="60"/>
    </row>
    <row r="8" spans="1:16" x14ac:dyDescent="0.25">
      <c r="A8" s="17" t="s">
        <v>3</v>
      </c>
      <c r="B8" s="5">
        <v>7</v>
      </c>
      <c r="C8" s="5">
        <v>2017</v>
      </c>
      <c r="D8" s="10">
        <f>31.3*1000</f>
        <v>31300</v>
      </c>
      <c r="E8" s="7">
        <f>1480+3349</f>
        <v>4829</v>
      </c>
      <c r="F8" s="10">
        <f>1.28*1000</f>
        <v>1280</v>
      </c>
      <c r="G8" s="6">
        <f>640*40%</f>
        <v>256</v>
      </c>
      <c r="H8" s="10">
        <v>0</v>
      </c>
      <c r="I8" s="6">
        <v>0</v>
      </c>
      <c r="J8" s="10">
        <v>0</v>
      </c>
      <c r="K8" s="6">
        <v>0</v>
      </c>
      <c r="L8" s="10">
        <v>0</v>
      </c>
      <c r="M8" s="6">
        <v>0</v>
      </c>
      <c r="N8" s="10">
        <v>0</v>
      </c>
      <c r="O8" s="18">
        <v>0</v>
      </c>
      <c r="P8" s="60"/>
    </row>
    <row r="9" spans="1:16" x14ac:dyDescent="0.25">
      <c r="A9" s="17" t="s">
        <v>3</v>
      </c>
      <c r="B9" s="8">
        <v>8</v>
      </c>
      <c r="C9" s="5">
        <v>2017</v>
      </c>
      <c r="D9" s="10">
        <f>28.85*1000</f>
        <v>28850</v>
      </c>
      <c r="E9" s="7">
        <f>2220+3349</f>
        <v>5569</v>
      </c>
      <c r="F9" s="10">
        <f>1.1*1000</f>
        <v>1100</v>
      </c>
      <c r="G9" s="7">
        <f>550*40%</f>
        <v>220</v>
      </c>
      <c r="H9" s="10">
        <f>0.135*1000</f>
        <v>135</v>
      </c>
      <c r="I9" s="7">
        <f>33.75*40%</f>
        <v>13.5</v>
      </c>
      <c r="J9" s="10">
        <v>0</v>
      </c>
      <c r="K9" s="6">
        <v>0</v>
      </c>
      <c r="L9" s="10">
        <v>0</v>
      </c>
      <c r="M9" s="7">
        <v>0</v>
      </c>
      <c r="N9" s="10">
        <v>0</v>
      </c>
      <c r="O9" s="18">
        <v>0</v>
      </c>
      <c r="P9" s="60"/>
    </row>
    <row r="10" spans="1:16" x14ac:dyDescent="0.25">
      <c r="A10" s="17" t="s">
        <v>3</v>
      </c>
      <c r="B10" s="8">
        <v>9</v>
      </c>
      <c r="C10" s="5">
        <v>2017</v>
      </c>
      <c r="D10" s="10">
        <f>35.79*1000</f>
        <v>35790</v>
      </c>
      <c r="E10" s="7">
        <f>1850+2983.16</f>
        <v>4833.16</v>
      </c>
      <c r="F10" s="10">
        <f>1.665*1000</f>
        <v>1665</v>
      </c>
      <c r="G10" s="7">
        <f>832.5/2</f>
        <v>416.25</v>
      </c>
      <c r="H10" s="10">
        <v>0</v>
      </c>
      <c r="I10" s="6">
        <v>0</v>
      </c>
      <c r="J10" s="10">
        <f>0.15*1000</f>
        <v>150</v>
      </c>
      <c r="K10" s="6">
        <f>75/2</f>
        <v>37.5</v>
      </c>
      <c r="L10" s="10">
        <v>1000</v>
      </c>
      <c r="M10" s="7">
        <f>1000/2</f>
        <v>500</v>
      </c>
      <c r="N10" s="10">
        <v>0</v>
      </c>
      <c r="O10" s="18">
        <v>0</v>
      </c>
      <c r="P10" s="60"/>
    </row>
    <row r="11" spans="1:16" x14ac:dyDescent="0.25">
      <c r="A11" s="17" t="s">
        <v>3</v>
      </c>
      <c r="B11" s="5">
        <v>10</v>
      </c>
      <c r="C11" s="5">
        <v>2017</v>
      </c>
      <c r="D11" s="10">
        <f>36.99*1000</f>
        <v>36990</v>
      </c>
      <c r="E11" s="7">
        <f>2960+3680.16</f>
        <v>6640.16</v>
      </c>
      <c r="F11" s="10">
        <f>2.21*1000</f>
        <v>2210</v>
      </c>
      <c r="G11" s="6">
        <f>1105/2</f>
        <v>552.5</v>
      </c>
      <c r="H11" s="10">
        <v>0</v>
      </c>
      <c r="I11" s="6">
        <v>0</v>
      </c>
      <c r="J11" s="10">
        <v>0</v>
      </c>
      <c r="K11" s="6">
        <v>0</v>
      </c>
      <c r="L11" s="10">
        <v>800</v>
      </c>
      <c r="M11" s="6">
        <f>800/2</f>
        <v>400</v>
      </c>
      <c r="N11" s="10">
        <v>0</v>
      </c>
      <c r="O11" s="18">
        <v>0</v>
      </c>
      <c r="P11" s="60"/>
    </row>
    <row r="12" spans="1:16" x14ac:dyDescent="0.25">
      <c r="A12" s="17" t="s">
        <v>3</v>
      </c>
      <c r="B12" s="5">
        <v>11</v>
      </c>
      <c r="C12" s="5">
        <v>2017</v>
      </c>
      <c r="D12" s="10">
        <f>58.58*1000</f>
        <v>58580</v>
      </c>
      <c r="E12" s="7">
        <f>3330+4516.56</f>
        <v>7846.56</v>
      </c>
      <c r="F12" s="10">
        <f>2.25*1000</f>
        <v>2250</v>
      </c>
      <c r="G12" s="6">
        <f>1125*50%</f>
        <v>562.5</v>
      </c>
      <c r="H12" s="10">
        <v>0</v>
      </c>
      <c r="I12" s="6">
        <v>0</v>
      </c>
      <c r="J12" s="10">
        <f>0.15*1000</f>
        <v>150</v>
      </c>
      <c r="K12" s="6">
        <f>75*50%</f>
        <v>37.5</v>
      </c>
      <c r="L12" s="10">
        <v>800</v>
      </c>
      <c r="M12" s="6">
        <f>800/2</f>
        <v>400</v>
      </c>
      <c r="N12" s="10">
        <v>0</v>
      </c>
      <c r="O12" s="18">
        <v>0</v>
      </c>
      <c r="P12" s="60"/>
    </row>
    <row r="13" spans="1:16" ht="15.75" thickBot="1" x14ac:dyDescent="0.3">
      <c r="A13" s="19" t="s">
        <v>3</v>
      </c>
      <c r="B13" s="20">
        <v>12</v>
      </c>
      <c r="C13" s="20">
        <v>2017</v>
      </c>
      <c r="D13" s="64">
        <f>53.71*1000</f>
        <v>53710</v>
      </c>
      <c r="E13" s="65">
        <f>2220+4502.62</f>
        <v>6722.62</v>
      </c>
      <c r="F13" s="64">
        <f>1.58*1000</f>
        <v>1580</v>
      </c>
      <c r="G13" s="66">
        <f>790*50%</f>
        <v>395</v>
      </c>
      <c r="H13" s="64">
        <v>0</v>
      </c>
      <c r="I13" s="66">
        <v>0</v>
      </c>
      <c r="J13" s="64">
        <v>0</v>
      </c>
      <c r="K13" s="66">
        <v>0</v>
      </c>
      <c r="L13" s="64">
        <v>1050</v>
      </c>
      <c r="M13" s="66">
        <f>1050/2</f>
        <v>525</v>
      </c>
      <c r="N13" s="64">
        <v>0</v>
      </c>
      <c r="O13" s="21">
        <v>0</v>
      </c>
      <c r="P13" s="60"/>
    </row>
    <row r="14" spans="1:16" ht="24.95" customHeight="1" thickBot="1" x14ac:dyDescent="0.3">
      <c r="A14" s="47" t="s">
        <v>18</v>
      </c>
      <c r="B14" s="48"/>
      <c r="C14" s="53">
        <v>2017</v>
      </c>
      <c r="D14" s="57">
        <f>SUM(D2:D13)</f>
        <v>485820</v>
      </c>
      <c r="E14" s="67">
        <f>SUM(E2:E13)</f>
        <v>73586.5</v>
      </c>
      <c r="F14" s="57">
        <f>SUM(F2:F13)</f>
        <v>21510</v>
      </c>
      <c r="G14" s="67">
        <f>SUM(G2:G13)</f>
        <v>4605.6499999999996</v>
      </c>
      <c r="H14" s="54">
        <f>SUM(H2:H13)</f>
        <v>135</v>
      </c>
      <c r="I14" s="67">
        <f>SUM(I2:I13)</f>
        <v>13.5</v>
      </c>
      <c r="J14" s="54">
        <f>SUM(J2:J13)</f>
        <v>939</v>
      </c>
      <c r="K14" s="67">
        <f>SUM(K2:K13)</f>
        <v>198.88800000000001</v>
      </c>
      <c r="L14" s="57">
        <f>SUM(L2:L13)</f>
        <v>5450</v>
      </c>
      <c r="M14" s="67">
        <f>SUM(M2:M13)</f>
        <v>2545</v>
      </c>
      <c r="N14" s="54">
        <f>SUM(N2:N13)</f>
        <v>0</v>
      </c>
      <c r="O14" s="37">
        <f>SUM(O2:O13)</f>
        <v>0</v>
      </c>
    </row>
    <row r="20" spans="12:14" x14ac:dyDescent="0.25">
      <c r="L20" s="55"/>
      <c r="M20" s="55"/>
      <c r="N20" s="55"/>
    </row>
  </sheetData>
  <mergeCells count="2">
    <mergeCell ref="P2:P13"/>
    <mergeCell ref="A14:B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O14" sqref="O14"/>
    </sheetView>
  </sheetViews>
  <sheetFormatPr defaultRowHeight="15" x14ac:dyDescent="0.25"/>
  <cols>
    <col min="1" max="1" width="14.42578125" style="1" customWidth="1"/>
    <col min="2" max="2" width="12.42578125" style="1" customWidth="1"/>
    <col min="3" max="3" width="9.140625" style="1"/>
    <col min="4" max="4" width="19" style="1" customWidth="1"/>
    <col min="5" max="5" width="15.28515625" style="1" customWidth="1"/>
    <col min="6" max="6" width="15.85546875" style="1" customWidth="1"/>
    <col min="7" max="7" width="13.85546875" style="1" customWidth="1"/>
    <col min="8" max="8" width="14.28515625" style="1" customWidth="1"/>
    <col min="9" max="10" width="15.42578125" style="1" customWidth="1"/>
    <col min="11" max="11" width="15.28515625" style="1" customWidth="1"/>
    <col min="12" max="12" width="14.140625" style="1" customWidth="1"/>
    <col min="13" max="13" width="15" style="1" customWidth="1"/>
    <col min="14" max="14" width="15.5703125" style="1" customWidth="1"/>
    <col min="15" max="15" width="15.42578125" style="1" customWidth="1"/>
  </cols>
  <sheetData>
    <row r="1" spans="1:15" ht="45.75" thickBot="1" x14ac:dyDescent="0.3">
      <c r="A1" s="11" t="s">
        <v>0</v>
      </c>
      <c r="B1" s="12" t="s">
        <v>1</v>
      </c>
      <c r="C1" s="12" t="s">
        <v>2</v>
      </c>
      <c r="D1" s="58" t="s">
        <v>4</v>
      </c>
      <c r="E1" s="59" t="s">
        <v>9</v>
      </c>
      <c r="F1" s="58" t="s">
        <v>5</v>
      </c>
      <c r="G1" s="59" t="s">
        <v>10</v>
      </c>
      <c r="H1" s="58" t="s">
        <v>6</v>
      </c>
      <c r="I1" s="59" t="s">
        <v>11</v>
      </c>
      <c r="J1" s="58" t="s">
        <v>7</v>
      </c>
      <c r="K1" s="59" t="s">
        <v>12</v>
      </c>
      <c r="L1" s="58" t="s">
        <v>15</v>
      </c>
      <c r="M1" s="59" t="s">
        <v>13</v>
      </c>
      <c r="N1" s="58" t="s">
        <v>8</v>
      </c>
      <c r="O1" s="13" t="s">
        <v>14</v>
      </c>
    </row>
    <row r="2" spans="1:15" x14ac:dyDescent="0.25">
      <c r="A2" s="78" t="s">
        <v>3</v>
      </c>
      <c r="B2" s="79">
        <v>1</v>
      </c>
      <c r="C2" s="79">
        <v>2016</v>
      </c>
      <c r="D2" s="79"/>
      <c r="E2" s="80"/>
      <c r="F2" s="79"/>
      <c r="G2" s="80"/>
      <c r="H2" s="79"/>
      <c r="I2" s="80"/>
      <c r="J2" s="79"/>
      <c r="K2" s="80"/>
      <c r="L2" s="79"/>
      <c r="M2" s="80"/>
      <c r="N2" s="79">
        <v>0</v>
      </c>
      <c r="O2" s="81">
        <v>0</v>
      </c>
    </row>
    <row r="3" spans="1:15" x14ac:dyDescent="0.25">
      <c r="A3" s="70" t="s">
        <v>3</v>
      </c>
      <c r="B3" s="71">
        <v>2</v>
      </c>
      <c r="C3" s="71">
        <v>2016</v>
      </c>
      <c r="D3" s="71"/>
      <c r="E3" s="82"/>
      <c r="F3" s="71"/>
      <c r="G3" s="82"/>
      <c r="H3" s="71"/>
      <c r="I3" s="82"/>
      <c r="J3" s="71"/>
      <c r="K3" s="82"/>
      <c r="L3" s="71"/>
      <c r="M3" s="82"/>
      <c r="N3" s="71">
        <v>0</v>
      </c>
      <c r="O3" s="72">
        <v>0</v>
      </c>
    </row>
    <row r="4" spans="1:15" x14ac:dyDescent="0.25">
      <c r="A4" s="70" t="s">
        <v>3</v>
      </c>
      <c r="B4" s="71">
        <v>3</v>
      </c>
      <c r="C4" s="71">
        <v>2016</v>
      </c>
      <c r="D4" s="71"/>
      <c r="E4" s="82"/>
      <c r="F4" s="71"/>
      <c r="G4" s="82"/>
      <c r="H4" s="71"/>
      <c r="I4" s="82"/>
      <c r="J4" s="71"/>
      <c r="K4" s="82"/>
      <c r="L4" s="71"/>
      <c r="M4" s="82"/>
      <c r="N4" s="71">
        <v>0</v>
      </c>
      <c r="O4" s="72">
        <v>0</v>
      </c>
    </row>
    <row r="5" spans="1:15" x14ac:dyDescent="0.25">
      <c r="A5" s="70" t="s">
        <v>3</v>
      </c>
      <c r="B5" s="71">
        <v>4</v>
      </c>
      <c r="C5" s="71">
        <v>2016</v>
      </c>
      <c r="D5" s="71"/>
      <c r="E5" s="82"/>
      <c r="F5" s="71"/>
      <c r="G5" s="82"/>
      <c r="H5" s="71"/>
      <c r="I5" s="82"/>
      <c r="J5" s="71"/>
      <c r="K5" s="82"/>
      <c r="L5" s="71"/>
      <c r="M5" s="82"/>
      <c r="N5" s="71">
        <v>0</v>
      </c>
      <c r="O5" s="72">
        <v>0</v>
      </c>
    </row>
    <row r="6" spans="1:15" x14ac:dyDescent="0.25">
      <c r="A6" s="17" t="s">
        <v>3</v>
      </c>
      <c r="B6" s="5">
        <v>5</v>
      </c>
      <c r="C6" s="5">
        <v>2016</v>
      </c>
      <c r="D6" s="10">
        <f>30.26*1000</f>
        <v>30260</v>
      </c>
      <c r="E6" s="7">
        <v>2635</v>
      </c>
      <c r="F6" s="10">
        <f>3.098*1000</f>
        <v>3098</v>
      </c>
      <c r="G6" s="6">
        <f>1301.16*40%</f>
        <v>520.46400000000006</v>
      </c>
      <c r="H6" s="10">
        <v>0</v>
      </c>
      <c r="I6" s="6">
        <v>0</v>
      </c>
      <c r="J6" s="10">
        <v>0</v>
      </c>
      <c r="K6" s="6">
        <v>0</v>
      </c>
      <c r="L6" s="10">
        <v>500</v>
      </c>
      <c r="M6" s="6">
        <f>500*40%</f>
        <v>200</v>
      </c>
      <c r="N6" s="10">
        <v>0</v>
      </c>
      <c r="O6" s="18">
        <v>0</v>
      </c>
    </row>
    <row r="7" spans="1:15" x14ac:dyDescent="0.25">
      <c r="A7" s="17" t="s">
        <v>3</v>
      </c>
      <c r="B7" s="5">
        <v>6</v>
      </c>
      <c r="C7" s="5">
        <v>2016</v>
      </c>
      <c r="D7" s="10">
        <f>56.94*1000</f>
        <v>56940</v>
      </c>
      <c r="E7" s="7">
        <f>1850+4726</f>
        <v>6576</v>
      </c>
      <c r="F7" s="10">
        <f>1.711*1000</f>
        <v>1711</v>
      </c>
      <c r="G7" s="6">
        <f>718.62*40%</f>
        <v>287.44800000000004</v>
      </c>
      <c r="H7" s="10">
        <v>0</v>
      </c>
      <c r="I7" s="6">
        <v>0</v>
      </c>
      <c r="J7" s="10">
        <f>0.11*1000</f>
        <v>110</v>
      </c>
      <c r="K7" s="6">
        <f>46.2*40%</f>
        <v>18.48</v>
      </c>
      <c r="L7" s="10">
        <v>400</v>
      </c>
      <c r="M7" s="6">
        <f>400*40%</f>
        <v>160</v>
      </c>
      <c r="N7" s="10">
        <v>0</v>
      </c>
      <c r="O7" s="18">
        <v>0</v>
      </c>
    </row>
    <row r="8" spans="1:15" x14ac:dyDescent="0.25">
      <c r="A8" s="17" t="s">
        <v>3</v>
      </c>
      <c r="B8" s="5">
        <v>7</v>
      </c>
      <c r="C8" s="5">
        <v>2016</v>
      </c>
      <c r="D8" s="10">
        <f>31.81*1000</f>
        <v>31810</v>
      </c>
      <c r="E8" s="7">
        <v>8338</v>
      </c>
      <c r="F8" s="10">
        <f>1.8*1000</f>
        <v>1800</v>
      </c>
      <c r="G8" s="6">
        <v>316.8</v>
      </c>
      <c r="H8" s="10">
        <f>0.055*1000</f>
        <v>55</v>
      </c>
      <c r="I8" s="6">
        <v>5.5</v>
      </c>
      <c r="J8" s="10">
        <f>0.17*1000</f>
        <v>170</v>
      </c>
      <c r="K8" s="6">
        <v>28.56</v>
      </c>
      <c r="L8" s="10">
        <v>500</v>
      </c>
      <c r="M8" s="6">
        <v>200</v>
      </c>
      <c r="N8" s="10">
        <v>0</v>
      </c>
      <c r="O8" s="18">
        <v>0</v>
      </c>
    </row>
    <row r="9" spans="1:15" x14ac:dyDescent="0.25">
      <c r="A9" s="17" t="s">
        <v>3</v>
      </c>
      <c r="B9" s="8">
        <v>8</v>
      </c>
      <c r="C9" s="5">
        <v>2016</v>
      </c>
      <c r="D9" s="10">
        <f>28.92*1000</f>
        <v>28920</v>
      </c>
      <c r="E9" s="7">
        <v>6216</v>
      </c>
      <c r="F9" s="10">
        <f>0.86*1000</f>
        <v>860</v>
      </c>
      <c r="G9" s="7">
        <v>151.36000000000001</v>
      </c>
      <c r="H9" s="10">
        <f>0.02*1000</f>
        <v>20</v>
      </c>
      <c r="I9" s="7">
        <v>2</v>
      </c>
      <c r="J9" s="10">
        <f>0.19*1000</f>
        <v>190</v>
      </c>
      <c r="K9" s="6">
        <v>31.92</v>
      </c>
      <c r="L9" s="10">
        <v>0</v>
      </c>
      <c r="M9" s="7">
        <v>0</v>
      </c>
      <c r="N9" s="10">
        <v>0</v>
      </c>
      <c r="O9" s="18">
        <v>0</v>
      </c>
    </row>
    <row r="10" spans="1:15" x14ac:dyDescent="0.25">
      <c r="A10" s="17" t="s">
        <v>3</v>
      </c>
      <c r="B10" s="8">
        <v>9</v>
      </c>
      <c r="C10" s="5">
        <v>2016</v>
      </c>
      <c r="D10" s="10">
        <f>33.31*1000</f>
        <v>33310</v>
      </c>
      <c r="E10" s="7">
        <v>4757</v>
      </c>
      <c r="F10" s="10">
        <f>0.45*1000</f>
        <v>450</v>
      </c>
      <c r="G10" s="7">
        <v>79.2</v>
      </c>
      <c r="H10" s="10">
        <v>0</v>
      </c>
      <c r="I10" s="6">
        <v>0</v>
      </c>
      <c r="J10" s="10">
        <v>0</v>
      </c>
      <c r="K10" s="6">
        <v>0</v>
      </c>
      <c r="L10" s="10">
        <v>0</v>
      </c>
      <c r="M10" s="7">
        <v>0</v>
      </c>
      <c r="N10" s="10">
        <v>0</v>
      </c>
      <c r="O10" s="18">
        <v>0</v>
      </c>
    </row>
    <row r="11" spans="1:15" x14ac:dyDescent="0.25">
      <c r="A11" s="17" t="s">
        <v>3</v>
      </c>
      <c r="B11" s="5">
        <v>10</v>
      </c>
      <c r="C11" s="5">
        <v>2016</v>
      </c>
      <c r="D11" s="10">
        <f>37.33*1000</f>
        <v>37330</v>
      </c>
      <c r="E11" s="7">
        <f>1480+3332</f>
        <v>4812</v>
      </c>
      <c r="F11" s="10">
        <f>3.075*1000</f>
        <v>3075</v>
      </c>
      <c r="G11" s="6">
        <v>541.20000000000005</v>
      </c>
      <c r="H11" s="10">
        <f>0.065*1000</f>
        <v>65</v>
      </c>
      <c r="I11" s="6">
        <v>6.5</v>
      </c>
      <c r="J11" s="10">
        <v>0</v>
      </c>
      <c r="K11" s="6">
        <v>0</v>
      </c>
      <c r="L11" s="10">
        <v>500</v>
      </c>
      <c r="M11" s="6">
        <f>L11*40%</f>
        <v>200</v>
      </c>
      <c r="N11" s="10">
        <v>0</v>
      </c>
      <c r="O11" s="18">
        <v>0</v>
      </c>
    </row>
    <row r="12" spans="1:15" x14ac:dyDescent="0.25">
      <c r="A12" s="17" t="s">
        <v>3</v>
      </c>
      <c r="B12" s="5">
        <v>11</v>
      </c>
      <c r="C12" s="5">
        <v>2016</v>
      </c>
      <c r="D12" s="10">
        <f>36.78*1000</f>
        <v>36780</v>
      </c>
      <c r="E12" s="7">
        <f>1480+3587</f>
        <v>5067</v>
      </c>
      <c r="F12" s="10">
        <f>2.188*1000</f>
        <v>2188</v>
      </c>
      <c r="G12" s="6">
        <f>962.72*40%</f>
        <v>385.08800000000002</v>
      </c>
      <c r="H12" s="10">
        <v>0</v>
      </c>
      <c r="I12" s="6">
        <v>0</v>
      </c>
      <c r="J12" s="10">
        <v>0</v>
      </c>
      <c r="K12" s="6">
        <v>0</v>
      </c>
      <c r="L12" s="10">
        <v>400</v>
      </c>
      <c r="M12" s="6">
        <f>400*40%</f>
        <v>160</v>
      </c>
      <c r="N12" s="10">
        <v>0</v>
      </c>
      <c r="O12" s="18">
        <v>0</v>
      </c>
    </row>
    <row r="13" spans="1:15" ht="15.75" thickBot="1" x14ac:dyDescent="0.3">
      <c r="A13" s="19" t="s">
        <v>3</v>
      </c>
      <c r="B13" s="20">
        <v>12</v>
      </c>
      <c r="C13" s="5">
        <v>2016</v>
      </c>
      <c r="D13" s="64">
        <f>27*1000</f>
        <v>27000</v>
      </c>
      <c r="E13" s="65">
        <f>2590+3876</f>
        <v>6466</v>
      </c>
      <c r="F13" s="64">
        <f>0.88*1000</f>
        <v>880</v>
      </c>
      <c r="G13" s="66">
        <v>154.88</v>
      </c>
      <c r="H13" s="64">
        <v>0</v>
      </c>
      <c r="I13" s="66">
        <v>0</v>
      </c>
      <c r="J13" s="64">
        <v>0</v>
      </c>
      <c r="K13" s="66">
        <v>0</v>
      </c>
      <c r="L13" s="64">
        <v>0</v>
      </c>
      <c r="M13" s="66">
        <v>0</v>
      </c>
      <c r="N13" s="64">
        <v>0</v>
      </c>
      <c r="O13" s="21">
        <v>0</v>
      </c>
    </row>
    <row r="14" spans="1:15" ht="16.5" thickBot="1" x14ac:dyDescent="0.3">
      <c r="A14" s="47" t="s">
        <v>18</v>
      </c>
      <c r="B14" s="48"/>
      <c r="C14" s="53">
        <v>2016</v>
      </c>
      <c r="D14" s="57">
        <f>SUM(D2:D13)</f>
        <v>282350</v>
      </c>
      <c r="E14" s="67">
        <f>SUM(E6:E13)</f>
        <v>44867</v>
      </c>
      <c r="F14" s="57">
        <f>SUM(F2:F13)</f>
        <v>14062</v>
      </c>
      <c r="G14" s="67">
        <f>SUM(G2:G13)</f>
        <v>2436.4400000000005</v>
      </c>
      <c r="H14" s="54">
        <f>SUM(H2:H13)</f>
        <v>140</v>
      </c>
      <c r="I14" s="67">
        <f>SUM(I2:I13)</f>
        <v>14</v>
      </c>
      <c r="J14" s="54">
        <f>SUM(J2:J13)</f>
        <v>470</v>
      </c>
      <c r="K14" s="67">
        <f>SUM(K2:K13)</f>
        <v>78.960000000000008</v>
      </c>
      <c r="L14" s="57">
        <f>SUM(L2:L13)</f>
        <v>2300</v>
      </c>
      <c r="M14" s="67">
        <f>SUM(M2:M13)</f>
        <v>920</v>
      </c>
      <c r="N14" s="54">
        <f>SUM(N2:N13)</f>
        <v>0</v>
      </c>
      <c r="O14" s="37">
        <f>SUM(O2:O13)</f>
        <v>0</v>
      </c>
    </row>
    <row r="17" spans="7:14" x14ac:dyDescent="0.25">
      <c r="J17" s="69"/>
    </row>
    <row r="20" spans="7:14" x14ac:dyDescent="0.25">
      <c r="J20" s="69"/>
      <c r="K20" s="69"/>
      <c r="L20" s="55"/>
      <c r="M20" s="55"/>
      <c r="N20" s="55"/>
    </row>
    <row r="21" spans="7:14" x14ac:dyDescent="0.25">
      <c r="G21" s="69"/>
    </row>
    <row r="22" spans="7:14" x14ac:dyDescent="0.25">
      <c r="J22" s="69"/>
      <c r="M22" s="69"/>
    </row>
    <row r="26" spans="7:14" x14ac:dyDescent="0.25">
      <c r="J26" s="46"/>
    </row>
    <row r="27" spans="7:14" x14ac:dyDescent="0.25">
      <c r="J27" s="46"/>
    </row>
    <row r="28" spans="7:14" x14ac:dyDescent="0.25">
      <c r="J28" s="46"/>
    </row>
    <row r="29" spans="7:14" x14ac:dyDescent="0.25">
      <c r="J29" s="46"/>
    </row>
    <row r="30" spans="7:14" x14ac:dyDescent="0.25">
      <c r="J30" s="46"/>
    </row>
  </sheetData>
  <mergeCells count="1">
    <mergeCell ref="A14:B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4" ma:contentTypeDescription="Create a new document." ma:contentTypeScope="" ma:versionID="b91eb22a3c415965adaa06a4ede6a68f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b499ca2ea6e613fe67e5797409ceb1a7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CA60E-6A8C-4226-AE3C-0F8610DCAC2F}">
  <ds:schemaRefs>
    <ds:schemaRef ds:uri="a21bcabd-71d1-4587-a317-3c23b4e73213"/>
    <ds:schemaRef ds:uri="http://purl.org/dc/dcmitype/"/>
    <ds:schemaRef ds:uri="http://schemas.microsoft.com/office/2006/documentManagement/types"/>
    <ds:schemaRef ds:uri="999013b5-db2e-47f1-85a9-df7f954d7a13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A857909-3074-4F93-94EE-76163CE8E7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2C1678-35FB-4B15-BFA6-D02B6C1D3F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Waste 2022</vt:lpstr>
      <vt:lpstr>Waste 2021</vt:lpstr>
      <vt:lpstr>Waste 2020</vt:lpstr>
      <vt:lpstr>Waste 2019</vt:lpstr>
      <vt:lpstr>Waste 2018</vt:lpstr>
      <vt:lpstr>Waste 2017</vt:lpstr>
      <vt:lpstr>Waste 2016</vt:lpstr>
      <vt:lpstr>'Waste 2020'!Print_Area</vt:lpstr>
      <vt:lpstr>'Waste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Perona</dc:creator>
  <cp:lastModifiedBy>Janet Perona</cp:lastModifiedBy>
  <cp:lastPrinted>2022-03-15T08:19:45Z</cp:lastPrinted>
  <dcterms:created xsi:type="dcterms:W3CDTF">2022-03-11T10:52:02Z</dcterms:created>
  <dcterms:modified xsi:type="dcterms:W3CDTF">2022-03-16T11:34:55Z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