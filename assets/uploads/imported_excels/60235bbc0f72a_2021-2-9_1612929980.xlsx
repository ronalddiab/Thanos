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E17" i="1"/>
  <c r="L10" i="3" l="1"/>
  <c r="K10" i="3"/>
  <c r="I10" i="3"/>
  <c r="G10" i="3"/>
  <c r="E10" i="3"/>
  <c r="E16" i="1"/>
  <c r="J10" i="2" l="1"/>
  <c r="I10" i="2"/>
  <c r="H10" i="2"/>
  <c r="F10" i="2"/>
  <c r="E10" i="2"/>
  <c r="E14" i="1" l="1"/>
  <c r="E15" i="1"/>
  <c r="G9" i="3" s="1"/>
  <c r="L9" i="3"/>
  <c r="K9" i="3"/>
  <c r="I9" i="3"/>
  <c r="E9" i="3"/>
  <c r="L8" i="3"/>
  <c r="K8" i="3"/>
  <c r="I8" i="3"/>
  <c r="G8" i="3"/>
  <c r="E8" i="3"/>
  <c r="J9" i="2" l="1"/>
  <c r="I9" i="2"/>
  <c r="H9" i="2"/>
  <c r="F9" i="2"/>
  <c r="E9" i="2"/>
  <c r="J8" i="2"/>
  <c r="I8" i="2"/>
  <c r="H8" i="2"/>
  <c r="F8" i="2"/>
  <c r="E8" i="2"/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<sst xmlns="http://schemas.openxmlformats.org/spreadsheetml/2006/main" count="102" uniqueCount="39">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</sst>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Q5" sqref="Q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7341</v>
      </c>
      <c r="F8" s="22">
        <v>0.11799999999999999</v>
      </c>
      <c r="G8" s="24">
        <f>(('2 - 2020'!E14-'2 - 2020'!E13)+('2 - 2020'!F14-'2 - 2020'!F13)+('2 - 2020'!G14-'2 - 2020'!G13))*1.81</f>
        <v>63.35</v>
      </c>
      <c r="H8" s="22">
        <v>0.99</v>
      </c>
      <c r="I8" s="24">
        <f>'2 - 2020'!J14-'2 - 2020'!J13</f>
        <v>10041</v>
      </c>
      <c r="J8" s="22">
        <v>8.1000000000000003E-2</v>
      </c>
      <c r="K8" s="46">
        <f>'2 - 2020'!H14-'2 - 2020'!H13</f>
        <v>0</v>
      </c>
      <c r="L8" s="24">
        <f>'2 - 2020'!I14-'2 - 2020'!I13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8121</v>
      </c>
      <c r="F9" s="22">
        <v>0.11799999999999999</v>
      </c>
      <c r="G9" s="24">
        <f>(('2 - 2020'!E15-'2 - 2020'!E14)+('2 - 2020'!F15-'2 - 2020'!F14)+('2 - 2020'!G15-'2 - 2020'!G14))*1.81</f>
        <v>73.884200000000305</v>
      </c>
      <c r="H9" s="22">
        <v>0.99</v>
      </c>
      <c r="I9" s="24">
        <f>'2 - 2020'!J15-'2 - 2020'!J14</f>
        <v>11389</v>
      </c>
      <c r="J9" s="22">
        <v>8.1000000000000003E-2</v>
      </c>
      <c r="K9" s="46">
        <f>'2 - 2020'!H15-'2 - 2020'!H14</f>
        <v>0</v>
      </c>
      <c r="L9" s="24">
        <f>'2 - 2020'!I15-'2 - 2020'!I14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8293</v>
      </c>
      <c r="F10" s="22">
        <v>0.11799999999999999</v>
      </c>
      <c r="G10" s="24">
        <f>(('2 - 2020'!E16-'2 - 2020'!E15)+('2 - 2020'!F16-'2 - 2020'!F15)+('2 - 2020'!G16-'2 - 2020'!G15))*1.81</f>
        <v>70.915799999999706</v>
      </c>
      <c r="H10" s="22">
        <v>0.99</v>
      </c>
      <c r="I10" s="24">
        <f>'2 - 2020'!J16-'2 - 2020'!J15</f>
        <v>11241</v>
      </c>
      <c r="J10" s="22">
        <v>8.1000000000000003E-2</v>
      </c>
      <c r="K10" s="46">
        <f>'2 - 2020'!H16-'2 - 2020'!H15</f>
        <v>0</v>
      </c>
      <c r="L10" s="24">
        <f>'2 - 2020'!I16-'2 - 2020'!I15</f>
        <v>73</v>
      </c>
      <c r="M10" s="23">
        <v>4.393629424766913</v>
      </c>
      <c r="N10" s="39">
        <v>64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'2 - 2020'!B17-'2 - 2020'!B16+'2 - 2020'!C17-'2 - 2020'!C16</f>
        <v>7919</v>
      </c>
      <c r="F11" s="22">
        <v>0.11799999999999999</v>
      </c>
      <c r="G11" s="24">
        <f>(('2 - 2020'!E17-'2 - 2020'!E16)+('2 - 2020'!F17-'2 - 2020'!F16)+('2 - 2020'!G17-'2 - 2020'!G16))*1.81</f>
        <v>68.78</v>
      </c>
      <c r="H11" s="22">
        <v>0.99</v>
      </c>
      <c r="I11" s="24">
        <f>'2 - 2020'!J17-'2 - 2020'!J16</f>
        <v>11508</v>
      </c>
      <c r="J11" s="22">
        <v>8.1000000000000003E-2</v>
      </c>
      <c r="K11" s="46">
        <f>'2 - 2020'!H17-'2 - 2020'!H16</f>
        <v>0</v>
      </c>
      <c r="L11" s="24">
        <f>'2 - 2020'!I17-'2 - 2020'!I16</f>
        <v>71</v>
      </c>
      <c r="M11" s="23">
        <v>4.393629424766913</v>
      </c>
      <c r="N11" s="39">
        <v>57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v>0</v>
      </c>
      <c r="F12" s="22">
        <v>0.11799999999999999</v>
      </c>
      <c r="G12" s="24">
        <v>0</v>
      </c>
      <c r="H12" s="22">
        <v>0.99</v>
      </c>
      <c r="I12" s="24">
        <v>0</v>
      </c>
      <c r="J12" s="22">
        <v>8.1000000000000003E-2</v>
      </c>
      <c r="K12" s="46">
        <v>0</v>
      </c>
      <c r="L12" s="24"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0</v>
      </c>
      <c r="F13" s="22">
        <v>0.11799999999999999</v>
      </c>
      <c r="G13" s="24">
        <f>(('2 - 2020'!E19-'2 - 2020'!E18)+('2 - 2020'!F19-'2 - 2020'!F18)+('2 - 2020'!G19-'2 - 2020'!G18))*1.81</f>
        <v>0</v>
      </c>
      <c r="H13" s="22">
        <v>0.99</v>
      </c>
      <c r="I13" s="24">
        <f>'2 - 2020'!J19-'2 - 2020'!J18</f>
        <v>0</v>
      </c>
      <c r="J13" s="22">
        <v>8.1000000000000003E-2</v>
      </c>
      <c r="K13" s="46">
        <f>'2 - 2020'!H19-'2 - 2020'!H18</f>
        <v>0</v>
      </c>
      <c r="L13" s="24">
        <f>'2 - 2020'!I19-'2 - 2020'!I18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0</v>
      </c>
      <c r="F14" s="22">
        <v>0.11799999999999999</v>
      </c>
      <c r="G14" s="24">
        <f>(('2 - 2020'!E20-'2 - 2020'!E19)+('2 - 2020'!F20-'2 - 2020'!F19)+('2 - 2020'!G20-'2 - 2020'!G19))*1.81</f>
        <v>0</v>
      </c>
      <c r="H14" s="22">
        <v>0.99</v>
      </c>
      <c r="I14" s="24">
        <f>'2 - 2020'!J20-'2 - 2020'!J19</f>
        <v>0</v>
      </c>
      <c r="J14" s="22">
        <v>8.1000000000000003E-2</v>
      </c>
      <c r="K14" s="46">
        <f>'2 - 2020'!H20-'2 - 2020'!H19</f>
        <v>0</v>
      </c>
      <c r="L14" s="24">
        <f>'2 - 2020'!I20-'2 - 2020'!I19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0</v>
      </c>
      <c r="F15" s="22">
        <v>0.11799999999999999</v>
      </c>
      <c r="G15" s="24">
        <f>(('2 - 2020'!E21-'2 - 2020'!E20)+('2 - 2020'!F21-'2 - 2020'!F20)+('2 - 2020'!G21-'2 - 2020'!G20))*1.81</f>
        <v>0</v>
      </c>
      <c r="H15" s="22">
        <v>0.99</v>
      </c>
      <c r="I15" s="24">
        <f>'2 - 2020'!J21-'2 - 2020'!J20</f>
        <v>0</v>
      </c>
      <c r="J15" s="22">
        <v>8.1000000000000003E-2</v>
      </c>
      <c r="K15" s="46">
        <f>'2 - 2020'!H21-'2 - 2020'!H20</f>
        <v>0</v>
      </c>
      <c r="L15" s="24">
        <f>'2 - 2020'!I21-'2 - 2020'!I20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0</v>
      </c>
      <c r="F16" s="22">
        <v>0.11799999999999999</v>
      </c>
      <c r="G16" s="24">
        <f>(('2 - 2020'!E22-'2 - 2020'!E21)+('2 - 2020'!F22-'2 - 2020'!F21)+('2 - 2020'!G22-'2 - 2020'!G21))*1.81</f>
        <v>0</v>
      </c>
      <c r="H16" s="22">
        <v>0.99</v>
      </c>
      <c r="I16" s="24">
        <f>'2 - 2020'!J22-'2 - 2020'!J21</f>
        <v>0</v>
      </c>
      <c r="J16" s="22">
        <v>8.1000000000000003E-2</v>
      </c>
      <c r="K16" s="46">
        <f>'2 - 2020'!H22-'2 - 2020'!H21</f>
        <v>0</v>
      </c>
      <c r="L16" s="24">
        <f>'2 - 2020'!I22-'2 - 2020'!I21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0</v>
      </c>
      <c r="F17" s="22">
        <v>0.11799999999999999</v>
      </c>
      <c r="G17" s="24">
        <f>(('2 - 2020'!E23-'2 - 2020'!E22)+('2 - 2020'!F23-'2 - 2020'!F22)+('2 - 2020'!G23-'2 - 2020'!G22))*1.81</f>
        <v>0</v>
      </c>
      <c r="H17" s="22">
        <v>0.99</v>
      </c>
      <c r="I17" s="24">
        <f>'2 - 2020'!J23-'2 - 2020'!J22</f>
        <v>0</v>
      </c>
      <c r="J17" s="22">
        <v>8.1000000000000003E-2</v>
      </c>
      <c r="K17" s="46">
        <f>'2 - 2020'!H23-'2 - 2020'!H22</f>
        <v>0</v>
      </c>
      <c r="L17" s="24">
        <f>'2 - 2020'!I23-'2 - 2020'!I22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0</v>
      </c>
      <c r="F18" s="22">
        <v>0.11799999999999999</v>
      </c>
      <c r="G18" s="24">
        <f>(('2 - 2020'!E24-'2 - 2020'!E23)+('2 - 2020'!F24-'2 - 2020'!F23)+('2 - 2020'!G24-'2 - 2020'!G23))*1.81</f>
        <v>0</v>
      </c>
      <c r="H18" s="22">
        <v>0.99</v>
      </c>
      <c r="I18" s="24">
        <f>'2 - 2020'!J24-'2 - 2020'!J23</f>
        <v>0</v>
      </c>
      <c r="J18" s="22">
        <v>8.1000000000000003E-2</v>
      </c>
      <c r="K18" s="46">
        <f>'2 - 2020'!H24-'2 - 2020'!H23</f>
        <v>0</v>
      </c>
      <c r="L18" s="24">
        <f>'2 - 2020'!I24-'2 - 2020'!I23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0</v>
      </c>
      <c r="F19" s="22">
        <v>0.11799999999999999</v>
      </c>
      <c r="G19" s="24">
        <f>(('2 - 2020'!E25-'2 - 2020'!E24)+('2 - 2020'!F25-'2 - 2020'!F24)+('2 - 2020'!G25-'2 - 2020'!G24))*1.81</f>
        <v>0</v>
      </c>
      <c r="H19" s="22">
        <v>0.99</v>
      </c>
      <c r="I19" s="24">
        <f>'2 - 2020'!J25-'2 - 2020'!J24</f>
        <v>0</v>
      </c>
      <c r="J19" s="22">
        <v>8.1000000000000003E-2</v>
      </c>
      <c r="K19" s="46">
        <f>'2 - 2020'!H25-'2 - 2020'!H24</f>
        <v>0</v>
      </c>
      <c r="L19" s="24">
        <f>'2 - 2020'!I25-'2 - 2020'!I24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0</v>
      </c>
      <c r="F20" s="22">
        <v>0.11799999999999999</v>
      </c>
      <c r="G20" s="24">
        <f>(('2 - 2020'!E26-'2 - 2020'!E25)+('2 - 2020'!F26-'2 - 2020'!F25)+('2 - 2020'!G26-'2 - 2020'!G25))*1.81</f>
        <v>0</v>
      </c>
      <c r="H20" s="22">
        <v>0.99</v>
      </c>
      <c r="I20" s="24">
        <f>'2 - 2020'!J26-'2 - 2020'!J25</f>
        <v>0</v>
      </c>
      <c r="J20" s="22">
        <v>8.1000000000000003E-2</v>
      </c>
      <c r="K20" s="46">
        <f>'2 - 2020'!H26-'2 - 2020'!H25</f>
        <v>0</v>
      </c>
      <c r="L20" s="24">
        <f>'2 - 2020'!I26-'2 - 2020'!I25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0</v>
      </c>
      <c r="F21" s="22">
        <v>0.11799999999999999</v>
      </c>
      <c r="G21" s="24">
        <f>(('2 - 2020'!E27-'2 - 2020'!E26)+('2 - 2020'!F27-'2 - 2020'!F26)+('2 - 2020'!G27-'2 - 2020'!G26))*1.81</f>
        <v>0</v>
      </c>
      <c r="H21" s="22">
        <v>0.99</v>
      </c>
      <c r="I21" s="24">
        <f>'2 - 2020'!J27-'2 - 2020'!J26</f>
        <v>0</v>
      </c>
      <c r="J21" s="22">
        <v>8.1000000000000003E-2</v>
      </c>
      <c r="K21" s="46">
        <f>'2 - 2020'!H27-'2 - 2020'!H26</f>
        <v>0</v>
      </c>
      <c r="L21" s="24">
        <f>'2 - 2020'!I27-'2 - 2020'!I26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0</v>
      </c>
      <c r="F22" s="22">
        <v>0.11799999999999999</v>
      </c>
      <c r="G22" s="24">
        <f>(('2 - 2020'!E28-'2 - 2020'!E27)+('2 - 2020'!F28-'2 - 2020'!F27)+('2 - 2020'!G28-'2 - 2020'!G27))*1.81</f>
        <v>0</v>
      </c>
      <c r="H22" s="22">
        <v>0.99</v>
      </c>
      <c r="I22" s="24">
        <f>'2 - 2020'!J28-'2 - 2020'!J27</f>
        <v>0</v>
      </c>
      <c r="J22" s="22">
        <v>8.1000000000000003E-2</v>
      </c>
      <c r="K22" s="46">
        <f>'2 - 2020'!H28-'2 - 2020'!H27</f>
        <v>0</v>
      </c>
      <c r="L22" s="24">
        <f>'2 - 2020'!I28-'2 - 2020'!I27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0</v>
      </c>
      <c r="F23" s="22">
        <v>0.11799999999999999</v>
      </c>
      <c r="G23" s="24">
        <f>(('2 - 2020'!E29-'2 - 2020'!E28)+('2 - 2020'!F29-'2 - 2020'!F28)+('2 - 2020'!G29-'2 - 2020'!G28))*1.81</f>
        <v>0</v>
      </c>
      <c r="H23" s="22">
        <v>0.99</v>
      </c>
      <c r="I23" s="24">
        <f>'2 - 2020'!J29-'2 - 2020'!J28</f>
        <v>0</v>
      </c>
      <c r="J23" s="22">
        <v>8.1000000000000003E-2</v>
      </c>
      <c r="K23" s="46">
        <f>'2 - 2020'!H29-'2 - 2020'!H28</f>
        <v>0</v>
      </c>
      <c r="L23" s="24">
        <f>'2 - 2020'!I29-'2 - 2020'!I28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0</v>
      </c>
      <c r="F24" s="22">
        <v>0.11799999999999999</v>
      </c>
      <c r="G24" s="24">
        <f>(('2 - 2020'!E30-'2 - 2020'!E29)+('2 - 2020'!F30-'2 - 2020'!F29)+('2 - 2020'!G30-'2 - 2020'!G29))*1.81</f>
        <v>0</v>
      </c>
      <c r="H24" s="22">
        <v>0.99</v>
      </c>
      <c r="I24" s="24">
        <f>'2 - 2020'!J30-'2 - 2020'!J29</f>
        <v>0</v>
      </c>
      <c r="J24" s="22">
        <v>8.1000000000000003E-2</v>
      </c>
      <c r="K24" s="46">
        <f>'2 - 2020'!H30-'2 - 2020'!H29</f>
        <v>0</v>
      </c>
      <c r="L24" s="24">
        <f>'2 - 2020'!I30-'2 - 2020'!I29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K12" sqref="K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2614</v>
      </c>
      <c r="F8" s="24">
        <f>'2 - 2020'!C14-'2 - 2020'!C13</f>
        <v>4727</v>
      </c>
      <c r="G8" s="22">
        <v>0.11799999999999999</v>
      </c>
      <c r="H8" s="24">
        <f>'2 - 2020'!E14-'2 - 2020'!E13</f>
        <v>5</v>
      </c>
      <c r="I8" s="24">
        <f>'2 - 2020'!F14-'2 - 2020'!F13</f>
        <v>4</v>
      </c>
      <c r="J8" s="24">
        <f>'2 - 2020'!G14-'2 - 2020'!G13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2858</v>
      </c>
      <c r="F9" s="24">
        <f>'2 - 2020'!C15-'2 - 2020'!C14</f>
        <v>5263</v>
      </c>
      <c r="G9" s="22">
        <v>0.11799999999999999</v>
      </c>
      <c r="H9" s="24">
        <f>'2 - 2020'!E15-'2 - 2020'!E14</f>
        <v>5</v>
      </c>
      <c r="I9" s="24">
        <f>'2 - 2020'!F15-'2 - 2020'!F14</f>
        <v>4.8200000000001637</v>
      </c>
      <c r="J9" s="24">
        <f>'2 - 2020'!G15-'2 - 2020'!G14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2911</v>
      </c>
      <c r="F10" s="24">
        <f>'2 - 2020'!C16-'2 - 2020'!C15</f>
        <v>5382</v>
      </c>
      <c r="G10" s="22">
        <v>0.11799999999999999</v>
      </c>
      <c r="H10" s="24">
        <f>'2 - 2020'!E16-'2 - 2020'!E15</f>
        <v>5</v>
      </c>
      <c r="I10" s="24">
        <f>'2 - 2020'!F16-'2 - 2020'!F15</f>
        <v>4.1799999999998363</v>
      </c>
      <c r="J10" s="24">
        <f>'2 - 2020'!G16-'2 - 2020'!G15</f>
        <v>30</v>
      </c>
      <c r="K10" s="22">
        <v>0.74</v>
      </c>
      <c r="L10" s="39">
        <v>64</v>
      </c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2792</v>
      </c>
      <c r="F11" s="24">
        <f>'2 - 2020'!C17-'2 - 2020'!C16</f>
        <v>5127</v>
      </c>
      <c r="G11" s="22">
        <v>0.11799999999999999</v>
      </c>
      <c r="H11" s="24">
        <f>'2 - 2020'!E17-'2 - 2020'!E16</f>
        <v>5</v>
      </c>
      <c r="I11" s="24">
        <f>'2 - 2020'!F17-'2 - 2020'!F16</f>
        <v>4</v>
      </c>
      <c r="J11" s="24">
        <f>'2 - 2020'!G17-'2 - 2020'!G16</f>
        <v>29</v>
      </c>
      <c r="K11" s="22">
        <v>0.74</v>
      </c>
      <c r="L11" s="39">
        <v>57</v>
      </c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v>0</v>
      </c>
      <c r="F12" s="24">
        <v>0</v>
      </c>
      <c r="G12" s="22">
        <v>0.11799999999999999</v>
      </c>
      <c r="H12" s="24">
        <v>0</v>
      </c>
      <c r="I12" s="24">
        <v>0</v>
      </c>
      <c r="J12" s="24"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0</v>
      </c>
      <c r="F13" s="24">
        <f>'2 - 2020'!C19-'2 - 2020'!C18</f>
        <v>0</v>
      </c>
      <c r="G13" s="22">
        <v>0.11799999999999999</v>
      </c>
      <c r="H13" s="24">
        <f>'2 - 2020'!E19-'2 - 2020'!E18</f>
        <v>0</v>
      </c>
      <c r="I13" s="24">
        <f>'2 - 2020'!F19-'2 - 2020'!F18</f>
        <v>0</v>
      </c>
      <c r="J13" s="24">
        <f>'2 - 2020'!G19-'2 - 2020'!G18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0</v>
      </c>
      <c r="F14" s="24">
        <f>'2 - 2020'!C20-'2 - 2020'!C19</f>
        <v>0</v>
      </c>
      <c r="G14" s="22">
        <v>0.11799999999999999</v>
      </c>
      <c r="H14" s="24">
        <f>'2 - 2020'!E20-'2 - 2020'!E19</f>
        <v>0</v>
      </c>
      <c r="I14" s="24">
        <f>'2 - 2020'!F20-'2 - 2020'!F19</f>
        <v>0</v>
      </c>
      <c r="J14" s="24">
        <f>'2 - 2020'!G20-'2 - 2020'!G19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0</v>
      </c>
      <c r="F15" s="24">
        <f>'2 - 2020'!C21-'2 - 2020'!C20</f>
        <v>0</v>
      </c>
      <c r="G15" s="22">
        <v>0.11799999999999999</v>
      </c>
      <c r="H15" s="24">
        <f>'2 - 2020'!E21-'2 - 2020'!E20</f>
        <v>0</v>
      </c>
      <c r="I15" s="24">
        <f>'2 - 2020'!F21-'2 - 2020'!F20</f>
        <v>0</v>
      </c>
      <c r="J15" s="24">
        <f>'2 - 2020'!G21-'2 - 2020'!G20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0</v>
      </c>
      <c r="F16" s="24">
        <f>'2 - 2020'!C22-'2 - 2020'!C21</f>
        <v>0</v>
      </c>
      <c r="G16" s="22">
        <v>0.11799999999999999</v>
      </c>
      <c r="H16" s="24">
        <f>'2 - 2020'!E22-'2 - 2020'!E21</f>
        <v>0</v>
      </c>
      <c r="I16" s="24">
        <f>'2 - 2020'!F22-'2 - 2020'!F21</f>
        <v>0</v>
      </c>
      <c r="J16" s="24">
        <f>'2 - 2020'!G22-'2 - 2020'!G21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0</v>
      </c>
      <c r="F17" s="24">
        <f>'2 - 2020'!C23-'2 - 2020'!C22</f>
        <v>0</v>
      </c>
      <c r="G17" s="22">
        <v>0.11799999999999999</v>
      </c>
      <c r="H17" s="24">
        <f>'2 - 2020'!E23-'2 - 2020'!E22</f>
        <v>0</v>
      </c>
      <c r="I17" s="24">
        <f>'2 - 2020'!F23-'2 - 2020'!F22</f>
        <v>0</v>
      </c>
      <c r="J17" s="24">
        <f>'2 - 2020'!G23-'2 - 2020'!G22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0</v>
      </c>
      <c r="F18" s="24">
        <f>'2 - 2020'!C24-'2 - 2020'!C23</f>
        <v>0</v>
      </c>
      <c r="G18" s="22">
        <v>0.11799999999999999</v>
      </c>
      <c r="H18" s="24">
        <f>'2 - 2020'!E24-'2 - 2020'!E23</f>
        <v>0</v>
      </c>
      <c r="I18" s="24">
        <f>'2 - 2020'!F24-'2 - 2020'!F23</f>
        <v>0</v>
      </c>
      <c r="J18" s="24">
        <f>'2 - 2020'!G24-'2 - 2020'!G23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0</v>
      </c>
      <c r="F19" s="24">
        <f>'2 - 2020'!C25-'2 - 2020'!C24</f>
        <v>0</v>
      </c>
      <c r="G19" s="22">
        <v>0.11799999999999999</v>
      </c>
      <c r="H19" s="24">
        <f>'2 - 2020'!E25-'2 - 2020'!E24</f>
        <v>0</v>
      </c>
      <c r="I19" s="24">
        <f>'2 - 2020'!F25-'2 - 2020'!F24</f>
        <v>0</v>
      </c>
      <c r="J19" s="24">
        <f>'2 - 2020'!G25-'2 - 2020'!G24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0</v>
      </c>
      <c r="F20" s="24">
        <f>'2 - 2020'!C26-'2 - 2020'!C25</f>
        <v>0</v>
      </c>
      <c r="G20" s="22">
        <v>0.11799999999999999</v>
      </c>
      <c r="H20" s="24">
        <f>'2 - 2020'!E26-'2 - 2020'!E25</f>
        <v>0</v>
      </c>
      <c r="I20" s="24">
        <f>'2 - 2020'!F26-'2 - 2020'!F25</f>
        <v>0</v>
      </c>
      <c r="J20" s="24">
        <f>'2 - 2020'!G26-'2 - 2020'!G25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0</v>
      </c>
      <c r="F21" s="24">
        <f>'2 - 2020'!C27-'2 - 2020'!C26</f>
        <v>0</v>
      </c>
      <c r="G21" s="22">
        <v>0.11799999999999999</v>
      </c>
      <c r="H21" s="24">
        <f>'2 - 2020'!E27-'2 - 2020'!E26</f>
        <v>0</v>
      </c>
      <c r="I21" s="24">
        <f>'2 - 2020'!F27-'2 - 2020'!F26</f>
        <v>0</v>
      </c>
      <c r="J21" s="24">
        <f>'2 - 2020'!G27-'2 - 2020'!G26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0</v>
      </c>
      <c r="F22" s="24">
        <f>'2 - 2020'!C28-'2 - 2020'!C27</f>
        <v>0</v>
      </c>
      <c r="G22" s="22">
        <v>0.11799999999999999</v>
      </c>
      <c r="H22" s="24">
        <f>'2 - 2020'!E28-'2 - 2020'!E27</f>
        <v>0</v>
      </c>
      <c r="I22" s="24">
        <f>'2 - 2020'!F28-'2 - 2020'!F27</f>
        <v>0</v>
      </c>
      <c r="J22" s="24">
        <f>'2 - 2020'!G28-'2 - 2020'!G27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0</v>
      </c>
      <c r="F23" s="24">
        <f>'2 - 2020'!C29-'2 - 2020'!C28</f>
        <v>0</v>
      </c>
      <c r="G23" s="22">
        <v>0.11799999999999999</v>
      </c>
      <c r="H23" s="24">
        <f>'2 - 2020'!E29-'2 - 2020'!E28</f>
        <v>0</v>
      </c>
      <c r="I23" s="24">
        <f>'2 - 2020'!F29-'2 - 2020'!F28</f>
        <v>0</v>
      </c>
      <c r="J23" s="24">
        <f>'2 - 2020'!G29-'2 - 2020'!G28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0</v>
      </c>
      <c r="F24" s="24">
        <f>'2 - 2020'!C30-'2 - 2020'!C29</f>
        <v>0</v>
      </c>
      <c r="G24" s="22">
        <v>0.11799999999999999</v>
      </c>
      <c r="H24" s="24">
        <f>'2 - 2020'!E30-'2 - 2020'!E29</f>
        <v>0</v>
      </c>
      <c r="I24" s="24">
        <f>'2 - 2020'!F30-'2 - 2020'!F29</f>
        <v>0</v>
      </c>
      <c r="J24" s="24">
        <f>'2 - 2020'!G30-'2 - 2020'!G29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F26" sqref="F26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>E12+5</f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>E13+5</f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>E14+5</f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>
        <v>347995</v>
      </c>
      <c r="C16" s="15">
        <v>187722</v>
      </c>
      <c r="D16" s="16">
        <v>0.4</v>
      </c>
      <c r="E16" s="19">
        <f>E15+5</f>
        <v>13610</v>
      </c>
      <c r="F16" s="21">
        <v>3045</v>
      </c>
      <c r="G16" s="17">
        <v>25958</v>
      </c>
      <c r="H16" s="15">
        <v>14528</v>
      </c>
      <c r="I16" s="15">
        <v>109953</v>
      </c>
      <c r="J16" s="15">
        <v>44266845</v>
      </c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>
        <v>350787</v>
      </c>
      <c r="C17" s="17">
        <v>192849</v>
      </c>
      <c r="D17" s="25">
        <v>0.35</v>
      </c>
      <c r="E17" s="19">
        <f>E16+5</f>
        <v>13615</v>
      </c>
      <c r="F17" s="21">
        <v>3049</v>
      </c>
      <c r="G17" s="17">
        <v>25987</v>
      </c>
      <c r="H17" s="15">
        <v>14528</v>
      </c>
      <c r="I17" s="17">
        <v>110024</v>
      </c>
      <c r="J17" s="17">
        <v>44278353</v>
      </c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/>
      <c r="C28" s="47"/>
      <c r="D28" s="16"/>
      <c r="E28" s="48"/>
      <c r="F28" s="21"/>
      <c r="G28" s="48"/>
      <c r="H28" s="15"/>
      <c r="I28" s="47"/>
      <c r="J28" s="47"/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1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1"/>
        <v>-14528</v>
      </c>
      <c r="I39" s="30">
        <f>I38-I7</f>
        <v>-109234</v>
      </c>
      <c r="J39" s="30">
        <f>J38-J7</f>
        <v>-44171258</v>
      </c>
      <c r="K39" s="30">
        <f t="shared" ref="K39" si="2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3">E32-E10</f>
        <v>-13580</v>
      </c>
      <c r="F42" s="58">
        <f t="shared" si="3"/>
        <v>-3017</v>
      </c>
      <c r="G42" s="58">
        <f t="shared" si="3"/>
        <v>-25778</v>
      </c>
      <c r="H42" s="58">
        <f t="shared" si="3"/>
        <v>-14528</v>
      </c>
      <c r="I42" s="58">
        <f t="shared" si="3"/>
        <v>-109493</v>
      </c>
      <c r="J42" s="58">
        <f t="shared" si="3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2021-02-10T04:04:14Z</dcterms:modified>
</cp:coreProperties>
</file>