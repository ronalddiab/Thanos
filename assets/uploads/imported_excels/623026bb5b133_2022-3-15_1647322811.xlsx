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filterPrivacy="1" defaultThemeVersion="124226"/>
  <xr:revisionPtr revIDLastSave="0" documentId="13_ncr:1_{B4EA41A2-6E61-46A9-810D-EBBB42A321A2}" xr6:coauthVersionLast="36" xr6:coauthVersionMax="36" xr10:uidLastSave="{00000000-0000-0000-0000-000000000000}"/>
  <bookViews>
    <workbookView xWindow="-120" yWindow="-120" windowWidth="1944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/>
</workbook>
</file>

<file path=xl/calcChain.xml><?xml version="1.0" encoding="utf-8"?>
<calcChain xmlns="http://schemas.openxmlformats.org/spreadsheetml/2006/main">
  <c r="B36" i="4" l="1"/>
  <c r="K33" i="6"/>
  <c r="S10" i="8"/>
  <c r="S11" i="8"/>
  <c r="S12" i="8"/>
  <c r="S13" i="8"/>
  <c r="S14" i="8"/>
  <c r="S15" i="8"/>
  <c r="S16" i="8"/>
  <c r="S17" i="8"/>
  <c r="S18" i="8"/>
  <c r="T18" i="8" s="1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D24" i="8" s="1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V7" i="8" s="1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V27" i="8" s="1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N12" i="8" s="1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N32" i="8" s="1"/>
  <c r="M33" i="8"/>
  <c r="M34" i="8"/>
  <c r="M4" i="8"/>
  <c r="K5" i="8"/>
  <c r="L5" i="8" s="1"/>
  <c r="K6" i="8"/>
  <c r="K7" i="8"/>
  <c r="K8" i="8"/>
  <c r="K9" i="8"/>
  <c r="K10" i="8"/>
  <c r="K11" i="8"/>
  <c r="K12" i="8"/>
  <c r="K13" i="8"/>
  <c r="L13" i="8" s="1"/>
  <c r="K14" i="8"/>
  <c r="K15" i="8"/>
  <c r="K16" i="8"/>
  <c r="K17" i="8"/>
  <c r="K18" i="8"/>
  <c r="K19" i="8"/>
  <c r="K20" i="8"/>
  <c r="K21" i="8"/>
  <c r="K22" i="8"/>
  <c r="K23" i="8"/>
  <c r="K24" i="8"/>
  <c r="K25" i="8"/>
  <c r="L25" i="8" s="1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J34" i="8" s="1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F8" i="8" s="1"/>
  <c r="E9" i="8"/>
  <c r="E10" i="8"/>
  <c r="E11" i="8"/>
  <c r="E12" i="8"/>
  <c r="F12" i="8" s="1"/>
  <c r="E13" i="8"/>
  <c r="E14" i="8"/>
  <c r="E15" i="8"/>
  <c r="E16" i="8"/>
  <c r="F16" i="8" s="1"/>
  <c r="E17" i="8"/>
  <c r="E18" i="8"/>
  <c r="E19" i="8"/>
  <c r="E20" i="8"/>
  <c r="E21" i="8"/>
  <c r="E22" i="8"/>
  <c r="E23" i="8"/>
  <c r="E24" i="8"/>
  <c r="E25" i="8"/>
  <c r="E26" i="8"/>
  <c r="E27" i="8"/>
  <c r="E28" i="8"/>
  <c r="F28" i="8" s="1"/>
  <c r="E29" i="8"/>
  <c r="E30" i="8"/>
  <c r="E31" i="8"/>
  <c r="E32" i="8"/>
  <c r="F32" i="8" s="1"/>
  <c r="E33" i="8"/>
  <c r="E34" i="8"/>
  <c r="E4" i="8"/>
  <c r="C5" i="8"/>
  <c r="J5" i="8" s="1"/>
  <c r="C6" i="8"/>
  <c r="D6" i="8" s="1"/>
  <c r="C7" i="8"/>
  <c r="C8" i="8"/>
  <c r="D8" i="8" s="1"/>
  <c r="C9" i="8"/>
  <c r="C10" i="8"/>
  <c r="C11" i="8"/>
  <c r="C12" i="8"/>
  <c r="X12" i="8" s="1"/>
  <c r="C13" i="8"/>
  <c r="V13" i="8" s="1"/>
  <c r="C14" i="8"/>
  <c r="C15" i="8"/>
  <c r="C16" i="8"/>
  <c r="D16" i="8" s="1"/>
  <c r="C17" i="8"/>
  <c r="H17" i="8" s="1"/>
  <c r="C18" i="8"/>
  <c r="C19" i="8"/>
  <c r="C20" i="8"/>
  <c r="X20" i="8" s="1"/>
  <c r="C21" i="8"/>
  <c r="D21" i="8" s="1"/>
  <c r="C22" i="8"/>
  <c r="H22" i="8" s="1"/>
  <c r="C23" i="8"/>
  <c r="C24" i="8"/>
  <c r="C25" i="8"/>
  <c r="P25" i="8" s="1"/>
  <c r="C26" i="8"/>
  <c r="C27" i="8"/>
  <c r="C28" i="8"/>
  <c r="C29" i="8"/>
  <c r="X29" i="8" s="1"/>
  <c r="C30" i="8"/>
  <c r="L30" i="8" s="1"/>
  <c r="C31" i="8"/>
  <c r="C32" i="8"/>
  <c r="C33" i="8"/>
  <c r="P33" i="8" s="1"/>
  <c r="C34" i="8"/>
  <c r="C4" i="8"/>
  <c r="C27" i="2"/>
  <c r="C26" i="4" s="1"/>
  <c r="C28" i="2"/>
  <c r="C27" i="4" s="1"/>
  <c r="C29" i="2"/>
  <c r="C30" i="2"/>
  <c r="C31" i="2"/>
  <c r="C32" i="2"/>
  <c r="D31" i="3" s="1"/>
  <c r="C33" i="2"/>
  <c r="C32" i="4" s="1"/>
  <c r="C34" i="2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F22" i="4" s="1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F7" i="4" s="1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4" i="2"/>
  <c r="C23" i="4" s="1"/>
  <c r="D18" i="8"/>
  <c r="G33" i="6"/>
  <c r="K34" i="2"/>
  <c r="H33" i="4" s="1"/>
  <c r="M34" i="2"/>
  <c r="N34" i="2"/>
  <c r="O34" i="2"/>
  <c r="P34" i="2"/>
  <c r="Q34" i="2"/>
  <c r="R34" i="2"/>
  <c r="S34" i="2"/>
  <c r="K33" i="3" s="1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E7" i="3" s="1"/>
  <c r="B8" i="3"/>
  <c r="C8" i="3" s="1"/>
  <c r="B9" i="3"/>
  <c r="B10" i="3"/>
  <c r="E10" i="3" s="1"/>
  <c r="B11" i="3"/>
  <c r="B12" i="3"/>
  <c r="B13" i="3"/>
  <c r="B14" i="3"/>
  <c r="B15" i="3"/>
  <c r="B16" i="3"/>
  <c r="B17" i="3"/>
  <c r="B18" i="3"/>
  <c r="E18" i="3" s="1"/>
  <c r="B19" i="3"/>
  <c r="B20" i="3"/>
  <c r="B21" i="3"/>
  <c r="D21" i="3" s="1"/>
  <c r="B22" i="3"/>
  <c r="I22" i="3" s="1"/>
  <c r="B23" i="3"/>
  <c r="B24" i="3"/>
  <c r="C24" i="3" s="1"/>
  <c r="B25" i="3"/>
  <c r="B26" i="3"/>
  <c r="C26" i="3" s="1"/>
  <c r="B27" i="3"/>
  <c r="B28" i="3"/>
  <c r="B29" i="3"/>
  <c r="D29" i="3" s="1"/>
  <c r="B30" i="3"/>
  <c r="D30" i="3" s="1"/>
  <c r="B31" i="3"/>
  <c r="B32" i="3"/>
  <c r="B33" i="3"/>
  <c r="B3" i="3"/>
  <c r="I34" i="2"/>
  <c r="H34" i="2"/>
  <c r="G34" i="2"/>
  <c r="F34" i="2"/>
  <c r="E34" i="2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J32" i="4" s="1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I13" i="2"/>
  <c r="J13" i="2"/>
  <c r="I14" i="2"/>
  <c r="J14" i="2"/>
  <c r="I15" i="2"/>
  <c r="G14" i="4" s="1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G29" i="4" s="1"/>
  <c r="I31" i="2"/>
  <c r="G30" i="4" s="1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L17" i="3" s="1"/>
  <c r="U19" i="2"/>
  <c r="U20" i="2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F29" i="3" s="1"/>
  <c r="E31" i="2"/>
  <c r="E30" i="4" s="1"/>
  <c r="E32" i="2"/>
  <c r="E31" i="4" s="1"/>
  <c r="E4" i="2"/>
  <c r="F3" i="3" s="1"/>
  <c r="K5" i="2"/>
  <c r="K6" i="2"/>
  <c r="K7" i="2"/>
  <c r="K11" i="2"/>
  <c r="H10" i="4" s="1"/>
  <c r="K12" i="2"/>
  <c r="K13" i="2"/>
  <c r="K14" i="2"/>
  <c r="K15" i="2"/>
  <c r="K16" i="2"/>
  <c r="K17" i="2"/>
  <c r="K18" i="2"/>
  <c r="H17" i="4" s="1"/>
  <c r="K19" i="2"/>
  <c r="K20" i="2"/>
  <c r="K21" i="2"/>
  <c r="K22" i="2"/>
  <c r="K24" i="2"/>
  <c r="K25" i="2"/>
  <c r="I24" i="3" s="1"/>
  <c r="K26" i="2"/>
  <c r="K27" i="2"/>
  <c r="H26" i="4" s="1"/>
  <c r="K28" i="2"/>
  <c r="K29" i="2"/>
  <c r="H28" i="4" s="1"/>
  <c r="K30" i="2"/>
  <c r="K31" i="2"/>
  <c r="H30" i="4"/>
  <c r="K4" i="2"/>
  <c r="I3" i="3" s="1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K5" i="3" s="1"/>
  <c r="S7" i="2"/>
  <c r="S11" i="2"/>
  <c r="S12" i="2"/>
  <c r="J11" i="4" s="1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3" i="3"/>
  <c r="H18" i="8"/>
  <c r="C11" i="4"/>
  <c r="R8" i="8"/>
  <c r="X8" i="8"/>
  <c r="V6" i="8"/>
  <c r="X7" i="8"/>
  <c r="N29" i="8"/>
  <c r="C29" i="4"/>
  <c r="X28" i="8"/>
  <c r="K19" i="4"/>
  <c r="V33" i="8"/>
  <c r="V24" i="8"/>
  <c r="J32" i="8"/>
  <c r="L28" i="8"/>
  <c r="J24" i="8"/>
  <c r="L32" i="8"/>
  <c r="E29" i="3"/>
  <c r="H7" i="8"/>
  <c r="T28" i="8"/>
  <c r="H8" i="8"/>
  <c r="N28" i="8"/>
  <c r="D5" i="3"/>
  <c r="N18" i="8"/>
  <c r="H24" i="8"/>
  <c r="D13" i="4"/>
  <c r="E29" i="4"/>
  <c r="J8" i="8"/>
  <c r="V32" i="8"/>
  <c r="P34" i="8"/>
  <c r="F34" i="8"/>
  <c r="E33" i="4"/>
  <c r="E25" i="3"/>
  <c r="D9" i="3"/>
  <c r="C21" i="4"/>
  <c r="K4" i="4"/>
  <c r="I33" i="3"/>
  <c r="E17" i="3"/>
  <c r="E20" i="3"/>
  <c r="E4" i="3"/>
  <c r="R24" i="8"/>
  <c r="G33" i="4"/>
  <c r="T11" i="8"/>
  <c r="C4" i="3"/>
  <c r="J16" i="4"/>
  <c r="J27" i="8"/>
  <c r="J25" i="8"/>
  <c r="R26" i="8"/>
  <c r="P26" i="8"/>
  <c r="L26" i="8"/>
  <c r="T24" i="8"/>
  <c r="P18" i="8"/>
  <c r="P20" i="8"/>
  <c r="J19" i="8"/>
  <c r="T19" i="8"/>
  <c r="R18" i="8"/>
  <c r="V18" i="8"/>
  <c r="F18" i="8"/>
  <c r="H17" i="3"/>
  <c r="H16" i="8"/>
  <c r="T16" i="8"/>
  <c r="R16" i="8"/>
  <c r="F15" i="8"/>
  <c r="N14" i="8"/>
  <c r="C5" i="3"/>
  <c r="N11" i="8"/>
  <c r="R12" i="8"/>
  <c r="J11" i="8"/>
  <c r="R11" i="8"/>
  <c r="I6" i="3"/>
  <c r="C6" i="3"/>
  <c r="H6" i="3"/>
  <c r="C14" i="3"/>
  <c r="J22" i="8" l="1"/>
  <c r="X25" i="8"/>
  <c r="T26" i="8"/>
  <c r="E26" i="3"/>
  <c r="G5" i="4"/>
  <c r="I23" i="3"/>
  <c r="F19" i="8"/>
  <c r="N23" i="8"/>
  <c r="I26" i="3"/>
  <c r="K25" i="3"/>
  <c r="K28" i="3"/>
  <c r="G7" i="3"/>
  <c r="G18" i="4"/>
  <c r="J18" i="8"/>
  <c r="N20" i="8"/>
  <c r="V31" i="8"/>
  <c r="J24" i="4"/>
  <c r="G8" i="4"/>
  <c r="F4" i="8"/>
  <c r="H26" i="8"/>
  <c r="C21" i="3"/>
  <c r="K20" i="3"/>
  <c r="G27" i="4"/>
  <c r="C31" i="4"/>
  <c r="J26" i="4"/>
  <c r="K17" i="3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K32" i="3"/>
  <c r="K29" i="3"/>
  <c r="I26" i="4"/>
  <c r="J21" i="8"/>
  <c r="K17" i="4"/>
  <c r="K26" i="3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K18" i="3"/>
  <c r="T25" i="8"/>
  <c r="L26" i="3"/>
  <c r="F17" i="3"/>
  <c r="K4" i="3"/>
  <c r="F33" i="8"/>
  <c r="F21" i="3"/>
  <c r="E28" i="3"/>
  <c r="K15" i="3"/>
  <c r="H27" i="4"/>
  <c r="H11" i="4"/>
  <c r="H31" i="4"/>
  <c r="L4" i="3"/>
  <c r="F32" i="4"/>
  <c r="H27" i="3"/>
  <c r="I19" i="3"/>
  <c r="K30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L30" i="4" s="1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K21" i="3"/>
  <c r="T4" i="8"/>
  <c r="H29" i="4"/>
  <c r="H21" i="4"/>
  <c r="H13" i="4"/>
  <c r="I33" i="4"/>
  <c r="D33" i="8"/>
  <c r="J18" i="3"/>
  <c r="I10" i="4"/>
  <c r="V32" i="2"/>
  <c r="M31" i="3" s="1"/>
  <c r="J32" i="3"/>
  <c r="T14" i="8"/>
  <c r="H14" i="8"/>
  <c r="E22" i="3"/>
  <c r="X14" i="8"/>
  <c r="N27" i="8"/>
  <c r="L12" i="3"/>
  <c r="J31" i="3"/>
  <c r="L32" i="3"/>
  <c r="L28" i="3"/>
  <c r="K16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K24" i="3"/>
  <c r="K23" i="3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K31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34" i="4" s="1"/>
  <c r="D36" i="4" s="1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K19" i="3"/>
  <c r="K27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L22" i="4"/>
  <c r="C34" i="4"/>
  <c r="C36" i="4" s="1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L27" i="4"/>
  <c r="V17" i="2"/>
  <c r="M16" i="3" s="1"/>
  <c r="P35" i="2"/>
  <c r="I20" i="3"/>
  <c r="V7" i="2"/>
  <c r="M6" i="3" s="1"/>
  <c r="H10" i="3"/>
  <c r="M15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31" i="2"/>
  <c r="M30" i="3" s="1"/>
  <c r="V11" i="2"/>
  <c r="M10" i="3" s="1"/>
  <c r="K22" i="3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32" i="3"/>
  <c r="C22" i="3"/>
  <c r="L16" i="4" l="1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<sst xmlns="http://schemas.openxmlformats.org/spreadsheetml/2006/main" count="204" uniqueCount="131">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</sst>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5949.9999999999318</c:v>
                </c:pt>
                <c:pt idx="1">
                  <c:v>33200.000000000335</c:v>
                </c:pt>
                <c:pt idx="2">
                  <c:v>3050.0000000000114</c:v>
                </c:pt>
                <c:pt idx="3">
                  <c:v>14789.999999999964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-60762</c:v>
                </c:pt>
                <c:pt idx="1">
                  <c:v>0.28652806005762438</c:v>
                </c:pt>
                <c:pt idx="2" formatCode="_(* #,##0.00_);_(* \(#,##0.00\);_(* &quot;-&quot;??_);_(@_)">
                  <c:v>-243015</c:v>
                </c:pt>
                <c:pt idx="3">
                  <c:v>1.1459566260969618</c:v>
                </c:pt>
                <c:pt idx="4" formatCode="0.00">
                  <c:v>-29842</c:v>
                </c:pt>
                <c:pt idx="5">
                  <c:v>0.14072233251439431</c:v>
                </c:pt>
                <c:pt idx="6" formatCode="0.00">
                  <c:v>-42064</c:v>
                </c:pt>
                <c:pt idx="7">
                  <c:v>0.19835614888028558</c:v>
                </c:pt>
                <c:pt idx="8" formatCode="0.00">
                  <c:v>-7745</c:v>
                </c:pt>
                <c:pt idx="9">
                  <c:v>3.6522165582869241E-2</c:v>
                </c:pt>
                <c:pt idx="10" formatCode="0.00">
                  <c:v>-1426</c:v>
                </c:pt>
                <c:pt idx="11">
                  <c:v>6.7244168006677261E-3</c:v>
                </c:pt>
                <c:pt idx="12" formatCode="0.00">
                  <c:v>-8395</c:v>
                </c:pt>
                <c:pt idx="13">
                  <c:v>3.958729245554387E-2</c:v>
                </c:pt>
                <c:pt idx="14" formatCode="_(* #,##0.00_);_(* \(#,##0.00\);_(* &quot;-&quot;??_);_(@_)">
                  <c:v>-264199</c:v>
                </c:pt>
                <c:pt idx="15">
                  <c:v>1.2458514686673301</c:v>
                </c:pt>
                <c:pt idx="16" formatCode="0.00">
                  <c:v>-1985</c:v>
                </c:pt>
                <c:pt idx="17">
                  <c:v>9.3604259111679071E-3</c:v>
                </c:pt>
                <c:pt idx="18" formatCode="0.00">
                  <c:v>-7745</c:v>
                </c:pt>
                <c:pt idx="19">
                  <c:v>3.6522165582869241E-2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-212063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-667178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568384"/>
        <c:axId val="217569920"/>
      </c:barChart>
      <c:catAx>
        <c:axId val="217568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7569920"/>
        <c:crosses val="autoZero"/>
        <c:auto val="1"/>
        <c:lblAlgn val="ctr"/>
        <c:lblOffset val="100"/>
        <c:noMultiLvlLbl val="0"/>
      </c:catAx>
      <c:valAx>
        <c:axId val="2175699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7568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O20" sqref="O2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4" t="s">
        <v>5</v>
      </c>
      <c r="G1" s="40" t="s">
        <v>129</v>
      </c>
      <c r="H1" s="115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3</v>
      </c>
      <c r="D2" s="117">
        <v>2022</v>
      </c>
      <c r="E2" s="54">
        <v>23689.999999999825</v>
      </c>
      <c r="F2" s="123">
        <v>0.19400000000000001</v>
      </c>
      <c r="G2" s="103">
        <v>5831</v>
      </c>
      <c r="H2" s="124">
        <v>0.70309999999999995</v>
      </c>
      <c r="I2" s="63">
        <v>373</v>
      </c>
      <c r="J2" s="73">
        <v>0.56200000000000006</v>
      </c>
      <c r="K2" s="100"/>
      <c r="L2" s="73">
        <v>1</v>
      </c>
      <c r="M2" s="69">
        <v>57</v>
      </c>
      <c r="N2" s="69">
        <v>159</v>
      </c>
      <c r="O2" s="69">
        <v>631.20000000000005</v>
      </c>
    </row>
    <row r="3" spans="1:15" ht="15" x14ac:dyDescent="0.25">
      <c r="A3" s="44" t="s">
        <v>9</v>
      </c>
      <c r="B3" s="45">
        <f>B2+1</f>
        <v>2</v>
      </c>
      <c r="C3" s="46">
        <v>3</v>
      </c>
      <c r="D3" s="117">
        <v>2022</v>
      </c>
      <c r="E3" s="54">
        <v>23710.00000000163</v>
      </c>
      <c r="F3" s="123">
        <v>0.19400000000000001</v>
      </c>
      <c r="G3" s="103">
        <v>5913</v>
      </c>
      <c r="H3" s="124">
        <v>0.70309999999999995</v>
      </c>
      <c r="I3" s="63">
        <v>323</v>
      </c>
      <c r="J3" s="73">
        <v>0.56200000000000006</v>
      </c>
      <c r="K3" s="100"/>
      <c r="L3" s="73">
        <v>1</v>
      </c>
      <c r="M3" s="69">
        <v>55</v>
      </c>
      <c r="N3" s="69">
        <v>151</v>
      </c>
      <c r="O3" s="69">
        <v>714.62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3</v>
      </c>
      <c r="D4" s="117">
        <v>2022</v>
      </c>
      <c r="E4" s="54">
        <v>22869.999999998072</v>
      </c>
      <c r="F4" s="123">
        <v>0.19400000000000001</v>
      </c>
      <c r="G4" s="103">
        <v>5614</v>
      </c>
      <c r="H4" s="124">
        <v>0.70309999999999995</v>
      </c>
      <c r="I4" s="63">
        <v>353</v>
      </c>
      <c r="J4" s="73">
        <v>0.56200000000000006</v>
      </c>
      <c r="K4" s="100"/>
      <c r="L4" s="73">
        <v>1</v>
      </c>
      <c r="M4" s="69">
        <v>56</v>
      </c>
      <c r="N4" s="69">
        <v>149</v>
      </c>
      <c r="O4" s="69">
        <v>615.16</v>
      </c>
    </row>
    <row r="5" spans="1:15" ht="15" x14ac:dyDescent="0.25">
      <c r="A5" s="44" t="s">
        <v>9</v>
      </c>
      <c r="B5" s="45">
        <f t="shared" si="0"/>
        <v>4</v>
      </c>
      <c r="C5" s="46">
        <v>3</v>
      </c>
      <c r="D5" s="117">
        <v>2022</v>
      </c>
      <c r="E5" s="54">
        <v>23060.00000000131</v>
      </c>
      <c r="F5" s="123">
        <v>0.19400000000000001</v>
      </c>
      <c r="G5" s="103">
        <v>5891</v>
      </c>
      <c r="H5" s="124">
        <v>0.70309999999999995</v>
      </c>
      <c r="I5" s="63">
        <v>391</v>
      </c>
      <c r="J5" s="73">
        <v>0.56200000000000006</v>
      </c>
      <c r="K5" s="100"/>
      <c r="L5" s="73">
        <v>1</v>
      </c>
      <c r="M5" s="69">
        <v>54</v>
      </c>
      <c r="N5" s="69">
        <v>137</v>
      </c>
      <c r="O5" s="69">
        <v>565.47</v>
      </c>
    </row>
    <row r="6" spans="1:15" ht="15" x14ac:dyDescent="0.25">
      <c r="A6" s="44" t="s">
        <v>9</v>
      </c>
      <c r="B6" s="45">
        <f t="shared" si="0"/>
        <v>5</v>
      </c>
      <c r="C6" s="46">
        <v>3</v>
      </c>
      <c r="D6" s="117">
        <v>2022</v>
      </c>
      <c r="E6" s="54">
        <v>22939.999999999825</v>
      </c>
      <c r="F6" s="123">
        <v>0.19400000000000001</v>
      </c>
      <c r="G6" s="103">
        <v>5724</v>
      </c>
      <c r="H6" s="124">
        <v>0.70309999999999995</v>
      </c>
      <c r="I6" s="63">
        <v>286</v>
      </c>
      <c r="J6" s="73">
        <v>0.56200000000000006</v>
      </c>
      <c r="K6" s="100"/>
      <c r="L6" s="73">
        <v>1</v>
      </c>
      <c r="M6" s="69">
        <v>55</v>
      </c>
      <c r="N6" s="69">
        <v>133</v>
      </c>
      <c r="O6" s="69">
        <v>602.77</v>
      </c>
    </row>
    <row r="7" spans="1:15" ht="15" x14ac:dyDescent="0.25">
      <c r="A7" s="44" t="s">
        <v>9</v>
      </c>
      <c r="B7" s="45">
        <f t="shared" si="0"/>
        <v>6</v>
      </c>
      <c r="C7" s="46">
        <v>3</v>
      </c>
      <c r="D7" s="117">
        <v>2022</v>
      </c>
      <c r="E7" s="54">
        <v>22900.00000000032</v>
      </c>
      <c r="F7" s="123">
        <v>0.19400000000000001</v>
      </c>
      <c r="G7" s="103">
        <v>5704</v>
      </c>
      <c r="H7" s="124">
        <v>0.70309999999999995</v>
      </c>
      <c r="I7" s="63">
        <v>303</v>
      </c>
      <c r="J7" s="73">
        <v>0.56200000000000006</v>
      </c>
      <c r="K7" s="100"/>
      <c r="L7" s="73">
        <v>1</v>
      </c>
      <c r="M7" s="69">
        <v>55</v>
      </c>
      <c r="N7" s="69">
        <v>136</v>
      </c>
      <c r="O7" s="69">
        <v>616.28</v>
      </c>
    </row>
    <row r="8" spans="1:15" ht="15" x14ac:dyDescent="0.25">
      <c r="A8" s="44" t="s">
        <v>9</v>
      </c>
      <c r="B8" s="45">
        <f t="shared" si="0"/>
        <v>7</v>
      </c>
      <c r="C8" s="46">
        <v>3</v>
      </c>
      <c r="D8" s="117">
        <v>2022</v>
      </c>
      <c r="E8" s="103">
        <v>23689.999999999825</v>
      </c>
      <c r="F8" s="123">
        <v>0.19400000000000001</v>
      </c>
      <c r="G8" s="103">
        <v>6006</v>
      </c>
      <c r="H8" s="124">
        <v>0.70309999999999995</v>
      </c>
      <c r="I8" s="63">
        <v>331</v>
      </c>
      <c r="J8" s="73">
        <v>0.56200000000000006</v>
      </c>
      <c r="K8" s="100"/>
      <c r="L8" s="73">
        <v>1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3</v>
      </c>
      <c r="D9" s="117">
        <v>2022</v>
      </c>
      <c r="E9" s="103">
        <v>23699.999999999593</v>
      </c>
      <c r="F9" s="123">
        <v>0.19400000000000001</v>
      </c>
      <c r="G9" s="103">
        <v>6132</v>
      </c>
      <c r="H9" s="124">
        <v>0.70309999999999995</v>
      </c>
      <c r="I9" s="63">
        <v>341</v>
      </c>
      <c r="J9" s="73">
        <v>0.56200000000000006</v>
      </c>
      <c r="K9" s="100"/>
      <c r="L9" s="73">
        <v>1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3</v>
      </c>
      <c r="D10" s="117">
        <v>2022</v>
      </c>
      <c r="E10" s="103">
        <v>24439.9999999996</v>
      </c>
      <c r="F10" s="123">
        <v>0.19400000000000001</v>
      </c>
      <c r="G10" s="103">
        <v>5719</v>
      </c>
      <c r="H10" s="124">
        <v>0.70309999999999995</v>
      </c>
      <c r="I10" s="63">
        <v>251</v>
      </c>
      <c r="J10" s="73">
        <v>0.56200000000000006</v>
      </c>
      <c r="K10" s="100"/>
      <c r="L10" s="73">
        <v>1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3</v>
      </c>
      <c r="D11" s="117">
        <v>2022</v>
      </c>
      <c r="E11" s="103">
        <v>21310.00000000131</v>
      </c>
      <c r="F11" s="123">
        <v>0.19400000000000001</v>
      </c>
      <c r="G11" s="103">
        <v>5630</v>
      </c>
      <c r="H11" s="124">
        <v>0.70309999999999995</v>
      </c>
      <c r="I11" s="63">
        <v>252</v>
      </c>
      <c r="J11" s="73">
        <v>0.56200000000000006</v>
      </c>
      <c r="K11" s="100"/>
      <c r="L11" s="73">
        <v>1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3</v>
      </c>
      <c r="D12" s="117">
        <v>2022</v>
      </c>
      <c r="E12" s="103">
        <v>22349.999999999454</v>
      </c>
      <c r="F12" s="123">
        <v>0.19400000000000001</v>
      </c>
      <c r="G12" s="103">
        <v>5253</v>
      </c>
      <c r="H12" s="124">
        <v>0.70309999999999995</v>
      </c>
      <c r="I12" s="63">
        <v>348</v>
      </c>
      <c r="J12" s="73">
        <v>0.56200000000000006</v>
      </c>
      <c r="K12" s="100"/>
      <c r="L12" s="73">
        <v>1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3</v>
      </c>
      <c r="D13" s="117">
        <v>2022</v>
      </c>
      <c r="E13" s="103">
        <v>23720.000000000255</v>
      </c>
      <c r="F13" s="123">
        <v>0.19400000000000001</v>
      </c>
      <c r="G13" s="103">
        <v>5692</v>
      </c>
      <c r="H13" s="124">
        <v>0.70309999999999995</v>
      </c>
      <c r="I13" s="63">
        <v>204</v>
      </c>
      <c r="J13" s="73">
        <v>0.56200000000000006</v>
      </c>
      <c r="K13" s="100"/>
      <c r="L13" s="73">
        <v>1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3</v>
      </c>
      <c r="D14" s="117">
        <v>2022</v>
      </c>
      <c r="E14" s="103"/>
      <c r="F14" s="123">
        <v>0.19400000000000001</v>
      </c>
      <c r="G14" s="103"/>
      <c r="H14" s="124">
        <v>0.70309999999999995</v>
      </c>
      <c r="I14" s="63"/>
      <c r="J14" s="73">
        <v>0.56200000000000006</v>
      </c>
      <c r="K14" s="100"/>
      <c r="L14" s="73">
        <v>1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3</v>
      </c>
      <c r="D15" s="117">
        <v>2022</v>
      </c>
      <c r="E15" s="103"/>
      <c r="F15" s="123">
        <v>0.19400000000000001</v>
      </c>
      <c r="G15" s="103"/>
      <c r="H15" s="124">
        <v>0.70309999999999995</v>
      </c>
      <c r="I15" s="63"/>
      <c r="J15" s="73">
        <v>0.56200000000000006</v>
      </c>
      <c r="K15" s="100"/>
      <c r="L15" s="73">
        <v>1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3</v>
      </c>
      <c r="D16" s="117">
        <v>2022</v>
      </c>
      <c r="E16" s="103"/>
      <c r="F16" s="123">
        <v>0.19400000000000001</v>
      </c>
      <c r="G16" s="103"/>
      <c r="H16" s="124">
        <v>0.70309999999999995</v>
      </c>
      <c r="I16" s="63"/>
      <c r="J16" s="73">
        <v>0.56200000000000006</v>
      </c>
      <c r="K16" s="100"/>
      <c r="L16" s="73">
        <v>1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3</v>
      </c>
      <c r="D17" s="117">
        <v>2022</v>
      </c>
      <c r="E17" s="103"/>
      <c r="F17" s="123">
        <v>0.19400000000000001</v>
      </c>
      <c r="G17" s="103"/>
      <c r="H17" s="124">
        <v>0.70309999999999995</v>
      </c>
      <c r="I17" s="63"/>
      <c r="J17" s="73">
        <v>0.56200000000000006</v>
      </c>
      <c r="K17" s="100"/>
      <c r="L17" s="73">
        <v>1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3</v>
      </c>
      <c r="D18" s="117">
        <v>2022</v>
      </c>
      <c r="E18" s="103"/>
      <c r="F18" s="123">
        <v>0.19400000000000001</v>
      </c>
      <c r="G18" s="103"/>
      <c r="H18" s="124">
        <v>0.70309999999999995</v>
      </c>
      <c r="I18" s="63"/>
      <c r="J18" s="73">
        <v>0.56200000000000006</v>
      </c>
      <c r="K18" s="100"/>
      <c r="L18" s="73">
        <v>1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3</v>
      </c>
      <c r="D19" s="117">
        <v>2022</v>
      </c>
      <c r="E19" s="103"/>
      <c r="F19" s="123">
        <v>0.19400000000000001</v>
      </c>
      <c r="G19" s="103"/>
      <c r="H19" s="124">
        <v>0.70309999999999995</v>
      </c>
      <c r="I19" s="63"/>
      <c r="J19" s="73">
        <v>0.56200000000000006</v>
      </c>
      <c r="K19" s="100"/>
      <c r="L19" s="73">
        <v>1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3</v>
      </c>
      <c r="D20" s="117">
        <v>2022</v>
      </c>
      <c r="E20" s="103"/>
      <c r="F20" s="123">
        <v>0.19400000000000001</v>
      </c>
      <c r="G20" s="103"/>
      <c r="H20" s="124">
        <v>0.70309999999999995</v>
      </c>
      <c r="I20" s="63"/>
      <c r="J20" s="73">
        <v>0.56200000000000006</v>
      </c>
      <c r="K20" s="100"/>
      <c r="L20" s="73">
        <v>1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3</v>
      </c>
      <c r="D21" s="117">
        <v>2022</v>
      </c>
      <c r="E21" s="103"/>
      <c r="F21" s="123">
        <v>0.19400000000000001</v>
      </c>
      <c r="G21" s="103"/>
      <c r="H21" s="124">
        <v>0.70309999999999995</v>
      </c>
      <c r="I21" s="63"/>
      <c r="J21" s="73">
        <v>0.56200000000000006</v>
      </c>
      <c r="K21" s="100"/>
      <c r="L21" s="73">
        <v>1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3</v>
      </c>
      <c r="D22" s="117">
        <v>2022</v>
      </c>
      <c r="E22" s="103"/>
      <c r="F22" s="123">
        <v>0.19400000000000001</v>
      </c>
      <c r="G22" s="103"/>
      <c r="H22" s="124">
        <v>0.70309999999999995</v>
      </c>
      <c r="I22" s="63"/>
      <c r="J22" s="73">
        <v>0.56200000000000006</v>
      </c>
      <c r="K22" s="100"/>
      <c r="L22" s="73">
        <v>1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3</v>
      </c>
      <c r="D23" s="117">
        <v>2022</v>
      </c>
      <c r="E23" s="103"/>
      <c r="F23" s="123">
        <v>0.19400000000000001</v>
      </c>
      <c r="G23" s="103"/>
      <c r="H23" s="124">
        <v>0.70309999999999995</v>
      </c>
      <c r="I23" s="63"/>
      <c r="J23" s="73">
        <v>0.56200000000000006</v>
      </c>
      <c r="K23" s="100"/>
      <c r="L23" s="73">
        <v>1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3</v>
      </c>
      <c r="D24" s="117">
        <v>2022</v>
      </c>
      <c r="E24" s="103"/>
      <c r="F24" s="123">
        <v>0.19400000000000001</v>
      </c>
      <c r="G24" s="103"/>
      <c r="H24" s="124">
        <v>0.70309999999999995</v>
      </c>
      <c r="I24" s="63"/>
      <c r="J24" s="73">
        <v>0.56200000000000006</v>
      </c>
      <c r="K24" s="100"/>
      <c r="L24" s="73">
        <v>1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3</v>
      </c>
      <c r="D25" s="117">
        <v>2022</v>
      </c>
      <c r="E25" s="103"/>
      <c r="F25" s="123">
        <v>0.19400000000000001</v>
      </c>
      <c r="G25" s="103"/>
      <c r="H25" s="124">
        <v>0.70309999999999995</v>
      </c>
      <c r="I25" s="63"/>
      <c r="J25" s="73">
        <v>0.56200000000000006</v>
      </c>
      <c r="K25" s="100"/>
      <c r="L25" s="73">
        <v>1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3</v>
      </c>
      <c r="D26" s="117">
        <v>2022</v>
      </c>
      <c r="E26" s="103"/>
      <c r="F26" s="123">
        <v>0.19400000000000001</v>
      </c>
      <c r="G26" s="103"/>
      <c r="H26" s="124">
        <v>0.70309999999999995</v>
      </c>
      <c r="I26" s="63"/>
      <c r="J26" s="73">
        <v>0.56200000000000006</v>
      </c>
      <c r="K26" s="100"/>
      <c r="L26" s="73">
        <v>1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3</v>
      </c>
      <c r="D27" s="117">
        <v>2022</v>
      </c>
      <c r="E27" s="103"/>
      <c r="F27" s="123">
        <v>0.19400000000000001</v>
      </c>
      <c r="G27" s="103"/>
      <c r="H27" s="124">
        <v>0.70309999999999995</v>
      </c>
      <c r="I27" s="63"/>
      <c r="J27" s="73">
        <v>0.56200000000000006</v>
      </c>
      <c r="K27" s="100"/>
      <c r="L27" s="73">
        <v>1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3</v>
      </c>
      <c r="D28" s="117">
        <v>2022</v>
      </c>
      <c r="E28" s="103"/>
      <c r="F28" s="123">
        <v>0.19400000000000001</v>
      </c>
      <c r="G28" s="103"/>
      <c r="H28" s="124">
        <v>0.70309999999999995</v>
      </c>
      <c r="I28" s="63"/>
      <c r="J28" s="73">
        <v>0.56200000000000006</v>
      </c>
      <c r="K28" s="100"/>
      <c r="L28" s="73">
        <v>1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3</v>
      </c>
      <c r="D29" s="117">
        <v>2022</v>
      </c>
      <c r="E29" s="103"/>
      <c r="F29" s="123">
        <v>0.19400000000000001</v>
      </c>
      <c r="G29" s="103"/>
      <c r="H29" s="124">
        <v>0.70309999999999995</v>
      </c>
      <c r="I29" s="63"/>
      <c r="J29" s="73">
        <v>0.56200000000000006</v>
      </c>
      <c r="K29" s="100"/>
      <c r="L29" s="73">
        <v>1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3</v>
      </c>
      <c r="D30" s="117">
        <v>2022</v>
      </c>
      <c r="E30" s="103"/>
      <c r="F30" s="123">
        <v>0.19400000000000001</v>
      </c>
      <c r="G30" s="103"/>
      <c r="H30" s="124">
        <v>0.70309999999999995</v>
      </c>
      <c r="I30" s="63"/>
      <c r="J30" s="73">
        <v>0.56200000000000006</v>
      </c>
      <c r="K30" s="100"/>
      <c r="L30" s="73">
        <v>1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3</v>
      </c>
      <c r="D31" s="117">
        <v>2022</v>
      </c>
      <c r="E31" s="99"/>
      <c r="F31" s="123">
        <v>0.19400000000000001</v>
      </c>
      <c r="G31" s="99"/>
      <c r="H31" s="124">
        <v>0.70309999999999995</v>
      </c>
      <c r="I31" s="63"/>
      <c r="J31" s="73">
        <v>0.56200000000000006</v>
      </c>
      <c r="K31" s="100"/>
      <c r="L31" s="73">
        <v>1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3</v>
      </c>
      <c r="D32" s="117">
        <v>2022</v>
      </c>
      <c r="E32" s="99"/>
      <c r="F32" s="123">
        <v>0.19400000000000001</v>
      </c>
      <c r="G32" s="99"/>
      <c r="H32" s="124">
        <v>0.70309999999999995</v>
      </c>
      <c r="I32" s="63"/>
      <c r="J32" s="73">
        <v>0.56200000000000006</v>
      </c>
      <c r="K32" s="100"/>
      <c r="L32" s="73">
        <v>1</v>
      </c>
      <c r="M32" s="69"/>
      <c r="N32" s="69"/>
      <c r="O32" s="69"/>
    </row>
    <row r="33" spans="1:15" ht="18.75" customHeight="1" x14ac:dyDescent="0.2">
      <c r="A33" s="128" t="s">
        <v>52</v>
      </c>
      <c r="B33" s="128"/>
      <c r="C33" s="128"/>
      <c r="D33" s="128"/>
      <c r="E33" s="116">
        <f>SUM(E2:E32)</f>
        <v>278380.00000000099</v>
      </c>
      <c r="F33" s="96">
        <v>0</v>
      </c>
      <c r="G33" s="116">
        <f>SUM(G2:G32)</f>
        <v>69109</v>
      </c>
      <c r="H33" s="94">
        <v>0</v>
      </c>
      <c r="I33" s="95">
        <f>SUM(I2:I32)</f>
        <v>3756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332</v>
      </c>
      <c r="N33" s="98">
        <f t="shared" si="1"/>
        <v>865</v>
      </c>
      <c r="O33" s="98">
        <f t="shared" si="1"/>
        <v>3745.5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G16" sqref="G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74"/>
      <c r="V1" s="74"/>
    </row>
    <row r="2" spans="1:25" s="17" customFormat="1" ht="33" customHeight="1" x14ac:dyDescent="0.25">
      <c r="A2" s="28" t="s">
        <v>2</v>
      </c>
      <c r="B2" s="129" t="s">
        <v>126</v>
      </c>
      <c r="C2" s="129" t="s">
        <v>11</v>
      </c>
      <c r="D2" s="129" t="s">
        <v>12</v>
      </c>
      <c r="E2" s="129" t="s">
        <v>13</v>
      </c>
      <c r="F2" s="129" t="s">
        <v>14</v>
      </c>
      <c r="G2" s="134" t="s">
        <v>15</v>
      </c>
      <c r="H2" s="136" t="s">
        <v>16</v>
      </c>
      <c r="I2" s="129" t="s">
        <v>17</v>
      </c>
      <c r="J2" s="139" t="s">
        <v>18</v>
      </c>
      <c r="K2" s="140"/>
      <c r="L2" s="141"/>
      <c r="M2" s="134" t="s">
        <v>19</v>
      </c>
      <c r="N2" s="136" t="s">
        <v>20</v>
      </c>
      <c r="O2" s="137" t="s">
        <v>21</v>
      </c>
      <c r="P2" s="136" t="s">
        <v>22</v>
      </c>
      <c r="Q2" s="142" t="s">
        <v>23</v>
      </c>
      <c r="R2" s="129" t="s">
        <v>24</v>
      </c>
      <c r="S2" s="129" t="s">
        <v>25</v>
      </c>
      <c r="T2" s="129" t="s">
        <v>26</v>
      </c>
      <c r="V2" s="131" t="s">
        <v>6</v>
      </c>
      <c r="W2" s="131" t="s">
        <v>7</v>
      </c>
      <c r="X2" s="131" t="s">
        <v>8</v>
      </c>
    </row>
    <row r="3" spans="1:25" s="17" customFormat="1" ht="45" customHeight="1" x14ac:dyDescent="0.25">
      <c r="A3" s="29"/>
      <c r="B3" s="130"/>
      <c r="C3" s="130"/>
      <c r="D3" s="130"/>
      <c r="E3" s="130"/>
      <c r="F3" s="130"/>
      <c r="G3" s="135"/>
      <c r="H3" s="136"/>
      <c r="I3" s="130"/>
      <c r="J3" s="18" t="s">
        <v>27</v>
      </c>
      <c r="K3" s="18" t="s">
        <v>28</v>
      </c>
      <c r="L3" s="18" t="s">
        <v>29</v>
      </c>
      <c r="M3" s="135"/>
      <c r="N3" s="136"/>
      <c r="O3" s="138"/>
      <c r="P3" s="136"/>
      <c r="Q3" s="143"/>
      <c r="R3" s="130"/>
      <c r="S3" s="130"/>
      <c r="T3" s="130"/>
      <c r="V3" s="131"/>
      <c r="W3" s="131"/>
      <c r="X3" s="131"/>
    </row>
    <row r="4" spans="1:25" ht="21" customHeight="1" x14ac:dyDescent="0.25">
      <c r="A4" s="8">
        <v>44621</v>
      </c>
      <c r="B4" s="105">
        <v>1.2745</v>
      </c>
      <c r="C4" s="106">
        <v>291.01</v>
      </c>
      <c r="D4" s="106">
        <v>7999481.1500000004</v>
      </c>
      <c r="E4" s="106">
        <v>8863315.9700000007</v>
      </c>
      <c r="F4" s="106">
        <v>3.0015999999999998</v>
      </c>
      <c r="G4" s="106">
        <v>959.09</v>
      </c>
      <c r="H4" s="106">
        <v>823.77</v>
      </c>
      <c r="I4" s="106">
        <v>306.79000000000002</v>
      </c>
      <c r="J4" s="106">
        <v>415.24</v>
      </c>
      <c r="K4" s="106">
        <v>424.67</v>
      </c>
      <c r="L4" s="106">
        <v>289.29000000000002</v>
      </c>
      <c r="M4" s="106">
        <v>700.34</v>
      </c>
      <c r="N4" s="106">
        <v>657.92</v>
      </c>
      <c r="O4" s="106">
        <v>203.34</v>
      </c>
      <c r="P4" s="106">
        <v>858.68</v>
      </c>
      <c r="Q4" s="106">
        <v>632.49</v>
      </c>
      <c r="R4" s="106">
        <v>190.15</v>
      </c>
      <c r="S4" s="106">
        <v>147.63</v>
      </c>
      <c r="T4" s="106">
        <v>538.21</v>
      </c>
      <c r="V4" s="69">
        <v>57</v>
      </c>
      <c r="W4" s="69">
        <v>159</v>
      </c>
      <c r="X4" s="69">
        <v>631.20000000000005</v>
      </c>
      <c r="Y4" s="17"/>
    </row>
    <row r="5" spans="1:25" ht="21" customHeight="1" x14ac:dyDescent="0.25">
      <c r="A5" s="8">
        <v>44622</v>
      </c>
      <c r="B5" s="107">
        <v>1.2756000000000001</v>
      </c>
      <c r="C5" s="108">
        <v>291.25</v>
      </c>
      <c r="D5" s="108">
        <v>8001209.3799999999</v>
      </c>
      <c r="E5" s="108">
        <v>8866105.9000000004</v>
      </c>
      <c r="F5" s="108">
        <v>3.0041000000000002</v>
      </c>
      <c r="G5" s="108">
        <v>959.89</v>
      </c>
      <c r="H5" s="108">
        <v>824.87</v>
      </c>
      <c r="I5" s="108">
        <v>307.16000000000003</v>
      </c>
      <c r="J5" s="108">
        <v>415.92</v>
      </c>
      <c r="K5" s="108">
        <v>425.11</v>
      </c>
      <c r="L5" s="108">
        <v>289.54000000000002</v>
      </c>
      <c r="M5" s="108">
        <v>701.09</v>
      </c>
      <c r="N5" s="108">
        <v>658.84</v>
      </c>
      <c r="O5" s="108">
        <v>203.58</v>
      </c>
      <c r="P5" s="108">
        <v>859.67</v>
      </c>
      <c r="Q5" s="108">
        <v>633.29</v>
      </c>
      <c r="R5" s="108">
        <v>190.15</v>
      </c>
      <c r="S5" s="108">
        <v>147.78</v>
      </c>
      <c r="T5" s="108">
        <v>538.76</v>
      </c>
      <c r="V5" s="69">
        <v>55</v>
      </c>
      <c r="W5" s="69">
        <v>151</v>
      </c>
      <c r="X5" s="69">
        <v>714.62</v>
      </c>
      <c r="Y5" s="17"/>
    </row>
    <row r="6" spans="1:25" ht="21" customHeight="1" x14ac:dyDescent="0.25">
      <c r="A6" s="8">
        <v>44623</v>
      </c>
      <c r="B6" s="107">
        <v>1.2766</v>
      </c>
      <c r="C6" s="108">
        <v>291.52</v>
      </c>
      <c r="D6" s="108">
        <v>8002999.1799999997</v>
      </c>
      <c r="E6" s="108">
        <v>8868744.1400000006</v>
      </c>
      <c r="F6" s="108">
        <v>3.0066999999999999</v>
      </c>
      <c r="G6" s="108">
        <v>960.61</v>
      </c>
      <c r="H6" s="108">
        <v>826.06</v>
      </c>
      <c r="I6" s="108">
        <v>307.55</v>
      </c>
      <c r="J6" s="108">
        <v>416.45</v>
      </c>
      <c r="K6" s="108">
        <v>425.55</v>
      </c>
      <c r="L6" s="108">
        <v>289.77999999999997</v>
      </c>
      <c r="M6" s="108">
        <v>701.89</v>
      </c>
      <c r="N6" s="108">
        <v>659.75</v>
      </c>
      <c r="O6" s="108">
        <v>203.81</v>
      </c>
      <c r="P6" s="108">
        <v>860.64</v>
      </c>
      <c r="Q6" s="108">
        <v>634.07000000000005</v>
      </c>
      <c r="R6" s="108">
        <v>190.15</v>
      </c>
      <c r="S6" s="108">
        <v>147.91999999999999</v>
      </c>
      <c r="T6" s="108">
        <v>539.29</v>
      </c>
      <c r="V6" s="69">
        <v>56</v>
      </c>
      <c r="W6" s="69">
        <v>149</v>
      </c>
      <c r="X6" s="69">
        <v>615.16</v>
      </c>
      <c r="Y6" s="17"/>
    </row>
    <row r="7" spans="1:25" ht="21" customHeight="1" x14ac:dyDescent="0.25">
      <c r="A7" s="8">
        <v>44624</v>
      </c>
      <c r="B7" s="107">
        <v>1.2777000000000001</v>
      </c>
      <c r="C7" s="108">
        <v>291.77999999999997</v>
      </c>
      <c r="D7" s="108">
        <v>8004720.0300000003</v>
      </c>
      <c r="E7" s="108">
        <v>8871513.6300000008</v>
      </c>
      <c r="F7" s="108">
        <v>3.0095000000000001</v>
      </c>
      <c r="G7" s="108">
        <v>961.4</v>
      </c>
      <c r="H7" s="108">
        <v>827.21</v>
      </c>
      <c r="I7" s="108">
        <v>307.95</v>
      </c>
      <c r="J7" s="108">
        <v>417.08</v>
      </c>
      <c r="K7" s="108">
        <v>425.94</v>
      </c>
      <c r="L7" s="108">
        <v>290.02999999999997</v>
      </c>
      <c r="M7" s="108">
        <v>702.68</v>
      </c>
      <c r="N7" s="108">
        <v>660.56</v>
      </c>
      <c r="O7" s="108">
        <v>204.03</v>
      </c>
      <c r="P7" s="108">
        <v>861.68</v>
      </c>
      <c r="Q7" s="108">
        <v>634.87</v>
      </c>
      <c r="R7" s="108">
        <v>190.15</v>
      </c>
      <c r="S7" s="108">
        <v>148.08000000000001</v>
      </c>
      <c r="T7" s="108">
        <v>539.83000000000004</v>
      </c>
      <c r="V7" s="69">
        <v>54</v>
      </c>
      <c r="W7" s="69">
        <v>137</v>
      </c>
      <c r="X7" s="69">
        <v>565.47</v>
      </c>
      <c r="Y7" s="17"/>
    </row>
    <row r="8" spans="1:25" ht="21" customHeight="1" x14ac:dyDescent="0.25">
      <c r="A8" s="8">
        <v>44625</v>
      </c>
      <c r="B8" s="107">
        <v>1.2786999999999999</v>
      </c>
      <c r="C8" s="108">
        <v>292.04000000000002</v>
      </c>
      <c r="D8" s="108">
        <v>8006451.96</v>
      </c>
      <c r="E8" s="108">
        <v>8873997.9800000004</v>
      </c>
      <c r="F8" s="108">
        <v>3.0123000000000002</v>
      </c>
      <c r="G8" s="108">
        <v>962.19</v>
      </c>
      <c r="H8" s="108">
        <v>828.55</v>
      </c>
      <c r="I8" s="108">
        <v>308.33999999999997</v>
      </c>
      <c r="J8" s="108">
        <v>417.65</v>
      </c>
      <c r="K8" s="108">
        <v>426.3</v>
      </c>
      <c r="L8" s="108">
        <v>290.26</v>
      </c>
      <c r="M8" s="108">
        <v>703.54</v>
      </c>
      <c r="N8" s="108">
        <v>661.27</v>
      </c>
      <c r="O8" s="108">
        <v>204.26</v>
      </c>
      <c r="P8" s="108">
        <v>862.67</v>
      </c>
      <c r="Q8" s="108">
        <v>635.63</v>
      </c>
      <c r="R8" s="108">
        <v>190.15</v>
      </c>
      <c r="S8" s="108">
        <v>148.22</v>
      </c>
      <c r="T8" s="108">
        <v>540.09</v>
      </c>
      <c r="V8" s="102">
        <v>55</v>
      </c>
      <c r="W8" s="102">
        <v>133</v>
      </c>
      <c r="X8" s="127">
        <v>602.77</v>
      </c>
      <c r="Y8" s="17"/>
    </row>
    <row r="9" spans="1:25" ht="21" customHeight="1" x14ac:dyDescent="0.25">
      <c r="A9" s="8">
        <v>44626</v>
      </c>
      <c r="B9" s="109">
        <v>1.2799</v>
      </c>
      <c r="C9" s="110">
        <v>292.3</v>
      </c>
      <c r="D9" s="109">
        <v>8008240.8399999999</v>
      </c>
      <c r="E9" s="111">
        <v>8876714.7400000002</v>
      </c>
      <c r="F9" s="110">
        <v>3.0150000000000001</v>
      </c>
      <c r="G9" s="109">
        <v>963.01</v>
      </c>
      <c r="H9" s="111">
        <v>829.84</v>
      </c>
      <c r="I9" s="111">
        <v>308.76</v>
      </c>
      <c r="J9" s="108">
        <v>418.18</v>
      </c>
      <c r="K9" s="108">
        <v>426.65</v>
      </c>
      <c r="L9" s="108">
        <v>290.49</v>
      </c>
      <c r="M9" s="108">
        <v>704.35</v>
      </c>
      <c r="N9" s="108">
        <v>662.07</v>
      </c>
      <c r="O9" s="108">
        <v>204.5</v>
      </c>
      <c r="P9" s="108">
        <v>863.68</v>
      </c>
      <c r="Q9" s="108">
        <v>636.41</v>
      </c>
      <c r="R9" s="108">
        <v>190.15</v>
      </c>
      <c r="S9" s="108">
        <v>148.38</v>
      </c>
      <c r="T9" s="108">
        <v>540.63</v>
      </c>
      <c r="V9" s="102">
        <v>55</v>
      </c>
      <c r="W9" s="102">
        <v>136</v>
      </c>
      <c r="X9" s="127">
        <v>616.28</v>
      </c>
      <c r="Y9" s="17"/>
    </row>
    <row r="10" spans="1:25" ht="21" customHeight="1" x14ac:dyDescent="0.25">
      <c r="A10" s="8">
        <v>44627</v>
      </c>
      <c r="B10" s="105">
        <v>1.2810999999999999</v>
      </c>
      <c r="C10" s="106">
        <v>292.55</v>
      </c>
      <c r="D10" s="106">
        <v>8009944.2599999998</v>
      </c>
      <c r="E10" s="106">
        <v>8879618.4700000007</v>
      </c>
      <c r="F10" s="106">
        <v>3.0177999999999998</v>
      </c>
      <c r="G10" s="106">
        <v>963.81</v>
      </c>
      <c r="H10" s="106">
        <v>831.14</v>
      </c>
      <c r="I10" s="106">
        <v>309.12</v>
      </c>
      <c r="J10" s="108">
        <v>418.79</v>
      </c>
      <c r="K10" s="108">
        <v>427.06</v>
      </c>
      <c r="L10" s="108">
        <v>290.74</v>
      </c>
      <c r="M10" s="108">
        <v>705.08</v>
      </c>
      <c r="N10" s="108">
        <v>662.81</v>
      </c>
      <c r="O10" s="108">
        <v>204.73</v>
      </c>
      <c r="P10" s="108">
        <v>864.7</v>
      </c>
      <c r="Q10" s="108">
        <v>637.15</v>
      </c>
      <c r="R10" s="108">
        <v>190.15</v>
      </c>
      <c r="S10" s="108">
        <v>148.54</v>
      </c>
      <c r="T10" s="108">
        <v>541.22</v>
      </c>
      <c r="V10" s="102"/>
      <c r="W10" s="102"/>
      <c r="X10" s="102"/>
      <c r="Y10" s="17"/>
    </row>
    <row r="11" spans="1:25" ht="21" customHeight="1" x14ac:dyDescent="0.25">
      <c r="A11" s="8">
        <v>44628</v>
      </c>
      <c r="B11" s="107">
        <v>1.2823</v>
      </c>
      <c r="C11" s="108">
        <v>292.81</v>
      </c>
      <c r="D11" s="108">
        <v>8011803.2599999998</v>
      </c>
      <c r="E11" s="108">
        <v>8882440.7100000009</v>
      </c>
      <c r="F11" s="108">
        <v>3.0207000000000002</v>
      </c>
      <c r="G11" s="108">
        <v>964.72</v>
      </c>
      <c r="H11" s="108">
        <v>832.46</v>
      </c>
      <c r="I11" s="108">
        <v>309.5</v>
      </c>
      <c r="J11" s="108">
        <v>419.49</v>
      </c>
      <c r="K11" s="108">
        <v>427.47</v>
      </c>
      <c r="L11" s="108">
        <v>291.01</v>
      </c>
      <c r="M11" s="108">
        <v>705.72</v>
      </c>
      <c r="N11" s="108">
        <v>663.6</v>
      </c>
      <c r="O11" s="108">
        <v>204.99</v>
      </c>
      <c r="P11" s="108">
        <v>865.78</v>
      </c>
      <c r="Q11" s="108">
        <v>637.85</v>
      </c>
      <c r="R11" s="108">
        <v>190.15</v>
      </c>
      <c r="S11" s="108">
        <v>148.66</v>
      </c>
      <c r="T11" s="108">
        <v>541.70000000000005</v>
      </c>
      <c r="V11" s="102"/>
      <c r="W11" s="102"/>
      <c r="X11" s="102"/>
      <c r="Y11" s="17"/>
    </row>
    <row r="12" spans="1:25" ht="21" customHeight="1" x14ac:dyDescent="0.25">
      <c r="A12" s="8">
        <v>44629</v>
      </c>
      <c r="B12" s="107">
        <v>1.2834000000000001</v>
      </c>
      <c r="C12" s="108">
        <v>293.06</v>
      </c>
      <c r="D12" s="108">
        <v>8013640.1600000001</v>
      </c>
      <c r="E12" s="108">
        <v>8885376.8699999992</v>
      </c>
      <c r="F12" s="108">
        <v>3.0234999999999999</v>
      </c>
      <c r="G12" s="108">
        <v>965.69</v>
      </c>
      <c r="H12" s="108">
        <v>833.92</v>
      </c>
      <c r="I12" s="108">
        <v>309.89</v>
      </c>
      <c r="J12" s="108">
        <v>420.18</v>
      </c>
      <c r="K12" s="108">
        <v>427.9</v>
      </c>
      <c r="L12" s="108">
        <v>291.27</v>
      </c>
      <c r="M12" s="108">
        <v>706.41</v>
      </c>
      <c r="N12" s="108">
        <v>664.41</v>
      </c>
      <c r="O12" s="108">
        <v>205.17</v>
      </c>
      <c r="P12" s="108">
        <v>866.86</v>
      </c>
      <c r="Q12" s="108">
        <v>638.58000000000004</v>
      </c>
      <c r="R12" s="108">
        <v>190.15</v>
      </c>
      <c r="S12" s="108">
        <v>148.81</v>
      </c>
      <c r="T12" s="108">
        <v>542.24</v>
      </c>
      <c r="V12" s="102"/>
      <c r="W12" s="102"/>
      <c r="X12" s="102"/>
      <c r="Y12" s="17"/>
    </row>
    <row r="13" spans="1:25" ht="21" customHeight="1" x14ac:dyDescent="0.25">
      <c r="A13" s="8">
        <v>44630</v>
      </c>
      <c r="B13" s="107">
        <v>1.2846</v>
      </c>
      <c r="C13" s="108">
        <v>293.33</v>
      </c>
      <c r="D13" s="108">
        <v>8015361.1100000003</v>
      </c>
      <c r="E13" s="108">
        <v>8888355.25</v>
      </c>
      <c r="F13" s="108">
        <v>3.0263</v>
      </c>
      <c r="G13" s="108">
        <v>966.59</v>
      </c>
      <c r="H13" s="108">
        <v>835.35</v>
      </c>
      <c r="I13" s="108">
        <v>310.29000000000002</v>
      </c>
      <c r="J13" s="108">
        <v>420.77</v>
      </c>
      <c r="K13" s="108">
        <v>428.27</v>
      </c>
      <c r="L13" s="108">
        <v>291.5</v>
      </c>
      <c r="M13" s="108">
        <v>707.16</v>
      </c>
      <c r="N13" s="108">
        <v>665.25</v>
      </c>
      <c r="O13" s="108">
        <v>205.39</v>
      </c>
      <c r="P13" s="108">
        <v>867.85</v>
      </c>
      <c r="Q13" s="108">
        <v>639.34</v>
      </c>
      <c r="R13" s="108">
        <v>190.15</v>
      </c>
      <c r="S13" s="108">
        <v>148.96</v>
      </c>
      <c r="T13" s="108">
        <v>542.79</v>
      </c>
      <c r="V13" s="102"/>
      <c r="W13" s="102"/>
      <c r="X13" s="102"/>
      <c r="Y13" s="17"/>
    </row>
    <row r="14" spans="1:25" ht="21" customHeight="1" x14ac:dyDescent="0.25">
      <c r="A14" s="8">
        <v>44631</v>
      </c>
      <c r="B14" s="107">
        <v>1.2856000000000001</v>
      </c>
      <c r="C14" s="108">
        <v>293.57</v>
      </c>
      <c r="D14" s="108">
        <v>8017037.0700000003</v>
      </c>
      <c r="E14" s="108">
        <v>8890954.4600000009</v>
      </c>
      <c r="F14" s="108">
        <v>3.0291000000000001</v>
      </c>
      <c r="G14" s="108">
        <v>967.53</v>
      </c>
      <c r="H14" s="108">
        <v>836.71</v>
      </c>
      <c r="I14" s="108">
        <v>310.64</v>
      </c>
      <c r="J14" s="108">
        <v>421.36</v>
      </c>
      <c r="K14" s="108">
        <v>428.6</v>
      </c>
      <c r="L14" s="108">
        <v>291.74</v>
      </c>
      <c r="M14" s="108">
        <v>707.9</v>
      </c>
      <c r="N14" s="108">
        <v>665.99</v>
      </c>
      <c r="O14" s="108">
        <v>205.6</v>
      </c>
      <c r="P14" s="108">
        <v>868.78</v>
      </c>
      <c r="Q14" s="108">
        <v>640.05999999999995</v>
      </c>
      <c r="R14" s="108">
        <v>190.15</v>
      </c>
      <c r="S14" s="108">
        <v>149.12</v>
      </c>
      <c r="T14" s="108">
        <v>543.33000000000004</v>
      </c>
      <c r="V14" s="102"/>
      <c r="W14" s="102"/>
      <c r="X14" s="102"/>
      <c r="Y14" s="17"/>
    </row>
    <row r="15" spans="1:25" ht="21" customHeight="1" x14ac:dyDescent="0.25">
      <c r="A15" s="8">
        <v>44632</v>
      </c>
      <c r="B15" s="107">
        <v>1.2868999999999999</v>
      </c>
      <c r="C15" s="108">
        <v>293.82</v>
      </c>
      <c r="D15" s="108">
        <v>8018870.5800000001</v>
      </c>
      <c r="E15" s="108">
        <v>8893082.9700000007</v>
      </c>
      <c r="F15" s="108">
        <v>3.032</v>
      </c>
      <c r="G15" s="108">
        <v>968.43</v>
      </c>
      <c r="H15" s="108">
        <v>838.03</v>
      </c>
      <c r="I15" s="108">
        <v>310.98</v>
      </c>
      <c r="J15" s="108">
        <v>421.87</v>
      </c>
      <c r="K15" s="108">
        <v>428.93</v>
      </c>
      <c r="L15" s="108">
        <v>291.95999999999998</v>
      </c>
      <c r="M15" s="108">
        <v>708.68</v>
      </c>
      <c r="N15" s="108">
        <v>666.79</v>
      </c>
      <c r="O15" s="108">
        <v>205.8</v>
      </c>
      <c r="P15" s="108">
        <v>869.69</v>
      </c>
      <c r="Q15" s="108">
        <v>640.75</v>
      </c>
      <c r="R15" s="108">
        <v>190.15</v>
      </c>
      <c r="S15" s="108">
        <v>149.26</v>
      </c>
      <c r="T15" s="108">
        <v>543.61</v>
      </c>
      <c r="V15" s="102"/>
      <c r="W15" s="102"/>
      <c r="X15" s="102"/>
      <c r="Y15" s="17"/>
    </row>
    <row r="16" spans="1:25" ht="21" customHeight="1" x14ac:dyDescent="0.25">
      <c r="A16" s="8">
        <v>44633</v>
      </c>
      <c r="B16" s="107">
        <v>1.2881</v>
      </c>
      <c r="C16" s="108">
        <v>294.06</v>
      </c>
      <c r="D16" s="108">
        <v>8020851.79</v>
      </c>
      <c r="E16" s="108">
        <v>8895546.3599999994</v>
      </c>
      <c r="F16" s="108">
        <v>3.0348000000000002</v>
      </c>
      <c r="G16" s="108">
        <v>969.45</v>
      </c>
      <c r="H16" s="108">
        <v>839.47</v>
      </c>
      <c r="I16" s="108">
        <v>311.31</v>
      </c>
      <c r="J16" s="108">
        <v>422.49</v>
      </c>
      <c r="K16" s="108">
        <v>429.29</v>
      </c>
      <c r="L16" s="108">
        <v>292.20999999999998</v>
      </c>
      <c r="M16" s="108">
        <v>709.43</v>
      </c>
      <c r="N16" s="108">
        <v>667.58</v>
      </c>
      <c r="O16" s="108">
        <v>206.01</v>
      </c>
      <c r="P16" s="108">
        <v>870.63</v>
      </c>
      <c r="Q16" s="108">
        <v>641.48</v>
      </c>
      <c r="R16" s="108">
        <v>190.15</v>
      </c>
      <c r="S16" s="108">
        <v>149.41999999999999</v>
      </c>
      <c r="T16" s="108">
        <v>544.16</v>
      </c>
      <c r="V16" s="102"/>
      <c r="W16" s="102"/>
      <c r="X16" s="102"/>
      <c r="Y16" s="17"/>
    </row>
    <row r="17" spans="1:25" ht="21" customHeight="1" x14ac:dyDescent="0.25">
      <c r="A17" s="8">
        <v>44634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44635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44636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44637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44638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44639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12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44640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44641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44642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44643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44644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44645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44646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44647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44648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44649</v>
      </c>
      <c r="B32" s="105"/>
      <c r="C32" s="105"/>
      <c r="D32" s="105"/>
      <c r="E32" s="113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21"/>
      <c r="T32" s="105"/>
      <c r="V32" s="102"/>
      <c r="W32" s="102"/>
      <c r="X32" s="102"/>
      <c r="Y32" s="17"/>
    </row>
    <row r="33" spans="1:25" ht="19.5" customHeight="1" x14ac:dyDescent="0.25">
      <c r="A33" s="8">
        <v>44650</v>
      </c>
      <c r="B33" s="105"/>
      <c r="C33" s="113"/>
      <c r="D33" s="105"/>
      <c r="E33" s="113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21"/>
      <c r="T33" s="105"/>
      <c r="V33" s="102"/>
      <c r="W33" s="102"/>
      <c r="X33" s="102"/>
      <c r="Y33" s="17"/>
    </row>
    <row r="34" spans="1:25" ht="19.5" customHeight="1" x14ac:dyDescent="0.25">
      <c r="A34" s="8">
        <v>44651</v>
      </c>
      <c r="B34" s="120"/>
      <c r="C34" s="1"/>
      <c r="D34" s="1"/>
      <c r="E34" s="1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V34" s="102"/>
      <c r="W34" s="102"/>
      <c r="X34" s="102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332</v>
      </c>
      <c r="W35" s="75">
        <f>SUM(W4:W34)</f>
        <v>865</v>
      </c>
      <c r="X35" s="75">
        <f>SUM(X4:X34)</f>
        <v>3745.5</v>
      </c>
    </row>
    <row r="36" spans="1:25" x14ac:dyDescent="0.25">
      <c r="S36" s="122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A14" sqref="A1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7" t="s">
        <v>31</v>
      </c>
      <c r="B2" s="129" t="s">
        <v>32</v>
      </c>
      <c r="C2" s="129" t="s">
        <v>33</v>
      </c>
      <c r="D2" s="129" t="s">
        <v>119</v>
      </c>
      <c r="E2" s="137" t="s">
        <v>34</v>
      </c>
      <c r="F2" s="144" t="s">
        <v>35</v>
      </c>
      <c r="G2" s="145"/>
      <c r="H2" s="146"/>
      <c r="I2" s="147" t="s">
        <v>36</v>
      </c>
      <c r="J2" s="147" t="s">
        <v>37</v>
      </c>
      <c r="K2" s="147" t="s">
        <v>38</v>
      </c>
      <c r="L2" s="147" t="s">
        <v>39</v>
      </c>
      <c r="M2" s="148" t="s">
        <v>40</v>
      </c>
      <c r="N2" s="148"/>
      <c r="O2" s="148"/>
      <c r="P2" s="148"/>
      <c r="Q2" s="148"/>
      <c r="R2" s="148"/>
      <c r="S2" s="147" t="s">
        <v>41</v>
      </c>
      <c r="T2" s="147"/>
      <c r="U2" s="149" t="s">
        <v>42</v>
      </c>
      <c r="V2" s="147" t="s">
        <v>43</v>
      </c>
    </row>
    <row r="3" spans="1:22" x14ac:dyDescent="0.25">
      <c r="A3" s="138"/>
      <c r="B3" s="130"/>
      <c r="C3" s="130"/>
      <c r="D3" s="130"/>
      <c r="E3" s="138"/>
      <c r="F3" s="6" t="s">
        <v>27</v>
      </c>
      <c r="G3" s="6" t="s">
        <v>28</v>
      </c>
      <c r="H3" s="6" t="s">
        <v>29</v>
      </c>
      <c r="I3" s="147"/>
      <c r="J3" s="147"/>
      <c r="K3" s="147"/>
      <c r="L3" s="147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9"/>
      <c r="V3" s="147"/>
    </row>
    <row r="4" spans="1:22" x14ac:dyDescent="0.25">
      <c r="A4" s="3">
        <f>'Kwh Reading'!A4</f>
        <v>44621</v>
      </c>
      <c r="B4" s="26">
        <f>TOTAL!E2</f>
        <v>23689.999999999825</v>
      </c>
      <c r="C4" s="4">
        <f>('Kwh Reading'!T5-'Kwh Reading'!T4)*1000</f>
        <v>549.99999999995453</v>
      </c>
      <c r="D4" s="2">
        <f>('Kwh Reading'!F5-'Kwh Reading'!F4)*1000000</f>
        <v>2500.0000000003906</v>
      </c>
      <c r="E4" s="2">
        <f>('Kwh Reading'!C5-'Kwh Reading'!C4)*1000</f>
        <v>240.00000000000909</v>
      </c>
      <c r="F4" s="2">
        <f>('Kwh Reading'!J5-'Kwh Reading'!J4)*1000</f>
        <v>680.00000000000682</v>
      </c>
      <c r="G4" s="2">
        <f>('Kwh Reading'!K5-'Kwh Reading'!K4)*1000</f>
        <v>439.99999999999773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370.00000000000455</v>
      </c>
      <c r="L4" s="2">
        <f>('Kwh Reading'!B5-'Kwh Reading'!B4)*1000000</f>
        <v>1100.000000000101</v>
      </c>
      <c r="M4" s="2">
        <f>('Kwh Reading'!M5-'Kwh Reading'!M4)*1000</f>
        <v>750</v>
      </c>
      <c r="N4" s="2">
        <f>('Kwh Reading'!H5-'Kwh Reading'!H4)*1000</f>
        <v>1100.0000000000227</v>
      </c>
      <c r="O4" s="2">
        <f>('Kwh Reading'!P5-'Kwh Reading'!P4)*1000</f>
        <v>990.00000000000909</v>
      </c>
      <c r="P4" s="2">
        <f>('Kwh Reading'!G5-'Kwh Reading'!G4)*1000</f>
        <v>799.99999999995453</v>
      </c>
      <c r="Q4" s="2">
        <f>('Kwh Reading'!Q5-'Kwh Reading'!Q4)*1000</f>
        <v>799.99999999995453</v>
      </c>
      <c r="R4" s="2">
        <f>('Kwh Reading'!N5-'Kwh Reading'!N4)*1000</f>
        <v>920.00000000007276</v>
      </c>
      <c r="S4" s="2">
        <f>'Kwh Reading'!E5-'Kwh Reading'!E4</f>
        <v>2789.929999999702</v>
      </c>
      <c r="T4" s="2">
        <f>'Kwh Reading'!D5-'Kwh Reading'!D4</f>
        <v>1728.2299999995157</v>
      </c>
      <c r="U4" s="27">
        <f>('Kwh Reading'!O5-'Kwh Reading'!O4)*1000</f>
        <v>240.00000000000909</v>
      </c>
      <c r="V4" s="16">
        <f>B4-(SUM(C4:U4))</f>
        <v>7291.8400000001129</v>
      </c>
    </row>
    <row r="5" spans="1:22" x14ac:dyDescent="0.25">
      <c r="A5" s="3">
        <f>'Kwh Reading'!A5</f>
        <v>44622</v>
      </c>
      <c r="B5" s="26">
        <f>TOTAL!E3</f>
        <v>23710.00000000163</v>
      </c>
      <c r="C5" s="4">
        <f>('Kwh Reading'!T6-'Kwh Reading'!T5)*1000</f>
        <v>529.99999999997272</v>
      </c>
      <c r="D5" s="2">
        <f>('Kwh Reading'!F6-'Kwh Reading'!F5)*1000000</f>
        <v>2599.9999999997135</v>
      </c>
      <c r="E5" s="2">
        <f>('Kwh Reading'!C6-'Kwh Reading'!C5)*1000</f>
        <v>269.99999999998181</v>
      </c>
      <c r="F5" s="2">
        <f>('Kwh Reading'!J6-'Kwh Reading'!J5)*1000</f>
        <v>529.99999999997272</v>
      </c>
      <c r="G5" s="2">
        <f>('Kwh Reading'!K6-'Kwh Reading'!K5)*1000</f>
        <v>439.99999999999773</v>
      </c>
      <c r="H5" s="2">
        <f>('Kwh Reading'!L6-'Kwh Reading'!L5)*1000</f>
        <v>239.99999999995225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389.99999999998636</v>
      </c>
      <c r="L5" s="2">
        <f>('Kwh Reading'!B6-'Kwh Reading'!B5)*1000000</f>
        <v>999.99999999988984</v>
      </c>
      <c r="M5" s="2">
        <f>('Kwh Reading'!M6-'Kwh Reading'!M5)*1000</f>
        <v>799.99999999995453</v>
      </c>
      <c r="N5" s="2">
        <f>('Kwh Reading'!H6-'Kwh Reading'!H5)*1000</f>
        <v>1189.9999999999409</v>
      </c>
      <c r="O5" s="2">
        <f>('Kwh Reading'!P6-'Kwh Reading'!P5)*1000</f>
        <v>970.00000000002728</v>
      </c>
      <c r="P5" s="2">
        <f>('Kwh Reading'!G6-'Kwh Reading'!G5)*1000</f>
        <v>720.00000000002728</v>
      </c>
      <c r="Q5" s="2">
        <f>('Kwh Reading'!Q6-'Kwh Reading'!Q5)*1000</f>
        <v>780.0000000000864</v>
      </c>
      <c r="R5" s="2">
        <f>('Kwh Reading'!N6-'Kwh Reading'!N5)*1000</f>
        <v>909.99999999996817</v>
      </c>
      <c r="S5" s="2">
        <f>'Kwh Reading'!E6-'Kwh Reading'!E5</f>
        <v>2638.2400000002235</v>
      </c>
      <c r="T5" s="2">
        <f>'Kwh Reading'!D6-'Kwh Reading'!D5</f>
        <v>1789.7999999998137</v>
      </c>
      <c r="U5" s="27">
        <f>('Kwh Reading'!O6-'Kwh Reading'!O5)*1000</f>
        <v>229.99999999998977</v>
      </c>
      <c r="V5" s="16">
        <f t="shared" ref="V5:V11" si="0">B5-(SUM(C5:U5))</f>
        <v>7541.9600000021455</v>
      </c>
    </row>
    <row r="6" spans="1:22" x14ac:dyDescent="0.25">
      <c r="A6" s="3">
        <f>'Kwh Reading'!A6</f>
        <v>44623</v>
      </c>
      <c r="B6" s="26">
        <f>TOTAL!E4</f>
        <v>22869.999999998072</v>
      </c>
      <c r="C6" s="4">
        <f>('Kwh Reading'!T7-'Kwh Reading'!T6)*1000</f>
        <v>540.00000000007731</v>
      </c>
      <c r="D6" s="2">
        <f>('Kwh Reading'!F7-'Kwh Reading'!F6)*1000000</f>
        <v>2800.0000000001355</v>
      </c>
      <c r="E6" s="2">
        <f>('Kwh Reading'!C7-'Kwh Reading'!C6)*1000</f>
        <v>259.99999999999091</v>
      </c>
      <c r="F6" s="2">
        <f>('Kwh Reading'!J7-'Kwh Reading'!J6)*1000</f>
        <v>629.99999999999545</v>
      </c>
      <c r="G6" s="2">
        <f>('Kwh Reading'!K7-'Kwh Reading'!K6)*1000</f>
        <v>389.99999999998636</v>
      </c>
      <c r="H6" s="2">
        <f>('Kwh Reading'!L7-'Kwh Reading'!L6)*1000</f>
        <v>250</v>
      </c>
      <c r="I6" s="2">
        <f>('Kwh Reading'!R7-'Kwh Reading'!R6)*1000</f>
        <v>0</v>
      </c>
      <c r="J6" s="2">
        <f>('Kwh Reading'!S7-'Kwh Reading'!S6)*1000</f>
        <v>160.00000000002501</v>
      </c>
      <c r="K6" s="2">
        <f>('Kwh Reading'!I7-'Kwh Reading'!I6)*1000</f>
        <v>399.99999999997726</v>
      </c>
      <c r="L6" s="2">
        <f>('Kwh Reading'!B7-'Kwh Reading'!B6)*1000000</f>
        <v>1100.000000000101</v>
      </c>
      <c r="M6" s="2">
        <f>('Kwh Reading'!M7-'Kwh Reading'!M6)*1000</f>
        <v>789.99999999996362</v>
      </c>
      <c r="N6" s="2">
        <f>('Kwh Reading'!H7-'Kwh Reading'!H6)*1000</f>
        <v>1150.0000000000909</v>
      </c>
      <c r="O6" s="2">
        <f>('Kwh Reading'!P7-'Kwh Reading'!P6)*1000</f>
        <v>1039.9999999999636</v>
      </c>
      <c r="P6" s="2">
        <f>('Kwh Reading'!G7-'Kwh Reading'!G6)*1000</f>
        <v>789.99999999996362</v>
      </c>
      <c r="Q6" s="2">
        <f>('Kwh Reading'!Q7-'Kwh Reading'!Q6)*1000</f>
        <v>799.99999999995453</v>
      </c>
      <c r="R6" s="2">
        <f>('Kwh Reading'!N7-'Kwh Reading'!N6)*1000</f>
        <v>809.99999999994543</v>
      </c>
      <c r="S6" s="2">
        <f>'Kwh Reading'!E7-'Kwh Reading'!E6</f>
        <v>2769.4900000002235</v>
      </c>
      <c r="T6" s="2">
        <f>'Kwh Reading'!D7-'Kwh Reading'!D6</f>
        <v>1720.8500000005588</v>
      </c>
      <c r="U6" s="27">
        <f>('Kwh Reading'!O7-'Kwh Reading'!O6)*1000</f>
        <v>219.99999999999886</v>
      </c>
      <c r="V6" s="16">
        <f t="shared" si="0"/>
        <v>6249.6599999971186</v>
      </c>
    </row>
    <row r="7" spans="1:22" x14ac:dyDescent="0.25">
      <c r="A7" s="3">
        <f>'Kwh Reading'!A7</f>
        <v>44624</v>
      </c>
      <c r="B7" s="26">
        <f>TOTAL!E5</f>
        <v>23060.00000000131</v>
      </c>
      <c r="C7" s="4">
        <f>('Kwh Reading'!T8-'Kwh Reading'!T7)*1000</f>
        <v>259.99999999999091</v>
      </c>
      <c r="D7" s="2">
        <f>('Kwh Reading'!F8-'Kwh Reading'!F7)*1000000</f>
        <v>2800.0000000001355</v>
      </c>
      <c r="E7" s="2">
        <f>('Kwh Reading'!C8-'Kwh Reading'!C7)*1000</f>
        <v>260.00000000004775</v>
      </c>
      <c r="F7" s="2">
        <f>('Kwh Reading'!J8-'Kwh Reading'!J7)*1000</f>
        <v>569.99999999999318</v>
      </c>
      <c r="G7" s="2">
        <f>('Kwh Reading'!K8-'Kwh Reading'!K7)*1000</f>
        <v>360.00000000001364</v>
      </c>
      <c r="H7" s="2">
        <f>('Kwh Reading'!L8-'Kwh Reading'!L7)*1000</f>
        <v>230.00000000001819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389.99999999998636</v>
      </c>
      <c r="L7" s="2">
        <f>('Kwh Reading'!B8-'Kwh Reading'!B7)*1000000</f>
        <v>999.99999999988984</v>
      </c>
      <c r="M7" s="2">
        <f>('Kwh Reading'!M8-'Kwh Reading'!M7)*1000</f>
        <v>860.00000000001364</v>
      </c>
      <c r="N7" s="2">
        <f>('Kwh Reading'!H8-'Kwh Reading'!H7)*1000</f>
        <v>1339.9999999999181</v>
      </c>
      <c r="O7" s="2">
        <f>('Kwh Reading'!P8-'Kwh Reading'!P7)*1000</f>
        <v>990.00000000000909</v>
      </c>
      <c r="P7" s="2">
        <f>('Kwh Reading'!G8-'Kwh Reading'!G7)*1000</f>
        <v>790.00000000007731</v>
      </c>
      <c r="Q7" s="2">
        <f>('Kwh Reading'!Q8-'Kwh Reading'!Q7)*1000</f>
        <v>759.99999999999091</v>
      </c>
      <c r="R7" s="2">
        <f>('Kwh Reading'!N8-'Kwh Reading'!N7)*1000</f>
        <v>710.00000000003638</v>
      </c>
      <c r="S7" s="2">
        <f>'Kwh Reading'!E8-'Kwh Reading'!E7</f>
        <v>2484.3499999996275</v>
      </c>
      <c r="T7" s="2">
        <f>'Kwh Reading'!D8-'Kwh Reading'!D7</f>
        <v>1731.929999999702</v>
      </c>
      <c r="U7" s="27">
        <f>('Kwh Reading'!O8-'Kwh Reading'!O7)*1000</f>
        <v>229.99999999998977</v>
      </c>
      <c r="V7" s="16">
        <f t="shared" si="0"/>
        <v>7153.7200000018838</v>
      </c>
    </row>
    <row r="8" spans="1:22" x14ac:dyDescent="0.25">
      <c r="A8" s="3">
        <f>'Kwh Reading'!A8</f>
        <v>44625</v>
      </c>
      <c r="B8" s="26">
        <f>TOTAL!E6</f>
        <v>22939.999999999825</v>
      </c>
      <c r="C8" s="4">
        <f>('Kwh Reading'!T9-'Kwh Reading'!T8)*1000</f>
        <v>539.99999999996362</v>
      </c>
      <c r="D8" s="2">
        <f>('Kwh Reading'!F9-'Kwh Reading'!F8)*1000000</f>
        <v>2699.9999999999245</v>
      </c>
      <c r="E8" s="2">
        <f>('Kwh Reading'!C9-'Kwh Reading'!C8)*1000</f>
        <v>259.99999999999091</v>
      </c>
      <c r="F8" s="2">
        <f>('Kwh Reading'!J9-'Kwh Reading'!J8)*1000</f>
        <v>530.00000000002956</v>
      </c>
      <c r="G8" s="2">
        <f>('Kwh Reading'!K9-'Kwh Reading'!K8)*1000</f>
        <v>349.99999999996589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159.99999999999659</v>
      </c>
      <c r="K8" s="2">
        <f>('Kwh Reading'!I9-'Kwh Reading'!I8)*1000</f>
        <v>420.00000000001592</v>
      </c>
      <c r="L8" s="2">
        <f>('Kwh Reading'!B9-'Kwh Reading'!B8)*1000000</f>
        <v>1200.0000000000898</v>
      </c>
      <c r="M8" s="2">
        <f>('Kwh Reading'!M9-'Kwh Reading'!M8)*1000</f>
        <v>810.00000000005912</v>
      </c>
      <c r="N8" s="2">
        <f>('Kwh Reading'!H9-'Kwh Reading'!H8)*1000</f>
        <v>1290.0000000000773</v>
      </c>
      <c r="O8" s="2">
        <f>('Kwh Reading'!P9-'Kwh Reading'!P8)*1000</f>
        <v>1009.9999999999909</v>
      </c>
      <c r="P8" s="2">
        <f>('Kwh Reading'!G9-'Kwh Reading'!G8)*1000</f>
        <v>819.99999999993634</v>
      </c>
      <c r="Q8" s="2">
        <f>('Kwh Reading'!Q9-'Kwh Reading'!Q8)*1000</f>
        <v>779.99999999997272</v>
      </c>
      <c r="R8" s="2">
        <f>('Kwh Reading'!N9-'Kwh Reading'!N8)*1000</f>
        <v>800.00000000006821</v>
      </c>
      <c r="S8" s="2">
        <f>'Kwh Reading'!E9-'Kwh Reading'!E8</f>
        <v>2716.7599999997765</v>
      </c>
      <c r="T8" s="2">
        <f>'Kwh Reading'!D9-'Kwh Reading'!D8</f>
        <v>1788.8799999998882</v>
      </c>
      <c r="U8" s="27">
        <f>('Kwh Reading'!O9-'Kwh Reading'!O8)*1000</f>
        <v>240.00000000000909</v>
      </c>
      <c r="V8" s="16">
        <f t="shared" si="0"/>
        <v>6294.3600000000515</v>
      </c>
    </row>
    <row r="9" spans="1:22" x14ac:dyDescent="0.25">
      <c r="A9" s="3">
        <f>'Kwh Reading'!A9</f>
        <v>44626</v>
      </c>
      <c r="B9" s="26">
        <f>TOTAL!E7</f>
        <v>22900.00000000032</v>
      </c>
      <c r="C9" s="4">
        <f>('Kwh Reading'!T10-'Kwh Reading'!T9)*1000</f>
        <v>590.00000000003183</v>
      </c>
      <c r="D9" s="2">
        <f>('Kwh Reading'!F10-'Kwh Reading'!F9)*1000000</f>
        <v>2799.9999999996917</v>
      </c>
      <c r="E9" s="2">
        <f>('Kwh Reading'!C10-'Kwh Reading'!C9)*1000</f>
        <v>250</v>
      </c>
      <c r="F9" s="2">
        <f>('Kwh Reading'!J10-'Kwh Reading'!J9)*1000</f>
        <v>610.00000000001364</v>
      </c>
      <c r="G9" s="2">
        <f>('Kwh Reading'!K10-'Kwh Reading'!K9)*1000</f>
        <v>410.00000000002501</v>
      </c>
      <c r="H9" s="2">
        <f>('Kwh Reading'!L10-'Kwh Reading'!L9)*1000</f>
        <v>250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360.00000000001364</v>
      </c>
      <c r="L9" s="2">
        <f>('Kwh Reading'!B10-'Kwh Reading'!B9)*1000000</f>
        <v>1199.9999999998679</v>
      </c>
      <c r="M9" s="2">
        <f>('Kwh Reading'!M10-'Kwh Reading'!M9)*1000</f>
        <v>730.00000000001819</v>
      </c>
      <c r="N9" s="2">
        <f>('Kwh Reading'!H10-'Kwh Reading'!H9)*1000</f>
        <v>1299.9999999999545</v>
      </c>
      <c r="O9" s="2">
        <f>('Kwh Reading'!P10-'Kwh Reading'!P9)*1000</f>
        <v>1020.0000000000955</v>
      </c>
      <c r="P9" s="2">
        <f>('Kwh Reading'!G10-'Kwh Reading'!G9)*1000</f>
        <v>799.99999999995453</v>
      </c>
      <c r="Q9" s="2">
        <f>('Kwh Reading'!Q10-'Kwh Reading'!Q9)*1000</f>
        <v>740.00000000000909</v>
      </c>
      <c r="R9" s="2">
        <f>('Kwh Reading'!N10-'Kwh Reading'!N9)*1000</f>
        <v>739.99999999989541</v>
      </c>
      <c r="S9" s="2">
        <f>'Kwh Reading'!E10-'Kwh Reading'!E9</f>
        <v>2903.730000000447</v>
      </c>
      <c r="T9" s="2">
        <f>'Kwh Reading'!D10-'Kwh Reading'!D9</f>
        <v>1703.4199999999255</v>
      </c>
      <c r="U9" s="27">
        <f>('Kwh Reading'!O10-'Kwh Reading'!O9)*1000</f>
        <v>229.99999999998977</v>
      </c>
      <c r="V9" s="16">
        <f t="shared" si="0"/>
        <v>6102.8500000003914</v>
      </c>
    </row>
    <row r="10" spans="1:22" x14ac:dyDescent="0.25">
      <c r="A10" s="3">
        <f>'Kwh Reading'!A10</f>
        <v>44627</v>
      </c>
      <c r="B10" s="26">
        <f>TOTAL!E8</f>
        <v>23689.999999999825</v>
      </c>
      <c r="C10" s="4">
        <f>('Kwh Reading'!T11-'Kwh Reading'!T10)*1000</f>
        <v>480.00000000001819</v>
      </c>
      <c r="D10" s="2">
        <f>('Kwh Reading'!F11-'Kwh Reading'!F10)*1000000</f>
        <v>2900.0000000003465</v>
      </c>
      <c r="E10" s="2">
        <f>('Kwh Reading'!C11-'Kwh Reading'!C10)*1000</f>
        <v>259.99999999999091</v>
      </c>
      <c r="F10" s="2">
        <f>('Kwh Reading'!J11-'Kwh Reading'!J10)*1000</f>
        <v>699.99999999998863</v>
      </c>
      <c r="G10" s="2">
        <f>('Kwh Reading'!K11-'Kwh Reading'!K10)*1000</f>
        <v>410.00000000002501</v>
      </c>
      <c r="H10" s="2">
        <f>('Kwh Reading'!L11-'Kwh Reading'!L10)*1000</f>
        <v>269.99999999998181</v>
      </c>
      <c r="I10" s="2">
        <f>('Kwh Reading'!R11-'Kwh Reading'!R10)*1000</f>
        <v>0</v>
      </c>
      <c r="J10" s="2">
        <f>('Kwh Reading'!S11-'Kwh Reading'!S10)*1000</f>
        <v>120.00000000000455</v>
      </c>
      <c r="K10" s="2">
        <f>('Kwh Reading'!I11-'Kwh Reading'!I10)*1000</f>
        <v>379.99999999999545</v>
      </c>
      <c r="L10" s="2">
        <f>('Kwh Reading'!B11-'Kwh Reading'!B10)*1000000</f>
        <v>1200.0000000000898</v>
      </c>
      <c r="M10" s="2">
        <f>('Kwh Reading'!M11-'Kwh Reading'!M10)*1000</f>
        <v>639.99999999998636</v>
      </c>
      <c r="N10" s="2">
        <f>('Kwh Reading'!H11-'Kwh Reading'!H10)*1000</f>
        <v>1320.00000000005</v>
      </c>
      <c r="O10" s="2">
        <f>('Kwh Reading'!P11-'Kwh Reading'!P10)*1000</f>
        <v>1079.9999999999272</v>
      </c>
      <c r="P10" s="2">
        <f>('Kwh Reading'!G11-'Kwh Reading'!G10)*1000</f>
        <v>910.00000000008185</v>
      </c>
      <c r="Q10" s="2">
        <f>('Kwh Reading'!Q11-'Kwh Reading'!Q10)*1000</f>
        <v>700.00000000004547</v>
      </c>
      <c r="R10" s="2">
        <f>('Kwh Reading'!N11-'Kwh Reading'!N10)*1000</f>
        <v>790.00000000007731</v>
      </c>
      <c r="S10" s="33">
        <f>'Kwh Reading'!E11-'Kwh Reading'!E10</f>
        <v>2822.2400000002235</v>
      </c>
      <c r="T10" s="33">
        <f>'Kwh Reading'!D11-'Kwh Reading'!D10</f>
        <v>1859</v>
      </c>
      <c r="U10" s="27">
        <f>('Kwh Reading'!O11-'Kwh Reading'!O10)*1000</f>
        <v>260.00000000001933</v>
      </c>
      <c r="V10" s="16">
        <f t="shared" si="0"/>
        <v>6588.7599999989761</v>
      </c>
    </row>
    <row r="11" spans="1:22" x14ac:dyDescent="0.25">
      <c r="A11" s="3">
        <f>'Kwh Reading'!A11</f>
        <v>44628</v>
      </c>
      <c r="B11" s="26">
        <f>TOTAL!E9</f>
        <v>23699.999999999593</v>
      </c>
      <c r="C11" s="4">
        <f>('Kwh Reading'!T12-'Kwh Reading'!T11)*1000</f>
        <v>539.99999999996362</v>
      </c>
      <c r="D11" s="2">
        <f>('Kwh Reading'!F12-'Kwh Reading'!F11)*1000000</f>
        <v>2799.9999999996917</v>
      </c>
      <c r="E11" s="2">
        <f>('Kwh Reading'!C12-'Kwh Reading'!C11)*1000</f>
        <v>250</v>
      </c>
      <c r="F11" s="2">
        <f>('Kwh Reading'!J12-'Kwh Reading'!J11)*1000</f>
        <v>689.99999999999773</v>
      </c>
      <c r="G11" s="2">
        <f>('Kwh Reading'!K12-'Kwh Reading'!K11)*1000</f>
        <v>429.99999999994998</v>
      </c>
      <c r="H11" s="2">
        <f>('Kwh Reading'!L12-'Kwh Reading'!L11)*1000</f>
        <v>259.99999999999091</v>
      </c>
      <c r="I11" s="2">
        <f>('Kwh Reading'!R12-'Kwh Reading'!R11)*1000</f>
        <v>0</v>
      </c>
      <c r="J11" s="2">
        <f>('Kwh Reading'!S12-'Kwh Reading'!S11)*1000</f>
        <v>150.00000000000568</v>
      </c>
      <c r="K11" s="2">
        <f>('Kwh Reading'!I12-'Kwh Reading'!I11)*1000</f>
        <v>389.99999999998636</v>
      </c>
      <c r="L11" s="2">
        <f>('Kwh Reading'!B12-'Kwh Reading'!B11)*1000000</f>
        <v>1100.000000000101</v>
      </c>
      <c r="M11" s="2">
        <f>('Kwh Reading'!M12-'Kwh Reading'!M11)*1000</f>
        <v>689.99999999994088</v>
      </c>
      <c r="N11" s="2">
        <f>('Kwh Reading'!H12-'Kwh Reading'!H11)*1000</f>
        <v>1459.9999999999227</v>
      </c>
      <c r="O11" s="2">
        <f>('Kwh Reading'!P12-'Kwh Reading'!P11)*1000</f>
        <v>1080.0000000000409</v>
      </c>
      <c r="P11" s="2">
        <f>('Kwh Reading'!G12-'Kwh Reading'!G11)*1000</f>
        <v>970.00000000002728</v>
      </c>
      <c r="Q11" s="2">
        <f>('Kwh Reading'!Q12-'Kwh Reading'!Q11)*1000</f>
        <v>730.00000000001819</v>
      </c>
      <c r="R11" s="2">
        <f>('Kwh Reading'!N12-'Kwh Reading'!N11)*1000</f>
        <v>809.99999999994543</v>
      </c>
      <c r="S11" s="33">
        <f>'Kwh Reading'!E12-'Kwh Reading'!E11</f>
        <v>2936.1599999982864</v>
      </c>
      <c r="T11" s="33">
        <f>'Kwh Reading'!D12-'Kwh Reading'!D11</f>
        <v>1836.9000000003725</v>
      </c>
      <c r="U11" s="27">
        <f>('Kwh Reading'!O12-'Kwh Reading'!O11)*1000</f>
        <v>179.9999999999784</v>
      </c>
      <c r="V11" s="16">
        <f t="shared" si="0"/>
        <v>6396.9400000013775</v>
      </c>
    </row>
    <row r="12" spans="1:22" x14ac:dyDescent="0.25">
      <c r="A12" s="3">
        <f>'Kwh Reading'!A12</f>
        <v>44629</v>
      </c>
      <c r="B12" s="26">
        <f>TOTAL!E10</f>
        <v>24439.9999999996</v>
      </c>
      <c r="C12" s="4">
        <f>('Kwh Reading'!T13-'Kwh Reading'!T12)*1000</f>
        <v>549.99999999995453</v>
      </c>
      <c r="D12" s="2">
        <f>('Kwh Reading'!F13-'Kwh Reading'!F12)*1000000</f>
        <v>2800.0000000001355</v>
      </c>
      <c r="E12" s="2">
        <f>('Kwh Reading'!C13-'Kwh Reading'!C12)*1000</f>
        <v>269.99999999998181</v>
      </c>
      <c r="F12" s="2">
        <f>('Kwh Reading'!J13-'Kwh Reading'!J12)*1000</f>
        <v>589.99999999997499</v>
      </c>
      <c r="G12" s="2">
        <f>('Kwh Reading'!K13-'Kwh Reading'!K12)*1000</f>
        <v>370.00000000000455</v>
      </c>
      <c r="H12" s="2">
        <f>('Kwh Reading'!L13-'Kwh Reading'!L12)*1000</f>
        <v>230.00000000001819</v>
      </c>
      <c r="I12" s="2">
        <f>('Kwh Reading'!R13-'Kwh Reading'!R12)*1000</f>
        <v>0</v>
      </c>
      <c r="J12" s="2">
        <f>('Kwh Reading'!S13-'Kwh Reading'!S12)*1000</f>
        <v>150.00000000000568</v>
      </c>
      <c r="K12" s="2">
        <f>('Kwh Reading'!I13-'Kwh Reading'!I12)*1000</f>
        <v>400.00000000003411</v>
      </c>
      <c r="L12" s="2">
        <f>('Kwh Reading'!B13-'Kwh Reading'!B12)*1000000</f>
        <v>1199.9999999998679</v>
      </c>
      <c r="M12" s="2">
        <f>('Kwh Reading'!M13-'Kwh Reading'!M12)*1000</f>
        <v>750</v>
      </c>
      <c r="N12" s="2">
        <f>('Kwh Reading'!H13-'Kwh Reading'!H12)*1000</f>
        <v>1430.0000000000637</v>
      </c>
      <c r="O12" s="2">
        <f>('Kwh Reading'!P13-'Kwh Reading'!P12)*1000</f>
        <v>990.00000000000909</v>
      </c>
      <c r="P12" s="2">
        <f>('Kwh Reading'!G13-'Kwh Reading'!G12)*1000</f>
        <v>899.99999999997726</v>
      </c>
      <c r="Q12" s="2">
        <f>('Kwh Reading'!Q13-'Kwh Reading'!Q12)*1000</f>
        <v>759.99999999999091</v>
      </c>
      <c r="R12" s="2">
        <f>('Kwh Reading'!N13-'Kwh Reading'!N12)*1000</f>
        <v>840.00000000003183</v>
      </c>
      <c r="S12" s="33">
        <f>'Kwh Reading'!E13-'Kwh Reading'!E12</f>
        <v>2978.3800000008196</v>
      </c>
      <c r="T12" s="33">
        <f>'Kwh Reading'!D13-'Kwh Reading'!D12</f>
        <v>1720.9500000001863</v>
      </c>
      <c r="U12" s="27">
        <f>('Kwh Reading'!O13-'Kwh Reading'!O12)*1000</f>
        <v>219.99999999999886</v>
      </c>
      <c r="V12" s="16">
        <f t="shared" ref="V12:V34" si="1">B12-(SUM(C12:U12))</f>
        <v>7290.6699999985467</v>
      </c>
    </row>
    <row r="13" spans="1:22" x14ac:dyDescent="0.25">
      <c r="A13" s="3">
        <f>'Kwh Reading'!A13</f>
        <v>44630</v>
      </c>
      <c r="B13" s="26">
        <f>TOTAL!E11</f>
        <v>21310.00000000131</v>
      </c>
      <c r="C13" s="4">
        <f>('Kwh Reading'!T14-'Kwh Reading'!T13)*1000</f>
        <v>540.00000000007731</v>
      </c>
      <c r="D13" s="2">
        <f>('Kwh Reading'!F14-'Kwh Reading'!F13)*1000000</f>
        <v>2800.0000000001355</v>
      </c>
      <c r="E13" s="2">
        <f>('Kwh Reading'!C14-'Kwh Reading'!C13)*1000</f>
        <v>240.00000000000909</v>
      </c>
      <c r="F13" s="2">
        <f>('Kwh Reading'!J14-'Kwh Reading'!J13)*1000</f>
        <v>590.00000000003183</v>
      </c>
      <c r="G13" s="2">
        <f>('Kwh Reading'!K14-'Kwh Reading'!K13)*1000</f>
        <v>330.00000000004093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159.99999999999659</v>
      </c>
      <c r="K13" s="2">
        <f>('Kwh Reading'!I14-'Kwh Reading'!I13)*1000</f>
        <v>349.99999999996589</v>
      </c>
      <c r="L13" s="2">
        <f>('Kwh Reading'!B14-'Kwh Reading'!B13)*1000000</f>
        <v>1000.0000000001119</v>
      </c>
      <c r="M13" s="2">
        <f>('Kwh Reading'!M14-'Kwh Reading'!M13)*1000</f>
        <v>740.00000000000909</v>
      </c>
      <c r="N13" s="2">
        <f>('Kwh Reading'!H14-'Kwh Reading'!H13)*1000</f>
        <v>1360.0000000000136</v>
      </c>
      <c r="O13" s="2">
        <f>('Kwh Reading'!P14-'Kwh Reading'!P13)*1000</f>
        <v>929.99999999994998</v>
      </c>
      <c r="P13" s="2">
        <f>('Kwh Reading'!G14-'Kwh Reading'!G13)*1000</f>
        <v>939.99999999994088</v>
      </c>
      <c r="Q13" s="2">
        <f>('Kwh Reading'!Q14-'Kwh Reading'!Q13)*1000</f>
        <v>719.9999999999136</v>
      </c>
      <c r="R13" s="2">
        <f>('Kwh Reading'!N14-'Kwh Reading'!N13)*1000</f>
        <v>740.00000000000909</v>
      </c>
      <c r="S13" s="33">
        <f>'Kwh Reading'!E14-'Kwh Reading'!E13</f>
        <v>2599.2100000008941</v>
      </c>
      <c r="T13" s="33">
        <f>'Kwh Reading'!D14-'Kwh Reading'!D13</f>
        <v>1675.9599999999627</v>
      </c>
      <c r="U13" s="27">
        <f>('Kwh Reading'!O14-'Kwh Reading'!O13)*1000</f>
        <v>210.00000000000796</v>
      </c>
      <c r="V13" s="16">
        <f t="shared" si="1"/>
        <v>5144.8300000002328</v>
      </c>
    </row>
    <row r="14" spans="1:22" x14ac:dyDescent="0.25">
      <c r="A14" s="3">
        <f>'Kwh Reading'!A14</f>
        <v>44631</v>
      </c>
      <c r="B14" s="26">
        <f>TOTAL!E12</f>
        <v>22349.999999999454</v>
      </c>
      <c r="C14" s="4">
        <f>('Kwh Reading'!T15-'Kwh Reading'!T14)*1000</f>
        <v>279.99999999997272</v>
      </c>
      <c r="D14" s="2">
        <f>('Kwh Reading'!F15-'Kwh Reading'!F14)*1000000</f>
        <v>2899.9999999999027</v>
      </c>
      <c r="E14" s="2">
        <f>('Kwh Reading'!C15-'Kwh Reading'!C14)*1000</f>
        <v>250</v>
      </c>
      <c r="F14" s="2">
        <f>('Kwh Reading'!J15-'Kwh Reading'!J14)*1000</f>
        <v>509.99999999999091</v>
      </c>
      <c r="G14" s="2">
        <f>('Kwh Reading'!K15-'Kwh Reading'!K14)*1000</f>
        <v>329.99999999998408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139.99999999998636</v>
      </c>
      <c r="K14" s="2">
        <f>('Kwh Reading'!I15-'Kwh Reading'!I14)*1000</f>
        <v>340.00000000003183</v>
      </c>
      <c r="L14" s="2">
        <f>('Kwh Reading'!B15-'Kwh Reading'!B14)*1000000</f>
        <v>1299.9999999998568</v>
      </c>
      <c r="M14" s="2">
        <f>('Kwh Reading'!M15-'Kwh Reading'!M14)*1000</f>
        <v>779.99999999997272</v>
      </c>
      <c r="N14" s="2">
        <f>('Kwh Reading'!H15-'Kwh Reading'!H14)*1000</f>
        <v>1319.9999999999363</v>
      </c>
      <c r="O14" s="2">
        <f>('Kwh Reading'!P15-'Kwh Reading'!P14)*1000</f>
        <v>910.00000000008185</v>
      </c>
      <c r="P14" s="2">
        <f>('Kwh Reading'!G15-'Kwh Reading'!G14)*1000</f>
        <v>899.99999999997726</v>
      </c>
      <c r="Q14" s="2">
        <f>('Kwh Reading'!Q15-'Kwh Reading'!Q14)*1000</f>
        <v>690.00000000005457</v>
      </c>
      <c r="R14" s="2">
        <f>('Kwh Reading'!N15-'Kwh Reading'!N14)*1000</f>
        <v>799.99999999995453</v>
      </c>
      <c r="S14" s="33">
        <f>'Kwh Reading'!E15-'Kwh Reading'!E14</f>
        <v>2128.5099999997765</v>
      </c>
      <c r="T14" s="33">
        <f>'Kwh Reading'!D15-'Kwh Reading'!D14</f>
        <v>1833.5099999997765</v>
      </c>
      <c r="U14" s="27">
        <f>('Kwh Reading'!O15-'Kwh Reading'!O14)*1000</f>
        <v>200.00000000001705</v>
      </c>
      <c r="V14" s="16">
        <f t="shared" si="1"/>
        <v>6517.9800000002106</v>
      </c>
    </row>
    <row r="15" spans="1:22" x14ac:dyDescent="0.25">
      <c r="A15" s="3">
        <f>'Kwh Reading'!A15</f>
        <v>44632</v>
      </c>
      <c r="B15" s="26">
        <f>TOTAL!E13</f>
        <v>23720.000000000255</v>
      </c>
      <c r="C15" s="4">
        <f>('Kwh Reading'!T16-'Kwh Reading'!T15)*1000</f>
        <v>549.99999999995453</v>
      </c>
      <c r="D15" s="2">
        <f>('Kwh Reading'!F16-'Kwh Reading'!F15)*1000000</f>
        <v>2800.0000000001355</v>
      </c>
      <c r="E15" s="2">
        <f>('Kwh Reading'!C16-'Kwh Reading'!C15)*1000</f>
        <v>240.00000000000909</v>
      </c>
      <c r="F15" s="2">
        <f>('Kwh Reading'!J16-'Kwh Reading'!J15)*1000</f>
        <v>620.00000000000455</v>
      </c>
      <c r="G15" s="2">
        <f>('Kwh Reading'!K16-'Kwh Reading'!K15)*1000</f>
        <v>360.00000000001364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159.99999999999659</v>
      </c>
      <c r="K15" s="2">
        <f>('Kwh Reading'!I16-'Kwh Reading'!I15)*1000</f>
        <v>329.99999999998408</v>
      </c>
      <c r="L15" s="2">
        <f>('Kwh Reading'!B16-'Kwh Reading'!B15)*1000000</f>
        <v>1200.0000000000898</v>
      </c>
      <c r="M15" s="2">
        <f>('Kwh Reading'!M16-'Kwh Reading'!M15)*1000</f>
        <v>750</v>
      </c>
      <c r="N15" s="2">
        <f>('Kwh Reading'!H16-'Kwh Reading'!H15)*1000</f>
        <v>1440.0000000000546</v>
      </c>
      <c r="O15" s="2">
        <f>('Kwh Reading'!P16-'Kwh Reading'!P15)*1000</f>
        <v>939.99999999994088</v>
      </c>
      <c r="P15" s="2">
        <f>('Kwh Reading'!G16-'Kwh Reading'!G15)*1000</f>
        <v>1020.0000000000955</v>
      </c>
      <c r="Q15" s="2">
        <f>('Kwh Reading'!Q16-'Kwh Reading'!Q15)*1000</f>
        <v>730.00000000001819</v>
      </c>
      <c r="R15" s="2">
        <f>('Kwh Reading'!N16-'Kwh Reading'!N15)*1000</f>
        <v>790.00000000007731</v>
      </c>
      <c r="S15" s="33">
        <f>'Kwh Reading'!E16-'Kwh Reading'!E15</f>
        <v>2463.3899999987334</v>
      </c>
      <c r="T15" s="33">
        <f>'Kwh Reading'!D16-'Kwh Reading'!D15</f>
        <v>1981.2099999999627</v>
      </c>
      <c r="U15" s="27">
        <f>('Kwh Reading'!O16-'Kwh Reading'!O15)*1000</f>
        <v>209.99999999997954</v>
      </c>
      <c r="V15" s="16">
        <f t="shared" si="1"/>
        <v>6885.4000000012056</v>
      </c>
    </row>
    <row r="16" spans="1:22" x14ac:dyDescent="0.25">
      <c r="A16" s="3">
        <f>'Kwh Reading'!A16</f>
        <v>44633</v>
      </c>
      <c r="B16" s="26">
        <f>TOTAL!E14</f>
        <v>0</v>
      </c>
      <c r="C16" s="4">
        <f>('Kwh Reading'!T17-'Kwh Reading'!T16)*1000</f>
        <v>-544160</v>
      </c>
      <c r="D16" s="2">
        <f>('Kwh Reading'!F17-'Kwh Reading'!F16)*1000000</f>
        <v>-3034800</v>
      </c>
      <c r="E16" s="2">
        <f>('Kwh Reading'!C17-'Kwh Reading'!C16)*1000</f>
        <v>-294060</v>
      </c>
      <c r="F16" s="2">
        <f>('Kwh Reading'!J17-'Kwh Reading'!J16)*1000</f>
        <v>-422490</v>
      </c>
      <c r="G16" s="2">
        <f>('Kwh Reading'!K17-'Kwh Reading'!K16)*1000</f>
        <v>-429290</v>
      </c>
      <c r="H16" s="2">
        <f>('Kwh Reading'!L17-'Kwh Reading'!L16)*1000</f>
        <v>-292210</v>
      </c>
      <c r="I16" s="2">
        <f>('Kwh Reading'!R17-'Kwh Reading'!R16)*1000</f>
        <v>-190150</v>
      </c>
      <c r="J16" s="2">
        <f>('Kwh Reading'!S17-'Kwh Reading'!S16)*1000</f>
        <v>-149420</v>
      </c>
      <c r="K16" s="2">
        <f>('Kwh Reading'!I17-'Kwh Reading'!I16)*1000</f>
        <v>-311310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33">
        <v>0</v>
      </c>
      <c r="T16" s="33">
        <v>0</v>
      </c>
      <c r="U16" s="27">
        <v>0</v>
      </c>
      <c r="V16" s="16">
        <v>0</v>
      </c>
    </row>
    <row r="17" spans="1:22" x14ac:dyDescent="0.25">
      <c r="A17" s="3">
        <f>'Kwh Reading'!A17</f>
        <v>44634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44635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44636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44637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44638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44639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44640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44641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44642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44643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44644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44645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44646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44647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44648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44649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44650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44651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278380.00000000099</v>
      </c>
      <c r="C35" s="72">
        <f t="shared" ref="C35" si="2">SUM(C4:C34)</f>
        <v>-538210.00000000012</v>
      </c>
      <c r="D35" s="72">
        <f t="shared" ref="D35" si="3">SUM(D4:D34)</f>
        <v>-3001599.9999999995</v>
      </c>
      <c r="E35" s="72">
        <f t="shared" ref="E35" si="4">SUM(E4:E34)</f>
        <v>-291010</v>
      </c>
      <c r="F35" s="72">
        <f t="shared" ref="F35" si="5">SUM(F4:F34)</f>
        <v>-415240</v>
      </c>
      <c r="G35" s="72">
        <f t="shared" ref="G35:U35" si="6">SUM(G4:G34)</f>
        <v>-424670</v>
      </c>
      <c r="H35" s="72">
        <f t="shared" si="6"/>
        <v>-289290.00000000006</v>
      </c>
      <c r="I35" s="72">
        <f t="shared" si="6"/>
        <v>-190150</v>
      </c>
      <c r="J35" s="72">
        <f t="shared" si="6"/>
        <v>-147630</v>
      </c>
      <c r="K35" s="72">
        <f t="shared" si="6"/>
        <v>-306790</v>
      </c>
      <c r="L35" s="72">
        <f t="shared" si="6"/>
        <v>13600.000000000055</v>
      </c>
      <c r="M35" s="72">
        <f t="shared" si="6"/>
        <v>9089.9999999999181</v>
      </c>
      <c r="N35" s="72">
        <f t="shared" si="6"/>
        <v>15700.000000000045</v>
      </c>
      <c r="O35" s="72">
        <f t="shared" si="6"/>
        <v>11950.000000000044</v>
      </c>
      <c r="P35" s="72">
        <f t="shared" si="6"/>
        <v>10360.000000000015</v>
      </c>
      <c r="Q35" s="72">
        <f t="shared" si="6"/>
        <v>8990.0000000000091</v>
      </c>
      <c r="R35" s="72">
        <f t="shared" si="6"/>
        <v>9660.00000000008</v>
      </c>
      <c r="S35" s="72">
        <f t="shared" si="6"/>
        <v>32230.389999998733</v>
      </c>
      <c r="T35" s="72">
        <f t="shared" si="6"/>
        <v>21370.639999999665</v>
      </c>
      <c r="U35" s="72">
        <f t="shared" si="6"/>
        <v>2669.9999999999877</v>
      </c>
      <c r="V35" s="72">
        <f>SUM(V4:V34)</f>
        <v>79458.970000002257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H19" sqref="H19:I1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44621</v>
      </c>
      <c r="B3" s="80">
        <f>TOTAL!E2</f>
        <v>23689.999999999825</v>
      </c>
      <c r="C3" s="1">
        <f>'Kwh Consumption'!C4</f>
        <v>549.99999999995453</v>
      </c>
      <c r="D3" s="1">
        <f>'Kwh Consumption'!D4</f>
        <v>2500.0000000003906</v>
      </c>
      <c r="E3" s="1">
        <f>'Kwh Consumption'!E4</f>
        <v>240.00000000000909</v>
      </c>
      <c r="F3" s="1">
        <f>('Kwh Consumption'!F4+'Kwh Consumption'!G4+'Kwh Consumption'!H4)</f>
        <v>1370.0000000000045</v>
      </c>
      <c r="G3" s="16">
        <f>('Kwh Consumption'!I4+'Kwh Consumption'!J4)</f>
        <v>150.00000000000568</v>
      </c>
      <c r="H3" s="1">
        <f>('Kwh Consumption'!K4+'Kwh Consumption'!L4)</f>
        <v>1470.0000000001055</v>
      </c>
      <c r="I3" s="1">
        <f>('Kwh Consumption'!M4+'Kwh Consumption'!N4+'Kwh Consumption'!O4+'Kwh Consumption'!P4+'Kwh Consumption'!Q4+'Kwh Consumption'!R4)</f>
        <v>5360.0000000000136</v>
      </c>
      <c r="J3" s="1">
        <f>('Kwh Consumption'!S4+'Kwh Consumption'!T4)</f>
        <v>4518.1599999992177</v>
      </c>
      <c r="K3" s="1">
        <f>'Kwh Consumption'!U4</f>
        <v>240.00000000000909</v>
      </c>
      <c r="L3" s="31">
        <f t="shared" ref="L3:L33" si="0">B3-C3-D3-E3-F3-G3-H3-I3-J3-K3</f>
        <v>7291.8400000001111</v>
      </c>
    </row>
    <row r="4" spans="1:12" x14ac:dyDescent="0.25">
      <c r="A4" s="14">
        <f>'Kwh Reading'!A5</f>
        <v>44622</v>
      </c>
      <c r="B4" s="80">
        <f>TOTAL!E3</f>
        <v>23710.00000000163</v>
      </c>
      <c r="C4" s="1">
        <f>'Kwh Consumption'!C5</f>
        <v>529.99999999997272</v>
      </c>
      <c r="D4" s="1">
        <f>'Kwh Consumption'!D5</f>
        <v>2599.9999999997135</v>
      </c>
      <c r="E4" s="1">
        <f>'Kwh Consumption'!E5</f>
        <v>269.99999999998181</v>
      </c>
      <c r="F4" s="1">
        <f>('Kwh Consumption'!F5+'Kwh Consumption'!G5+'Kwh Consumption'!H5)</f>
        <v>1209.9999999999227</v>
      </c>
      <c r="G4" s="16">
        <f>('Kwh Consumption'!I5+'Kwh Consumption'!J5)</f>
        <v>139.99999999998636</v>
      </c>
      <c r="H4" s="1">
        <f>('Kwh Consumption'!K5+'Kwh Consumption'!L5)</f>
        <v>1389.9999999998763</v>
      </c>
      <c r="I4" s="1">
        <f>('Kwh Consumption'!M5+'Kwh Consumption'!N5+'Kwh Consumption'!O5+'Kwh Consumption'!P5+'Kwh Consumption'!Q5+'Kwh Consumption'!R5)</f>
        <v>5370.0000000000045</v>
      </c>
      <c r="J4" s="1">
        <f>('Kwh Consumption'!S5+'Kwh Consumption'!T5)</f>
        <v>4428.0400000000373</v>
      </c>
      <c r="K4" s="1">
        <f>'Kwh Consumption'!U5</f>
        <v>229.99999999998977</v>
      </c>
      <c r="L4" s="31">
        <f t="shared" si="0"/>
        <v>7541.9600000021483</v>
      </c>
    </row>
    <row r="5" spans="1:12" x14ac:dyDescent="0.25">
      <c r="A5" s="14">
        <f>'Kwh Reading'!A6</f>
        <v>44623</v>
      </c>
      <c r="B5" s="80">
        <f>TOTAL!E4</f>
        <v>22869.999999998072</v>
      </c>
      <c r="C5" s="1">
        <f>'Kwh Consumption'!C6</f>
        <v>540.00000000007731</v>
      </c>
      <c r="D5" s="1">
        <f>'Kwh Consumption'!D6</f>
        <v>2800.0000000001355</v>
      </c>
      <c r="E5" s="1">
        <f>'Kwh Consumption'!E6</f>
        <v>259.99999999999091</v>
      </c>
      <c r="F5" s="1">
        <f>('Kwh Consumption'!F6+'Kwh Consumption'!G6+'Kwh Consumption'!H6)</f>
        <v>1269.9999999999818</v>
      </c>
      <c r="G5" s="16">
        <f>('Kwh Consumption'!I6+'Kwh Consumption'!J6)</f>
        <v>160.00000000002501</v>
      </c>
      <c r="H5" s="1">
        <f>('Kwh Consumption'!K6+'Kwh Consumption'!L6)</f>
        <v>1500.0000000000782</v>
      </c>
      <c r="I5" s="1">
        <f>('Kwh Consumption'!M6+'Kwh Consumption'!N6+'Kwh Consumption'!O6+'Kwh Consumption'!P6+'Kwh Consumption'!Q6+'Kwh Consumption'!R6)</f>
        <v>5379.9999999998818</v>
      </c>
      <c r="J5" s="1">
        <f>('Kwh Consumption'!S6+'Kwh Consumption'!T6)</f>
        <v>4490.3400000007823</v>
      </c>
      <c r="K5" s="1">
        <f>'Kwh Consumption'!U6</f>
        <v>219.99999999999886</v>
      </c>
      <c r="L5" s="31">
        <f t="shared" si="0"/>
        <v>6249.6599999971195</v>
      </c>
    </row>
    <row r="6" spans="1:12" x14ac:dyDescent="0.25">
      <c r="A6" s="14">
        <f>'Kwh Reading'!A7</f>
        <v>44624</v>
      </c>
      <c r="B6" s="80">
        <f>TOTAL!E5</f>
        <v>23060.00000000131</v>
      </c>
      <c r="C6" s="1">
        <f>'Kwh Consumption'!C7</f>
        <v>259.99999999999091</v>
      </c>
      <c r="D6" s="1">
        <f>'Kwh Consumption'!D7</f>
        <v>2800.0000000001355</v>
      </c>
      <c r="E6" s="1">
        <f>'Kwh Consumption'!E7</f>
        <v>260.00000000004775</v>
      </c>
      <c r="F6" s="1">
        <f>('Kwh Consumption'!F7+'Kwh Consumption'!G7+'Kwh Consumption'!H7)</f>
        <v>1160.000000000025</v>
      </c>
      <c r="G6" s="16">
        <f>('Kwh Consumption'!I7+'Kwh Consumption'!J7)</f>
        <v>139.99999999998636</v>
      </c>
      <c r="H6" s="1">
        <f>('Kwh Consumption'!K7+'Kwh Consumption'!L7)</f>
        <v>1389.9999999998763</v>
      </c>
      <c r="I6" s="1">
        <f>('Kwh Consumption'!M7+'Kwh Consumption'!N7+'Kwh Consumption'!O7+'Kwh Consumption'!P7+'Kwh Consumption'!Q7+'Kwh Consumption'!R7)</f>
        <v>5450.0000000000455</v>
      </c>
      <c r="J6" s="1">
        <f>('Kwh Consumption'!S7+'Kwh Consumption'!T7)</f>
        <v>4216.2799999993294</v>
      </c>
      <c r="K6" s="1">
        <f>'Kwh Consumption'!U7</f>
        <v>229.99999999998977</v>
      </c>
      <c r="L6" s="31">
        <f t="shared" si="0"/>
        <v>7153.7200000018829</v>
      </c>
    </row>
    <row r="7" spans="1:12" x14ac:dyDescent="0.25">
      <c r="A7" s="14">
        <f>'Kwh Reading'!A8</f>
        <v>44625</v>
      </c>
      <c r="B7" s="80">
        <f>TOTAL!E6</f>
        <v>22939.999999999825</v>
      </c>
      <c r="C7" s="1">
        <f>'Kwh Consumption'!C8</f>
        <v>539.99999999996362</v>
      </c>
      <c r="D7" s="1">
        <f>'Kwh Consumption'!D8</f>
        <v>2699.9999999999245</v>
      </c>
      <c r="E7" s="1">
        <f>'Kwh Consumption'!E8</f>
        <v>259.99999999999091</v>
      </c>
      <c r="F7" s="1">
        <f>('Kwh Consumption'!F8+'Kwh Consumption'!G8+'Kwh Consumption'!H8)</f>
        <v>1110.0000000000136</v>
      </c>
      <c r="G7" s="16">
        <f>('Kwh Consumption'!I8+'Kwh Consumption'!J8)</f>
        <v>159.99999999999659</v>
      </c>
      <c r="H7" s="1">
        <f>('Kwh Consumption'!K8+'Kwh Consumption'!L8)</f>
        <v>1620.0000000001057</v>
      </c>
      <c r="I7" s="1">
        <f>('Kwh Consumption'!M8+'Kwh Consumption'!N8+'Kwh Consumption'!O8+'Kwh Consumption'!P8+'Kwh Consumption'!Q8+'Kwh Consumption'!R8)</f>
        <v>5510.0000000001046</v>
      </c>
      <c r="J7" s="1">
        <f>('Kwh Consumption'!S8+'Kwh Consumption'!T8)</f>
        <v>4505.6399999996647</v>
      </c>
      <c r="K7" s="1">
        <f>'Kwh Consumption'!U8</f>
        <v>240.00000000000909</v>
      </c>
      <c r="L7" s="31">
        <f t="shared" si="0"/>
        <v>6294.3600000000533</v>
      </c>
    </row>
    <row r="8" spans="1:12" x14ac:dyDescent="0.25">
      <c r="A8" s="14">
        <f>'Kwh Reading'!A9</f>
        <v>44626</v>
      </c>
      <c r="B8" s="80">
        <f>TOTAL!E7</f>
        <v>22900.00000000032</v>
      </c>
      <c r="C8" s="1">
        <f>'Kwh Consumption'!C9</f>
        <v>590.00000000003183</v>
      </c>
      <c r="D8" s="1">
        <f>'Kwh Consumption'!D9</f>
        <v>2799.9999999996917</v>
      </c>
      <c r="E8" s="1">
        <f>'Kwh Consumption'!E9</f>
        <v>250</v>
      </c>
      <c r="F8" s="1">
        <f>('Kwh Consumption'!F9+'Kwh Consumption'!G9+'Kwh Consumption'!H9)</f>
        <v>1270.0000000000387</v>
      </c>
      <c r="G8" s="16">
        <f>('Kwh Consumption'!I9+'Kwh Consumption'!J9)</f>
        <v>159.99999999999659</v>
      </c>
      <c r="H8" s="1">
        <f>('Kwh Consumption'!K9+'Kwh Consumption'!L9)</f>
        <v>1559.9999999998815</v>
      </c>
      <c r="I8" s="1">
        <f>('Kwh Consumption'!M9+'Kwh Consumption'!N9+'Kwh Consumption'!O9+'Kwh Consumption'!P9+'Kwh Consumption'!Q9+'Kwh Consumption'!R9)</f>
        <v>5329.9999999999272</v>
      </c>
      <c r="J8" s="1">
        <f>('Kwh Consumption'!S9+'Kwh Consumption'!T9)</f>
        <v>4607.1500000003725</v>
      </c>
      <c r="K8" s="1">
        <f>'Kwh Consumption'!U9</f>
        <v>229.99999999998977</v>
      </c>
      <c r="L8" s="31">
        <f t="shared" si="0"/>
        <v>6102.8500000003887</v>
      </c>
    </row>
    <row r="9" spans="1:12" x14ac:dyDescent="0.25">
      <c r="A9" s="14">
        <f>'Kwh Reading'!A10</f>
        <v>44627</v>
      </c>
      <c r="B9" s="80">
        <f>TOTAL!E8</f>
        <v>23689.999999999825</v>
      </c>
      <c r="C9" s="1">
        <f>'Kwh Consumption'!C10</f>
        <v>480.00000000001819</v>
      </c>
      <c r="D9" s="1">
        <f>'Kwh Consumption'!D10</f>
        <v>2900.0000000003465</v>
      </c>
      <c r="E9" s="1">
        <f>'Kwh Consumption'!E10</f>
        <v>259.99999999999091</v>
      </c>
      <c r="F9" s="1">
        <f>('Kwh Consumption'!F10+'Kwh Consumption'!G10+'Kwh Consumption'!H10)</f>
        <v>1379.9999999999955</v>
      </c>
      <c r="G9" s="16">
        <f>('Kwh Consumption'!I10+'Kwh Consumption'!J10)</f>
        <v>120.00000000000455</v>
      </c>
      <c r="H9" s="1">
        <f>('Kwh Consumption'!K10+'Kwh Consumption'!L10)</f>
        <v>1580.0000000000853</v>
      </c>
      <c r="I9" s="1">
        <f>('Kwh Consumption'!M10+'Kwh Consumption'!N10+'Kwh Consumption'!O10+'Kwh Consumption'!P10+'Kwh Consumption'!Q10+'Kwh Consumption'!R10)</f>
        <v>5440.0000000001683</v>
      </c>
      <c r="J9" s="1">
        <f>('Kwh Consumption'!S10+'Kwh Consumption'!T10)</f>
        <v>4681.2400000002235</v>
      </c>
      <c r="K9" s="1">
        <f>'Kwh Consumption'!U10</f>
        <v>260.00000000001933</v>
      </c>
      <c r="L9" s="31">
        <f t="shared" si="0"/>
        <v>6588.7599999989752</v>
      </c>
    </row>
    <row r="10" spans="1:12" x14ac:dyDescent="0.25">
      <c r="A10" s="14">
        <f>'Kwh Reading'!A11</f>
        <v>44628</v>
      </c>
      <c r="B10" s="80">
        <f>TOTAL!E9</f>
        <v>23699.999999999593</v>
      </c>
      <c r="C10" s="1">
        <f>'Kwh Consumption'!C11</f>
        <v>539.99999999996362</v>
      </c>
      <c r="D10" s="1">
        <f>'Kwh Consumption'!D11</f>
        <v>2799.9999999996917</v>
      </c>
      <c r="E10" s="1">
        <f>'Kwh Consumption'!E11</f>
        <v>250</v>
      </c>
      <c r="F10" s="1">
        <f>('Kwh Consumption'!F11+'Kwh Consumption'!G11+'Kwh Consumption'!H11)</f>
        <v>1379.9999999999386</v>
      </c>
      <c r="G10" s="16">
        <f>('Kwh Consumption'!I11+'Kwh Consumption'!J11)</f>
        <v>150.00000000000568</v>
      </c>
      <c r="H10" s="1">
        <f>('Kwh Consumption'!K11+'Kwh Consumption'!L11)</f>
        <v>1490.0000000000873</v>
      </c>
      <c r="I10" s="1">
        <f>('Kwh Consumption'!M11+'Kwh Consumption'!N11+'Kwh Consumption'!O11+'Kwh Consumption'!P11+'Kwh Consumption'!Q11+'Kwh Consumption'!R11)</f>
        <v>5739.9999999998954</v>
      </c>
      <c r="J10" s="1">
        <f>('Kwh Consumption'!S11+'Kwh Consumption'!T11)</f>
        <v>4773.0599999986589</v>
      </c>
      <c r="K10" s="1">
        <f>'Kwh Consumption'!U11</f>
        <v>179.9999999999784</v>
      </c>
      <c r="L10" s="31">
        <f t="shared" si="0"/>
        <v>6396.9400000013738</v>
      </c>
    </row>
    <row r="11" spans="1:12" x14ac:dyDescent="0.25">
      <c r="A11" s="14">
        <f>'Kwh Reading'!A12</f>
        <v>44629</v>
      </c>
      <c r="B11" s="80">
        <f>TOTAL!E10</f>
        <v>24439.9999999996</v>
      </c>
      <c r="C11" s="1">
        <f>'Kwh Consumption'!C12</f>
        <v>549.99999999995453</v>
      </c>
      <c r="D11" s="1">
        <f>'Kwh Consumption'!D12</f>
        <v>2800.0000000001355</v>
      </c>
      <c r="E11" s="1">
        <f>'Kwh Consumption'!E12</f>
        <v>269.99999999998181</v>
      </c>
      <c r="F11" s="1">
        <f>('Kwh Consumption'!F12+'Kwh Consumption'!G12+'Kwh Consumption'!H12)</f>
        <v>1189.9999999999977</v>
      </c>
      <c r="G11" s="16">
        <f>('Kwh Consumption'!I12+'Kwh Consumption'!J12)</f>
        <v>150.00000000000568</v>
      </c>
      <c r="H11" s="1">
        <f>('Kwh Consumption'!K12+'Kwh Consumption'!L12)</f>
        <v>1599.999999999902</v>
      </c>
      <c r="I11" s="1">
        <f>('Kwh Consumption'!M12+'Kwh Consumption'!N12+'Kwh Consumption'!O12+'Kwh Consumption'!P12+'Kwh Consumption'!Q12+'Kwh Consumption'!R12)</f>
        <v>5670.0000000000728</v>
      </c>
      <c r="J11" s="1">
        <f>('Kwh Consumption'!S12+'Kwh Consumption'!T12)</f>
        <v>4699.3300000010058</v>
      </c>
      <c r="K11" s="1">
        <f>'Kwh Consumption'!U12</f>
        <v>219.99999999999886</v>
      </c>
      <c r="L11" s="31">
        <f t="shared" si="0"/>
        <v>7290.669999998544</v>
      </c>
    </row>
    <row r="12" spans="1:12" x14ac:dyDescent="0.25">
      <c r="A12" s="14">
        <f>'Kwh Reading'!A13</f>
        <v>44630</v>
      </c>
      <c r="B12" s="80">
        <f>TOTAL!E11</f>
        <v>21310.00000000131</v>
      </c>
      <c r="C12" s="1">
        <f>'Kwh Consumption'!C13</f>
        <v>540.00000000007731</v>
      </c>
      <c r="D12" s="1">
        <f>'Kwh Consumption'!D13</f>
        <v>2800.0000000001355</v>
      </c>
      <c r="E12" s="1">
        <f>'Kwh Consumption'!E13</f>
        <v>240.00000000000909</v>
      </c>
      <c r="F12" s="1">
        <f>('Kwh Consumption'!F13+'Kwh Consumption'!G13+'Kwh Consumption'!H13)</f>
        <v>1160.0000000000819</v>
      </c>
      <c r="G12" s="16">
        <f>('Kwh Consumption'!I13+'Kwh Consumption'!J13)</f>
        <v>159.99999999999659</v>
      </c>
      <c r="H12" s="1">
        <f>('Kwh Consumption'!K13+'Kwh Consumption'!L13)</f>
        <v>1350.0000000000778</v>
      </c>
      <c r="I12" s="1">
        <f>('Kwh Consumption'!M13+'Kwh Consumption'!N13+'Kwh Consumption'!O13+'Kwh Consumption'!P13+'Kwh Consumption'!Q13+'Kwh Consumption'!R13)</f>
        <v>5429.9999999998363</v>
      </c>
      <c r="J12" s="1">
        <f>('Kwh Consumption'!S13+'Kwh Consumption'!T13)</f>
        <v>4275.1700000008568</v>
      </c>
      <c r="K12" s="1">
        <f>'Kwh Consumption'!U13</f>
        <v>210.00000000000796</v>
      </c>
      <c r="L12" s="31">
        <f t="shared" si="0"/>
        <v>5144.8300000002355</v>
      </c>
    </row>
    <row r="13" spans="1:12" x14ac:dyDescent="0.25">
      <c r="A13" s="14">
        <f>'Kwh Reading'!A14</f>
        <v>44631</v>
      </c>
      <c r="B13" s="80">
        <f>TOTAL!E12</f>
        <v>22349.999999999454</v>
      </c>
      <c r="C13" s="1">
        <f>'Kwh Consumption'!C14</f>
        <v>279.99999999997272</v>
      </c>
      <c r="D13" s="1">
        <f>'Kwh Consumption'!D14</f>
        <v>2899.9999999999027</v>
      </c>
      <c r="E13" s="1">
        <f>'Kwh Consumption'!E14</f>
        <v>250</v>
      </c>
      <c r="F13" s="1">
        <f>('Kwh Consumption'!F14+'Kwh Consumption'!G14+'Kwh Consumption'!H14)</f>
        <v>1059.9999999999454</v>
      </c>
      <c r="G13" s="16">
        <f>('Kwh Consumption'!I14+'Kwh Consumption'!J14)</f>
        <v>139.99999999998636</v>
      </c>
      <c r="H13" s="1">
        <f>('Kwh Consumption'!K14+'Kwh Consumption'!L14)</f>
        <v>1639.9999999998886</v>
      </c>
      <c r="I13" s="1">
        <f>('Kwh Consumption'!M14+'Kwh Consumption'!N14+'Kwh Consumption'!O14+'Kwh Consumption'!P14+'Kwh Consumption'!Q14+'Kwh Consumption'!R14)</f>
        <v>5399.9999999999773</v>
      </c>
      <c r="J13" s="1">
        <f>('Kwh Consumption'!S14+'Kwh Consumption'!T14)</f>
        <v>3962.019999999553</v>
      </c>
      <c r="K13" s="1">
        <f>'Kwh Consumption'!U14</f>
        <v>200.00000000001705</v>
      </c>
      <c r="L13" s="31">
        <f t="shared" si="0"/>
        <v>6517.9800000002151</v>
      </c>
    </row>
    <row r="14" spans="1:12" x14ac:dyDescent="0.25">
      <c r="A14" s="14">
        <f>'Kwh Reading'!A15</f>
        <v>44632</v>
      </c>
      <c r="B14" s="80">
        <f>TOTAL!E13</f>
        <v>23720.000000000255</v>
      </c>
      <c r="C14" s="1">
        <f>'Kwh Consumption'!C15</f>
        <v>549.99999999995453</v>
      </c>
      <c r="D14" s="1">
        <f>'Kwh Consumption'!D15</f>
        <v>2800.0000000001355</v>
      </c>
      <c r="E14" s="1">
        <f>'Kwh Consumption'!E15</f>
        <v>240.00000000000909</v>
      </c>
      <c r="F14" s="1">
        <f>('Kwh Consumption'!F15+'Kwh Consumption'!G15+'Kwh Consumption'!H15)</f>
        <v>1230.0000000000182</v>
      </c>
      <c r="G14" s="16">
        <f>('Kwh Consumption'!I15+'Kwh Consumption'!J15)</f>
        <v>159.99999999999659</v>
      </c>
      <c r="H14" s="1">
        <f>('Kwh Consumption'!K15+'Kwh Consumption'!L15)</f>
        <v>1530.0000000000739</v>
      </c>
      <c r="I14" s="1">
        <f>('Kwh Consumption'!M15+'Kwh Consumption'!N15+'Kwh Consumption'!O15+'Kwh Consumption'!P15+'Kwh Consumption'!Q15+'Kwh Consumption'!R15)</f>
        <v>5670.0000000001864</v>
      </c>
      <c r="J14" s="1">
        <f>('Kwh Consumption'!S15+'Kwh Consumption'!T15)</f>
        <v>4444.5999999986961</v>
      </c>
      <c r="K14" s="1">
        <f>'Kwh Consumption'!U15</f>
        <v>209.99999999997954</v>
      </c>
      <c r="L14" s="31">
        <f t="shared" si="0"/>
        <v>6885.4000000012038</v>
      </c>
    </row>
    <row r="15" spans="1:12" x14ac:dyDescent="0.25">
      <c r="A15" s="14">
        <f>'Kwh Reading'!A16</f>
        <v>44633</v>
      </c>
      <c r="B15" s="80">
        <f>TOTAL!E14</f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44634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44635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44636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44637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44638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44639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44640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44641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44642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44643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44644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44645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44646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44647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44648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44649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44650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44651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278380.00000000099</v>
      </c>
      <c r="C34" s="72">
        <f>SUM(C3:C33)</f>
        <v>5949.9999999999318</v>
      </c>
      <c r="D34" s="72">
        <f t="shared" ref="D34:L34" si="1">SUM(D3:D33)</f>
        <v>33200.000000000335</v>
      </c>
      <c r="E34" s="72">
        <f t="shared" si="1"/>
        <v>3050.0000000000114</v>
      </c>
      <c r="F34" s="72">
        <f t="shared" si="1"/>
        <v>14789.999999999964</v>
      </c>
      <c r="G34" s="72">
        <f t="shared" si="1"/>
        <v>1789.999999999992</v>
      </c>
      <c r="H34" s="72">
        <f t="shared" si="1"/>
        <v>18120.000000000036</v>
      </c>
      <c r="I34" s="72">
        <f t="shared" si="1"/>
        <v>65750.000000000116</v>
      </c>
      <c r="J34" s="72">
        <f t="shared" si="1"/>
        <v>53601.029999998398</v>
      </c>
      <c r="K34" s="72">
        <f t="shared" si="1"/>
        <v>2669.9999999999877</v>
      </c>
      <c r="L34" s="72">
        <f t="shared" si="1"/>
        <v>79458.970000002242</v>
      </c>
      <c r="M34" s="81">
        <f>C34+D34+E34+F34+G34+H34+I34+J34+K34+L34</f>
        <v>278380.00000000105</v>
      </c>
    </row>
    <row r="36" spans="1:13" ht="15.75" x14ac:dyDescent="0.25">
      <c r="A36" s="82" t="s">
        <v>63</v>
      </c>
      <c r="B36" s="125">
        <f>TOTAL!F2</f>
        <v>0.19400000000000001</v>
      </c>
      <c r="C36" s="72">
        <f>C34*B36</f>
        <v>1154.2999999999868</v>
      </c>
      <c r="D36" s="72">
        <f>D34*B36</f>
        <v>6440.8000000000648</v>
      </c>
      <c r="E36" s="72">
        <f>E34*B36</f>
        <v>591.70000000000221</v>
      </c>
      <c r="F36" s="72">
        <f>F34*B36</f>
        <v>2869.2599999999929</v>
      </c>
      <c r="G36" s="72">
        <f>G34*B36</f>
        <v>347.25999999999846</v>
      </c>
      <c r="H36" s="72">
        <f>H34*B36</f>
        <v>3515.280000000007</v>
      </c>
      <c r="I36" s="72">
        <f>I34*B36</f>
        <v>12755.500000000024</v>
      </c>
      <c r="J36" s="72">
        <f>J34*B36</f>
        <v>10398.59981999969</v>
      </c>
      <c r="K36" s="72">
        <f>K34*B36</f>
        <v>517.97999999999763</v>
      </c>
      <c r="L36" s="72">
        <f>L34*B36</f>
        <v>15415.040180000435</v>
      </c>
      <c r="M36" s="81">
        <f>C36+D36+E36+F36+G36+H36+I36+J36+K36+L36</f>
        <v>54005.720000000198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44621</v>
      </c>
      <c r="B3" s="126">
        <f>TOTAL!F2</f>
        <v>0.19400000000000001</v>
      </c>
      <c r="C3" s="11">
        <f>'Kwh Consumption'!B4*' Kwh area wise $ '!B3</f>
        <v>4595.859999999966</v>
      </c>
      <c r="D3" s="1">
        <f>'Kwh Consumption'!C4*' Kwh area wise $ '!B3</f>
        <v>106.69999999999118</v>
      </c>
      <c r="E3" s="1">
        <f>'Kwh Consumption'!D4*' Kwh area wise $ '!B3</f>
        <v>485.00000000007577</v>
      </c>
      <c r="F3" s="1">
        <f>'Kwh Consumption'!E4*' Kwh area wise $ '!B3</f>
        <v>46.560000000001764</v>
      </c>
      <c r="G3" s="1">
        <f>('Kwh Consumption'!F4+'Kwh Consumption'!G4+'Kwh Consumption'!H4)*' Kwh area wise $ '!B3</f>
        <v>265.78000000000088</v>
      </c>
      <c r="H3" s="16">
        <f>('Kwh Consumption'!I4+'Kwh Consumption'!J4)*' Kwh area wise $ '!B3</f>
        <v>29.100000000001103</v>
      </c>
      <c r="I3" s="1">
        <f>('Kwh Consumption'!K4+'Kwh Consumption'!L4)*' Kwh area wise $ '!B3</f>
        <v>285.18000000002047</v>
      </c>
      <c r="J3" s="1">
        <f>('Kwh Consumption'!M4+'Kwh Consumption'!N4+'Kwh Consumption'!O4+'Kwh Consumption'!P4+'Kwh Consumption'!Q4+'Kwh Consumption'!R4)*' Kwh area wise $ '!B3</f>
        <v>1039.8400000000026</v>
      </c>
      <c r="K3" s="31">
        <f>('Kwh Consumption'!S4+'Kwh Consumption'!T4)*' Kwh area wise $ '!B3</f>
        <v>876.52303999984827</v>
      </c>
      <c r="L3" s="1">
        <f>'Kwh Consumption'!U4*' Kwh area wise $ '!B3</f>
        <v>46.560000000001764</v>
      </c>
      <c r="M3" s="31">
        <f>'Kwh Consumption'!V4*' Kwh area wise $ '!B3</f>
        <v>1414.6169600000219</v>
      </c>
    </row>
    <row r="4" spans="1:13" x14ac:dyDescent="0.25">
      <c r="A4" s="14">
        <f>'Kwh Reading'!A5</f>
        <v>44622</v>
      </c>
      <c r="B4" s="126">
        <f>TOTAL!F3</f>
        <v>0.19400000000000001</v>
      </c>
      <c r="C4" s="11">
        <f>'Kwh Consumption'!B5*' Kwh area wise $ '!B4</f>
        <v>4599.7400000003163</v>
      </c>
      <c r="D4" s="1">
        <f>'Kwh Consumption'!C5*' Kwh area wise $ '!B4</f>
        <v>102.81999999999471</v>
      </c>
      <c r="E4" s="1">
        <f>'Kwh Consumption'!D5*' Kwh area wise $ '!B4</f>
        <v>504.39999999994444</v>
      </c>
      <c r="F4" s="1">
        <f>'Kwh Consumption'!E5*' Kwh area wise $ '!B4</f>
        <v>52.379999999996471</v>
      </c>
      <c r="G4" s="1">
        <f>('Kwh Consumption'!F5+'Kwh Consumption'!G5+'Kwh Consumption'!H5)*' Kwh area wise $ '!B4</f>
        <v>234.739999999985</v>
      </c>
      <c r="H4" s="16">
        <f>('Kwh Consumption'!I5+'Kwh Consumption'!J5)*' Kwh area wise $ '!B4</f>
        <v>27.159999999997353</v>
      </c>
      <c r="I4" s="1">
        <f>('Kwh Consumption'!K5+'Kwh Consumption'!L5)*' Kwh area wise $ '!B4</f>
        <v>269.65999999997604</v>
      </c>
      <c r="J4" s="1">
        <f>('Kwh Consumption'!M5+'Kwh Consumption'!N5+'Kwh Consumption'!O5+'Kwh Consumption'!P5+'Kwh Consumption'!Q5+'Kwh Consumption'!R5)*' Kwh area wise $ '!B4</f>
        <v>1041.7800000000009</v>
      </c>
      <c r="K4" s="31">
        <f>('Kwh Consumption'!S5+'Kwh Consumption'!T5)*' Kwh area wise $ '!B4</f>
        <v>859.03976000000728</v>
      </c>
      <c r="L4" s="1">
        <f>'Kwh Consumption'!U5*' Kwh area wise $ '!B4</f>
        <v>44.619999999998015</v>
      </c>
      <c r="M4" s="31">
        <f>'Kwh Consumption'!V5*' Kwh area wise $ '!B4</f>
        <v>1463.1402400004163</v>
      </c>
    </row>
    <row r="5" spans="1:13" x14ac:dyDescent="0.25">
      <c r="A5" s="14">
        <f>'Kwh Reading'!A6</f>
        <v>44623</v>
      </c>
      <c r="B5" s="126">
        <f>TOTAL!F4</f>
        <v>0.19400000000000001</v>
      </c>
      <c r="C5" s="11">
        <f>'Kwh Consumption'!B6*' Kwh area wise $ '!B5</f>
        <v>4436.7799999996259</v>
      </c>
      <c r="D5" s="1">
        <f>'Kwh Consumption'!C6*' Kwh area wise $ '!B5</f>
        <v>104.760000000015</v>
      </c>
      <c r="E5" s="1">
        <f>'Kwh Consumption'!D6*' Kwh area wise $ '!B5</f>
        <v>543.20000000002631</v>
      </c>
      <c r="F5" s="1">
        <f>'Kwh Consumption'!E6*' Kwh area wise $ '!B5</f>
        <v>50.439999999998236</v>
      </c>
      <c r="G5" s="1">
        <f>('Kwh Consumption'!F6+'Kwh Consumption'!G6+'Kwh Consumption'!H6)*' Kwh area wise $ '!B5</f>
        <v>246.37999999999647</v>
      </c>
      <c r="H5" s="16">
        <f>('Kwh Consumption'!I6+'Kwh Consumption'!J6)*' Kwh area wise $ '!B5</f>
        <v>31.040000000004852</v>
      </c>
      <c r="I5" s="1">
        <f>('Kwh Consumption'!K6+'Kwh Consumption'!L6)*' Kwh area wise $ '!B5</f>
        <v>291.00000000001518</v>
      </c>
      <c r="J5" s="1">
        <f>('Kwh Consumption'!M6+'Kwh Consumption'!N6+'Kwh Consumption'!O6+'Kwh Consumption'!P6+'Kwh Consumption'!Q6+'Kwh Consumption'!R6)*' Kwh area wise $ '!B5</f>
        <v>1043.7199999999771</v>
      </c>
      <c r="K5" s="31">
        <f>('Kwh Consumption'!S6+'Kwh Consumption'!T6)*' Kwh area wise $ '!B5</f>
        <v>871.12596000015185</v>
      </c>
      <c r="L5" s="1">
        <f>'Kwh Consumption'!U6*' Kwh area wise $ '!B5</f>
        <v>42.679999999999779</v>
      </c>
      <c r="M5" s="31">
        <f>'Kwh Consumption'!V6*' Kwh area wise $ '!B5</f>
        <v>1212.434039999441</v>
      </c>
    </row>
    <row r="6" spans="1:13" x14ac:dyDescent="0.25">
      <c r="A6" s="14">
        <f>'Kwh Reading'!A7</f>
        <v>44624</v>
      </c>
      <c r="B6" s="126">
        <f>TOTAL!F5</f>
        <v>0.19400000000000001</v>
      </c>
      <c r="C6" s="11">
        <f>'Kwh Consumption'!B7*' Kwh area wise $ '!B6</f>
        <v>4473.6400000002541</v>
      </c>
      <c r="D6" s="1">
        <f>'Kwh Consumption'!C7*' Kwh area wise $ '!B6</f>
        <v>50.439999999998236</v>
      </c>
      <c r="E6" s="1">
        <f>'Kwh Consumption'!D7*' Kwh area wise $ '!B6</f>
        <v>543.20000000002631</v>
      </c>
      <c r="F6" s="1">
        <f>'Kwh Consumption'!E7*' Kwh area wise $ '!B6</f>
        <v>50.440000000009263</v>
      </c>
      <c r="G6" s="1">
        <f>('Kwh Consumption'!F7+'Kwh Consumption'!G7+'Kwh Consumption'!H7)*' Kwh area wise $ '!B6</f>
        <v>225.04000000000485</v>
      </c>
      <c r="H6" s="16">
        <f>('Kwh Consumption'!I7+'Kwh Consumption'!J7)*' Kwh area wise $ '!B6</f>
        <v>27.159999999997353</v>
      </c>
      <c r="I6" s="1">
        <f>('Kwh Consumption'!K7+'Kwh Consumption'!L7)*' Kwh area wise $ '!B6</f>
        <v>269.65999999997604</v>
      </c>
      <c r="J6" s="1">
        <f>('Kwh Consumption'!M7+'Kwh Consumption'!N7+'Kwh Consumption'!O7+'Kwh Consumption'!P7+'Kwh Consumption'!Q7+'Kwh Consumption'!R7)*' Kwh area wise $ '!B6</f>
        <v>1057.3000000000088</v>
      </c>
      <c r="K6" s="31">
        <f>('Kwh Consumption'!S7+'Kwh Consumption'!T7)*' Kwh area wise $ '!B6</f>
        <v>817.9583199998699</v>
      </c>
      <c r="L6" s="1">
        <f>'Kwh Consumption'!U7*' Kwh area wise $ '!B6</f>
        <v>44.619999999998015</v>
      </c>
      <c r="M6" s="31">
        <f>'Kwh Consumption'!V7*' Kwh area wise $ '!B6</f>
        <v>1387.8216800003654</v>
      </c>
    </row>
    <row r="7" spans="1:13" x14ac:dyDescent="0.25">
      <c r="A7" s="14">
        <f>'Kwh Reading'!A8</f>
        <v>44625</v>
      </c>
      <c r="B7" s="126">
        <f>TOTAL!F6</f>
        <v>0.19400000000000001</v>
      </c>
      <c r="C7" s="11">
        <f>'Kwh Consumption'!B8*' Kwh area wise $ '!B7</f>
        <v>4450.359999999966</v>
      </c>
      <c r="D7" s="1">
        <f>'Kwh Consumption'!C8*' Kwh area wise $ '!B7</f>
        <v>104.75999999999294</v>
      </c>
      <c r="E7" s="1">
        <f>'Kwh Consumption'!D8*' Kwh area wise $ '!B7</f>
        <v>523.7999999999854</v>
      </c>
      <c r="F7" s="1">
        <f>'Kwh Consumption'!E8*' Kwh area wise $ '!B7</f>
        <v>50.439999999998236</v>
      </c>
      <c r="G7" s="1">
        <f>('Kwh Consumption'!F8+'Kwh Consumption'!G8+'Kwh Consumption'!H8)*' Kwh area wise $ '!B7</f>
        <v>215.34000000000265</v>
      </c>
      <c r="H7" s="16">
        <f>('Kwh Consumption'!I8+'Kwh Consumption'!J8)*' Kwh area wise $ '!B7</f>
        <v>31.039999999999338</v>
      </c>
      <c r="I7" s="1">
        <f>('Kwh Consumption'!K8+'Kwh Consumption'!L8)*' Kwh area wise $ '!B7</f>
        <v>314.28000000002049</v>
      </c>
      <c r="J7" s="1">
        <f>('Kwh Consumption'!M8+'Kwh Consumption'!N8+'Kwh Consumption'!O8+'Kwh Consumption'!P8+'Kwh Consumption'!Q8+'Kwh Consumption'!R8)*' Kwh area wise $ '!B7</f>
        <v>1068.9400000000203</v>
      </c>
      <c r="K7" s="31">
        <f>('Kwh Consumption'!S8+'Kwh Consumption'!T8)*' Kwh area wise $ '!B7</f>
        <v>874.09415999993496</v>
      </c>
      <c r="L7" s="1">
        <f>'Kwh Consumption'!U8*' Kwh area wise $ '!B7</f>
        <v>46.560000000001764</v>
      </c>
      <c r="M7" s="31">
        <f>'Kwh Consumption'!V8*' Kwh area wise $ '!B7</f>
        <v>1221.1058400000099</v>
      </c>
    </row>
    <row r="8" spans="1:13" x14ac:dyDescent="0.25">
      <c r="A8" s="14">
        <f>'Kwh Reading'!A9</f>
        <v>44626</v>
      </c>
      <c r="B8" s="126">
        <f>TOTAL!F7</f>
        <v>0.19400000000000001</v>
      </c>
      <c r="C8" s="11">
        <f>'Kwh Consumption'!B9*' Kwh area wise $ '!B8</f>
        <v>4442.6000000000622</v>
      </c>
      <c r="D8" s="1">
        <f>'Kwh Consumption'!C9*' Kwh area wise $ '!B8</f>
        <v>114.46000000000618</v>
      </c>
      <c r="E8" s="1">
        <f>'Kwh Consumption'!D9*' Kwh area wise $ '!B8</f>
        <v>543.19999999994025</v>
      </c>
      <c r="F8" s="1">
        <f>'Kwh Consumption'!E9*' Kwh area wise $ '!B8</f>
        <v>48.5</v>
      </c>
      <c r="G8" s="1">
        <f>('Kwh Consumption'!F9+'Kwh Consumption'!G9+'Kwh Consumption'!H9)*' Kwh area wise $ '!B8</f>
        <v>246.3800000000075</v>
      </c>
      <c r="H8" s="16">
        <f>('Kwh Consumption'!I9+'Kwh Consumption'!J9)*' Kwh area wise $ '!B8</f>
        <v>31.039999999999338</v>
      </c>
      <c r="I8" s="1">
        <f>('Kwh Consumption'!K9+'Kwh Consumption'!L9)*' Kwh area wise $ '!B8</f>
        <v>302.63999999997702</v>
      </c>
      <c r="J8" s="1">
        <f>('Kwh Consumption'!M9+'Kwh Consumption'!N9+'Kwh Consumption'!O9+'Kwh Consumption'!P9+'Kwh Consumption'!Q9+'Kwh Consumption'!R9)*' Kwh area wise $ '!B8</f>
        <v>1034.0199999999859</v>
      </c>
      <c r="K8" s="31">
        <f>('Kwh Consumption'!S9+'Kwh Consumption'!T9)*' Kwh area wise $ '!B8</f>
        <v>893.78710000007231</v>
      </c>
      <c r="L8" s="1">
        <f>'Kwh Consumption'!U9*' Kwh area wise $ '!B8</f>
        <v>44.619999999998015</v>
      </c>
      <c r="M8" s="31">
        <f>'Kwh Consumption'!V9*' Kwh area wise $ '!B8</f>
        <v>1183.9529000000759</v>
      </c>
    </row>
    <row r="9" spans="1:13" x14ac:dyDescent="0.25">
      <c r="A9" s="14">
        <f>'Kwh Reading'!A10</f>
        <v>44627</v>
      </c>
      <c r="B9" s="126">
        <f>TOTAL!F8</f>
        <v>0.19400000000000001</v>
      </c>
      <c r="C9" s="11">
        <f>'Kwh Consumption'!B10*' Kwh area wise $ '!B9</f>
        <v>4595.859999999966</v>
      </c>
      <c r="D9" s="1">
        <f>'Kwh Consumption'!C10*' Kwh area wise $ '!B9</f>
        <v>93.120000000003529</v>
      </c>
      <c r="E9" s="1">
        <f>'Kwh Consumption'!D10*' Kwh area wise $ '!B9</f>
        <v>562.60000000006721</v>
      </c>
      <c r="F9" s="1">
        <f>'Kwh Consumption'!E10*' Kwh area wise $ '!B9</f>
        <v>50.439999999998236</v>
      </c>
      <c r="G9" s="1">
        <f>('Kwh Consumption'!F10+'Kwh Consumption'!G10+'Kwh Consumption'!H10)*' Kwh area wise $ '!B9</f>
        <v>267.71999999999912</v>
      </c>
      <c r="H9" s="16">
        <f>('Kwh Consumption'!I10+'Kwh Consumption'!J10)*' Kwh area wise $ '!B9</f>
        <v>23.280000000000882</v>
      </c>
      <c r="I9" s="1">
        <f>('Kwh Consumption'!K10+'Kwh Consumption'!L10)*' Kwh area wise $ '!B9</f>
        <v>306.52000000001652</v>
      </c>
      <c r="J9" s="1">
        <f>('Kwh Consumption'!M10+'Kwh Consumption'!N10+'Kwh Consumption'!O10+'Kwh Consumption'!P10+'Kwh Consumption'!Q10+'Kwh Consumption'!R10)*' Kwh area wise $ '!B9</f>
        <v>1055.3600000000326</v>
      </c>
      <c r="K9" s="31">
        <f>('Kwh Consumption'!S10+'Kwh Consumption'!T10)*' Kwh area wise $ '!B9</f>
        <v>908.16056000004335</v>
      </c>
      <c r="L9" s="1">
        <f>'Kwh Consumption'!U10*' Kwh area wise $ '!B9</f>
        <v>50.440000000003749</v>
      </c>
      <c r="M9" s="31">
        <f>'Kwh Consumption'!V10*' Kwh area wise $ '!B9</f>
        <v>1278.2194399998014</v>
      </c>
    </row>
    <row r="10" spans="1:13" x14ac:dyDescent="0.25">
      <c r="A10" s="14">
        <f>'Kwh Reading'!A11</f>
        <v>44628</v>
      </c>
      <c r="B10" s="126">
        <f>TOTAL!F9</f>
        <v>0.19400000000000001</v>
      </c>
      <c r="C10" s="11">
        <f>'Kwh Consumption'!B11*' Kwh area wise $ '!B10</f>
        <v>4597.7999999999211</v>
      </c>
      <c r="D10" s="1">
        <f>'Kwh Consumption'!C11*' Kwh area wise $ '!B10</f>
        <v>104.75999999999294</v>
      </c>
      <c r="E10" s="1">
        <f>'Kwh Consumption'!D11*' Kwh area wise $ '!B10</f>
        <v>543.19999999994025</v>
      </c>
      <c r="F10" s="1">
        <f>'Kwh Consumption'!E11*' Kwh area wise $ '!B10</f>
        <v>48.5</v>
      </c>
      <c r="G10" s="1">
        <f>('Kwh Consumption'!F11+'Kwh Consumption'!G11+'Kwh Consumption'!H11)*' Kwh area wise $ '!B10</f>
        <v>267.71999999998809</v>
      </c>
      <c r="H10" s="16">
        <f>('Kwh Consumption'!I11+'Kwh Consumption'!J11)*' Kwh area wise $ '!B10</f>
        <v>29.100000000001103</v>
      </c>
      <c r="I10" s="1">
        <f>('Kwh Consumption'!K11+'Kwh Consumption'!L11)*' Kwh area wise $ '!B10</f>
        <v>289.06000000001694</v>
      </c>
      <c r="J10" s="1">
        <f>('Kwh Consumption'!M11+'Kwh Consumption'!N11+'Kwh Consumption'!O11+'Kwh Consumption'!P11+'Kwh Consumption'!Q11+'Kwh Consumption'!R11)*' Kwh area wise $ '!B10</f>
        <v>1113.5599999999797</v>
      </c>
      <c r="K10" s="31">
        <f>('Kwh Consumption'!S11+'Kwh Consumption'!T11)*' Kwh area wise $ '!B10</f>
        <v>925.97363999973982</v>
      </c>
      <c r="L10" s="1">
        <f>'Kwh Consumption'!U11*' Kwh area wise $ '!B10</f>
        <v>34.91999999999581</v>
      </c>
      <c r="M10" s="31">
        <f>'Kwh Consumption'!V11*' Kwh area wise $ '!B10</f>
        <v>1241.0063600002673</v>
      </c>
    </row>
    <row r="11" spans="1:13" x14ac:dyDescent="0.25">
      <c r="A11" s="14">
        <f>'Kwh Reading'!A12</f>
        <v>44629</v>
      </c>
      <c r="B11" s="126">
        <f>TOTAL!F10</f>
        <v>0.19400000000000001</v>
      </c>
      <c r="C11" s="11">
        <f>'Kwh Consumption'!B12*' Kwh area wise $ '!B11</f>
        <v>4741.3599999999224</v>
      </c>
      <c r="D11" s="1">
        <f>'Kwh Consumption'!C12*' Kwh area wise $ '!B11</f>
        <v>106.69999999999118</v>
      </c>
      <c r="E11" s="1">
        <f>'Kwh Consumption'!D12*' Kwh area wise $ '!B11</f>
        <v>543.20000000002631</v>
      </c>
      <c r="F11" s="1">
        <f>'Kwh Consumption'!E12*' Kwh area wise $ '!B11</f>
        <v>52.379999999996471</v>
      </c>
      <c r="G11" s="1">
        <f>('Kwh Consumption'!F12+'Kwh Consumption'!G12+'Kwh Consumption'!H12)*' Kwh area wise $ '!B11</f>
        <v>230.85999999999956</v>
      </c>
      <c r="H11" s="16">
        <f>('Kwh Consumption'!I12+'Kwh Consumption'!J12)*' Kwh area wise $ '!B11</f>
        <v>29.100000000001103</v>
      </c>
      <c r="I11" s="1">
        <f>('Kwh Consumption'!K12+'Kwh Consumption'!L12)*' Kwh area wise $ '!B11</f>
        <v>310.39999999998099</v>
      </c>
      <c r="J11" s="1">
        <f>('Kwh Consumption'!M12+'Kwh Consumption'!N12+'Kwh Consumption'!O12+'Kwh Consumption'!P12+'Kwh Consumption'!Q12+'Kwh Consumption'!R12)*' Kwh area wise $ '!B11</f>
        <v>1099.9800000000141</v>
      </c>
      <c r="K11" s="31">
        <f>('Kwh Consumption'!S12+'Kwh Consumption'!T12)*' Kwh area wise $ '!B11</f>
        <v>911.67002000019511</v>
      </c>
      <c r="L11" s="1">
        <f>'Kwh Consumption'!U12*' Kwh area wise $ '!B11</f>
        <v>42.679999999999779</v>
      </c>
      <c r="M11" s="31">
        <f>'Kwh Consumption'!V12*' Kwh area wise $ '!B11</f>
        <v>1414.3899799997182</v>
      </c>
    </row>
    <row r="12" spans="1:13" x14ac:dyDescent="0.25">
      <c r="A12" s="14">
        <f>'Kwh Reading'!A13</f>
        <v>44630</v>
      </c>
      <c r="B12" s="126">
        <f>TOTAL!F11</f>
        <v>0.19400000000000001</v>
      </c>
      <c r="C12" s="11">
        <f>'Kwh Consumption'!B13*' Kwh area wise $ '!B12</f>
        <v>4134.1400000002541</v>
      </c>
      <c r="D12" s="1">
        <f>'Kwh Consumption'!C13*' Kwh area wise $ '!B12</f>
        <v>104.760000000015</v>
      </c>
      <c r="E12" s="1">
        <f>'Kwh Consumption'!D13*' Kwh area wise $ '!B12</f>
        <v>543.20000000002631</v>
      </c>
      <c r="F12" s="1">
        <f>'Kwh Consumption'!E13*' Kwh area wise $ '!B12</f>
        <v>46.560000000001764</v>
      </c>
      <c r="G12" s="1">
        <f>('Kwh Consumption'!F13+'Kwh Consumption'!G13+'Kwh Consumption'!H13)*' Kwh area wise $ '!B12</f>
        <v>225.04000000001588</v>
      </c>
      <c r="H12" s="16">
        <f>('Kwh Consumption'!I13+'Kwh Consumption'!J13)*' Kwh area wise $ '!B12</f>
        <v>31.039999999999338</v>
      </c>
      <c r="I12" s="1">
        <f>('Kwh Consumption'!K13+'Kwh Consumption'!L13)*' Kwh area wise $ '!B12</f>
        <v>261.9000000000151</v>
      </c>
      <c r="J12" s="1">
        <f>('Kwh Consumption'!M13+'Kwh Consumption'!N13+'Kwh Consumption'!O13+'Kwh Consumption'!P13+'Kwh Consumption'!Q13+'Kwh Consumption'!R13)*' Kwh area wise $ '!B12</f>
        <v>1053.4199999999682</v>
      </c>
      <c r="K12" s="31">
        <f>('Kwh Consumption'!S13+'Kwh Consumption'!T13)*' Kwh area wise $ '!B12</f>
        <v>829.3829800001663</v>
      </c>
      <c r="L12" s="1">
        <f>'Kwh Consumption'!U13*' Kwh area wise $ '!B12</f>
        <v>40.740000000001544</v>
      </c>
      <c r="M12" s="31">
        <f>'Kwh Consumption'!V13*' Kwh area wise $ '!B12</f>
        <v>998.09702000004518</v>
      </c>
    </row>
    <row r="13" spans="1:13" x14ac:dyDescent="0.25">
      <c r="A13" s="14">
        <f>'Kwh Reading'!A14</f>
        <v>44631</v>
      </c>
      <c r="B13" s="126">
        <f>TOTAL!F12</f>
        <v>0.19400000000000001</v>
      </c>
      <c r="C13" s="11">
        <f>'Kwh Consumption'!B14*' Kwh area wise $ '!B13</f>
        <v>4335.8999999998941</v>
      </c>
      <c r="D13" s="1">
        <f>'Kwh Consumption'!C14*' Kwh area wise $ '!B13</f>
        <v>54.319999999994707</v>
      </c>
      <c r="E13" s="1">
        <f>'Kwh Consumption'!D14*' Kwh area wise $ '!B13</f>
        <v>562.59999999998115</v>
      </c>
      <c r="F13" s="1">
        <f>'Kwh Consumption'!E14*' Kwh area wise $ '!B13</f>
        <v>48.5</v>
      </c>
      <c r="G13" s="1">
        <f>('Kwh Consumption'!F14+'Kwh Consumption'!G14+'Kwh Consumption'!H14)*' Kwh area wise $ '!B13</f>
        <v>205.63999999998941</v>
      </c>
      <c r="H13" s="16">
        <f>('Kwh Consumption'!I14+'Kwh Consumption'!J14)*' Kwh area wise $ '!B13</f>
        <v>27.159999999997353</v>
      </c>
      <c r="I13" s="1">
        <f>('Kwh Consumption'!K14+'Kwh Consumption'!L14)*' Kwh area wise $ '!B13</f>
        <v>318.15999999997837</v>
      </c>
      <c r="J13" s="1">
        <f>('Kwh Consumption'!M14+'Kwh Consumption'!N14+'Kwh Consumption'!O14+'Kwh Consumption'!P14+'Kwh Consumption'!Q14+'Kwh Consumption'!R14)*' Kwh area wise $ '!B13</f>
        <v>1047.5999999999956</v>
      </c>
      <c r="K13" s="31">
        <f>('Kwh Consumption'!S14+'Kwh Consumption'!T14)*' Kwh area wise $ '!B13</f>
        <v>768.63187999991328</v>
      </c>
      <c r="L13" s="1">
        <f>'Kwh Consumption'!U14*' Kwh area wise $ '!B13</f>
        <v>38.800000000003308</v>
      </c>
      <c r="M13" s="31">
        <f>'Kwh Consumption'!V14*' Kwh area wise $ '!B13</f>
        <v>1264.4881200000409</v>
      </c>
    </row>
    <row r="14" spans="1:13" x14ac:dyDescent="0.25">
      <c r="A14" s="14">
        <f>'Kwh Reading'!A15</f>
        <v>44632</v>
      </c>
      <c r="B14" s="126">
        <f>TOTAL!F13</f>
        <v>0.19400000000000001</v>
      </c>
      <c r="C14" s="11">
        <f>'Kwh Consumption'!B15*' Kwh area wise $ '!B14</f>
        <v>4601.6800000000494</v>
      </c>
      <c r="D14" s="1">
        <f>'Kwh Consumption'!C15*' Kwh area wise $ '!B14</f>
        <v>106.69999999999118</v>
      </c>
      <c r="E14" s="1">
        <f>'Kwh Consumption'!D15*' Kwh area wise $ '!B14</f>
        <v>543.20000000002631</v>
      </c>
      <c r="F14" s="1">
        <f>'Kwh Consumption'!E15*' Kwh area wise $ '!B14</f>
        <v>46.560000000001764</v>
      </c>
      <c r="G14" s="1">
        <f>('Kwh Consumption'!F15+'Kwh Consumption'!G15+'Kwh Consumption'!H15)*' Kwh area wise $ '!B14</f>
        <v>238.62000000000353</v>
      </c>
      <c r="H14" s="16">
        <f>('Kwh Consumption'!I15+'Kwh Consumption'!J15)*' Kwh area wise $ '!B14</f>
        <v>31.039999999999338</v>
      </c>
      <c r="I14" s="1">
        <f>('Kwh Consumption'!K15+'Kwh Consumption'!L15)*' Kwh area wise $ '!B14</f>
        <v>296.82000000001432</v>
      </c>
      <c r="J14" s="1">
        <f>('Kwh Consumption'!M15+'Kwh Consumption'!N15+'Kwh Consumption'!O15+'Kwh Consumption'!P15+'Kwh Consumption'!Q15+'Kwh Consumption'!R15)*' Kwh area wise $ '!B14</f>
        <v>1099.9800000000362</v>
      </c>
      <c r="K14" s="31">
        <f>('Kwh Consumption'!S15+'Kwh Consumption'!T15)*' Kwh area wise $ '!B14</f>
        <v>862.25239999974713</v>
      </c>
      <c r="L14" s="1">
        <f>'Kwh Consumption'!U15*' Kwh area wise $ '!B14</f>
        <v>40.73999999999603</v>
      </c>
      <c r="M14" s="31">
        <f>'Kwh Consumption'!V15*' Kwh area wise $ '!B14</f>
        <v>1335.7676000002339</v>
      </c>
    </row>
    <row r="15" spans="1:13" x14ac:dyDescent="0.25">
      <c r="A15" s="14">
        <f>'Kwh Reading'!A16</f>
        <v>44633</v>
      </c>
      <c r="B15" s="126">
        <f>TOTAL!F14</f>
        <v>0.19400000000000001</v>
      </c>
      <c r="C15" s="11">
        <f>'Kwh Consumption'!B16*' Kwh area wise $ '!B15</f>
        <v>0</v>
      </c>
      <c r="D15" s="1">
        <v>0</v>
      </c>
      <c r="E15" s="1">
        <v>0</v>
      </c>
      <c r="F15" s="1">
        <v>0</v>
      </c>
      <c r="G15" s="1">
        <v>0</v>
      </c>
      <c r="H15" s="16">
        <v>0</v>
      </c>
      <c r="I15" s="1"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44634</v>
      </c>
      <c r="B16" s="126">
        <f>TOTAL!F15</f>
        <v>0.19400000000000001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44635</v>
      </c>
      <c r="B17" s="126">
        <f>TOTAL!F16</f>
        <v>0.19400000000000001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44636</v>
      </c>
      <c r="B18" s="126">
        <f>TOTAL!F17</f>
        <v>0.19400000000000001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44637</v>
      </c>
      <c r="B19" s="126">
        <f>TOTAL!F18</f>
        <v>0.19400000000000001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44638</v>
      </c>
      <c r="B20" s="126">
        <f>TOTAL!F19</f>
        <v>0.19400000000000001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44639</v>
      </c>
      <c r="B21" s="126">
        <f>TOTAL!F20</f>
        <v>0.19400000000000001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44640</v>
      </c>
      <c r="B22" s="126">
        <f>TOTAL!F21</f>
        <v>0.19400000000000001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44641</v>
      </c>
      <c r="B23" s="126">
        <f>TOTAL!F22</f>
        <v>0.19400000000000001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44642</v>
      </c>
      <c r="B24" s="126">
        <f>TOTAL!F23</f>
        <v>0.19400000000000001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44643</v>
      </c>
      <c r="B25" s="126">
        <f>TOTAL!F24</f>
        <v>0.19400000000000001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44644</v>
      </c>
      <c r="B26" s="126">
        <f>TOTAL!F25</f>
        <v>0.19400000000000001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44645</v>
      </c>
      <c r="B27" s="126">
        <f>TOTAL!F26</f>
        <v>0.19400000000000001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44646</v>
      </c>
      <c r="B28" s="126">
        <f>TOTAL!F27</f>
        <v>0.19400000000000001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44647</v>
      </c>
      <c r="B29" s="126">
        <f>TOTAL!F28</f>
        <v>0.19400000000000001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44648</v>
      </c>
      <c r="B30" s="126">
        <f>TOTAL!F29</f>
        <v>0.19400000000000001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44649</v>
      </c>
      <c r="B31" s="126">
        <f>TOTAL!F30</f>
        <v>0.19400000000000001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44650</v>
      </c>
      <c r="B32" s="126">
        <f>TOTAL!F31</f>
        <v>0.19400000000000001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44651</v>
      </c>
      <c r="B33" s="126">
        <f>TOTAL!F32</f>
        <v>0.19400000000000001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50" t="s">
        <v>52</v>
      </c>
      <c r="B34" s="150"/>
      <c r="C34" s="72">
        <f t="shared" ref="C34:L34" si="0">SUM(C3:C33)</f>
        <v>54005.720000000198</v>
      </c>
      <c r="D34" s="72">
        <f t="shared" si="0"/>
        <v>1154.2999999999868</v>
      </c>
      <c r="E34" s="72">
        <f t="shared" si="0"/>
        <v>6440.8000000000657</v>
      </c>
      <c r="F34" s="72">
        <f t="shared" si="0"/>
        <v>591.70000000000221</v>
      </c>
      <c r="G34" s="72">
        <f t="shared" si="0"/>
        <v>2869.2599999999929</v>
      </c>
      <c r="H34" s="72">
        <f t="shared" si="0"/>
        <v>347.25999999999846</v>
      </c>
      <c r="I34" s="72">
        <f t="shared" si="0"/>
        <v>3515.2800000000075</v>
      </c>
      <c r="J34" s="72">
        <f t="shared" si="0"/>
        <v>12755.500000000022</v>
      </c>
      <c r="K34" s="72">
        <f t="shared" si="0"/>
        <v>10398.599819999688</v>
      </c>
      <c r="L34" s="72">
        <f t="shared" si="0"/>
        <v>517.97999999999752</v>
      </c>
      <c r="M34" s="72">
        <f>SUM(M3:M33)</f>
        <v>15415.040180000435</v>
      </c>
      <c r="N34" s="81">
        <f>D34+E34+F34+G34+H34+I34+J34+K34+L34+M34</f>
        <v>54005.720000000198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E3" activePane="bottomRight" state="frozen"/>
      <selection pane="topRight" activeCell="C25" sqref="C25"/>
      <selection pane="bottomLeft" activeCell="C25" sqref="C25"/>
      <selection pane="bottomRight" activeCell="P22" sqref="P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44621</v>
      </c>
      <c r="B3" s="32">
        <v>212063</v>
      </c>
      <c r="C3" s="32"/>
      <c r="D3" s="32">
        <v>252186</v>
      </c>
      <c r="E3" s="32">
        <v>264216</v>
      </c>
      <c r="F3" s="32">
        <v>67096</v>
      </c>
      <c r="G3" s="32">
        <v>117199</v>
      </c>
      <c r="H3" s="32">
        <v>60762</v>
      </c>
      <c r="I3" s="32">
        <v>71906</v>
      </c>
      <c r="J3" s="32">
        <v>22286</v>
      </c>
      <c r="K3" s="54">
        <v>1024</v>
      </c>
      <c r="L3" s="103">
        <v>18587</v>
      </c>
      <c r="M3" s="103">
        <v>26967</v>
      </c>
      <c r="N3" s="103">
        <v>8395</v>
      </c>
      <c r="O3" s="103">
        <v>1985</v>
      </c>
      <c r="P3" s="103">
        <v>29842</v>
      </c>
      <c r="Q3" s="103">
        <v>1426</v>
      </c>
      <c r="R3" s="103">
        <v>7745</v>
      </c>
    </row>
    <row r="4" spans="1:21" x14ac:dyDescent="0.25">
      <c r="A4" s="52">
        <v>44622</v>
      </c>
      <c r="B4" s="32">
        <v>212269</v>
      </c>
      <c r="C4" s="32"/>
      <c r="D4" s="32">
        <v>252356</v>
      </c>
      <c r="E4" s="32">
        <v>264286</v>
      </c>
      <c r="F4" s="32">
        <v>67096</v>
      </c>
      <c r="G4" s="32">
        <v>117230</v>
      </c>
      <c r="H4" s="32">
        <v>60795</v>
      </c>
      <c r="I4" s="32">
        <v>71940</v>
      </c>
      <c r="J4" s="54">
        <v>22291</v>
      </c>
      <c r="K4" s="54">
        <v>1024</v>
      </c>
      <c r="L4" s="103">
        <v>18589</v>
      </c>
      <c r="M4" s="103">
        <v>26971</v>
      </c>
      <c r="N4" s="103">
        <v>8400</v>
      </c>
      <c r="O4" s="103">
        <v>1986</v>
      </c>
      <c r="P4" s="103">
        <v>29853</v>
      </c>
      <c r="Q4" s="103">
        <v>1428</v>
      </c>
      <c r="R4" s="103">
        <v>7753</v>
      </c>
    </row>
    <row r="5" spans="1:21" x14ac:dyDescent="0.25">
      <c r="A5" s="52">
        <v>44623</v>
      </c>
      <c r="B5" s="32">
        <v>212491</v>
      </c>
      <c r="C5" s="32"/>
      <c r="D5" s="32">
        <v>252563</v>
      </c>
      <c r="E5" s="32">
        <v>264357</v>
      </c>
      <c r="F5" s="32">
        <v>67098</v>
      </c>
      <c r="G5" s="32">
        <v>117258</v>
      </c>
      <c r="H5" s="32">
        <v>60840</v>
      </c>
      <c r="I5" s="32">
        <v>71974</v>
      </c>
      <c r="J5" s="53">
        <v>22296</v>
      </c>
      <c r="K5" s="32">
        <v>1024</v>
      </c>
      <c r="L5" s="103">
        <v>18590</v>
      </c>
      <c r="M5" s="103">
        <v>26975</v>
      </c>
      <c r="N5" s="103">
        <v>8404</v>
      </c>
      <c r="O5" s="103">
        <v>1987</v>
      </c>
      <c r="P5" s="103">
        <v>29864</v>
      </c>
      <c r="Q5" s="103">
        <v>1431</v>
      </c>
      <c r="R5" s="103">
        <v>7761</v>
      </c>
    </row>
    <row r="6" spans="1:21" x14ac:dyDescent="0.25">
      <c r="A6" s="52">
        <v>44624</v>
      </c>
      <c r="B6" s="32">
        <v>212739</v>
      </c>
      <c r="C6" s="32"/>
      <c r="D6" s="32">
        <v>252784</v>
      </c>
      <c r="E6" s="32">
        <v>264440</v>
      </c>
      <c r="F6" s="32">
        <v>67101</v>
      </c>
      <c r="G6" s="32">
        <v>117288</v>
      </c>
      <c r="H6" s="32">
        <v>60882</v>
      </c>
      <c r="I6" s="32">
        <v>72030</v>
      </c>
      <c r="J6" s="54">
        <v>22302</v>
      </c>
      <c r="K6" s="54">
        <v>1024</v>
      </c>
      <c r="L6" s="103">
        <v>18593</v>
      </c>
      <c r="M6" s="103">
        <v>26981</v>
      </c>
      <c r="N6" s="103">
        <v>8408</v>
      </c>
      <c r="O6" s="103">
        <v>1988</v>
      </c>
      <c r="P6" s="103">
        <v>29890</v>
      </c>
      <c r="Q6" s="103">
        <v>1436</v>
      </c>
      <c r="R6" s="103">
        <v>7770</v>
      </c>
    </row>
    <row r="7" spans="1:21" x14ac:dyDescent="0.25">
      <c r="A7" s="52">
        <v>44625</v>
      </c>
      <c r="B7" s="54">
        <v>212943</v>
      </c>
      <c r="C7" s="32"/>
      <c r="D7" s="103">
        <v>252957</v>
      </c>
      <c r="E7" s="103">
        <v>264509</v>
      </c>
      <c r="F7" s="103">
        <v>67103</v>
      </c>
      <c r="G7" s="103">
        <v>117314</v>
      </c>
      <c r="H7" s="103">
        <v>60916</v>
      </c>
      <c r="I7" s="103">
        <v>72057</v>
      </c>
      <c r="J7" s="103">
        <v>22307</v>
      </c>
      <c r="K7" s="103">
        <v>1024</v>
      </c>
      <c r="L7" s="103">
        <v>18595</v>
      </c>
      <c r="M7" s="103">
        <v>26986</v>
      </c>
      <c r="N7" s="103">
        <v>8410</v>
      </c>
      <c r="O7" s="103">
        <v>1989</v>
      </c>
      <c r="P7" s="103">
        <v>29890</v>
      </c>
      <c r="Q7" s="103">
        <v>1439</v>
      </c>
      <c r="R7" s="103">
        <v>7772</v>
      </c>
    </row>
    <row r="8" spans="1:21" x14ac:dyDescent="0.25">
      <c r="A8" s="52">
        <v>44626</v>
      </c>
      <c r="B8" s="32">
        <v>213132</v>
      </c>
      <c r="C8" s="54"/>
      <c r="D8" s="103">
        <v>253097</v>
      </c>
      <c r="E8" s="103">
        <v>264583</v>
      </c>
      <c r="F8" s="103">
        <v>67104</v>
      </c>
      <c r="G8" s="103">
        <v>117339</v>
      </c>
      <c r="H8" s="103">
        <v>60952</v>
      </c>
      <c r="I8" s="103">
        <v>72096</v>
      </c>
      <c r="J8" s="103">
        <v>22312</v>
      </c>
      <c r="K8" s="103">
        <v>1024</v>
      </c>
      <c r="L8" s="103">
        <v>18597</v>
      </c>
      <c r="M8" s="103">
        <v>26994</v>
      </c>
      <c r="N8" s="103">
        <v>8415</v>
      </c>
      <c r="O8" s="103">
        <v>1992</v>
      </c>
      <c r="P8" s="103">
        <v>29901</v>
      </c>
      <c r="Q8" s="103">
        <v>1443</v>
      </c>
      <c r="R8" s="103">
        <v>7779</v>
      </c>
    </row>
    <row r="9" spans="1:21" x14ac:dyDescent="0.25">
      <c r="A9" s="52">
        <v>44627</v>
      </c>
      <c r="B9" s="54">
        <v>213371</v>
      </c>
      <c r="C9" s="32"/>
      <c r="D9" s="103">
        <v>253311</v>
      </c>
      <c r="E9" s="103">
        <v>264655</v>
      </c>
      <c r="F9" s="103">
        <v>67104</v>
      </c>
      <c r="G9" s="103">
        <v>117369</v>
      </c>
      <c r="H9" s="103">
        <v>60992</v>
      </c>
      <c r="I9" s="103">
        <v>72138</v>
      </c>
      <c r="J9" s="103">
        <v>22318</v>
      </c>
      <c r="K9" s="103">
        <v>1024</v>
      </c>
      <c r="L9" s="103">
        <v>18599</v>
      </c>
      <c r="M9" s="103">
        <v>26998</v>
      </c>
      <c r="N9" s="103">
        <v>8421</v>
      </c>
      <c r="O9" s="103">
        <v>1993</v>
      </c>
      <c r="P9" s="103">
        <v>29910</v>
      </c>
      <c r="Q9" s="103">
        <v>1445</v>
      </c>
      <c r="R9" s="103">
        <v>7787</v>
      </c>
    </row>
    <row r="10" spans="1:21" x14ac:dyDescent="0.25">
      <c r="A10" s="52">
        <v>44628</v>
      </c>
      <c r="B10" s="32">
        <v>213589</v>
      </c>
      <c r="C10" s="54"/>
      <c r="D10" s="103">
        <v>253505</v>
      </c>
      <c r="E10" s="103">
        <v>264733</v>
      </c>
      <c r="F10" s="103">
        <v>67104</v>
      </c>
      <c r="G10" s="103">
        <v>117402</v>
      </c>
      <c r="H10" s="103">
        <v>61033</v>
      </c>
      <c r="I10" s="103">
        <v>72177</v>
      </c>
      <c r="J10" s="103">
        <v>22323</v>
      </c>
      <c r="K10" s="103">
        <v>1024</v>
      </c>
      <c r="L10" s="103">
        <v>18601</v>
      </c>
      <c r="M10" s="103">
        <v>27003</v>
      </c>
      <c r="N10" s="103">
        <v>8423</v>
      </c>
      <c r="O10" s="103">
        <v>1994</v>
      </c>
      <c r="P10" s="103">
        <v>29923</v>
      </c>
      <c r="Q10" s="103">
        <v>1449</v>
      </c>
      <c r="R10" s="103">
        <v>7794</v>
      </c>
    </row>
    <row r="11" spans="1:21" x14ac:dyDescent="0.25">
      <c r="A11" s="52">
        <v>44629</v>
      </c>
      <c r="B11" s="54">
        <v>213805</v>
      </c>
      <c r="C11" s="32"/>
      <c r="D11" s="103">
        <v>253694</v>
      </c>
      <c r="E11" s="103">
        <v>264802</v>
      </c>
      <c r="F11" s="103">
        <v>67105</v>
      </c>
      <c r="G11" s="103">
        <v>117435</v>
      </c>
      <c r="H11" s="103">
        <v>61075</v>
      </c>
      <c r="I11" s="103">
        <v>72216</v>
      </c>
      <c r="J11" s="103">
        <v>22329</v>
      </c>
      <c r="K11" s="103">
        <v>1024</v>
      </c>
      <c r="L11" s="103">
        <v>18604</v>
      </c>
      <c r="M11" s="103">
        <v>27008</v>
      </c>
      <c r="N11" s="103">
        <v>8424</v>
      </c>
      <c r="O11" s="103">
        <v>1995</v>
      </c>
      <c r="P11" s="103">
        <v>29938</v>
      </c>
      <c r="Q11" s="103">
        <v>1451</v>
      </c>
      <c r="R11" s="103">
        <v>7803</v>
      </c>
    </row>
    <row r="12" spans="1:21" x14ac:dyDescent="0.25">
      <c r="A12" s="52">
        <v>44630</v>
      </c>
      <c r="B12" s="32">
        <v>213993</v>
      </c>
      <c r="C12" s="54"/>
      <c r="D12" s="103">
        <v>253862</v>
      </c>
      <c r="E12" s="103">
        <v>264875</v>
      </c>
      <c r="F12" s="103">
        <v>67106</v>
      </c>
      <c r="G12" s="103">
        <v>117462</v>
      </c>
      <c r="H12" s="103">
        <v>61112</v>
      </c>
      <c r="I12" s="103">
        <v>72237</v>
      </c>
      <c r="J12" s="103">
        <v>22335</v>
      </c>
      <c r="K12" s="103">
        <v>1024</v>
      </c>
      <c r="L12" s="103">
        <v>18606</v>
      </c>
      <c r="M12" s="103">
        <v>27014</v>
      </c>
      <c r="N12" s="103">
        <v>8427</v>
      </c>
      <c r="O12" s="103">
        <v>1996</v>
      </c>
      <c r="P12" s="103">
        <v>29941</v>
      </c>
      <c r="Q12" s="103">
        <v>1457</v>
      </c>
      <c r="R12" s="103">
        <v>7811</v>
      </c>
    </row>
    <row r="13" spans="1:21" x14ac:dyDescent="0.25">
      <c r="A13" s="52">
        <v>44631</v>
      </c>
      <c r="B13" s="54">
        <v>214186</v>
      </c>
      <c r="C13" s="32"/>
      <c r="D13" s="103">
        <v>254050</v>
      </c>
      <c r="E13" s="103">
        <v>264945</v>
      </c>
      <c r="F13" s="103">
        <v>67106</v>
      </c>
      <c r="G13" s="103">
        <v>117488</v>
      </c>
      <c r="H13" s="103">
        <v>61135</v>
      </c>
      <c r="I13" s="103">
        <v>72276</v>
      </c>
      <c r="J13" s="103">
        <v>22340</v>
      </c>
      <c r="K13" s="103">
        <v>1024</v>
      </c>
      <c r="L13" s="103">
        <v>18608</v>
      </c>
      <c r="M13" s="103">
        <v>27018</v>
      </c>
      <c r="N13" s="103">
        <v>8429</v>
      </c>
      <c r="O13" s="103">
        <v>1998</v>
      </c>
      <c r="P13" s="103">
        <v>29956</v>
      </c>
      <c r="Q13" s="103">
        <v>1457</v>
      </c>
      <c r="R13" s="103">
        <v>7818</v>
      </c>
    </row>
    <row r="14" spans="1:21" x14ac:dyDescent="0.25">
      <c r="A14" s="52">
        <v>44632</v>
      </c>
      <c r="B14" s="32">
        <v>214413</v>
      </c>
      <c r="C14" s="32"/>
      <c r="D14" s="103">
        <v>254243</v>
      </c>
      <c r="E14" s="103">
        <v>265041</v>
      </c>
      <c r="F14" s="103">
        <v>67106</v>
      </c>
      <c r="G14" s="103">
        <v>117511</v>
      </c>
      <c r="H14" s="103">
        <v>61164</v>
      </c>
      <c r="I14" s="103">
        <v>72298</v>
      </c>
      <c r="J14" s="103">
        <v>22346</v>
      </c>
      <c r="K14" s="103">
        <v>1024</v>
      </c>
      <c r="L14" s="103">
        <v>18610</v>
      </c>
      <c r="M14" s="103">
        <v>27023</v>
      </c>
      <c r="N14" s="103">
        <v>8431</v>
      </c>
      <c r="O14" s="103">
        <v>2000</v>
      </c>
      <c r="P14" s="103">
        <v>29956</v>
      </c>
      <c r="Q14" s="103">
        <v>1459</v>
      </c>
      <c r="R14" s="103">
        <v>7819</v>
      </c>
    </row>
    <row r="15" spans="1:21" x14ac:dyDescent="0.25">
      <c r="A15" s="52">
        <v>44633</v>
      </c>
      <c r="B15" s="32">
        <v>214650</v>
      </c>
      <c r="C15" s="32"/>
      <c r="D15" s="103">
        <v>254441</v>
      </c>
      <c r="E15" s="103">
        <v>265117</v>
      </c>
      <c r="F15" s="103">
        <v>67107</v>
      </c>
      <c r="G15" s="103">
        <v>117548</v>
      </c>
      <c r="H15" s="103">
        <v>61208</v>
      </c>
      <c r="I15" s="103">
        <v>72372</v>
      </c>
      <c r="J15" s="103">
        <v>22352</v>
      </c>
      <c r="K15" s="103">
        <v>1024</v>
      </c>
      <c r="L15" s="103">
        <v>18613</v>
      </c>
      <c r="M15" s="103">
        <v>27028</v>
      </c>
      <c r="N15" s="103">
        <v>8434</v>
      </c>
      <c r="O15" s="103">
        <v>2001</v>
      </c>
      <c r="P15" s="103">
        <v>29976</v>
      </c>
      <c r="Q15" s="103">
        <v>1464</v>
      </c>
      <c r="R15" s="103">
        <v>7829</v>
      </c>
      <c r="T15" s="101"/>
      <c r="U15" s="101"/>
    </row>
    <row r="16" spans="1:21" x14ac:dyDescent="0.25">
      <c r="A16" s="52">
        <v>44634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44635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44636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44637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44638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44639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44640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44641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127</v>
      </c>
    </row>
    <row r="24" spans="1:22" x14ac:dyDescent="0.25">
      <c r="A24" s="52">
        <v>44642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</row>
    <row r="25" spans="1:22" x14ac:dyDescent="0.25">
      <c r="A25" s="52">
        <v>44643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44644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44645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44646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44647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44648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44649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44650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44651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44652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P5" sqref="P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5" t="s">
        <v>31</v>
      </c>
      <c r="B2" s="156" t="s">
        <v>108</v>
      </c>
      <c r="C2" s="156" t="s">
        <v>109</v>
      </c>
      <c r="D2" s="156"/>
      <c r="E2" s="157" t="s">
        <v>97</v>
      </c>
      <c r="F2" s="154"/>
      <c r="G2" s="151" t="s">
        <v>112</v>
      </c>
      <c r="H2" s="154"/>
      <c r="I2" s="151" t="s">
        <v>110</v>
      </c>
      <c r="J2" s="154"/>
      <c r="K2" s="151" t="s">
        <v>111</v>
      </c>
      <c r="L2" s="154"/>
      <c r="M2" s="151" t="s">
        <v>107</v>
      </c>
      <c r="N2" s="154"/>
      <c r="O2" s="151" t="s">
        <v>106</v>
      </c>
      <c r="P2" s="154"/>
      <c r="Q2" s="151" t="s">
        <v>113</v>
      </c>
      <c r="R2" s="154"/>
      <c r="S2" s="151" t="s">
        <v>114</v>
      </c>
      <c r="T2" s="154"/>
      <c r="U2" s="151" t="s">
        <v>115</v>
      </c>
      <c r="V2" s="154"/>
      <c r="W2" s="151" t="s">
        <v>99</v>
      </c>
      <c r="X2" s="152"/>
      <c r="Y2" s="153" t="s">
        <v>52</v>
      </c>
      <c r="Z2" s="153"/>
    </row>
    <row r="3" spans="1:26" ht="30" x14ac:dyDescent="0.35">
      <c r="A3" s="155"/>
      <c r="B3" s="156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44621</v>
      </c>
      <c r="B4" s="63">
        <f>TOTAL!I2</f>
        <v>373</v>
      </c>
      <c r="C4" s="64">
        <f>('Water Reading'!B4-'Water Reading'!B3)+('Water Reading'!C4-'Water Reading'!C3)</f>
        <v>206</v>
      </c>
      <c r="D4" s="65">
        <f>C4/B4</f>
        <v>0.55227882037533516</v>
      </c>
      <c r="E4" s="83">
        <f>'Water Reading'!H4-'Water Reading'!H3</f>
        <v>33</v>
      </c>
      <c r="F4" s="84">
        <f>E4/C4</f>
        <v>0.16019417475728157</v>
      </c>
      <c r="G4" s="88">
        <f>('Water Reading'!D4-'Water Reading'!D3)-('Water Reading'!R4-'Water Reading'!R3)-('Water Reading'!Q4-'Water Reading'!Q3)</f>
        <v>160</v>
      </c>
      <c r="H4" s="84">
        <f>G4/C4</f>
        <v>0.77669902912621358</v>
      </c>
      <c r="I4" s="85">
        <f>'Water Reading'!P4-'Water Reading'!P3</f>
        <v>11</v>
      </c>
      <c r="J4" s="66">
        <f>I4/C4</f>
        <v>5.3398058252427182E-2</v>
      </c>
      <c r="K4" s="86">
        <f>('Water Reading'!I4-'Water Reading'!I3)-('Water Reading'!P4-'Water Reading'!P3)</f>
        <v>23</v>
      </c>
      <c r="L4" s="66">
        <f>K4/C4</f>
        <v>0.11165048543689321</v>
      </c>
      <c r="M4" s="85">
        <f>'Water Reading'!R4-'Water Reading'!R3</f>
        <v>8</v>
      </c>
      <c r="N4" s="87">
        <f>M4/C4</f>
        <v>3.8834951456310676E-2</v>
      </c>
      <c r="O4" s="85">
        <f>'Water Reading'!Q4-'Water Reading'!Q3</f>
        <v>2</v>
      </c>
      <c r="P4" s="92">
        <f>O4/C4</f>
        <v>9.7087378640776691E-3</v>
      </c>
      <c r="Q4" s="86">
        <f>'Water Reading'!N4-'Water Reading'!N3</f>
        <v>5</v>
      </c>
      <c r="R4" s="93">
        <f>Q4/C4</f>
        <v>2.4271844660194174E-2</v>
      </c>
      <c r="S4" s="85">
        <v>87</v>
      </c>
      <c r="T4" s="93">
        <f>S4/C4</f>
        <v>0.42233009708737862</v>
      </c>
      <c r="U4" s="85">
        <f>'Water Reading'!O4-'Water Reading'!O3</f>
        <v>1</v>
      </c>
      <c r="V4" s="93">
        <f>U4/C4</f>
        <v>4.8543689320388345E-3</v>
      </c>
      <c r="W4" s="85">
        <f>'Water Reading'!R4-'Water Reading'!R3</f>
        <v>8</v>
      </c>
      <c r="X4" s="93">
        <f>W4/C4</f>
        <v>3.8834951456310676E-2</v>
      </c>
      <c r="Y4" s="64">
        <f t="shared" ref="Y4:Y34" si="0">E4+I4+K4+M4+O4+G4+Q4+S4+U4+W4</f>
        <v>338</v>
      </c>
      <c r="Z4" s="65">
        <f t="shared" ref="Z4:Z35" si="1">Y4/B4</f>
        <v>0.90616621983914214</v>
      </c>
    </row>
    <row r="5" spans="1:26" x14ac:dyDescent="0.25">
      <c r="A5" s="8">
        <f>'Water Reading'!A4</f>
        <v>44622</v>
      </c>
      <c r="B5" s="63">
        <f>TOTAL!I3</f>
        <v>323</v>
      </c>
      <c r="C5" s="64">
        <f>('Water Reading'!B5-'Water Reading'!B4)+('Water Reading'!C5-'Water Reading'!C4)</f>
        <v>222</v>
      </c>
      <c r="D5" s="65">
        <f t="shared" ref="D5:D34" si="2">C5/B5</f>
        <v>0.68730650154798767</v>
      </c>
      <c r="E5" s="83">
        <f>'Water Reading'!H5-'Water Reading'!H4</f>
        <v>45</v>
      </c>
      <c r="F5" s="84">
        <f t="shared" ref="F5:F34" si="3">E5/C5</f>
        <v>0.20270270270270271</v>
      </c>
      <c r="G5" s="88">
        <f>('Water Reading'!D5-'Water Reading'!D4)-('Water Reading'!R5-'Water Reading'!R4)-('Water Reading'!Q5-'Water Reading'!Q4)</f>
        <v>196</v>
      </c>
      <c r="H5" s="84">
        <f t="shared" ref="H5:H34" si="4">G5/C5</f>
        <v>0.88288288288288286</v>
      </c>
      <c r="I5" s="85">
        <f>'Water Reading'!P5-'Water Reading'!P4</f>
        <v>11</v>
      </c>
      <c r="J5" s="66">
        <f t="shared" ref="J5:J34" si="5">I5/C5</f>
        <v>4.954954954954955E-2</v>
      </c>
      <c r="K5" s="86">
        <f>('Water Reading'!I5-'Water Reading'!I4)-('Water Reading'!P5-'Water Reading'!P4)</f>
        <v>23</v>
      </c>
      <c r="L5" s="66">
        <f t="shared" ref="L5:L34" si="6">K5/C5</f>
        <v>0.1036036036036036</v>
      </c>
      <c r="M5" s="85">
        <f>'Water Reading'!R5-'Water Reading'!R4</f>
        <v>8</v>
      </c>
      <c r="N5" s="87">
        <f t="shared" ref="N5:N34" si="7">M5/C5</f>
        <v>3.6036036036036036E-2</v>
      </c>
      <c r="O5" s="85">
        <f>'Water Reading'!Q5-'Water Reading'!Q4</f>
        <v>3</v>
      </c>
      <c r="P5" s="92">
        <f t="shared" ref="P5:P34" si="8">O5/C5</f>
        <v>1.3513513513513514E-2</v>
      </c>
      <c r="Q5" s="86">
        <f>'Water Reading'!N5-'Water Reading'!N4</f>
        <v>4</v>
      </c>
      <c r="R5" s="93">
        <f t="shared" ref="R5:R34" si="9">Q5/C5</f>
        <v>1.8018018018018018E-2</v>
      </c>
      <c r="S5" s="85">
        <f>'Water Reading'!E5-'Water Reading'!E4</f>
        <v>71</v>
      </c>
      <c r="T5" s="93">
        <f t="shared" ref="T5:T34" si="10">S5/C5</f>
        <v>0.31981981981981983</v>
      </c>
      <c r="U5" s="85">
        <f>'Water Reading'!O5-'Water Reading'!O4</f>
        <v>1</v>
      </c>
      <c r="V5" s="93">
        <f t="shared" ref="V5:V34" si="11">U5/C5</f>
        <v>4.5045045045045045E-3</v>
      </c>
      <c r="W5" s="85">
        <f>'Water Reading'!R5-'Water Reading'!R4</f>
        <v>8</v>
      </c>
      <c r="X5" s="93">
        <f t="shared" ref="X5:X34" si="12">W5/C5</f>
        <v>3.6036036036036036E-2</v>
      </c>
      <c r="Y5" s="64">
        <f t="shared" si="0"/>
        <v>370</v>
      </c>
      <c r="Z5" s="65">
        <f t="shared" si="1"/>
        <v>1.1455108359133126</v>
      </c>
    </row>
    <row r="6" spans="1:26" x14ac:dyDescent="0.25">
      <c r="A6" s="8">
        <f>'Water Reading'!A5</f>
        <v>44623</v>
      </c>
      <c r="B6" s="63">
        <f>TOTAL!I4</f>
        <v>353</v>
      </c>
      <c r="C6" s="64">
        <f>('Water Reading'!B6-'Water Reading'!B5)+('Water Reading'!C6-'Water Reading'!C5)</f>
        <v>248</v>
      </c>
      <c r="D6" s="65">
        <f t="shared" si="2"/>
        <v>0.7025495750708215</v>
      </c>
      <c r="E6" s="83">
        <f>'Water Reading'!H6-'Water Reading'!H5</f>
        <v>42</v>
      </c>
      <c r="F6" s="84">
        <f t="shared" si="3"/>
        <v>0.16935483870967741</v>
      </c>
      <c r="G6" s="88">
        <f>('Water Reading'!D6-'Water Reading'!D5)-('Water Reading'!R6-'Water Reading'!R5)-('Water Reading'!Q6-'Water Reading'!Q5)</f>
        <v>207</v>
      </c>
      <c r="H6" s="84">
        <f t="shared" si="4"/>
        <v>0.83467741935483875</v>
      </c>
      <c r="I6" s="85">
        <f>'Water Reading'!P6-'Water Reading'!P5</f>
        <v>26</v>
      </c>
      <c r="J6" s="66">
        <f t="shared" si="5"/>
        <v>0.10483870967741936</v>
      </c>
      <c r="K6" s="86">
        <f>('Water Reading'!I6-'Water Reading'!I5)-('Water Reading'!P6-'Water Reading'!P5)</f>
        <v>30</v>
      </c>
      <c r="L6" s="66">
        <f t="shared" si="6"/>
        <v>0.12096774193548387</v>
      </c>
      <c r="M6" s="85">
        <f>'Water Reading'!R6-'Water Reading'!R5</f>
        <v>9</v>
      </c>
      <c r="N6" s="87">
        <f t="shared" si="7"/>
        <v>3.6290322580645164E-2</v>
      </c>
      <c r="O6" s="85">
        <f>'Water Reading'!Q6-'Water Reading'!Q5</f>
        <v>5</v>
      </c>
      <c r="P6" s="92">
        <f t="shared" si="8"/>
        <v>2.0161290322580645E-2</v>
      </c>
      <c r="Q6" s="86">
        <f>'Water Reading'!N6-'Water Reading'!N5</f>
        <v>4</v>
      </c>
      <c r="R6" s="93">
        <f t="shared" si="9"/>
        <v>1.6129032258064516E-2</v>
      </c>
      <c r="S6" s="85">
        <f>'Water Reading'!E6-'Water Reading'!E5</f>
        <v>83</v>
      </c>
      <c r="T6" s="93">
        <f t="shared" si="10"/>
        <v>0.33467741935483869</v>
      </c>
      <c r="U6" s="85">
        <f>'Water Reading'!O6-'Water Reading'!O5</f>
        <v>1</v>
      </c>
      <c r="V6" s="93">
        <f t="shared" si="11"/>
        <v>4.0322580645161289E-3</v>
      </c>
      <c r="W6" s="85">
        <f>'Water Reading'!R6-'Water Reading'!R5</f>
        <v>9</v>
      </c>
      <c r="X6" s="93">
        <f t="shared" si="12"/>
        <v>3.6290322580645164E-2</v>
      </c>
      <c r="Y6" s="64">
        <f t="shared" si="0"/>
        <v>416</v>
      </c>
      <c r="Z6" s="65">
        <f t="shared" si="1"/>
        <v>1.178470254957507</v>
      </c>
    </row>
    <row r="7" spans="1:26" x14ac:dyDescent="0.25">
      <c r="A7" s="8">
        <f>'Water Reading'!A6</f>
        <v>44624</v>
      </c>
      <c r="B7" s="63">
        <f>TOTAL!I5</f>
        <v>391</v>
      </c>
      <c r="C7" s="64">
        <f>('Water Reading'!B7-'Water Reading'!B6)+('Water Reading'!C7-'Water Reading'!C6)</f>
        <v>204</v>
      </c>
      <c r="D7" s="65">
        <f t="shared" si="2"/>
        <v>0.52173913043478259</v>
      </c>
      <c r="E7" s="83">
        <f>'Water Reading'!H7-'Water Reading'!H6</f>
        <v>34</v>
      </c>
      <c r="F7" s="84">
        <f t="shared" si="3"/>
        <v>0.16666666666666666</v>
      </c>
      <c r="G7" s="88">
        <f>('Water Reading'!D7-'Water Reading'!D6)-('Water Reading'!R7-'Water Reading'!R6)-('Water Reading'!Q7-'Water Reading'!Q6)</f>
        <v>168</v>
      </c>
      <c r="H7" s="84">
        <f t="shared" si="4"/>
        <v>0.82352941176470584</v>
      </c>
      <c r="I7" s="85">
        <f>'Water Reading'!P7-'Water Reading'!P6</f>
        <v>0</v>
      </c>
      <c r="J7" s="66">
        <f t="shared" si="5"/>
        <v>0</v>
      </c>
      <c r="K7" s="86">
        <f>('Water Reading'!I7-'Water Reading'!I6)-('Water Reading'!P7-'Water Reading'!P6)</f>
        <v>27</v>
      </c>
      <c r="L7" s="66">
        <f t="shared" si="6"/>
        <v>0.13235294117647059</v>
      </c>
      <c r="M7" s="85">
        <f>'Water Reading'!R7-'Water Reading'!R6</f>
        <v>2</v>
      </c>
      <c r="N7" s="87">
        <f t="shared" si="7"/>
        <v>9.8039215686274508E-3</v>
      </c>
      <c r="O7" s="85">
        <f>'Water Reading'!Q7-'Water Reading'!Q6</f>
        <v>3</v>
      </c>
      <c r="P7" s="92">
        <f t="shared" si="8"/>
        <v>1.4705882352941176E-2</v>
      </c>
      <c r="Q7" s="86">
        <f>'Water Reading'!N7-'Water Reading'!N6</f>
        <v>2</v>
      </c>
      <c r="R7" s="93">
        <f t="shared" si="9"/>
        <v>9.8039215686274508E-3</v>
      </c>
      <c r="S7" s="85">
        <f>'Water Reading'!E7-'Water Reading'!E6</f>
        <v>69</v>
      </c>
      <c r="T7" s="93">
        <f t="shared" si="10"/>
        <v>0.33823529411764708</v>
      </c>
      <c r="U7" s="85">
        <f>'Water Reading'!O7-'Water Reading'!O6</f>
        <v>1</v>
      </c>
      <c r="V7" s="93">
        <f t="shared" si="11"/>
        <v>4.9019607843137254E-3</v>
      </c>
      <c r="W7" s="85">
        <f>'Water Reading'!R7-'Water Reading'!R6</f>
        <v>2</v>
      </c>
      <c r="X7" s="93">
        <f t="shared" si="12"/>
        <v>9.8039215686274508E-3</v>
      </c>
      <c r="Y7" s="64">
        <f t="shared" si="0"/>
        <v>308</v>
      </c>
      <c r="Z7" s="65">
        <f t="shared" si="1"/>
        <v>0.78772378516624042</v>
      </c>
    </row>
    <row r="8" spans="1:26" x14ac:dyDescent="0.25">
      <c r="A8" s="8">
        <f>'Water Reading'!A7</f>
        <v>44625</v>
      </c>
      <c r="B8" s="63">
        <f>TOTAL!I6</f>
        <v>286</v>
      </c>
      <c r="C8" s="64">
        <f>('Water Reading'!B8-'Water Reading'!B7)+('Water Reading'!C8-'Water Reading'!C7)</f>
        <v>189</v>
      </c>
      <c r="D8" s="65">
        <f t="shared" si="2"/>
        <v>0.66083916083916083</v>
      </c>
      <c r="E8" s="83">
        <f>'Water Reading'!H8-'Water Reading'!H7</f>
        <v>36</v>
      </c>
      <c r="F8" s="84">
        <f t="shared" si="3"/>
        <v>0.19047619047619047</v>
      </c>
      <c r="G8" s="88">
        <f>('Water Reading'!D8-'Water Reading'!D7)-('Water Reading'!R8-'Water Reading'!R7)-('Water Reading'!Q8-'Water Reading'!Q7)</f>
        <v>129</v>
      </c>
      <c r="H8" s="84">
        <f t="shared" si="4"/>
        <v>0.68253968253968256</v>
      </c>
      <c r="I8" s="85">
        <f>'Water Reading'!P8-'Water Reading'!P7</f>
        <v>11</v>
      </c>
      <c r="J8" s="66">
        <f t="shared" si="5"/>
        <v>5.8201058201058198E-2</v>
      </c>
      <c r="K8" s="86">
        <f>('Water Reading'!I8-'Water Reading'!I7)-('Water Reading'!P8-'Water Reading'!P7)</f>
        <v>28</v>
      </c>
      <c r="L8" s="66">
        <f t="shared" si="6"/>
        <v>0.14814814814814814</v>
      </c>
      <c r="M8" s="85">
        <f>'Water Reading'!R8-'Water Reading'!R7</f>
        <v>7</v>
      </c>
      <c r="N8" s="87">
        <f t="shared" si="7"/>
        <v>3.7037037037037035E-2</v>
      </c>
      <c r="O8" s="85">
        <f>'Water Reading'!Q8-'Water Reading'!Q7</f>
        <v>4</v>
      </c>
      <c r="P8" s="92">
        <f t="shared" si="8"/>
        <v>2.1164021164021163E-2</v>
      </c>
      <c r="Q8" s="86">
        <f>'Water Reading'!N8-'Water Reading'!N7</f>
        <v>5</v>
      </c>
      <c r="R8" s="93">
        <f t="shared" si="9"/>
        <v>2.6455026455026454E-2</v>
      </c>
      <c r="S8" s="85">
        <f>'Water Reading'!E8-'Water Reading'!E7</f>
        <v>74</v>
      </c>
      <c r="T8" s="93">
        <f t="shared" si="10"/>
        <v>0.39153439153439151</v>
      </c>
      <c r="U8" s="85">
        <f>'Water Reading'!O8-'Water Reading'!O7</f>
        <v>3</v>
      </c>
      <c r="V8" s="93">
        <f t="shared" si="11"/>
        <v>1.5873015873015872E-2</v>
      </c>
      <c r="W8" s="85">
        <f>'Water Reading'!R8-'Water Reading'!R7</f>
        <v>7</v>
      </c>
      <c r="X8" s="93">
        <f t="shared" si="12"/>
        <v>3.7037037037037035E-2</v>
      </c>
      <c r="Y8" s="64">
        <f t="shared" si="0"/>
        <v>304</v>
      </c>
      <c r="Z8" s="65">
        <f t="shared" si="1"/>
        <v>1.0629370629370629</v>
      </c>
    </row>
    <row r="9" spans="1:26" x14ac:dyDescent="0.25">
      <c r="A9" s="8">
        <f>'Water Reading'!A8</f>
        <v>44626</v>
      </c>
      <c r="B9" s="63">
        <f>TOTAL!I7</f>
        <v>303</v>
      </c>
      <c r="C9" s="64">
        <f>('Water Reading'!B9-'Water Reading'!B8)+('Water Reading'!C9-'Water Reading'!C8)</f>
        <v>239</v>
      </c>
      <c r="D9" s="65">
        <f t="shared" si="2"/>
        <v>0.78877887788778878</v>
      </c>
      <c r="E9" s="83">
        <f>'Water Reading'!H9-'Water Reading'!H8</f>
        <v>40</v>
      </c>
      <c r="F9" s="84">
        <f t="shared" si="3"/>
        <v>0.16736401673640167</v>
      </c>
      <c r="G9" s="88">
        <f>('Water Reading'!D9-'Water Reading'!D8)-('Water Reading'!R9-'Water Reading'!R8)-('Water Reading'!Q9-'Water Reading'!Q8)</f>
        <v>204</v>
      </c>
      <c r="H9" s="84">
        <f t="shared" si="4"/>
        <v>0.85355648535564854</v>
      </c>
      <c r="I9" s="85">
        <f>'Water Reading'!P9-'Water Reading'!P8</f>
        <v>9</v>
      </c>
      <c r="J9" s="66">
        <f t="shared" si="5"/>
        <v>3.7656903765690378E-2</v>
      </c>
      <c r="K9" s="86">
        <f>('Water Reading'!I9-'Water Reading'!I8)-('Water Reading'!P9-'Water Reading'!P8)</f>
        <v>33</v>
      </c>
      <c r="L9" s="66">
        <f t="shared" si="6"/>
        <v>0.13807531380753138</v>
      </c>
      <c r="M9" s="85">
        <f>'Water Reading'!R9-'Water Reading'!R8</f>
        <v>8</v>
      </c>
      <c r="N9" s="87">
        <f t="shared" si="7"/>
        <v>3.3472803347280332E-2</v>
      </c>
      <c r="O9" s="85">
        <f>'Water Reading'!Q9-'Water Reading'!Q8</f>
        <v>2</v>
      </c>
      <c r="P9" s="92">
        <f t="shared" si="8"/>
        <v>8.368200836820083E-3</v>
      </c>
      <c r="Q9" s="86">
        <f>'Water Reading'!N9-'Water Reading'!N8</f>
        <v>6</v>
      </c>
      <c r="R9" s="93">
        <f t="shared" si="9"/>
        <v>2.5104602510460251E-2</v>
      </c>
      <c r="S9" s="85">
        <f>'Water Reading'!E9-'Water Reading'!E8</f>
        <v>72</v>
      </c>
      <c r="T9" s="93">
        <f t="shared" si="10"/>
        <v>0.30125523012552302</v>
      </c>
      <c r="U9" s="85">
        <f>'Water Reading'!O9-'Water Reading'!O8</f>
        <v>1</v>
      </c>
      <c r="V9" s="93">
        <f t="shared" si="11"/>
        <v>4.1841004184100415E-3</v>
      </c>
      <c r="W9" s="85">
        <f>'Water Reading'!R9-'Water Reading'!R8</f>
        <v>8</v>
      </c>
      <c r="X9" s="93">
        <f t="shared" si="12"/>
        <v>3.3472803347280332E-2</v>
      </c>
      <c r="Y9" s="64">
        <f t="shared" si="0"/>
        <v>383</v>
      </c>
      <c r="Z9" s="65">
        <f t="shared" si="1"/>
        <v>1.2640264026402641</v>
      </c>
    </row>
    <row r="10" spans="1:26" x14ac:dyDescent="0.25">
      <c r="A10" s="8">
        <f>'Water Reading'!A9</f>
        <v>44627</v>
      </c>
      <c r="B10" s="63">
        <f>TOTAL!I8</f>
        <v>331</v>
      </c>
      <c r="C10" s="64">
        <f>('Water Reading'!B10-'Water Reading'!B9)+('Water Reading'!C10-'Water Reading'!C9)</f>
        <v>218</v>
      </c>
      <c r="D10" s="65">
        <f t="shared" si="2"/>
        <v>0.65861027190332322</v>
      </c>
      <c r="E10" s="83">
        <f>'Water Reading'!H10-'Water Reading'!H9</f>
        <v>41</v>
      </c>
      <c r="F10" s="84">
        <f t="shared" si="3"/>
        <v>0.18807339449541285</v>
      </c>
      <c r="G10" s="88">
        <f>('Water Reading'!D10-'Water Reading'!D9)-('Water Reading'!R10-'Water Reading'!R9)-('Water Reading'!Q10-'Water Reading'!Q9)</f>
        <v>183</v>
      </c>
      <c r="H10" s="84">
        <f t="shared" si="4"/>
        <v>0.83944954128440363</v>
      </c>
      <c r="I10" s="85">
        <f>'Water Reading'!P10-'Water Reading'!P9</f>
        <v>13</v>
      </c>
      <c r="J10" s="66">
        <f t="shared" si="5"/>
        <v>5.9633027522935783E-2</v>
      </c>
      <c r="K10" s="86">
        <f>('Water Reading'!I10-'Water Reading'!I9)-('Water Reading'!P10-'Water Reading'!P9)</f>
        <v>26</v>
      </c>
      <c r="L10" s="66">
        <f t="shared" si="6"/>
        <v>0.11926605504587157</v>
      </c>
      <c r="M10" s="85">
        <f>'Water Reading'!R10-'Water Reading'!R9</f>
        <v>7</v>
      </c>
      <c r="N10" s="87">
        <f t="shared" si="7"/>
        <v>3.2110091743119268E-2</v>
      </c>
      <c r="O10" s="85">
        <f>'Water Reading'!Q10-'Water Reading'!Q9</f>
        <v>4</v>
      </c>
      <c r="P10" s="92">
        <f t="shared" si="8"/>
        <v>1.834862385321101E-2</v>
      </c>
      <c r="Q10" s="86">
        <f>'Water Reading'!N10-'Water Reading'!N9</f>
        <v>2</v>
      </c>
      <c r="R10" s="93">
        <f t="shared" si="9"/>
        <v>9.1743119266055051E-3</v>
      </c>
      <c r="S10" s="85">
        <f>'Water Reading'!E10-'Water Reading'!E9</f>
        <v>78</v>
      </c>
      <c r="T10" s="93">
        <f t="shared" si="10"/>
        <v>0.3577981651376147</v>
      </c>
      <c r="U10" s="85">
        <f>'Water Reading'!O10-'Water Reading'!O9</f>
        <v>1</v>
      </c>
      <c r="V10" s="93">
        <f t="shared" si="11"/>
        <v>4.5871559633027525E-3</v>
      </c>
      <c r="W10" s="85">
        <f>'Water Reading'!R10-'Water Reading'!R9</f>
        <v>7</v>
      </c>
      <c r="X10" s="93">
        <f t="shared" si="12"/>
        <v>3.2110091743119268E-2</v>
      </c>
      <c r="Y10" s="64">
        <f t="shared" si="0"/>
        <v>362</v>
      </c>
      <c r="Z10" s="65">
        <f t="shared" si="1"/>
        <v>1.0936555891238671</v>
      </c>
    </row>
    <row r="11" spans="1:26" x14ac:dyDescent="0.25">
      <c r="A11" s="8">
        <f>'Water Reading'!A10</f>
        <v>44628</v>
      </c>
      <c r="B11" s="63">
        <f>TOTAL!I9</f>
        <v>341</v>
      </c>
      <c r="C11" s="64">
        <f>('Water Reading'!B11-'Water Reading'!B10)+('Water Reading'!C11-'Water Reading'!C10)</f>
        <v>216</v>
      </c>
      <c r="D11" s="65">
        <f t="shared" si="2"/>
        <v>0.63343108504398826</v>
      </c>
      <c r="E11" s="83">
        <f>'Water Reading'!H11-'Water Reading'!H10</f>
        <v>42</v>
      </c>
      <c r="F11" s="84">
        <f t="shared" si="3"/>
        <v>0.19444444444444445</v>
      </c>
      <c r="G11" s="88">
        <f>('Water Reading'!D11-'Water Reading'!D10)-('Water Reading'!R11-'Water Reading'!R10)-('Water Reading'!Q11-'Water Reading'!Q10)</f>
        <v>178</v>
      </c>
      <c r="H11" s="84">
        <f t="shared" si="4"/>
        <v>0.82407407407407407</v>
      </c>
      <c r="I11" s="85">
        <f>'Water Reading'!P11-'Water Reading'!P10</f>
        <v>15</v>
      </c>
      <c r="J11" s="66">
        <f t="shared" si="5"/>
        <v>6.9444444444444448E-2</v>
      </c>
      <c r="K11" s="86">
        <f>('Water Reading'!I11-'Water Reading'!I10)-('Water Reading'!P11-'Water Reading'!P10)</f>
        <v>24</v>
      </c>
      <c r="L11" s="66">
        <f t="shared" si="6"/>
        <v>0.1111111111111111</v>
      </c>
      <c r="M11" s="85">
        <f>'Water Reading'!R11-'Water Reading'!R10</f>
        <v>9</v>
      </c>
      <c r="N11" s="87">
        <f t="shared" si="7"/>
        <v>4.1666666666666664E-2</v>
      </c>
      <c r="O11" s="85">
        <f>'Water Reading'!Q11-'Water Reading'!Q10</f>
        <v>2</v>
      </c>
      <c r="P11" s="92">
        <f t="shared" si="8"/>
        <v>9.2592592592592587E-3</v>
      </c>
      <c r="Q11" s="86">
        <f>'Water Reading'!N11-'Water Reading'!N10</f>
        <v>1</v>
      </c>
      <c r="R11" s="93">
        <f t="shared" si="9"/>
        <v>4.6296296296296294E-3</v>
      </c>
      <c r="S11" s="85">
        <f>'Water Reading'!E11-'Water Reading'!E10</f>
        <v>69</v>
      </c>
      <c r="T11" s="93">
        <f t="shared" si="10"/>
        <v>0.31944444444444442</v>
      </c>
      <c r="U11" s="85">
        <f>'Water Reading'!O11-'Water Reading'!O10</f>
        <v>1</v>
      </c>
      <c r="V11" s="93">
        <f t="shared" si="11"/>
        <v>4.6296296296296294E-3</v>
      </c>
      <c r="W11" s="85">
        <f>'Water Reading'!R11-'Water Reading'!R10</f>
        <v>9</v>
      </c>
      <c r="X11" s="93">
        <f t="shared" si="12"/>
        <v>4.1666666666666664E-2</v>
      </c>
      <c r="Y11" s="64">
        <f t="shared" si="0"/>
        <v>350</v>
      </c>
      <c r="Z11" s="65">
        <f t="shared" si="1"/>
        <v>1.0263929618768328</v>
      </c>
    </row>
    <row r="12" spans="1:26" x14ac:dyDescent="0.25">
      <c r="A12" s="8">
        <f>'Water Reading'!A11</f>
        <v>44629</v>
      </c>
      <c r="B12" s="63">
        <f>TOTAL!I10</f>
        <v>251</v>
      </c>
      <c r="C12" s="64">
        <f>('Water Reading'!B12-'Water Reading'!B11)+('Water Reading'!C12-'Water Reading'!C11)</f>
        <v>188</v>
      </c>
      <c r="D12" s="65">
        <f t="shared" si="2"/>
        <v>0.74900398406374502</v>
      </c>
      <c r="E12" s="83">
        <f>'Water Reading'!H12-'Water Reading'!H11</f>
        <v>37</v>
      </c>
      <c r="F12" s="84">
        <f t="shared" si="3"/>
        <v>0.19680851063829788</v>
      </c>
      <c r="G12" s="88">
        <f>('Water Reading'!D12-'Water Reading'!D11)-('Water Reading'!R12-'Water Reading'!R11)-('Water Reading'!Q12-'Water Reading'!Q11)</f>
        <v>154</v>
      </c>
      <c r="H12" s="84">
        <f t="shared" si="4"/>
        <v>0.81914893617021278</v>
      </c>
      <c r="I12" s="85">
        <f>'Water Reading'!P12-'Water Reading'!P11</f>
        <v>3</v>
      </c>
      <c r="J12" s="66">
        <f t="shared" si="5"/>
        <v>1.5957446808510637E-2</v>
      </c>
      <c r="K12" s="86">
        <f>('Water Reading'!I12-'Water Reading'!I11)-('Water Reading'!P12-'Water Reading'!P11)</f>
        <v>18</v>
      </c>
      <c r="L12" s="66">
        <f t="shared" si="6"/>
        <v>9.5744680851063829E-2</v>
      </c>
      <c r="M12" s="85">
        <f>'Water Reading'!R12-'Water Reading'!R11</f>
        <v>8</v>
      </c>
      <c r="N12" s="87">
        <f t="shared" si="7"/>
        <v>4.2553191489361701E-2</v>
      </c>
      <c r="O12" s="85">
        <f>'Water Reading'!Q12-'Water Reading'!Q11</f>
        <v>6</v>
      </c>
      <c r="P12" s="92">
        <f t="shared" si="8"/>
        <v>3.1914893617021274E-2</v>
      </c>
      <c r="Q12" s="86">
        <f>'Water Reading'!N12-'Water Reading'!N11</f>
        <v>3</v>
      </c>
      <c r="R12" s="93">
        <f t="shared" si="9"/>
        <v>1.5957446808510637E-2</v>
      </c>
      <c r="S12" s="85">
        <f>'Water Reading'!E12-'Water Reading'!E11</f>
        <v>73</v>
      </c>
      <c r="T12" s="93">
        <f t="shared" si="10"/>
        <v>0.38829787234042551</v>
      </c>
      <c r="U12" s="85">
        <f>'Water Reading'!O12-'Water Reading'!O11</f>
        <v>1</v>
      </c>
      <c r="V12" s="93">
        <f t="shared" si="11"/>
        <v>5.3191489361702126E-3</v>
      </c>
      <c r="W12" s="85">
        <f>'Water Reading'!R12-'Water Reading'!R11</f>
        <v>8</v>
      </c>
      <c r="X12" s="93">
        <f t="shared" si="12"/>
        <v>4.2553191489361701E-2</v>
      </c>
      <c r="Y12" s="64">
        <f t="shared" si="0"/>
        <v>311</v>
      </c>
      <c r="Z12" s="65">
        <f t="shared" si="1"/>
        <v>1.2390438247011952</v>
      </c>
    </row>
    <row r="13" spans="1:26" x14ac:dyDescent="0.25">
      <c r="A13" s="8">
        <f>'Water Reading'!A12</f>
        <v>44630</v>
      </c>
      <c r="B13" s="63">
        <f>TOTAL!I11</f>
        <v>252</v>
      </c>
      <c r="C13" s="64">
        <f>('Water Reading'!B13-'Water Reading'!B12)+('Water Reading'!C13-'Water Reading'!C12)</f>
        <v>193</v>
      </c>
      <c r="D13" s="65">
        <f t="shared" si="2"/>
        <v>0.76587301587301593</v>
      </c>
      <c r="E13" s="83">
        <f>'Water Reading'!H13-'Water Reading'!H12</f>
        <v>23</v>
      </c>
      <c r="F13" s="84">
        <f t="shared" si="3"/>
        <v>0.11917098445595854</v>
      </c>
      <c r="G13" s="88">
        <f>('Water Reading'!D13-'Water Reading'!D12)-('Water Reading'!R13-'Water Reading'!R12)-('Water Reading'!Q13-'Water Reading'!Q12)</f>
        <v>181</v>
      </c>
      <c r="H13" s="84">
        <f t="shared" si="4"/>
        <v>0.93782383419689119</v>
      </c>
      <c r="I13" s="85">
        <f>'Water Reading'!P13-'Water Reading'!P12</f>
        <v>15</v>
      </c>
      <c r="J13" s="66">
        <f t="shared" si="5"/>
        <v>7.7720207253886009E-2</v>
      </c>
      <c r="K13" s="86">
        <f>('Water Reading'!I13-'Water Reading'!I12)-('Water Reading'!P13-'Water Reading'!P12)</f>
        <v>24</v>
      </c>
      <c r="L13" s="66">
        <f t="shared" si="6"/>
        <v>0.12435233160621761</v>
      </c>
      <c r="M13" s="85">
        <f>'Water Reading'!R13-'Water Reading'!R12</f>
        <v>7</v>
      </c>
      <c r="N13" s="87">
        <f t="shared" si="7"/>
        <v>3.6269430051813469E-2</v>
      </c>
      <c r="O13" s="85">
        <f>'Water Reading'!Q13-'Water Reading'!Q12</f>
        <v>0</v>
      </c>
      <c r="P13" s="92">
        <f t="shared" si="8"/>
        <v>0</v>
      </c>
      <c r="Q13" s="86">
        <f>'Water Reading'!N13-'Water Reading'!N12</f>
        <v>2</v>
      </c>
      <c r="R13" s="93">
        <f t="shared" si="9"/>
        <v>1.0362694300518135E-2</v>
      </c>
      <c r="S13" s="85">
        <f>'Water Reading'!E13-'Water Reading'!E12</f>
        <v>70</v>
      </c>
      <c r="T13" s="93">
        <f t="shared" si="10"/>
        <v>0.36269430051813473</v>
      </c>
      <c r="U13" s="85">
        <f>'Water Reading'!O13-'Water Reading'!O12</f>
        <v>2</v>
      </c>
      <c r="V13" s="93">
        <f t="shared" si="11"/>
        <v>1.0362694300518135E-2</v>
      </c>
      <c r="W13" s="85">
        <f>'Water Reading'!R13-'Water Reading'!R12</f>
        <v>7</v>
      </c>
      <c r="X13" s="93">
        <f t="shared" si="12"/>
        <v>3.6269430051813469E-2</v>
      </c>
      <c r="Y13" s="64">
        <f t="shared" si="0"/>
        <v>331</v>
      </c>
      <c r="Z13" s="65">
        <f t="shared" si="1"/>
        <v>1.3134920634920635</v>
      </c>
    </row>
    <row r="14" spans="1:26" x14ac:dyDescent="0.25">
      <c r="A14" s="8">
        <f>'Water Reading'!A13</f>
        <v>44631</v>
      </c>
      <c r="B14" s="63">
        <f>TOTAL!I12</f>
        <v>348</v>
      </c>
      <c r="C14" s="64">
        <f>('Water Reading'!B14-'Water Reading'!B13)+('Water Reading'!C14-'Water Reading'!C13)</f>
        <v>227</v>
      </c>
      <c r="D14" s="65">
        <f t="shared" si="2"/>
        <v>0.6522988505747126</v>
      </c>
      <c r="E14" s="83">
        <f>'Water Reading'!H14-'Water Reading'!H13</f>
        <v>29</v>
      </c>
      <c r="F14" s="84">
        <f t="shared" si="3"/>
        <v>0.1277533039647577</v>
      </c>
      <c r="G14" s="88">
        <f>('Water Reading'!D14-'Water Reading'!D13)-('Water Reading'!R14-'Water Reading'!R13)-('Water Reading'!Q14-'Water Reading'!Q13)</f>
        <v>190</v>
      </c>
      <c r="H14" s="84">
        <f t="shared" si="4"/>
        <v>0.83700440528634357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22</v>
      </c>
      <c r="L14" s="66">
        <f t="shared" si="6"/>
        <v>9.6916299559471369E-2</v>
      </c>
      <c r="M14" s="85">
        <f>'Water Reading'!R14-'Water Reading'!R13</f>
        <v>1</v>
      </c>
      <c r="N14" s="87">
        <f t="shared" si="7"/>
        <v>4.4052863436123352E-3</v>
      </c>
      <c r="O14" s="85">
        <f>'Water Reading'!Q14-'Water Reading'!Q13</f>
        <v>2</v>
      </c>
      <c r="P14" s="92">
        <f t="shared" si="8"/>
        <v>8.8105726872246704E-3</v>
      </c>
      <c r="Q14" s="86">
        <f>'Water Reading'!N14-'Water Reading'!N13</f>
        <v>2</v>
      </c>
      <c r="R14" s="93">
        <f t="shared" si="9"/>
        <v>8.8105726872246704E-3</v>
      </c>
      <c r="S14" s="85">
        <f>'Water Reading'!E14-'Water Reading'!E13</f>
        <v>96</v>
      </c>
      <c r="T14" s="93">
        <f t="shared" si="10"/>
        <v>0.42290748898678415</v>
      </c>
      <c r="U14" s="85">
        <f>'Water Reading'!O14-'Water Reading'!O13</f>
        <v>2</v>
      </c>
      <c r="V14" s="93">
        <f t="shared" si="11"/>
        <v>8.8105726872246704E-3</v>
      </c>
      <c r="W14" s="85">
        <f>'Water Reading'!R14-'Water Reading'!R13</f>
        <v>1</v>
      </c>
      <c r="X14" s="93">
        <f t="shared" si="12"/>
        <v>4.4052863436123352E-3</v>
      </c>
      <c r="Y14" s="64">
        <f t="shared" si="0"/>
        <v>345</v>
      </c>
      <c r="Z14" s="65">
        <f t="shared" si="1"/>
        <v>0.99137931034482762</v>
      </c>
    </row>
    <row r="15" spans="1:26" x14ac:dyDescent="0.25">
      <c r="A15" s="8">
        <f>'Water Reading'!A14</f>
        <v>44632</v>
      </c>
      <c r="B15" s="63">
        <f>TOTAL!I13</f>
        <v>204</v>
      </c>
      <c r="C15" s="64">
        <f>('Water Reading'!B15-'Water Reading'!B14)+('Water Reading'!C15-'Water Reading'!C14)</f>
        <v>237</v>
      </c>
      <c r="D15" s="65">
        <f t="shared" si="2"/>
        <v>1.161764705882353</v>
      </c>
      <c r="E15" s="83">
        <f>'Water Reading'!H15-'Water Reading'!H14</f>
        <v>44</v>
      </c>
      <c r="F15" s="84">
        <f t="shared" si="3"/>
        <v>0.18565400843881857</v>
      </c>
      <c r="G15" s="88">
        <f>('Water Reading'!D15-'Water Reading'!D14)-('Water Reading'!R15-'Water Reading'!R14)-('Water Reading'!Q15-'Water Reading'!Q14)</f>
        <v>183</v>
      </c>
      <c r="H15" s="84">
        <f t="shared" si="4"/>
        <v>0.77215189873417722</v>
      </c>
      <c r="I15" s="85">
        <f>'Water Reading'!P15-'Water Reading'!P14</f>
        <v>20</v>
      </c>
      <c r="J15" s="66">
        <f t="shared" si="5"/>
        <v>8.4388185654008435E-2</v>
      </c>
      <c r="K15" s="86">
        <f>('Water Reading'!I15-'Water Reading'!I14)-('Water Reading'!P15-'Water Reading'!P14)</f>
        <v>54</v>
      </c>
      <c r="L15" s="66">
        <f t="shared" si="6"/>
        <v>0.22784810126582278</v>
      </c>
      <c r="M15" s="85">
        <f>'Water Reading'!R15-'Water Reading'!R14</f>
        <v>10</v>
      </c>
      <c r="N15" s="87">
        <f t="shared" si="7"/>
        <v>4.2194092827004218E-2</v>
      </c>
      <c r="O15" s="85">
        <f>'Water Reading'!Q15-'Water Reading'!Q14</f>
        <v>5</v>
      </c>
      <c r="P15" s="92">
        <f t="shared" si="8"/>
        <v>2.1097046413502109E-2</v>
      </c>
      <c r="Q15" s="86">
        <f>'Water Reading'!N15-'Water Reading'!N14</f>
        <v>3</v>
      </c>
      <c r="R15" s="93">
        <f t="shared" si="9"/>
        <v>1.2658227848101266E-2</v>
      </c>
      <c r="S15" s="85">
        <f>'Water Reading'!E15-'Water Reading'!E14</f>
        <v>76</v>
      </c>
      <c r="T15" s="93">
        <f t="shared" si="10"/>
        <v>0.32067510548523209</v>
      </c>
      <c r="U15" s="85">
        <f>'Water Reading'!O15-'Water Reading'!O14</f>
        <v>1</v>
      </c>
      <c r="V15" s="93">
        <f t="shared" si="11"/>
        <v>4.2194092827004216E-3</v>
      </c>
      <c r="W15" s="85">
        <f>'Water Reading'!R15-'Water Reading'!R14</f>
        <v>10</v>
      </c>
      <c r="X15" s="93">
        <f t="shared" si="12"/>
        <v>4.2194092827004218E-2</v>
      </c>
      <c r="Y15" s="64">
        <f t="shared" si="0"/>
        <v>406</v>
      </c>
      <c r="Z15" s="65">
        <f t="shared" si="1"/>
        <v>1.9901960784313726</v>
      </c>
    </row>
    <row r="16" spans="1:26" x14ac:dyDescent="0.25">
      <c r="A16" s="8">
        <f>'Water Reading'!A15</f>
        <v>44633</v>
      </c>
      <c r="B16" s="63">
        <f>TOTAL!I14</f>
        <v>0</v>
      </c>
      <c r="C16" s="64">
        <f>('Water Reading'!B16-'Water Reading'!B15)+('Water Reading'!C16-'Water Reading'!C15)</f>
        <v>-214650</v>
      </c>
      <c r="D16" s="65" t="e">
        <f t="shared" si="2"/>
        <v>#DIV/0!</v>
      </c>
      <c r="E16" s="83">
        <f>'Water Reading'!H16-'Water Reading'!H15</f>
        <v>-61208</v>
      </c>
      <c r="F16" s="84">
        <f t="shared" si="3"/>
        <v>0.2851525739576054</v>
      </c>
      <c r="G16" s="88">
        <f>('Water Reading'!D16-'Water Reading'!D15)-('Water Reading'!R16-'Water Reading'!R15)-('Water Reading'!Q16-'Water Reading'!Q15)</f>
        <v>-245148</v>
      </c>
      <c r="H16" s="84">
        <f t="shared" si="4"/>
        <v>1.1420824598183088</v>
      </c>
      <c r="I16" s="85">
        <f>'Water Reading'!P16-'Water Reading'!P15</f>
        <v>-29976</v>
      </c>
      <c r="J16" s="66">
        <f t="shared" si="5"/>
        <v>0.13965059399021662</v>
      </c>
      <c r="K16" s="86">
        <f>('Water Reading'!I16-'Water Reading'!I15)-('Water Reading'!P16-'Water Reading'!P15)</f>
        <v>-42396</v>
      </c>
      <c r="L16" s="66">
        <f t="shared" si="6"/>
        <v>0.19751222921034242</v>
      </c>
      <c r="M16" s="85">
        <f>'Water Reading'!R16-'Water Reading'!R15</f>
        <v>-7829</v>
      </c>
      <c r="N16" s="87">
        <f t="shared" si="7"/>
        <v>3.6473328674586539E-2</v>
      </c>
      <c r="O16" s="85">
        <f>'Water Reading'!Q16-'Water Reading'!Q15</f>
        <v>-1464</v>
      </c>
      <c r="P16" s="92">
        <f t="shared" si="8"/>
        <v>6.8204053109713484E-3</v>
      </c>
      <c r="Q16" s="86">
        <f>'Water Reading'!N16-'Water Reading'!N15</f>
        <v>-8434</v>
      </c>
      <c r="R16" s="93">
        <f t="shared" si="9"/>
        <v>3.9291870486839041E-2</v>
      </c>
      <c r="S16" s="85">
        <f>'Water Reading'!E16-'Water Reading'!E15</f>
        <v>-265117</v>
      </c>
      <c r="T16" s="93">
        <f t="shared" si="10"/>
        <v>1.2351129746098299</v>
      </c>
      <c r="U16" s="85">
        <f>'Water Reading'!O16-'Water Reading'!O15</f>
        <v>-2001</v>
      </c>
      <c r="V16" s="93">
        <f t="shared" si="11"/>
        <v>9.3221523410202661E-3</v>
      </c>
      <c r="W16" s="85">
        <f>'Water Reading'!R16-'Water Reading'!R15</f>
        <v>-7829</v>
      </c>
      <c r="X16" s="93">
        <f t="shared" si="12"/>
        <v>3.6473328674586539E-2</v>
      </c>
      <c r="Y16" s="64">
        <f t="shared" si="0"/>
        <v>-671402</v>
      </c>
      <c r="Z16" s="65" t="e">
        <f t="shared" si="1"/>
        <v>#DIV/0!</v>
      </c>
    </row>
    <row r="17" spans="1:26" x14ac:dyDescent="0.25">
      <c r="A17" s="8">
        <f>'Water Reading'!A16</f>
        <v>44634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Reading'!N17-'Water Reading'!N16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Reading'!O17-'Water Reading'!O16</f>
        <v>0</v>
      </c>
      <c r="V17" s="93" t="e">
        <f t="shared" si="11"/>
        <v>#DIV/0!</v>
      </c>
      <c r="W17" s="85">
        <f>'Water Reading'!R17-'Water Reading'!R16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44635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Reading'!N18-'Water Reading'!N17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Reading'!O18-'Water Reading'!O17</f>
        <v>0</v>
      </c>
      <c r="V18" s="93" t="e">
        <f t="shared" si="11"/>
        <v>#DIV/0!</v>
      </c>
      <c r="W18" s="85">
        <f>'Water Reading'!R18-'Water Reading'!R17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44636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Reading'!N19-'Water Reading'!N18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Reading'!O19-'Water Reading'!O18</f>
        <v>0</v>
      </c>
      <c r="V19" s="93" t="e">
        <f t="shared" si="11"/>
        <v>#DIV/0!</v>
      </c>
      <c r="W19" s="85">
        <f>'Water Reading'!R19-'Water Reading'!R18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44637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Reading'!D19)-('Water Reading'!R20-'Water Reading'!R19)-('Water Reading'!Q20-'Water Reading'!Q19)</f>
        <v>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f>'Water Reading'!R20-'Water Reading'!R19</f>
        <v>0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Reading'!N20-'Water Reading'!N19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Reading'!O20-'Water Reading'!O19</f>
        <v>0</v>
      </c>
      <c r="V20" s="93" t="e">
        <f t="shared" si="11"/>
        <v>#DIV/0!</v>
      </c>
      <c r="W20" s="85">
        <f>'Water Reading'!R20-'Water Reading'!R19</f>
        <v>0</v>
      </c>
      <c r="X20" s="93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44638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Reading'!N21-'Water Reading'!N20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Reading'!O21-'Water Reading'!O20</f>
        <v>0</v>
      </c>
      <c r="V21" s="93" t="e">
        <f t="shared" si="11"/>
        <v>#DIV/0!</v>
      </c>
      <c r="W21" s="85">
        <f>'Water Reading'!R21-'Water Reading'!R20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44639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Reading'!N22-'Water Reading'!N21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Reading'!O22-'Water Reading'!O21</f>
        <v>0</v>
      </c>
      <c r="V22" s="93" t="e">
        <f t="shared" si="11"/>
        <v>#DIV/0!</v>
      </c>
      <c r="W22" s="85">
        <f>'Water Reading'!R22-'Water Reading'!R21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44640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Reading'!N23-'Water Reading'!N22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Reading'!O23-'Water Reading'!O22</f>
        <v>0</v>
      </c>
      <c r="V23" s="93" t="e">
        <f t="shared" si="11"/>
        <v>#DIV/0!</v>
      </c>
      <c r="W23" s="85">
        <f>'Water Reading'!R23-'Water Reading'!R22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44641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Reading'!N24-'Water Reading'!N23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Reading'!O24-'Water Reading'!O23</f>
        <v>0</v>
      </c>
      <c r="V24" s="93" t="e">
        <f t="shared" si="11"/>
        <v>#DIV/0!</v>
      </c>
      <c r="W24" s="85">
        <f>'Water Reading'!R24-'Water Reading'!R23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44642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Reading'!N25-'Water Reading'!N24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Reading'!O25-'Water Reading'!O24</f>
        <v>0</v>
      </c>
      <c r="V25" s="93" t="e">
        <f t="shared" si="11"/>
        <v>#DIV/0!</v>
      </c>
      <c r="W25" s="85">
        <f>'Water Reading'!R25-'Water Reading'!R24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44643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Reading'!N26-'Water Reading'!N25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Reading'!O26-'Water Reading'!O25</f>
        <v>0</v>
      </c>
      <c r="V26" s="93" t="e">
        <f t="shared" si="11"/>
        <v>#DIV/0!</v>
      </c>
      <c r="W26" s="85">
        <f>'Water Reading'!R26-'Water Reading'!R25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44644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Reading'!N27-'Water Reading'!N26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Reading'!O27-'Water Reading'!O26</f>
        <v>0</v>
      </c>
      <c r="V27" s="93" t="e">
        <f t="shared" si="11"/>
        <v>#DIV/0!</v>
      </c>
      <c r="W27" s="85">
        <f>'Water Reading'!R27-'Water Reading'!R26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44645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Reading'!N28-'Water Reading'!N27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Reading'!O28-'Water Reading'!O27</f>
        <v>0</v>
      </c>
      <c r="V28" s="93" t="e">
        <f t="shared" si="11"/>
        <v>#DIV/0!</v>
      </c>
      <c r="W28" s="85">
        <f>'Water Reading'!R28-'Water Reading'!R27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44646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Reading'!N29-'Water Reading'!N28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Reading'!O29-'Water Reading'!O28</f>
        <v>0</v>
      </c>
      <c r="V29" s="93" t="e">
        <f t="shared" si="11"/>
        <v>#DIV/0!</v>
      </c>
      <c r="W29" s="85">
        <f>'Water Reading'!R29-'Water Reading'!R28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44647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Reading'!N30-'Water Reading'!N29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Reading'!O30-'Water Reading'!O29</f>
        <v>0</v>
      </c>
      <c r="V30" s="93" t="e">
        <f t="shared" si="11"/>
        <v>#DIV/0!</v>
      </c>
      <c r="W30" s="85">
        <f>'Water Reading'!R30-'Water Reading'!R29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44648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Reading'!N31-'Water Reading'!N30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Reading'!O31-'Water Reading'!O30</f>
        <v>0</v>
      </c>
      <c r="V31" s="93" t="e">
        <f t="shared" si="11"/>
        <v>#DIV/0!</v>
      </c>
      <c r="W31" s="85">
        <f>'Water Reading'!R31-'Water Reading'!R30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44649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Reading'!N32-'Water Reading'!N31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Reading'!O32-'Water Reading'!O31</f>
        <v>0</v>
      </c>
      <c r="V32" s="93" t="e">
        <f t="shared" si="11"/>
        <v>#DIV/0!</v>
      </c>
      <c r="W32" s="85">
        <f>'Water Reading'!R32-'Water Reading'!R31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44650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Reading'!N33-'Water Reading'!N32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Reading'!O33-'Water Reading'!O32</f>
        <v>0</v>
      </c>
      <c r="V33" s="93" t="e">
        <f t="shared" si="11"/>
        <v>#DIV/0!</v>
      </c>
      <c r="W33" s="85">
        <f>'Water Reading'!R33-'Water Reading'!R32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44651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Reading'!N34-'Water Reading'!N33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Reading'!O34-'Water Reading'!O33</f>
        <v>0</v>
      </c>
      <c r="V34" s="93" t="e">
        <f t="shared" si="11"/>
        <v>#DIV/0!</v>
      </c>
      <c r="W34" s="85">
        <f>'Water Reading'!R34-'Water Reading'!R33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1" t="s">
        <v>130</v>
      </c>
      <c r="C35" s="72">
        <f>SUM(C4:C34)</f>
        <v>-212063</v>
      </c>
      <c r="D35" s="90" t="e">
        <f>C35/B35</f>
        <v>#VALUE!</v>
      </c>
      <c r="E35" s="7">
        <f>SUM(E4:E34)</f>
        <v>-60762</v>
      </c>
      <c r="F35" s="89">
        <f>E35/C35</f>
        <v>0.28652806005762438</v>
      </c>
      <c r="G35" s="72">
        <f>SUM(G4:G34)</f>
        <v>-243015</v>
      </c>
      <c r="H35" s="89">
        <f>G35/C35</f>
        <v>1.1459566260969618</v>
      </c>
      <c r="I35" s="7">
        <f>SUM(I4:I34)</f>
        <v>-29842</v>
      </c>
      <c r="J35" s="89">
        <f>I35/C35</f>
        <v>0.14072233251439431</v>
      </c>
      <c r="K35" s="7">
        <f>SUM(K4:K34)</f>
        <v>-42064</v>
      </c>
      <c r="L35" s="89">
        <f>K35/C35</f>
        <v>0.19835614888028558</v>
      </c>
      <c r="M35" s="7">
        <f>SUM(M4:M34)</f>
        <v>-7745</v>
      </c>
      <c r="N35" s="89">
        <f>M35/C35</f>
        <v>3.6522165582869241E-2</v>
      </c>
      <c r="O35" s="7">
        <f>SUM(O4:O34)</f>
        <v>-1426</v>
      </c>
      <c r="P35" s="89">
        <f>O35/C35</f>
        <v>6.7244168006677261E-3</v>
      </c>
      <c r="Q35" s="7">
        <f>SUM(Q4:Q34)</f>
        <v>-8395</v>
      </c>
      <c r="R35" s="89">
        <f>Q35/C35</f>
        <v>3.958729245554387E-2</v>
      </c>
      <c r="S35" s="72">
        <f>SUM(S4:S34)</f>
        <v>-264199</v>
      </c>
      <c r="T35" s="89">
        <f>S35/C35</f>
        <v>1.2458514686673301</v>
      </c>
      <c r="U35" s="7">
        <f>SUM(U4:U34)</f>
        <v>-1985</v>
      </c>
      <c r="V35" s="89">
        <f>U35/C35</f>
        <v>9.3604259111679071E-3</v>
      </c>
      <c r="W35" s="7">
        <f>SUM(W4:W34)</f>
        <v>-7745</v>
      </c>
      <c r="X35" s="89">
        <f>W35/C35</f>
        <v>3.6522165582869241E-2</v>
      </c>
      <c r="Y35" s="72">
        <f>SUM(Y4:Y34)</f>
        <v>-667178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2022-03-15T05:20:13Z</dcterms:modified>
  <cp:category/>
  <cp:contentStatus/>
</cp:coreProperties>
</file>