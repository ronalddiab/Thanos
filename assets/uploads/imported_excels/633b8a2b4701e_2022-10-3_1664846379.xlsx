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6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6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U32" i="8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V32" i="8" s="1"/>
  <c r="S2" i="1"/>
  <c r="P2" i="1"/>
  <c r="M2" i="1"/>
  <c r="J2" i="1"/>
  <c r="G2" i="1"/>
  <c r="D2" i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W32" i="8" l="1"/>
  <c r="T32" i="8"/>
  <c r="S32" i="8"/>
  <c r="AA32" i="8"/>
  <c r="Z32" i="8"/>
  <c r="E32" i="9" s="1"/>
  <c r="AD32" i="8"/>
  <c r="AE32" i="8" s="1"/>
  <c r="P33" i="1"/>
  <c r="M33" i="1"/>
  <c r="D33" i="1"/>
  <c r="T33" i="1"/>
  <c r="U33" i="1" s="1"/>
  <c r="T2" i="1"/>
  <c r="U2" i="1" s="1"/>
  <c r="C3" i="5"/>
  <c r="C5" i="5"/>
  <c r="C33" i="5"/>
  <c r="G32" i="9" s="1"/>
  <c r="Z33" i="4"/>
  <c r="X33" i="4"/>
  <c r="Y33" i="4" s="1"/>
  <c r="Y2" i="4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4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K34" i="4" l="1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AA34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D34" i="1" s="1"/>
  <c r="G16" i="3"/>
  <c r="G17" i="3"/>
  <c r="G16" i="8" s="1"/>
  <c r="G18" i="3"/>
  <c r="G17" i="8" s="1"/>
  <c r="M34" i="1" l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E15" i="9" s="1"/>
  <c r="Z29" i="8"/>
  <c r="E29" i="9" s="1"/>
  <c r="Z25" i="8"/>
  <c r="E25" i="9" s="1"/>
  <c r="Z23" i="8"/>
  <c r="E23" i="9" s="1"/>
  <c r="Z18" i="8"/>
  <c r="E18" i="9" s="1"/>
  <c r="Z16" i="8"/>
  <c r="E16" i="9" s="1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17" i="9" l="1"/>
  <c r="G34" i="3"/>
  <c r="E22" i="9"/>
  <c r="E8" i="9"/>
  <c r="E5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<sst xmlns="http://schemas.openxmlformats.org/spreadsheetml/2006/main" count="513" uniqueCount="151">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</sst>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18" sqref="F1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72466.070703999998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26">
        <v>1.27</v>
      </c>
      <c r="G5" s="36">
        <f>Gas!C6*0.9147</f>
        <v>0</v>
      </c>
      <c r="H5" s="127">
        <v>3.65</v>
      </c>
      <c r="I5" s="129">
        <f>Submetering!H5+Submetering!AD5+Submetering!AE5</f>
        <v>-194</v>
      </c>
      <c r="J5" s="129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6">
        <v>1.27</v>
      </c>
      <c r="G6" s="36">
        <f>Gas!C7*0.9147</f>
        <v>0</v>
      </c>
      <c r="H6" s="127">
        <v>3.65</v>
      </c>
      <c r="I6" s="129">
        <f>Submetering!H6+Submetering!AD6+Submetering!AE6</f>
        <v>-194</v>
      </c>
      <c r="J6" s="129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6">
        <v>1.27</v>
      </c>
      <c r="G7" s="36">
        <f>Gas!C8*0.9147</f>
        <v>0</v>
      </c>
      <c r="H7" s="127">
        <v>3.65</v>
      </c>
      <c r="I7" s="129">
        <f>Submetering!H7+Submetering!AD7+Submetering!AE7</f>
        <v>-194</v>
      </c>
      <c r="J7" s="129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 t="str">
        <f>ELECT.!F6</f>
        <v>0</v>
      </c>
      <c r="J5" s="36" t="str">
        <f>ELECT.!H6</f>
        <v>0</v>
      </c>
      <c r="K5" s="36">
        <f>ELECT.!K6</f>
        <v>0</v>
      </c>
      <c r="L5" s="36" t="str">
        <f>ELECT.!M6</f>
        <v>0</v>
      </c>
      <c r="M5" s="36">
        <f>ELECT.!O6</f>
        <v>0</v>
      </c>
      <c r="N5" s="36" t="str">
        <f>ELECT.!Q6</f>
        <v>0</v>
      </c>
      <c r="O5" s="36" t="str">
        <f>ELECT.!S6</f>
        <v>0</v>
      </c>
      <c r="P5" s="36">
        <f>ELECT.!W6*2</f>
        <v>0</v>
      </c>
      <c r="Q5" s="36">
        <f>ELECT.!D6</f>
        <v>0</v>
      </c>
      <c r="R5" s="129">
        <f>BTU!C6</f>
        <v>0</v>
      </c>
      <c r="S5" s="129">
        <f>BTU!F6</f>
        <v>0</v>
      </c>
      <c r="T5" s="129">
        <f>BTU!I6</f>
        <v>0</v>
      </c>
      <c r="U5" s="129">
        <f>BTU!O6</f>
        <v>0</v>
      </c>
      <c r="V5" s="129">
        <f>BTU!L6</f>
        <v>0</v>
      </c>
      <c r="W5" s="129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29">
        <f>BTU!C7</f>
        <v>0</v>
      </c>
      <c r="S6" s="129">
        <f>BTU!F7</f>
        <v>0</v>
      </c>
      <c r="T6" s="129">
        <f>BTU!I7</f>
        <v>0</v>
      </c>
      <c r="U6" s="129">
        <f>BTU!O7</f>
        <v>0</v>
      </c>
      <c r="V6" s="129">
        <f>BTU!L7</f>
        <v>0</v>
      </c>
      <c r="W6" s="129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f t="shared" ref="P5:P33" si="11">P4</f>
        <v>172472</v>
      </c>
      <c r="Q5" s="14">
        <f t="shared" si="2"/>
        <v>0</v>
      </c>
      <c r="R5" s="1">
        <f>R4</f>
        <v>55047</v>
      </c>
      <c r="S5" s="14">
        <f t="shared" ref="S5:S33" si="12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f t="shared" ref="B5:B33" si="13">B5</f>
        <v>47667</v>
      </c>
      <c r="C6" s="14">
        <f t="shared" si="3"/>
        <v>0</v>
      </c>
      <c r="D6" s="32">
        <f t="shared" ref="D5:D33" si="14">D5</f>
        <v>41023</v>
      </c>
      <c r="E6" s="14">
        <f t="shared" si="4"/>
        <v>0</v>
      </c>
      <c r="F6" s="32">
        <f t="shared" ref="F5:F33" si="15">F5</f>
        <v>22140</v>
      </c>
      <c r="G6" s="14">
        <f t="shared" si="5"/>
        <v>0</v>
      </c>
      <c r="H6" s="32">
        <f t="shared" ref="H5:H33" si="16">H5</f>
        <v>258955</v>
      </c>
      <c r="I6" s="14">
        <f t="shared" si="6"/>
        <v>0</v>
      </c>
      <c r="J6" s="32">
        <f t="shared" ref="J5:J33" si="17">J5</f>
        <v>335882</v>
      </c>
      <c r="K6" s="14">
        <f t="shared" si="7"/>
        <v>0</v>
      </c>
      <c r="L6" s="32">
        <f t="shared" ref="L5:L33" si="18">L5</f>
        <v>26552</v>
      </c>
      <c r="M6" s="14">
        <f t="shared" si="8"/>
        <v>0</v>
      </c>
      <c r="N6" s="32">
        <f t="shared" ref="N5:N33" si="19">N5</f>
        <v>226435</v>
      </c>
      <c r="O6" s="14">
        <f t="shared" si="9"/>
        <v>0</v>
      </c>
      <c r="P6" s="32">
        <f t="shared" si="11"/>
        <v>172472</v>
      </c>
      <c r="Q6" s="14">
        <f t="shared" si="2"/>
        <v>0</v>
      </c>
      <c r="R6" s="1">
        <f t="shared" ref="R6:R33" si="20">R5</f>
        <v>55047</v>
      </c>
      <c r="S6" s="14">
        <v>0</v>
      </c>
      <c r="T6" s="32">
        <f t="shared" ref="T5:T33" si="21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f t="shared" si="13"/>
        <v>47667</v>
      </c>
      <c r="C7" s="14">
        <f t="shared" si="3"/>
        <v>0</v>
      </c>
      <c r="D7" s="32">
        <f t="shared" si="14"/>
        <v>41023</v>
      </c>
      <c r="E7" s="14">
        <f t="shared" si="4"/>
        <v>0</v>
      </c>
      <c r="F7" s="32">
        <f t="shared" si="15"/>
        <v>22140</v>
      </c>
      <c r="G7" s="14">
        <f t="shared" si="5"/>
        <v>0</v>
      </c>
      <c r="H7" s="32">
        <f t="shared" si="16"/>
        <v>258955</v>
      </c>
      <c r="I7" s="14">
        <f t="shared" si="6"/>
        <v>0</v>
      </c>
      <c r="J7" s="32">
        <f t="shared" si="17"/>
        <v>335882</v>
      </c>
      <c r="K7" s="14">
        <f t="shared" si="7"/>
        <v>0</v>
      </c>
      <c r="L7" s="32">
        <f t="shared" si="18"/>
        <v>26552</v>
      </c>
      <c r="M7" s="14">
        <f t="shared" si="8"/>
        <v>0</v>
      </c>
      <c r="N7" s="32">
        <f t="shared" si="19"/>
        <v>226435</v>
      </c>
      <c r="O7" s="14">
        <f t="shared" si="9"/>
        <v>0</v>
      </c>
      <c r="P7" s="32">
        <f t="shared" si="11"/>
        <v>172472</v>
      </c>
      <c r="Q7" s="14">
        <f t="shared" si="2"/>
        <v>0</v>
      </c>
      <c r="R7" s="1">
        <f t="shared" si="20"/>
        <v>55047</v>
      </c>
      <c r="S7" s="14">
        <v>0</v>
      </c>
      <c r="T7" s="32">
        <f t="shared" si="21"/>
        <v>4065</v>
      </c>
      <c r="U7" s="14">
        <f t="shared" si="10"/>
        <v>0</v>
      </c>
    </row>
    <row r="8" spans="1:24" ht="13.5" thickBot="1" x14ac:dyDescent="0.25">
      <c r="A8" s="9">
        <v>44840</v>
      </c>
      <c r="B8" s="32">
        <f t="shared" si="13"/>
        <v>47667</v>
      </c>
      <c r="C8" s="14">
        <f t="shared" si="3"/>
        <v>0</v>
      </c>
      <c r="D8" s="32">
        <f t="shared" si="14"/>
        <v>41023</v>
      </c>
      <c r="E8" s="14">
        <f t="shared" si="4"/>
        <v>0</v>
      </c>
      <c r="F8" s="32">
        <f t="shared" si="15"/>
        <v>22140</v>
      </c>
      <c r="G8" s="14">
        <f t="shared" si="5"/>
        <v>0</v>
      </c>
      <c r="H8" s="32">
        <f t="shared" si="16"/>
        <v>258955</v>
      </c>
      <c r="I8" s="14">
        <f t="shared" si="6"/>
        <v>0</v>
      </c>
      <c r="J8" s="32">
        <f t="shared" si="17"/>
        <v>335882</v>
      </c>
      <c r="K8" s="14">
        <f t="shared" si="7"/>
        <v>0</v>
      </c>
      <c r="L8" s="32">
        <f t="shared" si="18"/>
        <v>26552</v>
      </c>
      <c r="M8" s="14">
        <f t="shared" si="8"/>
        <v>0</v>
      </c>
      <c r="N8" s="32">
        <f t="shared" si="19"/>
        <v>226435</v>
      </c>
      <c r="O8" s="14">
        <f t="shared" si="9"/>
        <v>0</v>
      </c>
      <c r="P8" s="32">
        <f t="shared" si="11"/>
        <v>172472</v>
      </c>
      <c r="Q8" s="14">
        <f t="shared" si="2"/>
        <v>0</v>
      </c>
      <c r="R8" s="1">
        <f t="shared" si="20"/>
        <v>55047</v>
      </c>
      <c r="S8" s="14">
        <f>R8-R7</f>
        <v>0</v>
      </c>
      <c r="T8" s="32">
        <f t="shared" si="21"/>
        <v>4065</v>
      </c>
      <c r="U8" s="14">
        <f t="shared" si="10"/>
        <v>0</v>
      </c>
    </row>
    <row r="9" spans="1:24" ht="13.5" thickBot="1" x14ac:dyDescent="0.25">
      <c r="A9" s="9">
        <v>44841</v>
      </c>
      <c r="B9" s="32">
        <f t="shared" si="13"/>
        <v>47667</v>
      </c>
      <c r="C9" s="14">
        <f t="shared" si="3"/>
        <v>0</v>
      </c>
      <c r="D9" s="32">
        <f t="shared" si="14"/>
        <v>41023</v>
      </c>
      <c r="E9" s="14">
        <f t="shared" si="4"/>
        <v>0</v>
      </c>
      <c r="F9" s="32">
        <f t="shared" si="15"/>
        <v>22140</v>
      </c>
      <c r="G9" s="14">
        <f t="shared" si="5"/>
        <v>0</v>
      </c>
      <c r="H9" s="32">
        <f t="shared" si="16"/>
        <v>258955</v>
      </c>
      <c r="I9" s="14">
        <f t="shared" si="6"/>
        <v>0</v>
      </c>
      <c r="J9" s="32">
        <f t="shared" si="17"/>
        <v>335882</v>
      </c>
      <c r="K9" s="14">
        <f t="shared" si="7"/>
        <v>0</v>
      </c>
      <c r="L9" s="32">
        <f t="shared" si="18"/>
        <v>26552</v>
      </c>
      <c r="M9" s="14">
        <f t="shared" si="8"/>
        <v>0</v>
      </c>
      <c r="N9" s="32">
        <f t="shared" si="19"/>
        <v>226435</v>
      </c>
      <c r="O9" s="14">
        <f t="shared" si="9"/>
        <v>0</v>
      </c>
      <c r="P9" s="32">
        <f t="shared" si="11"/>
        <v>172472</v>
      </c>
      <c r="Q9" s="14">
        <f t="shared" si="2"/>
        <v>0</v>
      </c>
      <c r="R9" s="1">
        <f t="shared" si="20"/>
        <v>55047</v>
      </c>
      <c r="S9" s="14">
        <f>R9-R8</f>
        <v>0</v>
      </c>
      <c r="T9" s="32">
        <f t="shared" si="21"/>
        <v>4065</v>
      </c>
      <c r="U9" s="14">
        <f t="shared" si="10"/>
        <v>0</v>
      </c>
    </row>
    <row r="10" spans="1:24" ht="13.5" thickBot="1" x14ac:dyDescent="0.25">
      <c r="A10" s="9">
        <v>44842</v>
      </c>
      <c r="B10" s="32">
        <f t="shared" si="13"/>
        <v>47667</v>
      </c>
      <c r="C10" s="14">
        <f t="shared" si="3"/>
        <v>0</v>
      </c>
      <c r="D10" s="32">
        <f t="shared" si="14"/>
        <v>41023</v>
      </c>
      <c r="E10" s="14">
        <f t="shared" si="4"/>
        <v>0</v>
      </c>
      <c r="F10" s="32">
        <f t="shared" si="15"/>
        <v>22140</v>
      </c>
      <c r="G10" s="14">
        <f t="shared" si="5"/>
        <v>0</v>
      </c>
      <c r="H10" s="32">
        <f t="shared" si="16"/>
        <v>258955</v>
      </c>
      <c r="I10" s="14">
        <f t="shared" si="6"/>
        <v>0</v>
      </c>
      <c r="J10" s="32">
        <f t="shared" si="17"/>
        <v>335882</v>
      </c>
      <c r="K10" s="14">
        <f t="shared" si="7"/>
        <v>0</v>
      </c>
      <c r="L10" s="32">
        <f t="shared" si="18"/>
        <v>26552</v>
      </c>
      <c r="M10" s="14">
        <f t="shared" si="8"/>
        <v>0</v>
      </c>
      <c r="N10" s="32">
        <f t="shared" si="19"/>
        <v>226435</v>
      </c>
      <c r="O10" s="14">
        <f t="shared" si="9"/>
        <v>0</v>
      </c>
      <c r="P10" s="32">
        <f t="shared" si="11"/>
        <v>172472</v>
      </c>
      <c r="Q10" s="14">
        <f t="shared" si="2"/>
        <v>0</v>
      </c>
      <c r="R10" s="1">
        <f t="shared" si="20"/>
        <v>55047</v>
      </c>
      <c r="S10" s="14">
        <f>R10-R9</f>
        <v>0</v>
      </c>
      <c r="T10" s="32">
        <f t="shared" si="21"/>
        <v>4065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si="13"/>
        <v>47667</v>
      </c>
      <c r="C11" s="14">
        <f t="shared" si="3"/>
        <v>0</v>
      </c>
      <c r="D11" s="32">
        <f t="shared" si="14"/>
        <v>41023</v>
      </c>
      <c r="E11" s="14">
        <f t="shared" si="4"/>
        <v>0</v>
      </c>
      <c r="F11" s="32">
        <f t="shared" si="15"/>
        <v>22140</v>
      </c>
      <c r="G11" s="14">
        <f t="shared" si="5"/>
        <v>0</v>
      </c>
      <c r="H11" s="32">
        <f t="shared" si="16"/>
        <v>258955</v>
      </c>
      <c r="I11" s="14">
        <f t="shared" si="6"/>
        <v>0</v>
      </c>
      <c r="J11" s="32">
        <f t="shared" si="17"/>
        <v>335882</v>
      </c>
      <c r="K11" s="14">
        <f t="shared" si="7"/>
        <v>0</v>
      </c>
      <c r="L11" s="32">
        <f t="shared" si="18"/>
        <v>26552</v>
      </c>
      <c r="M11" s="14">
        <f t="shared" si="8"/>
        <v>0</v>
      </c>
      <c r="N11" s="32">
        <f t="shared" si="19"/>
        <v>226435</v>
      </c>
      <c r="O11" s="14">
        <f t="shared" si="9"/>
        <v>0</v>
      </c>
      <c r="P11" s="32">
        <f t="shared" si="11"/>
        <v>172472</v>
      </c>
      <c r="Q11" s="14">
        <f t="shared" si="2"/>
        <v>0</v>
      </c>
      <c r="R11" s="1">
        <f t="shared" si="20"/>
        <v>55047</v>
      </c>
      <c r="S11" s="14">
        <f t="shared" si="12"/>
        <v>0</v>
      </c>
      <c r="T11" s="32">
        <f t="shared" si="21"/>
        <v>4065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3"/>
        <v>47667</v>
      </c>
      <c r="C12" s="14">
        <f t="shared" si="3"/>
        <v>0</v>
      </c>
      <c r="D12" s="32">
        <f t="shared" si="14"/>
        <v>41023</v>
      </c>
      <c r="E12" s="14">
        <f t="shared" si="4"/>
        <v>0</v>
      </c>
      <c r="F12" s="32">
        <f t="shared" si="15"/>
        <v>22140</v>
      </c>
      <c r="G12" s="14">
        <f t="shared" si="5"/>
        <v>0</v>
      </c>
      <c r="H12" s="32">
        <f t="shared" si="16"/>
        <v>258955</v>
      </c>
      <c r="I12" s="14">
        <f t="shared" si="6"/>
        <v>0</v>
      </c>
      <c r="J12" s="32">
        <f t="shared" si="17"/>
        <v>335882</v>
      </c>
      <c r="K12" s="14">
        <f t="shared" si="7"/>
        <v>0</v>
      </c>
      <c r="L12" s="32">
        <f t="shared" si="18"/>
        <v>26552</v>
      </c>
      <c r="M12" s="14">
        <f t="shared" si="8"/>
        <v>0</v>
      </c>
      <c r="N12" s="32">
        <f t="shared" si="19"/>
        <v>226435</v>
      </c>
      <c r="O12" s="14">
        <f t="shared" si="9"/>
        <v>0</v>
      </c>
      <c r="P12" s="32">
        <f t="shared" si="11"/>
        <v>172472</v>
      </c>
      <c r="Q12" s="14">
        <f t="shared" si="2"/>
        <v>0</v>
      </c>
      <c r="R12" s="1">
        <f t="shared" si="20"/>
        <v>55047</v>
      </c>
      <c r="S12" s="14">
        <f t="shared" si="12"/>
        <v>0</v>
      </c>
      <c r="T12" s="32">
        <f t="shared" si="21"/>
        <v>4065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3"/>
        <v>47667</v>
      </c>
      <c r="C13" s="14">
        <f t="shared" si="3"/>
        <v>0</v>
      </c>
      <c r="D13" s="32">
        <f t="shared" si="14"/>
        <v>41023</v>
      </c>
      <c r="E13" s="14">
        <f t="shared" si="4"/>
        <v>0</v>
      </c>
      <c r="F13" s="32">
        <f t="shared" si="15"/>
        <v>22140</v>
      </c>
      <c r="G13" s="14">
        <f t="shared" si="5"/>
        <v>0</v>
      </c>
      <c r="H13" s="32">
        <f t="shared" si="16"/>
        <v>258955</v>
      </c>
      <c r="I13" s="14">
        <f t="shared" si="6"/>
        <v>0</v>
      </c>
      <c r="J13" s="32">
        <f t="shared" si="17"/>
        <v>335882</v>
      </c>
      <c r="K13" s="14">
        <f t="shared" si="7"/>
        <v>0</v>
      </c>
      <c r="L13" s="32">
        <f t="shared" si="18"/>
        <v>26552</v>
      </c>
      <c r="M13" s="14">
        <f t="shared" si="8"/>
        <v>0</v>
      </c>
      <c r="N13" s="32">
        <f t="shared" si="19"/>
        <v>226435</v>
      </c>
      <c r="O13" s="14">
        <f t="shared" si="9"/>
        <v>0</v>
      </c>
      <c r="P13" s="32">
        <f t="shared" si="11"/>
        <v>172472</v>
      </c>
      <c r="Q13" s="14">
        <f t="shared" si="2"/>
        <v>0</v>
      </c>
      <c r="R13" s="1">
        <f t="shared" si="20"/>
        <v>55047</v>
      </c>
      <c r="S13" s="14">
        <f t="shared" si="12"/>
        <v>0</v>
      </c>
      <c r="T13" s="32">
        <f t="shared" si="21"/>
        <v>4065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3"/>
        <v>47667</v>
      </c>
      <c r="C14" s="14">
        <f t="shared" si="3"/>
        <v>0</v>
      </c>
      <c r="D14" s="32">
        <f t="shared" si="14"/>
        <v>41023</v>
      </c>
      <c r="E14" s="14">
        <f t="shared" si="4"/>
        <v>0</v>
      </c>
      <c r="F14" s="32">
        <f t="shared" si="15"/>
        <v>22140</v>
      </c>
      <c r="G14" s="14">
        <f t="shared" si="5"/>
        <v>0</v>
      </c>
      <c r="H14" s="32">
        <f t="shared" si="16"/>
        <v>258955</v>
      </c>
      <c r="I14" s="14">
        <f t="shared" si="6"/>
        <v>0</v>
      </c>
      <c r="J14" s="32">
        <f t="shared" si="17"/>
        <v>335882</v>
      </c>
      <c r="K14" s="14">
        <f t="shared" si="7"/>
        <v>0</v>
      </c>
      <c r="L14" s="32">
        <f t="shared" si="18"/>
        <v>26552</v>
      </c>
      <c r="M14" s="14">
        <f t="shared" si="8"/>
        <v>0</v>
      </c>
      <c r="N14" s="32">
        <f t="shared" si="19"/>
        <v>226435</v>
      </c>
      <c r="O14" s="14">
        <f t="shared" si="9"/>
        <v>0</v>
      </c>
      <c r="P14" s="32">
        <f t="shared" si="11"/>
        <v>172472</v>
      </c>
      <c r="Q14" s="14">
        <f t="shared" si="2"/>
        <v>0</v>
      </c>
      <c r="R14" s="1">
        <f t="shared" si="20"/>
        <v>55047</v>
      </c>
      <c r="S14" s="14">
        <v>0</v>
      </c>
      <c r="T14" s="32">
        <f t="shared" si="21"/>
        <v>4065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3"/>
        <v>47667</v>
      </c>
      <c r="C15" s="14">
        <f t="shared" si="3"/>
        <v>0</v>
      </c>
      <c r="D15" s="32">
        <f t="shared" si="14"/>
        <v>41023</v>
      </c>
      <c r="E15" s="14">
        <f t="shared" si="4"/>
        <v>0</v>
      </c>
      <c r="F15" s="32">
        <f t="shared" si="15"/>
        <v>22140</v>
      </c>
      <c r="G15" s="14">
        <f t="shared" si="5"/>
        <v>0</v>
      </c>
      <c r="H15" s="32">
        <f t="shared" si="16"/>
        <v>258955</v>
      </c>
      <c r="I15" s="14">
        <f t="shared" si="6"/>
        <v>0</v>
      </c>
      <c r="J15" s="32">
        <f t="shared" si="17"/>
        <v>335882</v>
      </c>
      <c r="K15" s="14">
        <f t="shared" si="7"/>
        <v>0</v>
      </c>
      <c r="L15" s="32">
        <f t="shared" si="18"/>
        <v>26552</v>
      </c>
      <c r="M15" s="14">
        <f t="shared" si="8"/>
        <v>0</v>
      </c>
      <c r="N15" s="32">
        <f t="shared" si="19"/>
        <v>226435</v>
      </c>
      <c r="O15" s="14">
        <f t="shared" si="9"/>
        <v>0</v>
      </c>
      <c r="P15" s="32">
        <f t="shared" si="11"/>
        <v>172472</v>
      </c>
      <c r="Q15" s="14">
        <f t="shared" si="2"/>
        <v>0</v>
      </c>
      <c r="R15" s="1">
        <v>55047</v>
      </c>
      <c r="S15" s="14">
        <v>0</v>
      </c>
      <c r="T15" s="32">
        <f t="shared" si="21"/>
        <v>4065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3"/>
        <v>47667</v>
      </c>
      <c r="C16" s="14">
        <f t="shared" si="3"/>
        <v>0</v>
      </c>
      <c r="D16" s="32">
        <f t="shared" si="14"/>
        <v>41023</v>
      </c>
      <c r="E16" s="14">
        <f t="shared" si="4"/>
        <v>0</v>
      </c>
      <c r="F16" s="32">
        <f t="shared" si="15"/>
        <v>22140</v>
      </c>
      <c r="G16" s="14">
        <f t="shared" si="5"/>
        <v>0</v>
      </c>
      <c r="H16" s="32">
        <f t="shared" si="16"/>
        <v>258955</v>
      </c>
      <c r="I16" s="14">
        <f t="shared" si="6"/>
        <v>0</v>
      </c>
      <c r="J16" s="32">
        <f t="shared" si="17"/>
        <v>335882</v>
      </c>
      <c r="K16" s="14">
        <f t="shared" si="7"/>
        <v>0</v>
      </c>
      <c r="L16" s="32">
        <f t="shared" si="18"/>
        <v>26552</v>
      </c>
      <c r="M16" s="14">
        <f t="shared" si="8"/>
        <v>0</v>
      </c>
      <c r="N16" s="32">
        <f t="shared" si="19"/>
        <v>226435</v>
      </c>
      <c r="O16" s="14">
        <f t="shared" si="9"/>
        <v>0</v>
      </c>
      <c r="P16" s="32">
        <f t="shared" si="11"/>
        <v>172472</v>
      </c>
      <c r="Q16" s="14">
        <f t="shared" si="2"/>
        <v>0</v>
      </c>
      <c r="R16" s="1">
        <f t="shared" si="20"/>
        <v>55047</v>
      </c>
      <c r="S16" s="14">
        <f t="shared" si="12"/>
        <v>0</v>
      </c>
      <c r="T16" s="32">
        <f t="shared" si="21"/>
        <v>4065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3"/>
        <v>47667</v>
      </c>
      <c r="C17" s="14">
        <f t="shared" si="3"/>
        <v>0</v>
      </c>
      <c r="D17" s="32">
        <f t="shared" si="14"/>
        <v>41023</v>
      </c>
      <c r="E17" s="14">
        <f t="shared" si="4"/>
        <v>0</v>
      </c>
      <c r="F17" s="32">
        <f t="shared" si="15"/>
        <v>22140</v>
      </c>
      <c r="G17" s="14">
        <f t="shared" si="5"/>
        <v>0</v>
      </c>
      <c r="H17" s="32">
        <f t="shared" si="16"/>
        <v>258955</v>
      </c>
      <c r="I17" s="14">
        <f t="shared" si="6"/>
        <v>0</v>
      </c>
      <c r="J17" s="32">
        <f t="shared" si="17"/>
        <v>335882</v>
      </c>
      <c r="K17" s="14">
        <f t="shared" si="7"/>
        <v>0</v>
      </c>
      <c r="L17" s="32">
        <f t="shared" si="18"/>
        <v>26552</v>
      </c>
      <c r="M17" s="14">
        <f t="shared" si="8"/>
        <v>0</v>
      </c>
      <c r="N17" s="32">
        <f t="shared" si="19"/>
        <v>226435</v>
      </c>
      <c r="O17" s="14">
        <f t="shared" si="9"/>
        <v>0</v>
      </c>
      <c r="P17" s="32">
        <f t="shared" si="11"/>
        <v>172472</v>
      </c>
      <c r="Q17" s="14">
        <f t="shared" si="2"/>
        <v>0</v>
      </c>
      <c r="R17" s="1">
        <f t="shared" si="20"/>
        <v>55047</v>
      </c>
      <c r="S17" s="14">
        <f>S16</f>
        <v>0</v>
      </c>
      <c r="T17" s="32">
        <f t="shared" si="21"/>
        <v>4065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3"/>
        <v>47667</v>
      </c>
      <c r="C18" s="14">
        <f t="shared" si="3"/>
        <v>0</v>
      </c>
      <c r="D18" s="32">
        <f t="shared" si="14"/>
        <v>41023</v>
      </c>
      <c r="E18" s="14">
        <f t="shared" si="4"/>
        <v>0</v>
      </c>
      <c r="F18" s="32">
        <f t="shared" si="15"/>
        <v>22140</v>
      </c>
      <c r="G18" s="14">
        <f t="shared" si="5"/>
        <v>0</v>
      </c>
      <c r="H18" s="32">
        <f t="shared" si="16"/>
        <v>258955</v>
      </c>
      <c r="I18" s="14">
        <f t="shared" si="6"/>
        <v>0</v>
      </c>
      <c r="J18" s="32">
        <f t="shared" si="17"/>
        <v>335882</v>
      </c>
      <c r="K18" s="14">
        <f t="shared" si="7"/>
        <v>0</v>
      </c>
      <c r="L18" s="32">
        <f t="shared" si="18"/>
        <v>26552</v>
      </c>
      <c r="M18" s="14">
        <f t="shared" si="8"/>
        <v>0</v>
      </c>
      <c r="N18" s="32">
        <f t="shared" si="19"/>
        <v>226435</v>
      </c>
      <c r="O18" s="14">
        <f t="shared" si="9"/>
        <v>0</v>
      </c>
      <c r="P18" s="32">
        <f t="shared" si="11"/>
        <v>172472</v>
      </c>
      <c r="Q18" s="14">
        <f t="shared" si="2"/>
        <v>0</v>
      </c>
      <c r="R18" s="1">
        <f t="shared" si="20"/>
        <v>55047</v>
      </c>
      <c r="S18" s="14">
        <f t="shared" si="12"/>
        <v>0</v>
      </c>
      <c r="T18" s="32">
        <f t="shared" si="21"/>
        <v>4065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3"/>
        <v>47667</v>
      </c>
      <c r="C19" s="14">
        <f t="shared" si="3"/>
        <v>0</v>
      </c>
      <c r="D19" s="32">
        <f t="shared" si="14"/>
        <v>41023</v>
      </c>
      <c r="E19" s="14">
        <f t="shared" si="4"/>
        <v>0</v>
      </c>
      <c r="F19" s="32">
        <f t="shared" si="15"/>
        <v>22140</v>
      </c>
      <c r="G19" s="14">
        <f t="shared" si="5"/>
        <v>0</v>
      </c>
      <c r="H19" s="32">
        <f t="shared" si="16"/>
        <v>258955</v>
      </c>
      <c r="I19" s="14">
        <f t="shared" si="6"/>
        <v>0</v>
      </c>
      <c r="J19" s="32">
        <f t="shared" si="17"/>
        <v>335882</v>
      </c>
      <c r="K19" s="14">
        <f t="shared" si="7"/>
        <v>0</v>
      </c>
      <c r="L19" s="32">
        <f t="shared" si="18"/>
        <v>26552</v>
      </c>
      <c r="M19" s="14">
        <f t="shared" si="8"/>
        <v>0</v>
      </c>
      <c r="N19" s="32">
        <f t="shared" si="19"/>
        <v>226435</v>
      </c>
      <c r="O19" s="14">
        <f t="shared" si="9"/>
        <v>0</v>
      </c>
      <c r="P19" s="32">
        <f t="shared" si="11"/>
        <v>172472</v>
      </c>
      <c r="Q19" s="14">
        <v>0</v>
      </c>
      <c r="R19" s="1">
        <f t="shared" si="20"/>
        <v>55047</v>
      </c>
      <c r="S19" s="14">
        <f t="shared" si="12"/>
        <v>0</v>
      </c>
      <c r="T19" s="32">
        <f t="shared" si="21"/>
        <v>4065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3"/>
        <v>47667</v>
      </c>
      <c r="C20" s="14">
        <f t="shared" si="3"/>
        <v>0</v>
      </c>
      <c r="D20" s="32">
        <f t="shared" si="14"/>
        <v>41023</v>
      </c>
      <c r="E20" s="14">
        <f t="shared" si="4"/>
        <v>0</v>
      </c>
      <c r="F20" s="32">
        <f t="shared" si="15"/>
        <v>22140</v>
      </c>
      <c r="G20" s="14">
        <f t="shared" si="5"/>
        <v>0</v>
      </c>
      <c r="H20" s="32">
        <f t="shared" si="16"/>
        <v>258955</v>
      </c>
      <c r="I20" s="14">
        <f t="shared" si="6"/>
        <v>0</v>
      </c>
      <c r="J20" s="32">
        <f t="shared" si="17"/>
        <v>335882</v>
      </c>
      <c r="K20" s="14">
        <f t="shared" si="7"/>
        <v>0</v>
      </c>
      <c r="L20" s="32">
        <f t="shared" si="18"/>
        <v>26552</v>
      </c>
      <c r="M20" s="14">
        <f t="shared" si="8"/>
        <v>0</v>
      </c>
      <c r="N20" s="32">
        <f t="shared" si="19"/>
        <v>226435</v>
      </c>
      <c r="O20" s="14">
        <f t="shared" si="9"/>
        <v>0</v>
      </c>
      <c r="P20" s="32">
        <f t="shared" si="11"/>
        <v>172472</v>
      </c>
      <c r="Q20" s="14">
        <f t="shared" si="2"/>
        <v>0</v>
      </c>
      <c r="R20" s="1">
        <v>55047</v>
      </c>
      <c r="S20" s="14">
        <f t="shared" si="12"/>
        <v>0</v>
      </c>
      <c r="T20" s="32">
        <f t="shared" si="21"/>
        <v>4065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3"/>
        <v>47667</v>
      </c>
      <c r="C21" s="14">
        <f t="shared" si="3"/>
        <v>0</v>
      </c>
      <c r="D21" s="32">
        <f t="shared" si="14"/>
        <v>41023</v>
      </c>
      <c r="E21" s="14">
        <f t="shared" si="4"/>
        <v>0</v>
      </c>
      <c r="F21" s="32">
        <f t="shared" si="15"/>
        <v>22140</v>
      </c>
      <c r="G21" s="14">
        <f t="shared" si="5"/>
        <v>0</v>
      </c>
      <c r="H21" s="32">
        <f t="shared" si="16"/>
        <v>258955</v>
      </c>
      <c r="I21" s="14">
        <f t="shared" si="6"/>
        <v>0</v>
      </c>
      <c r="J21" s="32">
        <f t="shared" si="17"/>
        <v>335882</v>
      </c>
      <c r="K21" s="14">
        <f t="shared" si="7"/>
        <v>0</v>
      </c>
      <c r="L21" s="32">
        <f t="shared" si="18"/>
        <v>26552</v>
      </c>
      <c r="M21" s="14">
        <f t="shared" si="8"/>
        <v>0</v>
      </c>
      <c r="N21" s="32">
        <f t="shared" si="19"/>
        <v>226435</v>
      </c>
      <c r="O21" s="14">
        <f t="shared" si="9"/>
        <v>0</v>
      </c>
      <c r="P21" s="32">
        <f t="shared" si="11"/>
        <v>172472</v>
      </c>
      <c r="Q21" s="14">
        <f t="shared" si="2"/>
        <v>0</v>
      </c>
      <c r="R21" s="1">
        <f t="shared" si="20"/>
        <v>55047</v>
      </c>
      <c r="S21" s="14">
        <f t="shared" si="12"/>
        <v>0</v>
      </c>
      <c r="T21" s="32">
        <f t="shared" si="21"/>
        <v>4065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3"/>
        <v>47667</v>
      </c>
      <c r="C22" s="14">
        <f t="shared" si="3"/>
        <v>0</v>
      </c>
      <c r="D22" s="32">
        <f t="shared" si="14"/>
        <v>41023</v>
      </c>
      <c r="E22" s="14">
        <f t="shared" si="4"/>
        <v>0</v>
      </c>
      <c r="F22" s="32">
        <f t="shared" si="15"/>
        <v>22140</v>
      </c>
      <c r="G22" s="14">
        <f t="shared" si="5"/>
        <v>0</v>
      </c>
      <c r="H22" s="32">
        <f t="shared" si="16"/>
        <v>258955</v>
      </c>
      <c r="I22" s="14">
        <f t="shared" si="6"/>
        <v>0</v>
      </c>
      <c r="J22" s="32">
        <f t="shared" si="17"/>
        <v>335882</v>
      </c>
      <c r="K22" s="14">
        <f t="shared" si="7"/>
        <v>0</v>
      </c>
      <c r="L22" s="32">
        <f t="shared" si="18"/>
        <v>26552</v>
      </c>
      <c r="M22" s="14">
        <f t="shared" si="8"/>
        <v>0</v>
      </c>
      <c r="N22" s="32">
        <f t="shared" si="19"/>
        <v>226435</v>
      </c>
      <c r="O22" s="14">
        <f t="shared" si="9"/>
        <v>0</v>
      </c>
      <c r="P22" s="32">
        <f t="shared" si="11"/>
        <v>172472</v>
      </c>
      <c r="Q22" s="14">
        <f t="shared" si="2"/>
        <v>0</v>
      </c>
      <c r="R22" s="1">
        <f t="shared" si="20"/>
        <v>55047</v>
      </c>
      <c r="S22" s="14">
        <f t="shared" si="12"/>
        <v>0</v>
      </c>
      <c r="T22" s="32">
        <f t="shared" si="21"/>
        <v>4065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3"/>
        <v>47667</v>
      </c>
      <c r="C23" s="14">
        <f t="shared" si="3"/>
        <v>0</v>
      </c>
      <c r="D23" s="32">
        <f t="shared" si="14"/>
        <v>41023</v>
      </c>
      <c r="E23" s="14">
        <f t="shared" si="4"/>
        <v>0</v>
      </c>
      <c r="F23" s="32">
        <f t="shared" si="15"/>
        <v>22140</v>
      </c>
      <c r="G23" s="14">
        <f t="shared" si="5"/>
        <v>0</v>
      </c>
      <c r="H23" s="32">
        <f t="shared" si="16"/>
        <v>258955</v>
      </c>
      <c r="I23" s="14">
        <f t="shared" si="6"/>
        <v>0</v>
      </c>
      <c r="J23" s="32">
        <f t="shared" si="17"/>
        <v>335882</v>
      </c>
      <c r="K23" s="14">
        <f t="shared" si="7"/>
        <v>0</v>
      </c>
      <c r="L23" s="32">
        <f t="shared" si="18"/>
        <v>26552</v>
      </c>
      <c r="M23" s="14">
        <f t="shared" si="8"/>
        <v>0</v>
      </c>
      <c r="N23" s="32">
        <f t="shared" si="19"/>
        <v>226435</v>
      </c>
      <c r="O23" s="14">
        <f t="shared" si="9"/>
        <v>0</v>
      </c>
      <c r="P23" s="32">
        <f t="shared" si="11"/>
        <v>172472</v>
      </c>
      <c r="Q23" s="14">
        <f t="shared" si="2"/>
        <v>0</v>
      </c>
      <c r="R23" s="1">
        <f t="shared" si="20"/>
        <v>55047</v>
      </c>
      <c r="S23" s="14">
        <f t="shared" si="12"/>
        <v>0</v>
      </c>
      <c r="T23" s="32">
        <f t="shared" si="21"/>
        <v>4065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3"/>
        <v>47667</v>
      </c>
      <c r="C24" s="14">
        <f t="shared" si="3"/>
        <v>0</v>
      </c>
      <c r="D24" s="32">
        <f t="shared" si="14"/>
        <v>41023</v>
      </c>
      <c r="E24" s="14">
        <f t="shared" si="4"/>
        <v>0</v>
      </c>
      <c r="F24" s="32">
        <f t="shared" si="15"/>
        <v>22140</v>
      </c>
      <c r="G24" s="14">
        <f t="shared" si="5"/>
        <v>0</v>
      </c>
      <c r="H24" s="32">
        <f t="shared" si="16"/>
        <v>258955</v>
      </c>
      <c r="I24" s="14">
        <f t="shared" si="6"/>
        <v>0</v>
      </c>
      <c r="J24" s="32">
        <f t="shared" si="17"/>
        <v>335882</v>
      </c>
      <c r="K24" s="14">
        <f t="shared" si="7"/>
        <v>0</v>
      </c>
      <c r="L24" s="32">
        <f t="shared" si="18"/>
        <v>26552</v>
      </c>
      <c r="M24" s="14">
        <f t="shared" si="8"/>
        <v>0</v>
      </c>
      <c r="N24" s="32">
        <f t="shared" si="19"/>
        <v>226435</v>
      </c>
      <c r="O24" s="14">
        <f t="shared" si="9"/>
        <v>0</v>
      </c>
      <c r="P24" s="32">
        <f t="shared" si="11"/>
        <v>172472</v>
      </c>
      <c r="Q24" s="14">
        <f t="shared" si="2"/>
        <v>0</v>
      </c>
      <c r="R24" s="1">
        <f t="shared" si="20"/>
        <v>55047</v>
      </c>
      <c r="S24" s="14">
        <f t="shared" si="12"/>
        <v>0</v>
      </c>
      <c r="T24" s="32">
        <f t="shared" si="21"/>
        <v>4065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3"/>
        <v>47667</v>
      </c>
      <c r="C25" s="14">
        <f t="shared" si="3"/>
        <v>0</v>
      </c>
      <c r="D25" s="32">
        <f t="shared" si="14"/>
        <v>41023</v>
      </c>
      <c r="E25" s="14">
        <f t="shared" si="4"/>
        <v>0</v>
      </c>
      <c r="F25" s="32">
        <f t="shared" si="15"/>
        <v>22140</v>
      </c>
      <c r="G25" s="14">
        <f t="shared" si="5"/>
        <v>0</v>
      </c>
      <c r="H25" s="32">
        <f t="shared" si="16"/>
        <v>258955</v>
      </c>
      <c r="I25" s="14">
        <f t="shared" si="6"/>
        <v>0</v>
      </c>
      <c r="J25" s="32">
        <f t="shared" si="17"/>
        <v>335882</v>
      </c>
      <c r="K25" s="14">
        <f t="shared" si="7"/>
        <v>0</v>
      </c>
      <c r="L25" s="32">
        <f t="shared" si="18"/>
        <v>26552</v>
      </c>
      <c r="M25" s="14">
        <f t="shared" si="8"/>
        <v>0</v>
      </c>
      <c r="N25" s="32">
        <f t="shared" si="19"/>
        <v>226435</v>
      </c>
      <c r="O25" s="14">
        <f t="shared" si="9"/>
        <v>0</v>
      </c>
      <c r="P25" s="32">
        <f t="shared" si="11"/>
        <v>172472</v>
      </c>
      <c r="Q25" s="14">
        <f t="shared" si="2"/>
        <v>0</v>
      </c>
      <c r="R25" s="1">
        <f t="shared" si="20"/>
        <v>55047</v>
      </c>
      <c r="S25" s="14">
        <f t="shared" si="12"/>
        <v>0</v>
      </c>
      <c r="T25" s="32">
        <f t="shared" si="21"/>
        <v>4065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3"/>
        <v>47667</v>
      </c>
      <c r="C26" s="14">
        <f t="shared" si="3"/>
        <v>0</v>
      </c>
      <c r="D26" s="32">
        <f t="shared" si="14"/>
        <v>41023</v>
      </c>
      <c r="E26" s="14">
        <f t="shared" si="4"/>
        <v>0</v>
      </c>
      <c r="F26" s="32">
        <f t="shared" si="15"/>
        <v>22140</v>
      </c>
      <c r="G26" s="14">
        <f t="shared" si="5"/>
        <v>0</v>
      </c>
      <c r="H26" s="32">
        <f t="shared" si="16"/>
        <v>258955</v>
      </c>
      <c r="I26" s="14">
        <f t="shared" si="6"/>
        <v>0</v>
      </c>
      <c r="J26" s="32">
        <f t="shared" si="17"/>
        <v>335882</v>
      </c>
      <c r="K26" s="14">
        <f t="shared" si="7"/>
        <v>0</v>
      </c>
      <c r="L26" s="32">
        <f t="shared" si="18"/>
        <v>26552</v>
      </c>
      <c r="M26" s="14">
        <f t="shared" si="8"/>
        <v>0</v>
      </c>
      <c r="N26" s="32">
        <f t="shared" si="19"/>
        <v>226435</v>
      </c>
      <c r="O26" s="14">
        <f t="shared" si="9"/>
        <v>0</v>
      </c>
      <c r="P26" s="32">
        <f t="shared" si="11"/>
        <v>172472</v>
      </c>
      <c r="Q26" s="14">
        <f t="shared" si="2"/>
        <v>0</v>
      </c>
      <c r="R26" s="1">
        <f t="shared" si="20"/>
        <v>55047</v>
      </c>
      <c r="S26" s="14">
        <f t="shared" si="12"/>
        <v>0</v>
      </c>
      <c r="T26" s="32">
        <f t="shared" si="21"/>
        <v>4065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3"/>
        <v>47667</v>
      </c>
      <c r="C27" s="14">
        <f t="shared" si="3"/>
        <v>0</v>
      </c>
      <c r="D27" s="32">
        <f t="shared" si="14"/>
        <v>41023</v>
      </c>
      <c r="E27" s="14">
        <f t="shared" si="4"/>
        <v>0</v>
      </c>
      <c r="F27" s="32">
        <f t="shared" si="15"/>
        <v>22140</v>
      </c>
      <c r="G27" s="14">
        <f t="shared" si="5"/>
        <v>0</v>
      </c>
      <c r="H27" s="32">
        <f t="shared" si="16"/>
        <v>258955</v>
      </c>
      <c r="I27" s="14">
        <f t="shared" si="6"/>
        <v>0</v>
      </c>
      <c r="J27" s="32">
        <f t="shared" si="17"/>
        <v>335882</v>
      </c>
      <c r="K27" s="14">
        <f t="shared" si="7"/>
        <v>0</v>
      </c>
      <c r="L27" s="32">
        <f t="shared" si="18"/>
        <v>26552</v>
      </c>
      <c r="M27" s="14">
        <f t="shared" si="8"/>
        <v>0</v>
      </c>
      <c r="N27" s="32">
        <f t="shared" si="19"/>
        <v>226435</v>
      </c>
      <c r="O27" s="14">
        <f t="shared" si="9"/>
        <v>0</v>
      </c>
      <c r="P27" s="32">
        <f t="shared" si="11"/>
        <v>172472</v>
      </c>
      <c r="Q27" s="14">
        <f t="shared" si="2"/>
        <v>0</v>
      </c>
      <c r="R27" s="1">
        <f t="shared" si="20"/>
        <v>55047</v>
      </c>
      <c r="S27" s="14">
        <f t="shared" si="12"/>
        <v>0</v>
      </c>
      <c r="T27" s="32">
        <f t="shared" si="21"/>
        <v>4065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3"/>
        <v>47667</v>
      </c>
      <c r="C28" s="14">
        <f t="shared" si="3"/>
        <v>0</v>
      </c>
      <c r="D28" s="32">
        <f t="shared" si="14"/>
        <v>41023</v>
      </c>
      <c r="E28" s="14">
        <f t="shared" si="4"/>
        <v>0</v>
      </c>
      <c r="F28" s="32">
        <f t="shared" si="15"/>
        <v>22140</v>
      </c>
      <c r="G28" s="14">
        <f t="shared" si="5"/>
        <v>0</v>
      </c>
      <c r="H28" s="32">
        <f t="shared" si="16"/>
        <v>258955</v>
      </c>
      <c r="I28" s="14">
        <f t="shared" si="6"/>
        <v>0</v>
      </c>
      <c r="J28" s="32">
        <f t="shared" si="17"/>
        <v>335882</v>
      </c>
      <c r="K28" s="14">
        <f t="shared" si="7"/>
        <v>0</v>
      </c>
      <c r="L28" s="32">
        <f t="shared" si="18"/>
        <v>26552</v>
      </c>
      <c r="M28" s="14">
        <f t="shared" si="8"/>
        <v>0</v>
      </c>
      <c r="N28" s="32">
        <f t="shared" si="19"/>
        <v>226435</v>
      </c>
      <c r="O28" s="14">
        <f t="shared" si="9"/>
        <v>0</v>
      </c>
      <c r="P28" s="32">
        <f t="shared" si="11"/>
        <v>172472</v>
      </c>
      <c r="Q28" s="14">
        <f t="shared" si="2"/>
        <v>0</v>
      </c>
      <c r="R28" s="1">
        <f t="shared" si="20"/>
        <v>55047</v>
      </c>
      <c r="S28" s="15">
        <f t="shared" si="12"/>
        <v>0</v>
      </c>
      <c r="T28" s="32">
        <f t="shared" si="21"/>
        <v>4065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3"/>
        <v>47667</v>
      </c>
      <c r="C29" s="14">
        <f t="shared" si="3"/>
        <v>0</v>
      </c>
      <c r="D29" s="32">
        <f t="shared" si="14"/>
        <v>41023</v>
      </c>
      <c r="E29" s="14">
        <f t="shared" si="4"/>
        <v>0</v>
      </c>
      <c r="F29" s="32">
        <f t="shared" si="15"/>
        <v>22140</v>
      </c>
      <c r="G29" s="14">
        <f t="shared" si="5"/>
        <v>0</v>
      </c>
      <c r="H29" s="32">
        <f t="shared" si="16"/>
        <v>258955</v>
      </c>
      <c r="I29" s="14">
        <f t="shared" si="6"/>
        <v>0</v>
      </c>
      <c r="J29" s="32">
        <f t="shared" si="17"/>
        <v>335882</v>
      </c>
      <c r="K29" s="14">
        <f t="shared" si="7"/>
        <v>0</v>
      </c>
      <c r="L29" s="32">
        <f t="shared" si="18"/>
        <v>26552</v>
      </c>
      <c r="M29" s="14">
        <f t="shared" si="8"/>
        <v>0</v>
      </c>
      <c r="N29" s="32">
        <f t="shared" si="19"/>
        <v>226435</v>
      </c>
      <c r="O29" s="14">
        <f t="shared" si="9"/>
        <v>0</v>
      </c>
      <c r="P29" s="32">
        <f t="shared" si="11"/>
        <v>172472</v>
      </c>
      <c r="Q29" s="14">
        <f t="shared" si="2"/>
        <v>0</v>
      </c>
      <c r="R29" s="1">
        <f t="shared" si="20"/>
        <v>55047</v>
      </c>
      <c r="S29" s="14">
        <f t="shared" si="12"/>
        <v>0</v>
      </c>
      <c r="T29" s="32">
        <f t="shared" si="21"/>
        <v>4065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3"/>
        <v>47667</v>
      </c>
      <c r="C30" s="14">
        <f t="shared" si="3"/>
        <v>0</v>
      </c>
      <c r="D30" s="32">
        <f t="shared" si="14"/>
        <v>41023</v>
      </c>
      <c r="E30" s="14">
        <f t="shared" si="4"/>
        <v>0</v>
      </c>
      <c r="F30" s="32">
        <f t="shared" si="15"/>
        <v>22140</v>
      </c>
      <c r="G30" s="14">
        <f t="shared" si="5"/>
        <v>0</v>
      </c>
      <c r="H30" s="32">
        <f t="shared" si="16"/>
        <v>258955</v>
      </c>
      <c r="I30" s="14">
        <f t="shared" si="6"/>
        <v>0</v>
      </c>
      <c r="J30" s="32">
        <f t="shared" si="17"/>
        <v>335882</v>
      </c>
      <c r="K30" s="14">
        <f t="shared" si="7"/>
        <v>0</v>
      </c>
      <c r="L30" s="32">
        <f t="shared" si="18"/>
        <v>26552</v>
      </c>
      <c r="M30" s="14">
        <f t="shared" si="8"/>
        <v>0</v>
      </c>
      <c r="N30" s="32">
        <f t="shared" si="19"/>
        <v>226435</v>
      </c>
      <c r="O30" s="14">
        <f t="shared" si="9"/>
        <v>0</v>
      </c>
      <c r="P30" s="32">
        <f t="shared" si="11"/>
        <v>172472</v>
      </c>
      <c r="Q30" s="14">
        <f t="shared" si="2"/>
        <v>0</v>
      </c>
      <c r="R30" s="1">
        <f t="shared" si="20"/>
        <v>55047</v>
      </c>
      <c r="S30" s="14">
        <f t="shared" si="12"/>
        <v>0</v>
      </c>
      <c r="T30" s="32">
        <f t="shared" si="21"/>
        <v>4065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3"/>
        <v>47667</v>
      </c>
      <c r="C31" s="14">
        <f t="shared" si="3"/>
        <v>0</v>
      </c>
      <c r="D31" s="32">
        <f t="shared" si="14"/>
        <v>41023</v>
      </c>
      <c r="E31" s="14">
        <f t="shared" si="4"/>
        <v>0</v>
      </c>
      <c r="F31" s="32">
        <f t="shared" si="15"/>
        <v>22140</v>
      </c>
      <c r="G31" s="14">
        <f t="shared" si="5"/>
        <v>0</v>
      </c>
      <c r="H31" s="32">
        <f t="shared" si="16"/>
        <v>258955</v>
      </c>
      <c r="I31" s="14">
        <f t="shared" si="6"/>
        <v>0</v>
      </c>
      <c r="J31" s="32">
        <f t="shared" si="17"/>
        <v>335882</v>
      </c>
      <c r="K31" s="14">
        <f t="shared" si="7"/>
        <v>0</v>
      </c>
      <c r="L31" s="32">
        <f t="shared" si="18"/>
        <v>26552</v>
      </c>
      <c r="M31" s="14">
        <f t="shared" si="8"/>
        <v>0</v>
      </c>
      <c r="N31" s="32">
        <f t="shared" si="19"/>
        <v>226435</v>
      </c>
      <c r="O31" s="14">
        <f t="shared" si="9"/>
        <v>0</v>
      </c>
      <c r="P31" s="32">
        <f t="shared" si="11"/>
        <v>172472</v>
      </c>
      <c r="Q31" s="14">
        <f t="shared" si="2"/>
        <v>0</v>
      </c>
      <c r="R31" s="1">
        <v>55047</v>
      </c>
      <c r="S31" s="14">
        <v>0</v>
      </c>
      <c r="T31" s="32">
        <f t="shared" si="21"/>
        <v>4065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3"/>
        <v>47667</v>
      </c>
      <c r="C32" s="14">
        <f t="shared" si="3"/>
        <v>0</v>
      </c>
      <c r="D32" s="32">
        <f t="shared" si="14"/>
        <v>41023</v>
      </c>
      <c r="E32" s="14">
        <f t="shared" si="4"/>
        <v>0</v>
      </c>
      <c r="F32" s="32">
        <f t="shared" si="15"/>
        <v>22140</v>
      </c>
      <c r="G32" s="14">
        <f t="shared" si="5"/>
        <v>0</v>
      </c>
      <c r="H32" s="32">
        <f t="shared" si="16"/>
        <v>258955</v>
      </c>
      <c r="I32" s="14">
        <f t="shared" si="6"/>
        <v>0</v>
      </c>
      <c r="J32" s="32">
        <f t="shared" si="17"/>
        <v>335882</v>
      </c>
      <c r="K32" s="14">
        <f t="shared" si="7"/>
        <v>0</v>
      </c>
      <c r="L32" s="32">
        <f t="shared" si="18"/>
        <v>26552</v>
      </c>
      <c r="M32" s="14">
        <f t="shared" si="8"/>
        <v>0</v>
      </c>
      <c r="N32" s="32">
        <f t="shared" si="19"/>
        <v>226435</v>
      </c>
      <c r="O32" s="14">
        <f t="shared" si="9"/>
        <v>0</v>
      </c>
      <c r="P32" s="32">
        <f t="shared" si="11"/>
        <v>172472</v>
      </c>
      <c r="Q32" s="14">
        <f t="shared" si="2"/>
        <v>0</v>
      </c>
      <c r="R32" s="1">
        <f t="shared" si="20"/>
        <v>55047</v>
      </c>
      <c r="S32" s="14">
        <f t="shared" si="12"/>
        <v>0</v>
      </c>
      <c r="T32" s="32">
        <f t="shared" si="21"/>
        <v>4065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3"/>
        <v>47667</v>
      </c>
      <c r="C33" s="14">
        <f t="shared" si="3"/>
        <v>0</v>
      </c>
      <c r="D33" s="32">
        <f t="shared" si="14"/>
        <v>41023</v>
      </c>
      <c r="E33" s="14">
        <f t="shared" si="4"/>
        <v>0</v>
      </c>
      <c r="F33" s="32">
        <f t="shared" si="15"/>
        <v>22140</v>
      </c>
      <c r="G33" s="14">
        <f t="shared" si="5"/>
        <v>0</v>
      </c>
      <c r="H33" s="32">
        <f t="shared" si="16"/>
        <v>258955</v>
      </c>
      <c r="I33" s="14">
        <f t="shared" si="6"/>
        <v>0</v>
      </c>
      <c r="J33" s="32">
        <f t="shared" si="17"/>
        <v>335882</v>
      </c>
      <c r="K33" s="14">
        <f t="shared" si="7"/>
        <v>0</v>
      </c>
      <c r="L33" s="32">
        <f t="shared" si="18"/>
        <v>26552</v>
      </c>
      <c r="M33" s="14">
        <f t="shared" si="8"/>
        <v>0</v>
      </c>
      <c r="N33" s="32">
        <f t="shared" si="19"/>
        <v>226435</v>
      </c>
      <c r="O33" s="14">
        <f t="shared" si="9"/>
        <v>0</v>
      </c>
      <c r="P33" s="32">
        <f t="shared" si="11"/>
        <v>172472</v>
      </c>
      <c r="Q33" s="14">
        <f t="shared" si="2"/>
        <v>0</v>
      </c>
      <c r="R33" s="1">
        <f t="shared" si="20"/>
        <v>55047</v>
      </c>
      <c r="S33" s="14">
        <f t="shared" si="12"/>
        <v>0</v>
      </c>
      <c r="T33" s="32">
        <f t="shared" si="21"/>
        <v>4065</v>
      </c>
      <c r="U33" s="14">
        <f>SUM(U2:U32)</f>
        <v>320</v>
      </c>
    </row>
    <row r="34" spans="1:21" ht="13.5" thickBot="1" x14ac:dyDescent="0.25">
      <c r="A34" s="14" t="s">
        <v>23</v>
      </c>
      <c r="B34" s="14"/>
      <c r="C34" s="14">
        <f>SUM(C3:C33)</f>
        <v>2240</v>
      </c>
      <c r="D34" s="14"/>
      <c r="E34" s="14">
        <f>SUM(E3:E33)</f>
        <v>1440</v>
      </c>
      <c r="F34" s="14"/>
      <c r="G34" s="14">
        <f>SUM(G3:G33)</f>
        <v>180</v>
      </c>
      <c r="H34" s="14"/>
      <c r="I34" s="14">
        <f>SUM(I3:I33)</f>
        <v>114</v>
      </c>
      <c r="J34" s="14"/>
      <c r="K34" s="14">
        <f>SUM(K3:K33)</f>
        <v>492</v>
      </c>
      <c r="L34" s="14"/>
      <c r="M34" s="14">
        <f>SUM(M3:M33)</f>
        <v>540</v>
      </c>
      <c r="N34" s="14"/>
      <c r="O34" s="14">
        <f>SUM(O3:O33)</f>
        <v>10</v>
      </c>
      <c r="P34" s="14"/>
      <c r="Q34" s="14">
        <f>SUM(Q3:Q33)</f>
        <v>238</v>
      </c>
      <c r="R34" s="14"/>
      <c r="S34" s="14">
        <f>SUM(S3:S33)</f>
        <v>0</v>
      </c>
      <c r="T34" s="14"/>
      <c r="U34" s="14">
        <f>SUM(U3:U33)</f>
        <v>640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5" sqref="A5:XFD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/>
      <c r="C6" s="131"/>
      <c r="D6" s="38">
        <f t="shared" si="4"/>
        <v>0</v>
      </c>
      <c r="E6" s="132"/>
      <c r="F6" s="38" t="str">
        <f t="shared" si="5"/>
        <v>0</v>
      </c>
      <c r="G6" s="133"/>
      <c r="H6" s="38" t="str">
        <f t="shared" si="6"/>
        <v>0</v>
      </c>
      <c r="I6" s="134">
        <f t="shared" si="7"/>
        <v>0</v>
      </c>
      <c r="J6" s="132"/>
      <c r="K6" s="38">
        <f t="shared" si="15"/>
        <v>0</v>
      </c>
      <c r="L6" s="135"/>
      <c r="M6" s="38" t="str">
        <f t="shared" si="8"/>
        <v>0</v>
      </c>
      <c r="N6" s="132"/>
      <c r="O6" s="38">
        <f t="shared" si="16"/>
        <v>0</v>
      </c>
      <c r="P6" s="135"/>
      <c r="Q6" s="38" t="str">
        <f t="shared" si="9"/>
        <v>0</v>
      </c>
      <c r="R6" s="132"/>
      <c r="S6" s="38" t="str">
        <f t="shared" si="10"/>
        <v>0</v>
      </c>
      <c r="T6" s="132">
        <v>0</v>
      </c>
      <c r="U6" s="136"/>
      <c r="V6" s="132"/>
      <c r="W6" s="38" t="str">
        <f t="shared" si="11"/>
        <v>0</v>
      </c>
      <c r="X6" s="19">
        <f t="shared" si="12"/>
        <v>0</v>
      </c>
      <c r="Y6" s="152">
        <f t="shared" si="13"/>
        <v>0</v>
      </c>
      <c r="Z6" s="3">
        <f t="shared" si="14"/>
        <v>0</v>
      </c>
      <c r="AA6" s="3">
        <f>SUM(Z1:Z6)</f>
        <v>29858.344609600001</v>
      </c>
    </row>
    <row r="7" spans="1:27" ht="16.5" thickBot="1" x14ac:dyDescent="0.3">
      <c r="A7" s="9">
        <v>44839</v>
      </c>
      <c r="B7" s="38"/>
      <c r="C7" s="131"/>
      <c r="D7" s="38">
        <f t="shared" si="4"/>
        <v>0</v>
      </c>
      <c r="E7" s="132"/>
      <c r="F7" s="38">
        <f t="shared" si="5"/>
        <v>0</v>
      </c>
      <c r="G7" s="133"/>
      <c r="H7" s="38">
        <f t="shared" si="6"/>
        <v>0</v>
      </c>
      <c r="I7" s="134">
        <f t="shared" si="7"/>
        <v>0</v>
      </c>
      <c r="J7" s="132"/>
      <c r="K7" s="38">
        <f t="shared" si="15"/>
        <v>0</v>
      </c>
      <c r="L7" s="135"/>
      <c r="M7" s="38">
        <f t="shared" si="8"/>
        <v>0</v>
      </c>
      <c r="N7" s="132"/>
      <c r="O7" s="38">
        <f t="shared" si="16"/>
        <v>0</v>
      </c>
      <c r="P7" s="135"/>
      <c r="Q7" s="38">
        <f t="shared" si="9"/>
        <v>0</v>
      </c>
      <c r="R7" s="132"/>
      <c r="S7" s="38">
        <f t="shared" si="10"/>
        <v>0</v>
      </c>
      <c r="T7" s="132">
        <v>0</v>
      </c>
      <c r="U7" s="136"/>
      <c r="V7" s="132"/>
      <c r="W7" s="38">
        <f t="shared" si="11"/>
        <v>0</v>
      </c>
      <c r="X7" s="19">
        <f t="shared" si="12"/>
        <v>0</v>
      </c>
      <c r="Y7" s="152">
        <f t="shared" si="13"/>
        <v>0</v>
      </c>
      <c r="Z7" s="3">
        <f t="shared" si="14"/>
        <v>0</v>
      </c>
      <c r="AA7" s="3">
        <f>SUM(Z1:Z7)</f>
        <v>29858.344609600001</v>
      </c>
    </row>
    <row r="8" spans="1:27" ht="16.5" thickBot="1" x14ac:dyDescent="0.3">
      <c r="A8" s="9">
        <v>44840</v>
      </c>
      <c r="B8" s="38"/>
      <c r="C8" s="131"/>
      <c r="D8" s="38">
        <f t="shared" si="4"/>
        <v>0</v>
      </c>
      <c r="E8" s="132"/>
      <c r="F8" s="38">
        <f t="shared" si="5"/>
        <v>0</v>
      </c>
      <c r="G8" s="133"/>
      <c r="H8" s="38">
        <f t="shared" si="6"/>
        <v>0</v>
      </c>
      <c r="I8" s="134">
        <f t="shared" si="7"/>
        <v>0</v>
      </c>
      <c r="J8" s="132"/>
      <c r="K8" s="38">
        <f t="shared" si="15"/>
        <v>0</v>
      </c>
      <c r="L8" s="135"/>
      <c r="M8" s="38">
        <f t="shared" si="8"/>
        <v>0</v>
      </c>
      <c r="N8" s="132"/>
      <c r="O8" s="38">
        <f t="shared" si="16"/>
        <v>0</v>
      </c>
      <c r="P8" s="135"/>
      <c r="Q8" s="38">
        <f t="shared" si="9"/>
        <v>0</v>
      </c>
      <c r="R8" s="132"/>
      <c r="S8" s="38">
        <f t="shared" si="10"/>
        <v>0</v>
      </c>
      <c r="T8" s="132">
        <v>0</v>
      </c>
      <c r="U8" s="136"/>
      <c r="V8" s="132"/>
      <c r="W8" s="38">
        <f t="shared" si="11"/>
        <v>0</v>
      </c>
      <c r="X8" s="19">
        <f t="shared" si="12"/>
        <v>0</v>
      </c>
      <c r="Y8" s="152">
        <f t="shared" si="13"/>
        <v>0</v>
      </c>
      <c r="Z8" s="3">
        <f t="shared" si="14"/>
        <v>0</v>
      </c>
      <c r="AA8" s="3">
        <f>SUM(Z1:Z8)</f>
        <v>29858.344609600001</v>
      </c>
    </row>
    <row r="9" spans="1:27" ht="16.5" thickBot="1" x14ac:dyDescent="0.3">
      <c r="A9" s="9">
        <v>44841</v>
      </c>
      <c r="B9" s="38"/>
      <c r="C9" s="131"/>
      <c r="D9" s="38">
        <f t="shared" si="4"/>
        <v>0</v>
      </c>
      <c r="E9" s="132"/>
      <c r="F9" s="38">
        <f t="shared" si="5"/>
        <v>0</v>
      </c>
      <c r="G9" s="133"/>
      <c r="H9" s="38">
        <f t="shared" si="6"/>
        <v>0</v>
      </c>
      <c r="I9" s="134">
        <f t="shared" si="7"/>
        <v>0</v>
      </c>
      <c r="J9" s="132"/>
      <c r="K9" s="38">
        <f t="shared" si="15"/>
        <v>0</v>
      </c>
      <c r="L9" s="135"/>
      <c r="M9" s="38">
        <f t="shared" si="8"/>
        <v>0</v>
      </c>
      <c r="N9" s="132"/>
      <c r="O9" s="38">
        <f t="shared" si="16"/>
        <v>0</v>
      </c>
      <c r="P9" s="135"/>
      <c r="Q9" s="38">
        <f t="shared" si="9"/>
        <v>0</v>
      </c>
      <c r="R9" s="132"/>
      <c r="S9" s="38">
        <f t="shared" si="10"/>
        <v>0</v>
      </c>
      <c r="T9" s="132">
        <v>0</v>
      </c>
      <c r="U9" s="136"/>
      <c r="V9" s="132"/>
      <c r="W9" s="38">
        <f t="shared" si="11"/>
        <v>0</v>
      </c>
      <c r="X9" s="19">
        <f t="shared" si="12"/>
        <v>0</v>
      </c>
      <c r="Y9" s="152">
        <f t="shared" si="13"/>
        <v>0</v>
      </c>
      <c r="Z9" s="3">
        <f t="shared" si="14"/>
        <v>0</v>
      </c>
      <c r="AA9" s="3">
        <f>SUM(Z1:Z9)</f>
        <v>29858.344609600001</v>
      </c>
    </row>
    <row r="10" spans="1:27" ht="16.5" thickBot="1" x14ac:dyDescent="0.3">
      <c r="A10" s="9">
        <v>44842</v>
      </c>
      <c r="B10" s="38"/>
      <c r="C10" s="131"/>
      <c r="D10" s="38">
        <f>IF((C10-C9)&lt;0,"0",(C10-C9))*160</f>
        <v>0</v>
      </c>
      <c r="E10" s="132"/>
      <c r="F10" s="38">
        <f t="shared" si="5"/>
        <v>0</v>
      </c>
      <c r="G10" s="133"/>
      <c r="H10" s="38">
        <f t="shared" si="6"/>
        <v>0</v>
      </c>
      <c r="I10" s="134">
        <f t="shared" si="7"/>
        <v>0</v>
      </c>
      <c r="J10" s="132"/>
      <c r="K10" s="38">
        <f t="shared" si="15"/>
        <v>0</v>
      </c>
      <c r="L10" s="135"/>
      <c r="M10" s="38">
        <f t="shared" si="8"/>
        <v>0</v>
      </c>
      <c r="N10" s="132"/>
      <c r="O10" s="38">
        <f t="shared" si="16"/>
        <v>0</v>
      </c>
      <c r="P10" s="135"/>
      <c r="Q10" s="38">
        <f t="shared" si="9"/>
        <v>0</v>
      </c>
      <c r="R10" s="132"/>
      <c r="S10" s="38">
        <f t="shared" si="10"/>
        <v>0</v>
      </c>
      <c r="T10" s="132">
        <v>0</v>
      </c>
      <c r="U10" s="136"/>
      <c r="V10" s="132"/>
      <c r="W10" s="38">
        <f t="shared" si="11"/>
        <v>0</v>
      </c>
      <c r="X10" s="19">
        <f t="shared" si="12"/>
        <v>0</v>
      </c>
      <c r="Y10" s="152">
        <f t="shared" si="13"/>
        <v>0</v>
      </c>
      <c r="Z10" s="3">
        <f t="shared" si="14"/>
        <v>0</v>
      </c>
      <c r="AA10" s="3">
        <f>SUM(Z1:Z10)</f>
        <v>29858.344609600001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>
        <f t="shared" si="5"/>
        <v>0</v>
      </c>
      <c r="G11" s="133"/>
      <c r="H11" s="38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>
        <f t="shared" si="8"/>
        <v>0</v>
      </c>
      <c r="N11" s="132"/>
      <c r="O11" s="38">
        <f t="shared" si="16"/>
        <v>0</v>
      </c>
      <c r="P11" s="135"/>
      <c r="Q11" s="38">
        <f t="shared" si="9"/>
        <v>0</v>
      </c>
      <c r="R11" s="132"/>
      <c r="S11" s="38">
        <f t="shared" si="10"/>
        <v>0</v>
      </c>
      <c r="T11" s="132">
        <v>0</v>
      </c>
      <c r="U11" s="136"/>
      <c r="V11" s="132"/>
      <c r="W11" s="38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29858.344609600001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29858.344609600001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29858.344609600001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29858.344609600001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29858.344609600001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29858.344609600001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29858.344609600001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29858.344609600001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29858.344609600001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29858.344609600001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29858.344609600001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29858.344609600001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29858.344609600001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29858.344609600001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29858.344609600001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29858.344609600001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29858.344609600001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29858.344609600001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29858.344609600001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29858.344609600001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29858.344609600001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29858.344609600001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29858.344609600001</v>
      </c>
    </row>
    <row r="34" spans="1:27" ht="16.5" thickBot="1" x14ac:dyDescent="0.3">
      <c r="A34" s="124" t="s">
        <v>23</v>
      </c>
      <c r="B34" s="124">
        <f>SUM(B3:B33)</f>
        <v>810</v>
      </c>
      <c r="C34" s="124">
        <v>0</v>
      </c>
      <c r="D34" s="124">
        <f>SUM(D3:D33)</f>
        <v>1760</v>
      </c>
      <c r="E34" s="55">
        <v>0</v>
      </c>
      <c r="F34" s="124">
        <f>SUM(F3:F33)</f>
        <v>66320</v>
      </c>
      <c r="G34" s="55">
        <v>0</v>
      </c>
      <c r="H34" s="124">
        <f>SUM(H3:H33)</f>
        <v>169383</v>
      </c>
      <c r="I34" s="124">
        <f t="shared" ref="I34" si="39">F34+H34</f>
        <v>235703</v>
      </c>
      <c r="J34" s="55">
        <v>0</v>
      </c>
      <c r="K34" s="124">
        <f>SUM(K3:K33)</f>
        <v>36358</v>
      </c>
      <c r="L34" s="55">
        <v>0</v>
      </c>
      <c r="M34" s="124">
        <f>SUM(M3:M33)</f>
        <v>18352</v>
      </c>
      <c r="N34" s="55">
        <v>0</v>
      </c>
      <c r="O34" s="124">
        <f>SUM(O3:O33)</f>
        <v>47418</v>
      </c>
      <c r="P34" s="55">
        <v>0</v>
      </c>
      <c r="Q34" s="124">
        <f>SUM(Q3:Q33)</f>
        <v>41248</v>
      </c>
      <c r="R34" s="55">
        <v>0</v>
      </c>
      <c r="S34" s="124">
        <f>SUM(S3:S33)</f>
        <v>33720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36413</v>
      </c>
      <c r="X34" s="124">
        <f>SUM(X3:X33)</f>
        <v>213509</v>
      </c>
      <c r="Y34" s="124">
        <f>SUM(Y2:Y33)</f>
        <v>22194</v>
      </c>
      <c r="Z34" s="124">
        <f>SUM(Z2:Z33)</f>
        <v>29858.344609600001</v>
      </c>
      <c r="AA34" s="124">
        <f>SUM(AA2:AA33)</f>
        <v>894183.21039840055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44839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44841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44842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2120</v>
      </c>
      <c r="D34" s="55"/>
      <c r="E34" s="55">
        <f>SUM(E3:E33)</f>
        <v>990</v>
      </c>
      <c r="F34" s="55"/>
      <c r="G34" s="55">
        <f>SUM(G3:G33)</f>
        <v>1873.8</v>
      </c>
      <c r="H34" s="55"/>
      <c r="I34" s="55">
        <f>SUM(I3:I33)</f>
        <v>14.606999999999999</v>
      </c>
      <c r="J34" s="55">
        <v>0</v>
      </c>
      <c r="K34" s="55">
        <f>SUM(K4:K33)</f>
        <v>22457.377619999999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5" sqref="A5:XFD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f t="shared" ref="B5:B33" si="1">B5</f>
        <v>18539220</v>
      </c>
      <c r="C6" s="44">
        <f>IF((B6-B5)&lt;0,"0",(B6-B5))</f>
        <v>0</v>
      </c>
      <c r="F6" s="34"/>
    </row>
    <row r="7" spans="1:9" ht="24" thickBot="1" x14ac:dyDescent="0.4">
      <c r="A7" s="9">
        <v>44839</v>
      </c>
      <c r="B7" s="120">
        <f t="shared" si="1"/>
        <v>18539220</v>
      </c>
      <c r="C7" s="44">
        <f t="shared" si="0"/>
        <v>0</v>
      </c>
    </row>
    <row r="8" spans="1:9" ht="24" thickBot="1" x14ac:dyDescent="0.4">
      <c r="A8" s="9">
        <v>44840</v>
      </c>
      <c r="B8" s="120">
        <f t="shared" si="1"/>
        <v>18539220</v>
      </c>
      <c r="C8" s="44">
        <f t="shared" si="0"/>
        <v>0</v>
      </c>
    </row>
    <row r="9" spans="1:9" ht="24" thickBot="1" x14ac:dyDescent="0.4">
      <c r="A9" s="9">
        <v>44841</v>
      </c>
      <c r="B9" s="120">
        <f t="shared" si="1"/>
        <v>18539220</v>
      </c>
      <c r="C9" s="44">
        <f t="shared" si="0"/>
        <v>0</v>
      </c>
    </row>
    <row r="10" spans="1:9" ht="24" thickBot="1" x14ac:dyDescent="0.4">
      <c r="A10" s="9">
        <v>44842</v>
      </c>
      <c r="B10" s="120">
        <f t="shared" si="1"/>
        <v>18539220</v>
      </c>
      <c r="C10" s="44">
        <f t="shared" si="0"/>
        <v>0</v>
      </c>
    </row>
    <row r="11" spans="1:9" ht="24" thickBot="1" x14ac:dyDescent="0.4">
      <c r="A11" s="9">
        <v>44843</v>
      </c>
      <c r="B11" s="120">
        <f t="shared" si="1"/>
        <v>18539220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18539220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18539220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18539220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18539220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18539220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18539220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18539220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18539220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18539220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18539220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18539220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18539220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18539220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18539220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18539220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18539220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18539220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18539220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18539220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18539220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18539220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18539220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v>1708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f t="shared" ref="B5:B33" si="36">B5</f>
        <v>25135.972000000002</v>
      </c>
      <c r="C6" s="43">
        <f t="shared" si="22"/>
        <v>0</v>
      </c>
      <c r="D6" s="28">
        <f t="shared" si="23"/>
        <v>0</v>
      </c>
      <c r="E6" s="1">
        <f t="shared" ref="E5:E33" si="37">E5</f>
        <v>4582.9840000000004</v>
      </c>
      <c r="F6" s="43">
        <f t="shared" si="24"/>
        <v>0</v>
      </c>
      <c r="G6" s="28">
        <f t="shared" si="25"/>
        <v>0</v>
      </c>
      <c r="H6" s="1">
        <f t="shared" ref="H5:H33" si="38">H5</f>
        <v>6278</v>
      </c>
      <c r="I6" s="43">
        <f t="shared" si="26"/>
        <v>0</v>
      </c>
      <c r="J6" s="28">
        <f t="shared" si="27"/>
        <v>0</v>
      </c>
      <c r="K6" s="7">
        <f t="shared" ref="K5:K33" si="39">K5</f>
        <v>14264.16</v>
      </c>
      <c r="L6" s="43">
        <f t="shared" si="28"/>
        <v>0</v>
      </c>
      <c r="M6" s="28">
        <f t="shared" si="29"/>
        <v>0</v>
      </c>
      <c r="N6" s="7">
        <f t="shared" ref="N5:N33" si="40">N5</f>
        <v>3789.998</v>
      </c>
      <c r="O6" s="43">
        <f t="shared" si="30"/>
        <v>0</v>
      </c>
      <c r="P6" s="28">
        <f t="shared" si="31"/>
        <v>0</v>
      </c>
      <c r="Q6" s="7">
        <f t="shared" ref="Q5:Q33" si="41">Q5</f>
        <v>5585.28</v>
      </c>
      <c r="R6" s="43">
        <f t="shared" si="32"/>
        <v>0</v>
      </c>
      <c r="S6" s="28">
        <f t="shared" si="33"/>
        <v>0</v>
      </c>
      <c r="T6" s="8">
        <f t="shared" ref="T6:T33" si="42">C6+F6+I6+L6+O6+R6</f>
        <v>0</v>
      </c>
      <c r="U6" s="30">
        <f t="shared" si="34"/>
        <v>0</v>
      </c>
      <c r="W6" s="141">
        <v>44838</v>
      </c>
      <c r="X6" s="142">
        <f t="shared" ref="X5:X33" si="43">X5</f>
        <v>214317</v>
      </c>
      <c r="Y6" s="147">
        <f t="shared" si="21"/>
        <v>0</v>
      </c>
      <c r="Z6" s="142">
        <f t="shared" ref="Z5:Z33" si="44">Z5</f>
        <v>10084</v>
      </c>
      <c r="AA6" s="147">
        <f t="shared" si="21"/>
        <v>0</v>
      </c>
      <c r="AB6" s="142">
        <f t="shared" si="35"/>
        <v>40</v>
      </c>
      <c r="AC6" s="147">
        <f t="shared" si="21"/>
        <v>0</v>
      </c>
      <c r="AD6" s="142">
        <f t="shared" ref="AD5:AD33" si="45">AD5</f>
        <v>714</v>
      </c>
      <c r="AE6" s="147">
        <f t="shared" si="21"/>
        <v>0</v>
      </c>
      <c r="AF6" s="142">
        <f t="shared" ref="AF5:AF33" si="46">AF5</f>
        <v>9359</v>
      </c>
      <c r="AG6" s="147">
        <f t="shared" si="21"/>
        <v>0</v>
      </c>
    </row>
    <row r="7" spans="1:33" ht="16.5" thickBot="1" x14ac:dyDescent="0.25">
      <c r="A7" s="9">
        <v>44839</v>
      </c>
      <c r="B7" s="144">
        <f t="shared" si="36"/>
        <v>25135.972000000002</v>
      </c>
      <c r="C7" s="43">
        <f t="shared" si="22"/>
        <v>0</v>
      </c>
      <c r="D7" s="28">
        <f t="shared" si="23"/>
        <v>0</v>
      </c>
      <c r="E7" s="1">
        <f t="shared" si="37"/>
        <v>4582.9840000000004</v>
      </c>
      <c r="F7" s="43">
        <f t="shared" si="24"/>
        <v>0</v>
      </c>
      <c r="G7" s="28">
        <f t="shared" si="25"/>
        <v>0</v>
      </c>
      <c r="H7" s="1">
        <f t="shared" si="38"/>
        <v>6278</v>
      </c>
      <c r="I7" s="43">
        <f t="shared" si="26"/>
        <v>0</v>
      </c>
      <c r="J7" s="28">
        <f t="shared" si="27"/>
        <v>0</v>
      </c>
      <c r="K7" s="7">
        <f t="shared" si="39"/>
        <v>14264.16</v>
      </c>
      <c r="L7" s="43">
        <f t="shared" si="28"/>
        <v>0</v>
      </c>
      <c r="M7" s="28">
        <f t="shared" si="29"/>
        <v>0</v>
      </c>
      <c r="N7" s="7">
        <f t="shared" si="40"/>
        <v>3789.998</v>
      </c>
      <c r="O7" s="43">
        <f t="shared" si="30"/>
        <v>0</v>
      </c>
      <c r="P7" s="28">
        <f t="shared" si="31"/>
        <v>0</v>
      </c>
      <c r="Q7" s="7">
        <f t="shared" si="41"/>
        <v>5585.28</v>
      </c>
      <c r="R7" s="43">
        <f t="shared" si="32"/>
        <v>0</v>
      </c>
      <c r="S7" s="28">
        <f t="shared" si="33"/>
        <v>0</v>
      </c>
      <c r="T7" s="8">
        <f t="shared" si="42"/>
        <v>0</v>
      </c>
      <c r="U7" s="30">
        <f t="shared" si="34"/>
        <v>0</v>
      </c>
      <c r="W7" s="141">
        <v>44839</v>
      </c>
      <c r="X7" s="142">
        <f t="shared" si="43"/>
        <v>214317</v>
      </c>
      <c r="Y7" s="147">
        <f t="shared" si="21"/>
        <v>0</v>
      </c>
      <c r="Z7" s="142">
        <f t="shared" si="44"/>
        <v>10084</v>
      </c>
      <c r="AA7" s="147">
        <f t="shared" si="21"/>
        <v>0</v>
      </c>
      <c r="AB7" s="142">
        <f t="shared" si="35"/>
        <v>40</v>
      </c>
      <c r="AC7" s="147">
        <f t="shared" si="21"/>
        <v>0</v>
      </c>
      <c r="AD7" s="142">
        <f t="shared" si="45"/>
        <v>714</v>
      </c>
      <c r="AE7" s="147">
        <f t="shared" si="21"/>
        <v>0</v>
      </c>
      <c r="AF7" s="142">
        <f t="shared" si="46"/>
        <v>9359</v>
      </c>
      <c r="AG7" s="147">
        <f t="shared" si="21"/>
        <v>0</v>
      </c>
    </row>
    <row r="8" spans="1:33" ht="16.5" thickBot="1" x14ac:dyDescent="0.25">
      <c r="A8" s="9">
        <v>44840</v>
      </c>
      <c r="B8" s="144">
        <f t="shared" si="36"/>
        <v>25135.972000000002</v>
      </c>
      <c r="C8" s="43">
        <f t="shared" si="22"/>
        <v>0</v>
      </c>
      <c r="D8" s="28">
        <f t="shared" si="23"/>
        <v>0</v>
      </c>
      <c r="E8" s="1">
        <f t="shared" si="37"/>
        <v>4582.9840000000004</v>
      </c>
      <c r="F8" s="43">
        <f t="shared" si="24"/>
        <v>0</v>
      </c>
      <c r="G8" s="28">
        <f t="shared" si="25"/>
        <v>0</v>
      </c>
      <c r="H8" s="1">
        <f t="shared" si="38"/>
        <v>6278</v>
      </c>
      <c r="I8" s="43">
        <f t="shared" si="26"/>
        <v>0</v>
      </c>
      <c r="J8" s="28">
        <f t="shared" si="27"/>
        <v>0</v>
      </c>
      <c r="K8" s="7">
        <f t="shared" si="39"/>
        <v>14264.16</v>
      </c>
      <c r="L8" s="43">
        <f t="shared" si="28"/>
        <v>0</v>
      </c>
      <c r="M8" s="28">
        <f t="shared" si="29"/>
        <v>0</v>
      </c>
      <c r="N8" s="7">
        <f t="shared" si="40"/>
        <v>3789.998</v>
      </c>
      <c r="O8" s="43">
        <f t="shared" si="30"/>
        <v>0</v>
      </c>
      <c r="P8" s="28">
        <f t="shared" si="31"/>
        <v>0</v>
      </c>
      <c r="Q8" s="7">
        <f t="shared" si="41"/>
        <v>5585.28</v>
      </c>
      <c r="R8" s="43">
        <f t="shared" si="32"/>
        <v>0</v>
      </c>
      <c r="S8" s="28">
        <f t="shared" si="33"/>
        <v>0</v>
      </c>
      <c r="T8" s="8">
        <f t="shared" si="42"/>
        <v>0</v>
      </c>
      <c r="U8" s="30">
        <f t="shared" si="34"/>
        <v>0</v>
      </c>
      <c r="W8" s="141">
        <v>44840</v>
      </c>
      <c r="X8" s="142">
        <f t="shared" si="43"/>
        <v>214317</v>
      </c>
      <c r="Y8" s="147">
        <f t="shared" si="21"/>
        <v>0</v>
      </c>
      <c r="Z8" s="142">
        <f t="shared" si="44"/>
        <v>10084</v>
      </c>
      <c r="AA8" s="147">
        <f t="shared" si="21"/>
        <v>0</v>
      </c>
      <c r="AB8" s="142">
        <f t="shared" si="35"/>
        <v>40</v>
      </c>
      <c r="AC8" s="147">
        <f t="shared" si="21"/>
        <v>0</v>
      </c>
      <c r="AD8" s="142">
        <f t="shared" si="45"/>
        <v>714</v>
      </c>
      <c r="AE8" s="147">
        <f t="shared" si="21"/>
        <v>0</v>
      </c>
      <c r="AF8" s="142">
        <f t="shared" si="46"/>
        <v>9359</v>
      </c>
      <c r="AG8" s="147">
        <f t="shared" si="21"/>
        <v>0</v>
      </c>
    </row>
    <row r="9" spans="1:33" ht="16.5" thickBot="1" x14ac:dyDescent="0.25">
      <c r="A9" s="9">
        <v>44841</v>
      </c>
      <c r="B9" s="144">
        <f t="shared" si="36"/>
        <v>25135.972000000002</v>
      </c>
      <c r="C9" s="43">
        <f t="shared" si="22"/>
        <v>0</v>
      </c>
      <c r="D9" s="28">
        <f t="shared" si="23"/>
        <v>0</v>
      </c>
      <c r="E9" s="1">
        <f t="shared" si="37"/>
        <v>4582.9840000000004</v>
      </c>
      <c r="F9" s="43">
        <f t="shared" si="24"/>
        <v>0</v>
      </c>
      <c r="G9" s="28">
        <f t="shared" si="25"/>
        <v>0</v>
      </c>
      <c r="H9" s="1">
        <f t="shared" si="38"/>
        <v>6278</v>
      </c>
      <c r="I9" s="43">
        <f t="shared" si="26"/>
        <v>0</v>
      </c>
      <c r="J9" s="28">
        <f t="shared" si="27"/>
        <v>0</v>
      </c>
      <c r="K9" s="7">
        <f t="shared" si="39"/>
        <v>14264.16</v>
      </c>
      <c r="L9" s="43">
        <f t="shared" si="28"/>
        <v>0</v>
      </c>
      <c r="M9" s="28">
        <f t="shared" si="29"/>
        <v>0</v>
      </c>
      <c r="N9" s="7">
        <f t="shared" si="40"/>
        <v>3789.998</v>
      </c>
      <c r="O9" s="43">
        <f t="shared" si="30"/>
        <v>0</v>
      </c>
      <c r="P9" s="28">
        <f t="shared" si="31"/>
        <v>0</v>
      </c>
      <c r="Q9" s="7">
        <f t="shared" si="41"/>
        <v>5585.28</v>
      </c>
      <c r="R9" s="43">
        <f t="shared" si="32"/>
        <v>0</v>
      </c>
      <c r="S9" s="28">
        <f t="shared" si="33"/>
        <v>0</v>
      </c>
      <c r="T9" s="8">
        <f t="shared" si="42"/>
        <v>0</v>
      </c>
      <c r="U9" s="30">
        <f t="shared" si="34"/>
        <v>0</v>
      </c>
      <c r="W9" s="141">
        <v>44841</v>
      </c>
      <c r="X9" s="142">
        <f t="shared" si="43"/>
        <v>214317</v>
      </c>
      <c r="Y9" s="147">
        <f t="shared" si="21"/>
        <v>0</v>
      </c>
      <c r="Z9" s="142">
        <f t="shared" si="44"/>
        <v>10084</v>
      </c>
      <c r="AA9" s="147">
        <f t="shared" si="21"/>
        <v>0</v>
      </c>
      <c r="AB9" s="142">
        <f t="shared" si="35"/>
        <v>40</v>
      </c>
      <c r="AC9" s="147">
        <f t="shared" si="21"/>
        <v>0</v>
      </c>
      <c r="AD9" s="142">
        <f t="shared" si="45"/>
        <v>714</v>
      </c>
      <c r="AE9" s="147">
        <f t="shared" si="21"/>
        <v>0</v>
      </c>
      <c r="AF9" s="142">
        <f t="shared" si="46"/>
        <v>9359</v>
      </c>
      <c r="AG9" s="147">
        <f t="shared" si="21"/>
        <v>0</v>
      </c>
    </row>
    <row r="10" spans="1:33" ht="16.5" thickBot="1" x14ac:dyDescent="0.25">
      <c r="A10" s="9">
        <v>44842</v>
      </c>
      <c r="B10" s="144">
        <f t="shared" si="36"/>
        <v>25135.972000000002</v>
      </c>
      <c r="C10" s="43">
        <f t="shared" si="22"/>
        <v>0</v>
      </c>
      <c r="D10" s="28">
        <f t="shared" si="23"/>
        <v>0</v>
      </c>
      <c r="E10" s="1">
        <f t="shared" si="37"/>
        <v>4582.9840000000004</v>
      </c>
      <c r="F10" s="43">
        <f t="shared" si="24"/>
        <v>0</v>
      </c>
      <c r="G10" s="28">
        <f t="shared" si="25"/>
        <v>0</v>
      </c>
      <c r="H10" s="1">
        <f t="shared" si="38"/>
        <v>6278</v>
      </c>
      <c r="I10" s="43">
        <f t="shared" si="26"/>
        <v>0</v>
      </c>
      <c r="J10" s="28">
        <f t="shared" si="27"/>
        <v>0</v>
      </c>
      <c r="K10" s="7">
        <f t="shared" si="39"/>
        <v>14264.16</v>
      </c>
      <c r="L10" s="43">
        <f t="shared" si="28"/>
        <v>0</v>
      </c>
      <c r="M10" s="28">
        <f t="shared" si="29"/>
        <v>0</v>
      </c>
      <c r="N10" s="7">
        <f t="shared" si="40"/>
        <v>3789.998</v>
      </c>
      <c r="O10" s="43">
        <f>IF((N10-N9)&lt;0,"0",(N10-N9))</f>
        <v>0</v>
      </c>
      <c r="P10" s="28">
        <f t="shared" si="31"/>
        <v>0</v>
      </c>
      <c r="Q10" s="7">
        <f t="shared" si="41"/>
        <v>5585.28</v>
      </c>
      <c r="R10" s="43">
        <f t="shared" si="32"/>
        <v>0</v>
      </c>
      <c r="S10" s="28">
        <f t="shared" si="33"/>
        <v>0</v>
      </c>
      <c r="T10" s="8">
        <f t="shared" si="42"/>
        <v>0</v>
      </c>
      <c r="U10" s="30">
        <f t="shared" si="34"/>
        <v>0</v>
      </c>
      <c r="W10" s="141">
        <v>44842</v>
      </c>
      <c r="X10" s="142">
        <f t="shared" si="43"/>
        <v>214317</v>
      </c>
      <c r="Y10" s="147">
        <f t="shared" si="21"/>
        <v>0</v>
      </c>
      <c r="Z10" s="142">
        <f t="shared" si="44"/>
        <v>10084</v>
      </c>
      <c r="AA10" s="147">
        <f t="shared" si="21"/>
        <v>0</v>
      </c>
      <c r="AB10" s="142">
        <f t="shared" si="35"/>
        <v>40</v>
      </c>
      <c r="AC10" s="147">
        <f t="shared" si="21"/>
        <v>0</v>
      </c>
      <c r="AD10" s="142">
        <f t="shared" si="45"/>
        <v>714</v>
      </c>
      <c r="AE10" s="147">
        <f t="shared" si="21"/>
        <v>0</v>
      </c>
      <c r="AF10" s="142">
        <f t="shared" si="46"/>
        <v>9359</v>
      </c>
      <c r="AG10" s="147">
        <f t="shared" si="21"/>
        <v>0</v>
      </c>
    </row>
    <row r="11" spans="1:33" ht="16.5" thickBot="1" x14ac:dyDescent="0.25">
      <c r="A11" s="9">
        <v>44843</v>
      </c>
      <c r="B11" s="144">
        <f t="shared" si="36"/>
        <v>25135.972000000002</v>
      </c>
      <c r="C11" s="43">
        <f t="shared" si="22"/>
        <v>0</v>
      </c>
      <c r="D11" s="28">
        <f t="shared" si="23"/>
        <v>0</v>
      </c>
      <c r="E11" s="1">
        <f t="shared" si="37"/>
        <v>4582.9840000000004</v>
      </c>
      <c r="F11" s="43">
        <f t="shared" si="24"/>
        <v>0</v>
      </c>
      <c r="G11" s="28">
        <f t="shared" si="25"/>
        <v>0</v>
      </c>
      <c r="H11" s="1">
        <f t="shared" si="38"/>
        <v>6278</v>
      </c>
      <c r="I11" s="43">
        <f t="shared" si="26"/>
        <v>0</v>
      </c>
      <c r="J11" s="28">
        <f t="shared" si="27"/>
        <v>0</v>
      </c>
      <c r="K11" s="7">
        <f t="shared" si="39"/>
        <v>14264.16</v>
      </c>
      <c r="L11" s="43">
        <f t="shared" si="28"/>
        <v>0</v>
      </c>
      <c r="M11" s="28">
        <f t="shared" si="29"/>
        <v>0</v>
      </c>
      <c r="N11" s="7">
        <f t="shared" si="40"/>
        <v>3789.998</v>
      </c>
      <c r="O11" s="43">
        <f t="shared" si="30"/>
        <v>0</v>
      </c>
      <c r="P11" s="28">
        <f t="shared" si="31"/>
        <v>0</v>
      </c>
      <c r="Q11" s="7">
        <f t="shared" si="41"/>
        <v>5585.28</v>
      </c>
      <c r="R11" s="43">
        <f t="shared" si="32"/>
        <v>0</v>
      </c>
      <c r="S11" s="28">
        <f t="shared" si="33"/>
        <v>0</v>
      </c>
      <c r="T11" s="8">
        <f t="shared" si="42"/>
        <v>0</v>
      </c>
      <c r="U11" s="30">
        <f t="shared" si="34"/>
        <v>0</v>
      </c>
      <c r="W11" s="141">
        <v>44843</v>
      </c>
      <c r="X11" s="142">
        <f t="shared" si="43"/>
        <v>214317</v>
      </c>
      <c r="Y11" s="147">
        <f t="shared" si="21"/>
        <v>0</v>
      </c>
      <c r="Z11" s="142">
        <f t="shared" si="44"/>
        <v>10084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si="45"/>
        <v>714</v>
      </c>
      <c r="AE11" s="147">
        <f t="shared" si="21"/>
        <v>0</v>
      </c>
      <c r="AF11" s="142">
        <f t="shared" si="46"/>
        <v>9359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6"/>
        <v>25135.972000000002</v>
      </c>
      <c r="C12" s="43">
        <f t="shared" si="22"/>
        <v>0</v>
      </c>
      <c r="D12" s="28">
        <f t="shared" si="23"/>
        <v>0</v>
      </c>
      <c r="E12" s="1">
        <f t="shared" si="37"/>
        <v>4582.9840000000004</v>
      </c>
      <c r="F12" s="43">
        <f t="shared" si="24"/>
        <v>0</v>
      </c>
      <c r="G12" s="28">
        <f t="shared" si="25"/>
        <v>0</v>
      </c>
      <c r="H12" s="1">
        <f t="shared" si="38"/>
        <v>6278</v>
      </c>
      <c r="I12" s="43">
        <f t="shared" si="26"/>
        <v>0</v>
      </c>
      <c r="J12" s="28">
        <f t="shared" si="27"/>
        <v>0</v>
      </c>
      <c r="K12" s="7">
        <f t="shared" si="39"/>
        <v>14264.16</v>
      </c>
      <c r="L12" s="43">
        <f t="shared" si="28"/>
        <v>0</v>
      </c>
      <c r="M12" s="28">
        <f t="shared" si="29"/>
        <v>0</v>
      </c>
      <c r="N12" s="7">
        <f t="shared" si="40"/>
        <v>3789.998</v>
      </c>
      <c r="O12" s="43">
        <f t="shared" si="30"/>
        <v>0</v>
      </c>
      <c r="P12" s="28">
        <f t="shared" si="31"/>
        <v>0</v>
      </c>
      <c r="Q12" s="7">
        <f t="shared" si="41"/>
        <v>5585.28</v>
      </c>
      <c r="R12" s="43">
        <f t="shared" si="32"/>
        <v>0</v>
      </c>
      <c r="S12" s="28">
        <f t="shared" si="33"/>
        <v>0</v>
      </c>
      <c r="T12" s="8">
        <f t="shared" si="42"/>
        <v>0</v>
      </c>
      <c r="U12" s="30">
        <f t="shared" si="34"/>
        <v>0</v>
      </c>
      <c r="W12" s="141">
        <v>44844</v>
      </c>
      <c r="X12" s="142">
        <f t="shared" si="43"/>
        <v>214317</v>
      </c>
      <c r="Y12" s="147">
        <f t="shared" si="21"/>
        <v>0</v>
      </c>
      <c r="Z12" s="142">
        <f t="shared" si="44"/>
        <v>10084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5"/>
        <v>714</v>
      </c>
      <c r="AE12" s="147">
        <f t="shared" si="21"/>
        <v>0</v>
      </c>
      <c r="AF12" s="142">
        <f t="shared" si="46"/>
        <v>9359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6"/>
        <v>25135.972000000002</v>
      </c>
      <c r="C13" s="43">
        <f t="shared" si="22"/>
        <v>0</v>
      </c>
      <c r="D13" s="28">
        <f t="shared" si="23"/>
        <v>0</v>
      </c>
      <c r="E13" s="1">
        <f t="shared" si="37"/>
        <v>4582.9840000000004</v>
      </c>
      <c r="F13" s="43">
        <f t="shared" si="24"/>
        <v>0</v>
      </c>
      <c r="G13" s="28">
        <f t="shared" si="25"/>
        <v>0</v>
      </c>
      <c r="H13" s="1">
        <f t="shared" si="38"/>
        <v>6278</v>
      </c>
      <c r="I13" s="43">
        <f t="shared" si="26"/>
        <v>0</v>
      </c>
      <c r="J13" s="28">
        <f t="shared" si="27"/>
        <v>0</v>
      </c>
      <c r="K13" s="7">
        <f t="shared" si="39"/>
        <v>14264.16</v>
      </c>
      <c r="L13" s="43">
        <f t="shared" si="28"/>
        <v>0</v>
      </c>
      <c r="M13" s="28">
        <f t="shared" si="29"/>
        <v>0</v>
      </c>
      <c r="N13" s="7">
        <f t="shared" si="40"/>
        <v>3789.998</v>
      </c>
      <c r="O13" s="43">
        <f t="shared" si="30"/>
        <v>0</v>
      </c>
      <c r="P13" s="28">
        <f t="shared" si="31"/>
        <v>0</v>
      </c>
      <c r="Q13" s="7">
        <f t="shared" si="41"/>
        <v>5585.28</v>
      </c>
      <c r="R13" s="43">
        <f t="shared" si="32"/>
        <v>0</v>
      </c>
      <c r="S13" s="28">
        <f t="shared" si="33"/>
        <v>0</v>
      </c>
      <c r="T13" s="8">
        <f t="shared" si="42"/>
        <v>0</v>
      </c>
      <c r="U13" s="30">
        <f t="shared" si="34"/>
        <v>0</v>
      </c>
      <c r="W13" s="141">
        <v>44845</v>
      </c>
      <c r="X13" s="142">
        <f t="shared" si="43"/>
        <v>214317</v>
      </c>
      <c r="Y13" s="147">
        <f t="shared" si="21"/>
        <v>0</v>
      </c>
      <c r="Z13" s="142">
        <f t="shared" si="44"/>
        <v>10084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5"/>
        <v>714</v>
      </c>
      <c r="AE13" s="147">
        <f t="shared" si="21"/>
        <v>0</v>
      </c>
      <c r="AF13" s="142">
        <f t="shared" si="46"/>
        <v>9359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6"/>
        <v>25135.972000000002</v>
      </c>
      <c r="C14" s="43">
        <f t="shared" si="22"/>
        <v>0</v>
      </c>
      <c r="D14" s="28">
        <f t="shared" si="23"/>
        <v>0</v>
      </c>
      <c r="E14" s="1">
        <f t="shared" si="37"/>
        <v>4582.9840000000004</v>
      </c>
      <c r="F14" s="43">
        <f t="shared" si="24"/>
        <v>0</v>
      </c>
      <c r="G14" s="28">
        <f t="shared" si="25"/>
        <v>0</v>
      </c>
      <c r="H14" s="1">
        <f t="shared" si="38"/>
        <v>6278</v>
      </c>
      <c r="I14" s="43">
        <f t="shared" si="26"/>
        <v>0</v>
      </c>
      <c r="J14" s="28">
        <f t="shared" si="27"/>
        <v>0</v>
      </c>
      <c r="K14" s="7">
        <f t="shared" si="39"/>
        <v>14264.16</v>
      </c>
      <c r="L14" s="43">
        <f t="shared" si="28"/>
        <v>0</v>
      </c>
      <c r="M14" s="28">
        <f t="shared" si="29"/>
        <v>0</v>
      </c>
      <c r="N14" s="7">
        <f t="shared" si="40"/>
        <v>3789.998</v>
      </c>
      <c r="O14" s="43">
        <f>IF((N14-N13)&lt;0,"0",(N14-N13))</f>
        <v>0</v>
      </c>
      <c r="P14" s="28">
        <f t="shared" si="31"/>
        <v>0</v>
      </c>
      <c r="Q14" s="7">
        <f t="shared" si="41"/>
        <v>5585.28</v>
      </c>
      <c r="R14" s="43">
        <f t="shared" si="32"/>
        <v>0</v>
      </c>
      <c r="S14" s="28">
        <f t="shared" si="33"/>
        <v>0</v>
      </c>
      <c r="T14" s="8">
        <f t="shared" si="42"/>
        <v>0</v>
      </c>
      <c r="U14" s="30">
        <f t="shared" si="34"/>
        <v>0</v>
      </c>
      <c r="W14" s="141">
        <v>44846</v>
      </c>
      <c r="X14" s="142">
        <f t="shared" si="43"/>
        <v>214317</v>
      </c>
      <c r="Y14" s="147">
        <f t="shared" si="21"/>
        <v>0</v>
      </c>
      <c r="Z14" s="142">
        <f t="shared" si="44"/>
        <v>10084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5"/>
        <v>714</v>
      </c>
      <c r="AE14" s="147">
        <f t="shared" si="21"/>
        <v>0</v>
      </c>
      <c r="AF14" s="142">
        <f t="shared" si="46"/>
        <v>9359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6"/>
        <v>25135.972000000002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7"/>
        <v>4582.9840000000004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8"/>
        <v>6278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39"/>
        <v>14264.16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0"/>
        <v>3789.998</v>
      </c>
      <c r="O15" s="43">
        <f>IF((N15-N14)&lt;0,"0",(N15-N14))</f>
        <v>0</v>
      </c>
      <c r="P15" s="28">
        <f t="shared" ref="P15" si="55">O15*1.9*1000</f>
        <v>0</v>
      </c>
      <c r="Q15" s="7">
        <f t="shared" si="41"/>
        <v>5585.28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3"/>
        <v>214317</v>
      </c>
      <c r="Y15" s="147">
        <f t="shared" si="21"/>
        <v>0</v>
      </c>
      <c r="Z15" s="142">
        <f t="shared" si="44"/>
        <v>10084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5"/>
        <v>714</v>
      </c>
      <c r="AE15" s="147">
        <f t="shared" si="21"/>
        <v>0</v>
      </c>
      <c r="AF15" s="142">
        <f t="shared" si="46"/>
        <v>9359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6"/>
        <v>25135.972000000002</v>
      </c>
      <c r="C16" s="43">
        <f t="shared" si="22"/>
        <v>0</v>
      </c>
      <c r="D16" s="28">
        <f t="shared" si="23"/>
        <v>0</v>
      </c>
      <c r="E16" s="1">
        <f t="shared" si="37"/>
        <v>4582.9840000000004</v>
      </c>
      <c r="F16" s="43">
        <f t="shared" si="24"/>
        <v>0</v>
      </c>
      <c r="G16" s="28">
        <f t="shared" si="25"/>
        <v>0</v>
      </c>
      <c r="H16" s="1">
        <f t="shared" si="38"/>
        <v>6278</v>
      </c>
      <c r="I16" s="43">
        <f t="shared" si="26"/>
        <v>0</v>
      </c>
      <c r="J16" s="28">
        <f t="shared" si="27"/>
        <v>0</v>
      </c>
      <c r="K16" s="7">
        <f t="shared" si="39"/>
        <v>14264.16</v>
      </c>
      <c r="L16" s="43">
        <f t="shared" si="28"/>
        <v>0</v>
      </c>
      <c r="M16" s="28">
        <f t="shared" si="29"/>
        <v>0</v>
      </c>
      <c r="N16" s="7">
        <f t="shared" si="40"/>
        <v>3789.998</v>
      </c>
      <c r="O16" s="43">
        <f t="shared" si="30"/>
        <v>0</v>
      </c>
      <c r="P16" s="28">
        <f t="shared" si="31"/>
        <v>0</v>
      </c>
      <c r="Q16" s="7">
        <f t="shared" si="41"/>
        <v>5585.28</v>
      </c>
      <c r="R16" s="43">
        <f t="shared" si="32"/>
        <v>0</v>
      </c>
      <c r="S16" s="28">
        <f t="shared" si="33"/>
        <v>0</v>
      </c>
      <c r="T16" s="8">
        <f t="shared" si="42"/>
        <v>0</v>
      </c>
      <c r="U16" s="30">
        <f t="shared" si="34"/>
        <v>0</v>
      </c>
      <c r="W16" s="141">
        <v>44848</v>
      </c>
      <c r="X16" s="142">
        <f t="shared" si="43"/>
        <v>214317</v>
      </c>
      <c r="Y16" s="147">
        <f t="shared" si="21"/>
        <v>0</v>
      </c>
      <c r="Z16" s="142">
        <f t="shared" si="44"/>
        <v>10084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5"/>
        <v>714</v>
      </c>
      <c r="AE16" s="147">
        <f t="shared" si="21"/>
        <v>0</v>
      </c>
      <c r="AF16" s="142">
        <f t="shared" si="46"/>
        <v>9359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6"/>
        <v>25135.972000000002</v>
      </c>
      <c r="C17" s="43">
        <f t="shared" si="22"/>
        <v>0</v>
      </c>
      <c r="D17" s="28">
        <f t="shared" si="23"/>
        <v>0</v>
      </c>
      <c r="E17" s="1">
        <f t="shared" si="37"/>
        <v>4582.9840000000004</v>
      </c>
      <c r="F17" s="43">
        <f t="shared" si="24"/>
        <v>0</v>
      </c>
      <c r="G17" s="28">
        <f t="shared" si="25"/>
        <v>0</v>
      </c>
      <c r="H17" s="1">
        <f t="shared" si="38"/>
        <v>6278</v>
      </c>
      <c r="I17" s="43">
        <f t="shared" si="26"/>
        <v>0</v>
      </c>
      <c r="J17" s="28">
        <f t="shared" si="27"/>
        <v>0</v>
      </c>
      <c r="K17" s="7">
        <f t="shared" si="39"/>
        <v>14264.16</v>
      </c>
      <c r="L17" s="43">
        <f t="shared" si="28"/>
        <v>0</v>
      </c>
      <c r="M17" s="28">
        <f t="shared" si="29"/>
        <v>0</v>
      </c>
      <c r="N17" s="7">
        <f t="shared" si="40"/>
        <v>3789.998</v>
      </c>
      <c r="O17" s="43">
        <f t="shared" si="30"/>
        <v>0</v>
      </c>
      <c r="P17" s="28">
        <f t="shared" si="31"/>
        <v>0</v>
      </c>
      <c r="Q17" s="7">
        <f t="shared" si="41"/>
        <v>5585.28</v>
      </c>
      <c r="R17" s="43">
        <f t="shared" si="32"/>
        <v>0</v>
      </c>
      <c r="S17" s="28">
        <f t="shared" si="33"/>
        <v>0</v>
      </c>
      <c r="T17" s="8">
        <f t="shared" si="42"/>
        <v>0</v>
      </c>
      <c r="U17" s="30">
        <f t="shared" si="34"/>
        <v>0</v>
      </c>
      <c r="W17" s="141">
        <v>44849</v>
      </c>
      <c r="X17" s="142">
        <f t="shared" si="43"/>
        <v>214317</v>
      </c>
      <c r="Y17" s="147">
        <f t="shared" si="21"/>
        <v>0</v>
      </c>
      <c r="Z17" s="142">
        <f t="shared" si="44"/>
        <v>10084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5"/>
        <v>714</v>
      </c>
      <c r="AE17" s="147">
        <f t="shared" si="21"/>
        <v>0</v>
      </c>
      <c r="AF17" s="142">
        <f t="shared" si="46"/>
        <v>9359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6"/>
        <v>25135.972000000002</v>
      </c>
      <c r="C18" s="43">
        <f t="shared" si="22"/>
        <v>0</v>
      </c>
      <c r="D18" s="28">
        <f t="shared" si="23"/>
        <v>0</v>
      </c>
      <c r="E18" s="1">
        <f t="shared" si="37"/>
        <v>4582.9840000000004</v>
      </c>
      <c r="F18" s="43">
        <f t="shared" si="24"/>
        <v>0</v>
      </c>
      <c r="G18" s="28">
        <f t="shared" si="25"/>
        <v>0</v>
      </c>
      <c r="H18" s="1">
        <f t="shared" si="38"/>
        <v>6278</v>
      </c>
      <c r="I18" s="43">
        <f t="shared" si="26"/>
        <v>0</v>
      </c>
      <c r="J18" s="28">
        <f t="shared" si="27"/>
        <v>0</v>
      </c>
      <c r="K18" s="7">
        <f t="shared" si="39"/>
        <v>14264.16</v>
      </c>
      <c r="L18" s="43">
        <f t="shared" si="28"/>
        <v>0</v>
      </c>
      <c r="M18" s="28">
        <f t="shared" si="29"/>
        <v>0</v>
      </c>
      <c r="N18" s="7">
        <f t="shared" si="40"/>
        <v>3789.998</v>
      </c>
      <c r="O18" s="43">
        <f t="shared" si="30"/>
        <v>0</v>
      </c>
      <c r="P18" s="28">
        <f t="shared" si="31"/>
        <v>0</v>
      </c>
      <c r="Q18" s="7">
        <f t="shared" si="41"/>
        <v>5585.28</v>
      </c>
      <c r="R18" s="43">
        <f t="shared" si="32"/>
        <v>0</v>
      </c>
      <c r="S18" s="28">
        <f t="shared" si="33"/>
        <v>0</v>
      </c>
      <c r="T18" s="8">
        <f t="shared" si="42"/>
        <v>0</v>
      </c>
      <c r="U18" s="30">
        <f t="shared" si="34"/>
        <v>0</v>
      </c>
      <c r="W18" s="141">
        <v>44850</v>
      </c>
      <c r="X18" s="142">
        <f t="shared" si="43"/>
        <v>214317</v>
      </c>
      <c r="Y18" s="147">
        <f t="shared" si="21"/>
        <v>0</v>
      </c>
      <c r="Z18" s="142">
        <f t="shared" si="44"/>
        <v>10084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5"/>
        <v>714</v>
      </c>
      <c r="AE18" s="147">
        <f t="shared" si="21"/>
        <v>0</v>
      </c>
      <c r="AF18" s="142">
        <f t="shared" si="46"/>
        <v>9359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6"/>
        <v>25135.972000000002</v>
      </c>
      <c r="C19" s="43">
        <f t="shared" si="22"/>
        <v>0</v>
      </c>
      <c r="D19" s="28">
        <f t="shared" si="23"/>
        <v>0</v>
      </c>
      <c r="E19" s="1">
        <f t="shared" si="37"/>
        <v>4582.9840000000004</v>
      </c>
      <c r="F19" s="43">
        <f t="shared" si="24"/>
        <v>0</v>
      </c>
      <c r="G19" s="28">
        <f t="shared" si="25"/>
        <v>0</v>
      </c>
      <c r="H19" s="1">
        <f t="shared" si="38"/>
        <v>6278</v>
      </c>
      <c r="I19" s="43">
        <f t="shared" si="26"/>
        <v>0</v>
      </c>
      <c r="J19" s="28">
        <f t="shared" si="27"/>
        <v>0</v>
      </c>
      <c r="K19" s="7">
        <f t="shared" si="39"/>
        <v>14264.16</v>
      </c>
      <c r="L19" s="43">
        <f t="shared" si="28"/>
        <v>0</v>
      </c>
      <c r="M19" s="28">
        <f t="shared" si="29"/>
        <v>0</v>
      </c>
      <c r="N19" s="7">
        <f t="shared" si="40"/>
        <v>3789.998</v>
      </c>
      <c r="O19" s="43">
        <f t="shared" si="30"/>
        <v>0</v>
      </c>
      <c r="P19" s="28">
        <f t="shared" si="31"/>
        <v>0</v>
      </c>
      <c r="Q19" s="7">
        <f t="shared" si="41"/>
        <v>5585.28</v>
      </c>
      <c r="R19" s="43">
        <f t="shared" si="32"/>
        <v>0</v>
      </c>
      <c r="S19" s="28">
        <f t="shared" si="33"/>
        <v>0</v>
      </c>
      <c r="T19" s="8">
        <f t="shared" si="42"/>
        <v>0</v>
      </c>
      <c r="U19" s="30">
        <f t="shared" si="34"/>
        <v>0</v>
      </c>
      <c r="W19" s="141">
        <v>44851</v>
      </c>
      <c r="X19" s="142">
        <f t="shared" si="43"/>
        <v>214317</v>
      </c>
      <c r="Y19" s="147">
        <f t="shared" si="21"/>
        <v>0</v>
      </c>
      <c r="Z19" s="142">
        <f t="shared" si="44"/>
        <v>10084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5"/>
        <v>714</v>
      </c>
      <c r="AE19" s="147">
        <f t="shared" si="21"/>
        <v>0</v>
      </c>
      <c r="AF19" s="142">
        <f t="shared" si="46"/>
        <v>9359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6"/>
        <v>25135.972000000002</v>
      </c>
      <c r="C20" s="43">
        <f t="shared" si="22"/>
        <v>0</v>
      </c>
      <c r="D20" s="28">
        <f t="shared" si="23"/>
        <v>0</v>
      </c>
      <c r="E20" s="1">
        <f t="shared" si="37"/>
        <v>4582.9840000000004</v>
      </c>
      <c r="F20" s="43">
        <f t="shared" si="24"/>
        <v>0</v>
      </c>
      <c r="G20" s="28">
        <f t="shared" si="25"/>
        <v>0</v>
      </c>
      <c r="H20" s="1">
        <f t="shared" si="38"/>
        <v>6278</v>
      </c>
      <c r="I20" s="43">
        <f t="shared" si="26"/>
        <v>0</v>
      </c>
      <c r="J20" s="28">
        <f t="shared" si="27"/>
        <v>0</v>
      </c>
      <c r="K20" s="7">
        <f t="shared" si="39"/>
        <v>14264.16</v>
      </c>
      <c r="L20" s="43">
        <f t="shared" si="28"/>
        <v>0</v>
      </c>
      <c r="M20" s="28">
        <f t="shared" si="29"/>
        <v>0</v>
      </c>
      <c r="N20" s="7">
        <f t="shared" si="40"/>
        <v>3789.998</v>
      </c>
      <c r="O20" s="43">
        <f t="shared" si="30"/>
        <v>0</v>
      </c>
      <c r="P20" s="28">
        <f t="shared" si="31"/>
        <v>0</v>
      </c>
      <c r="Q20" s="7">
        <f t="shared" si="41"/>
        <v>5585.28</v>
      </c>
      <c r="R20" s="43">
        <f t="shared" si="32"/>
        <v>0</v>
      </c>
      <c r="S20" s="28">
        <f t="shared" si="33"/>
        <v>0</v>
      </c>
      <c r="T20" s="8">
        <f t="shared" si="42"/>
        <v>0</v>
      </c>
      <c r="U20" s="30">
        <f t="shared" si="34"/>
        <v>0</v>
      </c>
      <c r="W20" s="141">
        <v>44852</v>
      </c>
      <c r="X20" s="142">
        <f t="shared" si="43"/>
        <v>214317</v>
      </c>
      <c r="Y20" s="147">
        <f t="shared" si="21"/>
        <v>0</v>
      </c>
      <c r="Z20" s="142">
        <f t="shared" si="44"/>
        <v>10084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5"/>
        <v>714</v>
      </c>
      <c r="AE20" s="147">
        <f t="shared" si="21"/>
        <v>0</v>
      </c>
      <c r="AF20" s="142">
        <f t="shared" si="46"/>
        <v>9359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6"/>
        <v>25135.972000000002</v>
      </c>
      <c r="C21" s="43">
        <f t="shared" si="22"/>
        <v>0</v>
      </c>
      <c r="D21" s="28">
        <f t="shared" si="23"/>
        <v>0</v>
      </c>
      <c r="E21" s="1">
        <f t="shared" si="37"/>
        <v>4582.9840000000004</v>
      </c>
      <c r="F21" s="43">
        <f t="shared" si="24"/>
        <v>0</v>
      </c>
      <c r="G21" s="28">
        <f t="shared" si="25"/>
        <v>0</v>
      </c>
      <c r="H21" s="1">
        <f t="shared" si="38"/>
        <v>6278</v>
      </c>
      <c r="I21" s="43">
        <f t="shared" si="26"/>
        <v>0</v>
      </c>
      <c r="J21" s="28">
        <f t="shared" si="27"/>
        <v>0</v>
      </c>
      <c r="K21" s="7">
        <f t="shared" si="39"/>
        <v>14264.16</v>
      </c>
      <c r="L21" s="43">
        <f t="shared" si="28"/>
        <v>0</v>
      </c>
      <c r="M21" s="28">
        <f t="shared" si="29"/>
        <v>0</v>
      </c>
      <c r="N21" s="7">
        <f t="shared" si="40"/>
        <v>3789.998</v>
      </c>
      <c r="O21" s="43">
        <f t="shared" si="30"/>
        <v>0</v>
      </c>
      <c r="P21" s="28">
        <f t="shared" si="31"/>
        <v>0</v>
      </c>
      <c r="Q21" s="7">
        <f t="shared" si="41"/>
        <v>5585.28</v>
      </c>
      <c r="R21" s="43">
        <f t="shared" si="32"/>
        <v>0</v>
      </c>
      <c r="S21" s="28">
        <f t="shared" si="33"/>
        <v>0</v>
      </c>
      <c r="T21" s="8">
        <f t="shared" si="42"/>
        <v>0</v>
      </c>
      <c r="U21" s="30">
        <f t="shared" si="34"/>
        <v>0</v>
      </c>
      <c r="W21" s="141">
        <v>44853</v>
      </c>
      <c r="X21" s="142">
        <f t="shared" si="43"/>
        <v>214317</v>
      </c>
      <c r="Y21" s="147">
        <f t="shared" si="21"/>
        <v>0</v>
      </c>
      <c r="Z21" s="142">
        <f t="shared" si="44"/>
        <v>10084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5"/>
        <v>714</v>
      </c>
      <c r="AE21" s="147">
        <f t="shared" si="21"/>
        <v>0</v>
      </c>
      <c r="AF21" s="142">
        <f t="shared" si="46"/>
        <v>9359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6"/>
        <v>25135.972000000002</v>
      </c>
      <c r="C22" s="43">
        <f t="shared" si="22"/>
        <v>0</v>
      </c>
      <c r="D22" s="28">
        <f t="shared" si="23"/>
        <v>0</v>
      </c>
      <c r="E22" s="1">
        <f t="shared" si="37"/>
        <v>4582.9840000000004</v>
      </c>
      <c r="F22" s="43">
        <f t="shared" si="24"/>
        <v>0</v>
      </c>
      <c r="G22" s="28">
        <f t="shared" si="25"/>
        <v>0</v>
      </c>
      <c r="H22" s="1">
        <f t="shared" si="38"/>
        <v>6278</v>
      </c>
      <c r="I22" s="43">
        <f t="shared" si="26"/>
        <v>0</v>
      </c>
      <c r="J22" s="28">
        <f t="shared" si="27"/>
        <v>0</v>
      </c>
      <c r="K22" s="7">
        <f t="shared" si="39"/>
        <v>14264.16</v>
      </c>
      <c r="L22" s="43">
        <f t="shared" si="28"/>
        <v>0</v>
      </c>
      <c r="M22" s="28">
        <f t="shared" si="29"/>
        <v>0</v>
      </c>
      <c r="N22" s="7">
        <f t="shared" si="40"/>
        <v>3789.998</v>
      </c>
      <c r="O22" s="43">
        <f t="shared" si="30"/>
        <v>0</v>
      </c>
      <c r="P22" s="28">
        <f t="shared" si="31"/>
        <v>0</v>
      </c>
      <c r="Q22" s="7">
        <f t="shared" si="41"/>
        <v>5585.28</v>
      </c>
      <c r="R22" s="43">
        <f t="shared" si="32"/>
        <v>0</v>
      </c>
      <c r="S22" s="28">
        <f t="shared" si="33"/>
        <v>0</v>
      </c>
      <c r="T22" s="8">
        <f t="shared" si="42"/>
        <v>0</v>
      </c>
      <c r="U22" s="30">
        <f t="shared" si="34"/>
        <v>0</v>
      </c>
      <c r="W22" s="141">
        <v>44854</v>
      </c>
      <c r="X22" s="142">
        <f t="shared" si="43"/>
        <v>214317</v>
      </c>
      <c r="Y22" s="147">
        <f t="shared" si="21"/>
        <v>0</v>
      </c>
      <c r="Z22" s="142">
        <f t="shared" si="44"/>
        <v>10084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5"/>
        <v>714</v>
      </c>
      <c r="AE22" s="147">
        <f t="shared" si="21"/>
        <v>0</v>
      </c>
      <c r="AF22" s="142">
        <f t="shared" si="46"/>
        <v>9359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6"/>
        <v>25135.972000000002</v>
      </c>
      <c r="C23" s="43">
        <f t="shared" si="22"/>
        <v>0</v>
      </c>
      <c r="D23" s="28">
        <f t="shared" si="23"/>
        <v>0</v>
      </c>
      <c r="E23" s="1">
        <f t="shared" si="37"/>
        <v>4582.9840000000004</v>
      </c>
      <c r="F23" s="43">
        <f t="shared" si="24"/>
        <v>0</v>
      </c>
      <c r="G23" s="28">
        <f t="shared" si="25"/>
        <v>0</v>
      </c>
      <c r="H23" s="1">
        <f t="shared" si="38"/>
        <v>6278</v>
      </c>
      <c r="I23" s="43">
        <f t="shared" si="26"/>
        <v>0</v>
      </c>
      <c r="J23" s="28">
        <f t="shared" si="27"/>
        <v>0</v>
      </c>
      <c r="K23" s="7">
        <f t="shared" si="39"/>
        <v>14264.16</v>
      </c>
      <c r="L23" s="43">
        <f t="shared" si="28"/>
        <v>0</v>
      </c>
      <c r="M23" s="28">
        <f t="shared" si="29"/>
        <v>0</v>
      </c>
      <c r="N23" s="7">
        <f t="shared" si="40"/>
        <v>3789.998</v>
      </c>
      <c r="O23" s="43">
        <f t="shared" si="30"/>
        <v>0</v>
      </c>
      <c r="P23" s="28">
        <f t="shared" si="31"/>
        <v>0</v>
      </c>
      <c r="Q23" s="7">
        <f t="shared" si="41"/>
        <v>5585.28</v>
      </c>
      <c r="R23" s="43">
        <f t="shared" si="32"/>
        <v>0</v>
      </c>
      <c r="S23" s="28">
        <f t="shared" si="33"/>
        <v>0</v>
      </c>
      <c r="T23" s="8">
        <f t="shared" si="42"/>
        <v>0</v>
      </c>
      <c r="U23" s="30">
        <f t="shared" si="34"/>
        <v>0</v>
      </c>
      <c r="W23" s="141">
        <v>44855</v>
      </c>
      <c r="X23" s="142">
        <f t="shared" si="43"/>
        <v>214317</v>
      </c>
      <c r="Y23" s="147">
        <f t="shared" si="21"/>
        <v>0</v>
      </c>
      <c r="Z23" s="142">
        <f t="shared" si="44"/>
        <v>10084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5"/>
        <v>714</v>
      </c>
      <c r="AE23" s="147">
        <f t="shared" si="21"/>
        <v>0</v>
      </c>
      <c r="AF23" s="142">
        <f t="shared" si="46"/>
        <v>9359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6"/>
        <v>25135.972000000002</v>
      </c>
      <c r="C24" s="43">
        <f t="shared" si="22"/>
        <v>0</v>
      </c>
      <c r="D24" s="28">
        <f t="shared" si="23"/>
        <v>0</v>
      </c>
      <c r="E24" s="1">
        <f t="shared" si="37"/>
        <v>4582.9840000000004</v>
      </c>
      <c r="F24" s="43">
        <f t="shared" si="24"/>
        <v>0</v>
      </c>
      <c r="G24" s="28">
        <f t="shared" si="25"/>
        <v>0</v>
      </c>
      <c r="H24" s="1">
        <f t="shared" si="38"/>
        <v>6278</v>
      </c>
      <c r="I24" s="43">
        <f t="shared" si="26"/>
        <v>0</v>
      </c>
      <c r="J24" s="28">
        <f t="shared" si="27"/>
        <v>0</v>
      </c>
      <c r="K24" s="7">
        <f t="shared" si="39"/>
        <v>14264.16</v>
      </c>
      <c r="L24" s="43">
        <f t="shared" si="28"/>
        <v>0</v>
      </c>
      <c r="M24" s="28">
        <f t="shared" si="29"/>
        <v>0</v>
      </c>
      <c r="N24" s="7">
        <f t="shared" si="40"/>
        <v>3789.998</v>
      </c>
      <c r="O24" s="43">
        <f t="shared" si="30"/>
        <v>0</v>
      </c>
      <c r="P24" s="28">
        <f t="shared" si="31"/>
        <v>0</v>
      </c>
      <c r="Q24" s="7">
        <f t="shared" si="41"/>
        <v>5585.28</v>
      </c>
      <c r="R24" s="43">
        <f t="shared" si="32"/>
        <v>0</v>
      </c>
      <c r="S24" s="28">
        <f t="shared" si="33"/>
        <v>0</v>
      </c>
      <c r="T24" s="8">
        <f t="shared" si="42"/>
        <v>0</v>
      </c>
      <c r="U24" s="30">
        <f t="shared" si="34"/>
        <v>0</v>
      </c>
      <c r="W24" s="141">
        <v>44856</v>
      </c>
      <c r="X24" s="142">
        <f t="shared" si="43"/>
        <v>214317</v>
      </c>
      <c r="Y24" s="147">
        <f t="shared" si="21"/>
        <v>0</v>
      </c>
      <c r="Z24" s="142">
        <f t="shared" si="44"/>
        <v>10084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5"/>
        <v>714</v>
      </c>
      <c r="AE24" s="147">
        <f t="shared" si="21"/>
        <v>0</v>
      </c>
      <c r="AF24" s="142">
        <f t="shared" si="46"/>
        <v>9359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6"/>
        <v>25135.972000000002</v>
      </c>
      <c r="C25" s="43">
        <f t="shared" si="22"/>
        <v>0</v>
      </c>
      <c r="D25" s="28">
        <f t="shared" si="23"/>
        <v>0</v>
      </c>
      <c r="E25" s="1">
        <f t="shared" si="37"/>
        <v>4582.9840000000004</v>
      </c>
      <c r="F25" s="43">
        <f t="shared" si="24"/>
        <v>0</v>
      </c>
      <c r="G25" s="28">
        <f t="shared" si="25"/>
        <v>0</v>
      </c>
      <c r="H25" s="1">
        <f t="shared" si="38"/>
        <v>6278</v>
      </c>
      <c r="I25" s="43">
        <f t="shared" si="26"/>
        <v>0</v>
      </c>
      <c r="J25" s="28">
        <f t="shared" si="27"/>
        <v>0</v>
      </c>
      <c r="K25" s="7">
        <f t="shared" si="39"/>
        <v>14264.16</v>
      </c>
      <c r="L25" s="43">
        <f t="shared" si="28"/>
        <v>0</v>
      </c>
      <c r="M25" s="28">
        <f t="shared" si="29"/>
        <v>0</v>
      </c>
      <c r="N25" s="7">
        <f t="shared" si="40"/>
        <v>3789.998</v>
      </c>
      <c r="O25" s="43">
        <f t="shared" si="30"/>
        <v>0</v>
      </c>
      <c r="P25" s="28">
        <f t="shared" si="31"/>
        <v>0</v>
      </c>
      <c r="Q25" s="7">
        <f t="shared" si="41"/>
        <v>5585.28</v>
      </c>
      <c r="R25" s="43">
        <f t="shared" si="32"/>
        <v>0</v>
      </c>
      <c r="S25" s="28">
        <f t="shared" si="33"/>
        <v>0</v>
      </c>
      <c r="T25" s="8">
        <f t="shared" si="42"/>
        <v>0</v>
      </c>
      <c r="U25" s="30">
        <f t="shared" si="34"/>
        <v>0</v>
      </c>
      <c r="W25" s="141">
        <v>44857</v>
      </c>
      <c r="X25" s="142">
        <f t="shared" si="43"/>
        <v>214317</v>
      </c>
      <c r="Y25" s="147">
        <f t="shared" si="21"/>
        <v>0</v>
      </c>
      <c r="Z25" s="142">
        <f t="shared" si="44"/>
        <v>10084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5"/>
        <v>714</v>
      </c>
      <c r="AE25" s="147">
        <f t="shared" si="21"/>
        <v>0</v>
      </c>
      <c r="AF25" s="142">
        <f t="shared" si="46"/>
        <v>9359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6"/>
        <v>25135.972000000002</v>
      </c>
      <c r="C26" s="43">
        <f t="shared" si="22"/>
        <v>0</v>
      </c>
      <c r="D26" s="28">
        <f t="shared" si="23"/>
        <v>0</v>
      </c>
      <c r="E26" s="1">
        <f t="shared" si="37"/>
        <v>4582.9840000000004</v>
      </c>
      <c r="F26" s="43">
        <f t="shared" si="24"/>
        <v>0</v>
      </c>
      <c r="G26" s="28">
        <f t="shared" si="25"/>
        <v>0</v>
      </c>
      <c r="H26" s="1">
        <f t="shared" si="38"/>
        <v>6278</v>
      </c>
      <c r="I26" s="43">
        <f t="shared" si="26"/>
        <v>0</v>
      </c>
      <c r="J26" s="28">
        <f t="shared" si="27"/>
        <v>0</v>
      </c>
      <c r="K26" s="7">
        <f t="shared" si="39"/>
        <v>14264.16</v>
      </c>
      <c r="L26" s="43">
        <f>IF((K26-K25)&lt;0,"0",(K26-K25))</f>
        <v>0</v>
      </c>
      <c r="M26" s="28">
        <f t="shared" si="29"/>
        <v>0</v>
      </c>
      <c r="N26" s="7">
        <f t="shared" si="40"/>
        <v>3789.998</v>
      </c>
      <c r="O26" s="43">
        <f t="shared" si="30"/>
        <v>0</v>
      </c>
      <c r="P26" s="28">
        <f t="shared" si="31"/>
        <v>0</v>
      </c>
      <c r="Q26" s="7">
        <f t="shared" si="41"/>
        <v>5585.28</v>
      </c>
      <c r="R26" s="43">
        <f t="shared" si="32"/>
        <v>0</v>
      </c>
      <c r="S26" s="28">
        <f t="shared" si="33"/>
        <v>0</v>
      </c>
      <c r="T26" s="8">
        <f t="shared" si="42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3"/>
        <v>214317</v>
      </c>
      <c r="Y26" s="147">
        <f t="shared" si="21"/>
        <v>0</v>
      </c>
      <c r="Z26" s="142">
        <f t="shared" si="44"/>
        <v>10084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5"/>
        <v>714</v>
      </c>
      <c r="AE26" s="147">
        <f t="shared" si="21"/>
        <v>0</v>
      </c>
      <c r="AF26" s="142">
        <f t="shared" si="46"/>
        <v>9359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6"/>
        <v>25135.972000000002</v>
      </c>
      <c r="C27" s="43">
        <f t="shared" si="22"/>
        <v>0</v>
      </c>
      <c r="D27" s="28">
        <f t="shared" si="23"/>
        <v>0</v>
      </c>
      <c r="E27" s="1">
        <f t="shared" si="37"/>
        <v>4582.9840000000004</v>
      </c>
      <c r="F27" s="43">
        <f t="shared" si="24"/>
        <v>0</v>
      </c>
      <c r="G27" s="28">
        <f t="shared" si="25"/>
        <v>0</v>
      </c>
      <c r="H27" s="1">
        <f t="shared" si="38"/>
        <v>6278</v>
      </c>
      <c r="I27" s="43">
        <f t="shared" si="26"/>
        <v>0</v>
      </c>
      <c r="J27" s="28">
        <f t="shared" si="27"/>
        <v>0</v>
      </c>
      <c r="K27" s="7">
        <f t="shared" si="39"/>
        <v>14264.16</v>
      </c>
      <c r="L27" s="43">
        <f t="shared" si="28"/>
        <v>0</v>
      </c>
      <c r="M27" s="28">
        <f t="shared" si="29"/>
        <v>0</v>
      </c>
      <c r="N27" s="7">
        <f t="shared" si="40"/>
        <v>3789.998</v>
      </c>
      <c r="O27" s="43">
        <f t="shared" si="30"/>
        <v>0</v>
      </c>
      <c r="P27" s="28">
        <f t="shared" si="31"/>
        <v>0</v>
      </c>
      <c r="Q27" s="7">
        <f t="shared" si="41"/>
        <v>5585.28</v>
      </c>
      <c r="R27" s="43">
        <f t="shared" si="32"/>
        <v>0</v>
      </c>
      <c r="S27" s="28">
        <f t="shared" si="33"/>
        <v>0</v>
      </c>
      <c r="T27" s="8">
        <f t="shared" si="42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3"/>
        <v>214317</v>
      </c>
      <c r="Y27" s="147">
        <f t="shared" si="21"/>
        <v>0</v>
      </c>
      <c r="Z27" s="142">
        <f t="shared" si="44"/>
        <v>10084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5"/>
        <v>714</v>
      </c>
      <c r="AE27" s="147">
        <f t="shared" si="21"/>
        <v>0</v>
      </c>
      <c r="AF27" s="142">
        <f t="shared" si="46"/>
        <v>9359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6"/>
        <v>25135.972000000002</v>
      </c>
      <c r="C28" s="43">
        <f t="shared" si="22"/>
        <v>0</v>
      </c>
      <c r="D28" s="28">
        <f t="shared" si="23"/>
        <v>0</v>
      </c>
      <c r="E28" s="1">
        <f t="shared" si="37"/>
        <v>4582.9840000000004</v>
      </c>
      <c r="F28" s="43">
        <f t="shared" si="24"/>
        <v>0</v>
      </c>
      <c r="G28" s="28">
        <f t="shared" si="25"/>
        <v>0</v>
      </c>
      <c r="H28" s="1">
        <f t="shared" si="38"/>
        <v>6278</v>
      </c>
      <c r="I28" s="43">
        <f t="shared" si="26"/>
        <v>0</v>
      </c>
      <c r="J28" s="28">
        <f t="shared" si="27"/>
        <v>0</v>
      </c>
      <c r="K28" s="7">
        <f t="shared" si="39"/>
        <v>14264.16</v>
      </c>
      <c r="L28" s="43">
        <f t="shared" si="28"/>
        <v>0</v>
      </c>
      <c r="M28" s="28">
        <f t="shared" si="29"/>
        <v>0</v>
      </c>
      <c r="N28" s="7">
        <f t="shared" si="40"/>
        <v>3789.998</v>
      </c>
      <c r="O28" s="43">
        <f t="shared" si="30"/>
        <v>0</v>
      </c>
      <c r="P28" s="28">
        <f t="shared" si="31"/>
        <v>0</v>
      </c>
      <c r="Q28" s="7">
        <f t="shared" si="41"/>
        <v>5585.28</v>
      </c>
      <c r="R28" s="43">
        <f t="shared" si="32"/>
        <v>0</v>
      </c>
      <c r="S28" s="28">
        <f t="shared" si="33"/>
        <v>0</v>
      </c>
      <c r="T28" s="8">
        <f t="shared" si="42"/>
        <v>0</v>
      </c>
      <c r="U28" s="30">
        <f t="shared" si="34"/>
        <v>0</v>
      </c>
      <c r="W28" s="141">
        <v>44860</v>
      </c>
      <c r="X28" s="142">
        <f t="shared" si="43"/>
        <v>214317</v>
      </c>
      <c r="Y28" s="147">
        <f t="shared" si="21"/>
        <v>0</v>
      </c>
      <c r="Z28" s="142">
        <f t="shared" si="44"/>
        <v>10084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5"/>
        <v>714</v>
      </c>
      <c r="AE28" s="147">
        <f t="shared" si="21"/>
        <v>0</v>
      </c>
      <c r="AF28" s="142">
        <f t="shared" si="46"/>
        <v>9359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6"/>
        <v>25135.972000000002</v>
      </c>
      <c r="C29" s="43">
        <f t="shared" si="22"/>
        <v>0</v>
      </c>
      <c r="D29" s="28">
        <f t="shared" si="23"/>
        <v>0</v>
      </c>
      <c r="E29" s="1">
        <f t="shared" si="37"/>
        <v>4582.9840000000004</v>
      </c>
      <c r="F29" s="43">
        <f t="shared" si="24"/>
        <v>0</v>
      </c>
      <c r="G29" s="28">
        <f t="shared" si="25"/>
        <v>0</v>
      </c>
      <c r="H29" s="1">
        <f t="shared" si="38"/>
        <v>6278</v>
      </c>
      <c r="I29" s="43">
        <f t="shared" si="26"/>
        <v>0</v>
      </c>
      <c r="J29" s="28">
        <f t="shared" si="27"/>
        <v>0</v>
      </c>
      <c r="K29" s="7">
        <f t="shared" si="39"/>
        <v>14264.16</v>
      </c>
      <c r="L29" s="43">
        <f t="shared" si="28"/>
        <v>0</v>
      </c>
      <c r="M29" s="28">
        <f t="shared" si="29"/>
        <v>0</v>
      </c>
      <c r="N29" s="7">
        <f t="shared" si="40"/>
        <v>3789.998</v>
      </c>
      <c r="O29" s="43">
        <f t="shared" si="30"/>
        <v>0</v>
      </c>
      <c r="P29" s="28">
        <f t="shared" si="31"/>
        <v>0</v>
      </c>
      <c r="Q29" s="7">
        <f t="shared" si="41"/>
        <v>5585.28</v>
      </c>
      <c r="R29" s="43">
        <f t="shared" si="32"/>
        <v>0</v>
      </c>
      <c r="S29" s="28">
        <f t="shared" si="33"/>
        <v>0</v>
      </c>
      <c r="T29" s="8">
        <f t="shared" si="42"/>
        <v>0</v>
      </c>
      <c r="U29" s="30">
        <f t="shared" si="34"/>
        <v>0</v>
      </c>
      <c r="W29" s="141">
        <v>44861</v>
      </c>
      <c r="X29" s="142">
        <f t="shared" si="43"/>
        <v>214317</v>
      </c>
      <c r="Y29" s="147">
        <f t="shared" si="21"/>
        <v>0</v>
      </c>
      <c r="Z29" s="142">
        <f t="shared" si="44"/>
        <v>10084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5"/>
        <v>714</v>
      </c>
      <c r="AE29" s="147">
        <f t="shared" si="21"/>
        <v>0</v>
      </c>
      <c r="AF29" s="142">
        <f t="shared" si="46"/>
        <v>9359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6"/>
        <v>25135.972000000002</v>
      </c>
      <c r="C30" s="43">
        <f t="shared" si="22"/>
        <v>0</v>
      </c>
      <c r="D30" s="28">
        <f t="shared" si="23"/>
        <v>0</v>
      </c>
      <c r="E30" s="1">
        <f t="shared" si="37"/>
        <v>4582.9840000000004</v>
      </c>
      <c r="F30" s="43">
        <f t="shared" si="24"/>
        <v>0</v>
      </c>
      <c r="G30" s="28">
        <f t="shared" si="25"/>
        <v>0</v>
      </c>
      <c r="H30" s="1">
        <f t="shared" si="38"/>
        <v>6278</v>
      </c>
      <c r="I30" s="43">
        <f t="shared" si="26"/>
        <v>0</v>
      </c>
      <c r="J30" s="28">
        <f t="shared" si="27"/>
        <v>0</v>
      </c>
      <c r="K30" s="7">
        <f t="shared" si="39"/>
        <v>14264.16</v>
      </c>
      <c r="L30" s="43">
        <f t="shared" si="28"/>
        <v>0</v>
      </c>
      <c r="M30" s="28">
        <f t="shared" si="29"/>
        <v>0</v>
      </c>
      <c r="N30" s="7">
        <f t="shared" si="40"/>
        <v>3789.998</v>
      </c>
      <c r="O30" s="43">
        <f t="shared" si="30"/>
        <v>0</v>
      </c>
      <c r="P30" s="28">
        <f t="shared" si="31"/>
        <v>0</v>
      </c>
      <c r="Q30" s="7">
        <f t="shared" si="41"/>
        <v>5585.28</v>
      </c>
      <c r="R30" s="43">
        <f t="shared" si="32"/>
        <v>0</v>
      </c>
      <c r="S30" s="28">
        <f t="shared" si="33"/>
        <v>0</v>
      </c>
      <c r="T30" s="8">
        <f t="shared" si="42"/>
        <v>0</v>
      </c>
      <c r="U30" s="30">
        <f t="shared" si="34"/>
        <v>0</v>
      </c>
      <c r="W30" s="141">
        <v>44862</v>
      </c>
      <c r="X30" s="142">
        <f t="shared" si="43"/>
        <v>214317</v>
      </c>
      <c r="Y30" s="147">
        <f t="shared" si="21"/>
        <v>0</v>
      </c>
      <c r="Z30" s="142">
        <f t="shared" si="44"/>
        <v>10084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5"/>
        <v>714</v>
      </c>
      <c r="AE30" s="147">
        <f t="shared" si="21"/>
        <v>0</v>
      </c>
      <c r="AF30" s="142">
        <f t="shared" si="46"/>
        <v>9359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6"/>
        <v>25135.972000000002</v>
      </c>
      <c r="C31" s="43">
        <f t="shared" si="22"/>
        <v>0</v>
      </c>
      <c r="D31" s="28">
        <f t="shared" si="23"/>
        <v>0</v>
      </c>
      <c r="E31" s="1">
        <f t="shared" si="37"/>
        <v>4582.9840000000004</v>
      </c>
      <c r="F31" s="43">
        <f t="shared" si="24"/>
        <v>0</v>
      </c>
      <c r="G31" s="28">
        <f t="shared" si="25"/>
        <v>0</v>
      </c>
      <c r="H31" s="1">
        <f t="shared" si="38"/>
        <v>6278</v>
      </c>
      <c r="I31" s="43">
        <f t="shared" si="26"/>
        <v>0</v>
      </c>
      <c r="J31" s="28">
        <f t="shared" si="27"/>
        <v>0</v>
      </c>
      <c r="K31" s="7">
        <f t="shared" si="39"/>
        <v>14264.16</v>
      </c>
      <c r="L31" s="43">
        <f t="shared" si="28"/>
        <v>0</v>
      </c>
      <c r="M31" s="28">
        <f t="shared" si="29"/>
        <v>0</v>
      </c>
      <c r="N31" s="7">
        <f t="shared" si="40"/>
        <v>3789.998</v>
      </c>
      <c r="O31" s="43">
        <f t="shared" si="30"/>
        <v>0</v>
      </c>
      <c r="P31" s="28">
        <f t="shared" si="31"/>
        <v>0</v>
      </c>
      <c r="Q31" s="7">
        <f t="shared" si="41"/>
        <v>5585.28</v>
      </c>
      <c r="R31" s="43">
        <f t="shared" si="32"/>
        <v>0</v>
      </c>
      <c r="S31" s="28">
        <f t="shared" si="33"/>
        <v>0</v>
      </c>
      <c r="T31" s="8">
        <f t="shared" si="42"/>
        <v>0</v>
      </c>
      <c r="U31" s="30">
        <f t="shared" si="34"/>
        <v>0</v>
      </c>
      <c r="W31" s="141">
        <v>44863</v>
      </c>
      <c r="X31" s="142">
        <f t="shared" si="43"/>
        <v>214317</v>
      </c>
      <c r="Y31" s="147">
        <f t="shared" si="21"/>
        <v>0</v>
      </c>
      <c r="Z31" s="142">
        <f t="shared" si="44"/>
        <v>10084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5"/>
        <v>714</v>
      </c>
      <c r="AE31" s="147">
        <f t="shared" si="21"/>
        <v>0</v>
      </c>
      <c r="AF31" s="142">
        <f t="shared" si="46"/>
        <v>9359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6"/>
        <v>25135.972000000002</v>
      </c>
      <c r="C32" s="43">
        <f t="shared" si="22"/>
        <v>0</v>
      </c>
      <c r="D32" s="28">
        <f t="shared" si="23"/>
        <v>0</v>
      </c>
      <c r="E32" s="1">
        <f t="shared" si="37"/>
        <v>4582.9840000000004</v>
      </c>
      <c r="F32" s="43">
        <f t="shared" si="24"/>
        <v>0</v>
      </c>
      <c r="G32" s="28">
        <f t="shared" si="25"/>
        <v>0</v>
      </c>
      <c r="H32" s="1">
        <f t="shared" si="38"/>
        <v>6278</v>
      </c>
      <c r="I32" s="43">
        <f t="shared" si="26"/>
        <v>0</v>
      </c>
      <c r="J32" s="28">
        <f t="shared" si="27"/>
        <v>0</v>
      </c>
      <c r="K32" s="7">
        <f t="shared" si="39"/>
        <v>14264.16</v>
      </c>
      <c r="L32" s="43">
        <f t="shared" si="28"/>
        <v>0</v>
      </c>
      <c r="M32" s="28">
        <f t="shared" si="29"/>
        <v>0</v>
      </c>
      <c r="N32" s="7">
        <f t="shared" si="40"/>
        <v>3789.998</v>
      </c>
      <c r="O32" s="43">
        <f t="shared" si="30"/>
        <v>0</v>
      </c>
      <c r="P32" s="28">
        <f t="shared" si="31"/>
        <v>0</v>
      </c>
      <c r="Q32" s="7">
        <f t="shared" si="41"/>
        <v>5585.28</v>
      </c>
      <c r="R32" s="43">
        <f t="shared" si="32"/>
        <v>0</v>
      </c>
      <c r="S32" s="28">
        <f t="shared" si="33"/>
        <v>0</v>
      </c>
      <c r="T32" s="8">
        <f t="shared" si="42"/>
        <v>0</v>
      </c>
      <c r="U32" s="30">
        <f t="shared" si="34"/>
        <v>0</v>
      </c>
      <c r="W32" s="141">
        <v>44864</v>
      </c>
      <c r="X32" s="142">
        <f t="shared" si="43"/>
        <v>214317</v>
      </c>
      <c r="Y32" s="147">
        <f t="shared" ref="Y32:Y33" si="60">IF((X32-X31)&lt;0,"0",(X32-X31))</f>
        <v>0</v>
      </c>
      <c r="Z32" s="142">
        <f t="shared" si="44"/>
        <v>10084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5"/>
        <v>714</v>
      </c>
      <c r="AE32" s="147">
        <f t="shared" ref="AE32:AE33" si="63">IF((AD32-AD31)&lt;0,"0",(AD32-AD31))</f>
        <v>0</v>
      </c>
      <c r="AF32" s="142">
        <f t="shared" si="46"/>
        <v>9359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6"/>
        <v>25135.972000000002</v>
      </c>
      <c r="C33" s="43">
        <f t="shared" si="22"/>
        <v>0</v>
      </c>
      <c r="D33" s="28">
        <f t="shared" si="23"/>
        <v>0</v>
      </c>
      <c r="E33" s="1">
        <f t="shared" si="37"/>
        <v>4582.9840000000004</v>
      </c>
      <c r="F33" s="43">
        <f t="shared" si="24"/>
        <v>0</v>
      </c>
      <c r="G33" s="28">
        <f t="shared" si="25"/>
        <v>0</v>
      </c>
      <c r="H33" s="1">
        <f t="shared" si="38"/>
        <v>6278</v>
      </c>
      <c r="I33" s="43">
        <f t="shared" si="26"/>
        <v>0</v>
      </c>
      <c r="J33" s="28">
        <f t="shared" si="27"/>
        <v>0</v>
      </c>
      <c r="K33" s="7">
        <f t="shared" si="39"/>
        <v>14264.16</v>
      </c>
      <c r="L33" s="43">
        <f t="shared" si="28"/>
        <v>0</v>
      </c>
      <c r="M33" s="28">
        <f t="shared" si="29"/>
        <v>0</v>
      </c>
      <c r="N33" s="7">
        <f t="shared" si="40"/>
        <v>3789.998</v>
      </c>
      <c r="O33" s="43">
        <f t="shared" si="30"/>
        <v>0</v>
      </c>
      <c r="P33" s="28">
        <f t="shared" si="31"/>
        <v>0</v>
      </c>
      <c r="Q33" s="7">
        <f t="shared" si="41"/>
        <v>5585.28</v>
      </c>
      <c r="R33" s="43">
        <f t="shared" si="32"/>
        <v>0</v>
      </c>
      <c r="S33" s="28">
        <f t="shared" si="33"/>
        <v>0</v>
      </c>
      <c r="T33" s="8">
        <f t="shared" si="42"/>
        <v>0</v>
      </c>
      <c r="U33" s="30">
        <f t="shared" si="34"/>
        <v>0</v>
      </c>
      <c r="V33"/>
      <c r="W33" s="141">
        <v>44865</v>
      </c>
      <c r="X33" s="142">
        <f t="shared" si="43"/>
        <v>214317</v>
      </c>
      <c r="Y33" s="147">
        <f t="shared" si="60"/>
        <v>0</v>
      </c>
      <c r="Z33" s="142">
        <f t="shared" si="44"/>
        <v>10084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5"/>
        <v>714</v>
      </c>
      <c r="AE33" s="147">
        <f t="shared" si="63"/>
        <v>0</v>
      </c>
      <c r="AF33" s="142">
        <f t="shared" si="46"/>
        <v>9359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38.843000000000757</v>
      </c>
      <c r="D34" s="124">
        <f>SUM(D4:D33)</f>
        <v>48531.70000000282</v>
      </c>
      <c r="E34" s="124"/>
      <c r="F34" s="124">
        <f>SUM(F3:F33)</f>
        <v>7.9080000000003565</v>
      </c>
      <c r="G34" s="124">
        <f>SUM(G4:G33)</f>
        <v>10999.100000001272</v>
      </c>
      <c r="H34" s="124"/>
      <c r="I34" s="124">
        <f>SUM(I3:I33)</f>
        <v>28</v>
      </c>
      <c r="J34" s="124">
        <f>SUM(J4:J33)</f>
        <v>34200</v>
      </c>
      <c r="K34" s="124"/>
      <c r="L34" s="124">
        <f>SUM(L3:L33)</f>
        <v>5.2600000000002183</v>
      </c>
      <c r="M34" s="124">
        <f>SUM(M4:M33)</f>
        <v>6365.0000000006912</v>
      </c>
      <c r="N34" s="124"/>
      <c r="O34" s="124">
        <f>SUM(O3:O33)</f>
        <v>7.0700000000001637</v>
      </c>
      <c r="P34" s="124">
        <f>SUM(P4:P33)</f>
        <v>8981.2999999997373</v>
      </c>
      <c r="Q34" s="124"/>
      <c r="R34" s="124">
        <v>2.21</v>
      </c>
      <c r="S34" s="124">
        <f>SUM(S4:S33)</f>
        <v>12767.999999998756</v>
      </c>
      <c r="T34" s="124">
        <v>22.454999999999998</v>
      </c>
      <c r="U34" s="124">
        <f>SUM(U4:U33)</f>
        <v>121845.10000000327</v>
      </c>
      <c r="V34"/>
      <c r="W34" s="124" t="s">
        <v>141</v>
      </c>
      <c r="X34" s="124"/>
      <c r="Y34" s="124">
        <f>SUM(Y3:Y33)</f>
        <v>998</v>
      </c>
      <c r="Z34" s="124"/>
      <c r="AA34" s="124">
        <f>SUM(AA3:AA33)</f>
        <v>15</v>
      </c>
      <c r="AB34" s="124"/>
      <c r="AC34" s="124">
        <f>SUM(AC3:AC33)</f>
        <v>0</v>
      </c>
      <c r="AD34" s="124"/>
      <c r="AE34" s="124">
        <f>SUM(AE3:AE33)</f>
        <v>8</v>
      </c>
      <c r="AF34" s="124">
        <v>0</v>
      </c>
      <c r="AG34" s="124">
        <f>SUM(AG3:AG33)</f>
        <v>46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74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4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4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74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4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4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74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4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4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74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4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4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74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74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4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74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74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4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74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74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4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74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74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4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74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74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4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74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74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4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74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74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4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74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74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74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74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74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4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74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4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4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74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4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4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74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4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4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74"/>
      <c r="C50" s="59" t="s">
        <v>82</v>
      </c>
      <c r="D50" s="60"/>
      <c r="E50" s="60"/>
      <c r="F50" s="61">
        <f t="shared" si="6"/>
        <v>0</v>
      </c>
      <c r="G50" s="62"/>
      <c r="I50" s="174"/>
      <c r="J50" s="59" t="s">
        <v>82</v>
      </c>
      <c r="K50" s="60"/>
      <c r="L50" s="60"/>
      <c r="M50" s="61">
        <f t="shared" si="7"/>
        <v>0</v>
      </c>
      <c r="N50" s="62"/>
      <c r="P50" s="174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76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6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6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77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7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7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78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8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8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3">
        <v>28</v>
      </c>
      <c r="C62" s="168" t="s">
        <v>86</v>
      </c>
      <c r="D62" s="60"/>
      <c r="E62" s="60"/>
      <c r="F62" s="61">
        <f t="shared" si="6"/>
        <v>0</v>
      </c>
      <c r="G62" s="170" t="s">
        <v>87</v>
      </c>
      <c r="H62" s="156"/>
      <c r="I62" s="173">
        <v>28</v>
      </c>
      <c r="J62" s="168" t="s">
        <v>86</v>
      </c>
      <c r="K62" s="60"/>
      <c r="L62" s="60"/>
      <c r="M62" s="61">
        <f t="shared" si="7"/>
        <v>0</v>
      </c>
      <c r="N62" s="170" t="s">
        <v>87</v>
      </c>
      <c r="P62" s="173">
        <v>28</v>
      </c>
      <c r="Q62" s="168" t="s">
        <v>86</v>
      </c>
      <c r="R62" s="60"/>
      <c r="S62" s="60"/>
      <c r="T62" s="61">
        <f t="shared" si="5"/>
        <v>0</v>
      </c>
      <c r="U62" s="170" t="s">
        <v>87</v>
      </c>
    </row>
    <row r="63" spans="1:21" ht="15" x14ac:dyDescent="0.2">
      <c r="A63" s="154"/>
      <c r="B63" s="175"/>
      <c r="C63" s="169"/>
      <c r="D63" s="60"/>
      <c r="E63" s="60"/>
      <c r="F63" s="61">
        <f t="shared" si="6"/>
        <v>0</v>
      </c>
      <c r="G63" s="171"/>
      <c r="H63" s="156"/>
      <c r="I63" s="175"/>
      <c r="J63" s="169"/>
      <c r="K63" s="60"/>
      <c r="L63" s="60"/>
      <c r="M63" s="61">
        <f t="shared" si="7"/>
        <v>0</v>
      </c>
      <c r="N63" s="171"/>
      <c r="P63" s="175"/>
      <c r="Q63" s="169"/>
      <c r="R63" s="60"/>
      <c r="S63" s="60"/>
      <c r="T63" s="61">
        <f t="shared" si="5"/>
        <v>0</v>
      </c>
      <c r="U63" s="171"/>
    </row>
    <row r="64" spans="1:21" x14ac:dyDescent="0.2">
      <c r="A64" s="154"/>
      <c r="B64" s="172" t="s">
        <v>88</v>
      </c>
      <c r="C64" s="172"/>
      <c r="D64" s="172"/>
      <c r="E64" s="172"/>
      <c r="F64" s="73">
        <f>SUM(F2:F63)</f>
        <v>29502</v>
      </c>
      <c r="G64" s="74"/>
      <c r="H64" s="156"/>
      <c r="I64" s="172" t="s">
        <v>88</v>
      </c>
      <c r="J64" s="172"/>
      <c r="K64" s="172"/>
      <c r="L64" s="172"/>
      <c r="M64" s="73">
        <f>SUM(M2:M63)</f>
        <v>22105</v>
      </c>
      <c r="N64" s="74"/>
      <c r="P64" s="172" t="s">
        <v>88</v>
      </c>
      <c r="Q64" s="172"/>
      <c r="R64" s="172"/>
      <c r="S64" s="172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79">
        <v>44774</v>
      </c>
      <c r="B69" s="180"/>
      <c r="C69" s="180"/>
      <c r="D69" s="181"/>
      <c r="E69" s="160"/>
      <c r="F69" s="179">
        <v>44805</v>
      </c>
      <c r="G69" s="180"/>
      <c r="H69" s="180"/>
      <c r="I69" s="181"/>
      <c r="J69" s="160"/>
      <c r="K69" s="182" t="s">
        <v>25</v>
      </c>
      <c r="L69" s="183"/>
      <c r="M69" s="183"/>
      <c r="N69" s="184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1726980</v>
      </c>
      <c r="D7" s="92">
        <f t="shared" si="0"/>
        <v>2193264.6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3414</v>
      </c>
      <c r="D8" s="92">
        <f t="shared" si="0"/>
        <v>4335.78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822</v>
      </c>
      <c r="D9" s="92">
        <f t="shared" si="0"/>
        <v>1043.94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1440</v>
      </c>
      <c r="D10" s="92">
        <f t="shared" si="0"/>
        <v>1828.8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238</v>
      </c>
      <c r="D11" s="92">
        <f t="shared" si="0"/>
        <v>302.26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4065</v>
      </c>
      <c r="K16" s="81">
        <f>(J16-I16)*160</f>
        <v>320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335882</v>
      </c>
      <c r="K17" s="81">
        <f>(J17-I17)</f>
        <v>492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26552</v>
      </c>
      <c r="K18" s="81">
        <f>(J18-I18)*160</f>
        <v>1440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172472</v>
      </c>
      <c r="K19" s="81">
        <f>J19-I19</f>
        <v>238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47667</v>
      </c>
      <c r="K21" s="81">
        <f>(J21-I21)*120</f>
        <v>1680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41023</v>
      </c>
      <c r="K22" s="81">
        <f>(J22-I22)*160</f>
        <v>1440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22140</v>
      </c>
      <c r="K23" s="81">
        <f>(J23-I23)*20</f>
        <v>180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258955</v>
      </c>
      <c r="K24" s="81">
        <f>J24-I24</f>
        <v>114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226435</v>
      </c>
      <c r="K25" s="81">
        <f>J25-I25</f>
        <v>10</v>
      </c>
    </row>
    <row r="26" spans="1:11" ht="13.5" thickBot="1" x14ac:dyDescent="0.25">
      <c r="A26" s="82"/>
      <c r="B26" s="88" t="s">
        <v>42</v>
      </c>
      <c r="C26" s="106">
        <f>K35</f>
        <v>4888</v>
      </c>
      <c r="D26" s="92">
        <f>C26*3.65</f>
        <v>17841.2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4888</v>
      </c>
      <c r="D27" s="92">
        <f>C27*3.65</f>
        <v>17841.2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18539220</v>
      </c>
      <c r="K35" s="112">
        <f>J35-I35</f>
        <v>4888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2022-10-04T01:15:50Z</dcterms:modified>
</cp:coreProperties>
</file>