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ussein.elsamra\Dropbox\EEG Projects\Hussein\HEP\Thanos\Anassa\"/>
    </mc:Choice>
  </mc:AlternateContent>
  <xr:revisionPtr revIDLastSave="0" documentId="8_{7CD54616-0F64-49AA-B277-029459B2AE42}" xr6:coauthVersionLast="47" xr6:coauthVersionMax="47" xr10:uidLastSave="{00000000-0000-0000-0000-000000000000}"/>
  <bookViews>
    <workbookView xWindow="-120" yWindow="-120" windowWidth="29040" windowHeight="15720" tabRatio="385" xr2:uid="{00000000-000D-0000-FFFF-FFFF00000000}"/>
  </bookViews>
  <sheets>
    <sheet name="Total" sheetId="2" r:id="rId1"/>
    <sheet name="Anassa" sheetId="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2" i="1" l="1"/>
  <c r="T32" i="1"/>
  <c r="N32" i="1"/>
  <c r="N26" i="1"/>
  <c r="N27" i="1"/>
  <c r="N28" i="1"/>
  <c r="N30" i="1"/>
  <c r="N31" i="1"/>
  <c r="N19" i="1"/>
  <c r="N20" i="1"/>
  <c r="N21" i="1"/>
  <c r="N23" i="1"/>
  <c r="N24" i="1"/>
  <c r="N25" i="1"/>
  <c r="N12" i="1"/>
  <c r="N13" i="1"/>
  <c r="N14" i="1"/>
  <c r="N16" i="1"/>
  <c r="N17" i="1"/>
  <c r="N18" i="1"/>
  <c r="N11" i="1"/>
  <c r="N10" i="1"/>
  <c r="N9" i="1"/>
  <c r="N7" i="1"/>
  <c r="N6" i="1"/>
  <c r="N5" i="1"/>
  <c r="N4" i="1"/>
  <c r="N3" i="1"/>
  <c r="N2" i="1"/>
  <c r="T3" i="1"/>
  <c r="T4" i="1"/>
  <c r="T5" i="1"/>
  <c r="T6" i="1"/>
  <c r="T7" i="1"/>
  <c r="T9" i="1"/>
  <c r="T10" i="1"/>
  <c r="T11" i="1"/>
  <c r="T12" i="1"/>
  <c r="T13" i="1"/>
  <c r="T15" i="1"/>
  <c r="T16" i="1"/>
  <c r="T17" i="1"/>
  <c r="T18" i="1"/>
  <c r="T19" i="1"/>
  <c r="T20" i="1"/>
  <c r="T21" i="1"/>
  <c r="T23" i="1"/>
  <c r="T24" i="1"/>
  <c r="T25" i="1"/>
  <c r="T26" i="1"/>
  <c r="T27" i="1"/>
  <c r="T28" i="1"/>
  <c r="T30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2" i="1"/>
  <c r="C13" i="1"/>
  <c r="C11" i="1"/>
  <c r="C10" i="1"/>
  <c r="C9" i="1"/>
  <c r="C8" i="1"/>
  <c r="C7" i="1"/>
  <c r="C6" i="1"/>
  <c r="C5" i="1"/>
  <c r="C4" i="1"/>
  <c r="C3" i="1"/>
  <c r="C2" i="1"/>
  <c r="R33" i="1" l="1"/>
  <c r="L33" i="1"/>
  <c r="L27" i="1" l="1"/>
  <c r="D30" i="1"/>
  <c r="D31" i="1"/>
  <c r="AC32" i="1"/>
  <c r="AC31" i="1" l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AC5" i="1" l="1"/>
  <c r="D32" i="1" l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8" i="1"/>
  <c r="L29" i="1"/>
  <c r="L30" i="1"/>
  <c r="L31" i="1"/>
  <c r="AC6" i="1" l="1"/>
  <c r="AC3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8" i="1"/>
  <c r="AC9" i="1"/>
  <c r="AC10" i="1"/>
  <c r="AC11" i="1"/>
  <c r="AC12" i="1"/>
  <c r="AC13" i="1"/>
  <c r="AC14" i="1"/>
  <c r="AC7" i="1"/>
  <c r="D28" i="1" l="1"/>
  <c r="D29" i="1"/>
  <c r="E28" i="1"/>
  <c r="E29" i="1"/>
  <c r="Y3" i="1"/>
  <c r="Y4" i="1"/>
  <c r="Y5" i="1"/>
  <c r="Y6" i="1"/>
  <c r="Y7" i="1"/>
  <c r="Y8" i="1"/>
  <c r="Y9" i="1"/>
  <c r="Y10" i="1"/>
  <c r="Z6" i="1" l="1"/>
  <c r="Z5" i="1"/>
  <c r="Z4" i="1"/>
  <c r="Z3" i="1"/>
  <c r="Z7" i="1"/>
  <c r="Z8" i="1"/>
  <c r="Z9" i="1"/>
  <c r="D2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AC2" i="1" l="1"/>
  <c r="Y33" i="1" l="1"/>
  <c r="D33" i="1"/>
  <c r="E5" i="1" l="1"/>
  <c r="E6" i="1"/>
  <c r="E7" i="1"/>
  <c r="E8" i="1"/>
  <c r="E9" i="1"/>
  <c r="Y32" i="1" l="1"/>
  <c r="E30" i="1"/>
  <c r="E31" i="1"/>
  <c r="Y12" i="1" l="1"/>
  <c r="Y13" i="1"/>
  <c r="Z12" i="1" l="1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P2" i="2"/>
  <c r="O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3" i="2" l="1"/>
  <c r="I24" i="2"/>
  <c r="I25" i="2"/>
  <c r="I16" i="2"/>
  <c r="I17" i="2"/>
  <c r="I18" i="2"/>
  <c r="E24" i="2" l="1"/>
  <c r="I2" i="2"/>
  <c r="E17" i="1"/>
  <c r="E14" i="1"/>
  <c r="I32" i="2"/>
  <c r="E8" i="2"/>
  <c r="E9" i="2"/>
  <c r="E10" i="2"/>
  <c r="E11" i="2"/>
  <c r="E13" i="2"/>
  <c r="E15" i="2"/>
  <c r="E16" i="2"/>
  <c r="E17" i="2"/>
  <c r="E18" i="2"/>
  <c r="E19" i="2"/>
  <c r="E22" i="2"/>
  <c r="E23" i="2"/>
  <c r="E27" i="2"/>
  <c r="E28" i="2"/>
  <c r="E29" i="2"/>
  <c r="E30" i="2"/>
  <c r="E31" i="2"/>
  <c r="I15" i="2"/>
  <c r="I19" i="2"/>
  <c r="I20" i="2"/>
  <c r="I21" i="2"/>
  <c r="I22" i="2"/>
  <c r="I26" i="2"/>
  <c r="I27" i="2"/>
  <c r="I28" i="2"/>
  <c r="I29" i="2"/>
  <c r="I30" i="2"/>
  <c r="I31" i="2"/>
  <c r="I14" i="2"/>
  <c r="I13" i="2"/>
  <c r="I3" i="2"/>
  <c r="AC4" i="1"/>
  <c r="I4" i="2" s="1"/>
  <c r="I5" i="2"/>
  <c r="I6" i="2"/>
  <c r="I7" i="2"/>
  <c r="I8" i="2"/>
  <c r="I9" i="2"/>
  <c r="I10" i="2"/>
  <c r="I11" i="2"/>
  <c r="I12" i="2"/>
  <c r="R22" i="1"/>
  <c r="R23" i="1"/>
  <c r="R24" i="1"/>
  <c r="R25" i="1"/>
  <c r="R26" i="1"/>
  <c r="R27" i="1"/>
  <c r="R28" i="1"/>
  <c r="R29" i="1"/>
  <c r="R30" i="1"/>
  <c r="R31" i="1"/>
  <c r="R3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T31" i="1" l="1"/>
  <c r="E20" i="2"/>
  <c r="E4" i="2"/>
  <c r="E5" i="2"/>
  <c r="E6" i="2"/>
  <c r="E25" i="2"/>
  <c r="E14" i="2"/>
  <c r="E26" i="2"/>
  <c r="E7" i="2"/>
  <c r="E21" i="2"/>
  <c r="E12" i="2"/>
  <c r="E32" i="2"/>
  <c r="E3" i="2"/>
  <c r="E2" i="2"/>
  <c r="Y27" i="1"/>
  <c r="Y28" i="1"/>
  <c r="Y29" i="1"/>
  <c r="Y30" i="1"/>
  <c r="Y31" i="1"/>
  <c r="K32" i="2"/>
  <c r="Y11" i="1"/>
  <c r="Y14" i="1"/>
  <c r="Z13" i="1" s="1"/>
  <c r="Y15" i="1"/>
  <c r="Y16" i="1"/>
  <c r="Y17" i="1"/>
  <c r="Y18" i="1"/>
  <c r="Y19" i="1"/>
  <c r="Y20" i="1"/>
  <c r="Y21" i="1"/>
  <c r="Y22" i="1"/>
  <c r="Y23" i="1"/>
  <c r="Y24" i="1"/>
  <c r="Y25" i="1"/>
  <c r="Y26" i="1"/>
  <c r="Y2" i="1"/>
  <c r="R2" i="1"/>
  <c r="L32" i="1"/>
  <c r="S34" i="1"/>
  <c r="U31" i="1" l="1"/>
  <c r="Z24" i="1"/>
  <c r="K24" i="2" s="1"/>
  <c r="Z25" i="1"/>
  <c r="K25" i="2" s="1"/>
  <c r="Z20" i="1"/>
  <c r="K20" i="2" s="1"/>
  <c r="G2" i="2"/>
  <c r="U21" i="1"/>
  <c r="Z26" i="1"/>
  <c r="K26" i="2" s="1"/>
  <c r="U3" i="1"/>
  <c r="U25" i="1"/>
  <c r="U22" i="1"/>
  <c r="U24" i="1"/>
  <c r="U23" i="1"/>
  <c r="U12" i="1"/>
  <c r="U20" i="1"/>
  <c r="U19" i="1"/>
  <c r="U18" i="1"/>
  <c r="U17" i="1"/>
  <c r="U16" i="1"/>
  <c r="U15" i="1"/>
  <c r="U14" i="1"/>
  <c r="G13" i="2"/>
  <c r="U28" i="1"/>
  <c r="U29" i="1"/>
  <c r="U30" i="1"/>
  <c r="U27" i="1"/>
  <c r="U26" i="1"/>
  <c r="G9" i="2"/>
  <c r="U6" i="1"/>
  <c r="U10" i="1"/>
  <c r="U11" i="1"/>
  <c r="U7" i="1"/>
  <c r="U8" i="1"/>
  <c r="U4" i="1"/>
  <c r="U5" i="1"/>
  <c r="Z16" i="1"/>
  <c r="K16" i="2" s="1"/>
  <c r="Z30" i="1"/>
  <c r="K30" i="2" s="1"/>
  <c r="Z29" i="1"/>
  <c r="K29" i="2" s="1"/>
  <c r="Z28" i="1"/>
  <c r="K28" i="2" s="1"/>
  <c r="Z23" i="1"/>
  <c r="K23" i="2" s="1"/>
  <c r="Z22" i="1"/>
  <c r="K22" i="2" s="1"/>
  <c r="Z21" i="1"/>
  <c r="K21" i="2" s="1"/>
  <c r="Z18" i="1"/>
  <c r="K18" i="2" s="1"/>
  <c r="Z17" i="1"/>
  <c r="K17" i="2" s="1"/>
  <c r="Z15" i="1"/>
  <c r="K15" i="2" s="1"/>
  <c r="Z14" i="1"/>
  <c r="K14" i="2" s="1"/>
  <c r="Z10" i="1"/>
  <c r="K10" i="2" s="1"/>
  <c r="Z11" i="1"/>
  <c r="K11" i="2" s="1"/>
  <c r="Z19" i="1"/>
  <c r="K19" i="2" s="1"/>
  <c r="Z27" i="1"/>
  <c r="K27" i="2" s="1"/>
  <c r="Z2" i="1"/>
  <c r="K2" i="2" s="1"/>
  <c r="G25" i="2"/>
  <c r="G12" i="2"/>
  <c r="K9" i="2"/>
  <c r="K5" i="2"/>
  <c r="K6" i="2"/>
  <c r="K4" i="2"/>
  <c r="K3" i="2"/>
  <c r="Z31" i="1"/>
  <c r="K31" i="2" s="1"/>
  <c r="K13" i="2"/>
  <c r="K12" i="2"/>
  <c r="K8" i="2"/>
  <c r="K7" i="2"/>
  <c r="T34" i="1"/>
  <c r="G3" i="2" l="1"/>
  <c r="G17" i="2"/>
  <c r="U13" i="1"/>
  <c r="G26" i="2"/>
  <c r="G18" i="2"/>
  <c r="U9" i="1"/>
  <c r="G21" i="2"/>
  <c r="G22" i="2"/>
  <c r="G23" i="2"/>
  <c r="G30" i="2"/>
  <c r="G6" i="2"/>
  <c r="G10" i="2"/>
  <c r="G11" i="2"/>
  <c r="G29" i="2"/>
  <c r="G27" i="2"/>
  <c r="G14" i="2"/>
  <c r="G31" i="2"/>
  <c r="G19" i="2"/>
  <c r="G15" i="2"/>
  <c r="G7" i="2"/>
  <c r="G28" i="2"/>
  <c r="G20" i="2"/>
  <c r="G16" i="2"/>
  <c r="G8" i="2"/>
  <c r="G5" i="2"/>
  <c r="G4" i="2"/>
  <c r="G24" i="2"/>
  <c r="U2" i="1"/>
  <c r="AB34" i="1"/>
  <c r="M34" i="1"/>
  <c r="AE34" i="1"/>
  <c r="AD34" i="1"/>
  <c r="E2" i="1"/>
  <c r="H2" i="1"/>
  <c r="M2" i="2" s="1"/>
  <c r="U34" i="1" l="1"/>
  <c r="AC34" i="1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" i="2"/>
  <c r="H34" i="1" l="1"/>
  <c r="E27" i="1"/>
  <c r="E26" i="1"/>
  <c r="E25" i="1"/>
  <c r="E24" i="1"/>
  <c r="E23" i="1"/>
  <c r="E22" i="1"/>
  <c r="E21" i="1"/>
  <c r="E20" i="1"/>
  <c r="E19" i="1"/>
  <c r="E18" i="1"/>
  <c r="E16" i="1"/>
  <c r="E15" i="1"/>
  <c r="E13" i="1"/>
  <c r="E12" i="1"/>
  <c r="E11" i="1"/>
  <c r="E10" i="1"/>
  <c r="E4" i="1"/>
  <c r="E3" i="1"/>
  <c r="Z34" i="1" l="1"/>
  <c r="N34" i="1"/>
  <c r="E34" i="1"/>
</calcChain>
</file>

<file path=xl/sharedStrings.xml><?xml version="1.0" encoding="utf-8"?>
<sst xmlns="http://schemas.openxmlformats.org/spreadsheetml/2006/main" count="79" uniqueCount="39">
  <si>
    <t xml:space="preserve">Room Nights </t>
  </si>
  <si>
    <t>Date</t>
  </si>
  <si>
    <t>Fuel Oil Hot-Water Boilers (Liter)  Reading</t>
  </si>
  <si>
    <t>Consumed</t>
  </si>
  <si>
    <t>LPG % A</t>
  </si>
  <si>
    <t>LPG % B</t>
  </si>
  <si>
    <t xml:space="preserve">Guest Nights </t>
  </si>
  <si>
    <t>LPG (Liter) Received</t>
  </si>
  <si>
    <t>Fuel Oil (Liter) Received</t>
  </si>
  <si>
    <t>LPG Kitchen (Liter)  Reading</t>
  </si>
  <si>
    <t>Pellets (Kg) Reading</t>
  </si>
  <si>
    <t>Pellets (Kg) Received</t>
  </si>
  <si>
    <t>Hotel Electricity (KWh) Reading</t>
  </si>
  <si>
    <t>LPG % C</t>
  </si>
  <si>
    <t>LPG Pelagos (Liter)  Reading</t>
  </si>
  <si>
    <t>Main Water Utility Supply (m3) Reading</t>
  </si>
  <si>
    <t>Laundry Water Utility Supply (m3) Reading</t>
  </si>
  <si>
    <t>Laundry Steam Boiler Water Utility Supply (m3) Reading</t>
  </si>
  <si>
    <t>Hotel Water Utility Supply (m3) Reading</t>
  </si>
  <si>
    <t>Main Electricity (KWh) Reading</t>
  </si>
  <si>
    <t>Laundry Electricity (KWh) Reading</t>
  </si>
  <si>
    <t>Total Consumed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</si>
  <si>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</si>
  <si>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</si>
  <si>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</si>
  <si>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</si>
  <si>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</si>
  <si>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</si>
  <si>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</si>
  <si>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</si>
  <si>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</si>
  <si>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</si>
  <si>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</si>
  <si>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</si>
  <si>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Anassa</t>
  </si>
  <si>
    <t xml:space="preserve"> </t>
  </si>
  <si>
    <t>District Energy Heating Kwh</t>
  </si>
  <si>
    <t>District Energy Heating $/Kwh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</si>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</sst>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25" x14ac:knownFonts="1">
    <font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800080"/>
      <name val="Arial"/>
      <family val="2"/>
    </font>
    <font>
      <sz val="7"/>
      <name val="Arial"/>
      <family val="2"/>
      <charset val="161"/>
    </font>
    <font>
      <sz val="8"/>
      <name val="Arial"/>
      <family val="2"/>
    </font>
    <font>
      <b/>
      <sz val="8"/>
      <color theme="1"/>
      <name val="Arial"/>
      <family val="2"/>
    </font>
    <font>
      <sz val="8"/>
      <color rgb="FF800080"/>
      <name val="Arial"/>
      <family val="2"/>
    </font>
    <font>
      <sz val="8"/>
      <color rgb="FFFF0000"/>
      <name val="Arial"/>
      <family val="2"/>
    </font>
    <font>
      <sz val="8"/>
      <color theme="5"/>
      <name val="Arial"/>
      <family val="2"/>
    </font>
    <font>
      <sz val="8"/>
      <color rgb="FF0070C0"/>
      <name val="Arial"/>
      <family val="2"/>
    </font>
    <font>
      <sz val="8"/>
      <color theme="5" tint="-0.499984740745262"/>
      <name val="Arial"/>
      <family val="2"/>
    </font>
    <font>
      <b/>
      <sz val="8"/>
      <name val="Arial"/>
      <family val="2"/>
    </font>
    <font>
      <b/>
      <u/>
      <sz val="8"/>
      <color rgb="FF800080"/>
      <name val="Arial"/>
      <family val="2"/>
    </font>
    <font>
      <b/>
      <u/>
      <sz val="8"/>
      <color theme="5"/>
      <name val="Arial"/>
      <family val="2"/>
    </font>
    <font>
      <b/>
      <u/>
      <sz val="8"/>
      <color rgb="FF0070C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double">
        <color auto="1"/>
      </left>
      <right style="hair">
        <color auto="1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auto="1"/>
      </right>
      <top style="double">
        <color indexed="64"/>
      </top>
      <bottom/>
      <diagonal/>
    </border>
    <border>
      <left style="thin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dotted">
        <color auto="1"/>
      </left>
      <right style="thin">
        <color auto="1"/>
      </right>
      <top/>
      <bottom style="hair">
        <color indexed="64"/>
      </bottom>
      <diagonal/>
    </border>
    <border>
      <left style="thin">
        <color auto="1"/>
      </left>
      <right style="dotted">
        <color auto="1"/>
      </right>
      <top/>
      <bottom style="hair">
        <color auto="1"/>
      </bottom>
      <diagonal/>
    </border>
    <border>
      <left style="dotted">
        <color auto="1"/>
      </left>
      <right style="double">
        <color indexed="64"/>
      </right>
      <top/>
      <bottom style="hair">
        <color auto="1"/>
      </bottom>
      <diagonal/>
    </border>
    <border>
      <left style="double">
        <color indexed="64"/>
      </left>
      <right style="double">
        <color auto="1"/>
      </right>
      <top/>
      <bottom style="double">
        <color indexed="64"/>
      </bottom>
      <diagonal/>
    </border>
    <border>
      <left style="double">
        <color indexed="64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medium">
        <color indexed="64"/>
      </top>
      <bottom style="dotted">
        <color indexed="64"/>
      </bottom>
      <diagonal/>
    </border>
    <border>
      <left/>
      <right style="thin">
        <color auto="1"/>
      </right>
      <top style="medium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dotted">
        <color indexed="64"/>
      </bottom>
      <diagonal/>
    </border>
    <border>
      <left/>
      <right style="thin">
        <color auto="1"/>
      </right>
      <top style="dotted">
        <color indexed="64"/>
      </top>
      <bottom style="dotted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thin">
        <color auto="1"/>
      </left>
      <right style="dotted">
        <color auto="1"/>
      </right>
      <top style="dotted">
        <color indexed="64"/>
      </top>
      <bottom style="medium">
        <color indexed="64"/>
      </bottom>
      <diagonal/>
    </border>
    <border>
      <left/>
      <right style="thin">
        <color auto="1"/>
      </right>
      <top style="dotted">
        <color indexed="64"/>
      </top>
      <bottom style="medium">
        <color indexed="64"/>
      </bottom>
      <diagonal/>
    </border>
    <border>
      <left style="dotted">
        <color auto="1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tted">
        <color auto="1"/>
      </right>
      <top/>
      <bottom style="double">
        <color indexed="64"/>
      </bottom>
      <diagonal/>
    </border>
    <border>
      <left style="dotted">
        <color auto="1"/>
      </left>
      <right style="double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double">
        <color auto="1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/>
    <xf numFmtId="3" fontId="2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3" fontId="2" fillId="0" borderId="3" xfId="0" applyNumberFormat="1" applyFont="1" applyBorder="1" applyAlignment="1">
      <alignment horizontal="center"/>
    </xf>
    <xf numFmtId="1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/>
    <xf numFmtId="0" fontId="16" fillId="0" borderId="0" xfId="0" applyFont="1" applyAlignment="1">
      <alignment horizontal="center" vertical="center"/>
    </xf>
    <xf numFmtId="3" fontId="2" fillId="0" borderId="4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/>
    </xf>
    <xf numFmtId="1" fontId="21" fillId="4" borderId="5" xfId="0" applyNumberFormat="1" applyFont="1" applyFill="1" applyBorder="1" applyAlignment="1">
      <alignment horizontal="center" vertical="center" wrapText="1"/>
    </xf>
    <xf numFmtId="0" fontId="21" fillId="4" borderId="5" xfId="0" applyFont="1" applyFill="1" applyBorder="1" applyAlignment="1">
      <alignment horizontal="center" vertical="center" wrapText="1"/>
    </xf>
    <xf numFmtId="1" fontId="21" fillId="5" borderId="5" xfId="0" applyNumberFormat="1" applyFont="1" applyFill="1" applyBorder="1" applyAlignment="1">
      <alignment horizontal="center" vertical="center" wrapText="1"/>
    </xf>
    <xf numFmtId="165" fontId="21" fillId="5" borderId="5" xfId="0" applyNumberFormat="1" applyFont="1" applyFill="1" applyBorder="1" applyAlignment="1">
      <alignment horizontal="center" vertical="center" wrapText="1"/>
    </xf>
    <xf numFmtId="0" fontId="21" fillId="6" borderId="5" xfId="0" applyFont="1" applyFill="1" applyBorder="1" applyAlignment="1">
      <alignment horizontal="center" vertical="center" wrapText="1"/>
    </xf>
    <xf numFmtId="0" fontId="22" fillId="7" borderId="5" xfId="0" applyFont="1" applyFill="1" applyBorder="1" applyAlignment="1">
      <alignment horizontal="center" vertical="center" wrapText="1"/>
    </xf>
    <xf numFmtId="0" fontId="21" fillId="8" borderId="5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/>
    </xf>
    <xf numFmtId="1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165" fontId="23" fillId="5" borderId="0" xfId="0" applyNumberFormat="1" applyFon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6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4" borderId="0" xfId="0" applyFill="1" applyAlignment="1">
      <alignment horizontal="center"/>
    </xf>
    <xf numFmtId="1" fontId="21" fillId="9" borderId="5" xfId="0" applyNumberFormat="1" applyFont="1" applyFill="1" applyBorder="1" applyAlignment="1">
      <alignment horizontal="center" vertical="center" wrapText="1"/>
    </xf>
    <xf numFmtId="166" fontId="24" fillId="9" borderId="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66" fontId="5" fillId="9" borderId="0" xfId="0" applyNumberFormat="1" applyFont="1" applyFill="1" applyAlignment="1">
      <alignment horizontal="center"/>
    </xf>
    <xf numFmtId="166" fontId="5" fillId="6" borderId="0" xfId="0" applyNumberFormat="1" applyFont="1" applyFill="1" applyAlignment="1">
      <alignment horizontal="center"/>
    </xf>
    <xf numFmtId="1" fontId="0" fillId="7" borderId="0" xfId="0" applyNumberFormat="1" applyFill="1" applyAlignment="1">
      <alignment horizontal="center"/>
    </xf>
    <xf numFmtId="166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3" fontId="10" fillId="2" borderId="8" xfId="0" applyNumberFormat="1" applyFont="1" applyFill="1" applyBorder="1" applyAlignment="1">
      <alignment horizontal="center" vertical="center" textRotation="90" wrapText="1"/>
    </xf>
    <xf numFmtId="1" fontId="12" fillId="0" borderId="9" xfId="0" applyNumberFormat="1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8" fillId="3" borderId="10" xfId="0" applyFont="1" applyFill="1" applyBorder="1" applyAlignment="1">
      <alignment horizontal="center" vertical="center" wrapText="1"/>
    </xf>
    <xf numFmtId="1" fontId="13" fillId="0" borderId="10" xfId="0" applyNumberFormat="1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2" fillId="2" borderId="12" xfId="0" applyNumberFormat="1" applyFont="1" applyFill="1" applyBorder="1" applyAlignment="1">
      <alignment horizontal="center" vertical="center" wrapText="1"/>
    </xf>
    <xf numFmtId="3" fontId="2" fillId="2" borderId="13" xfId="0" applyNumberFormat="1" applyFont="1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3" fontId="2" fillId="2" borderId="13" xfId="0" applyNumberFormat="1" applyFont="1" applyFill="1" applyBorder="1" applyAlignment="1">
      <alignment horizontal="center" vertical="center" wrapText="1"/>
    </xf>
    <xf numFmtId="164" fontId="0" fillId="3" borderId="17" xfId="0" applyNumberFormat="1" applyFill="1" applyBorder="1" applyAlignment="1">
      <alignment horizontal="right" vertical="center"/>
    </xf>
    <xf numFmtId="1" fontId="7" fillId="0" borderId="18" xfId="0" applyNumberFormat="1" applyFont="1" applyBorder="1" applyAlignment="1">
      <alignment horizontal="center" vertical="center"/>
    </xf>
    <xf numFmtId="1" fontId="7" fillId="0" borderId="19" xfId="0" applyNumberFormat="1" applyFont="1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 vertical="center" wrapText="1"/>
    </xf>
    <xf numFmtId="1" fontId="5" fillId="0" borderId="21" xfId="0" applyNumberFormat="1" applyFont="1" applyBorder="1" applyAlignment="1">
      <alignment horizontal="center"/>
    </xf>
    <xf numFmtId="1" fontId="5" fillId="0" borderId="19" xfId="0" applyNumberFormat="1" applyFont="1" applyBorder="1" applyAlignment="1">
      <alignment horizontal="center"/>
    </xf>
    <xf numFmtId="9" fontId="4" fillId="0" borderId="21" xfId="0" applyNumberFormat="1" applyFont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1" fontId="4" fillId="3" borderId="19" xfId="0" applyNumberFormat="1" applyFont="1" applyFill="1" applyBorder="1" applyAlignment="1">
      <alignment horizontal="center" vertical="center"/>
    </xf>
    <xf numFmtId="1" fontId="4" fillId="0" borderId="19" xfId="0" applyNumberFormat="1" applyFont="1" applyBorder="1" applyAlignment="1">
      <alignment horizontal="center"/>
    </xf>
    <xf numFmtId="3" fontId="2" fillId="2" borderId="22" xfId="0" applyNumberFormat="1" applyFont="1" applyFill="1" applyBorder="1" applyAlignment="1">
      <alignment horizontal="center" vertical="center" wrapText="1"/>
    </xf>
    <xf numFmtId="1" fontId="3" fillId="0" borderId="21" xfId="0" applyNumberFormat="1" applyFont="1" applyBorder="1" applyAlignment="1">
      <alignment horizontal="center" vertical="center"/>
    </xf>
    <xf numFmtId="1" fontId="3" fillId="0" borderId="19" xfId="0" applyNumberFormat="1" applyFont="1" applyBorder="1" applyAlignment="1">
      <alignment horizontal="center" vertical="center"/>
    </xf>
    <xf numFmtId="1" fontId="6" fillId="0" borderId="21" xfId="0" applyNumberFormat="1" applyFont="1" applyBorder="1" applyAlignment="1">
      <alignment horizontal="center" vertical="center"/>
    </xf>
    <xf numFmtId="1" fontId="6" fillId="0" borderId="19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3" borderId="24" xfId="0" applyNumberFormat="1" applyFill="1" applyBorder="1" applyAlignment="1">
      <alignment horizontal="right" vertical="center"/>
    </xf>
    <xf numFmtId="1" fontId="7" fillId="0" borderId="25" xfId="0" applyNumberFormat="1" applyFont="1" applyBorder="1" applyAlignment="1">
      <alignment horizontal="center" vertical="center"/>
    </xf>
    <xf numFmtId="1" fontId="7" fillId="0" borderId="26" xfId="0" applyNumberFormat="1" applyFont="1" applyBorder="1" applyAlignment="1">
      <alignment horizontal="center" vertical="center"/>
    </xf>
    <xf numFmtId="3" fontId="2" fillId="2" borderId="27" xfId="0" applyNumberFormat="1" applyFont="1" applyFill="1" applyBorder="1" applyAlignment="1">
      <alignment horizontal="center"/>
    </xf>
    <xf numFmtId="1" fontId="5" fillId="0" borderId="28" xfId="0" applyNumberFormat="1" applyFont="1" applyBorder="1" applyAlignment="1">
      <alignment horizontal="center"/>
    </xf>
    <xf numFmtId="1" fontId="5" fillId="0" borderId="26" xfId="0" applyNumberFormat="1" applyFont="1" applyBorder="1" applyAlignment="1">
      <alignment horizontal="center"/>
    </xf>
    <xf numFmtId="3" fontId="2" fillId="2" borderId="27" xfId="0" applyNumberFormat="1" applyFont="1" applyFill="1" applyBorder="1" applyAlignment="1">
      <alignment horizontal="center" vertical="center" wrapText="1"/>
    </xf>
    <xf numFmtId="9" fontId="4" fillId="0" borderId="28" xfId="0" applyNumberFormat="1" applyFont="1" applyBorder="1" applyAlignment="1">
      <alignment horizontal="center" vertical="center"/>
    </xf>
    <xf numFmtId="9" fontId="4" fillId="0" borderId="26" xfId="0" applyNumberFormat="1" applyFont="1" applyBorder="1" applyAlignment="1">
      <alignment horizontal="center" vertical="center"/>
    </xf>
    <xf numFmtId="1" fontId="4" fillId="3" borderId="26" xfId="0" applyNumberFormat="1" applyFont="1" applyFill="1" applyBorder="1" applyAlignment="1">
      <alignment horizontal="center" vertical="center"/>
    </xf>
    <xf numFmtId="1" fontId="4" fillId="0" borderId="26" xfId="0" applyNumberFormat="1" applyFont="1" applyBorder="1" applyAlignment="1">
      <alignment horizontal="center"/>
    </xf>
    <xf numFmtId="3" fontId="2" fillId="2" borderId="29" xfId="0" applyNumberFormat="1" applyFont="1" applyFill="1" applyBorder="1" applyAlignment="1">
      <alignment horizontal="center" vertical="center" wrapText="1"/>
    </xf>
    <xf numFmtId="1" fontId="3" fillId="0" borderId="28" xfId="0" applyNumberFormat="1" applyFont="1" applyBorder="1" applyAlignment="1">
      <alignment horizontal="center" vertical="center"/>
    </xf>
    <xf numFmtId="1" fontId="3" fillId="0" borderId="26" xfId="0" applyNumberFormat="1" applyFont="1" applyBorder="1" applyAlignment="1">
      <alignment horizontal="center" vertical="center"/>
    </xf>
    <xf numFmtId="1" fontId="6" fillId="0" borderId="28" xfId="0" applyNumberFormat="1" applyFont="1" applyBorder="1" applyAlignment="1">
      <alignment horizontal="center" vertical="center"/>
    </xf>
    <xf numFmtId="1" fontId="6" fillId="0" borderId="26" xfId="0" applyNumberFormat="1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3" borderId="31" xfId="0" applyNumberFormat="1" applyFill="1" applyBorder="1" applyAlignment="1">
      <alignment horizontal="right" vertical="center"/>
    </xf>
    <xf numFmtId="1" fontId="7" fillId="0" borderId="32" xfId="0" applyNumberFormat="1" applyFont="1" applyBorder="1" applyAlignment="1">
      <alignment horizontal="center" vertical="center"/>
    </xf>
    <xf numFmtId="1" fontId="7" fillId="0" borderId="33" xfId="0" applyNumberFormat="1" applyFont="1" applyBorder="1" applyAlignment="1">
      <alignment horizontal="center" vertical="center"/>
    </xf>
    <xf numFmtId="3" fontId="2" fillId="2" borderId="34" xfId="0" applyNumberFormat="1" applyFont="1" applyFill="1" applyBorder="1" applyAlignment="1">
      <alignment horizontal="center"/>
    </xf>
    <xf numFmtId="1" fontId="5" fillId="0" borderId="35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/>
    </xf>
    <xf numFmtId="3" fontId="2" fillId="2" borderId="34" xfId="0" applyNumberFormat="1" applyFont="1" applyFill="1" applyBorder="1" applyAlignment="1">
      <alignment horizontal="center" vertical="center" wrapText="1"/>
    </xf>
    <xf numFmtId="9" fontId="4" fillId="0" borderId="35" xfId="0" applyNumberFormat="1" applyFont="1" applyBorder="1" applyAlignment="1">
      <alignment horizontal="center" vertical="center"/>
    </xf>
    <xf numFmtId="9" fontId="4" fillId="0" borderId="33" xfId="0" applyNumberFormat="1" applyFont="1" applyBorder="1" applyAlignment="1">
      <alignment horizontal="center" vertical="center"/>
    </xf>
    <xf numFmtId="1" fontId="4" fillId="3" borderId="33" xfId="0" applyNumberFormat="1" applyFont="1" applyFill="1" applyBorder="1" applyAlignment="1">
      <alignment horizontal="center" vertical="center"/>
    </xf>
    <xf numFmtId="1" fontId="4" fillId="0" borderId="33" xfId="0" applyNumberFormat="1" applyFont="1" applyBorder="1" applyAlignment="1">
      <alignment horizontal="center"/>
    </xf>
    <xf numFmtId="3" fontId="2" fillId="2" borderId="36" xfId="0" applyNumberFormat="1" applyFont="1" applyFill="1" applyBorder="1" applyAlignment="1">
      <alignment horizontal="center" vertical="center" wrapText="1"/>
    </xf>
    <xf numFmtId="1" fontId="3" fillId="0" borderId="35" xfId="0" applyNumberFormat="1" applyFont="1" applyBorder="1" applyAlignment="1">
      <alignment horizontal="center" vertical="center"/>
    </xf>
    <xf numFmtId="1" fontId="3" fillId="0" borderId="33" xfId="0" applyNumberFormat="1" applyFont="1" applyBorder="1" applyAlignment="1">
      <alignment horizontal="center" vertical="center"/>
    </xf>
    <xf numFmtId="1" fontId="6" fillId="0" borderId="35" xfId="0" applyNumberFormat="1" applyFont="1" applyBorder="1" applyAlignment="1">
      <alignment horizontal="center" vertical="center"/>
    </xf>
    <xf numFmtId="1" fontId="6" fillId="0" borderId="33" xfId="0" applyNumberFormat="1" applyFont="1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3" fontId="2" fillId="2" borderId="20" xfId="0" applyNumberFormat="1" applyFont="1" applyFill="1" applyBorder="1" applyAlignment="1">
      <alignment horizontal="center"/>
    </xf>
    <xf numFmtId="164" fontId="0" fillId="3" borderId="16" xfId="0" applyNumberFormat="1" applyFill="1" applyBorder="1" applyAlignment="1">
      <alignment horizontal="right" vertical="center"/>
    </xf>
    <xf numFmtId="1" fontId="7" fillId="0" borderId="38" xfId="0" applyNumberFormat="1" applyFont="1" applyBorder="1" applyAlignment="1">
      <alignment horizontal="center" vertical="center"/>
    </xf>
    <xf numFmtId="1" fontId="7" fillId="0" borderId="39" xfId="0" applyNumberFormat="1" applyFont="1" applyBorder="1" applyAlignment="1">
      <alignment horizontal="center" vertical="center"/>
    </xf>
    <xf numFmtId="1" fontId="7" fillId="0" borderId="40" xfId="0" applyNumberFormat="1" applyFont="1" applyBorder="1" applyAlignment="1">
      <alignment horizontal="center" vertical="center"/>
    </xf>
    <xf numFmtId="1" fontId="5" fillId="0" borderId="38" xfId="0" applyNumberFormat="1" applyFont="1" applyBorder="1" applyAlignment="1">
      <alignment horizontal="center"/>
    </xf>
    <xf numFmtId="1" fontId="5" fillId="0" borderId="40" xfId="0" applyNumberFormat="1" applyFont="1" applyBorder="1" applyAlignment="1">
      <alignment horizontal="center"/>
    </xf>
    <xf numFmtId="9" fontId="4" fillId="0" borderId="38" xfId="0" applyNumberFormat="1" applyFont="1" applyBorder="1" applyAlignment="1">
      <alignment horizontal="center" vertical="center"/>
    </xf>
    <xf numFmtId="9" fontId="4" fillId="0" borderId="39" xfId="0" applyNumberFormat="1" applyFont="1" applyBorder="1" applyAlignment="1">
      <alignment horizontal="center" vertical="center"/>
    </xf>
    <xf numFmtId="1" fontId="4" fillId="3" borderId="39" xfId="0" applyNumberFormat="1" applyFont="1" applyFill="1" applyBorder="1" applyAlignment="1">
      <alignment horizontal="center" vertical="center"/>
    </xf>
    <xf numFmtId="1" fontId="4" fillId="0" borderId="40" xfId="0" applyNumberFormat="1" applyFont="1" applyBorder="1" applyAlignment="1">
      <alignment horizontal="center"/>
    </xf>
    <xf numFmtId="1" fontId="3" fillId="0" borderId="38" xfId="0" applyNumberFormat="1" applyFont="1" applyBorder="1" applyAlignment="1">
      <alignment horizontal="center" vertical="center"/>
    </xf>
    <xf numFmtId="1" fontId="3" fillId="0" borderId="39" xfId="0" applyNumberFormat="1" applyFont="1" applyBorder="1" applyAlignment="1">
      <alignment horizontal="center" vertical="center"/>
    </xf>
    <xf numFmtId="1" fontId="3" fillId="0" borderId="40" xfId="0" applyNumberFormat="1" applyFont="1" applyBorder="1" applyAlignment="1">
      <alignment horizontal="center" vertical="center"/>
    </xf>
    <xf numFmtId="1" fontId="6" fillId="0" borderId="38" xfId="0" applyNumberFormat="1" applyFont="1" applyBorder="1" applyAlignment="1">
      <alignment horizontal="center" vertical="center"/>
    </xf>
    <xf numFmtId="1" fontId="6" fillId="0" borderId="40" xfId="0" applyNumberFormat="1" applyFont="1" applyBorder="1" applyAlignment="1">
      <alignment horizontal="center" vertical="center"/>
    </xf>
    <xf numFmtId="3" fontId="2" fillId="0" borderId="41" xfId="0" applyNumberFormat="1" applyFont="1" applyBorder="1" applyAlignment="1">
      <alignment horizontal="center"/>
    </xf>
    <xf numFmtId="3" fontId="2" fillId="0" borderId="4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AA66-F09B-493A-A12B-96B3F63B9C36}">
  <dimension ref="A1:P44"/>
  <sheetViews>
    <sheetView tabSelected="1" workbookViewId="0">
      <selection activeCell="M33" sqref="M33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29" customWidth="1"/>
    <col min="6" max="6" width="12.5703125" style="41" customWidth="1"/>
    <col min="7" max="7" width="8.85546875" style="31"/>
    <col min="8" max="8" width="8.85546875" style="37"/>
    <col min="9" max="9" width="8.85546875" style="33" customWidth="1"/>
    <col min="10" max="10" width="8.85546875" style="46"/>
    <col min="11" max="12" width="8.85546875" style="39"/>
    <col min="13" max="14" width="12.28515625" style="49" bestFit="1" customWidth="1"/>
    <col min="15" max="15" width="8.85546875" style="40"/>
    <col min="16" max="16" width="11.5703125" style="40" customWidth="1"/>
    <col min="17" max="16384" width="8.85546875" style="4"/>
  </cols>
  <sheetData>
    <row r="1" spans="1:16" ht="75.75" thickBot="1" x14ac:dyDescent="0.25">
      <c r="A1" s="20" t="s">
        <v>22</v>
      </c>
      <c r="B1" s="20" t="s">
        <v>23</v>
      </c>
      <c r="C1" s="20" t="s">
        <v>24</v>
      </c>
      <c r="D1" s="20" t="s">
        <v>25</v>
      </c>
      <c r="E1" s="21" t="s">
        <v>26</v>
      </c>
      <c r="F1" s="22" t="s">
        <v>27</v>
      </c>
      <c r="G1" s="23" t="s">
        <v>28</v>
      </c>
      <c r="H1" s="24" t="s">
        <v>38</v>
      </c>
      <c r="I1" s="42" t="s">
        <v>36</v>
      </c>
      <c r="J1" s="43" t="s">
        <v>37</v>
      </c>
      <c r="K1" s="25" t="s">
        <v>29</v>
      </c>
      <c r="L1" s="25" t="s">
        <v>30</v>
      </c>
      <c r="M1" s="26" t="s">
        <v>31</v>
      </c>
      <c r="N1" s="26" t="s">
        <v>32</v>
      </c>
      <c r="O1" s="27" t="s">
        <v>0</v>
      </c>
      <c r="P1" s="27" t="s">
        <v>33</v>
      </c>
    </row>
    <row r="2" spans="1:16" ht="15.75" thickTop="1" x14ac:dyDescent="0.25">
      <c r="A2" s="28" t="s">
        <v>34</v>
      </c>
      <c r="B2" s="4">
        <v>1</v>
      </c>
      <c r="C2" s="4">
        <v>5</v>
      </c>
      <c r="D2" s="3">
        <v>2026</v>
      </c>
      <c r="E2" s="29">
        <f>Anassa!D3-Anassa!D2</f>
        <v>8568.8000000007451</v>
      </c>
      <c r="F2" s="30">
        <v>0.2281</v>
      </c>
      <c r="G2" s="31">
        <f>Anassa!N2</f>
        <v>125</v>
      </c>
      <c r="H2" s="32">
        <v>0.94930000000000003</v>
      </c>
      <c r="I2" s="44">
        <f>Anassa!AC2*5.04</f>
        <v>0</v>
      </c>
      <c r="J2" s="45">
        <v>0</v>
      </c>
      <c r="K2" s="33">
        <f>Anassa!Z2</f>
        <v>66</v>
      </c>
      <c r="L2" s="34">
        <v>1.3168</v>
      </c>
      <c r="M2" s="47">
        <f>Anassa!H2</f>
        <v>1641</v>
      </c>
      <c r="N2" s="48">
        <v>1.1031</v>
      </c>
      <c r="O2" s="35">
        <f>Anassa!AD2</f>
        <v>61</v>
      </c>
      <c r="P2" s="35">
        <f>Anassa!AE2</f>
        <v>121</v>
      </c>
    </row>
    <row r="3" spans="1:16" ht="15" x14ac:dyDescent="0.25">
      <c r="A3" s="28" t="s">
        <v>34</v>
      </c>
      <c r="B3" s="4">
        <f>B2+1</f>
        <v>2</v>
      </c>
      <c r="C3" s="4">
        <v>5</v>
      </c>
      <c r="D3" s="3">
        <v>2026</v>
      </c>
      <c r="E3" s="29">
        <f>Anassa!D4-Anassa!D3</f>
        <v>8450.6000000014901</v>
      </c>
      <c r="F3" s="30">
        <v>0.2281</v>
      </c>
      <c r="G3" s="31">
        <f>Anassa!N3</f>
        <v>124.99999999999909</v>
      </c>
      <c r="H3" s="32">
        <v>0.94930000000000003</v>
      </c>
      <c r="I3" s="44">
        <f>Anassa!AC3*5.04</f>
        <v>0</v>
      </c>
      <c r="J3" s="45">
        <v>0</v>
      </c>
      <c r="K3" s="33">
        <f>Anassa!Z3</f>
        <v>87</v>
      </c>
      <c r="L3" s="34">
        <v>1.3168</v>
      </c>
      <c r="M3" s="47">
        <f>Anassa!H3</f>
        <v>1615</v>
      </c>
      <c r="N3" s="48">
        <v>1.1031</v>
      </c>
      <c r="O3" s="35">
        <f>Anassa!AD3</f>
        <v>63</v>
      </c>
      <c r="P3" s="35">
        <f>Anassa!AE3</f>
        <v>126</v>
      </c>
    </row>
    <row r="4" spans="1:16" ht="15" x14ac:dyDescent="0.25">
      <c r="A4" s="28" t="s">
        <v>34</v>
      </c>
      <c r="B4" s="4">
        <f t="shared" ref="B4:B32" si="0">B3+1</f>
        <v>3</v>
      </c>
      <c r="C4" s="4">
        <v>5</v>
      </c>
      <c r="D4" s="3">
        <v>2026</v>
      </c>
      <c r="E4" s="29">
        <f>Anassa!D5-Anassa!D4</f>
        <v>8028.5</v>
      </c>
      <c r="F4" s="30">
        <v>0.2281</v>
      </c>
      <c r="G4" s="31">
        <f>Anassa!N4</f>
        <v>575.00000000000182</v>
      </c>
      <c r="H4" s="32">
        <v>0.94930000000000003</v>
      </c>
      <c r="I4" s="44">
        <f>Anassa!AC4*5.04</f>
        <v>0</v>
      </c>
      <c r="J4" s="45">
        <v>0</v>
      </c>
      <c r="K4" s="33">
        <f>Anassa!Z4</f>
        <v>64</v>
      </c>
      <c r="L4" s="34">
        <v>1.3168</v>
      </c>
      <c r="M4" s="47">
        <f>Anassa!H4</f>
        <v>2159</v>
      </c>
      <c r="N4" s="48">
        <v>1.1031</v>
      </c>
      <c r="O4" s="35">
        <f>Anassa!AD4</f>
        <v>38</v>
      </c>
      <c r="P4" s="35">
        <f>Anassa!AE4</f>
        <v>73</v>
      </c>
    </row>
    <row r="5" spans="1:16" ht="15" x14ac:dyDescent="0.25">
      <c r="A5" s="28" t="s">
        <v>34</v>
      </c>
      <c r="B5" s="4">
        <f t="shared" si="0"/>
        <v>4</v>
      </c>
      <c r="C5" s="4">
        <v>5</v>
      </c>
      <c r="D5" s="3">
        <v>2026</v>
      </c>
      <c r="E5" s="29">
        <f>Anassa!D6-Anassa!D5</f>
        <v>7840.1999999992549</v>
      </c>
      <c r="F5" s="30">
        <v>0.2281</v>
      </c>
      <c r="G5" s="31">
        <f>Anassa!N5</f>
        <v>74.999999999999091</v>
      </c>
      <c r="H5" s="32">
        <v>0.94930000000000003</v>
      </c>
      <c r="I5" s="44">
        <f>Anassa!AC5*5.04</f>
        <v>0</v>
      </c>
      <c r="J5" s="45">
        <v>0</v>
      </c>
      <c r="K5" s="33">
        <f>Anassa!Z5</f>
        <v>79</v>
      </c>
      <c r="L5" s="34">
        <v>1.3168</v>
      </c>
      <c r="M5" s="47">
        <f>Anassa!H5</f>
        <v>1391</v>
      </c>
      <c r="N5" s="48">
        <v>1.1031</v>
      </c>
      <c r="O5" s="35">
        <f>Anassa!AD5</f>
        <v>34</v>
      </c>
      <c r="P5" s="35">
        <f>Anassa!AE5</f>
        <v>69</v>
      </c>
    </row>
    <row r="6" spans="1:16" ht="15" x14ac:dyDescent="0.25">
      <c r="A6" s="28" t="s">
        <v>34</v>
      </c>
      <c r="B6" s="4">
        <f t="shared" si="0"/>
        <v>5</v>
      </c>
      <c r="C6" s="4">
        <v>5</v>
      </c>
      <c r="D6" s="3">
        <v>2026</v>
      </c>
      <c r="E6" s="29">
        <f>Anassa!D7-Anassa!D6</f>
        <v>7885</v>
      </c>
      <c r="F6" s="30">
        <v>0.2281</v>
      </c>
      <c r="G6" s="31">
        <f>Anassa!N6</f>
        <v>125.00000000000091</v>
      </c>
      <c r="H6" s="32">
        <v>0.94930000000000003</v>
      </c>
      <c r="I6" s="44">
        <f>Anassa!AC6*5.04</f>
        <v>0</v>
      </c>
      <c r="J6" s="45">
        <v>0</v>
      </c>
      <c r="K6" s="33">
        <f>Anassa!Z6</f>
        <v>190</v>
      </c>
      <c r="L6" s="34">
        <v>1.3168</v>
      </c>
      <c r="M6" s="47">
        <f>Anassa!H6</f>
        <v>1547</v>
      </c>
      <c r="N6" s="48">
        <v>1.1031</v>
      </c>
      <c r="O6" s="35">
        <f>Anassa!AD6</f>
        <v>38</v>
      </c>
      <c r="P6" s="35">
        <f>Anassa!AE6</f>
        <v>75</v>
      </c>
    </row>
    <row r="7" spans="1:16" ht="15" x14ac:dyDescent="0.25">
      <c r="A7" s="28" t="s">
        <v>34</v>
      </c>
      <c r="B7" s="4">
        <f t="shared" si="0"/>
        <v>6</v>
      </c>
      <c r="C7" s="4">
        <v>5</v>
      </c>
      <c r="D7" s="3">
        <v>2026</v>
      </c>
      <c r="E7" s="29">
        <f>Anassa!D8-Anassa!D7</f>
        <v>8306.6000000014901</v>
      </c>
      <c r="F7" s="30">
        <v>0.2281</v>
      </c>
      <c r="G7" s="31">
        <f>Anassa!N7</f>
        <v>225</v>
      </c>
      <c r="H7" s="32">
        <v>0.94930000000000003</v>
      </c>
      <c r="I7" s="44">
        <f>Anassa!AC7*5.04</f>
        <v>0</v>
      </c>
      <c r="J7" s="45">
        <v>0</v>
      </c>
      <c r="K7" s="33">
        <f>Anassa!Z7</f>
        <v>82</v>
      </c>
      <c r="L7" s="34">
        <v>1.3168</v>
      </c>
      <c r="M7" s="47">
        <f>Anassa!H7</f>
        <v>987</v>
      </c>
      <c r="N7" s="48">
        <v>1.1031</v>
      </c>
      <c r="O7" s="35">
        <f>Anassa!AD7</f>
        <v>37</v>
      </c>
      <c r="P7" s="35">
        <f>Anassa!AE7</f>
        <v>71</v>
      </c>
    </row>
    <row r="8" spans="1:16" ht="15" x14ac:dyDescent="0.25">
      <c r="A8" s="28" t="s">
        <v>34</v>
      </c>
      <c r="B8" s="4">
        <f t="shared" si="0"/>
        <v>7</v>
      </c>
      <c r="C8" s="4">
        <v>5</v>
      </c>
      <c r="D8" s="3">
        <v>2026</v>
      </c>
      <c r="E8" s="29">
        <f>Anassa!D9-Anassa!D8</f>
        <v>8239.7999999970198</v>
      </c>
      <c r="F8" s="30">
        <v>0.2281</v>
      </c>
      <c r="G8" s="31">
        <f>Anassa!N8</f>
        <v>378</v>
      </c>
      <c r="H8" s="32">
        <v>0.94930000000000003</v>
      </c>
      <c r="I8" s="44">
        <f>Anassa!AC8*5.04</f>
        <v>0</v>
      </c>
      <c r="J8" s="45">
        <v>0</v>
      </c>
      <c r="K8" s="33">
        <f>Anassa!Z8</f>
        <v>75</v>
      </c>
      <c r="L8" s="34">
        <v>1.3168</v>
      </c>
      <c r="M8" s="47">
        <f>Anassa!H8</f>
        <v>1404</v>
      </c>
      <c r="N8" s="48">
        <v>1.1031</v>
      </c>
      <c r="O8" s="35">
        <f>Anassa!AD8</f>
        <v>35</v>
      </c>
      <c r="P8" s="35">
        <f>Anassa!AE8</f>
        <v>69</v>
      </c>
    </row>
    <row r="9" spans="1:16" ht="15" x14ac:dyDescent="0.25">
      <c r="A9" s="28" t="s">
        <v>34</v>
      </c>
      <c r="B9" s="4">
        <f t="shared" si="0"/>
        <v>8</v>
      </c>
      <c r="C9" s="4">
        <v>5</v>
      </c>
      <c r="D9" s="3">
        <v>2026</v>
      </c>
      <c r="E9" s="29">
        <f>Anassa!D10-Anassa!D9</f>
        <v>8474.8000000007451</v>
      </c>
      <c r="F9" s="30">
        <v>0.2281</v>
      </c>
      <c r="G9" s="31">
        <f>Anassa!N9</f>
        <v>125</v>
      </c>
      <c r="H9" s="32">
        <v>0.94930000000000003</v>
      </c>
      <c r="I9" s="44">
        <f>Anassa!AC9*5.04</f>
        <v>0</v>
      </c>
      <c r="J9" s="45">
        <v>0</v>
      </c>
      <c r="K9" s="33">
        <f>Anassa!Z9</f>
        <v>132</v>
      </c>
      <c r="L9" s="34">
        <v>1.3168</v>
      </c>
      <c r="M9" s="47">
        <f>Anassa!H9</f>
        <v>110</v>
      </c>
      <c r="N9" s="48">
        <v>1.1031</v>
      </c>
      <c r="O9" s="35">
        <f>Anassa!AD9</f>
        <v>47</v>
      </c>
      <c r="P9" s="35">
        <f>Anassa!AE9</f>
        <v>95</v>
      </c>
    </row>
    <row r="10" spans="1:16" ht="15" x14ac:dyDescent="0.25">
      <c r="A10" s="28" t="s">
        <v>34</v>
      </c>
      <c r="B10" s="4">
        <f t="shared" si="0"/>
        <v>9</v>
      </c>
      <c r="C10" s="4">
        <v>5</v>
      </c>
      <c r="D10" s="3">
        <v>2026</v>
      </c>
      <c r="E10" s="29">
        <f>Anassa!D11-Anassa!D10</f>
        <v>8486.5</v>
      </c>
      <c r="F10" s="30">
        <v>0.2281</v>
      </c>
      <c r="G10" s="31">
        <f>Anassa!N10</f>
        <v>425</v>
      </c>
      <c r="H10" s="32">
        <v>0.94930000000000003</v>
      </c>
      <c r="I10" s="44">
        <f>Anassa!AC10*5.04</f>
        <v>0</v>
      </c>
      <c r="J10" s="45">
        <v>0</v>
      </c>
      <c r="K10" s="33">
        <f>Anassa!Z10</f>
        <v>98</v>
      </c>
      <c r="L10" s="34">
        <v>1.3168</v>
      </c>
      <c r="M10" s="47">
        <f>Anassa!H10</f>
        <v>2181</v>
      </c>
      <c r="N10" s="48">
        <v>1.1031</v>
      </c>
      <c r="O10" s="35">
        <f>Anassa!AD10</f>
        <v>55</v>
      </c>
      <c r="P10" s="35">
        <f>Anassa!AE10</f>
        <v>110</v>
      </c>
    </row>
    <row r="11" spans="1:16" ht="15" x14ac:dyDescent="0.25">
      <c r="A11" s="28" t="s">
        <v>34</v>
      </c>
      <c r="B11" s="4">
        <f t="shared" si="0"/>
        <v>10</v>
      </c>
      <c r="C11" s="4">
        <v>5</v>
      </c>
      <c r="D11" s="3">
        <v>2026</v>
      </c>
      <c r="E11" s="29">
        <f>Anassa!D12-Anassa!D11</f>
        <v>8554</v>
      </c>
      <c r="F11" s="30">
        <v>0.2281</v>
      </c>
      <c r="G11" s="31">
        <f>Anassa!N11</f>
        <v>199.99999999999909</v>
      </c>
      <c r="H11" s="32">
        <v>0.94930000000000003</v>
      </c>
      <c r="I11" s="44">
        <f>Anassa!AC11*5.04</f>
        <v>0</v>
      </c>
      <c r="J11" s="45">
        <v>0</v>
      </c>
      <c r="K11" s="33">
        <f>Anassa!Z11</f>
        <v>65</v>
      </c>
      <c r="L11" s="34">
        <v>1.3168</v>
      </c>
      <c r="M11" s="47">
        <f>Anassa!H11</f>
        <v>1010</v>
      </c>
      <c r="N11" s="48">
        <v>1.1031</v>
      </c>
      <c r="O11" s="35">
        <f>Anassa!AD11</f>
        <v>39</v>
      </c>
      <c r="P11" s="35">
        <f>Anassa!AE11</f>
        <v>79</v>
      </c>
    </row>
    <row r="12" spans="1:16" ht="15" x14ac:dyDescent="0.25">
      <c r="A12" s="28" t="s">
        <v>34</v>
      </c>
      <c r="B12" s="4">
        <f t="shared" si="0"/>
        <v>11</v>
      </c>
      <c r="C12" s="4">
        <v>5</v>
      </c>
      <c r="D12" s="3">
        <v>2026</v>
      </c>
      <c r="E12" s="29">
        <f>Anassa!D13-Anassa!D12</f>
        <v>8301</v>
      </c>
      <c r="F12" s="30">
        <v>0.2281</v>
      </c>
      <c r="G12" s="31">
        <f>Anassa!N12</f>
        <v>500.00000000000091</v>
      </c>
      <c r="H12" s="32">
        <v>0.94930000000000003</v>
      </c>
      <c r="I12" s="44">
        <f>Anassa!AC12*5.04</f>
        <v>0</v>
      </c>
      <c r="J12" s="45">
        <v>0</v>
      </c>
      <c r="K12" s="33">
        <f>Anassa!Z12</f>
        <v>78</v>
      </c>
      <c r="L12" s="34">
        <v>1.3168</v>
      </c>
      <c r="M12" s="47">
        <f>Anassa!H12</f>
        <v>651</v>
      </c>
      <c r="N12" s="48">
        <v>1.1031</v>
      </c>
      <c r="O12" s="35">
        <f>Anassa!AD12</f>
        <v>36</v>
      </c>
      <c r="P12" s="35">
        <f>Anassa!AE12</f>
        <v>71</v>
      </c>
    </row>
    <row r="13" spans="1:16" ht="15" x14ac:dyDescent="0.25">
      <c r="A13" s="28" t="s">
        <v>34</v>
      </c>
      <c r="B13" s="4">
        <f t="shared" si="0"/>
        <v>12</v>
      </c>
      <c r="C13" s="4">
        <v>5</v>
      </c>
      <c r="D13" s="3">
        <v>2026</v>
      </c>
      <c r="E13" s="29">
        <f>Anassa!D14-Anassa!D13</f>
        <v>8046.1000000014901</v>
      </c>
      <c r="F13" s="30">
        <v>0.2281</v>
      </c>
      <c r="G13" s="31">
        <f>Anassa!N13</f>
        <v>375.00000000000091</v>
      </c>
      <c r="H13" s="32">
        <v>0.94930000000000003</v>
      </c>
      <c r="I13" s="44">
        <f>Anassa!AC13*5.04</f>
        <v>0</v>
      </c>
      <c r="J13" s="45">
        <v>0</v>
      </c>
      <c r="K13" s="33">
        <f>Anassa!Z13</f>
        <v>71</v>
      </c>
      <c r="L13" s="34">
        <v>1.3168</v>
      </c>
      <c r="M13" s="47">
        <f>Anassa!H13</f>
        <v>798</v>
      </c>
      <c r="N13" s="48">
        <v>1.1031</v>
      </c>
      <c r="O13" s="35">
        <f>Anassa!AD13</f>
        <v>34</v>
      </c>
      <c r="P13" s="35">
        <f>Anassa!AE13</f>
        <v>64</v>
      </c>
    </row>
    <row r="14" spans="1:16" ht="15" x14ac:dyDescent="0.25">
      <c r="A14" s="28" t="s">
        <v>34</v>
      </c>
      <c r="B14" s="4">
        <f t="shared" si="0"/>
        <v>13</v>
      </c>
      <c r="C14" s="4">
        <v>5</v>
      </c>
      <c r="D14" s="3">
        <v>2026</v>
      </c>
      <c r="E14" s="29">
        <f>Anassa!D15-Anassa!D14</f>
        <v>9382.3000000007451</v>
      </c>
      <c r="F14" s="30">
        <v>0.2281</v>
      </c>
      <c r="G14" s="31">
        <f>Anassa!N14</f>
        <v>124.99999999999909</v>
      </c>
      <c r="H14" s="32">
        <v>0.94930000000000003</v>
      </c>
      <c r="I14" s="44">
        <f>Anassa!AC14*5.04</f>
        <v>0</v>
      </c>
      <c r="J14" s="45">
        <v>0</v>
      </c>
      <c r="K14" s="33">
        <f>Anassa!Z14</f>
        <v>14</v>
      </c>
      <c r="L14" s="34">
        <v>1.3168</v>
      </c>
      <c r="M14" s="47">
        <f>Anassa!H14</f>
        <v>949</v>
      </c>
      <c r="N14" s="48">
        <v>1.1031</v>
      </c>
      <c r="O14" s="35">
        <f>Anassa!AD14</f>
        <v>37</v>
      </c>
      <c r="P14" s="35">
        <f>Anassa!AE14</f>
        <v>64</v>
      </c>
    </row>
    <row r="15" spans="1:16" ht="15" x14ac:dyDescent="0.25">
      <c r="A15" s="28" t="s">
        <v>34</v>
      </c>
      <c r="B15" s="4">
        <f t="shared" si="0"/>
        <v>14</v>
      </c>
      <c r="C15" s="4">
        <v>5</v>
      </c>
      <c r="D15" s="3">
        <v>2026</v>
      </c>
      <c r="E15" s="29">
        <f>Anassa!D16-Anassa!D15</f>
        <v>9352.6999999992549</v>
      </c>
      <c r="F15" s="30">
        <v>0.2281</v>
      </c>
      <c r="G15" s="31">
        <f>Anassa!N15</f>
        <v>375</v>
      </c>
      <c r="H15" s="32">
        <v>0.94930000000000003</v>
      </c>
      <c r="I15" s="44">
        <f>Anassa!AC15*5.04</f>
        <v>0</v>
      </c>
      <c r="J15" s="45">
        <v>0</v>
      </c>
      <c r="K15" s="33">
        <f>Anassa!Z15</f>
        <v>101</v>
      </c>
      <c r="L15" s="34">
        <v>1.3168</v>
      </c>
      <c r="M15" s="47">
        <f>Anassa!H15</f>
        <v>827</v>
      </c>
      <c r="N15" s="48">
        <v>1.1031</v>
      </c>
      <c r="O15" s="35">
        <f>Anassa!AD15</f>
        <v>41</v>
      </c>
      <c r="P15" s="35">
        <f>Anassa!AE15</f>
        <v>70</v>
      </c>
    </row>
    <row r="16" spans="1:16" ht="15" x14ac:dyDescent="0.25">
      <c r="A16" s="28" t="s">
        <v>34</v>
      </c>
      <c r="B16" s="4">
        <f t="shared" si="0"/>
        <v>15</v>
      </c>
      <c r="C16" s="4">
        <v>5</v>
      </c>
      <c r="D16" s="3">
        <v>2026</v>
      </c>
      <c r="E16" s="29">
        <f>Anassa!D17-Anassa!D16</f>
        <v>9443.1999999992549</v>
      </c>
      <c r="F16" s="30">
        <v>0.2281</v>
      </c>
      <c r="G16" s="31">
        <f>Anassa!N16</f>
        <v>199.99999999999909</v>
      </c>
      <c r="H16" s="32">
        <v>0.94930000000000003</v>
      </c>
      <c r="I16" s="44">
        <f>Anassa!AC16*5.04</f>
        <v>0</v>
      </c>
      <c r="J16" s="45">
        <v>0</v>
      </c>
      <c r="K16" s="33">
        <f>Anassa!Z16</f>
        <v>63</v>
      </c>
      <c r="L16" s="34">
        <v>1.3168</v>
      </c>
      <c r="M16" s="47">
        <f>Anassa!H16</f>
        <v>976</v>
      </c>
      <c r="N16" s="48">
        <v>1.1031</v>
      </c>
      <c r="O16" s="35">
        <f>Anassa!AD16</f>
        <v>50</v>
      </c>
      <c r="P16" s="35">
        <f>Anassa!AE16</f>
        <v>59</v>
      </c>
    </row>
    <row r="17" spans="1:16" ht="15" x14ac:dyDescent="0.25">
      <c r="A17" s="28" t="s">
        <v>34</v>
      </c>
      <c r="B17" s="4">
        <f t="shared" si="0"/>
        <v>16</v>
      </c>
      <c r="C17" s="4">
        <v>5</v>
      </c>
      <c r="D17" s="3">
        <v>2026</v>
      </c>
      <c r="E17" s="29">
        <f>Anassa!D18-Anassa!D17</f>
        <v>10629.699999999255</v>
      </c>
      <c r="F17" s="30">
        <v>0.2281</v>
      </c>
      <c r="G17" s="31">
        <f>Anassa!N17</f>
        <v>249.99999999999909</v>
      </c>
      <c r="H17" s="32">
        <v>0.94930000000000003</v>
      </c>
      <c r="I17" s="44">
        <f>Anassa!AC17*5.04</f>
        <v>0</v>
      </c>
      <c r="J17" s="45">
        <v>0</v>
      </c>
      <c r="K17" s="33">
        <f>Anassa!Z17</f>
        <v>89</v>
      </c>
      <c r="L17" s="34">
        <v>1.3168</v>
      </c>
      <c r="M17" s="47">
        <f>Anassa!H17</f>
        <v>561</v>
      </c>
      <c r="N17" s="48">
        <v>1.1031</v>
      </c>
      <c r="O17" s="35">
        <f>Anassa!AD17</f>
        <v>66</v>
      </c>
      <c r="P17" s="35">
        <f>Anassa!AE17</f>
        <v>109</v>
      </c>
    </row>
    <row r="18" spans="1:16" ht="15" x14ac:dyDescent="0.25">
      <c r="A18" s="28" t="s">
        <v>34</v>
      </c>
      <c r="B18" s="4">
        <f t="shared" si="0"/>
        <v>17</v>
      </c>
      <c r="C18" s="4">
        <v>5</v>
      </c>
      <c r="D18" s="3">
        <v>2026</v>
      </c>
      <c r="E18" s="29">
        <f>Anassa!D19-Anassa!D18</f>
        <v>9834.6999999992549</v>
      </c>
      <c r="F18" s="30">
        <v>0.2281</v>
      </c>
      <c r="G18" s="31">
        <f>Anassa!N18</f>
        <v>225</v>
      </c>
      <c r="H18" s="32">
        <v>0.94930000000000003</v>
      </c>
      <c r="I18" s="44">
        <f>Anassa!AC18*5.04</f>
        <v>0</v>
      </c>
      <c r="J18" s="45">
        <v>0</v>
      </c>
      <c r="K18" s="33">
        <f>Anassa!Z18</f>
        <v>71</v>
      </c>
      <c r="L18" s="34">
        <v>1.3168</v>
      </c>
      <c r="M18" s="47">
        <f>Anassa!H18</f>
        <v>563</v>
      </c>
      <c r="N18" s="48">
        <v>1.1031</v>
      </c>
      <c r="O18" s="35">
        <f>Anassa!AD18</f>
        <v>51</v>
      </c>
      <c r="P18" s="35">
        <f>Anassa!AE18</f>
        <v>83</v>
      </c>
    </row>
    <row r="19" spans="1:16" ht="15" x14ac:dyDescent="0.25">
      <c r="A19" s="28" t="s">
        <v>34</v>
      </c>
      <c r="B19" s="4">
        <f t="shared" si="0"/>
        <v>18</v>
      </c>
      <c r="C19" s="4">
        <v>5</v>
      </c>
      <c r="D19" s="3">
        <v>2026</v>
      </c>
      <c r="E19" s="29">
        <f>Anassa!D20-Anassa!D19</f>
        <v>10074.300000000745</v>
      </c>
      <c r="F19" s="30">
        <v>0.2281</v>
      </c>
      <c r="G19" s="31">
        <f>Anassa!N19</f>
        <v>275.00000000000091</v>
      </c>
      <c r="H19" s="32">
        <v>0.94930000000000003</v>
      </c>
      <c r="I19" s="44">
        <f>Anassa!AC19*5.04</f>
        <v>0</v>
      </c>
      <c r="J19" s="45">
        <v>0</v>
      </c>
      <c r="K19" s="33">
        <f>Anassa!Z19</f>
        <v>69</v>
      </c>
      <c r="L19" s="34">
        <v>1.3168</v>
      </c>
      <c r="M19" s="47">
        <f>Anassa!H19</f>
        <v>564</v>
      </c>
      <c r="N19" s="48">
        <v>1.1031</v>
      </c>
      <c r="O19" s="35">
        <f>Anassa!AD19</f>
        <v>41</v>
      </c>
      <c r="P19" s="35">
        <f>Anassa!AE19</f>
        <v>74</v>
      </c>
    </row>
    <row r="20" spans="1:16" ht="15" x14ac:dyDescent="0.25">
      <c r="A20" s="28" t="s">
        <v>34</v>
      </c>
      <c r="B20" s="4">
        <f t="shared" si="0"/>
        <v>19</v>
      </c>
      <c r="C20" s="4">
        <v>5</v>
      </c>
      <c r="D20" s="3">
        <v>2026</v>
      </c>
      <c r="E20" s="29">
        <f>Anassa!D21-Anassa!D20</f>
        <v>9724.4000000022352</v>
      </c>
      <c r="F20" s="30">
        <v>0.2281</v>
      </c>
      <c r="G20" s="31">
        <f>Anassa!N20</f>
        <v>125</v>
      </c>
      <c r="H20" s="32">
        <v>0.94930000000000003</v>
      </c>
      <c r="I20" s="44">
        <f>Anassa!AC20*5.04</f>
        <v>0</v>
      </c>
      <c r="J20" s="45">
        <v>0</v>
      </c>
      <c r="K20" s="33">
        <f>Anassa!Z20</f>
        <v>79</v>
      </c>
      <c r="L20" s="34">
        <v>1.3168</v>
      </c>
      <c r="M20" s="47">
        <f>Anassa!H20</f>
        <v>564</v>
      </c>
      <c r="N20" s="48">
        <v>1.1031</v>
      </c>
      <c r="O20" s="35">
        <f>Anassa!AD20</f>
        <v>51</v>
      </c>
      <c r="P20" s="35">
        <f>Anassa!AE20</f>
        <v>89</v>
      </c>
    </row>
    <row r="21" spans="1:16" ht="15" x14ac:dyDescent="0.25">
      <c r="A21" s="28" t="s">
        <v>34</v>
      </c>
      <c r="B21" s="4">
        <f t="shared" si="0"/>
        <v>20</v>
      </c>
      <c r="C21" s="4">
        <v>5</v>
      </c>
      <c r="D21" s="3">
        <v>2026</v>
      </c>
      <c r="E21" s="29">
        <f>Anassa!D22-Anassa!D21</f>
        <v>11168.79999999702</v>
      </c>
      <c r="F21" s="30">
        <v>0.2281</v>
      </c>
      <c r="G21" s="31">
        <f>Anassa!N21</f>
        <v>250.00000000000091</v>
      </c>
      <c r="H21" s="32">
        <v>0.94930000000000003</v>
      </c>
      <c r="I21" s="44">
        <f>Anassa!AC21*5.04</f>
        <v>0</v>
      </c>
      <c r="J21" s="45">
        <v>0</v>
      </c>
      <c r="K21" s="33">
        <f>Anassa!Z21</f>
        <v>42</v>
      </c>
      <c r="L21" s="34">
        <v>1.3168</v>
      </c>
      <c r="M21" s="47">
        <f>Anassa!H21</f>
        <v>1266</v>
      </c>
      <c r="N21" s="48">
        <v>1.1031</v>
      </c>
      <c r="O21" s="35">
        <f>Anassa!AD21</f>
        <v>35</v>
      </c>
      <c r="P21" s="35">
        <f>Anassa!AE21</f>
        <v>62</v>
      </c>
    </row>
    <row r="22" spans="1:16" ht="15" x14ac:dyDescent="0.25">
      <c r="A22" s="28" t="s">
        <v>34</v>
      </c>
      <c r="B22" s="4">
        <f t="shared" si="0"/>
        <v>21</v>
      </c>
      <c r="C22" s="4">
        <v>5</v>
      </c>
      <c r="D22" s="3">
        <v>2026</v>
      </c>
      <c r="E22" s="29">
        <f>Anassa!D23-Anassa!D22</f>
        <v>9533.4000000022352</v>
      </c>
      <c r="F22" s="30">
        <v>0.2281</v>
      </c>
      <c r="G22" s="31">
        <f>Anassa!N22</f>
        <v>272</v>
      </c>
      <c r="H22" s="32">
        <v>0.94930000000000003</v>
      </c>
      <c r="I22" s="44">
        <f>Anassa!AC22*5.04</f>
        <v>0</v>
      </c>
      <c r="J22" s="45">
        <v>0</v>
      </c>
      <c r="K22" s="33">
        <f>Anassa!Z22</f>
        <v>78</v>
      </c>
      <c r="L22" s="34">
        <v>1.3168</v>
      </c>
      <c r="M22" s="47">
        <f>Anassa!H22</f>
        <v>280</v>
      </c>
      <c r="N22" s="48">
        <v>1.1031</v>
      </c>
      <c r="O22" s="35">
        <f>Anassa!AD22</f>
        <v>60</v>
      </c>
      <c r="P22" s="35">
        <f>Anassa!AE22</f>
        <v>124</v>
      </c>
    </row>
    <row r="23" spans="1:16" ht="15" x14ac:dyDescent="0.25">
      <c r="A23" s="28" t="s">
        <v>34</v>
      </c>
      <c r="B23" s="4">
        <f t="shared" si="0"/>
        <v>22</v>
      </c>
      <c r="C23" s="4">
        <v>5</v>
      </c>
      <c r="D23" s="3">
        <v>2026</v>
      </c>
      <c r="E23" s="29">
        <f>Anassa!D24-Anassa!D23</f>
        <v>11843.39999999851</v>
      </c>
      <c r="F23" s="30">
        <v>0.2281</v>
      </c>
      <c r="G23" s="31">
        <f>Anassa!N23</f>
        <v>175.00000000000091</v>
      </c>
      <c r="H23" s="32">
        <v>0.94930000000000003</v>
      </c>
      <c r="I23" s="44">
        <f>Anassa!AC23*5.04</f>
        <v>0</v>
      </c>
      <c r="J23" s="45">
        <v>0</v>
      </c>
      <c r="K23" s="33">
        <f>Anassa!Z23</f>
        <v>90</v>
      </c>
      <c r="L23" s="34">
        <v>1.3168</v>
      </c>
      <c r="M23" s="47">
        <f>Anassa!H23</f>
        <v>697</v>
      </c>
      <c r="N23" s="48">
        <v>1.1031</v>
      </c>
      <c r="O23" s="35">
        <f>Anassa!AD23</f>
        <v>98</v>
      </c>
      <c r="P23" s="35">
        <f>Anassa!AE23</f>
        <v>196</v>
      </c>
    </row>
    <row r="24" spans="1:16" ht="15" x14ac:dyDescent="0.25">
      <c r="A24" s="28" t="s">
        <v>34</v>
      </c>
      <c r="B24" s="4">
        <f t="shared" si="0"/>
        <v>23</v>
      </c>
      <c r="C24" s="4">
        <v>5</v>
      </c>
      <c r="D24" s="3">
        <v>2026</v>
      </c>
      <c r="E24" s="29">
        <f>Anassa!D25-Anassa!D24</f>
        <v>12049.60000000149</v>
      </c>
      <c r="F24" s="30">
        <v>0.2281</v>
      </c>
      <c r="G24" s="31">
        <f>Anassa!N24</f>
        <v>449.99999999999818</v>
      </c>
      <c r="H24" s="32">
        <v>0.94930000000000003</v>
      </c>
      <c r="I24" s="44">
        <f>Anassa!AC24*5.04</f>
        <v>0</v>
      </c>
      <c r="J24" s="45">
        <v>0</v>
      </c>
      <c r="K24" s="33">
        <f>Anassa!Z24</f>
        <v>101</v>
      </c>
      <c r="L24" s="34">
        <v>1.3168</v>
      </c>
      <c r="M24" s="47">
        <f>Anassa!H24</f>
        <v>553</v>
      </c>
      <c r="N24" s="48">
        <v>1.1031</v>
      </c>
      <c r="O24" s="35">
        <f>Anassa!AD24</f>
        <v>117</v>
      </c>
      <c r="P24" s="35">
        <f>Anassa!AE24</f>
        <v>241</v>
      </c>
    </row>
    <row r="25" spans="1:16" ht="15" x14ac:dyDescent="0.25">
      <c r="A25" s="28" t="s">
        <v>34</v>
      </c>
      <c r="B25" s="4">
        <f t="shared" si="0"/>
        <v>24</v>
      </c>
      <c r="C25" s="4">
        <v>5</v>
      </c>
      <c r="D25" s="3">
        <v>2026</v>
      </c>
      <c r="E25" s="29">
        <f>Anassa!D26-Anassa!D25</f>
        <v>12031</v>
      </c>
      <c r="F25" s="30">
        <v>0.2281</v>
      </c>
      <c r="G25" s="31">
        <f>Anassa!N25</f>
        <v>125</v>
      </c>
      <c r="H25" s="32">
        <v>0.94930000000000003</v>
      </c>
      <c r="I25" s="44">
        <f>Anassa!AC25*5.04</f>
        <v>0</v>
      </c>
      <c r="J25" s="45">
        <v>0</v>
      </c>
      <c r="K25" s="33">
        <f>Anassa!Z25</f>
        <v>85</v>
      </c>
      <c r="L25" s="34">
        <v>1.3168</v>
      </c>
      <c r="M25" s="47">
        <f>Anassa!H25</f>
        <v>822</v>
      </c>
      <c r="N25" s="48">
        <v>1.1031</v>
      </c>
      <c r="O25" s="35">
        <f>Anassa!AD25</f>
        <v>74</v>
      </c>
      <c r="P25" s="35">
        <f>Anassa!AE25</f>
        <v>150</v>
      </c>
    </row>
    <row r="26" spans="1:16" ht="15" x14ac:dyDescent="0.25">
      <c r="A26" s="28" t="s">
        <v>34</v>
      </c>
      <c r="B26" s="4">
        <f>B25+1</f>
        <v>25</v>
      </c>
      <c r="C26" s="4">
        <v>5</v>
      </c>
      <c r="D26" s="3">
        <v>2026</v>
      </c>
      <c r="E26" s="29">
        <f>Anassa!D27-Anassa!D26</f>
        <v>9422.6999999992549</v>
      </c>
      <c r="F26" s="30">
        <v>0.2281</v>
      </c>
      <c r="G26" s="31">
        <f>Anassa!N26</f>
        <v>500.00000000000091</v>
      </c>
      <c r="H26" s="32">
        <v>0.94930000000000003</v>
      </c>
      <c r="I26" s="44">
        <f>Anassa!AC26*5.04</f>
        <v>0</v>
      </c>
      <c r="J26" s="45">
        <v>0</v>
      </c>
      <c r="K26" s="33">
        <f>Anassa!Z26</f>
        <v>77</v>
      </c>
      <c r="L26" s="34">
        <v>1.3168</v>
      </c>
      <c r="M26" s="47">
        <f>Anassa!H26</f>
        <v>808</v>
      </c>
      <c r="N26" s="48">
        <v>1.1031</v>
      </c>
      <c r="O26" s="35">
        <f>Anassa!AD26</f>
        <v>66</v>
      </c>
      <c r="P26" s="35">
        <f>Anassa!AE26</f>
        <v>132</v>
      </c>
    </row>
    <row r="27" spans="1:16" ht="15" x14ac:dyDescent="0.25">
      <c r="A27" s="28" t="s">
        <v>34</v>
      </c>
      <c r="B27" s="4">
        <f t="shared" si="0"/>
        <v>26</v>
      </c>
      <c r="C27" s="4">
        <v>5</v>
      </c>
      <c r="D27" s="3">
        <v>2026</v>
      </c>
      <c r="E27" s="29">
        <f>Anassa!D28-Anassa!D27</f>
        <v>10944.10000000149</v>
      </c>
      <c r="F27" s="30">
        <v>0.2281</v>
      </c>
      <c r="G27" s="31">
        <f>Anassa!N27</f>
        <v>250.00000000000091</v>
      </c>
      <c r="H27" s="32">
        <v>0.94930000000000003</v>
      </c>
      <c r="I27" s="44">
        <f>Anassa!AC27*5.04</f>
        <v>0</v>
      </c>
      <c r="J27" s="45">
        <v>0</v>
      </c>
      <c r="K27" s="33">
        <f>Anassa!Z27</f>
        <v>57</v>
      </c>
      <c r="L27" s="34">
        <v>1.3168</v>
      </c>
      <c r="M27" s="47">
        <f>Anassa!H27</f>
        <v>850</v>
      </c>
      <c r="N27" s="48">
        <v>1.1031</v>
      </c>
      <c r="O27" s="35">
        <f>Anassa!AD27</f>
        <v>91</v>
      </c>
      <c r="P27" s="35">
        <f>Anassa!AE27</f>
        <v>186</v>
      </c>
    </row>
    <row r="28" spans="1:16" ht="15" x14ac:dyDescent="0.25">
      <c r="A28" s="28" t="s">
        <v>34</v>
      </c>
      <c r="B28" s="4">
        <f t="shared" si="0"/>
        <v>27</v>
      </c>
      <c r="C28" s="4">
        <v>5</v>
      </c>
      <c r="D28" s="3">
        <v>2026</v>
      </c>
      <c r="E28" s="29">
        <f>Anassa!D29-Anassa!D28</f>
        <v>10627.099999997765</v>
      </c>
      <c r="F28" s="30">
        <v>0.2281</v>
      </c>
      <c r="G28" s="31">
        <f>Anassa!N28</f>
        <v>249.99999999999909</v>
      </c>
      <c r="H28" s="32">
        <v>0.94930000000000003</v>
      </c>
      <c r="I28" s="44">
        <f>Anassa!AC28*5.04</f>
        <v>0</v>
      </c>
      <c r="J28" s="45">
        <v>0</v>
      </c>
      <c r="K28" s="33">
        <f>Anassa!Z28</f>
        <v>78</v>
      </c>
      <c r="L28" s="34">
        <v>1.3168</v>
      </c>
      <c r="M28" s="47">
        <f>Anassa!H28</f>
        <v>656</v>
      </c>
      <c r="N28" s="48">
        <v>1.1031</v>
      </c>
      <c r="O28" s="35">
        <f>Anassa!AD28</f>
        <v>85</v>
      </c>
      <c r="P28" s="35">
        <f>Anassa!AE28</f>
        <v>180</v>
      </c>
    </row>
    <row r="29" spans="1:16" ht="15" x14ac:dyDescent="0.25">
      <c r="A29" s="28" t="s">
        <v>34</v>
      </c>
      <c r="B29" s="4">
        <f t="shared" si="0"/>
        <v>28</v>
      </c>
      <c r="C29" s="4">
        <v>5</v>
      </c>
      <c r="D29" s="3">
        <v>2026</v>
      </c>
      <c r="E29" s="29">
        <f>Anassa!D30-Anassa!D29</f>
        <v>11370</v>
      </c>
      <c r="F29" s="30">
        <v>0.2281</v>
      </c>
      <c r="G29" s="31">
        <f>Anassa!N29</f>
        <v>400</v>
      </c>
      <c r="H29" s="32">
        <v>0.94930000000000003</v>
      </c>
      <c r="I29" s="44">
        <f>Anassa!AC29*5.04</f>
        <v>0</v>
      </c>
      <c r="J29" s="45">
        <v>0</v>
      </c>
      <c r="K29" s="33">
        <f>Anassa!Z29</f>
        <v>91</v>
      </c>
      <c r="L29" s="34">
        <v>1.3168</v>
      </c>
      <c r="M29" s="47">
        <f>Anassa!H29</f>
        <v>400</v>
      </c>
      <c r="N29" s="48">
        <v>1.1031</v>
      </c>
      <c r="O29" s="35">
        <f>Anassa!AD29</f>
        <v>83</v>
      </c>
      <c r="P29" s="35">
        <f>Anassa!AE29</f>
        <v>179</v>
      </c>
    </row>
    <row r="30" spans="1:16" ht="15" x14ac:dyDescent="0.25">
      <c r="A30" s="28" t="s">
        <v>34</v>
      </c>
      <c r="B30" s="4">
        <f t="shared" si="0"/>
        <v>29</v>
      </c>
      <c r="C30" s="4">
        <v>5</v>
      </c>
      <c r="D30" s="3">
        <v>2026</v>
      </c>
      <c r="E30" s="29">
        <f>Anassa!D31-Anassa!D30</f>
        <v>11400.900000002235</v>
      </c>
      <c r="F30" s="30">
        <v>0.2281</v>
      </c>
      <c r="G30" s="31">
        <f>Anassa!N30</f>
        <v>500</v>
      </c>
      <c r="H30" s="32">
        <v>0.94930000000000003</v>
      </c>
      <c r="I30" s="44">
        <f>Anassa!AC30*5.04</f>
        <v>0</v>
      </c>
      <c r="J30" s="45">
        <v>0</v>
      </c>
      <c r="K30" s="33">
        <f>Anassa!Z30</f>
        <v>91</v>
      </c>
      <c r="L30" s="34">
        <v>1.3168</v>
      </c>
      <c r="M30" s="47">
        <f>Anassa!H30</f>
        <v>810</v>
      </c>
      <c r="N30" s="48">
        <v>1.1031</v>
      </c>
      <c r="O30" s="35">
        <f>Anassa!AD30</f>
        <v>120</v>
      </c>
      <c r="P30" s="35">
        <f>Anassa!AE30</f>
        <v>246</v>
      </c>
    </row>
    <row r="31" spans="1:16" ht="15" x14ac:dyDescent="0.25">
      <c r="A31" s="28" t="s">
        <v>34</v>
      </c>
      <c r="B31" s="4">
        <f t="shared" si="0"/>
        <v>30</v>
      </c>
      <c r="C31" s="4">
        <v>5</v>
      </c>
      <c r="D31" s="3">
        <v>2026</v>
      </c>
      <c r="E31" s="29">
        <f>Anassa!D32-Anassa!D31</f>
        <v>12758.699999999255</v>
      </c>
      <c r="F31" s="30">
        <v>0.2281</v>
      </c>
      <c r="G31" s="31">
        <f>Anassa!N31</f>
        <v>375</v>
      </c>
      <c r="H31" s="32">
        <v>0.94930000000000003</v>
      </c>
      <c r="I31" s="44">
        <f>Anassa!AC31*5.04</f>
        <v>0</v>
      </c>
      <c r="J31" s="45">
        <v>0</v>
      </c>
      <c r="K31" s="33">
        <f>Anassa!Z31</f>
        <v>155</v>
      </c>
      <c r="L31" s="34">
        <v>1.3168</v>
      </c>
      <c r="M31" s="47">
        <f>Anassa!H31</f>
        <v>685</v>
      </c>
      <c r="N31" s="48">
        <v>1.1031</v>
      </c>
      <c r="O31" s="35">
        <f>Anassa!AD31</f>
        <v>150</v>
      </c>
      <c r="P31" s="35">
        <f>Anassa!AE31</f>
        <v>301</v>
      </c>
    </row>
    <row r="32" spans="1:16" ht="15" x14ac:dyDescent="0.25">
      <c r="A32" s="28" t="s">
        <v>34</v>
      </c>
      <c r="B32" s="4">
        <f t="shared" si="0"/>
        <v>31</v>
      </c>
      <c r="C32" s="4">
        <v>5</v>
      </c>
      <c r="D32" s="3">
        <v>2026</v>
      </c>
      <c r="E32" s="29">
        <f>Anassa!D33-Anassa!D32</f>
        <v>10174.699999999255</v>
      </c>
      <c r="F32" s="30">
        <v>0.2281</v>
      </c>
      <c r="G32" s="31">
        <v>438</v>
      </c>
      <c r="H32" s="32">
        <v>0.94930000000000003</v>
      </c>
      <c r="I32" s="44">
        <f>Anassa!AC32*5.04</f>
        <v>0</v>
      </c>
      <c r="J32" s="45">
        <v>0</v>
      </c>
      <c r="K32" s="33">
        <f>Anassa!Z32</f>
        <v>106</v>
      </c>
      <c r="L32" s="34">
        <v>1.3168</v>
      </c>
      <c r="M32" s="47">
        <v>748</v>
      </c>
      <c r="N32" s="48">
        <v>1.1031</v>
      </c>
      <c r="O32" s="35">
        <f>Anassa!AD32</f>
        <v>127</v>
      </c>
      <c r="P32" s="35">
        <f>Anassa!AE32</f>
        <v>254</v>
      </c>
    </row>
    <row r="33" spans="4:16" x14ac:dyDescent="0.2">
      <c r="D33" s="36"/>
      <c r="E33" s="29" t="s">
        <v>35</v>
      </c>
      <c r="F33" s="30"/>
      <c r="I33" s="44"/>
      <c r="J33" s="45"/>
      <c r="K33" s="34"/>
      <c r="L33" s="34"/>
      <c r="O33" s="38"/>
      <c r="P33" s="38"/>
    </row>
    <row r="34" spans="4:16" x14ac:dyDescent="0.2">
      <c r="D34" s="36"/>
      <c r="F34" s="30"/>
      <c r="I34" s="44"/>
      <c r="J34" s="45"/>
      <c r="K34" s="34"/>
      <c r="L34" s="34"/>
      <c r="O34" s="38"/>
      <c r="P34" s="38"/>
    </row>
    <row r="35" spans="4:16" x14ac:dyDescent="0.2">
      <c r="D35" s="36"/>
      <c r="F35" s="30"/>
      <c r="I35" s="44"/>
      <c r="J35" s="45"/>
      <c r="K35" s="34"/>
      <c r="L35" s="34"/>
      <c r="O35" s="38"/>
      <c r="P35" s="38"/>
    </row>
    <row r="36" spans="4:16" x14ac:dyDescent="0.2">
      <c r="D36" s="36"/>
      <c r="F36" s="30"/>
      <c r="I36" s="44"/>
      <c r="J36" s="45"/>
      <c r="K36" s="34"/>
      <c r="L36" s="34"/>
      <c r="O36" s="38"/>
      <c r="P36" s="38"/>
    </row>
    <row r="37" spans="4:16" x14ac:dyDescent="0.2">
      <c r="D37" s="36"/>
      <c r="F37" s="30"/>
      <c r="I37" s="44"/>
      <c r="J37" s="45"/>
      <c r="K37" s="34"/>
      <c r="L37" s="34"/>
      <c r="O37" s="38"/>
      <c r="P37" s="38"/>
    </row>
    <row r="38" spans="4:16" x14ac:dyDescent="0.2">
      <c r="D38" s="36"/>
      <c r="F38" s="30"/>
      <c r="I38" s="44"/>
      <c r="J38" s="45"/>
      <c r="K38" s="34"/>
      <c r="L38" s="34"/>
      <c r="O38" s="38"/>
      <c r="P38" s="38"/>
    </row>
    <row r="39" spans="4:16" x14ac:dyDescent="0.2">
      <c r="D39" s="36"/>
      <c r="F39" s="30"/>
      <c r="I39" s="44"/>
      <c r="J39" s="45"/>
      <c r="K39" s="34"/>
      <c r="L39" s="34"/>
      <c r="O39" s="38"/>
      <c r="P39" s="38"/>
    </row>
    <row r="40" spans="4:16" x14ac:dyDescent="0.2">
      <c r="F40" s="30"/>
      <c r="I40" s="44"/>
      <c r="J40" s="45"/>
    </row>
    <row r="41" spans="4:16" x14ac:dyDescent="0.2">
      <c r="F41" s="30"/>
      <c r="I41" s="44"/>
      <c r="J41" s="45"/>
    </row>
    <row r="42" spans="4:16" x14ac:dyDescent="0.2">
      <c r="F42" s="30"/>
      <c r="I42" s="44"/>
      <c r="J42" s="45"/>
    </row>
    <row r="43" spans="4:16" x14ac:dyDescent="0.2">
      <c r="F43" s="30"/>
      <c r="I43" s="44"/>
      <c r="J43" s="45"/>
    </row>
    <row r="44" spans="4:16" x14ac:dyDescent="0.2">
      <c r="I44" s="44"/>
      <c r="J44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51"/>
  <sheetViews>
    <sheetView zoomScaleNormal="100" workbookViewId="0">
      <selection activeCell="N9" sqref="N9"/>
    </sheetView>
  </sheetViews>
  <sheetFormatPr defaultColWidth="11.5703125" defaultRowHeight="12.75" x14ac:dyDescent="0.2"/>
  <cols>
    <col min="1" max="1" width="21.85546875" bestFit="1" customWidth="1"/>
    <col min="2" max="2" width="17.28515625" style="4" bestFit="1" customWidth="1"/>
    <col min="3" max="3" width="11" style="4" customWidth="1"/>
    <col min="4" max="4" width="9" style="4" customWidth="1"/>
    <col min="5" max="5" width="10.7109375" style="7" customWidth="1"/>
    <col min="6" max="6" width="6.7109375" style="3" customWidth="1"/>
    <col min="7" max="7" width="7.5703125" style="3" customWidth="1"/>
    <col min="8" max="8" width="7.140625" style="7" customWidth="1"/>
    <col min="9" max="11" width="4.7109375" customWidth="1"/>
    <col min="12" max="12" width="7.85546875" customWidth="1"/>
    <col min="13" max="13" width="7.85546875" style="3" customWidth="1"/>
    <col min="14" max="14" width="6.42578125" style="7" customWidth="1"/>
    <col min="15" max="17" width="4.7109375" customWidth="1"/>
    <col min="18" max="18" width="7.85546875" customWidth="1"/>
    <col min="19" max="19" width="7.85546875" style="3" customWidth="1"/>
    <col min="20" max="20" width="5.7109375" style="7" customWidth="1"/>
    <col min="21" max="21" width="6.140625" style="7" customWidth="1"/>
    <col min="22" max="25" width="8.42578125" customWidth="1"/>
    <col min="26" max="26" width="8.140625" style="7" bestFit="1" customWidth="1"/>
    <col min="27" max="28" width="7.5703125" style="6" customWidth="1"/>
    <col min="29" max="29" width="8.42578125" style="7" bestFit="1" customWidth="1"/>
    <col min="30" max="30" width="6.42578125" customWidth="1"/>
    <col min="31" max="31" width="7" customWidth="1"/>
  </cols>
  <sheetData>
    <row r="1" spans="1:31" s="18" customFormat="1" ht="91.5" thickTop="1" thickBot="1" x14ac:dyDescent="0.25">
      <c r="A1" s="67" t="s">
        <v>1</v>
      </c>
      <c r="B1" s="50" t="s">
        <v>19</v>
      </c>
      <c r="C1" s="51" t="s">
        <v>20</v>
      </c>
      <c r="D1" s="52" t="s">
        <v>12</v>
      </c>
      <c r="E1" s="53" t="s">
        <v>3</v>
      </c>
      <c r="F1" s="54" t="s">
        <v>2</v>
      </c>
      <c r="G1" s="55" t="s">
        <v>8</v>
      </c>
      <c r="H1" s="53" t="s">
        <v>3</v>
      </c>
      <c r="I1" s="56" t="s">
        <v>4</v>
      </c>
      <c r="J1" s="57" t="s">
        <v>5</v>
      </c>
      <c r="K1" s="57" t="s">
        <v>13</v>
      </c>
      <c r="L1" s="58" t="s">
        <v>9</v>
      </c>
      <c r="M1" s="59" t="s">
        <v>7</v>
      </c>
      <c r="N1" s="53" t="s">
        <v>3</v>
      </c>
      <c r="O1" s="56" t="s">
        <v>4</v>
      </c>
      <c r="P1" s="57" t="s">
        <v>5</v>
      </c>
      <c r="Q1" s="57" t="s">
        <v>13</v>
      </c>
      <c r="R1" s="58" t="s">
        <v>14</v>
      </c>
      <c r="S1" s="59" t="s">
        <v>7</v>
      </c>
      <c r="T1" s="53" t="s">
        <v>3</v>
      </c>
      <c r="U1" s="53" t="s">
        <v>21</v>
      </c>
      <c r="V1" s="60" t="s">
        <v>15</v>
      </c>
      <c r="W1" s="61" t="s">
        <v>16</v>
      </c>
      <c r="X1" s="61" t="s">
        <v>17</v>
      </c>
      <c r="Y1" s="62" t="s">
        <v>18</v>
      </c>
      <c r="Z1" s="53" t="s">
        <v>3</v>
      </c>
      <c r="AA1" s="63" t="s">
        <v>10</v>
      </c>
      <c r="AB1" s="64" t="s">
        <v>11</v>
      </c>
      <c r="AC1" s="53" t="s">
        <v>3</v>
      </c>
      <c r="AD1" s="65" t="s">
        <v>0</v>
      </c>
      <c r="AE1" s="66" t="s">
        <v>6</v>
      </c>
    </row>
    <row r="2" spans="1:31" x14ac:dyDescent="0.2">
      <c r="A2" s="73">
        <v>46143</v>
      </c>
      <c r="B2" s="74">
        <v>20537983</v>
      </c>
      <c r="C2" s="75">
        <f>SUM(4295.2+1843683.7+591787+10116.7+286544+31958)</f>
        <v>2768384.6</v>
      </c>
      <c r="D2" s="75">
        <f>B2-C2</f>
        <v>17769598.399999999</v>
      </c>
      <c r="E2" s="76">
        <f t="shared" ref="E2:E31" si="0">B3-B2</f>
        <v>9025</v>
      </c>
      <c r="F2" s="77">
        <v>9159</v>
      </c>
      <c r="G2" s="78"/>
      <c r="H2" s="76">
        <f>F2+G2-F3</f>
        <v>1641</v>
      </c>
      <c r="I2" s="79">
        <v>0.85</v>
      </c>
      <c r="J2" s="80">
        <v>0.85</v>
      </c>
      <c r="K2" s="80">
        <v>0.85</v>
      </c>
      <c r="L2" s="81">
        <f>SUM(I2:K2)/3*7500</f>
        <v>6375</v>
      </c>
      <c r="M2" s="82"/>
      <c r="N2" s="76">
        <f>IF(SUM(L2+M2-L3)=L2,0,SUM(L2+M2-L3))</f>
        <v>125</v>
      </c>
      <c r="O2" s="79">
        <v>0.8</v>
      </c>
      <c r="P2" s="80">
        <v>0.85</v>
      </c>
      <c r="Q2" s="80">
        <v>0.85</v>
      </c>
      <c r="R2" s="81">
        <f>SUM(O2:Q2)/3*1500</f>
        <v>1250</v>
      </c>
      <c r="S2" s="82"/>
      <c r="T2" s="76">
        <v>100</v>
      </c>
      <c r="U2" s="83">
        <f>SUM(N2+T2)</f>
        <v>225</v>
      </c>
      <c r="V2" s="84">
        <v>715752</v>
      </c>
      <c r="W2" s="85">
        <v>5317</v>
      </c>
      <c r="X2" s="85">
        <v>18966</v>
      </c>
      <c r="Y2" s="85">
        <f>SUM(V2-W2-X2)</f>
        <v>691469</v>
      </c>
      <c r="Z2" s="76">
        <f t="shared" ref="Z2:Z32" si="1">SUM(Y3-Y2)</f>
        <v>66</v>
      </c>
      <c r="AA2" s="86">
        <v>0</v>
      </c>
      <c r="AB2" s="87">
        <v>0</v>
      </c>
      <c r="AC2" s="76">
        <f>SUM(AA2+AB2-AA3)</f>
        <v>0</v>
      </c>
      <c r="AD2" s="88">
        <v>61</v>
      </c>
      <c r="AE2" s="89">
        <v>121</v>
      </c>
    </row>
    <row r="3" spans="1:31" x14ac:dyDescent="0.2">
      <c r="A3" s="90">
        <v>46144</v>
      </c>
      <c r="B3" s="91">
        <v>20547008</v>
      </c>
      <c r="C3" s="92">
        <f>SUM(4295+1844025.7+591788+10118.1+286646+31968)</f>
        <v>2768840.8000000003</v>
      </c>
      <c r="D3" s="92">
        <f t="shared" ref="D3:D33" si="2">B3-C3</f>
        <v>17778167.199999999</v>
      </c>
      <c r="E3" s="93">
        <f t="shared" si="0"/>
        <v>8993</v>
      </c>
      <c r="F3" s="94">
        <v>7518</v>
      </c>
      <c r="G3" s="95">
        <v>11440</v>
      </c>
      <c r="H3" s="96">
        <f t="shared" ref="H3:H31" si="3">F3+G3-F4</f>
        <v>1615</v>
      </c>
      <c r="I3" s="97">
        <v>0.85</v>
      </c>
      <c r="J3" s="98">
        <v>0.8</v>
      </c>
      <c r="K3" s="98">
        <v>0.85</v>
      </c>
      <c r="L3" s="99">
        <f>SUM(I3:K3)/3*7500</f>
        <v>6250</v>
      </c>
      <c r="M3" s="100"/>
      <c r="N3" s="96">
        <f t="shared" ref="N3:N11" si="4">IF(SUM(L3+M3-L4)=L3,0,SUM(L3+M3-L4))</f>
        <v>124.99999999999909</v>
      </c>
      <c r="O3" s="97">
        <v>0.9</v>
      </c>
      <c r="P3" s="98">
        <v>0.9</v>
      </c>
      <c r="Q3" s="98">
        <v>0.9</v>
      </c>
      <c r="R3" s="99">
        <f t="shared" ref="R3:R33" si="5">SUM(O3:Q3)/3*1500</f>
        <v>1350</v>
      </c>
      <c r="S3" s="100"/>
      <c r="T3" s="96">
        <f t="shared" ref="T3:T31" si="6">SUM(R3+S3-R4)</f>
        <v>250</v>
      </c>
      <c r="U3" s="101">
        <f t="shared" ref="U3:U31" si="7">SUM(N3+T3)</f>
        <v>374.99999999999909</v>
      </c>
      <c r="V3" s="102">
        <v>715897</v>
      </c>
      <c r="W3" s="103">
        <v>5384</v>
      </c>
      <c r="X3" s="103">
        <v>18978</v>
      </c>
      <c r="Y3" s="103">
        <f t="shared" ref="Y3:Y10" si="8">SUM(V3-W3-X3)</f>
        <v>691535</v>
      </c>
      <c r="Z3" s="96">
        <f t="shared" si="1"/>
        <v>87</v>
      </c>
      <c r="AA3" s="104">
        <v>0</v>
      </c>
      <c r="AB3" s="105">
        <v>0</v>
      </c>
      <c r="AC3" s="96">
        <f>SUM(AA3+AB3-AA4)</f>
        <v>0</v>
      </c>
      <c r="AD3" s="106">
        <v>63</v>
      </c>
      <c r="AE3" s="107">
        <v>126</v>
      </c>
    </row>
    <row r="4" spans="1:31" ht="13.5" thickBot="1" x14ac:dyDescent="0.25">
      <c r="A4" s="108">
        <v>46145</v>
      </c>
      <c r="B4" s="109">
        <v>20556001</v>
      </c>
      <c r="C4" s="110">
        <f>SUM(4296.6+1844427.4+591873+10119.2+286683+31984)</f>
        <v>2769383.2</v>
      </c>
      <c r="D4" s="110">
        <f t="shared" si="2"/>
        <v>17786617.800000001</v>
      </c>
      <c r="E4" s="111">
        <f t="shared" si="0"/>
        <v>8407</v>
      </c>
      <c r="F4" s="112">
        <v>17343</v>
      </c>
      <c r="G4" s="113"/>
      <c r="H4" s="114">
        <f t="shared" si="3"/>
        <v>2159</v>
      </c>
      <c r="I4" s="115">
        <v>0.85</v>
      </c>
      <c r="J4" s="116">
        <v>0.8</v>
      </c>
      <c r="K4" s="116">
        <v>0.8</v>
      </c>
      <c r="L4" s="117">
        <f t="shared" ref="L4:L33" si="9">SUM(I4:K4)/3*7500</f>
        <v>6125.0000000000009</v>
      </c>
      <c r="M4" s="118"/>
      <c r="N4" s="114">
        <f t="shared" si="4"/>
        <v>575.00000000000182</v>
      </c>
      <c r="O4" s="115">
        <v>0.7</v>
      </c>
      <c r="P4" s="116">
        <v>0.75</v>
      </c>
      <c r="Q4" s="116">
        <v>0.75</v>
      </c>
      <c r="R4" s="117">
        <f t="shared" si="5"/>
        <v>1100</v>
      </c>
      <c r="S4" s="118"/>
      <c r="T4" s="114">
        <f t="shared" si="6"/>
        <v>65</v>
      </c>
      <c r="U4" s="119">
        <f t="shared" si="7"/>
        <v>640.00000000000182</v>
      </c>
      <c r="V4" s="120">
        <v>716079</v>
      </c>
      <c r="W4" s="121">
        <v>5471</v>
      </c>
      <c r="X4" s="121">
        <v>18986</v>
      </c>
      <c r="Y4" s="121">
        <f t="shared" si="8"/>
        <v>691622</v>
      </c>
      <c r="Z4" s="114">
        <f t="shared" si="1"/>
        <v>64</v>
      </c>
      <c r="AA4" s="122">
        <v>0</v>
      </c>
      <c r="AB4" s="123">
        <v>0</v>
      </c>
      <c r="AC4" s="114">
        <f t="shared" ref="AC4" si="10">AA4-AA5</f>
        <v>0</v>
      </c>
      <c r="AD4" s="124">
        <v>38</v>
      </c>
      <c r="AE4" s="125">
        <v>73</v>
      </c>
    </row>
    <row r="5" spans="1:31" x14ac:dyDescent="0.2">
      <c r="A5" s="73">
        <v>46146</v>
      </c>
      <c r="B5" s="74">
        <v>20564408</v>
      </c>
      <c r="C5" s="75">
        <f>SUM(4297.1+1844721+591873+10121.6+286762+31987)</f>
        <v>2769761.7</v>
      </c>
      <c r="D5" s="75">
        <f t="shared" si="2"/>
        <v>17794646.300000001</v>
      </c>
      <c r="E5" s="126">
        <f t="shared" si="0"/>
        <v>8323</v>
      </c>
      <c r="F5" s="77">
        <v>15184</v>
      </c>
      <c r="G5" s="78"/>
      <c r="H5" s="76">
        <f t="shared" si="3"/>
        <v>1391</v>
      </c>
      <c r="I5" s="79">
        <v>0.72</v>
      </c>
      <c r="J5" s="80">
        <v>0.75</v>
      </c>
      <c r="K5" s="80">
        <v>0.75</v>
      </c>
      <c r="L5" s="81">
        <f t="shared" si="9"/>
        <v>5549.9999999999991</v>
      </c>
      <c r="M5" s="82"/>
      <c r="N5" s="76">
        <f t="shared" si="4"/>
        <v>74.999999999999091</v>
      </c>
      <c r="O5" s="79">
        <v>0.67</v>
      </c>
      <c r="P5" s="80">
        <v>0.7</v>
      </c>
      <c r="Q5" s="80">
        <v>0.7</v>
      </c>
      <c r="R5" s="81">
        <f t="shared" si="5"/>
        <v>1035</v>
      </c>
      <c r="S5" s="82"/>
      <c r="T5" s="76">
        <f t="shared" si="6"/>
        <v>10.000000000000227</v>
      </c>
      <c r="U5" s="83">
        <f t="shared" si="7"/>
        <v>84.999999999999318</v>
      </c>
      <c r="V5" s="84">
        <v>716208</v>
      </c>
      <c r="W5" s="85">
        <v>5528</v>
      </c>
      <c r="X5" s="85">
        <v>18994</v>
      </c>
      <c r="Y5" s="85">
        <f t="shared" si="8"/>
        <v>691686</v>
      </c>
      <c r="Z5" s="76">
        <f t="shared" si="1"/>
        <v>79</v>
      </c>
      <c r="AA5" s="86">
        <v>0</v>
      </c>
      <c r="AB5" s="87">
        <v>0</v>
      </c>
      <c r="AC5" s="76">
        <f>SUM(AA5+AB5-AA6)</f>
        <v>0</v>
      </c>
      <c r="AD5" s="88">
        <v>34</v>
      </c>
      <c r="AE5" s="89">
        <v>69</v>
      </c>
    </row>
    <row r="6" spans="1:31" x14ac:dyDescent="0.2">
      <c r="A6" s="90">
        <v>46147</v>
      </c>
      <c r="B6" s="91">
        <v>20572731</v>
      </c>
      <c r="C6" s="92">
        <f>SUM(4297.7+1845080+591873+10121.8+286867+32005)</f>
        <v>2770244.5</v>
      </c>
      <c r="D6" s="92">
        <f t="shared" si="2"/>
        <v>17802486.5</v>
      </c>
      <c r="E6" s="93">
        <f t="shared" si="0"/>
        <v>8332</v>
      </c>
      <c r="F6" s="94">
        <v>13793</v>
      </c>
      <c r="G6" s="95"/>
      <c r="H6" s="96">
        <f t="shared" si="3"/>
        <v>1547</v>
      </c>
      <c r="I6" s="97">
        <v>0.7</v>
      </c>
      <c r="J6" s="98">
        <v>0.74</v>
      </c>
      <c r="K6" s="98">
        <v>0.75</v>
      </c>
      <c r="L6" s="99">
        <f t="shared" si="9"/>
        <v>5475</v>
      </c>
      <c r="M6" s="100"/>
      <c r="N6" s="96">
        <f t="shared" si="4"/>
        <v>125.00000000000091</v>
      </c>
      <c r="O6" s="97">
        <v>0.65</v>
      </c>
      <c r="P6" s="98">
        <v>0.7</v>
      </c>
      <c r="Q6" s="98">
        <v>0.7</v>
      </c>
      <c r="R6" s="99">
        <f t="shared" si="5"/>
        <v>1024.9999999999998</v>
      </c>
      <c r="S6" s="100"/>
      <c r="T6" s="96">
        <f t="shared" si="6"/>
        <v>74.999999999999773</v>
      </c>
      <c r="U6" s="101">
        <f t="shared" si="7"/>
        <v>200.00000000000068</v>
      </c>
      <c r="V6" s="102">
        <v>716370</v>
      </c>
      <c r="W6" s="103">
        <v>5602</v>
      </c>
      <c r="X6" s="103">
        <v>19003</v>
      </c>
      <c r="Y6" s="103">
        <f t="shared" si="8"/>
        <v>691765</v>
      </c>
      <c r="Z6" s="96">
        <f t="shared" si="1"/>
        <v>190</v>
      </c>
      <c r="AA6" s="104">
        <v>0</v>
      </c>
      <c r="AB6" s="105">
        <v>0</v>
      </c>
      <c r="AC6" s="96">
        <f>SUM(AA6+AB6-AA7)</f>
        <v>0</v>
      </c>
      <c r="AD6" s="106">
        <v>38</v>
      </c>
      <c r="AE6" s="107">
        <v>75</v>
      </c>
    </row>
    <row r="7" spans="1:31" x14ac:dyDescent="0.2">
      <c r="A7" s="90">
        <v>46148</v>
      </c>
      <c r="B7" s="91">
        <v>20581063</v>
      </c>
      <c r="C7" s="92">
        <f>SUM(4292.3+1845413+591873+10122.2+286965+32026)</f>
        <v>2770691.5</v>
      </c>
      <c r="D7" s="92">
        <f>B7-C7</f>
        <v>17810371.5</v>
      </c>
      <c r="E7" s="93">
        <f t="shared" si="0"/>
        <v>8786</v>
      </c>
      <c r="F7" s="94">
        <v>12246</v>
      </c>
      <c r="G7" s="95"/>
      <c r="H7" s="96">
        <f t="shared" si="3"/>
        <v>987</v>
      </c>
      <c r="I7" s="97">
        <v>0.7</v>
      </c>
      <c r="J7" s="98">
        <v>0.7</v>
      </c>
      <c r="K7" s="98">
        <v>0.74</v>
      </c>
      <c r="L7" s="99">
        <f t="shared" si="9"/>
        <v>5349.9999999999991</v>
      </c>
      <c r="M7" s="100"/>
      <c r="N7" s="96">
        <f t="shared" si="4"/>
        <v>225</v>
      </c>
      <c r="O7" s="97">
        <v>0.6</v>
      </c>
      <c r="P7" s="98">
        <v>0.65</v>
      </c>
      <c r="Q7" s="98">
        <v>0.65</v>
      </c>
      <c r="R7" s="99">
        <f t="shared" si="5"/>
        <v>950</v>
      </c>
      <c r="S7" s="100"/>
      <c r="T7" s="96">
        <f t="shared" si="6"/>
        <v>50</v>
      </c>
      <c r="U7" s="101">
        <f t="shared" si="7"/>
        <v>275</v>
      </c>
      <c r="V7" s="102">
        <v>716632</v>
      </c>
      <c r="W7" s="103">
        <v>5665</v>
      </c>
      <c r="X7" s="103">
        <v>19012</v>
      </c>
      <c r="Y7" s="103">
        <f t="shared" si="8"/>
        <v>691955</v>
      </c>
      <c r="Z7" s="96">
        <f t="shared" si="1"/>
        <v>82</v>
      </c>
      <c r="AA7" s="104">
        <v>0</v>
      </c>
      <c r="AB7" s="105">
        <v>0</v>
      </c>
      <c r="AC7" s="96">
        <f>SUM(AA7+AB7-AA8)</f>
        <v>0</v>
      </c>
      <c r="AD7" s="106">
        <v>37</v>
      </c>
      <c r="AE7" s="107">
        <v>71</v>
      </c>
    </row>
    <row r="8" spans="1:31" x14ac:dyDescent="0.2">
      <c r="A8" s="90">
        <v>46149</v>
      </c>
      <c r="B8" s="91">
        <v>20589849</v>
      </c>
      <c r="C8" s="92">
        <f>SUM(4299+1845760.5+591873+10122.4+287072+32044)</f>
        <v>2771170.9</v>
      </c>
      <c r="D8" s="92">
        <f t="shared" si="2"/>
        <v>17818678.100000001</v>
      </c>
      <c r="E8" s="93">
        <f t="shared" si="0"/>
        <v>8719</v>
      </c>
      <c r="F8" s="94">
        <v>11259</v>
      </c>
      <c r="G8" s="95"/>
      <c r="H8" s="96">
        <f t="shared" si="3"/>
        <v>1404</v>
      </c>
      <c r="I8" s="97">
        <v>0.65</v>
      </c>
      <c r="J8" s="98">
        <v>0.7</v>
      </c>
      <c r="K8" s="98">
        <v>0.7</v>
      </c>
      <c r="L8" s="99">
        <f t="shared" si="9"/>
        <v>5124.9999999999991</v>
      </c>
      <c r="M8" s="100">
        <v>1247.45</v>
      </c>
      <c r="N8" s="96">
        <v>378</v>
      </c>
      <c r="O8" s="97">
        <v>0.6</v>
      </c>
      <c r="P8" s="98">
        <v>0.6</v>
      </c>
      <c r="Q8" s="98">
        <v>0.6</v>
      </c>
      <c r="R8" s="99">
        <f t="shared" si="5"/>
        <v>900</v>
      </c>
      <c r="S8" s="100">
        <v>406.74</v>
      </c>
      <c r="T8" s="96">
        <v>43</v>
      </c>
      <c r="U8" s="101">
        <f t="shared" si="7"/>
        <v>421</v>
      </c>
      <c r="V8" s="102">
        <v>716792</v>
      </c>
      <c r="W8" s="103">
        <v>5733</v>
      </c>
      <c r="X8" s="103">
        <v>19022</v>
      </c>
      <c r="Y8" s="103">
        <f t="shared" si="8"/>
        <v>692037</v>
      </c>
      <c r="Z8" s="96">
        <f t="shared" si="1"/>
        <v>75</v>
      </c>
      <c r="AA8" s="104">
        <v>0</v>
      </c>
      <c r="AB8" s="105">
        <v>0</v>
      </c>
      <c r="AC8" s="96">
        <f t="shared" ref="AC8:AC32" si="11">SUM(AA8+AB8-AA9)</f>
        <v>0</v>
      </c>
      <c r="AD8" s="106">
        <v>35</v>
      </c>
      <c r="AE8" s="107">
        <v>69</v>
      </c>
    </row>
    <row r="9" spans="1:31" x14ac:dyDescent="0.2">
      <c r="A9" s="90">
        <v>46150</v>
      </c>
      <c r="B9" s="91">
        <v>20598568</v>
      </c>
      <c r="C9" s="92">
        <f>SUM(4299.7+1846111.9+591873+10122.5+287172+32071)</f>
        <v>2771650.0999999996</v>
      </c>
      <c r="D9" s="92">
        <f t="shared" si="2"/>
        <v>17826917.899999999</v>
      </c>
      <c r="E9" s="93">
        <f t="shared" si="0"/>
        <v>8960</v>
      </c>
      <c r="F9" s="94">
        <v>9855</v>
      </c>
      <c r="G9" s="95"/>
      <c r="H9" s="96">
        <f t="shared" si="3"/>
        <v>110</v>
      </c>
      <c r="I9" s="97">
        <v>0.9</v>
      </c>
      <c r="J9" s="98">
        <v>0.9</v>
      </c>
      <c r="K9" s="98">
        <v>0.9</v>
      </c>
      <c r="L9" s="99">
        <f t="shared" si="9"/>
        <v>6750</v>
      </c>
      <c r="M9" s="100"/>
      <c r="N9" s="96">
        <f t="shared" si="4"/>
        <v>125</v>
      </c>
      <c r="O9" s="97">
        <v>0.9</v>
      </c>
      <c r="P9" s="98">
        <v>0.9</v>
      </c>
      <c r="Q9" s="98">
        <v>0.9</v>
      </c>
      <c r="R9" s="99">
        <f t="shared" si="5"/>
        <v>1350</v>
      </c>
      <c r="S9" s="100"/>
      <c r="T9" s="96">
        <f t="shared" si="6"/>
        <v>50</v>
      </c>
      <c r="U9" s="101">
        <f t="shared" si="7"/>
        <v>175</v>
      </c>
      <c r="V9" s="102">
        <v>716950</v>
      </c>
      <c r="W9" s="103">
        <v>5808</v>
      </c>
      <c r="X9" s="103">
        <v>19030</v>
      </c>
      <c r="Y9" s="103">
        <f t="shared" si="8"/>
        <v>692112</v>
      </c>
      <c r="Z9" s="96">
        <f t="shared" si="1"/>
        <v>132</v>
      </c>
      <c r="AA9" s="104">
        <v>0</v>
      </c>
      <c r="AB9" s="105">
        <v>0</v>
      </c>
      <c r="AC9" s="96">
        <f t="shared" si="11"/>
        <v>0</v>
      </c>
      <c r="AD9" s="106">
        <v>47</v>
      </c>
      <c r="AE9" s="107">
        <v>95</v>
      </c>
    </row>
    <row r="10" spans="1:31" x14ac:dyDescent="0.2">
      <c r="A10" s="90">
        <v>46151</v>
      </c>
      <c r="B10" s="91">
        <v>20607528</v>
      </c>
      <c r="C10" s="92">
        <f>SUM(4300.3+1846475.9+591873+10123.1+287273+32090)</f>
        <v>2772135.3000000003</v>
      </c>
      <c r="D10" s="92">
        <f t="shared" si="2"/>
        <v>17835392.699999999</v>
      </c>
      <c r="E10" s="93">
        <f t="shared" si="0"/>
        <v>8891</v>
      </c>
      <c r="F10" s="94">
        <v>9745</v>
      </c>
      <c r="G10" s="95">
        <v>11440</v>
      </c>
      <c r="H10" s="96">
        <f t="shared" si="3"/>
        <v>2181</v>
      </c>
      <c r="I10" s="97">
        <v>0.9</v>
      </c>
      <c r="J10" s="98">
        <v>0.9</v>
      </c>
      <c r="K10" s="98">
        <v>0.85</v>
      </c>
      <c r="L10" s="99">
        <f t="shared" si="9"/>
        <v>6625</v>
      </c>
      <c r="M10" s="100"/>
      <c r="N10" s="96">
        <f t="shared" si="4"/>
        <v>425</v>
      </c>
      <c r="O10" s="97">
        <v>0.85</v>
      </c>
      <c r="P10" s="98">
        <v>0.85</v>
      </c>
      <c r="Q10" s="98">
        <v>0.9</v>
      </c>
      <c r="R10" s="99">
        <f t="shared" si="5"/>
        <v>1300</v>
      </c>
      <c r="S10" s="100"/>
      <c r="T10" s="96">
        <f t="shared" si="6"/>
        <v>125</v>
      </c>
      <c r="U10" s="101">
        <f t="shared" si="7"/>
        <v>550</v>
      </c>
      <c r="V10" s="102">
        <v>717160</v>
      </c>
      <c r="W10" s="103">
        <v>5878</v>
      </c>
      <c r="X10" s="103">
        <v>19038</v>
      </c>
      <c r="Y10" s="103">
        <f t="shared" si="8"/>
        <v>692244</v>
      </c>
      <c r="Z10" s="96">
        <f t="shared" si="1"/>
        <v>98</v>
      </c>
      <c r="AA10" s="104">
        <v>0</v>
      </c>
      <c r="AB10" s="105">
        <v>0</v>
      </c>
      <c r="AC10" s="96">
        <f t="shared" si="11"/>
        <v>0</v>
      </c>
      <c r="AD10" s="106">
        <v>55</v>
      </c>
      <c r="AE10" s="107">
        <v>110</v>
      </c>
    </row>
    <row r="11" spans="1:31" ht="13.5" thickBot="1" x14ac:dyDescent="0.25">
      <c r="A11" s="108">
        <v>46152</v>
      </c>
      <c r="B11" s="109">
        <v>20616419</v>
      </c>
      <c r="C11" s="110">
        <f>SUM(4300.9+1846776.6+591873+10123.3+287359+32107)</f>
        <v>2772539.8</v>
      </c>
      <c r="D11" s="110">
        <f t="shared" si="2"/>
        <v>17843879.199999999</v>
      </c>
      <c r="E11" s="111">
        <f t="shared" si="0"/>
        <v>9072</v>
      </c>
      <c r="F11" s="112">
        <v>19004</v>
      </c>
      <c r="G11" s="113"/>
      <c r="H11" s="114">
        <f t="shared" si="3"/>
        <v>1010</v>
      </c>
      <c r="I11" s="115">
        <v>0.8</v>
      </c>
      <c r="J11" s="116">
        <v>0.85</v>
      </c>
      <c r="K11" s="116">
        <v>0.83</v>
      </c>
      <c r="L11" s="117">
        <f t="shared" si="9"/>
        <v>6200</v>
      </c>
      <c r="M11" s="118"/>
      <c r="N11" s="114">
        <f t="shared" si="4"/>
        <v>199.99999999999909</v>
      </c>
      <c r="O11" s="115">
        <v>0.75</v>
      </c>
      <c r="P11" s="116">
        <v>0.8</v>
      </c>
      <c r="Q11" s="116">
        <v>0.8</v>
      </c>
      <c r="R11" s="117">
        <f t="shared" si="5"/>
        <v>1175</v>
      </c>
      <c r="S11" s="118"/>
      <c r="T11" s="114">
        <f t="shared" si="6"/>
        <v>0</v>
      </c>
      <c r="U11" s="119">
        <f t="shared" si="7"/>
        <v>199.99999999999909</v>
      </c>
      <c r="V11" s="120">
        <v>717329</v>
      </c>
      <c r="W11" s="121">
        <v>5941</v>
      </c>
      <c r="X11" s="121">
        <v>19046</v>
      </c>
      <c r="Y11" s="121">
        <f t="shared" ref="Y11:Y33" si="12">SUM(V11-W11-X11)</f>
        <v>692342</v>
      </c>
      <c r="Z11" s="114">
        <f t="shared" si="1"/>
        <v>65</v>
      </c>
      <c r="AA11" s="122">
        <v>0</v>
      </c>
      <c r="AB11" s="123">
        <v>0</v>
      </c>
      <c r="AC11" s="114">
        <f t="shared" si="11"/>
        <v>0</v>
      </c>
      <c r="AD11" s="124">
        <v>39</v>
      </c>
      <c r="AE11" s="125">
        <v>79</v>
      </c>
    </row>
    <row r="12" spans="1:31" x14ac:dyDescent="0.2">
      <c r="A12" s="73">
        <v>46153</v>
      </c>
      <c r="B12" s="74">
        <v>20625491</v>
      </c>
      <c r="C12" s="75">
        <f>SUM(4301.7+1847160.7+591873+10123.4+287469+32130)</f>
        <v>2773057.8</v>
      </c>
      <c r="D12" s="75">
        <f t="shared" si="2"/>
        <v>17852433.199999999</v>
      </c>
      <c r="E12" s="126">
        <f t="shared" si="0"/>
        <v>8784</v>
      </c>
      <c r="F12" s="77">
        <v>17994</v>
      </c>
      <c r="G12" s="78"/>
      <c r="H12" s="76">
        <f t="shared" si="3"/>
        <v>651</v>
      </c>
      <c r="I12" s="79">
        <v>0.8</v>
      </c>
      <c r="J12" s="80">
        <v>0.8</v>
      </c>
      <c r="K12" s="80">
        <v>0.8</v>
      </c>
      <c r="L12" s="81">
        <f t="shared" si="9"/>
        <v>6000.0000000000009</v>
      </c>
      <c r="M12" s="82"/>
      <c r="N12" s="76">
        <f t="shared" ref="N12:N31" si="13">SUM(L12+M12-L13)</f>
        <v>500.00000000000091</v>
      </c>
      <c r="O12" s="79">
        <v>0.75</v>
      </c>
      <c r="P12" s="80">
        <v>0.8</v>
      </c>
      <c r="Q12" s="80">
        <v>0.8</v>
      </c>
      <c r="R12" s="81">
        <f t="shared" si="5"/>
        <v>1175</v>
      </c>
      <c r="S12" s="82"/>
      <c r="T12" s="76">
        <f t="shared" si="6"/>
        <v>150.00000000000023</v>
      </c>
      <c r="U12" s="83">
        <f t="shared" si="7"/>
        <v>650.00000000000114</v>
      </c>
      <c r="V12" s="84">
        <v>717485</v>
      </c>
      <c r="W12" s="85">
        <v>6022</v>
      </c>
      <c r="X12" s="85">
        <v>19056</v>
      </c>
      <c r="Y12" s="85">
        <f t="shared" si="12"/>
        <v>692407</v>
      </c>
      <c r="Z12" s="76">
        <f t="shared" si="1"/>
        <v>78</v>
      </c>
      <c r="AA12" s="86">
        <v>0</v>
      </c>
      <c r="AB12" s="87">
        <v>0</v>
      </c>
      <c r="AC12" s="76">
        <f t="shared" si="11"/>
        <v>0</v>
      </c>
      <c r="AD12" s="88">
        <v>36</v>
      </c>
      <c r="AE12" s="89">
        <v>71</v>
      </c>
    </row>
    <row r="13" spans="1:31" x14ac:dyDescent="0.2">
      <c r="A13" s="90">
        <v>46154</v>
      </c>
      <c r="B13" s="91">
        <v>20634275</v>
      </c>
      <c r="C13" s="92">
        <f>SUM(4302.4+1847520.8+591873+10123.6+287570+32151)</f>
        <v>2773540.8000000003</v>
      </c>
      <c r="D13" s="92">
        <f t="shared" si="2"/>
        <v>17860734.199999999</v>
      </c>
      <c r="E13" s="93">
        <f t="shared" si="0"/>
        <v>8596</v>
      </c>
      <c r="F13" s="94">
        <v>17343</v>
      </c>
      <c r="G13" s="95"/>
      <c r="H13" s="96">
        <f t="shared" si="3"/>
        <v>798</v>
      </c>
      <c r="I13" s="97">
        <v>0.7</v>
      </c>
      <c r="J13" s="98">
        <v>0.75</v>
      </c>
      <c r="K13" s="98">
        <v>0.75</v>
      </c>
      <c r="L13" s="99">
        <f t="shared" si="9"/>
        <v>5500</v>
      </c>
      <c r="M13" s="100"/>
      <c r="N13" s="96">
        <f t="shared" si="13"/>
        <v>375.00000000000091</v>
      </c>
      <c r="O13" s="97">
        <v>0.65</v>
      </c>
      <c r="P13" s="98">
        <v>0.7</v>
      </c>
      <c r="Q13" s="98">
        <v>0.7</v>
      </c>
      <c r="R13" s="99">
        <f t="shared" si="5"/>
        <v>1024.9999999999998</v>
      </c>
      <c r="S13" s="100"/>
      <c r="T13" s="96">
        <f t="shared" si="6"/>
        <v>74.999999999999773</v>
      </c>
      <c r="U13" s="101">
        <f t="shared" si="7"/>
        <v>450.00000000000068</v>
      </c>
      <c r="V13" s="102">
        <v>717646</v>
      </c>
      <c r="W13" s="103">
        <v>6096</v>
      </c>
      <c r="X13" s="103">
        <v>19065</v>
      </c>
      <c r="Y13" s="103">
        <f t="shared" si="12"/>
        <v>692485</v>
      </c>
      <c r="Z13" s="96">
        <f t="shared" si="1"/>
        <v>71</v>
      </c>
      <c r="AA13" s="104">
        <v>0</v>
      </c>
      <c r="AB13" s="105">
        <v>0</v>
      </c>
      <c r="AC13" s="96">
        <f t="shared" si="11"/>
        <v>0</v>
      </c>
      <c r="AD13" s="106">
        <v>34</v>
      </c>
      <c r="AE13" s="107">
        <v>64</v>
      </c>
    </row>
    <row r="14" spans="1:31" x14ac:dyDescent="0.2">
      <c r="A14" s="90">
        <v>46155</v>
      </c>
      <c r="B14" s="91">
        <v>20642871</v>
      </c>
      <c r="C14" s="92">
        <f>SUM(4303+1847932.9+591873+10123.8+287684+32174)</f>
        <v>2774090.6999999997</v>
      </c>
      <c r="D14" s="92">
        <f t="shared" si="2"/>
        <v>17868780.300000001</v>
      </c>
      <c r="E14" s="93">
        <f t="shared" si="0"/>
        <v>9887</v>
      </c>
      <c r="F14" s="94">
        <v>16545</v>
      </c>
      <c r="G14" s="95"/>
      <c r="H14" s="96">
        <f t="shared" si="3"/>
        <v>949</v>
      </c>
      <c r="I14" s="97">
        <v>0.65</v>
      </c>
      <c r="J14" s="98">
        <v>0.7</v>
      </c>
      <c r="K14" s="98">
        <v>0.7</v>
      </c>
      <c r="L14" s="99">
        <f t="shared" si="9"/>
        <v>5124.9999999999991</v>
      </c>
      <c r="M14" s="100"/>
      <c r="N14" s="96">
        <f t="shared" si="13"/>
        <v>124.99999999999909</v>
      </c>
      <c r="O14" s="97">
        <v>0.6</v>
      </c>
      <c r="P14" s="98">
        <v>0.65</v>
      </c>
      <c r="Q14" s="98">
        <v>0.65</v>
      </c>
      <c r="R14" s="99">
        <f t="shared" si="5"/>
        <v>950</v>
      </c>
      <c r="S14" s="100"/>
      <c r="T14" s="96">
        <v>25</v>
      </c>
      <c r="U14" s="101">
        <f t="shared" si="7"/>
        <v>149.99999999999909</v>
      </c>
      <c r="V14" s="102">
        <v>717811</v>
      </c>
      <c r="W14" s="103">
        <v>6180</v>
      </c>
      <c r="X14" s="103">
        <v>19075</v>
      </c>
      <c r="Y14" s="103">
        <f t="shared" si="12"/>
        <v>692556</v>
      </c>
      <c r="Z14" s="96">
        <f t="shared" si="1"/>
        <v>14</v>
      </c>
      <c r="AA14" s="104">
        <v>0</v>
      </c>
      <c r="AB14" s="105">
        <v>0</v>
      </c>
      <c r="AC14" s="96">
        <f t="shared" si="11"/>
        <v>0</v>
      </c>
      <c r="AD14" s="106">
        <v>37</v>
      </c>
      <c r="AE14" s="107">
        <v>64</v>
      </c>
    </row>
    <row r="15" spans="1:31" x14ac:dyDescent="0.2">
      <c r="A15" s="90">
        <v>46156</v>
      </c>
      <c r="B15" s="91">
        <v>20652758</v>
      </c>
      <c r="C15" s="92">
        <f>SUM(4303.7+1848283.7+591873+10124+287816+32195)</f>
        <v>2774595.4</v>
      </c>
      <c r="D15" s="92">
        <f t="shared" si="2"/>
        <v>17878162.600000001</v>
      </c>
      <c r="E15" s="93">
        <f t="shared" si="0"/>
        <v>9807</v>
      </c>
      <c r="F15" s="94">
        <v>15596</v>
      </c>
      <c r="G15" s="95"/>
      <c r="H15" s="96">
        <f t="shared" si="3"/>
        <v>827</v>
      </c>
      <c r="I15" s="97">
        <v>0.65</v>
      </c>
      <c r="J15" s="98">
        <v>0.7</v>
      </c>
      <c r="K15" s="98">
        <v>0.65</v>
      </c>
      <c r="L15" s="99">
        <f t="shared" si="9"/>
        <v>5000</v>
      </c>
      <c r="M15" s="100">
        <v>1200.4100000000001</v>
      </c>
      <c r="N15" s="96">
        <v>375</v>
      </c>
      <c r="O15" s="97">
        <v>0.65</v>
      </c>
      <c r="P15" s="98">
        <v>0.65</v>
      </c>
      <c r="Q15" s="98">
        <v>0.65</v>
      </c>
      <c r="R15" s="99">
        <f t="shared" si="5"/>
        <v>975</v>
      </c>
      <c r="S15" s="100">
        <v>413.55</v>
      </c>
      <c r="T15" s="96">
        <f t="shared" si="6"/>
        <v>63.549999999999955</v>
      </c>
      <c r="U15" s="101">
        <f t="shared" si="7"/>
        <v>438.54999999999995</v>
      </c>
      <c r="V15" s="102">
        <v>717944</v>
      </c>
      <c r="W15" s="103">
        <v>6281</v>
      </c>
      <c r="X15" s="103">
        <v>19093</v>
      </c>
      <c r="Y15" s="103">
        <f t="shared" si="12"/>
        <v>692570</v>
      </c>
      <c r="Z15" s="96">
        <f t="shared" si="1"/>
        <v>101</v>
      </c>
      <c r="AA15" s="104">
        <v>0</v>
      </c>
      <c r="AB15" s="105">
        <v>0</v>
      </c>
      <c r="AC15" s="96">
        <f t="shared" si="11"/>
        <v>0</v>
      </c>
      <c r="AD15" s="106">
        <v>41</v>
      </c>
      <c r="AE15" s="107">
        <v>70</v>
      </c>
    </row>
    <row r="16" spans="1:31" x14ac:dyDescent="0.2">
      <c r="A16" s="90">
        <v>46157</v>
      </c>
      <c r="B16" s="91">
        <v>20662565</v>
      </c>
      <c r="C16" s="92">
        <f>SUM(4304.4+1848642.8+591895+10124.5+287871+32212)</f>
        <v>2775049.7</v>
      </c>
      <c r="D16" s="92">
        <f t="shared" si="2"/>
        <v>17887515.300000001</v>
      </c>
      <c r="E16" s="93">
        <f t="shared" si="0"/>
        <v>9938</v>
      </c>
      <c r="F16" s="94">
        <v>14769</v>
      </c>
      <c r="G16" s="95"/>
      <c r="H16" s="96">
        <f t="shared" si="3"/>
        <v>976</v>
      </c>
      <c r="I16" s="97">
        <v>0.9</v>
      </c>
      <c r="J16" s="98">
        <v>0.85</v>
      </c>
      <c r="K16" s="98">
        <v>0.88</v>
      </c>
      <c r="L16" s="99">
        <f t="shared" si="9"/>
        <v>6574.9999999999991</v>
      </c>
      <c r="M16" s="100"/>
      <c r="N16" s="96">
        <f t="shared" si="13"/>
        <v>199.99999999999909</v>
      </c>
      <c r="O16" s="97">
        <v>0.9</v>
      </c>
      <c r="P16" s="98">
        <v>0.9</v>
      </c>
      <c r="Q16" s="98">
        <v>0.85</v>
      </c>
      <c r="R16" s="99">
        <f t="shared" si="5"/>
        <v>1325</v>
      </c>
      <c r="S16" s="100"/>
      <c r="T16" s="96">
        <f t="shared" si="6"/>
        <v>25</v>
      </c>
      <c r="U16" s="101">
        <f t="shared" si="7"/>
        <v>224.99999999999909</v>
      </c>
      <c r="V16" s="102">
        <v>718097</v>
      </c>
      <c r="W16" s="103">
        <v>6325</v>
      </c>
      <c r="X16" s="103">
        <v>19101</v>
      </c>
      <c r="Y16" s="103">
        <f t="shared" si="12"/>
        <v>692671</v>
      </c>
      <c r="Z16" s="96">
        <f t="shared" si="1"/>
        <v>63</v>
      </c>
      <c r="AA16" s="104">
        <v>0</v>
      </c>
      <c r="AB16" s="105">
        <v>0</v>
      </c>
      <c r="AC16" s="96">
        <f t="shared" si="11"/>
        <v>0</v>
      </c>
      <c r="AD16" s="106">
        <v>50</v>
      </c>
      <c r="AE16" s="107">
        <v>59</v>
      </c>
    </row>
    <row r="17" spans="1:31" x14ac:dyDescent="0.2">
      <c r="A17" s="90">
        <v>46158</v>
      </c>
      <c r="B17" s="91">
        <v>20672503</v>
      </c>
      <c r="C17" s="92">
        <f>SUM(4305.2+1849001.4+591976+10124.9+287903+32234)</f>
        <v>2775544.4999999995</v>
      </c>
      <c r="D17" s="92">
        <f t="shared" si="2"/>
        <v>17896958.5</v>
      </c>
      <c r="E17" s="93">
        <f t="shared" si="0"/>
        <v>11117</v>
      </c>
      <c r="F17" s="94">
        <v>13793</v>
      </c>
      <c r="G17" s="95"/>
      <c r="H17" s="96">
        <f t="shared" si="3"/>
        <v>561</v>
      </c>
      <c r="I17" s="97">
        <v>0.85</v>
      </c>
      <c r="J17" s="98">
        <v>0.85</v>
      </c>
      <c r="K17" s="98">
        <v>0.85</v>
      </c>
      <c r="L17" s="99">
        <f t="shared" si="9"/>
        <v>6375</v>
      </c>
      <c r="M17" s="100"/>
      <c r="N17" s="96">
        <f t="shared" si="13"/>
        <v>249.99999999999909</v>
      </c>
      <c r="O17" s="97">
        <v>0.85</v>
      </c>
      <c r="P17" s="98">
        <v>0.85</v>
      </c>
      <c r="Q17" s="98">
        <v>0.9</v>
      </c>
      <c r="R17" s="99">
        <f t="shared" si="5"/>
        <v>1300</v>
      </c>
      <c r="S17" s="100"/>
      <c r="T17" s="96">
        <f t="shared" si="6"/>
        <v>74.999999999999773</v>
      </c>
      <c r="U17" s="101">
        <f t="shared" si="7"/>
        <v>324.99999999999886</v>
      </c>
      <c r="V17" s="102">
        <v>718245</v>
      </c>
      <c r="W17" s="103">
        <v>6398</v>
      </c>
      <c r="X17" s="103">
        <v>19113</v>
      </c>
      <c r="Y17" s="103">
        <f t="shared" si="12"/>
        <v>692734</v>
      </c>
      <c r="Z17" s="96">
        <f t="shared" si="1"/>
        <v>89</v>
      </c>
      <c r="AA17" s="104">
        <v>0</v>
      </c>
      <c r="AB17" s="105">
        <v>0</v>
      </c>
      <c r="AC17" s="96">
        <f t="shared" si="11"/>
        <v>0</v>
      </c>
      <c r="AD17" s="106">
        <v>66</v>
      </c>
      <c r="AE17" s="107">
        <v>109</v>
      </c>
    </row>
    <row r="18" spans="1:31" ht="13.5" thickBot="1" x14ac:dyDescent="0.25">
      <c r="A18" s="108">
        <v>46159</v>
      </c>
      <c r="B18" s="109">
        <v>20683620</v>
      </c>
      <c r="C18" s="110">
        <f>SUM(4305.8+1849365.9+592007+10125.1+287972+32256)</f>
        <v>2776031.8000000003</v>
      </c>
      <c r="D18" s="110">
        <f t="shared" si="2"/>
        <v>17907588.199999999</v>
      </c>
      <c r="E18" s="111">
        <f t="shared" si="0"/>
        <v>10206</v>
      </c>
      <c r="F18" s="112">
        <v>13232</v>
      </c>
      <c r="G18" s="113"/>
      <c r="H18" s="114">
        <f>F18+G18-F19</f>
        <v>563</v>
      </c>
      <c r="I18" s="115">
        <v>0.85</v>
      </c>
      <c r="J18" s="116">
        <v>0.8</v>
      </c>
      <c r="K18" s="116">
        <v>0.8</v>
      </c>
      <c r="L18" s="117">
        <f t="shared" si="9"/>
        <v>6125.0000000000009</v>
      </c>
      <c r="M18" s="118"/>
      <c r="N18" s="114">
        <f t="shared" si="13"/>
        <v>225</v>
      </c>
      <c r="O18" s="115">
        <v>0.8</v>
      </c>
      <c r="P18" s="116">
        <v>0.8</v>
      </c>
      <c r="Q18" s="116">
        <v>0.85</v>
      </c>
      <c r="R18" s="117">
        <f t="shared" si="5"/>
        <v>1225.0000000000002</v>
      </c>
      <c r="S18" s="118"/>
      <c r="T18" s="114">
        <f t="shared" si="6"/>
        <v>150.00000000000023</v>
      </c>
      <c r="U18" s="119">
        <f t="shared" si="7"/>
        <v>375.00000000000023</v>
      </c>
      <c r="V18" s="120">
        <v>718415</v>
      </c>
      <c r="W18" s="121">
        <v>6468</v>
      </c>
      <c r="X18" s="121">
        <v>19124</v>
      </c>
      <c r="Y18" s="121">
        <f t="shared" si="12"/>
        <v>692823</v>
      </c>
      <c r="Z18" s="114">
        <f t="shared" si="1"/>
        <v>71</v>
      </c>
      <c r="AA18" s="122">
        <v>0</v>
      </c>
      <c r="AB18" s="123">
        <v>0</v>
      </c>
      <c r="AC18" s="114">
        <f t="shared" si="11"/>
        <v>0</v>
      </c>
      <c r="AD18" s="124">
        <v>51</v>
      </c>
      <c r="AE18" s="125">
        <v>83</v>
      </c>
    </row>
    <row r="19" spans="1:31" x14ac:dyDescent="0.2">
      <c r="A19" s="73">
        <v>46160</v>
      </c>
      <c r="B19" s="74">
        <v>20693826</v>
      </c>
      <c r="C19" s="75">
        <f>SUM(4306.3+1849636.6+592092+10125.2+287972+32271)</f>
        <v>2776403.1000000006</v>
      </c>
      <c r="D19" s="75">
        <f t="shared" si="2"/>
        <v>17917422.899999999</v>
      </c>
      <c r="E19" s="126">
        <f t="shared" si="0"/>
        <v>10611</v>
      </c>
      <c r="F19" s="77">
        <v>12669</v>
      </c>
      <c r="G19" s="78"/>
      <c r="H19" s="76">
        <f t="shared" si="3"/>
        <v>564</v>
      </c>
      <c r="I19" s="79">
        <v>0.78</v>
      </c>
      <c r="J19" s="80">
        <v>0.78</v>
      </c>
      <c r="K19" s="80">
        <v>0.8</v>
      </c>
      <c r="L19" s="81">
        <f t="shared" si="9"/>
        <v>5900.0000000000009</v>
      </c>
      <c r="M19" s="82"/>
      <c r="N19" s="76">
        <f t="shared" si="13"/>
        <v>275.00000000000091</v>
      </c>
      <c r="O19" s="79">
        <v>0.75</v>
      </c>
      <c r="P19" s="80">
        <v>0.75</v>
      </c>
      <c r="Q19" s="80">
        <v>0.65</v>
      </c>
      <c r="R19" s="81">
        <f t="shared" si="5"/>
        <v>1075</v>
      </c>
      <c r="S19" s="82"/>
      <c r="T19" s="76">
        <f t="shared" si="6"/>
        <v>50.000000000000227</v>
      </c>
      <c r="U19" s="83">
        <f t="shared" si="7"/>
        <v>325.00000000000114</v>
      </c>
      <c r="V19" s="84">
        <v>718557</v>
      </c>
      <c r="W19" s="85">
        <v>6528</v>
      </c>
      <c r="X19" s="85">
        <v>19135</v>
      </c>
      <c r="Y19" s="85">
        <f t="shared" si="12"/>
        <v>692894</v>
      </c>
      <c r="Z19" s="76">
        <f t="shared" si="1"/>
        <v>69</v>
      </c>
      <c r="AA19" s="86">
        <v>0</v>
      </c>
      <c r="AB19" s="87">
        <v>0</v>
      </c>
      <c r="AC19" s="76">
        <f t="shared" si="11"/>
        <v>0</v>
      </c>
      <c r="AD19" s="88">
        <v>41</v>
      </c>
      <c r="AE19" s="89">
        <v>74</v>
      </c>
    </row>
    <row r="20" spans="1:31" x14ac:dyDescent="0.2">
      <c r="A20" s="90">
        <v>46161</v>
      </c>
      <c r="B20" s="91">
        <v>20704437</v>
      </c>
      <c r="C20" s="92">
        <f>SUM(4307+1850039.3+592203+10125.5+287972+32293)</f>
        <v>2776939.8</v>
      </c>
      <c r="D20" s="92">
        <f t="shared" si="2"/>
        <v>17927497.199999999</v>
      </c>
      <c r="E20" s="93">
        <f t="shared" si="0"/>
        <v>10163</v>
      </c>
      <c r="F20" s="94">
        <v>12105</v>
      </c>
      <c r="G20" s="95"/>
      <c r="H20" s="96">
        <f t="shared" si="3"/>
        <v>564</v>
      </c>
      <c r="I20" s="97">
        <v>0.75</v>
      </c>
      <c r="J20" s="98">
        <v>0.75</v>
      </c>
      <c r="K20" s="98">
        <v>0.75</v>
      </c>
      <c r="L20" s="99">
        <f t="shared" si="9"/>
        <v>5625</v>
      </c>
      <c r="M20" s="100"/>
      <c r="N20" s="96">
        <f t="shared" si="13"/>
        <v>125</v>
      </c>
      <c r="O20" s="97">
        <v>0.65</v>
      </c>
      <c r="P20" s="98">
        <v>0.7</v>
      </c>
      <c r="Q20" s="98">
        <v>0.7</v>
      </c>
      <c r="R20" s="99">
        <f t="shared" si="5"/>
        <v>1024.9999999999998</v>
      </c>
      <c r="S20" s="100"/>
      <c r="T20" s="96">
        <f t="shared" si="6"/>
        <v>74.999999999999773</v>
      </c>
      <c r="U20" s="101">
        <f t="shared" si="7"/>
        <v>199.99999999999977</v>
      </c>
      <c r="V20" s="102">
        <v>718710</v>
      </c>
      <c r="W20" s="103">
        <v>6601</v>
      </c>
      <c r="X20" s="103">
        <v>19146</v>
      </c>
      <c r="Y20" s="103">
        <f t="shared" si="12"/>
        <v>692963</v>
      </c>
      <c r="Z20" s="96">
        <f t="shared" si="1"/>
        <v>79</v>
      </c>
      <c r="AA20" s="104">
        <v>0</v>
      </c>
      <c r="AB20" s="105">
        <v>0</v>
      </c>
      <c r="AC20" s="96">
        <f t="shared" si="11"/>
        <v>0</v>
      </c>
      <c r="AD20" s="106">
        <v>51</v>
      </c>
      <c r="AE20" s="107">
        <v>89</v>
      </c>
    </row>
    <row r="21" spans="1:31" x14ac:dyDescent="0.2">
      <c r="A21" s="90">
        <v>46162</v>
      </c>
      <c r="B21" s="91">
        <v>20714600</v>
      </c>
      <c r="C21" s="92">
        <f>SUM(4307.6+1850365.1+592297+10125.7+287973+32310)</f>
        <v>2777378.4000000004</v>
      </c>
      <c r="D21" s="92">
        <f t="shared" si="2"/>
        <v>17937221.600000001</v>
      </c>
      <c r="E21" s="93">
        <f t="shared" si="0"/>
        <v>11675</v>
      </c>
      <c r="F21" s="94">
        <v>11541</v>
      </c>
      <c r="G21" s="95"/>
      <c r="H21" s="96">
        <f t="shared" si="3"/>
        <v>1266</v>
      </c>
      <c r="I21" s="97">
        <v>0.75</v>
      </c>
      <c r="J21" s="98">
        <v>0.75</v>
      </c>
      <c r="K21" s="98">
        <v>0.7</v>
      </c>
      <c r="L21" s="99">
        <f t="shared" si="9"/>
        <v>5500</v>
      </c>
      <c r="M21" s="100"/>
      <c r="N21" s="96">
        <f t="shared" si="13"/>
        <v>250.00000000000091</v>
      </c>
      <c r="O21" s="97">
        <v>0.6</v>
      </c>
      <c r="P21" s="98">
        <v>0.65</v>
      </c>
      <c r="Q21" s="98">
        <v>0.65</v>
      </c>
      <c r="R21" s="99">
        <f t="shared" si="5"/>
        <v>950</v>
      </c>
      <c r="S21" s="100"/>
      <c r="T21" s="96">
        <f t="shared" si="6"/>
        <v>25</v>
      </c>
      <c r="U21" s="101">
        <f t="shared" si="7"/>
        <v>275.00000000000091</v>
      </c>
      <c r="V21" s="102">
        <v>718860</v>
      </c>
      <c r="W21" s="103">
        <v>6660</v>
      </c>
      <c r="X21" s="103">
        <v>19158</v>
      </c>
      <c r="Y21" s="103">
        <f t="shared" si="12"/>
        <v>693042</v>
      </c>
      <c r="Z21" s="96">
        <f t="shared" si="1"/>
        <v>42</v>
      </c>
      <c r="AA21" s="104">
        <v>0</v>
      </c>
      <c r="AB21" s="105">
        <v>0</v>
      </c>
      <c r="AC21" s="96">
        <f t="shared" si="11"/>
        <v>0</v>
      </c>
      <c r="AD21" s="106">
        <v>35</v>
      </c>
      <c r="AE21" s="107">
        <v>62</v>
      </c>
    </row>
    <row r="22" spans="1:31" x14ac:dyDescent="0.2">
      <c r="A22" s="90">
        <v>46163</v>
      </c>
      <c r="B22" s="91">
        <v>20726275</v>
      </c>
      <c r="C22" s="92">
        <f>SUM(4308.3+1850733.4+592389+10125.9+287996+32332)</f>
        <v>2777884.6</v>
      </c>
      <c r="D22" s="92">
        <f t="shared" si="2"/>
        <v>17948390.399999999</v>
      </c>
      <c r="E22" s="93">
        <f t="shared" si="0"/>
        <v>9997</v>
      </c>
      <c r="F22" s="94">
        <v>10275</v>
      </c>
      <c r="G22" s="95"/>
      <c r="H22" s="96">
        <f t="shared" si="3"/>
        <v>280</v>
      </c>
      <c r="I22" s="97">
        <v>0.7</v>
      </c>
      <c r="J22" s="98">
        <v>0.7</v>
      </c>
      <c r="K22" s="98">
        <v>0.7</v>
      </c>
      <c r="L22" s="99">
        <f t="shared" si="9"/>
        <v>5249.9999999999991</v>
      </c>
      <c r="M22" s="100">
        <v>1228.06</v>
      </c>
      <c r="N22" s="96">
        <v>272</v>
      </c>
      <c r="O22" s="97">
        <v>0.6</v>
      </c>
      <c r="P22" s="98">
        <v>0.6</v>
      </c>
      <c r="Q22" s="98">
        <v>0.65</v>
      </c>
      <c r="R22" s="99">
        <f>SUM(O22:Q22)/3*1500</f>
        <v>925</v>
      </c>
      <c r="S22" s="100">
        <v>296</v>
      </c>
      <c r="T22" s="96">
        <v>129</v>
      </c>
      <c r="U22" s="101">
        <f t="shared" si="7"/>
        <v>401</v>
      </c>
      <c r="V22" s="102">
        <v>718992</v>
      </c>
      <c r="W22" s="103">
        <v>6740</v>
      </c>
      <c r="X22" s="103">
        <v>19168</v>
      </c>
      <c r="Y22" s="103">
        <f t="shared" si="12"/>
        <v>693084</v>
      </c>
      <c r="Z22" s="96">
        <f t="shared" si="1"/>
        <v>78</v>
      </c>
      <c r="AA22" s="104">
        <v>0</v>
      </c>
      <c r="AB22" s="105">
        <v>0</v>
      </c>
      <c r="AC22" s="96">
        <f t="shared" si="11"/>
        <v>0</v>
      </c>
      <c r="AD22" s="106">
        <v>60</v>
      </c>
      <c r="AE22" s="107">
        <v>124</v>
      </c>
    </row>
    <row r="23" spans="1:31" x14ac:dyDescent="0.2">
      <c r="A23" s="90">
        <v>46164</v>
      </c>
      <c r="B23" s="91">
        <v>20736272</v>
      </c>
      <c r="C23" s="92">
        <f>SUM(4309+1851078.1+592389+10126.1+288094+32352)</f>
        <v>2778348.2</v>
      </c>
      <c r="D23" s="92">
        <f t="shared" si="2"/>
        <v>17957923.800000001</v>
      </c>
      <c r="E23" s="93">
        <f t="shared" si="0"/>
        <v>12315</v>
      </c>
      <c r="F23" s="94">
        <v>9995</v>
      </c>
      <c r="G23" s="95"/>
      <c r="H23" s="96">
        <f t="shared" si="3"/>
        <v>697</v>
      </c>
      <c r="I23" s="97">
        <v>0.9</v>
      </c>
      <c r="J23" s="98">
        <v>0.9</v>
      </c>
      <c r="K23" s="98">
        <v>0.9</v>
      </c>
      <c r="L23" s="99">
        <f t="shared" si="9"/>
        <v>6750</v>
      </c>
      <c r="M23" s="100"/>
      <c r="N23" s="96">
        <f t="shared" si="13"/>
        <v>175.00000000000091</v>
      </c>
      <c r="O23" s="97">
        <v>0.9</v>
      </c>
      <c r="P23" s="98">
        <v>0.9</v>
      </c>
      <c r="Q23" s="98">
        <v>0.9</v>
      </c>
      <c r="R23" s="99">
        <f t="shared" si="5"/>
        <v>1350</v>
      </c>
      <c r="S23" s="100">
        <v>138.16</v>
      </c>
      <c r="T23" s="96">
        <f t="shared" si="6"/>
        <v>213.16000000000008</v>
      </c>
      <c r="U23" s="101">
        <f t="shared" si="7"/>
        <v>388.16000000000099</v>
      </c>
      <c r="V23" s="102">
        <v>719163</v>
      </c>
      <c r="W23" s="103">
        <v>6822</v>
      </c>
      <c r="X23" s="103">
        <v>19179</v>
      </c>
      <c r="Y23" s="103">
        <f t="shared" si="12"/>
        <v>693162</v>
      </c>
      <c r="Z23" s="96">
        <f t="shared" si="1"/>
        <v>90</v>
      </c>
      <c r="AA23" s="104">
        <v>0</v>
      </c>
      <c r="AB23" s="105">
        <v>0</v>
      </c>
      <c r="AC23" s="96">
        <f t="shared" si="11"/>
        <v>0</v>
      </c>
      <c r="AD23" s="106">
        <v>98</v>
      </c>
      <c r="AE23" s="107">
        <v>196</v>
      </c>
    </row>
    <row r="24" spans="1:31" x14ac:dyDescent="0.2">
      <c r="A24" s="90">
        <v>46165</v>
      </c>
      <c r="B24" s="91">
        <v>20748587</v>
      </c>
      <c r="C24" s="92">
        <f>SUM(4309.7+1851426.9+592389+10126.2+288195+32373)</f>
        <v>2778819.8</v>
      </c>
      <c r="D24" s="92">
        <f t="shared" si="2"/>
        <v>17969767.199999999</v>
      </c>
      <c r="E24" s="93">
        <f t="shared" si="0"/>
        <v>12714</v>
      </c>
      <c r="F24" s="94">
        <v>9298</v>
      </c>
      <c r="G24" s="95"/>
      <c r="H24" s="96">
        <f t="shared" si="3"/>
        <v>553</v>
      </c>
      <c r="I24" s="97">
        <v>0.9</v>
      </c>
      <c r="J24" s="98">
        <v>0.85</v>
      </c>
      <c r="K24" s="98">
        <v>0.88</v>
      </c>
      <c r="L24" s="99">
        <f t="shared" si="9"/>
        <v>6574.9999999999991</v>
      </c>
      <c r="M24" s="100"/>
      <c r="N24" s="96">
        <f t="shared" si="13"/>
        <v>449.99999999999818</v>
      </c>
      <c r="O24" s="97">
        <v>0.9</v>
      </c>
      <c r="P24" s="98">
        <v>0.85</v>
      </c>
      <c r="Q24" s="98">
        <v>0.8</v>
      </c>
      <c r="R24" s="99">
        <f t="shared" si="5"/>
        <v>1275</v>
      </c>
      <c r="S24" s="100"/>
      <c r="T24" s="96">
        <f t="shared" si="6"/>
        <v>49.999999999999773</v>
      </c>
      <c r="U24" s="101">
        <f t="shared" si="7"/>
        <v>499.99999999999795</v>
      </c>
      <c r="V24" s="102">
        <v>719342</v>
      </c>
      <c r="W24" s="103">
        <v>6900</v>
      </c>
      <c r="X24" s="103">
        <v>19190</v>
      </c>
      <c r="Y24" s="103">
        <f t="shared" si="12"/>
        <v>693252</v>
      </c>
      <c r="Z24" s="96">
        <f t="shared" si="1"/>
        <v>101</v>
      </c>
      <c r="AA24" s="104">
        <v>0</v>
      </c>
      <c r="AB24" s="105">
        <v>0</v>
      </c>
      <c r="AC24" s="96">
        <f t="shared" si="11"/>
        <v>0</v>
      </c>
      <c r="AD24" s="106">
        <v>117</v>
      </c>
      <c r="AE24" s="107">
        <v>241</v>
      </c>
    </row>
    <row r="25" spans="1:31" ht="13.5" thickBot="1" x14ac:dyDescent="0.25">
      <c r="A25" s="108">
        <v>46166</v>
      </c>
      <c r="B25" s="109">
        <v>20761301</v>
      </c>
      <c r="C25" s="110">
        <f>SUM(4310.5+1851933.3+592389+10126.4+288324+32401)</f>
        <v>2779484.1999999997</v>
      </c>
      <c r="D25" s="110">
        <f t="shared" si="2"/>
        <v>17981816.800000001</v>
      </c>
      <c r="E25" s="111">
        <f t="shared" si="0"/>
        <v>12695</v>
      </c>
      <c r="F25" s="112">
        <v>8745</v>
      </c>
      <c r="G25" s="113"/>
      <c r="H25" s="114">
        <f t="shared" si="3"/>
        <v>822</v>
      </c>
      <c r="I25" s="115">
        <v>0.8</v>
      </c>
      <c r="J25" s="116">
        <v>0.8</v>
      </c>
      <c r="K25" s="116">
        <v>0.85</v>
      </c>
      <c r="L25" s="117">
        <f t="shared" si="9"/>
        <v>6125.0000000000009</v>
      </c>
      <c r="M25" s="118"/>
      <c r="N25" s="114">
        <f t="shared" si="13"/>
        <v>125</v>
      </c>
      <c r="O25" s="115">
        <v>0.85</v>
      </c>
      <c r="P25" s="116">
        <v>0.8</v>
      </c>
      <c r="Q25" s="116">
        <v>0.8</v>
      </c>
      <c r="R25" s="117">
        <f t="shared" si="5"/>
        <v>1225.0000000000002</v>
      </c>
      <c r="S25" s="118"/>
      <c r="T25" s="114">
        <f t="shared" si="6"/>
        <v>60.000000000000227</v>
      </c>
      <c r="U25" s="119">
        <f t="shared" si="7"/>
        <v>185.00000000000023</v>
      </c>
      <c r="V25" s="120">
        <v>719564</v>
      </c>
      <c r="W25" s="121">
        <v>7007</v>
      </c>
      <c r="X25" s="121">
        <v>19204</v>
      </c>
      <c r="Y25" s="121">
        <f t="shared" si="12"/>
        <v>693353</v>
      </c>
      <c r="Z25" s="114">
        <f t="shared" si="1"/>
        <v>85</v>
      </c>
      <c r="AA25" s="122">
        <v>0</v>
      </c>
      <c r="AB25" s="123">
        <v>0</v>
      </c>
      <c r="AC25" s="114">
        <f t="shared" si="11"/>
        <v>0</v>
      </c>
      <c r="AD25" s="124">
        <v>74</v>
      </c>
      <c r="AE25" s="125">
        <v>150</v>
      </c>
    </row>
    <row r="26" spans="1:31" x14ac:dyDescent="0.2">
      <c r="A26" s="73">
        <v>46167</v>
      </c>
      <c r="B26" s="74">
        <v>20773996</v>
      </c>
      <c r="C26" s="75">
        <f>SUM(4311.4+1852434.2+592389+10126.6+288456+32431)</f>
        <v>2780148.1999999997</v>
      </c>
      <c r="D26" s="75">
        <f t="shared" si="2"/>
        <v>17993847.800000001</v>
      </c>
      <c r="E26" s="126">
        <f t="shared" si="0"/>
        <v>9954</v>
      </c>
      <c r="F26" s="77">
        <v>7923</v>
      </c>
      <c r="G26" s="78"/>
      <c r="H26" s="76">
        <f t="shared" si="3"/>
        <v>808</v>
      </c>
      <c r="I26" s="79">
        <v>0.8</v>
      </c>
      <c r="J26" s="80">
        <v>0.8</v>
      </c>
      <c r="K26" s="80">
        <v>0.8</v>
      </c>
      <c r="L26" s="81">
        <f t="shared" si="9"/>
        <v>6000.0000000000009</v>
      </c>
      <c r="M26" s="82"/>
      <c r="N26" s="76">
        <f t="shared" si="13"/>
        <v>500.00000000000091</v>
      </c>
      <c r="O26" s="79">
        <v>0.75</v>
      </c>
      <c r="P26" s="80">
        <v>0.78</v>
      </c>
      <c r="Q26" s="80">
        <v>0.8</v>
      </c>
      <c r="R26" s="81">
        <f t="shared" si="5"/>
        <v>1165</v>
      </c>
      <c r="S26" s="82"/>
      <c r="T26" s="76">
        <f t="shared" si="6"/>
        <v>190</v>
      </c>
      <c r="U26" s="83">
        <f t="shared" si="7"/>
        <v>690.00000000000091</v>
      </c>
      <c r="V26" s="84">
        <v>719779</v>
      </c>
      <c r="W26" s="85">
        <v>7123</v>
      </c>
      <c r="X26" s="85">
        <v>19218</v>
      </c>
      <c r="Y26" s="85">
        <f t="shared" si="12"/>
        <v>693438</v>
      </c>
      <c r="Z26" s="76">
        <f t="shared" si="1"/>
        <v>77</v>
      </c>
      <c r="AA26" s="86">
        <v>0</v>
      </c>
      <c r="AB26" s="87">
        <v>0</v>
      </c>
      <c r="AC26" s="76">
        <f t="shared" si="11"/>
        <v>0</v>
      </c>
      <c r="AD26" s="88">
        <v>66</v>
      </c>
      <c r="AE26" s="89">
        <v>132</v>
      </c>
    </row>
    <row r="27" spans="1:31" x14ac:dyDescent="0.2">
      <c r="A27" s="90">
        <v>46168</v>
      </c>
      <c r="B27" s="91">
        <v>20783950</v>
      </c>
      <c r="C27" s="92">
        <f>SUM(4312.1+1852823.5+592389+10126.9+288576+32452)</f>
        <v>2780679.5</v>
      </c>
      <c r="D27" s="92">
        <f t="shared" si="2"/>
        <v>18003270.5</v>
      </c>
      <c r="E27" s="93">
        <f t="shared" si="0"/>
        <v>11472</v>
      </c>
      <c r="F27" s="94">
        <v>7115</v>
      </c>
      <c r="G27" s="95">
        <v>11470</v>
      </c>
      <c r="H27" s="96">
        <f t="shared" si="3"/>
        <v>850</v>
      </c>
      <c r="I27" s="97">
        <v>0.7</v>
      </c>
      <c r="J27" s="98">
        <v>0.75</v>
      </c>
      <c r="K27" s="98">
        <v>0.75</v>
      </c>
      <c r="L27" s="99">
        <f t="shared" si="9"/>
        <v>5500</v>
      </c>
      <c r="M27" s="100"/>
      <c r="N27" s="96">
        <f t="shared" si="13"/>
        <v>250.00000000000091</v>
      </c>
      <c r="O27" s="97">
        <v>0.65</v>
      </c>
      <c r="P27" s="98">
        <v>0.65</v>
      </c>
      <c r="Q27" s="98">
        <v>0.65</v>
      </c>
      <c r="R27" s="99">
        <f t="shared" si="5"/>
        <v>975</v>
      </c>
      <c r="S27" s="100"/>
      <c r="T27" s="96">
        <f t="shared" si="6"/>
        <v>100</v>
      </c>
      <c r="U27" s="101">
        <f t="shared" si="7"/>
        <v>350.00000000000091</v>
      </c>
      <c r="V27" s="102">
        <v>719962</v>
      </c>
      <c r="W27" s="103">
        <v>7216</v>
      </c>
      <c r="X27" s="103">
        <v>19231</v>
      </c>
      <c r="Y27" s="103">
        <f t="shared" si="12"/>
        <v>693515</v>
      </c>
      <c r="Z27" s="96">
        <f t="shared" si="1"/>
        <v>57</v>
      </c>
      <c r="AA27" s="104">
        <v>0</v>
      </c>
      <c r="AB27" s="105">
        <v>0</v>
      </c>
      <c r="AC27" s="96">
        <f t="shared" si="11"/>
        <v>0</v>
      </c>
      <c r="AD27" s="106">
        <v>91</v>
      </c>
      <c r="AE27" s="107">
        <v>186</v>
      </c>
    </row>
    <row r="28" spans="1:31" x14ac:dyDescent="0.2">
      <c r="A28" s="90">
        <v>46169</v>
      </c>
      <c r="B28" s="91">
        <v>20795422</v>
      </c>
      <c r="C28" s="92">
        <f>SUM(4312.9+1853220.2+592389+10127.3+288684+32474)</f>
        <v>2781207.3999999994</v>
      </c>
      <c r="D28" s="92">
        <f t="shared" si="2"/>
        <v>18014214.600000001</v>
      </c>
      <c r="E28" s="93">
        <f t="shared" si="0"/>
        <v>11230</v>
      </c>
      <c r="F28" s="94">
        <v>17735</v>
      </c>
      <c r="G28" s="95"/>
      <c r="H28" s="96">
        <f t="shared" si="3"/>
        <v>656</v>
      </c>
      <c r="I28" s="97">
        <v>0.7</v>
      </c>
      <c r="J28" s="98">
        <v>0.7</v>
      </c>
      <c r="K28" s="98">
        <v>0.7</v>
      </c>
      <c r="L28" s="99">
        <f t="shared" si="9"/>
        <v>5249.9999999999991</v>
      </c>
      <c r="M28" s="100"/>
      <c r="N28" s="96">
        <f t="shared" si="13"/>
        <v>249.99999999999909</v>
      </c>
      <c r="O28" s="97">
        <v>0.55000000000000004</v>
      </c>
      <c r="P28" s="98">
        <v>0.6</v>
      </c>
      <c r="Q28" s="98">
        <v>0.6</v>
      </c>
      <c r="R28" s="99">
        <f t="shared" si="5"/>
        <v>875</v>
      </c>
      <c r="S28" s="100"/>
      <c r="T28" s="96">
        <f t="shared" si="6"/>
        <v>75</v>
      </c>
      <c r="U28" s="101">
        <f t="shared" si="7"/>
        <v>324.99999999999909</v>
      </c>
      <c r="V28" s="102">
        <v>720128</v>
      </c>
      <c r="W28" s="103">
        <v>7313</v>
      </c>
      <c r="X28" s="103">
        <v>19243</v>
      </c>
      <c r="Y28" s="103">
        <f t="shared" si="12"/>
        <v>693572</v>
      </c>
      <c r="Z28" s="96">
        <f t="shared" si="1"/>
        <v>78</v>
      </c>
      <c r="AA28" s="104">
        <v>0</v>
      </c>
      <c r="AB28" s="105">
        <v>0</v>
      </c>
      <c r="AC28" s="96">
        <f t="shared" si="11"/>
        <v>0</v>
      </c>
      <c r="AD28" s="106">
        <v>85</v>
      </c>
      <c r="AE28" s="107">
        <v>180</v>
      </c>
    </row>
    <row r="29" spans="1:31" x14ac:dyDescent="0.2">
      <c r="A29" s="90">
        <v>46170</v>
      </c>
      <c r="B29" s="91">
        <v>20806652</v>
      </c>
      <c r="C29" s="92">
        <f>SUM(4313.7+1853667.1+592389+10127.5+288811+32502)</f>
        <v>2781810.3</v>
      </c>
      <c r="D29" s="92">
        <f t="shared" si="2"/>
        <v>18024841.699999999</v>
      </c>
      <c r="E29" s="93">
        <f t="shared" si="0"/>
        <v>11970</v>
      </c>
      <c r="F29" s="94">
        <v>17079</v>
      </c>
      <c r="G29" s="95"/>
      <c r="H29" s="96">
        <f t="shared" si="3"/>
        <v>400</v>
      </c>
      <c r="I29" s="97">
        <v>0.65</v>
      </c>
      <c r="J29" s="98">
        <v>0.65</v>
      </c>
      <c r="K29" s="98">
        <v>0.7</v>
      </c>
      <c r="L29" s="99">
        <f t="shared" si="9"/>
        <v>5000</v>
      </c>
      <c r="M29" s="100">
        <v>1350.14</v>
      </c>
      <c r="N29" s="96">
        <v>400</v>
      </c>
      <c r="O29" s="97">
        <v>0.55000000000000004</v>
      </c>
      <c r="P29" s="98">
        <v>0.5</v>
      </c>
      <c r="Q29" s="98">
        <v>0.55000000000000004</v>
      </c>
      <c r="R29" s="99">
        <f t="shared" si="5"/>
        <v>800</v>
      </c>
      <c r="S29" s="100">
        <v>456.32</v>
      </c>
      <c r="T29" s="96">
        <v>94</v>
      </c>
      <c r="U29" s="101">
        <f t="shared" si="7"/>
        <v>494</v>
      </c>
      <c r="V29" s="102">
        <v>720315</v>
      </c>
      <c r="W29" s="103">
        <v>7408</v>
      </c>
      <c r="X29" s="103">
        <v>19257</v>
      </c>
      <c r="Y29" s="103">
        <f t="shared" si="12"/>
        <v>693650</v>
      </c>
      <c r="Z29" s="96">
        <f t="shared" si="1"/>
        <v>91</v>
      </c>
      <c r="AA29" s="104">
        <v>0</v>
      </c>
      <c r="AB29" s="105">
        <v>0</v>
      </c>
      <c r="AC29" s="96">
        <f t="shared" si="11"/>
        <v>0</v>
      </c>
      <c r="AD29" s="106">
        <v>83</v>
      </c>
      <c r="AE29" s="107">
        <v>179</v>
      </c>
    </row>
    <row r="30" spans="1:31" x14ac:dyDescent="0.2">
      <c r="A30" s="90">
        <v>46171</v>
      </c>
      <c r="B30" s="91">
        <v>20818622</v>
      </c>
      <c r="C30" s="92">
        <f>SUM(4314.5+1854118.1+592389+10127.7+288934+32527)</f>
        <v>2782410.3000000003</v>
      </c>
      <c r="D30" s="92">
        <f t="shared" si="2"/>
        <v>18036211.699999999</v>
      </c>
      <c r="E30" s="93">
        <f t="shared" si="0"/>
        <v>12019</v>
      </c>
      <c r="F30" s="94">
        <v>16679</v>
      </c>
      <c r="G30" s="95"/>
      <c r="H30" s="96">
        <f t="shared" si="3"/>
        <v>810</v>
      </c>
      <c r="I30" s="97">
        <v>0.9</v>
      </c>
      <c r="J30" s="98">
        <v>0.9</v>
      </c>
      <c r="K30" s="98">
        <v>0.9</v>
      </c>
      <c r="L30" s="99">
        <f t="shared" si="9"/>
        <v>6750</v>
      </c>
      <c r="M30" s="100"/>
      <c r="N30" s="96">
        <f t="shared" si="13"/>
        <v>500</v>
      </c>
      <c r="O30" s="97">
        <v>0.9</v>
      </c>
      <c r="P30" s="98">
        <v>0.9</v>
      </c>
      <c r="Q30" s="98">
        <v>0.9</v>
      </c>
      <c r="R30" s="99">
        <f t="shared" si="5"/>
        <v>1350</v>
      </c>
      <c r="S30" s="100"/>
      <c r="T30" s="96">
        <f t="shared" si="6"/>
        <v>124.99999999999977</v>
      </c>
      <c r="U30" s="101">
        <f t="shared" si="7"/>
        <v>624.99999999999977</v>
      </c>
      <c r="V30" s="102">
        <v>720502</v>
      </c>
      <c r="W30" s="103">
        <v>7492</v>
      </c>
      <c r="X30" s="103">
        <v>19269</v>
      </c>
      <c r="Y30" s="103">
        <f t="shared" si="12"/>
        <v>693741</v>
      </c>
      <c r="Z30" s="96">
        <f t="shared" si="1"/>
        <v>91</v>
      </c>
      <c r="AA30" s="104">
        <v>0</v>
      </c>
      <c r="AB30" s="105">
        <v>0</v>
      </c>
      <c r="AC30" s="96">
        <f t="shared" si="11"/>
        <v>0</v>
      </c>
      <c r="AD30" s="106">
        <v>120</v>
      </c>
      <c r="AE30" s="107">
        <v>246</v>
      </c>
    </row>
    <row r="31" spans="1:31" x14ac:dyDescent="0.2">
      <c r="A31" s="90">
        <v>46172</v>
      </c>
      <c r="B31" s="91">
        <v>20830641</v>
      </c>
      <c r="C31" s="92">
        <f>SUM(4315.2+1854587.2+592389+10127+289058+32552)</f>
        <v>2783028.4</v>
      </c>
      <c r="D31" s="92">
        <f t="shared" si="2"/>
        <v>18047612.600000001</v>
      </c>
      <c r="E31" s="93">
        <f t="shared" si="0"/>
        <v>13507</v>
      </c>
      <c r="F31" s="94">
        <v>15869</v>
      </c>
      <c r="G31" s="95"/>
      <c r="H31" s="96">
        <f t="shared" si="3"/>
        <v>685</v>
      </c>
      <c r="I31" s="97">
        <v>0.85</v>
      </c>
      <c r="J31" s="98">
        <v>0.85</v>
      </c>
      <c r="K31" s="98">
        <v>0.8</v>
      </c>
      <c r="L31" s="99">
        <f t="shared" si="9"/>
        <v>6250</v>
      </c>
      <c r="M31" s="100"/>
      <c r="N31" s="96">
        <f t="shared" si="13"/>
        <v>375</v>
      </c>
      <c r="O31" s="97">
        <v>0.85</v>
      </c>
      <c r="P31" s="98">
        <v>0.8</v>
      </c>
      <c r="Q31" s="98">
        <v>0.8</v>
      </c>
      <c r="R31" s="99">
        <f t="shared" si="5"/>
        <v>1225.0000000000002</v>
      </c>
      <c r="S31" s="100"/>
      <c r="T31" s="96">
        <f t="shared" si="6"/>
        <v>125.00000000000023</v>
      </c>
      <c r="U31" s="101">
        <f t="shared" si="7"/>
        <v>500.00000000000023</v>
      </c>
      <c r="V31" s="102">
        <v>720697</v>
      </c>
      <c r="W31" s="103">
        <v>7584</v>
      </c>
      <c r="X31" s="103">
        <v>19281</v>
      </c>
      <c r="Y31" s="103">
        <f t="shared" si="12"/>
        <v>693832</v>
      </c>
      <c r="Z31" s="96">
        <f t="shared" si="1"/>
        <v>155</v>
      </c>
      <c r="AA31" s="104">
        <v>0</v>
      </c>
      <c r="AB31" s="105">
        <v>0</v>
      </c>
      <c r="AC31" s="96">
        <f t="shared" si="11"/>
        <v>0</v>
      </c>
      <c r="AD31" s="106">
        <v>150</v>
      </c>
      <c r="AE31" s="107">
        <v>301</v>
      </c>
    </row>
    <row r="32" spans="1:31" ht="13.5" thickBot="1" x14ac:dyDescent="0.25">
      <c r="A32" s="108">
        <v>46173</v>
      </c>
      <c r="B32" s="109">
        <v>20844148</v>
      </c>
      <c r="C32" s="110">
        <f>SUM(4316.1+1855152.5+592389+10128.1+289209+32582)</f>
        <v>2783776.7</v>
      </c>
      <c r="D32" s="110">
        <f t="shared" si="2"/>
        <v>18060371.300000001</v>
      </c>
      <c r="E32" s="69"/>
      <c r="F32" s="112">
        <v>15184</v>
      </c>
      <c r="G32" s="113"/>
      <c r="H32" s="69"/>
      <c r="I32" s="115">
        <v>0.8</v>
      </c>
      <c r="J32" s="116">
        <v>0.8</v>
      </c>
      <c r="K32" s="116">
        <v>0.75</v>
      </c>
      <c r="L32" s="117">
        <f t="shared" si="9"/>
        <v>5875</v>
      </c>
      <c r="M32" s="118"/>
      <c r="N32" s="114">
        <f>IF(SUM(L32+M32-L33)=L32,0,L32+M32-L33)</f>
        <v>0</v>
      </c>
      <c r="O32" s="115">
        <v>0.75</v>
      </c>
      <c r="P32" s="116">
        <v>0.7</v>
      </c>
      <c r="Q32" s="116">
        <v>0.75</v>
      </c>
      <c r="R32" s="117">
        <f t="shared" si="5"/>
        <v>1100</v>
      </c>
      <c r="S32" s="118"/>
      <c r="T32" s="114">
        <f>IF(SUM(R32+S32-R33)=R32,0,R32+S32-R33)</f>
        <v>0</v>
      </c>
      <c r="U32" s="68"/>
      <c r="V32" s="120">
        <v>720978</v>
      </c>
      <c r="W32" s="121">
        <v>7697</v>
      </c>
      <c r="X32" s="121">
        <v>19294</v>
      </c>
      <c r="Y32" s="121">
        <f t="shared" si="12"/>
        <v>693987</v>
      </c>
      <c r="Z32" s="96">
        <f t="shared" si="1"/>
        <v>106</v>
      </c>
      <c r="AA32" s="122">
        <v>0</v>
      </c>
      <c r="AB32" s="123">
        <v>0</v>
      </c>
      <c r="AC32" s="72">
        <f t="shared" si="11"/>
        <v>0</v>
      </c>
      <c r="AD32" s="70">
        <v>127</v>
      </c>
      <c r="AE32" s="71">
        <v>254</v>
      </c>
    </row>
    <row r="33" spans="1:31" ht="14.25" thickTop="1" thickBot="1" x14ac:dyDescent="0.25">
      <c r="A33" s="127">
        <v>46174</v>
      </c>
      <c r="B33" s="128">
        <v>20854860</v>
      </c>
      <c r="C33" s="129">
        <v>2784314</v>
      </c>
      <c r="D33" s="130">
        <f t="shared" si="2"/>
        <v>18070546</v>
      </c>
      <c r="E33" s="10"/>
      <c r="F33" s="131">
        <v>14352</v>
      </c>
      <c r="G33" s="132"/>
      <c r="H33" s="10"/>
      <c r="I33" s="133"/>
      <c r="J33" s="134"/>
      <c r="K33" s="134"/>
      <c r="L33" s="135">
        <f t="shared" si="9"/>
        <v>0</v>
      </c>
      <c r="M33" s="136"/>
      <c r="N33" s="143"/>
      <c r="O33" s="133"/>
      <c r="P33" s="134"/>
      <c r="Q33" s="134"/>
      <c r="R33" s="135">
        <f t="shared" si="5"/>
        <v>0</v>
      </c>
      <c r="S33" s="136"/>
      <c r="T33" s="142"/>
      <c r="U33" s="19"/>
      <c r="V33" s="137">
        <v>721181</v>
      </c>
      <c r="W33" s="138">
        <v>7782</v>
      </c>
      <c r="X33" s="138">
        <v>19306</v>
      </c>
      <c r="Y33" s="139">
        <f t="shared" si="12"/>
        <v>694093</v>
      </c>
      <c r="Z33" s="10"/>
      <c r="AA33" s="140">
        <v>0</v>
      </c>
      <c r="AB33" s="141">
        <v>0</v>
      </c>
      <c r="AC33" s="8"/>
      <c r="AD33" s="9"/>
      <c r="AE33" s="9"/>
    </row>
    <row r="34" spans="1:31" s="17" customFormat="1" ht="10.5" thickTop="1" x14ac:dyDescent="0.2">
      <c r="A34" s="11"/>
      <c r="B34" s="14"/>
      <c r="C34" s="14"/>
      <c r="D34" s="14"/>
      <c r="E34" s="12">
        <f>SUM(E2:E33)</f>
        <v>306165</v>
      </c>
      <c r="F34" s="13"/>
      <c r="G34" s="13"/>
      <c r="H34" s="12">
        <f>SUM(H2:H33)</f>
        <v>28325</v>
      </c>
      <c r="I34" s="11"/>
      <c r="J34" s="11"/>
      <c r="K34" s="11"/>
      <c r="L34" s="11"/>
      <c r="M34" s="13">
        <f>SUM(M2:M33)</f>
        <v>5026.0600000000004</v>
      </c>
      <c r="N34" s="12">
        <f>SUM(N2:N33)</f>
        <v>8375</v>
      </c>
      <c r="O34" s="11"/>
      <c r="P34" s="11"/>
      <c r="Q34" s="11"/>
      <c r="R34" s="11"/>
      <c r="S34" s="13">
        <f>SUM(S2:S33)</f>
        <v>1710.77</v>
      </c>
      <c r="T34" s="12">
        <f>SUM(T2:T33)</f>
        <v>2642.71</v>
      </c>
      <c r="U34" s="12">
        <f>SUM(U2:U33)</f>
        <v>11017.710000000003</v>
      </c>
      <c r="V34" s="11"/>
      <c r="W34" s="11"/>
      <c r="X34" s="11"/>
      <c r="Y34" s="11"/>
      <c r="Z34" s="12">
        <f>SUM(Z2:Z33)</f>
        <v>2624</v>
      </c>
      <c r="AA34" s="11"/>
      <c r="AB34" s="11">
        <f>SUM(AB2:AB33)</f>
        <v>0</v>
      </c>
      <c r="AC34" s="12">
        <f>SUM(AC2:AC33)</f>
        <v>0</v>
      </c>
      <c r="AD34" s="15">
        <f>SUM(AD2:AD33)</f>
        <v>1960</v>
      </c>
      <c r="AE34" s="16">
        <f>SUM(AE2:AE32)</f>
        <v>3822</v>
      </c>
    </row>
    <row r="35" spans="1:31" x14ac:dyDescent="0.2">
      <c r="A35" s="1"/>
      <c r="I35" s="1"/>
      <c r="J35" s="1"/>
      <c r="K35" s="1"/>
      <c r="L35" s="1"/>
      <c r="O35" s="1"/>
      <c r="P35" s="1"/>
      <c r="Q35" s="1"/>
      <c r="R35" s="1"/>
      <c r="V35" s="1"/>
      <c r="W35" s="1"/>
      <c r="X35" s="1"/>
      <c r="Y35" s="1"/>
      <c r="AA35" s="5"/>
      <c r="AB35" s="5"/>
      <c r="AD35" s="2"/>
      <c r="AE35" s="2"/>
    </row>
    <row r="36" spans="1:31" x14ac:dyDescent="0.2">
      <c r="A36" s="1"/>
      <c r="I36" s="1"/>
      <c r="J36" s="1"/>
      <c r="K36" s="1"/>
      <c r="L36" s="1"/>
      <c r="O36" s="1"/>
      <c r="P36" s="1"/>
      <c r="Q36" s="1"/>
      <c r="R36" s="1"/>
      <c r="V36" s="1"/>
      <c r="W36" s="1"/>
      <c r="X36" s="1"/>
      <c r="Y36" s="1"/>
      <c r="AA36" s="5"/>
      <c r="AB36" s="5"/>
      <c r="AD36" s="2"/>
      <c r="AE36" s="2"/>
    </row>
    <row r="37" spans="1:31" x14ac:dyDescent="0.2">
      <c r="A37" s="1"/>
      <c r="I37" s="1"/>
      <c r="J37" s="1"/>
      <c r="K37" s="1"/>
      <c r="L37" s="1"/>
      <c r="O37" s="1"/>
      <c r="P37" s="1"/>
      <c r="Q37" s="1"/>
      <c r="R37" s="1"/>
      <c r="V37" s="1"/>
      <c r="W37" s="1"/>
      <c r="X37" s="1"/>
      <c r="Y37" s="1"/>
      <c r="AA37" s="5"/>
      <c r="AB37" s="5"/>
      <c r="AD37" s="2"/>
      <c r="AE37" s="2"/>
    </row>
    <row r="38" spans="1:31" x14ac:dyDescent="0.2">
      <c r="A38" s="1"/>
      <c r="I38" s="1"/>
      <c r="J38" s="1"/>
      <c r="K38" s="1"/>
      <c r="L38" s="1"/>
      <c r="O38" s="1"/>
      <c r="P38" s="1"/>
      <c r="Q38" s="1"/>
      <c r="R38" s="1"/>
      <c r="V38" s="1"/>
      <c r="W38" s="1"/>
      <c r="X38" s="1"/>
      <c r="Y38" s="1"/>
      <c r="AA38" s="5"/>
      <c r="AB38" s="5"/>
      <c r="AD38" s="2"/>
      <c r="AE38" s="2"/>
    </row>
    <row r="39" spans="1:31" x14ac:dyDescent="0.2">
      <c r="A39" s="1"/>
      <c r="I39" s="1"/>
      <c r="J39" s="1"/>
      <c r="K39" s="1"/>
      <c r="L39" s="1"/>
      <c r="O39" s="1"/>
      <c r="P39" s="1"/>
      <c r="Q39" s="1"/>
      <c r="R39" s="1"/>
      <c r="V39" s="1"/>
      <c r="W39" s="1"/>
      <c r="X39" s="1"/>
      <c r="Y39" s="1"/>
      <c r="AA39" s="5"/>
      <c r="AB39" s="5"/>
      <c r="AD39" s="2"/>
      <c r="AE39" s="2"/>
    </row>
    <row r="40" spans="1:31" x14ac:dyDescent="0.2">
      <c r="A40" s="1"/>
      <c r="I40" s="1"/>
      <c r="J40" s="1"/>
      <c r="K40" s="1"/>
      <c r="L40" s="1"/>
      <c r="O40" s="1"/>
      <c r="P40" s="1"/>
      <c r="Q40" s="1"/>
      <c r="R40" s="1"/>
      <c r="V40" s="1"/>
      <c r="W40" s="1"/>
      <c r="X40" s="1"/>
      <c r="Y40" s="1"/>
      <c r="AA40" s="5"/>
      <c r="AB40" s="5"/>
      <c r="AD40" s="2"/>
      <c r="AE40" s="2"/>
    </row>
    <row r="41" spans="1:31" x14ac:dyDescent="0.2">
      <c r="A41" s="1"/>
      <c r="I41" s="1"/>
      <c r="J41" s="1"/>
      <c r="K41" s="1"/>
      <c r="L41" s="1"/>
      <c r="O41" s="1"/>
      <c r="P41" s="1"/>
      <c r="Q41" s="1"/>
      <c r="R41" s="1"/>
      <c r="V41" s="1"/>
      <c r="W41" s="1"/>
      <c r="X41" s="1"/>
      <c r="Y41" s="1"/>
      <c r="AA41" s="5"/>
      <c r="AB41" s="5"/>
      <c r="AD41" s="2"/>
      <c r="AE41" s="2"/>
    </row>
    <row r="42" spans="1:31" x14ac:dyDescent="0.2">
      <c r="A42" s="1"/>
      <c r="I42" s="1"/>
      <c r="J42" s="1"/>
      <c r="K42" s="1"/>
      <c r="L42" s="1"/>
      <c r="O42" s="1"/>
      <c r="P42" s="1"/>
      <c r="Q42" s="1"/>
      <c r="R42" s="1"/>
      <c r="V42" s="1"/>
      <c r="W42" s="1"/>
      <c r="X42" s="1"/>
      <c r="Y42" s="1"/>
      <c r="AA42" s="5"/>
      <c r="AB42" s="5"/>
      <c r="AD42" s="2"/>
      <c r="AE42" s="2"/>
    </row>
    <row r="43" spans="1:31" x14ac:dyDescent="0.2">
      <c r="A43" s="1"/>
      <c r="I43" s="1"/>
      <c r="J43" s="1"/>
      <c r="K43" s="1"/>
      <c r="L43" s="1"/>
      <c r="O43" s="1"/>
      <c r="P43" s="1"/>
      <c r="Q43" s="1"/>
      <c r="R43" s="1"/>
      <c r="V43" s="1"/>
      <c r="W43" s="1"/>
      <c r="X43" s="1"/>
      <c r="Y43" s="1"/>
      <c r="AA43" s="5"/>
      <c r="AB43" s="5"/>
      <c r="AD43" s="2"/>
      <c r="AE43" s="2"/>
    </row>
    <row r="44" spans="1:31" x14ac:dyDescent="0.2">
      <c r="A44" s="1"/>
      <c r="I44" s="1"/>
      <c r="J44" s="1"/>
      <c r="K44" s="1"/>
      <c r="L44" s="1"/>
      <c r="O44" s="1"/>
      <c r="P44" s="1"/>
      <c r="Q44" s="1"/>
      <c r="R44" s="1"/>
      <c r="V44" s="1"/>
      <c r="W44" s="1"/>
      <c r="X44" s="1"/>
      <c r="Y44" s="1"/>
      <c r="AA44" s="5"/>
      <c r="AB44" s="5"/>
      <c r="AD44" s="2"/>
      <c r="AE44" s="2"/>
    </row>
    <row r="45" spans="1:31" x14ac:dyDescent="0.2">
      <c r="A45" s="1"/>
      <c r="I45" s="1"/>
      <c r="J45" s="1"/>
      <c r="K45" s="1"/>
      <c r="L45" s="1"/>
      <c r="O45" s="1"/>
      <c r="P45" s="1"/>
      <c r="Q45" s="1"/>
      <c r="R45" s="1"/>
      <c r="V45" s="1"/>
      <c r="W45" s="1"/>
      <c r="X45" s="1"/>
      <c r="Y45" s="1"/>
      <c r="AA45" s="5"/>
      <c r="AB45" s="5"/>
      <c r="AD45" s="2"/>
      <c r="AE45" s="2"/>
    </row>
    <row r="46" spans="1:31" x14ac:dyDescent="0.2">
      <c r="A46" s="1"/>
      <c r="I46" s="1"/>
      <c r="J46" s="1"/>
      <c r="K46" s="1"/>
      <c r="L46" s="1"/>
      <c r="O46" s="1"/>
      <c r="P46" s="1"/>
      <c r="Q46" s="1"/>
      <c r="R46" s="1"/>
      <c r="V46" s="1"/>
      <c r="W46" s="1"/>
      <c r="X46" s="1"/>
      <c r="Y46" s="1"/>
      <c r="AA46" s="5"/>
      <c r="AB46" s="5"/>
      <c r="AD46" s="2"/>
      <c r="AE46" s="2"/>
    </row>
    <row r="47" spans="1:31" x14ac:dyDescent="0.2">
      <c r="A47" s="1"/>
      <c r="I47" s="1"/>
      <c r="J47" s="1"/>
      <c r="K47" s="1"/>
      <c r="L47" s="1"/>
      <c r="O47" s="1"/>
      <c r="P47" s="1"/>
      <c r="Q47" s="1"/>
      <c r="R47" s="1"/>
      <c r="V47" s="1"/>
      <c r="W47" s="1"/>
      <c r="X47" s="1"/>
      <c r="Y47" s="1"/>
      <c r="AA47" s="5"/>
      <c r="AB47" s="5"/>
      <c r="AD47" s="2"/>
      <c r="AE47" s="2"/>
    </row>
    <row r="48" spans="1:31" x14ac:dyDescent="0.2">
      <c r="A48" s="1"/>
      <c r="I48" s="1"/>
      <c r="J48" s="1"/>
      <c r="K48" s="1"/>
      <c r="L48" s="1"/>
      <c r="O48" s="1"/>
      <c r="P48" s="1"/>
      <c r="Q48" s="1"/>
      <c r="R48" s="1"/>
      <c r="V48" s="1"/>
      <c r="W48" s="1"/>
      <c r="X48" s="1"/>
      <c r="Y48" s="1"/>
      <c r="AA48" s="5"/>
      <c r="AB48" s="5"/>
      <c r="AD48" s="2"/>
      <c r="AE48" s="2"/>
    </row>
    <row r="49" spans="1:31" x14ac:dyDescent="0.2">
      <c r="A49" s="1"/>
      <c r="I49" s="1"/>
      <c r="J49" s="1"/>
      <c r="K49" s="1"/>
      <c r="L49" s="1"/>
      <c r="O49" s="1"/>
      <c r="P49" s="1"/>
      <c r="Q49" s="1"/>
      <c r="R49" s="1"/>
      <c r="V49" s="1"/>
      <c r="W49" s="1"/>
      <c r="X49" s="1"/>
      <c r="Y49" s="1"/>
      <c r="AA49" s="5"/>
      <c r="AB49" s="5"/>
      <c r="AD49" s="2"/>
      <c r="AE49" s="2"/>
    </row>
    <row r="50" spans="1:31" x14ac:dyDescent="0.2">
      <c r="A50" s="1"/>
      <c r="I50" s="1"/>
      <c r="J50" s="1"/>
      <c r="K50" s="1"/>
      <c r="L50" s="1"/>
      <c r="O50" s="1"/>
      <c r="P50" s="1"/>
      <c r="Q50" s="1"/>
      <c r="R50" s="1"/>
      <c r="V50" s="1"/>
      <c r="W50" s="1"/>
      <c r="X50" s="1"/>
      <c r="Y50" s="1"/>
      <c r="AA50" s="5"/>
      <c r="AB50" s="5"/>
      <c r="AD50" s="2"/>
      <c r="AE50" s="2"/>
    </row>
    <row r="51" spans="1:31" x14ac:dyDescent="0.2">
      <c r="A51" s="1"/>
      <c r="I51" s="1"/>
      <c r="J51" s="1"/>
      <c r="K51" s="1"/>
      <c r="L51" s="1"/>
      <c r="O51" s="1"/>
      <c r="P51" s="1"/>
      <c r="Q51" s="1"/>
      <c r="R51" s="1"/>
      <c r="V51" s="1"/>
      <c r="W51" s="1"/>
      <c r="X51" s="1"/>
      <c r="Y51" s="1"/>
      <c r="AA51" s="5"/>
      <c r="AB51" s="5"/>
      <c r="AD51" s="2"/>
      <c r="AE51" s="2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ignoredErrors>
    <ignoredError sqref="AC4" formula="1"/>
    <ignoredError sqref="R31:R32 L32 R3 R24 R8 R15 R22 R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Anassa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Hussein El Samra</cp:lastModifiedBy>
  <cp:revision/>
  <cp:lastPrinted>2024-08-01T08:23:18Z</cp:lastPrinted>
  <dcterms:created xsi:type="dcterms:W3CDTF">2016-09-19T10:41:46Z</dcterms:created>
  <dcterms:modified xsi:type="dcterms:W3CDTF">2026-06-18T10:38:32Z</dcterms:modified>
  <cp:category/>
  <cp:contentStatus/>
</cp:coreProperties>
</file>