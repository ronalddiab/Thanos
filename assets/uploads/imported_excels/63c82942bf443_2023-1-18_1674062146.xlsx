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2\"/>
    </mc:Choice>
  </mc:AlternateContent>
  <xr:revisionPtr revIDLastSave="0" documentId="13_ncr:1_{CFC4BC64-4D2C-43D3-A217-76F821787410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December" sheetId="2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Q37" i="2" l="1"/>
  <c r="O37" i="2"/>
  <c r="M37" i="2"/>
  <c r="K37" i="2"/>
  <c r="I37" i="2"/>
  <c r="G37" i="2"/>
  <c r="E37" i="2"/>
  <c r="P6" i="2"/>
  <c r="N6" i="2"/>
  <c r="L6" i="2"/>
  <c r="J6" i="2"/>
  <c r="H6" i="2"/>
  <c r="F6" i="2"/>
  <c r="D6" i="2"/>
  <c r="B6" i="2"/>
  <c r="C37" i="2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8" i="2"/>
  <c r="C40" i="2" l="1"/>
  <c r="R40" i="2" l="1"/>
  <c r="U38" i="2"/>
  <c r="V38" i="2" s="1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V36" i="2" l="1"/>
  <c r="V37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Q38" i="2"/>
  <c r="O38" i="2"/>
  <c r="M38" i="2"/>
  <c r="K38" i="2"/>
  <c r="I38" i="2"/>
  <c r="G38" i="2"/>
  <c r="E38" i="2"/>
  <c r="G31" i="1" s="1"/>
  <c r="E31" i="1"/>
  <c r="Q36" i="2"/>
  <c r="O36" i="2"/>
  <c r="M36" i="2"/>
  <c r="K36" i="2"/>
  <c r="I36" i="2"/>
  <c r="G36" i="2"/>
  <c r="E36" i="2"/>
  <c r="G30" i="1" s="1"/>
  <c r="E30" i="1"/>
  <c r="Q35" i="2"/>
  <c r="O35" i="2"/>
  <c r="M35" i="2"/>
  <c r="K35" i="2"/>
  <c r="I35" i="2"/>
  <c r="G35" i="2"/>
  <c r="E35" i="2"/>
  <c r="G29" i="1" s="1"/>
  <c r="E29" i="1"/>
  <c r="Q34" i="2"/>
  <c r="O34" i="2"/>
  <c r="M34" i="2"/>
  <c r="K34" i="2"/>
  <c r="I34" i="2"/>
  <c r="G34" i="2"/>
  <c r="E34" i="2"/>
  <c r="G28" i="1" s="1"/>
  <c r="E28" i="1"/>
  <c r="Q33" i="2"/>
  <c r="O33" i="2"/>
  <c r="M33" i="2"/>
  <c r="K27" i="1" s="1"/>
  <c r="K33" i="2"/>
  <c r="I33" i="2"/>
  <c r="G33" i="2"/>
  <c r="E33" i="2"/>
  <c r="G27" i="1" s="1"/>
  <c r="E27" i="1"/>
  <c r="Q32" i="2"/>
  <c r="O32" i="2"/>
  <c r="M32" i="2"/>
  <c r="K32" i="2"/>
  <c r="I32" i="2"/>
  <c r="G32" i="2"/>
  <c r="E32" i="2"/>
  <c r="G26" i="1" s="1"/>
  <c r="E26" i="1"/>
  <c r="Q31" i="2"/>
  <c r="O31" i="2"/>
  <c r="M31" i="2"/>
  <c r="K31" i="2"/>
  <c r="I31" i="2"/>
  <c r="G31" i="2"/>
  <c r="E31" i="2"/>
  <c r="G25" i="1" s="1"/>
  <c r="E25" i="1"/>
  <c r="Q30" i="2"/>
  <c r="O30" i="2"/>
  <c r="M30" i="2"/>
  <c r="K30" i="2"/>
  <c r="I30" i="2"/>
  <c r="G30" i="2"/>
  <c r="E30" i="2"/>
  <c r="G24" i="1" s="1"/>
  <c r="E24" i="1"/>
  <c r="Q29" i="2"/>
  <c r="O29" i="2"/>
  <c r="M29" i="2"/>
  <c r="K29" i="2"/>
  <c r="I29" i="2"/>
  <c r="G29" i="2"/>
  <c r="E29" i="2"/>
  <c r="G23" i="1" s="1"/>
  <c r="E23" i="1"/>
  <c r="Q28" i="2"/>
  <c r="O28" i="2"/>
  <c r="M28" i="2"/>
  <c r="K28" i="2"/>
  <c r="I28" i="2"/>
  <c r="G28" i="2"/>
  <c r="E28" i="2"/>
  <c r="G22" i="1" s="1"/>
  <c r="E22" i="1"/>
  <c r="Q27" i="2"/>
  <c r="O27" i="2"/>
  <c r="M27" i="2"/>
  <c r="K27" i="2"/>
  <c r="I27" i="2"/>
  <c r="G27" i="2"/>
  <c r="E27" i="2"/>
  <c r="G21" i="1" s="1"/>
  <c r="E21" i="1"/>
  <c r="Q26" i="2"/>
  <c r="O26" i="2"/>
  <c r="M26" i="2"/>
  <c r="K26" i="2"/>
  <c r="I26" i="2"/>
  <c r="G26" i="2"/>
  <c r="E26" i="2"/>
  <c r="G20" i="1" s="1"/>
  <c r="E20" i="1"/>
  <c r="Q25" i="2"/>
  <c r="O25" i="2"/>
  <c r="M25" i="2"/>
  <c r="K25" i="2"/>
  <c r="I25" i="2"/>
  <c r="G25" i="2"/>
  <c r="E25" i="2"/>
  <c r="G19" i="1" s="1"/>
  <c r="E19" i="1"/>
  <c r="Q24" i="2"/>
  <c r="O24" i="2"/>
  <c r="M24" i="2"/>
  <c r="K24" i="2"/>
  <c r="I24" i="2"/>
  <c r="G24" i="2"/>
  <c r="E24" i="2"/>
  <c r="G18" i="1" s="1"/>
  <c r="E18" i="1"/>
  <c r="Q23" i="2"/>
  <c r="O23" i="2"/>
  <c r="M23" i="2"/>
  <c r="K23" i="2"/>
  <c r="I23" i="2"/>
  <c r="G23" i="2"/>
  <c r="E23" i="2"/>
  <c r="G17" i="1" s="1"/>
  <c r="E17" i="1"/>
  <c r="Q22" i="2"/>
  <c r="O22" i="2"/>
  <c r="M22" i="2"/>
  <c r="K22" i="2"/>
  <c r="I22" i="2"/>
  <c r="G22" i="2"/>
  <c r="E22" i="2"/>
  <c r="G16" i="1" s="1"/>
  <c r="E16" i="1"/>
  <c r="Q21" i="2"/>
  <c r="O21" i="2"/>
  <c r="M21" i="2"/>
  <c r="K21" i="2"/>
  <c r="I21" i="2"/>
  <c r="G21" i="2"/>
  <c r="E21" i="2"/>
  <c r="G15" i="1" s="1"/>
  <c r="E15" i="1"/>
  <c r="Q20" i="2"/>
  <c r="O20" i="2"/>
  <c r="M20" i="2"/>
  <c r="K20" i="2"/>
  <c r="I20" i="2"/>
  <c r="G20" i="2"/>
  <c r="E20" i="2"/>
  <c r="G14" i="1" s="1"/>
  <c r="E14" i="1"/>
  <c r="Q19" i="2"/>
  <c r="O19" i="2"/>
  <c r="M19" i="2"/>
  <c r="K19" i="2"/>
  <c r="I19" i="2"/>
  <c r="G19" i="2"/>
  <c r="E19" i="2"/>
  <c r="G13" i="1" s="1"/>
  <c r="E13" i="1"/>
  <c r="Q18" i="2"/>
  <c r="O18" i="2"/>
  <c r="M18" i="2"/>
  <c r="K18" i="2"/>
  <c r="I18" i="2"/>
  <c r="G18" i="2"/>
  <c r="E18" i="2"/>
  <c r="G12" i="1" s="1"/>
  <c r="E12" i="1"/>
  <c r="Q17" i="2"/>
  <c r="O17" i="2"/>
  <c r="M17" i="2"/>
  <c r="K17" i="2"/>
  <c r="I17" i="2"/>
  <c r="G17" i="2"/>
  <c r="E17" i="2"/>
  <c r="G11" i="1" s="1"/>
  <c r="E11" i="1"/>
  <c r="Q16" i="2"/>
  <c r="O16" i="2"/>
  <c r="M16" i="2"/>
  <c r="K16" i="2"/>
  <c r="I16" i="2"/>
  <c r="G16" i="2"/>
  <c r="E16" i="2"/>
  <c r="G10" i="1" s="1"/>
  <c r="E10" i="1"/>
  <c r="Q15" i="2"/>
  <c r="O15" i="2"/>
  <c r="M15" i="2"/>
  <c r="K15" i="2"/>
  <c r="I15" i="2"/>
  <c r="G15" i="2"/>
  <c r="E15" i="2"/>
  <c r="G9" i="1" s="1"/>
  <c r="E9" i="1"/>
  <c r="Q14" i="2"/>
  <c r="O14" i="2"/>
  <c r="M14" i="2"/>
  <c r="K14" i="2"/>
  <c r="I14" i="2"/>
  <c r="G14" i="2"/>
  <c r="E14" i="2"/>
  <c r="G8" i="1" s="1"/>
  <c r="E8" i="1"/>
  <c r="Q13" i="2"/>
  <c r="O13" i="2"/>
  <c r="M13" i="2"/>
  <c r="K13" i="2"/>
  <c r="I13" i="2"/>
  <c r="G13" i="2"/>
  <c r="E13" i="2"/>
  <c r="G7" i="1" s="1"/>
  <c r="E7" i="1"/>
  <c r="Q12" i="2"/>
  <c r="O12" i="2"/>
  <c r="M12" i="2"/>
  <c r="K12" i="2"/>
  <c r="I12" i="2"/>
  <c r="G12" i="2"/>
  <c r="E12" i="2"/>
  <c r="G6" i="1" s="1"/>
  <c r="E6" i="1"/>
  <c r="Q11" i="2"/>
  <c r="O11" i="2"/>
  <c r="M11" i="2"/>
  <c r="K11" i="2"/>
  <c r="I11" i="2"/>
  <c r="G11" i="2"/>
  <c r="E11" i="2"/>
  <c r="G5" i="1" s="1"/>
  <c r="E5" i="1"/>
  <c r="Q10" i="2"/>
  <c r="O10" i="2"/>
  <c r="M10" i="2"/>
  <c r="K10" i="2"/>
  <c r="I10" i="2"/>
  <c r="G10" i="2"/>
  <c r="K4" i="1" s="1"/>
  <c r="E10" i="2"/>
  <c r="G4" i="1" s="1"/>
  <c r="E4" i="1"/>
  <c r="Q9" i="2"/>
  <c r="O9" i="2"/>
  <c r="M9" i="2"/>
  <c r="K9" i="2"/>
  <c r="I9" i="2"/>
  <c r="G9" i="2"/>
  <c r="E9" i="2"/>
  <c r="G3" i="1" s="1"/>
  <c r="E3" i="1"/>
  <c r="Q8" i="2"/>
  <c r="O8" i="2"/>
  <c r="M8" i="2"/>
  <c r="K8" i="2"/>
  <c r="I8" i="2"/>
  <c r="G8" i="2"/>
  <c r="E8" i="2"/>
  <c r="K10" i="1" l="1"/>
  <c r="K13" i="1"/>
  <c r="K16" i="1"/>
  <c r="K25" i="1"/>
  <c r="V40" i="2"/>
  <c r="W40" i="2"/>
  <c r="K28" i="1"/>
  <c r="K22" i="1"/>
  <c r="K21" i="1"/>
  <c r="K15" i="1"/>
  <c r="K3" i="1"/>
  <c r="M40" i="2"/>
  <c r="K9" i="1"/>
  <c r="I4" i="1"/>
  <c r="I10" i="1"/>
  <c r="I13" i="1"/>
  <c r="I16" i="1"/>
  <c r="I19" i="1"/>
  <c r="I22" i="1"/>
  <c r="I28" i="1"/>
  <c r="I31" i="1"/>
  <c r="O40" i="2"/>
  <c r="I5" i="1"/>
  <c r="I8" i="1"/>
  <c r="I11" i="1"/>
  <c r="I14" i="1"/>
  <c r="I17" i="1"/>
  <c r="I20" i="1"/>
  <c r="I23" i="1"/>
  <c r="I26" i="1"/>
  <c r="I29" i="1"/>
  <c r="G40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40" i="2"/>
  <c r="I6" i="1"/>
  <c r="I12" i="1"/>
  <c r="I18" i="1"/>
  <c r="I24" i="1"/>
  <c r="I30" i="1"/>
  <c r="I2" i="1"/>
  <c r="K8" i="1"/>
  <c r="K40" i="2"/>
  <c r="I40" i="2"/>
  <c r="E40" i="2"/>
  <c r="G2" i="1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<sst xmlns="http://schemas.openxmlformats.org/spreadsheetml/2006/main" count="69" uniqueCount="37">
  <si>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</si>
  <si>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</si>
  <si>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</si>
  <si>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</si>
  <si>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</si>
  <si>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</si>
  <si>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</si>
  <si>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</si>
  <si>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</si>
  <si>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</si>
  <si>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Usage (kWh)</t>
  </si>
  <si>
    <t>Usage   (Therms)</t>
  </si>
  <si>
    <t>Usage (Mlbs)</t>
  </si>
  <si>
    <t>Usage      (Gallons)</t>
  </si>
  <si>
    <t>Usage (Gallons)</t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</si>
  <si>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</si>
  <si>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</si>
  <si>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</si>
  <si>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</si>
  <si>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</si>
  <si>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</si>
  <si>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</si>
  <si>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</si>
  <si>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December 2022</t>
  </si>
  <si>
    <r>
      <rPr>
        <b/>
        <sz val="9.5"/>
        <color theme="1"/>
        <rFont val="Calibri Light"/>
        <family val="2"/>
        <scheme val="major"/>
      </rPr>
      <t>1B ELECTRIC</t>
    </r>
    <r>
      <rPr>
        <sz val="9.5"/>
        <color theme="1"/>
        <rFont val="Calibri Light"/>
        <family val="2"/>
        <scheme val="major"/>
      </rPr>
      <t xml:space="preserve"> (kWh)</t>
    </r>
  </si>
  <si>
    <r>
      <rPr>
        <b/>
        <sz val="9.5"/>
        <color theme="1"/>
        <rFont val="Calibri Light"/>
        <family val="2"/>
        <scheme val="major"/>
      </rPr>
      <t>1B GAS</t>
    </r>
    <r>
      <rPr>
        <sz val="9.5"/>
        <color theme="1"/>
        <rFont val="Calibri Light"/>
        <family val="2"/>
        <scheme val="major"/>
      </rPr>
      <t xml:space="preserve">      (CCF)</t>
    </r>
  </si>
  <si>
    <r>
      <t xml:space="preserve">1B STEAM </t>
    </r>
    <r>
      <rPr>
        <sz val="9.5"/>
        <color theme="1"/>
        <rFont val="Calibri Light"/>
        <family val="2"/>
        <scheme val="major"/>
      </rPr>
      <t>(Mlbs)</t>
    </r>
  </si>
  <si>
    <r>
      <rPr>
        <b/>
        <sz val="9.5"/>
        <color theme="1"/>
        <rFont val="Calibri Light"/>
        <family val="2"/>
        <scheme val="major"/>
      </rPr>
      <t>1B WATER</t>
    </r>
    <r>
      <rPr>
        <sz val="9.5"/>
        <color theme="1"/>
        <rFont val="Calibri Light"/>
        <family val="2"/>
        <scheme val="major"/>
      </rPr>
      <t xml:space="preserve">    (Gallons)</t>
    </r>
  </si>
  <si>
    <r>
      <t xml:space="preserve">4TH CT - 5    </t>
    </r>
    <r>
      <rPr>
        <sz val="9.5"/>
        <color theme="1"/>
        <rFont val="Calibri Light"/>
        <family val="2"/>
        <scheme val="major"/>
      </rPr>
      <t>(Gallons)</t>
    </r>
  </si>
  <si>
    <r>
      <t xml:space="preserve">36TH STEAM </t>
    </r>
    <r>
      <rPr>
        <sz val="9.5"/>
        <color theme="1"/>
        <rFont val="Calibri Light"/>
        <family val="2"/>
        <scheme val="major"/>
      </rPr>
      <t>(Mlbs)</t>
    </r>
  </si>
  <si>
    <r>
      <t xml:space="preserve">36TH 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</si>
  <si>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EAST PENT.CT -3    </t>
    </r>
    <r>
      <rPr>
        <sz val="9.5"/>
        <color theme="1"/>
        <rFont val="Calibri Light"/>
        <family val="2"/>
        <scheme val="major"/>
      </rPr>
      <t>(Gallons)</t>
    </r>
  </si>
  <si>
    <t>High Temp</t>
  </si>
  <si>
    <t>Low Temp</t>
  </si>
  <si>
    <t>Avg Temp</t>
  </si>
  <si>
    <r>
      <t xml:space="preserve">Heating Degree Day </t>
    </r>
    <r>
      <rPr>
        <b/>
        <sz val="10"/>
        <color theme="1"/>
        <rFont val="Calibri Light"/>
        <family val="2"/>
        <scheme val="major"/>
      </rPr>
      <t>(HDD)</t>
    </r>
  </si>
  <si>
    <r>
      <t xml:space="preserve">Cooling Degree Day </t>
    </r>
    <r>
      <rPr>
        <b/>
        <sz val="10"/>
        <color theme="1"/>
        <rFont val="Calibri Light"/>
        <family val="2"/>
        <scheme val="major"/>
      </rPr>
      <t>(CDD)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</si>
</sst>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 wrapText="1"/>
    </xf>
    <xf numFmtId="1" fontId="0" fillId="0" borderId="1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G\Engineering\Dept\Meter%20Readings\Engineering%20Meter%20Readings\Meter%20Readings%20Data%20Shee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YTD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7">
          <cell r="B37">
            <v>25454</v>
          </cell>
          <cell r="D37">
            <v>59959</v>
          </cell>
          <cell r="F37">
            <v>37321</v>
          </cell>
          <cell r="H37">
            <v>11402610</v>
          </cell>
          <cell r="J37">
            <v>455148</v>
          </cell>
          <cell r="L37">
            <v>40763</v>
          </cell>
          <cell r="N37">
            <v>31508590</v>
          </cell>
          <cell r="P37">
            <v>6400587</v>
          </cell>
        </row>
      </sheetData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1"/>
  <sheetViews>
    <sheetView tabSelected="1" workbookViewId="0">
      <selection activeCell="L5" sqref="L5:L31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16</v>
      </c>
      <c r="H1" s="8" t="s">
        <v>17</v>
      </c>
      <c r="I1" s="7" t="s">
        <v>18</v>
      </c>
      <c r="J1" s="11" t="s">
        <v>19</v>
      </c>
      <c r="K1" s="7" t="s">
        <v>20</v>
      </c>
      <c r="L1" s="8" t="s">
        <v>21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12</v>
      </c>
      <c r="D2" s="2">
        <v>2022</v>
      </c>
      <c r="E2" s="4">
        <f>IF(December!C8&gt;0,December!C8,0)</f>
        <v>7200</v>
      </c>
      <c r="F2" s="9">
        <v>0.16</v>
      </c>
      <c r="G2" s="4">
        <f>IF(December!E8&gt;0,December!E8,0)</f>
        <v>54.443999999999996</v>
      </c>
      <c r="H2" s="10">
        <v>2.33</v>
      </c>
      <c r="I2" s="4">
        <f>IF((December!I8+December!O8)&gt;0,(December!I8+December!O8),0)</f>
        <v>7592</v>
      </c>
      <c r="J2" s="10">
        <v>0.04</v>
      </c>
      <c r="K2" s="4">
        <f>IF((December!G8+December!M8)&gt;0,(December!G8+December!M8),0)</f>
        <v>14.700000000000003</v>
      </c>
      <c r="L2" s="10">
        <v>51.79</v>
      </c>
      <c r="M2" s="4">
        <f>December!R8</f>
        <v>83</v>
      </c>
    </row>
    <row r="3" spans="1:25" x14ac:dyDescent="0.25">
      <c r="A3" s="3" t="s">
        <v>7</v>
      </c>
      <c r="B3" s="2">
        <f>B2+1</f>
        <v>2</v>
      </c>
      <c r="C3" s="14">
        <v>12</v>
      </c>
      <c r="D3" s="14">
        <v>2022</v>
      </c>
      <c r="E3" s="4">
        <f>IF(December!C9&gt;0,December!C9,0)</f>
        <v>5700</v>
      </c>
      <c r="F3" s="9"/>
      <c r="G3" s="4">
        <f>IF(December!E9&gt;0,December!E9,0)</f>
        <v>50.256</v>
      </c>
      <c r="H3" s="14">
        <v>2.33</v>
      </c>
      <c r="I3" s="4">
        <f>IF((December!I9+December!O9)&gt;0,(December!I9+December!O9),0)</f>
        <v>7358</v>
      </c>
      <c r="J3" s="10">
        <v>0.04</v>
      </c>
      <c r="K3" s="4">
        <f>IF((December!G9+December!M9)&gt;0,(December!G9+December!M9),0)</f>
        <v>14.8</v>
      </c>
      <c r="L3" s="14">
        <v>51.79</v>
      </c>
      <c r="M3" s="4">
        <f>December!R9</f>
        <v>83</v>
      </c>
      <c r="O3" s="4"/>
    </row>
    <row r="4" spans="1:25" x14ac:dyDescent="0.25">
      <c r="A4" s="3" t="s">
        <v>7</v>
      </c>
      <c r="B4" s="2">
        <f t="shared" ref="B4:B31" si="0">B3+1</f>
        <v>3</v>
      </c>
      <c r="C4" s="14">
        <v>12</v>
      </c>
      <c r="D4" s="14">
        <v>2022</v>
      </c>
      <c r="E4" s="4">
        <f>IF(December!C10&gt;0,December!C10,0)</f>
        <v>6300</v>
      </c>
      <c r="F4" s="9"/>
      <c r="G4" s="4">
        <f>IF(December!E10&gt;0,December!E10,0)</f>
        <v>50.256</v>
      </c>
      <c r="H4" s="14">
        <v>2.33</v>
      </c>
      <c r="I4" s="4">
        <f>IF((December!I10+December!O10)&gt;0,(December!I10+December!O10),0)</f>
        <v>8790</v>
      </c>
      <c r="J4" s="10">
        <v>0.04</v>
      </c>
      <c r="K4" s="4">
        <f>IF((December!G10+December!M10)&gt;0,(December!G10+December!M10),0)</f>
        <v>15.7</v>
      </c>
      <c r="L4" s="14">
        <v>51.79</v>
      </c>
      <c r="M4" s="4">
        <f>December!R10</f>
        <v>88</v>
      </c>
    </row>
    <row r="5" spans="1:25" x14ac:dyDescent="0.25">
      <c r="A5" s="3" t="s">
        <v>7</v>
      </c>
      <c r="B5" s="2">
        <f t="shared" si="0"/>
        <v>4</v>
      </c>
      <c r="C5" s="14">
        <v>12</v>
      </c>
      <c r="D5" s="14">
        <v>2022</v>
      </c>
      <c r="E5" s="4">
        <f>IF(December!C11&gt;0,December!C11,0)</f>
        <v>6300</v>
      </c>
      <c r="F5" s="9"/>
      <c r="G5" s="4">
        <f>IF(December!E11&gt;0,December!E11,0)</f>
        <v>56.537999999999997</v>
      </c>
      <c r="H5" s="14">
        <v>2.33</v>
      </c>
      <c r="I5" s="4">
        <f>IF((December!I11+December!O11)&gt;0,(December!I11+December!O11),0)</f>
        <v>9838</v>
      </c>
      <c r="J5" s="10">
        <v>0.04</v>
      </c>
      <c r="K5" s="4">
        <f>IF((December!G11+December!M11)&gt;0,(December!G11+December!M11),0)</f>
        <v>16.8</v>
      </c>
      <c r="L5" s="14">
        <v>51.79</v>
      </c>
      <c r="M5" s="4">
        <f>December!R11</f>
        <v>81</v>
      </c>
    </row>
    <row r="6" spans="1:25" x14ac:dyDescent="0.25">
      <c r="A6" s="3" t="s">
        <v>7</v>
      </c>
      <c r="B6" s="2">
        <f t="shared" si="0"/>
        <v>5</v>
      </c>
      <c r="C6" s="14">
        <v>12</v>
      </c>
      <c r="D6" s="14">
        <v>2022</v>
      </c>
      <c r="E6" s="4">
        <f>IF(December!C12&gt;0,December!C12,0)</f>
        <v>6000</v>
      </c>
      <c r="F6" s="9"/>
      <c r="G6" s="4">
        <f>IF(December!E12&gt;0,December!E12,0)</f>
        <v>43.973999999999997</v>
      </c>
      <c r="H6" s="14">
        <v>2.33</v>
      </c>
      <c r="I6" s="4">
        <f>IF((December!I12+December!O12)&gt;0,(December!I12+December!O12),0)</f>
        <v>7218</v>
      </c>
      <c r="J6" s="10">
        <v>0.04</v>
      </c>
      <c r="K6" s="4">
        <f>IF((December!G12+December!M12)&gt;0,(December!G12+December!M12),0)</f>
        <v>14.8</v>
      </c>
      <c r="L6" s="14">
        <v>51.79</v>
      </c>
      <c r="M6" s="4">
        <f>December!R12</f>
        <v>59</v>
      </c>
    </row>
    <row r="7" spans="1:25" x14ac:dyDescent="0.25">
      <c r="A7" s="3" t="s">
        <v>7</v>
      </c>
      <c r="B7" s="2">
        <f t="shared" si="0"/>
        <v>6</v>
      </c>
      <c r="C7" s="14">
        <v>12</v>
      </c>
      <c r="D7" s="14">
        <v>2022</v>
      </c>
      <c r="E7" s="4">
        <f>IF(December!C13&gt;0,December!C13,0)</f>
        <v>6600</v>
      </c>
      <c r="F7" s="9"/>
      <c r="G7" s="4">
        <f>IF(December!E13&gt;0,December!E13,0)</f>
        <v>52.349999999999994</v>
      </c>
      <c r="H7" s="14">
        <v>2.33</v>
      </c>
      <c r="I7" s="4">
        <f>IF((December!I13+December!O13)&gt;0,(December!I13+December!O13),0)</f>
        <v>8688</v>
      </c>
      <c r="J7" s="10">
        <v>0.04</v>
      </c>
      <c r="K7" s="4">
        <f>IF((December!G13+December!M13)&gt;0,(December!G13+December!M13),0)</f>
        <v>14</v>
      </c>
      <c r="L7" s="14">
        <v>51.79</v>
      </c>
      <c r="M7" s="4">
        <f>December!R13</f>
        <v>95</v>
      </c>
    </row>
    <row r="8" spans="1:25" x14ac:dyDescent="0.25">
      <c r="A8" s="3" t="s">
        <v>7</v>
      </c>
      <c r="B8" s="2">
        <f t="shared" si="0"/>
        <v>7</v>
      </c>
      <c r="C8" s="14">
        <v>12</v>
      </c>
      <c r="D8" s="14">
        <v>2022</v>
      </c>
      <c r="E8" s="4">
        <f>IF(December!C14&gt;0,December!C14,0)</f>
        <v>6600</v>
      </c>
      <c r="F8" s="9"/>
      <c r="G8" s="4">
        <f>IF(December!E14&gt;0,December!E14,0)</f>
        <v>54.443999999999996</v>
      </c>
      <c r="H8" s="14">
        <v>2.33</v>
      </c>
      <c r="I8" s="4">
        <f>IF((December!I14+December!O14)&gt;0,(December!I14+December!O14),0)</f>
        <v>9436</v>
      </c>
      <c r="J8" s="10">
        <v>0.04</v>
      </c>
      <c r="K8" s="4">
        <f>IF((December!G14+December!M14)&gt;0,(December!G14+December!M14),0)</f>
        <v>13.600000000000001</v>
      </c>
      <c r="L8" s="14">
        <v>51.79</v>
      </c>
      <c r="M8" s="4">
        <f>December!R14</f>
        <v>135</v>
      </c>
    </row>
    <row r="9" spans="1:25" x14ac:dyDescent="0.25">
      <c r="A9" s="3" t="s">
        <v>7</v>
      </c>
      <c r="B9" s="2">
        <f t="shared" si="0"/>
        <v>8</v>
      </c>
      <c r="C9" s="14">
        <v>12</v>
      </c>
      <c r="D9" s="14">
        <v>2022</v>
      </c>
      <c r="E9" s="4">
        <f>IF(December!C15&gt;0,December!C15,0)</f>
        <v>7500</v>
      </c>
      <c r="F9" s="9"/>
      <c r="G9" s="4">
        <f>IF(December!E15&gt;0,December!E15,0)</f>
        <v>57.584999999999994</v>
      </c>
      <c r="H9" s="14">
        <v>2.33</v>
      </c>
      <c r="I9" s="4">
        <f>IF((December!I15+December!O15)&gt;0,(December!I15+December!O15),0)</f>
        <v>11705</v>
      </c>
      <c r="J9" s="10">
        <v>0.04</v>
      </c>
      <c r="K9" s="4">
        <f>IF((December!G15+December!M15)&gt;0,(December!G15+December!M15),0)</f>
        <v>15.4</v>
      </c>
      <c r="L9" s="14">
        <v>51.79</v>
      </c>
      <c r="M9" s="4">
        <f>December!R15</f>
        <v>143</v>
      </c>
    </row>
    <row r="10" spans="1:25" x14ac:dyDescent="0.25">
      <c r="A10" s="3" t="s">
        <v>7</v>
      </c>
      <c r="B10" s="2">
        <f t="shared" si="0"/>
        <v>9</v>
      </c>
      <c r="C10" s="14">
        <v>12</v>
      </c>
      <c r="D10" s="14">
        <v>2022</v>
      </c>
      <c r="E10" s="4">
        <f>IF(December!C16&gt;0,December!C16,0)</f>
        <v>6000</v>
      </c>
      <c r="F10" s="9"/>
      <c r="G10" s="4">
        <f>IF(December!E16&gt;0,December!E16,0)</f>
        <v>49.208999999999996</v>
      </c>
      <c r="H10" s="14">
        <v>2.33</v>
      </c>
      <c r="I10" s="4">
        <f>IF((December!I16+December!O16)&gt;0,(December!I16+December!O16),0)</f>
        <v>9535</v>
      </c>
      <c r="J10" s="10">
        <v>0.04</v>
      </c>
      <c r="K10" s="4">
        <f>IF((December!G16+December!M16)&gt;0,(December!G16+December!M16),0)</f>
        <v>13.8</v>
      </c>
      <c r="L10" s="14">
        <v>51.79</v>
      </c>
      <c r="M10" s="4">
        <f>December!R16</f>
        <v>123</v>
      </c>
    </row>
    <row r="11" spans="1:25" x14ac:dyDescent="0.25">
      <c r="A11" s="3" t="s">
        <v>7</v>
      </c>
      <c r="B11" s="2">
        <f t="shared" si="0"/>
        <v>10</v>
      </c>
      <c r="C11" s="14">
        <v>12</v>
      </c>
      <c r="D11" s="14">
        <v>2022</v>
      </c>
      <c r="E11" s="4">
        <f>IF(December!C17&gt;0,December!C17,0)</f>
        <v>6600</v>
      </c>
      <c r="F11" s="9"/>
      <c r="G11" s="4">
        <f>IF(December!E17&gt;0,December!E17,0)</f>
        <v>54.443999999999996</v>
      </c>
      <c r="H11" s="14">
        <v>2.33</v>
      </c>
      <c r="I11" s="4">
        <f>IF((December!I17+December!O17)&gt;0,(December!I17+December!O17),0)</f>
        <v>9660</v>
      </c>
      <c r="J11" s="10">
        <v>0.04</v>
      </c>
      <c r="K11" s="4">
        <f>IF((December!G17+December!M17)&gt;0,(December!G17+December!M17),0)</f>
        <v>14.3</v>
      </c>
      <c r="L11" s="14">
        <v>51.79</v>
      </c>
      <c r="M11" s="4">
        <f>December!R17</f>
        <v>95</v>
      </c>
    </row>
    <row r="12" spans="1:25" x14ac:dyDescent="0.25">
      <c r="A12" s="3" t="s">
        <v>7</v>
      </c>
      <c r="B12" s="2">
        <f t="shared" si="0"/>
        <v>11</v>
      </c>
      <c r="C12" s="14">
        <v>12</v>
      </c>
      <c r="D12" s="14">
        <v>2022</v>
      </c>
      <c r="E12" s="4">
        <f>IF(December!C18&gt;0,December!C18,0)</f>
        <v>6000</v>
      </c>
      <c r="F12" s="9"/>
      <c r="G12" s="4">
        <f>IF(December!E18&gt;0,December!E18,0)</f>
        <v>48.161999999999999</v>
      </c>
      <c r="H12" s="14">
        <v>2.33</v>
      </c>
      <c r="I12" s="4">
        <f>IF((December!I18+December!O18)&gt;0,(December!I18+December!O18),0)</f>
        <v>8234</v>
      </c>
      <c r="J12" s="10">
        <v>0.04</v>
      </c>
      <c r="K12" s="4">
        <f>IF((December!G18+December!M18)&gt;0,(December!G18+December!M18),0)</f>
        <v>14.100000000000001</v>
      </c>
      <c r="L12" s="14">
        <v>51.79</v>
      </c>
      <c r="M12" s="4">
        <f>December!R18</f>
        <v>94</v>
      </c>
    </row>
    <row r="13" spans="1:25" x14ac:dyDescent="0.25">
      <c r="A13" s="3" t="s">
        <v>7</v>
      </c>
      <c r="B13" s="2">
        <f t="shared" si="0"/>
        <v>12</v>
      </c>
      <c r="C13" s="14">
        <v>12</v>
      </c>
      <c r="D13" s="14">
        <v>2022</v>
      </c>
      <c r="E13" s="4">
        <f>IF(December!C19&gt;0,December!C19,0)</f>
        <v>6000</v>
      </c>
      <c r="F13" s="9"/>
      <c r="G13" s="4">
        <f>IF(December!E19&gt;0,December!E19,0)</f>
        <v>47.114999999999995</v>
      </c>
      <c r="H13" s="14">
        <v>2.33</v>
      </c>
      <c r="I13" s="4">
        <f>IF((December!I19+December!O19)&gt;0,(December!I19+December!O19),0)</f>
        <v>2229</v>
      </c>
      <c r="J13" s="10">
        <v>0.04</v>
      </c>
      <c r="K13" s="4">
        <f>IF((December!G19+December!M19)&gt;0,(December!G19+December!M19),0)</f>
        <v>14.3</v>
      </c>
      <c r="L13" s="14">
        <v>51.79</v>
      </c>
      <c r="M13" s="4">
        <f>December!R19</f>
        <v>62</v>
      </c>
    </row>
    <row r="14" spans="1:25" x14ac:dyDescent="0.25">
      <c r="A14" s="3" t="s">
        <v>7</v>
      </c>
      <c r="B14" s="2">
        <f t="shared" si="0"/>
        <v>13</v>
      </c>
      <c r="C14" s="14">
        <v>12</v>
      </c>
      <c r="D14" s="14">
        <v>2022</v>
      </c>
      <c r="E14" s="4">
        <f>IF(December!C20&gt;0,December!C20,0)</f>
        <v>7500</v>
      </c>
      <c r="F14" s="9"/>
      <c r="G14" s="4">
        <f>IF(December!E20&gt;0,December!E20,0)</f>
        <v>57.584999999999994</v>
      </c>
      <c r="H14" s="14">
        <v>2.33</v>
      </c>
      <c r="I14" s="4">
        <f>IF((December!I20+December!O20)&gt;0,(December!I20+December!O20),0)</f>
        <v>14935</v>
      </c>
      <c r="J14" s="10">
        <v>0.04</v>
      </c>
      <c r="K14" s="4">
        <f>IF((December!G20+December!M20)&gt;0,(December!G20+December!M20),0)</f>
        <v>17.3</v>
      </c>
      <c r="L14" s="14">
        <v>51.79</v>
      </c>
      <c r="M14" s="4">
        <f>December!R20</f>
        <v>66</v>
      </c>
    </row>
    <row r="15" spans="1:25" x14ac:dyDescent="0.25">
      <c r="A15" s="3" t="s">
        <v>7</v>
      </c>
      <c r="B15" s="2">
        <f t="shared" si="0"/>
        <v>14</v>
      </c>
      <c r="C15" s="14">
        <v>12</v>
      </c>
      <c r="D15" s="14">
        <v>2022</v>
      </c>
      <c r="E15" s="4">
        <f>IF(December!C21&gt;0,December!C21,0)</f>
        <v>5400</v>
      </c>
      <c r="F15" s="9"/>
      <c r="G15" s="4">
        <f>IF(December!E21&gt;0,December!E21,0)</f>
        <v>46.067999999999998</v>
      </c>
      <c r="H15" s="14">
        <v>2.33</v>
      </c>
      <c r="I15" s="4">
        <f>IF((December!I21+December!O21)&gt;0,(December!I21+December!O21),0)</f>
        <v>5127</v>
      </c>
      <c r="J15" s="10">
        <v>0.04</v>
      </c>
      <c r="K15" s="4">
        <f>IF((December!G21+December!M21)&gt;0,(December!G21+December!M21),0)</f>
        <v>13.600000000000001</v>
      </c>
      <c r="L15" s="14">
        <v>51.79</v>
      </c>
      <c r="M15" s="4">
        <f>December!R21</f>
        <v>75</v>
      </c>
    </row>
    <row r="16" spans="1:25" x14ac:dyDescent="0.25">
      <c r="A16" s="3" t="s">
        <v>7</v>
      </c>
      <c r="B16" s="2">
        <f t="shared" si="0"/>
        <v>15</v>
      </c>
      <c r="C16" s="14">
        <v>12</v>
      </c>
      <c r="D16" s="14">
        <v>2022</v>
      </c>
      <c r="E16" s="4">
        <f>IF(December!C22&gt;0,December!C22,0)</f>
        <v>6900</v>
      </c>
      <c r="F16" s="9"/>
      <c r="G16" s="4">
        <f>IF(December!E22&gt;0,December!E22,0)</f>
        <v>55.491</v>
      </c>
      <c r="H16" s="14">
        <v>2.33</v>
      </c>
      <c r="I16" s="4">
        <f>IF((December!I22+December!O22)&gt;0,(December!I22+December!O22),0)</f>
        <v>7390</v>
      </c>
      <c r="J16" s="10">
        <v>0.04</v>
      </c>
      <c r="K16" s="4">
        <f>IF((December!G22+December!M22)&gt;0,(December!G22+December!M22),0)</f>
        <v>14.4</v>
      </c>
      <c r="L16" s="14">
        <v>51.79</v>
      </c>
      <c r="M16" s="4">
        <f>December!R22</f>
        <v>89</v>
      </c>
    </row>
    <row r="17" spans="1:13" x14ac:dyDescent="0.25">
      <c r="A17" s="3" t="s">
        <v>7</v>
      </c>
      <c r="B17" s="2">
        <f t="shared" si="0"/>
        <v>16</v>
      </c>
      <c r="C17" s="14">
        <v>12</v>
      </c>
      <c r="D17" s="14">
        <v>2022</v>
      </c>
      <c r="E17" s="4">
        <f>IF(December!C23&gt;0,December!C23,0)</f>
        <v>6300</v>
      </c>
      <c r="F17" s="9"/>
      <c r="G17" s="4">
        <f>IF(December!E23&gt;0,December!E23,0)</f>
        <v>53.396999999999998</v>
      </c>
      <c r="H17" s="14">
        <v>2.33</v>
      </c>
      <c r="I17" s="4">
        <f>IF((December!I23+December!O23)&gt;0,(December!I23+December!O23),0)</f>
        <v>8030</v>
      </c>
      <c r="J17" s="10">
        <v>0.04</v>
      </c>
      <c r="K17" s="4">
        <f>IF((December!G23+December!M23)&gt;0,(December!G23+December!M23),0)</f>
        <v>15.000000000000002</v>
      </c>
      <c r="L17" s="14">
        <v>51.79</v>
      </c>
      <c r="M17" s="4">
        <f>December!R23</f>
        <v>94</v>
      </c>
    </row>
    <row r="18" spans="1:13" x14ac:dyDescent="0.25">
      <c r="A18" s="3" t="s">
        <v>7</v>
      </c>
      <c r="B18" s="2">
        <f t="shared" si="0"/>
        <v>17</v>
      </c>
      <c r="C18" s="14">
        <v>12</v>
      </c>
      <c r="D18" s="14">
        <v>2022</v>
      </c>
      <c r="E18" s="4">
        <f>IF(December!C24&gt;0,December!C24,0)</f>
        <v>6900</v>
      </c>
      <c r="F18" s="9"/>
      <c r="G18" s="4">
        <f>IF(December!E24&gt;0,December!E24,0)</f>
        <v>52.349999999999994</v>
      </c>
      <c r="H18" s="14">
        <v>2.33</v>
      </c>
      <c r="I18" s="4">
        <f>IF((December!I24+December!O24)&gt;0,(December!I24+December!O24),0)</f>
        <v>8430</v>
      </c>
      <c r="J18" s="10">
        <v>0.04</v>
      </c>
      <c r="K18" s="4">
        <f>IF((December!G24+December!M24)&gt;0,(December!G24+December!M24),0)</f>
        <v>15.8</v>
      </c>
      <c r="L18" s="14">
        <v>51.79</v>
      </c>
      <c r="M18" s="4">
        <f>December!R24</f>
        <v>58</v>
      </c>
    </row>
    <row r="19" spans="1:13" x14ac:dyDescent="0.25">
      <c r="A19" s="3" t="s">
        <v>7</v>
      </c>
      <c r="B19" s="2">
        <f t="shared" si="0"/>
        <v>18</v>
      </c>
      <c r="C19" s="14">
        <v>12</v>
      </c>
      <c r="D19" s="14">
        <v>2022</v>
      </c>
      <c r="E19" s="4">
        <f>IF(December!C25&gt;0,December!C25,0)</f>
        <v>7500</v>
      </c>
      <c r="F19" s="9"/>
      <c r="G19" s="4">
        <f>IF(December!E25&gt;0,December!E25,0)</f>
        <v>58.631999999999998</v>
      </c>
      <c r="H19" s="14">
        <v>2.33</v>
      </c>
      <c r="I19" s="4">
        <f>IF((December!I25+December!O25)&gt;0,(December!I25+December!O25),0)</f>
        <v>9796</v>
      </c>
      <c r="J19" s="10">
        <v>0.04</v>
      </c>
      <c r="K19" s="4">
        <f>IF((December!G25+December!M25)&gt;0,(December!G25+December!M25),0)</f>
        <v>18.5</v>
      </c>
      <c r="L19" s="14">
        <v>51.79</v>
      </c>
      <c r="M19" s="4">
        <f>December!R25</f>
        <v>57</v>
      </c>
    </row>
    <row r="20" spans="1:13" x14ac:dyDescent="0.25">
      <c r="A20" s="3" t="s">
        <v>7</v>
      </c>
      <c r="B20" s="2">
        <f t="shared" si="0"/>
        <v>19</v>
      </c>
      <c r="C20" s="14">
        <v>12</v>
      </c>
      <c r="D20" s="14">
        <v>2022</v>
      </c>
      <c r="E20" s="4">
        <f>IF(December!C26&gt;0,December!C26,0)</f>
        <v>5100</v>
      </c>
      <c r="F20" s="9"/>
      <c r="G20" s="4">
        <f>IF(December!E26&gt;0,December!E26,0)</f>
        <v>39.785999999999994</v>
      </c>
      <c r="H20" s="14">
        <v>2.33</v>
      </c>
      <c r="I20" s="4">
        <f>IF((December!I26+December!O26)&gt;0,(December!I26+December!O26),0)</f>
        <v>5377</v>
      </c>
      <c r="J20" s="10">
        <v>0.04</v>
      </c>
      <c r="K20" s="4">
        <f>IF((December!G26+December!M26)&gt;0,(December!G26+December!M26),0)</f>
        <v>12.900000000000002</v>
      </c>
      <c r="L20" s="14">
        <v>51.79</v>
      </c>
      <c r="M20" s="4">
        <f>December!R26</f>
        <v>41</v>
      </c>
    </row>
    <row r="21" spans="1:13" x14ac:dyDescent="0.25">
      <c r="A21" s="3" t="s">
        <v>7</v>
      </c>
      <c r="B21" s="2">
        <f t="shared" si="0"/>
        <v>20</v>
      </c>
      <c r="C21" s="14">
        <v>12</v>
      </c>
      <c r="D21" s="14">
        <v>2022</v>
      </c>
      <c r="E21" s="4">
        <f>IF(December!C27&gt;0,December!C27,0)</f>
        <v>5700</v>
      </c>
      <c r="F21" s="9"/>
      <c r="G21" s="4">
        <f>IF(December!E27&gt;0,December!E27,0)</f>
        <v>48.161999999999999</v>
      </c>
      <c r="H21" s="14">
        <v>2.33</v>
      </c>
      <c r="I21" s="4">
        <f>IF((December!I27+December!O27)&gt;0,(December!I27+December!O27),0)</f>
        <v>5257</v>
      </c>
      <c r="J21" s="10">
        <v>0.04</v>
      </c>
      <c r="K21" s="4">
        <f>IF((December!G27+December!M27)&gt;0,(December!G27+December!M27),0)</f>
        <v>17</v>
      </c>
      <c r="L21" s="14">
        <v>51.79</v>
      </c>
      <c r="M21" s="4">
        <f>December!R27</f>
        <v>34</v>
      </c>
    </row>
    <row r="22" spans="1:13" x14ac:dyDescent="0.25">
      <c r="A22" s="3" t="s">
        <v>7</v>
      </c>
      <c r="B22" s="2">
        <f t="shared" si="0"/>
        <v>21</v>
      </c>
      <c r="C22" s="14">
        <v>12</v>
      </c>
      <c r="D22" s="14">
        <v>2022</v>
      </c>
      <c r="E22" s="4">
        <f>IF(December!C28&gt;0,December!C28,0)</f>
        <v>6300</v>
      </c>
      <c r="F22" s="9"/>
      <c r="G22" s="4">
        <f>IF(December!E28&gt;0,December!E28,0)</f>
        <v>57.584999999999994</v>
      </c>
      <c r="H22" s="14">
        <v>2.33</v>
      </c>
      <c r="I22" s="4">
        <f>IF((December!I28+December!O28)&gt;0,(December!I28+December!O28),0)</f>
        <v>5195</v>
      </c>
      <c r="J22" s="10">
        <v>0.04</v>
      </c>
      <c r="K22" s="4">
        <f>IF((December!G28+December!M28)&gt;0,(December!G28+December!M28),0)</f>
        <v>17.100000000000001</v>
      </c>
      <c r="L22" s="14">
        <v>51.79</v>
      </c>
      <c r="M22" s="4">
        <f>December!R28</f>
        <v>19</v>
      </c>
    </row>
    <row r="23" spans="1:13" x14ac:dyDescent="0.25">
      <c r="A23" s="3" t="s">
        <v>7</v>
      </c>
      <c r="B23" s="2">
        <f t="shared" si="0"/>
        <v>22</v>
      </c>
      <c r="C23" s="14">
        <v>12</v>
      </c>
      <c r="D23" s="14">
        <v>2022</v>
      </c>
      <c r="E23" s="4">
        <f>IF(December!C29&gt;0,December!C29,0)</f>
        <v>5700</v>
      </c>
      <c r="F23" s="9"/>
      <c r="G23" s="4">
        <f>IF(December!E29&gt;0,December!E29,0)</f>
        <v>45.020999999999994</v>
      </c>
      <c r="H23" s="14">
        <v>2.33</v>
      </c>
      <c r="I23" s="4">
        <f>IF((December!I29+December!O29)&gt;0,(December!I29+December!O29),0)</f>
        <v>4400</v>
      </c>
      <c r="J23" s="10">
        <v>0.04</v>
      </c>
      <c r="K23" s="4">
        <f>IF((December!G29+December!M29)&gt;0,(December!G29+December!M29),0)</f>
        <v>17.5</v>
      </c>
      <c r="L23" s="14">
        <v>51.79</v>
      </c>
      <c r="M23" s="4">
        <f>December!R29</f>
        <v>19</v>
      </c>
    </row>
    <row r="24" spans="1:13" x14ac:dyDescent="0.25">
      <c r="A24" s="3" t="s">
        <v>7</v>
      </c>
      <c r="B24" s="2">
        <f t="shared" si="0"/>
        <v>23</v>
      </c>
      <c r="C24" s="14">
        <v>12</v>
      </c>
      <c r="D24" s="14">
        <v>2022</v>
      </c>
      <c r="E24" s="4">
        <f>IF(December!C30&gt;0,December!C30,0)</f>
        <v>6000</v>
      </c>
      <c r="F24" s="9"/>
      <c r="G24" s="4">
        <f>IF(December!E30&gt;0,December!E30,0)</f>
        <v>52.349999999999994</v>
      </c>
      <c r="H24" s="14">
        <v>2.33</v>
      </c>
      <c r="I24" s="4">
        <f>IF((December!I30+December!O30)&gt;0,(December!I30+December!O30),0)</f>
        <v>5495</v>
      </c>
      <c r="J24" s="10">
        <v>0.04</v>
      </c>
      <c r="K24" s="4">
        <f>IF((December!G30+December!M30)&gt;0,(December!G30+December!M30),0)</f>
        <v>19.399999999999999</v>
      </c>
      <c r="L24" s="14">
        <v>51.79</v>
      </c>
      <c r="M24" s="4">
        <f>December!R30</f>
        <v>30</v>
      </c>
    </row>
    <row r="25" spans="1:13" x14ac:dyDescent="0.25">
      <c r="A25" s="3" t="s">
        <v>7</v>
      </c>
      <c r="B25" s="2">
        <f t="shared" si="0"/>
        <v>24</v>
      </c>
      <c r="C25" s="14">
        <v>12</v>
      </c>
      <c r="D25" s="14">
        <v>2022</v>
      </c>
      <c r="E25" s="4">
        <f>IF(December!C31&gt;0,December!C31,0)</f>
        <v>6900</v>
      </c>
      <c r="F25" s="9"/>
      <c r="G25" s="4">
        <f>IF(December!E31&gt;0,December!E31,0)</f>
        <v>53.396999999999998</v>
      </c>
      <c r="H25" s="14">
        <v>2.33</v>
      </c>
      <c r="I25" s="4">
        <f>IF((December!I31+December!O31)&gt;0,(December!I31+December!O31),0)</f>
        <v>6445</v>
      </c>
      <c r="J25" s="10">
        <v>0.04</v>
      </c>
      <c r="K25" s="4">
        <f>IF((December!G31+December!M31)&gt;0,(December!G31+December!M31),0)</f>
        <v>18.399999999999999</v>
      </c>
      <c r="L25" s="14">
        <v>51.79</v>
      </c>
      <c r="M25" s="4">
        <f>December!R31</f>
        <v>42</v>
      </c>
    </row>
    <row r="26" spans="1:13" x14ac:dyDescent="0.25">
      <c r="A26" s="3" t="s">
        <v>7</v>
      </c>
      <c r="B26" s="2">
        <f>B25+1</f>
        <v>25</v>
      </c>
      <c r="C26" s="14">
        <v>12</v>
      </c>
      <c r="D26" s="14">
        <v>2022</v>
      </c>
      <c r="E26" s="4">
        <f>IF(December!C32&gt;0,December!C32,0)</f>
        <v>6600</v>
      </c>
      <c r="F26" s="9"/>
      <c r="G26" s="4">
        <f>IF(December!E32&gt;0,December!E32,0)</f>
        <v>51.302999999999997</v>
      </c>
      <c r="H26" s="14">
        <v>2.33</v>
      </c>
      <c r="I26" s="4">
        <f>IF((December!I32+December!O32)&gt;0,(December!I32+December!O32),0)</f>
        <v>9742</v>
      </c>
      <c r="J26" s="10">
        <v>0.04</v>
      </c>
      <c r="K26" s="4">
        <f>IF((December!G32+December!M32)&gt;0,(December!G32+December!M32),0)</f>
        <v>17.8</v>
      </c>
      <c r="L26" s="14">
        <v>51.79</v>
      </c>
      <c r="M26" s="4">
        <f>December!R32</f>
        <v>47</v>
      </c>
    </row>
    <row r="27" spans="1:13" x14ac:dyDescent="0.25">
      <c r="A27" s="3" t="s">
        <v>7</v>
      </c>
      <c r="B27" s="2">
        <f t="shared" si="0"/>
        <v>26</v>
      </c>
      <c r="C27" s="14">
        <v>12</v>
      </c>
      <c r="D27" s="14">
        <v>2022</v>
      </c>
      <c r="E27" s="4">
        <f>IF(December!C33&gt;0,December!C33,0)</f>
        <v>6000</v>
      </c>
      <c r="F27" s="9"/>
      <c r="G27" s="4">
        <f>IF(December!E33&gt;0,December!E33,0)</f>
        <v>48.161999999999999</v>
      </c>
      <c r="H27" s="14">
        <v>2.33</v>
      </c>
      <c r="I27" s="4">
        <f>IF((December!I33+December!O33)&gt;0,(December!I33+December!O33),0)</f>
        <v>6378</v>
      </c>
      <c r="J27" s="10">
        <v>0.04</v>
      </c>
      <c r="K27" s="4">
        <f>IF((December!G33+December!M33)&gt;0,(December!G33+December!M33),0)</f>
        <v>14.100000000000001</v>
      </c>
      <c r="L27" s="14">
        <v>51.79</v>
      </c>
      <c r="M27" s="4">
        <f>December!R33</f>
        <v>40</v>
      </c>
    </row>
    <row r="28" spans="1:13" x14ac:dyDescent="0.25">
      <c r="A28" s="3" t="s">
        <v>7</v>
      </c>
      <c r="B28" s="2">
        <f t="shared" si="0"/>
        <v>27</v>
      </c>
      <c r="C28" s="14">
        <v>12</v>
      </c>
      <c r="D28" s="14">
        <v>2022</v>
      </c>
      <c r="E28" s="4">
        <f>IF(December!C34&gt;0,December!C34,0)</f>
        <v>6000</v>
      </c>
      <c r="F28" s="9"/>
      <c r="G28" s="4">
        <f>IF(December!E34&gt;0,December!E34,0)</f>
        <v>45.020999999999994</v>
      </c>
      <c r="H28" s="14">
        <v>2.33</v>
      </c>
      <c r="I28" s="4">
        <f>IF((December!I34+December!O34)&gt;0,(December!I34+December!O34),0)</f>
        <v>6280</v>
      </c>
      <c r="J28" s="10">
        <v>0.04</v>
      </c>
      <c r="K28" s="4">
        <f>IF((December!G34+December!M34)&gt;0,(December!G34+December!M34),0)</f>
        <v>14.7</v>
      </c>
      <c r="L28" s="14">
        <v>51.79</v>
      </c>
      <c r="M28" s="4">
        <f>December!R34</f>
        <v>52</v>
      </c>
    </row>
    <row r="29" spans="1:13" x14ac:dyDescent="0.25">
      <c r="A29" s="3" t="s">
        <v>7</v>
      </c>
      <c r="B29" s="2">
        <f t="shared" si="0"/>
        <v>28</v>
      </c>
      <c r="C29" s="14">
        <v>12</v>
      </c>
      <c r="D29" s="14">
        <v>2022</v>
      </c>
      <c r="E29" s="4">
        <f>IF(December!C35&gt;0,December!C35,0)</f>
        <v>5700</v>
      </c>
      <c r="F29" s="9"/>
      <c r="G29" s="4">
        <f>IF(December!E35&gt;0,December!E35,0)</f>
        <v>45.020999999999994</v>
      </c>
      <c r="H29" s="14">
        <v>2.33</v>
      </c>
      <c r="I29" s="4">
        <f>IF((December!I35+December!O35)&gt;0,(December!I35+December!O35),0)</f>
        <v>8990</v>
      </c>
      <c r="J29" s="10">
        <v>0.04</v>
      </c>
      <c r="K29" s="4">
        <f>IF((December!G35+December!M35)&gt;0,(December!G35+December!M35),0)</f>
        <v>15.7</v>
      </c>
      <c r="L29" s="14">
        <v>51.79</v>
      </c>
      <c r="M29" s="4">
        <f>December!R35</f>
        <v>66</v>
      </c>
    </row>
    <row r="30" spans="1:13" x14ac:dyDescent="0.25">
      <c r="A30" s="3" t="s">
        <v>7</v>
      </c>
      <c r="B30" s="2">
        <f t="shared" si="0"/>
        <v>29</v>
      </c>
      <c r="C30" s="14">
        <v>12</v>
      </c>
      <c r="D30" s="14">
        <v>2022</v>
      </c>
      <c r="E30" s="4">
        <f>IF(December!C36&gt;0,December!C36,0)</f>
        <v>6300</v>
      </c>
      <c r="F30" s="9"/>
      <c r="G30" s="4">
        <f>IF(December!E36&gt;0,December!E36,0)</f>
        <v>50.256</v>
      </c>
      <c r="H30" s="14">
        <v>2.33</v>
      </c>
      <c r="I30" s="4">
        <f>IF((December!I36+December!O36)&gt;0,(December!I36+December!O36),0)</f>
        <v>7240</v>
      </c>
      <c r="J30" s="10">
        <v>0.04</v>
      </c>
      <c r="K30" s="4">
        <f>IF((December!G36+December!M36)&gt;0,(December!G36+December!M36),0)</f>
        <v>17</v>
      </c>
      <c r="L30" s="14">
        <v>51.79</v>
      </c>
      <c r="M30" s="4">
        <f>December!R36</f>
        <v>64</v>
      </c>
    </row>
    <row r="31" spans="1:13" x14ac:dyDescent="0.25">
      <c r="A31" s="3" t="s">
        <v>7</v>
      </c>
      <c r="B31" s="2">
        <f t="shared" si="0"/>
        <v>30</v>
      </c>
      <c r="C31" s="14">
        <v>12</v>
      </c>
      <c r="D31" s="14">
        <v>2022</v>
      </c>
      <c r="E31" s="4">
        <f>IF(December!C38&gt;0,December!C38,0)</f>
        <v>13200</v>
      </c>
      <c r="F31" s="9"/>
      <c r="G31" s="4">
        <f>IF(December!E38&gt;0,December!E38,0)</f>
        <v>104.69999999999999</v>
      </c>
      <c r="H31" s="14">
        <v>2.33</v>
      </c>
      <c r="I31" s="4">
        <f>IF((December!I38+December!O38)&gt;0,(December!I38+December!O38),0)</f>
        <v>17885</v>
      </c>
      <c r="J31" s="10">
        <v>0.04</v>
      </c>
      <c r="K31" s="4">
        <f>IF((December!G38+December!M38)&gt;0,(December!G38+December!M38),0)</f>
        <v>33.800000000000004</v>
      </c>
      <c r="L31" s="14">
        <v>51.79</v>
      </c>
      <c r="M31" s="4">
        <f>December!R38</f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W40"/>
  <sheetViews>
    <sheetView showWhiteSpace="0" zoomScaleNormal="100" workbookViewId="0">
      <pane xSplit="1" topLeftCell="L1" activePane="topRight" state="frozen"/>
      <selection pane="topRight" activeCell="AF30" sqref="AF30"/>
    </sheetView>
  </sheetViews>
  <sheetFormatPr defaultColWidth="9.140625" defaultRowHeight="12.75" x14ac:dyDescent="0.25"/>
  <cols>
    <col min="1" max="1" width="9.85546875" style="16" bestFit="1" customWidth="1"/>
    <col min="2" max="2" width="11" style="16" customWidth="1"/>
    <col min="3" max="7" width="9.7109375" style="16" customWidth="1"/>
    <col min="8" max="8" width="15.42578125" style="16" customWidth="1"/>
    <col min="9" max="9" width="13.7109375" style="16" customWidth="1"/>
    <col min="10" max="10" width="10.85546875" style="16" customWidth="1"/>
    <col min="11" max="11" width="8.42578125" style="16" customWidth="1"/>
    <col min="12" max="13" width="9.7109375" style="16" customWidth="1"/>
    <col min="14" max="14" width="14.5703125" style="16" customWidth="1"/>
    <col min="15" max="15" width="13.7109375" style="16" customWidth="1"/>
    <col min="16" max="16" width="15.7109375" style="16" customWidth="1"/>
    <col min="17" max="17" width="13.7109375" style="16" customWidth="1"/>
    <col min="18" max="19" width="9.140625" style="16"/>
    <col min="20" max="20" width="6.85546875" style="16" customWidth="1"/>
    <col min="21" max="21" width="8.140625" style="16" customWidth="1"/>
    <col min="22" max="22" width="9.140625" style="16"/>
    <col min="23" max="23" width="10.5703125" style="16" customWidth="1"/>
    <col min="24" max="16384" width="9.140625" style="16"/>
  </cols>
  <sheetData>
    <row r="1" spans="1:23" ht="18" customHeight="1" x14ac:dyDescent="0.25">
      <c r="A1" s="50"/>
      <c r="B1" s="50"/>
      <c r="C1" s="15"/>
    </row>
    <row r="2" spans="1:23" ht="21" x14ac:dyDescent="0.35">
      <c r="A2" s="51" t="s">
        <v>23</v>
      </c>
      <c r="B2" s="51"/>
      <c r="C2" s="51"/>
      <c r="D2" s="51"/>
      <c r="E2" s="51"/>
      <c r="F2" s="51"/>
      <c r="G2" s="51"/>
      <c r="H2" s="51"/>
      <c r="I2" s="51"/>
      <c r="J2" s="51"/>
      <c r="K2" s="17"/>
    </row>
    <row r="3" spans="1:23" ht="16.5" customHeight="1" x14ac:dyDescent="0.35">
      <c r="A3" s="51"/>
      <c r="B3" s="51"/>
      <c r="C3" s="51"/>
      <c r="D3" s="51"/>
      <c r="E3" s="51"/>
      <c r="F3" s="51"/>
      <c r="G3" s="51"/>
      <c r="H3" s="51"/>
      <c r="I3" s="51"/>
      <c r="J3" s="51"/>
      <c r="K3" s="17"/>
    </row>
    <row r="4" spans="1:23" s="19" customFormat="1" ht="24.75" customHeigh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18"/>
    </row>
    <row r="5" spans="1:23" s="19" customFormat="1" ht="16.5" customHeight="1" x14ac:dyDescent="0.25">
      <c r="A5" s="18"/>
      <c r="B5" s="45"/>
      <c r="C5" s="18"/>
      <c r="D5" s="45"/>
      <c r="E5" s="18"/>
      <c r="F5" s="45"/>
      <c r="G5" s="18"/>
      <c r="H5" s="45"/>
      <c r="I5" s="18"/>
      <c r="J5" s="45"/>
      <c r="K5" s="18"/>
      <c r="L5" s="45"/>
      <c r="M5" s="18"/>
    </row>
    <row r="6" spans="1:23" s="19" customFormat="1" ht="49.5" customHeight="1" thickBot="1" x14ac:dyDescent="0.3">
      <c r="A6" s="49" t="s">
        <v>8</v>
      </c>
      <c r="B6" s="46">
        <f>[1]NOVEMBER!B37</f>
        <v>25454</v>
      </c>
      <c r="C6" s="46"/>
      <c r="D6" s="46">
        <f>[1]NOVEMBER!D37</f>
        <v>59959</v>
      </c>
      <c r="E6" s="46"/>
      <c r="F6" s="46">
        <f>[1]NOVEMBER!F37</f>
        <v>37321</v>
      </c>
      <c r="G6" s="46"/>
      <c r="H6" s="47">
        <f>[1]NOVEMBER!H37</f>
        <v>11402610</v>
      </c>
      <c r="I6" s="46"/>
      <c r="J6" s="46">
        <f>[1]NOVEMBER!J37</f>
        <v>455148</v>
      </c>
      <c r="K6" s="46"/>
      <c r="L6" s="46">
        <f>[1]NOVEMBER!L37</f>
        <v>40763</v>
      </c>
      <c r="M6" s="46"/>
      <c r="N6" s="48">
        <f>[1]NOVEMBER!N37</f>
        <v>31508590</v>
      </c>
      <c r="O6" s="48"/>
      <c r="P6" s="48">
        <f>[1]NOVEMBER!P37</f>
        <v>6400587</v>
      </c>
      <c r="Q6" s="48"/>
    </row>
    <row r="7" spans="1:23" s="20" customFormat="1" ht="47.25" customHeight="1" x14ac:dyDescent="0.25">
      <c r="A7" s="27" t="s">
        <v>9</v>
      </c>
      <c r="B7" s="21" t="s">
        <v>24</v>
      </c>
      <c r="C7" s="22" t="s">
        <v>10</v>
      </c>
      <c r="D7" s="21" t="s">
        <v>25</v>
      </c>
      <c r="E7" s="22" t="s">
        <v>11</v>
      </c>
      <c r="F7" s="23" t="s">
        <v>26</v>
      </c>
      <c r="G7" s="22" t="s">
        <v>12</v>
      </c>
      <c r="H7" s="21" t="s">
        <v>27</v>
      </c>
      <c r="I7" s="22" t="s">
        <v>13</v>
      </c>
      <c r="J7" s="23" t="s">
        <v>28</v>
      </c>
      <c r="K7" s="22" t="s">
        <v>14</v>
      </c>
      <c r="L7" s="23" t="s">
        <v>29</v>
      </c>
      <c r="M7" s="22" t="s">
        <v>12</v>
      </c>
      <c r="N7" s="23" t="s">
        <v>30</v>
      </c>
      <c r="O7" s="22" t="s">
        <v>13</v>
      </c>
      <c r="P7" s="23" t="s">
        <v>31</v>
      </c>
      <c r="Q7" s="28" t="s">
        <v>13</v>
      </c>
      <c r="R7" s="37" t="s">
        <v>22</v>
      </c>
      <c r="S7" s="29" t="s">
        <v>32</v>
      </c>
      <c r="T7" s="30" t="s">
        <v>33</v>
      </c>
      <c r="U7" s="30" t="s">
        <v>34</v>
      </c>
      <c r="V7" s="31" t="s">
        <v>35</v>
      </c>
      <c r="W7" s="43" t="s">
        <v>36</v>
      </c>
    </row>
    <row r="8" spans="1:23" ht="20.25" customHeight="1" x14ac:dyDescent="0.25">
      <c r="A8" s="41">
        <v>1</v>
      </c>
      <c r="B8" s="24">
        <v>25478</v>
      </c>
      <c r="C8" s="24">
        <f>+(B8-B6)*300</f>
        <v>7200</v>
      </c>
      <c r="D8" s="24">
        <v>60011</v>
      </c>
      <c r="E8" s="24">
        <f>+(D8-D6)*1.047</f>
        <v>54.443999999999996</v>
      </c>
      <c r="F8" s="24">
        <v>37367</v>
      </c>
      <c r="G8" s="24">
        <f>+(F8-F6)*0.1</f>
        <v>4.6000000000000005</v>
      </c>
      <c r="H8" s="24">
        <v>11405007</v>
      </c>
      <c r="I8" s="24">
        <f>+H8-H6</f>
        <v>2397</v>
      </c>
      <c r="J8" s="24">
        <v>455575</v>
      </c>
      <c r="K8" s="24">
        <f>+J8-J6</f>
        <v>427</v>
      </c>
      <c r="L8" s="24">
        <v>40864</v>
      </c>
      <c r="M8" s="24">
        <f>+(L8-L6)*0.1</f>
        <v>10.100000000000001</v>
      </c>
      <c r="N8" s="24">
        <v>31513785</v>
      </c>
      <c r="O8" s="24">
        <f>+N8-N6</f>
        <v>5195</v>
      </c>
      <c r="P8" s="24">
        <v>6400748</v>
      </c>
      <c r="Q8" s="33">
        <f>+P8-P6</f>
        <v>161</v>
      </c>
      <c r="R8" s="38">
        <v>83</v>
      </c>
      <c r="S8" s="32">
        <v>52</v>
      </c>
      <c r="T8" s="24">
        <v>37</v>
      </c>
      <c r="U8" s="24">
        <f>(S8+T8)/2</f>
        <v>44.5</v>
      </c>
      <c r="V8" s="33">
        <f>65-U8</f>
        <v>20.5</v>
      </c>
      <c r="W8" s="44">
        <v>0</v>
      </c>
    </row>
    <row r="9" spans="1:23" ht="20.25" customHeight="1" x14ac:dyDescent="0.25">
      <c r="A9" s="41">
        <v>2</v>
      </c>
      <c r="B9" s="24">
        <v>25497</v>
      </c>
      <c r="C9" s="24">
        <f>+(B9-B8)*300</f>
        <v>5700</v>
      </c>
      <c r="D9" s="24">
        <v>60059</v>
      </c>
      <c r="E9" s="24">
        <f>+(D9-D8)*1.047</f>
        <v>50.256</v>
      </c>
      <c r="F9" s="24">
        <v>37407</v>
      </c>
      <c r="G9" s="24">
        <f>+(F9-F8)*0.1</f>
        <v>4</v>
      </c>
      <c r="H9" s="24">
        <v>11407360</v>
      </c>
      <c r="I9" s="24">
        <f>+H9-H8</f>
        <v>2353</v>
      </c>
      <c r="J9" s="24">
        <v>455653</v>
      </c>
      <c r="K9" s="24">
        <f>+J9-J8</f>
        <v>78</v>
      </c>
      <c r="L9" s="24">
        <v>40972</v>
      </c>
      <c r="M9" s="24">
        <f>+(L9-L8)*0.1</f>
        <v>10.8</v>
      </c>
      <c r="N9" s="24">
        <v>31518790</v>
      </c>
      <c r="O9" s="24">
        <f>+N9-N8</f>
        <v>5005</v>
      </c>
      <c r="P9" s="24">
        <v>6400748</v>
      </c>
      <c r="Q9" s="33">
        <f>+P9-P8</f>
        <v>0</v>
      </c>
      <c r="R9" s="39">
        <v>83</v>
      </c>
      <c r="S9" s="32">
        <v>53</v>
      </c>
      <c r="T9" s="24">
        <v>39</v>
      </c>
      <c r="U9" s="24">
        <f t="shared" ref="U9:U38" si="0">(S9+T9)/2</f>
        <v>46</v>
      </c>
      <c r="V9" s="33">
        <f t="shared" ref="V9:V38" si="1">65-U9</f>
        <v>19</v>
      </c>
      <c r="W9" s="44">
        <v>0</v>
      </c>
    </row>
    <row r="10" spans="1:23" ht="20.25" customHeight="1" x14ac:dyDescent="0.25">
      <c r="A10" s="41">
        <v>3</v>
      </c>
      <c r="B10" s="24">
        <v>25518</v>
      </c>
      <c r="C10" s="24">
        <f t="shared" ref="C10:C37" si="2">+(B10-B9)*300</f>
        <v>6300</v>
      </c>
      <c r="D10" s="24">
        <v>60107</v>
      </c>
      <c r="E10" s="24">
        <f t="shared" ref="E10:E37" si="3">+(D10-D9)*1.047</f>
        <v>50.256</v>
      </c>
      <c r="F10" s="24">
        <v>37449</v>
      </c>
      <c r="G10" s="24">
        <f t="shared" ref="G10:G37" si="4">+(F10-F9)*0.1</f>
        <v>4.2</v>
      </c>
      <c r="H10" s="24">
        <v>11409940</v>
      </c>
      <c r="I10" s="24">
        <f>+H10-H9</f>
        <v>2580</v>
      </c>
      <c r="J10" s="24">
        <v>456176</v>
      </c>
      <c r="K10" s="24">
        <f>+J10-J9</f>
        <v>523</v>
      </c>
      <c r="L10" s="24">
        <v>41087</v>
      </c>
      <c r="M10" s="24">
        <f t="shared" ref="M10:M37" si="5">+(L10-L9)*0.1</f>
        <v>11.5</v>
      </c>
      <c r="N10" s="24">
        <v>31525000</v>
      </c>
      <c r="O10" s="24">
        <f>+N10-N9</f>
        <v>6210</v>
      </c>
      <c r="P10" s="24">
        <v>6400850</v>
      </c>
      <c r="Q10" s="33">
        <f>+P10-P9</f>
        <v>102</v>
      </c>
      <c r="R10" s="39">
        <v>88</v>
      </c>
      <c r="S10" s="32">
        <v>53</v>
      </c>
      <c r="T10" s="24">
        <v>39</v>
      </c>
      <c r="U10" s="24">
        <f t="shared" si="0"/>
        <v>46</v>
      </c>
      <c r="V10" s="33">
        <f t="shared" si="1"/>
        <v>19</v>
      </c>
      <c r="W10" s="44">
        <v>0</v>
      </c>
    </row>
    <row r="11" spans="1:23" ht="20.25" customHeight="1" x14ac:dyDescent="0.25">
      <c r="A11" s="41">
        <v>4</v>
      </c>
      <c r="B11" s="24">
        <v>25539</v>
      </c>
      <c r="C11" s="24">
        <f t="shared" si="2"/>
        <v>6300</v>
      </c>
      <c r="D11" s="24">
        <v>60161</v>
      </c>
      <c r="E11" s="24">
        <f t="shared" si="3"/>
        <v>56.537999999999997</v>
      </c>
      <c r="F11" s="24">
        <v>37493</v>
      </c>
      <c r="G11" s="24">
        <f t="shared" si="4"/>
        <v>4.4000000000000004</v>
      </c>
      <c r="H11" s="24">
        <v>11412626</v>
      </c>
      <c r="I11" s="24">
        <f t="shared" ref="I11:K37" si="6">+H11-H10</f>
        <v>2686</v>
      </c>
      <c r="J11" s="24">
        <v>457798</v>
      </c>
      <c r="K11" s="24">
        <f t="shared" si="6"/>
        <v>1622</v>
      </c>
      <c r="L11" s="24">
        <v>41211</v>
      </c>
      <c r="M11" s="24">
        <f t="shared" si="5"/>
        <v>12.4</v>
      </c>
      <c r="N11" s="24">
        <v>31532152</v>
      </c>
      <c r="O11" s="24">
        <f t="shared" ref="O11:Q26" si="7">+N11-N10</f>
        <v>7152</v>
      </c>
      <c r="P11" s="24">
        <v>6400853</v>
      </c>
      <c r="Q11" s="33">
        <f t="shared" si="7"/>
        <v>3</v>
      </c>
      <c r="R11" s="39">
        <v>81</v>
      </c>
      <c r="S11" s="32">
        <v>57</v>
      </c>
      <c r="T11" s="24">
        <v>47</v>
      </c>
      <c r="U11" s="24">
        <f t="shared" si="0"/>
        <v>52</v>
      </c>
      <c r="V11" s="33">
        <f t="shared" si="1"/>
        <v>13</v>
      </c>
      <c r="W11" s="44">
        <v>0</v>
      </c>
    </row>
    <row r="12" spans="1:23" ht="20.25" customHeight="1" x14ac:dyDescent="0.25">
      <c r="A12" s="41">
        <v>5</v>
      </c>
      <c r="B12" s="24">
        <v>25559</v>
      </c>
      <c r="C12" s="24">
        <f t="shared" si="2"/>
        <v>6000</v>
      </c>
      <c r="D12" s="24">
        <v>60203</v>
      </c>
      <c r="E12" s="24">
        <f t="shared" si="3"/>
        <v>43.973999999999997</v>
      </c>
      <c r="F12" s="24">
        <v>37536</v>
      </c>
      <c r="G12" s="24">
        <f t="shared" si="4"/>
        <v>4.3</v>
      </c>
      <c r="H12" s="24">
        <v>11414472</v>
      </c>
      <c r="I12" s="24">
        <f t="shared" si="6"/>
        <v>1846</v>
      </c>
      <c r="J12" s="24">
        <v>458083</v>
      </c>
      <c r="K12" s="24">
        <f t="shared" si="6"/>
        <v>285</v>
      </c>
      <c r="L12" s="24">
        <v>41316</v>
      </c>
      <c r="M12" s="24">
        <f t="shared" si="5"/>
        <v>10.5</v>
      </c>
      <c r="N12" s="24">
        <v>31537524</v>
      </c>
      <c r="O12" s="24">
        <f t="shared" si="7"/>
        <v>5372</v>
      </c>
      <c r="P12" s="24">
        <v>6400042</v>
      </c>
      <c r="Q12" s="33">
        <f t="shared" si="7"/>
        <v>-811</v>
      </c>
      <c r="R12" s="39">
        <v>59</v>
      </c>
      <c r="S12" s="32">
        <v>57</v>
      </c>
      <c r="T12" s="24">
        <v>49</v>
      </c>
      <c r="U12" s="24">
        <f t="shared" si="0"/>
        <v>53</v>
      </c>
      <c r="V12" s="33">
        <f t="shared" si="1"/>
        <v>12</v>
      </c>
      <c r="W12" s="44">
        <v>0</v>
      </c>
    </row>
    <row r="13" spans="1:23" ht="20.25" customHeight="1" x14ac:dyDescent="0.25">
      <c r="A13" s="41">
        <v>6</v>
      </c>
      <c r="B13" s="24">
        <v>25581</v>
      </c>
      <c r="C13" s="24">
        <f t="shared" si="2"/>
        <v>6600</v>
      </c>
      <c r="D13" s="24">
        <v>60253</v>
      </c>
      <c r="E13" s="24">
        <f t="shared" si="3"/>
        <v>52.349999999999994</v>
      </c>
      <c r="F13" s="24">
        <v>37581</v>
      </c>
      <c r="G13" s="24">
        <f t="shared" si="4"/>
        <v>4.5</v>
      </c>
      <c r="H13" s="24">
        <v>11417415</v>
      </c>
      <c r="I13" s="24">
        <f t="shared" si="6"/>
        <v>2943</v>
      </c>
      <c r="J13" s="24">
        <v>458420</v>
      </c>
      <c r="K13" s="24">
        <f t="shared" si="6"/>
        <v>337</v>
      </c>
      <c r="L13" s="24">
        <v>41411</v>
      </c>
      <c r="M13" s="24">
        <f t="shared" si="5"/>
        <v>9.5</v>
      </c>
      <c r="N13" s="24">
        <v>31543269</v>
      </c>
      <c r="O13" s="24">
        <f t="shared" si="7"/>
        <v>5745</v>
      </c>
      <c r="P13" s="24">
        <v>6400295</v>
      </c>
      <c r="Q13" s="33">
        <f t="shared" si="7"/>
        <v>253</v>
      </c>
      <c r="R13" s="39">
        <v>95</v>
      </c>
      <c r="S13" s="32">
        <v>55</v>
      </c>
      <c r="T13" s="24">
        <v>42</v>
      </c>
      <c r="U13" s="24">
        <f t="shared" si="0"/>
        <v>48.5</v>
      </c>
      <c r="V13" s="33">
        <f t="shared" si="1"/>
        <v>16.5</v>
      </c>
      <c r="W13" s="44">
        <v>0</v>
      </c>
    </row>
    <row r="14" spans="1:23" ht="20.25" customHeight="1" x14ac:dyDescent="0.25">
      <c r="A14" s="41">
        <v>7</v>
      </c>
      <c r="B14" s="24">
        <v>25603</v>
      </c>
      <c r="C14" s="24">
        <f t="shared" si="2"/>
        <v>6600</v>
      </c>
      <c r="D14" s="24">
        <v>60305</v>
      </c>
      <c r="E14" s="24">
        <f t="shared" si="3"/>
        <v>54.443999999999996</v>
      </c>
      <c r="F14" s="24">
        <v>37622</v>
      </c>
      <c r="G14" s="24">
        <f t="shared" si="4"/>
        <v>4.1000000000000005</v>
      </c>
      <c r="H14" s="24">
        <v>11420030</v>
      </c>
      <c r="I14" s="24">
        <f t="shared" si="6"/>
        <v>2615</v>
      </c>
      <c r="J14" s="24">
        <v>458879</v>
      </c>
      <c r="K14" s="24">
        <f t="shared" si="6"/>
        <v>459</v>
      </c>
      <c r="L14" s="24">
        <v>41506</v>
      </c>
      <c r="M14" s="24">
        <f t="shared" si="5"/>
        <v>9.5</v>
      </c>
      <c r="N14" s="24">
        <v>31550090</v>
      </c>
      <c r="O14" s="24">
        <f t="shared" si="7"/>
        <v>6821</v>
      </c>
      <c r="P14" s="24">
        <v>6400668</v>
      </c>
      <c r="Q14" s="33">
        <f t="shared" si="7"/>
        <v>373</v>
      </c>
      <c r="R14" s="39">
        <v>135</v>
      </c>
      <c r="S14" s="32">
        <v>55</v>
      </c>
      <c r="T14" s="24">
        <v>44</v>
      </c>
      <c r="U14" s="24">
        <f t="shared" si="0"/>
        <v>49.5</v>
      </c>
      <c r="V14" s="33">
        <f t="shared" si="1"/>
        <v>15.5</v>
      </c>
      <c r="W14" s="44">
        <v>0</v>
      </c>
    </row>
    <row r="15" spans="1:23" ht="20.25" customHeight="1" x14ac:dyDescent="0.25">
      <c r="A15" s="41">
        <v>8</v>
      </c>
      <c r="B15" s="24">
        <v>25628</v>
      </c>
      <c r="C15" s="24">
        <f t="shared" si="2"/>
        <v>7500</v>
      </c>
      <c r="D15" s="24">
        <v>60360</v>
      </c>
      <c r="E15" s="24">
        <f t="shared" si="3"/>
        <v>57.584999999999994</v>
      </c>
      <c r="F15" s="24">
        <v>37672</v>
      </c>
      <c r="G15" s="24">
        <f t="shared" si="4"/>
        <v>5</v>
      </c>
      <c r="H15" s="24">
        <v>11422775</v>
      </c>
      <c r="I15" s="24">
        <f t="shared" si="6"/>
        <v>2745</v>
      </c>
      <c r="J15" s="24">
        <v>458879</v>
      </c>
      <c r="K15" s="24">
        <f t="shared" si="6"/>
        <v>0</v>
      </c>
      <c r="L15" s="24">
        <v>41610</v>
      </c>
      <c r="M15" s="24">
        <f t="shared" si="5"/>
        <v>10.4</v>
      </c>
      <c r="N15" s="24">
        <v>31559050</v>
      </c>
      <c r="O15" s="24">
        <f t="shared" si="7"/>
        <v>8960</v>
      </c>
      <c r="P15" s="24">
        <v>6400190</v>
      </c>
      <c r="Q15" s="33">
        <f t="shared" si="7"/>
        <v>-478</v>
      </c>
      <c r="R15" s="39">
        <v>143</v>
      </c>
      <c r="S15" s="32">
        <v>55</v>
      </c>
      <c r="T15" s="24">
        <v>42</v>
      </c>
      <c r="U15" s="24">
        <f t="shared" si="0"/>
        <v>48.5</v>
      </c>
      <c r="V15" s="33">
        <f t="shared" si="1"/>
        <v>16.5</v>
      </c>
      <c r="W15" s="44">
        <v>0</v>
      </c>
    </row>
    <row r="16" spans="1:23" ht="20.25" customHeight="1" x14ac:dyDescent="0.25">
      <c r="A16" s="41">
        <v>9</v>
      </c>
      <c r="B16" s="24">
        <v>25648</v>
      </c>
      <c r="C16" s="24">
        <f>+(B16-B15)*300</f>
        <v>6000</v>
      </c>
      <c r="D16" s="24">
        <v>60407</v>
      </c>
      <c r="E16" s="24">
        <f t="shared" si="3"/>
        <v>49.208999999999996</v>
      </c>
      <c r="F16" s="24">
        <v>37713</v>
      </c>
      <c r="G16" s="24">
        <f t="shared" si="4"/>
        <v>4.1000000000000005</v>
      </c>
      <c r="H16" s="24">
        <v>11425350</v>
      </c>
      <c r="I16" s="24">
        <f t="shared" si="6"/>
        <v>2575</v>
      </c>
      <c r="J16" s="24">
        <v>459483</v>
      </c>
      <c r="K16" s="24">
        <f t="shared" si="6"/>
        <v>604</v>
      </c>
      <c r="L16" s="24">
        <v>41707</v>
      </c>
      <c r="M16" s="24">
        <f t="shared" si="5"/>
        <v>9.7000000000000011</v>
      </c>
      <c r="N16" s="24">
        <v>31566010</v>
      </c>
      <c r="O16" s="24">
        <f t="shared" si="7"/>
        <v>6960</v>
      </c>
      <c r="P16" s="24">
        <v>6400190</v>
      </c>
      <c r="Q16" s="33">
        <f t="shared" si="7"/>
        <v>0</v>
      </c>
      <c r="R16" s="39">
        <v>123</v>
      </c>
      <c r="S16" s="32">
        <v>54</v>
      </c>
      <c r="T16" s="24">
        <v>47</v>
      </c>
      <c r="U16" s="24">
        <f t="shared" si="0"/>
        <v>50.5</v>
      </c>
      <c r="V16" s="33">
        <f t="shared" si="1"/>
        <v>14.5</v>
      </c>
      <c r="W16" s="44">
        <v>0</v>
      </c>
    </row>
    <row r="17" spans="1:23" ht="20.25" customHeight="1" x14ac:dyDescent="0.25">
      <c r="A17" s="41">
        <v>10</v>
      </c>
      <c r="B17" s="24">
        <v>25670</v>
      </c>
      <c r="C17" s="24">
        <f t="shared" si="2"/>
        <v>6600</v>
      </c>
      <c r="D17" s="24">
        <v>60459</v>
      </c>
      <c r="E17" s="24">
        <f t="shared" si="3"/>
        <v>54.443999999999996</v>
      </c>
      <c r="F17" s="24">
        <v>37761</v>
      </c>
      <c r="G17" s="24">
        <f t="shared" si="4"/>
        <v>4.8000000000000007</v>
      </c>
      <c r="H17" s="24">
        <v>11428680</v>
      </c>
      <c r="I17" s="24">
        <f t="shared" si="6"/>
        <v>3330</v>
      </c>
      <c r="J17" s="24">
        <v>459860</v>
      </c>
      <c r="K17" s="24">
        <f t="shared" si="6"/>
        <v>377</v>
      </c>
      <c r="L17" s="24">
        <v>41802</v>
      </c>
      <c r="M17" s="24">
        <f t="shared" si="5"/>
        <v>9.5</v>
      </c>
      <c r="N17" s="24">
        <v>31572340</v>
      </c>
      <c r="O17" s="24">
        <f t="shared" si="7"/>
        <v>6330</v>
      </c>
      <c r="P17" s="24">
        <v>6400302</v>
      </c>
      <c r="Q17" s="33">
        <f t="shared" si="7"/>
        <v>112</v>
      </c>
      <c r="R17" s="39">
        <v>95</v>
      </c>
      <c r="S17" s="32">
        <v>57</v>
      </c>
      <c r="T17" s="24">
        <v>45</v>
      </c>
      <c r="U17" s="24">
        <f t="shared" si="0"/>
        <v>51</v>
      </c>
      <c r="V17" s="33">
        <f t="shared" si="1"/>
        <v>14</v>
      </c>
      <c r="W17" s="44">
        <v>0</v>
      </c>
    </row>
    <row r="18" spans="1:23" ht="20.25" customHeight="1" x14ac:dyDescent="0.25">
      <c r="A18" s="41">
        <v>11</v>
      </c>
      <c r="B18" s="24">
        <v>25690</v>
      </c>
      <c r="C18" s="24">
        <f t="shared" si="2"/>
        <v>6000</v>
      </c>
      <c r="D18" s="24">
        <v>60505</v>
      </c>
      <c r="E18" s="24">
        <f t="shared" si="3"/>
        <v>48.161999999999999</v>
      </c>
      <c r="F18" s="24">
        <v>37805</v>
      </c>
      <c r="G18" s="24">
        <f t="shared" si="4"/>
        <v>4.4000000000000004</v>
      </c>
      <c r="H18" s="24">
        <v>11430751</v>
      </c>
      <c r="I18" s="24">
        <f t="shared" si="6"/>
        <v>2071</v>
      </c>
      <c r="J18" s="24">
        <v>460281</v>
      </c>
      <c r="K18" s="24">
        <f t="shared" si="6"/>
        <v>421</v>
      </c>
      <c r="L18" s="24">
        <v>41899</v>
      </c>
      <c r="M18" s="24">
        <f t="shared" si="5"/>
        <v>9.7000000000000011</v>
      </c>
      <c r="N18" s="24">
        <v>31578503</v>
      </c>
      <c r="O18" s="24">
        <f t="shared" si="7"/>
        <v>6163</v>
      </c>
      <c r="P18" s="24">
        <v>6400534</v>
      </c>
      <c r="Q18" s="33">
        <f t="shared" si="7"/>
        <v>232</v>
      </c>
      <c r="R18" s="39">
        <v>94</v>
      </c>
      <c r="S18" s="32">
        <v>57</v>
      </c>
      <c r="T18" s="24">
        <v>45</v>
      </c>
      <c r="U18" s="24">
        <f t="shared" si="0"/>
        <v>51</v>
      </c>
      <c r="V18" s="33">
        <f t="shared" si="1"/>
        <v>14</v>
      </c>
      <c r="W18" s="44">
        <v>0</v>
      </c>
    </row>
    <row r="19" spans="1:23" ht="20.25" customHeight="1" x14ac:dyDescent="0.25">
      <c r="A19" s="41">
        <v>12</v>
      </c>
      <c r="B19" s="24">
        <v>25710</v>
      </c>
      <c r="C19" s="24">
        <f t="shared" si="2"/>
        <v>6000</v>
      </c>
      <c r="D19" s="24">
        <v>60550</v>
      </c>
      <c r="E19" s="24">
        <f t="shared" si="3"/>
        <v>47.114999999999995</v>
      </c>
      <c r="F19" s="24">
        <v>37848</v>
      </c>
      <c r="G19" s="24">
        <f t="shared" si="4"/>
        <v>4.3</v>
      </c>
      <c r="H19" s="24">
        <v>11432980</v>
      </c>
      <c r="I19" s="24">
        <f t="shared" si="6"/>
        <v>2229</v>
      </c>
      <c r="J19" s="24">
        <v>461130</v>
      </c>
      <c r="K19" s="24">
        <f t="shared" si="6"/>
        <v>849</v>
      </c>
      <c r="L19" s="24">
        <v>41999</v>
      </c>
      <c r="M19" s="24">
        <f t="shared" si="5"/>
        <v>10</v>
      </c>
      <c r="N19" s="24">
        <v>31578503</v>
      </c>
      <c r="O19" s="24">
        <f t="shared" si="7"/>
        <v>0</v>
      </c>
      <c r="P19" s="24">
        <v>6400825</v>
      </c>
      <c r="Q19" s="33">
        <f t="shared" si="7"/>
        <v>291</v>
      </c>
      <c r="R19" s="39">
        <v>62</v>
      </c>
      <c r="S19" s="32">
        <v>53</v>
      </c>
      <c r="T19" s="24">
        <v>38</v>
      </c>
      <c r="U19" s="24">
        <f t="shared" si="0"/>
        <v>45.5</v>
      </c>
      <c r="V19" s="33">
        <f t="shared" si="1"/>
        <v>19.5</v>
      </c>
      <c r="W19" s="44">
        <v>0</v>
      </c>
    </row>
    <row r="20" spans="1:23" ht="20.25" customHeight="1" x14ac:dyDescent="0.25">
      <c r="A20" s="41">
        <v>13</v>
      </c>
      <c r="B20" s="24">
        <v>25735</v>
      </c>
      <c r="C20" s="24">
        <f t="shared" si="2"/>
        <v>7500</v>
      </c>
      <c r="D20" s="24">
        <v>60605</v>
      </c>
      <c r="E20" s="24">
        <f t="shared" si="3"/>
        <v>57.584999999999994</v>
      </c>
      <c r="F20" s="24">
        <v>37898</v>
      </c>
      <c r="G20" s="24">
        <f t="shared" si="4"/>
        <v>5</v>
      </c>
      <c r="H20" s="24">
        <v>11435428</v>
      </c>
      <c r="I20" s="24">
        <f t="shared" si="6"/>
        <v>2448</v>
      </c>
      <c r="J20" s="24">
        <v>461420</v>
      </c>
      <c r="K20" s="24">
        <f t="shared" si="6"/>
        <v>290</v>
      </c>
      <c r="L20" s="24">
        <v>42122</v>
      </c>
      <c r="M20" s="24">
        <f t="shared" si="5"/>
        <v>12.3</v>
      </c>
      <c r="N20" s="24">
        <v>31590990</v>
      </c>
      <c r="O20" s="24">
        <f t="shared" si="7"/>
        <v>12487</v>
      </c>
      <c r="P20" s="24">
        <v>6400568</v>
      </c>
      <c r="Q20" s="33">
        <f t="shared" si="7"/>
        <v>-257</v>
      </c>
      <c r="R20" s="39">
        <v>66</v>
      </c>
      <c r="S20" s="32">
        <v>54</v>
      </c>
      <c r="T20" s="24">
        <v>39</v>
      </c>
      <c r="U20" s="24">
        <f t="shared" si="0"/>
        <v>46.5</v>
      </c>
      <c r="V20" s="33">
        <f t="shared" si="1"/>
        <v>18.5</v>
      </c>
      <c r="W20" s="44">
        <v>0</v>
      </c>
    </row>
    <row r="21" spans="1:23" ht="20.25" customHeight="1" x14ac:dyDescent="0.25">
      <c r="A21" s="41">
        <v>14</v>
      </c>
      <c r="B21" s="24">
        <v>25753</v>
      </c>
      <c r="C21" s="24">
        <f t="shared" si="2"/>
        <v>5400</v>
      </c>
      <c r="D21" s="24">
        <v>60649</v>
      </c>
      <c r="E21" s="24">
        <f t="shared" si="3"/>
        <v>46.067999999999998</v>
      </c>
      <c r="F21" s="24">
        <v>37937</v>
      </c>
      <c r="G21" s="24">
        <f t="shared" si="4"/>
        <v>3.9000000000000004</v>
      </c>
      <c r="H21" s="24">
        <v>11437645</v>
      </c>
      <c r="I21" s="24">
        <f t="shared" si="6"/>
        <v>2217</v>
      </c>
      <c r="J21" s="24">
        <v>461653</v>
      </c>
      <c r="K21" s="24">
        <f t="shared" si="6"/>
        <v>233</v>
      </c>
      <c r="L21" s="24">
        <v>42219</v>
      </c>
      <c r="M21" s="24">
        <f t="shared" si="5"/>
        <v>9.7000000000000011</v>
      </c>
      <c r="N21" s="24">
        <v>31593900</v>
      </c>
      <c r="O21" s="24">
        <f t="shared" si="7"/>
        <v>2910</v>
      </c>
      <c r="P21" s="24">
        <v>6400501</v>
      </c>
      <c r="Q21" s="33">
        <f t="shared" si="7"/>
        <v>-67</v>
      </c>
      <c r="R21" s="39">
        <v>75</v>
      </c>
      <c r="S21" s="32">
        <v>54</v>
      </c>
      <c r="T21" s="24">
        <v>39</v>
      </c>
      <c r="U21" s="24">
        <f t="shared" si="0"/>
        <v>46.5</v>
      </c>
      <c r="V21" s="33">
        <f t="shared" si="1"/>
        <v>18.5</v>
      </c>
      <c r="W21" s="44">
        <v>0</v>
      </c>
    </row>
    <row r="22" spans="1:23" ht="20.25" customHeight="1" x14ac:dyDescent="0.25">
      <c r="A22" s="41">
        <v>15</v>
      </c>
      <c r="B22" s="24">
        <v>25776</v>
      </c>
      <c r="C22" s="24">
        <f t="shared" si="2"/>
        <v>6900</v>
      </c>
      <c r="D22" s="24">
        <v>60702</v>
      </c>
      <c r="E22" s="24">
        <f t="shared" si="3"/>
        <v>55.491</v>
      </c>
      <c r="F22" s="24">
        <v>37981</v>
      </c>
      <c r="G22" s="24">
        <f t="shared" si="4"/>
        <v>4.4000000000000004</v>
      </c>
      <c r="H22" s="24">
        <v>11440265</v>
      </c>
      <c r="I22" s="24">
        <f t="shared" si="6"/>
        <v>2620</v>
      </c>
      <c r="J22" s="24">
        <v>461831</v>
      </c>
      <c r="K22" s="24">
        <f t="shared" si="6"/>
        <v>178</v>
      </c>
      <c r="L22" s="24">
        <v>42319</v>
      </c>
      <c r="M22" s="24">
        <f t="shared" si="5"/>
        <v>10</v>
      </c>
      <c r="N22" s="24">
        <v>31598670</v>
      </c>
      <c r="O22" s="24">
        <f t="shared" si="7"/>
        <v>4770</v>
      </c>
      <c r="P22" s="24">
        <v>6400636</v>
      </c>
      <c r="Q22" s="33">
        <f t="shared" si="7"/>
        <v>135</v>
      </c>
      <c r="R22" s="39">
        <v>89</v>
      </c>
      <c r="S22" s="32">
        <v>55</v>
      </c>
      <c r="T22" s="24">
        <v>40</v>
      </c>
      <c r="U22" s="24">
        <f t="shared" si="0"/>
        <v>47.5</v>
      </c>
      <c r="V22" s="33">
        <f t="shared" si="1"/>
        <v>17.5</v>
      </c>
      <c r="W22" s="44">
        <v>0</v>
      </c>
    </row>
    <row r="23" spans="1:23" ht="20.25" customHeight="1" x14ac:dyDescent="0.25">
      <c r="A23" s="41">
        <v>16</v>
      </c>
      <c r="B23" s="24">
        <v>25797</v>
      </c>
      <c r="C23" s="24">
        <f t="shared" si="2"/>
        <v>6300</v>
      </c>
      <c r="D23" s="24">
        <v>60753</v>
      </c>
      <c r="E23" s="24">
        <f t="shared" si="3"/>
        <v>53.396999999999998</v>
      </c>
      <c r="F23" s="24">
        <v>38025</v>
      </c>
      <c r="G23" s="24">
        <f t="shared" si="4"/>
        <v>4.4000000000000004</v>
      </c>
      <c r="H23" s="24">
        <v>11442890</v>
      </c>
      <c r="I23" s="24">
        <f t="shared" si="6"/>
        <v>2625</v>
      </c>
      <c r="J23" s="24">
        <v>462271</v>
      </c>
      <c r="K23" s="24">
        <f t="shared" si="6"/>
        <v>440</v>
      </c>
      <c r="L23" s="24">
        <v>42425</v>
      </c>
      <c r="M23" s="24">
        <f t="shared" si="5"/>
        <v>10.600000000000001</v>
      </c>
      <c r="N23" s="24">
        <v>31604075</v>
      </c>
      <c r="O23" s="24">
        <f t="shared" si="7"/>
        <v>5405</v>
      </c>
      <c r="P23" s="24">
        <v>6400815</v>
      </c>
      <c r="Q23" s="33">
        <f t="shared" si="7"/>
        <v>179</v>
      </c>
      <c r="R23" s="39">
        <v>94</v>
      </c>
      <c r="S23" s="32">
        <v>56</v>
      </c>
      <c r="T23" s="24">
        <v>39</v>
      </c>
      <c r="U23" s="24">
        <f t="shared" si="0"/>
        <v>47.5</v>
      </c>
      <c r="V23" s="33">
        <f t="shared" si="1"/>
        <v>17.5</v>
      </c>
      <c r="W23" s="44">
        <v>0</v>
      </c>
    </row>
    <row r="24" spans="1:23" ht="20.25" customHeight="1" x14ac:dyDescent="0.25">
      <c r="A24" s="41">
        <v>17</v>
      </c>
      <c r="B24" s="24">
        <v>25820</v>
      </c>
      <c r="C24" s="24">
        <f t="shared" si="2"/>
        <v>6900</v>
      </c>
      <c r="D24" s="24">
        <v>60803</v>
      </c>
      <c r="E24" s="24">
        <f t="shared" si="3"/>
        <v>52.349999999999994</v>
      </c>
      <c r="F24" s="24">
        <v>38070</v>
      </c>
      <c r="G24" s="24">
        <f t="shared" si="4"/>
        <v>4.5</v>
      </c>
      <c r="H24" s="24">
        <v>11445055</v>
      </c>
      <c r="I24" s="24">
        <f t="shared" si="6"/>
        <v>2165</v>
      </c>
      <c r="J24" s="24">
        <v>462678</v>
      </c>
      <c r="K24" s="24">
        <f t="shared" si="6"/>
        <v>407</v>
      </c>
      <c r="L24" s="24">
        <v>42538</v>
      </c>
      <c r="M24" s="24">
        <f t="shared" si="5"/>
        <v>11.3</v>
      </c>
      <c r="N24" s="24">
        <v>31610340</v>
      </c>
      <c r="O24" s="24">
        <f t="shared" si="7"/>
        <v>6265</v>
      </c>
      <c r="P24" s="24">
        <v>6400171</v>
      </c>
      <c r="Q24" s="33">
        <f t="shared" si="7"/>
        <v>-644</v>
      </c>
      <c r="R24" s="39">
        <v>58</v>
      </c>
      <c r="S24" s="32">
        <v>56</v>
      </c>
      <c r="T24" s="24">
        <v>38</v>
      </c>
      <c r="U24" s="24">
        <f t="shared" si="0"/>
        <v>47</v>
      </c>
      <c r="V24" s="33">
        <f t="shared" si="1"/>
        <v>18</v>
      </c>
      <c r="W24" s="44">
        <v>0</v>
      </c>
    </row>
    <row r="25" spans="1:23" ht="20.25" customHeight="1" x14ac:dyDescent="0.25">
      <c r="A25" s="41">
        <v>18</v>
      </c>
      <c r="B25" s="24">
        <v>25845</v>
      </c>
      <c r="C25" s="24">
        <f t="shared" si="2"/>
        <v>7500</v>
      </c>
      <c r="D25" s="24">
        <v>60859</v>
      </c>
      <c r="E25" s="24">
        <f t="shared" si="3"/>
        <v>58.631999999999998</v>
      </c>
      <c r="F25" s="24">
        <v>38123</v>
      </c>
      <c r="G25" s="24">
        <f t="shared" si="4"/>
        <v>5.3000000000000007</v>
      </c>
      <c r="H25" s="24">
        <v>11447280</v>
      </c>
      <c r="I25" s="24">
        <f t="shared" si="6"/>
        <v>2225</v>
      </c>
      <c r="J25" s="24">
        <v>463084</v>
      </c>
      <c r="K25" s="24">
        <f t="shared" si="6"/>
        <v>406</v>
      </c>
      <c r="L25" s="24">
        <v>42670</v>
      </c>
      <c r="M25" s="24">
        <f t="shared" si="5"/>
        <v>13.200000000000001</v>
      </c>
      <c r="N25" s="24">
        <v>31617911</v>
      </c>
      <c r="O25" s="24">
        <f t="shared" si="7"/>
        <v>7571</v>
      </c>
      <c r="P25" s="24">
        <v>6400408</v>
      </c>
      <c r="Q25" s="33">
        <f t="shared" si="7"/>
        <v>237</v>
      </c>
      <c r="R25" s="39">
        <v>57</v>
      </c>
      <c r="S25" s="32">
        <v>53</v>
      </c>
      <c r="T25" s="24">
        <v>39</v>
      </c>
      <c r="U25" s="24">
        <f t="shared" si="0"/>
        <v>46</v>
      </c>
      <c r="V25" s="33">
        <f t="shared" si="1"/>
        <v>19</v>
      </c>
      <c r="W25" s="44">
        <v>0</v>
      </c>
    </row>
    <row r="26" spans="1:23" ht="20.25" customHeight="1" x14ac:dyDescent="0.25">
      <c r="A26" s="41">
        <v>19</v>
      </c>
      <c r="B26" s="24">
        <v>25862</v>
      </c>
      <c r="C26" s="24">
        <f t="shared" si="2"/>
        <v>5100</v>
      </c>
      <c r="D26" s="24">
        <v>60897</v>
      </c>
      <c r="E26" s="24">
        <f t="shared" si="3"/>
        <v>39.785999999999994</v>
      </c>
      <c r="F26" s="24">
        <v>38160</v>
      </c>
      <c r="G26" s="24">
        <f t="shared" si="4"/>
        <v>3.7</v>
      </c>
      <c r="H26" s="24">
        <v>11448577</v>
      </c>
      <c r="I26" s="24">
        <f t="shared" si="6"/>
        <v>1297</v>
      </c>
      <c r="J26" s="24">
        <v>463153</v>
      </c>
      <c r="K26" s="24">
        <f t="shared" si="6"/>
        <v>69</v>
      </c>
      <c r="L26" s="24">
        <v>42762</v>
      </c>
      <c r="M26" s="24">
        <f t="shared" si="5"/>
        <v>9.2000000000000011</v>
      </c>
      <c r="N26" s="24">
        <v>31621991</v>
      </c>
      <c r="O26" s="24">
        <f t="shared" si="7"/>
        <v>4080</v>
      </c>
      <c r="P26" s="24">
        <v>6400615</v>
      </c>
      <c r="Q26" s="33">
        <f t="shared" si="7"/>
        <v>207</v>
      </c>
      <c r="R26" s="39">
        <v>41</v>
      </c>
      <c r="S26" s="32">
        <v>52</v>
      </c>
      <c r="T26" s="24">
        <v>41</v>
      </c>
      <c r="U26" s="24">
        <f t="shared" si="0"/>
        <v>46.5</v>
      </c>
      <c r="V26" s="33">
        <f t="shared" si="1"/>
        <v>18.5</v>
      </c>
      <c r="W26" s="44">
        <v>0</v>
      </c>
    </row>
    <row r="27" spans="1:23" ht="20.25" customHeight="1" x14ac:dyDescent="0.25">
      <c r="A27" s="41">
        <v>20</v>
      </c>
      <c r="B27" s="24">
        <v>25881</v>
      </c>
      <c r="C27" s="24">
        <f t="shared" si="2"/>
        <v>5700</v>
      </c>
      <c r="D27" s="24">
        <v>60943</v>
      </c>
      <c r="E27" s="24">
        <f t="shared" si="3"/>
        <v>48.161999999999999</v>
      </c>
      <c r="F27" s="24">
        <v>38214</v>
      </c>
      <c r="G27" s="24">
        <f t="shared" si="4"/>
        <v>5.4</v>
      </c>
      <c r="H27" s="24">
        <v>11450525</v>
      </c>
      <c r="I27" s="24">
        <f t="shared" si="6"/>
        <v>1948</v>
      </c>
      <c r="J27" s="24">
        <v>463329</v>
      </c>
      <c r="K27" s="24">
        <f t="shared" si="6"/>
        <v>176</v>
      </c>
      <c r="L27" s="24">
        <v>42878</v>
      </c>
      <c r="M27" s="24">
        <f t="shared" si="5"/>
        <v>11.600000000000001</v>
      </c>
      <c r="N27" s="24">
        <v>31625300</v>
      </c>
      <c r="O27" s="24">
        <f t="shared" ref="O27:Q37" si="8">+N27-N26</f>
        <v>3309</v>
      </c>
      <c r="P27" s="24">
        <v>6400620</v>
      </c>
      <c r="Q27" s="33">
        <f t="shared" si="8"/>
        <v>5</v>
      </c>
      <c r="R27" s="39">
        <v>34</v>
      </c>
      <c r="S27" s="32">
        <v>54</v>
      </c>
      <c r="T27" s="24">
        <v>43</v>
      </c>
      <c r="U27" s="24">
        <f t="shared" si="0"/>
        <v>48.5</v>
      </c>
      <c r="V27" s="33">
        <f t="shared" si="1"/>
        <v>16.5</v>
      </c>
      <c r="W27" s="44">
        <v>0</v>
      </c>
    </row>
    <row r="28" spans="1:23" ht="20.25" customHeight="1" x14ac:dyDescent="0.25">
      <c r="A28" s="41">
        <v>21</v>
      </c>
      <c r="B28" s="24">
        <v>25902</v>
      </c>
      <c r="C28" s="24">
        <f t="shared" si="2"/>
        <v>6300</v>
      </c>
      <c r="D28" s="24">
        <v>60998</v>
      </c>
      <c r="E28" s="24">
        <f t="shared" si="3"/>
        <v>57.584999999999994</v>
      </c>
      <c r="F28" s="24">
        <v>38293</v>
      </c>
      <c r="G28" s="24">
        <f t="shared" si="4"/>
        <v>7.9</v>
      </c>
      <c r="H28" s="24">
        <v>11452745</v>
      </c>
      <c r="I28" s="24">
        <f t="shared" si="6"/>
        <v>2220</v>
      </c>
      <c r="J28" s="24">
        <v>463602</v>
      </c>
      <c r="K28" s="24">
        <f t="shared" si="6"/>
        <v>273</v>
      </c>
      <c r="L28" s="24">
        <v>42970</v>
      </c>
      <c r="M28" s="24">
        <f t="shared" si="5"/>
        <v>9.2000000000000011</v>
      </c>
      <c r="N28" s="24">
        <v>31628275</v>
      </c>
      <c r="O28" s="24">
        <f t="shared" si="8"/>
        <v>2975</v>
      </c>
      <c r="P28" s="24">
        <v>6400624</v>
      </c>
      <c r="Q28" s="33">
        <f t="shared" si="8"/>
        <v>4</v>
      </c>
      <c r="R28" s="39">
        <v>19</v>
      </c>
      <c r="S28" s="32">
        <v>58</v>
      </c>
      <c r="T28" s="24">
        <v>46</v>
      </c>
      <c r="U28" s="24">
        <f t="shared" si="0"/>
        <v>52</v>
      </c>
      <c r="V28" s="33">
        <f t="shared" si="1"/>
        <v>13</v>
      </c>
      <c r="W28" s="44">
        <v>0</v>
      </c>
    </row>
    <row r="29" spans="1:23" ht="20.25" customHeight="1" x14ac:dyDescent="0.25">
      <c r="A29" s="41">
        <v>22</v>
      </c>
      <c r="B29" s="24">
        <v>25921</v>
      </c>
      <c r="C29" s="24">
        <f t="shared" si="2"/>
        <v>5700</v>
      </c>
      <c r="D29" s="24">
        <v>61041</v>
      </c>
      <c r="E29" s="24">
        <f t="shared" si="3"/>
        <v>45.020999999999994</v>
      </c>
      <c r="F29" s="24">
        <v>38374</v>
      </c>
      <c r="G29" s="24">
        <f t="shared" si="4"/>
        <v>8.1</v>
      </c>
      <c r="H29" s="24">
        <v>11454640</v>
      </c>
      <c r="I29" s="24">
        <f t="shared" si="6"/>
        <v>1895</v>
      </c>
      <c r="J29" s="24">
        <v>463926</v>
      </c>
      <c r="K29" s="24">
        <f t="shared" si="6"/>
        <v>324</v>
      </c>
      <c r="L29" s="24">
        <v>43064</v>
      </c>
      <c r="M29" s="24">
        <f t="shared" si="5"/>
        <v>9.4</v>
      </c>
      <c r="N29" s="24">
        <v>31630780</v>
      </c>
      <c r="O29" s="24">
        <f t="shared" si="8"/>
        <v>2505</v>
      </c>
      <c r="P29" s="24">
        <v>6400771</v>
      </c>
      <c r="Q29" s="33">
        <f t="shared" si="8"/>
        <v>147</v>
      </c>
      <c r="R29" s="39">
        <v>19</v>
      </c>
      <c r="S29" s="32">
        <v>56</v>
      </c>
      <c r="T29" s="24">
        <v>47</v>
      </c>
      <c r="U29" s="24">
        <f t="shared" si="0"/>
        <v>51.5</v>
      </c>
      <c r="V29" s="33">
        <f t="shared" si="1"/>
        <v>13.5</v>
      </c>
      <c r="W29" s="44">
        <v>0</v>
      </c>
    </row>
    <row r="30" spans="1:23" ht="20.25" customHeight="1" x14ac:dyDescent="0.25">
      <c r="A30" s="41">
        <v>23</v>
      </c>
      <c r="B30" s="24">
        <v>25941</v>
      </c>
      <c r="C30" s="24">
        <f t="shared" si="2"/>
        <v>6000</v>
      </c>
      <c r="D30" s="24">
        <v>61091</v>
      </c>
      <c r="E30" s="24">
        <f t="shared" si="3"/>
        <v>52.349999999999994</v>
      </c>
      <c r="F30" s="24">
        <v>38455</v>
      </c>
      <c r="G30" s="24">
        <f t="shared" si="4"/>
        <v>8.1</v>
      </c>
      <c r="H30" s="24">
        <v>11456605</v>
      </c>
      <c r="I30" s="24">
        <f t="shared" si="6"/>
        <v>1965</v>
      </c>
      <c r="J30" s="24">
        <v>464217</v>
      </c>
      <c r="K30" s="24">
        <f t="shared" si="6"/>
        <v>291</v>
      </c>
      <c r="L30" s="24">
        <v>43177</v>
      </c>
      <c r="M30" s="24">
        <f t="shared" si="5"/>
        <v>11.3</v>
      </c>
      <c r="N30" s="24">
        <v>31634310</v>
      </c>
      <c r="O30" s="24">
        <f t="shared" si="8"/>
        <v>3530</v>
      </c>
      <c r="P30" s="24">
        <v>6400852</v>
      </c>
      <c r="Q30" s="33">
        <f t="shared" si="8"/>
        <v>81</v>
      </c>
      <c r="R30" s="39">
        <v>30</v>
      </c>
      <c r="S30" s="32">
        <v>57</v>
      </c>
      <c r="T30" s="24">
        <v>45</v>
      </c>
      <c r="U30" s="24">
        <f t="shared" si="0"/>
        <v>51</v>
      </c>
      <c r="V30" s="33">
        <f t="shared" si="1"/>
        <v>14</v>
      </c>
      <c r="W30" s="44">
        <v>0</v>
      </c>
    </row>
    <row r="31" spans="1:23" ht="20.25" customHeight="1" x14ac:dyDescent="0.25">
      <c r="A31" s="41">
        <v>24</v>
      </c>
      <c r="B31" s="24">
        <v>25964</v>
      </c>
      <c r="C31" s="24">
        <f t="shared" si="2"/>
        <v>6900</v>
      </c>
      <c r="D31" s="24">
        <v>61142</v>
      </c>
      <c r="E31" s="24">
        <f t="shared" si="3"/>
        <v>53.396999999999998</v>
      </c>
      <c r="F31" s="24">
        <v>38541</v>
      </c>
      <c r="G31" s="24">
        <f t="shared" si="4"/>
        <v>8.6</v>
      </c>
      <c r="H31" s="24">
        <v>11458000</v>
      </c>
      <c r="I31" s="24">
        <f t="shared" si="6"/>
        <v>1395</v>
      </c>
      <c r="J31" s="24">
        <v>464693</v>
      </c>
      <c r="K31" s="24">
        <f t="shared" si="6"/>
        <v>476</v>
      </c>
      <c r="L31" s="24">
        <v>43275</v>
      </c>
      <c r="M31" s="24">
        <f t="shared" si="5"/>
        <v>9.8000000000000007</v>
      </c>
      <c r="N31" s="24">
        <v>31639360</v>
      </c>
      <c r="O31" s="24">
        <f t="shared" si="8"/>
        <v>5050</v>
      </c>
      <c r="P31" s="24">
        <v>6400984</v>
      </c>
      <c r="Q31" s="33">
        <f t="shared" si="8"/>
        <v>132</v>
      </c>
      <c r="R31" s="39">
        <v>42</v>
      </c>
      <c r="S31" s="32">
        <v>57</v>
      </c>
      <c r="T31" s="24">
        <v>45</v>
      </c>
      <c r="U31" s="24">
        <f t="shared" si="0"/>
        <v>51</v>
      </c>
      <c r="V31" s="33">
        <f t="shared" si="1"/>
        <v>14</v>
      </c>
      <c r="W31" s="44">
        <v>0</v>
      </c>
    </row>
    <row r="32" spans="1:23" ht="20.25" customHeight="1" x14ac:dyDescent="0.25">
      <c r="A32" s="41">
        <v>25</v>
      </c>
      <c r="B32" s="24">
        <v>25986</v>
      </c>
      <c r="C32" s="24">
        <f t="shared" si="2"/>
        <v>6600</v>
      </c>
      <c r="D32" s="24">
        <v>61191</v>
      </c>
      <c r="E32" s="24">
        <f t="shared" si="3"/>
        <v>51.302999999999997</v>
      </c>
      <c r="F32" s="24">
        <v>38624</v>
      </c>
      <c r="G32" s="24">
        <f t="shared" si="4"/>
        <v>8.3000000000000007</v>
      </c>
      <c r="H32" s="24">
        <v>11460958</v>
      </c>
      <c r="I32" s="24">
        <f t="shared" si="6"/>
        <v>2958</v>
      </c>
      <c r="J32" s="24">
        <v>465008</v>
      </c>
      <c r="K32" s="24">
        <f t="shared" si="6"/>
        <v>315</v>
      </c>
      <c r="L32" s="24">
        <v>43370</v>
      </c>
      <c r="M32" s="24">
        <f t="shared" si="5"/>
        <v>9.5</v>
      </c>
      <c r="N32" s="24">
        <v>31646144</v>
      </c>
      <c r="O32" s="24">
        <f t="shared" si="8"/>
        <v>6784</v>
      </c>
      <c r="P32" s="24">
        <v>6401010</v>
      </c>
      <c r="Q32" s="33">
        <f t="shared" si="8"/>
        <v>26</v>
      </c>
      <c r="R32" s="39">
        <v>47</v>
      </c>
      <c r="S32" s="32">
        <v>59</v>
      </c>
      <c r="T32" s="24">
        <v>47</v>
      </c>
      <c r="U32" s="24">
        <f t="shared" si="0"/>
        <v>53</v>
      </c>
      <c r="V32" s="33">
        <f t="shared" si="1"/>
        <v>12</v>
      </c>
      <c r="W32" s="44">
        <v>0</v>
      </c>
    </row>
    <row r="33" spans="1:23" ht="20.25" customHeight="1" x14ac:dyDescent="0.25">
      <c r="A33" s="41">
        <v>26</v>
      </c>
      <c r="B33" s="24">
        <v>26006</v>
      </c>
      <c r="C33" s="24">
        <f t="shared" si="2"/>
        <v>6000</v>
      </c>
      <c r="D33" s="24">
        <v>61237</v>
      </c>
      <c r="E33" s="24">
        <f t="shared" si="3"/>
        <v>48.161999999999999</v>
      </c>
      <c r="F33" s="24">
        <v>38691</v>
      </c>
      <c r="G33" s="24">
        <f t="shared" si="4"/>
        <v>6.7</v>
      </c>
      <c r="H33" s="24">
        <v>11463050</v>
      </c>
      <c r="I33" s="24">
        <f t="shared" si="6"/>
        <v>2092</v>
      </c>
      <c r="J33" s="24">
        <v>465395</v>
      </c>
      <c r="K33" s="24">
        <f t="shared" si="6"/>
        <v>387</v>
      </c>
      <c r="L33" s="24">
        <v>43444</v>
      </c>
      <c r="M33" s="24">
        <f t="shared" si="5"/>
        <v>7.4</v>
      </c>
      <c r="N33" s="24">
        <v>31650430</v>
      </c>
      <c r="O33" s="24">
        <f t="shared" si="8"/>
        <v>4286</v>
      </c>
      <c r="P33" s="24">
        <v>6400198</v>
      </c>
      <c r="Q33" s="33">
        <f t="shared" si="8"/>
        <v>-812</v>
      </c>
      <c r="R33" s="39">
        <v>40</v>
      </c>
      <c r="S33" s="32">
        <v>57</v>
      </c>
      <c r="T33" s="24">
        <v>48</v>
      </c>
      <c r="U33" s="24">
        <f t="shared" si="0"/>
        <v>52.5</v>
      </c>
      <c r="V33" s="33">
        <f t="shared" si="1"/>
        <v>12.5</v>
      </c>
      <c r="W33" s="44">
        <v>0</v>
      </c>
    </row>
    <row r="34" spans="1:23" ht="20.25" customHeight="1" x14ac:dyDescent="0.25">
      <c r="A34" s="41">
        <v>27</v>
      </c>
      <c r="B34" s="24">
        <v>26026</v>
      </c>
      <c r="C34" s="24">
        <f t="shared" si="2"/>
        <v>6000</v>
      </c>
      <c r="D34" s="24">
        <v>61280</v>
      </c>
      <c r="E34" s="24">
        <f t="shared" si="3"/>
        <v>45.020999999999994</v>
      </c>
      <c r="F34" s="24">
        <v>38763</v>
      </c>
      <c r="G34" s="24">
        <f t="shared" si="4"/>
        <v>7.2</v>
      </c>
      <c r="H34" s="24">
        <v>11464860</v>
      </c>
      <c r="I34" s="24">
        <f t="shared" si="6"/>
        <v>1810</v>
      </c>
      <c r="J34" s="24">
        <v>465395</v>
      </c>
      <c r="K34" s="24">
        <f t="shared" si="6"/>
        <v>0</v>
      </c>
      <c r="L34" s="24">
        <v>43519</v>
      </c>
      <c r="M34" s="24">
        <f t="shared" si="5"/>
        <v>7.5</v>
      </c>
      <c r="N34" s="24">
        <v>31654900</v>
      </c>
      <c r="O34" s="24">
        <f t="shared" si="8"/>
        <v>4470</v>
      </c>
      <c r="P34" s="24">
        <v>6400199</v>
      </c>
      <c r="Q34" s="33">
        <f t="shared" si="8"/>
        <v>1</v>
      </c>
      <c r="R34" s="39">
        <v>52</v>
      </c>
      <c r="S34" s="32">
        <v>60</v>
      </c>
      <c r="T34" s="24">
        <v>45</v>
      </c>
      <c r="U34" s="24">
        <f t="shared" si="0"/>
        <v>52.5</v>
      </c>
      <c r="V34" s="33">
        <f t="shared" si="1"/>
        <v>12.5</v>
      </c>
      <c r="W34" s="44">
        <v>0</v>
      </c>
    </row>
    <row r="35" spans="1:23" ht="20.25" customHeight="1" x14ac:dyDescent="0.25">
      <c r="A35" s="41">
        <v>28</v>
      </c>
      <c r="B35" s="24">
        <v>26045</v>
      </c>
      <c r="C35" s="24">
        <f t="shared" si="2"/>
        <v>5700</v>
      </c>
      <c r="D35" s="24">
        <v>61323</v>
      </c>
      <c r="E35" s="24">
        <f t="shared" si="3"/>
        <v>45.020999999999994</v>
      </c>
      <c r="F35" s="24">
        <v>38830</v>
      </c>
      <c r="G35" s="24">
        <f t="shared" si="4"/>
        <v>6.7</v>
      </c>
      <c r="H35" s="24">
        <v>11467950</v>
      </c>
      <c r="I35" s="24">
        <f t="shared" si="6"/>
        <v>3090</v>
      </c>
      <c r="J35" s="24">
        <v>465989</v>
      </c>
      <c r="K35" s="24">
        <f t="shared" si="6"/>
        <v>594</v>
      </c>
      <c r="L35" s="24">
        <v>43609</v>
      </c>
      <c r="M35" s="24">
        <f t="shared" si="5"/>
        <v>9</v>
      </c>
      <c r="N35" s="24">
        <v>31660800</v>
      </c>
      <c r="O35" s="24">
        <f t="shared" si="8"/>
        <v>5900</v>
      </c>
      <c r="P35" s="24">
        <v>6400199</v>
      </c>
      <c r="Q35" s="33">
        <f t="shared" si="8"/>
        <v>0</v>
      </c>
      <c r="R35" s="39">
        <v>66</v>
      </c>
      <c r="S35" s="32">
        <v>54</v>
      </c>
      <c r="T35" s="24">
        <v>47</v>
      </c>
      <c r="U35" s="24">
        <f t="shared" si="0"/>
        <v>50.5</v>
      </c>
      <c r="V35" s="33">
        <f t="shared" si="1"/>
        <v>14.5</v>
      </c>
      <c r="W35" s="44">
        <v>0</v>
      </c>
    </row>
    <row r="36" spans="1:23" ht="20.25" customHeight="1" x14ac:dyDescent="0.25">
      <c r="A36" s="41">
        <v>29</v>
      </c>
      <c r="B36" s="24">
        <v>26066</v>
      </c>
      <c r="C36" s="24">
        <f t="shared" si="2"/>
        <v>6300</v>
      </c>
      <c r="D36" s="24">
        <v>61371</v>
      </c>
      <c r="E36" s="24">
        <f t="shared" si="3"/>
        <v>50.256</v>
      </c>
      <c r="F36" s="24">
        <v>38898</v>
      </c>
      <c r="G36" s="24">
        <f t="shared" si="4"/>
        <v>6.8000000000000007</v>
      </c>
      <c r="H36" s="24">
        <v>11469090</v>
      </c>
      <c r="I36" s="24">
        <f t="shared" si="6"/>
        <v>1140</v>
      </c>
      <c r="J36" s="24">
        <v>466355</v>
      </c>
      <c r="K36" s="24">
        <f t="shared" si="6"/>
        <v>366</v>
      </c>
      <c r="L36" s="24">
        <v>43711</v>
      </c>
      <c r="M36" s="24">
        <f t="shared" si="5"/>
        <v>10.200000000000001</v>
      </c>
      <c r="N36" s="24">
        <v>31666900</v>
      </c>
      <c r="O36" s="24">
        <f t="shared" si="8"/>
        <v>6100</v>
      </c>
      <c r="P36" s="24">
        <v>6400125</v>
      </c>
      <c r="Q36" s="33">
        <f>+P36-P35</f>
        <v>-74</v>
      </c>
      <c r="R36" s="39">
        <v>64</v>
      </c>
      <c r="S36" s="32">
        <v>54</v>
      </c>
      <c r="T36" s="24">
        <v>50</v>
      </c>
      <c r="U36" s="24">
        <f t="shared" si="0"/>
        <v>52</v>
      </c>
      <c r="V36" s="33">
        <f t="shared" si="1"/>
        <v>13</v>
      </c>
      <c r="W36" s="44">
        <v>0</v>
      </c>
    </row>
    <row r="37" spans="1:23" ht="20.25" customHeight="1" x14ac:dyDescent="0.25">
      <c r="A37" s="41">
        <v>30</v>
      </c>
      <c r="B37" s="24">
        <v>26087</v>
      </c>
      <c r="C37" s="24">
        <f t="shared" si="2"/>
        <v>6300</v>
      </c>
      <c r="D37" s="24">
        <v>61424</v>
      </c>
      <c r="E37" s="24">
        <f t="shared" si="3"/>
        <v>55.491</v>
      </c>
      <c r="F37" s="24">
        <v>38961</v>
      </c>
      <c r="G37" s="24">
        <f t="shared" si="4"/>
        <v>6.3000000000000007</v>
      </c>
      <c r="H37" s="24">
        <v>11471435</v>
      </c>
      <c r="I37" s="24">
        <f t="shared" si="6"/>
        <v>2345</v>
      </c>
      <c r="J37" s="24">
        <v>466636</v>
      </c>
      <c r="K37" s="24">
        <f t="shared" si="6"/>
        <v>281</v>
      </c>
      <c r="L37" s="24">
        <v>43825</v>
      </c>
      <c r="M37" s="24">
        <f t="shared" si="5"/>
        <v>11.4</v>
      </c>
      <c r="N37" s="24">
        <v>31673450</v>
      </c>
      <c r="O37" s="24">
        <f t="shared" si="8"/>
        <v>6550</v>
      </c>
      <c r="P37" s="24">
        <v>6400128</v>
      </c>
      <c r="Q37" s="33">
        <f>+P37-P36</f>
        <v>3</v>
      </c>
      <c r="R37" s="39">
        <v>69</v>
      </c>
      <c r="S37" s="32">
        <v>59</v>
      </c>
      <c r="T37" s="24">
        <v>54</v>
      </c>
      <c r="U37" s="24">
        <f t="shared" si="0"/>
        <v>56.5</v>
      </c>
      <c r="V37" s="33">
        <f t="shared" si="1"/>
        <v>8.5</v>
      </c>
      <c r="W37" s="44">
        <v>0</v>
      </c>
    </row>
    <row r="38" spans="1:23" ht="20.25" customHeight="1" thickBot="1" x14ac:dyDescent="0.3">
      <c r="A38" s="42">
        <v>31</v>
      </c>
      <c r="B38" s="24">
        <v>26110</v>
      </c>
      <c r="C38" s="35">
        <f>+(B38-B36)*300</f>
        <v>13200</v>
      </c>
      <c r="D38" s="24">
        <v>61471</v>
      </c>
      <c r="E38" s="35">
        <f>+(D38-D36)*1.047</f>
        <v>104.69999999999999</v>
      </c>
      <c r="F38" s="24">
        <v>39014</v>
      </c>
      <c r="G38" s="35">
        <f>+(F38-F36)*0.1</f>
        <v>11.600000000000001</v>
      </c>
      <c r="H38" s="24">
        <v>11473790</v>
      </c>
      <c r="I38" s="35">
        <f>+H38-H36</f>
        <v>4700</v>
      </c>
      <c r="J38" s="24">
        <v>467101</v>
      </c>
      <c r="K38" s="35">
        <f>+J38-J36</f>
        <v>746</v>
      </c>
      <c r="L38" s="24">
        <v>43933</v>
      </c>
      <c r="M38" s="35">
        <f>+(L38-L36)*0.1</f>
        <v>22.200000000000003</v>
      </c>
      <c r="N38" s="24">
        <v>31680085</v>
      </c>
      <c r="O38" s="35">
        <f>+N38-N36</f>
        <v>13185</v>
      </c>
      <c r="P38" s="24">
        <v>6400133</v>
      </c>
      <c r="Q38" s="36">
        <f>+P38-P36</f>
        <v>8</v>
      </c>
      <c r="R38" s="40">
        <v>83</v>
      </c>
      <c r="S38" s="34">
        <v>62</v>
      </c>
      <c r="T38" s="35">
        <v>55</v>
      </c>
      <c r="U38" s="35">
        <f t="shared" si="0"/>
        <v>58.5</v>
      </c>
      <c r="V38" s="36">
        <f t="shared" si="1"/>
        <v>6.5</v>
      </c>
      <c r="W38" s="44">
        <v>0</v>
      </c>
    </row>
    <row r="40" spans="1:23" x14ac:dyDescent="0.25">
      <c r="A40" s="25" t="s">
        <v>15</v>
      </c>
      <c r="B40" s="24"/>
      <c r="C40" s="26">
        <f>SUM(C8:C39)</f>
        <v>203100</v>
      </c>
      <c r="D40" s="24"/>
      <c r="E40" s="26">
        <f>SUM(E8:E39)</f>
        <v>1638.5550000000001</v>
      </c>
      <c r="F40" s="24"/>
      <c r="G40" s="26">
        <f>SUM(G8:G39)</f>
        <v>175.6</v>
      </c>
      <c r="H40" s="24"/>
      <c r="I40" s="26">
        <f>SUM(I8:I39)</f>
        <v>73525</v>
      </c>
      <c r="J40" s="24"/>
      <c r="K40" s="26">
        <f>SUM(K8:K39)</f>
        <v>12234</v>
      </c>
      <c r="L40" s="24"/>
      <c r="M40" s="26">
        <f>SUM(M8:M39)</f>
        <v>328.4</v>
      </c>
      <c r="N40" s="24"/>
      <c r="O40" s="26">
        <f>SUM(O8:O39)</f>
        <v>178045</v>
      </c>
      <c r="P40" s="24"/>
      <c r="Q40" s="26">
        <f>SUM(Q8:Q39)</f>
        <v>-451</v>
      </c>
      <c r="R40" s="16">
        <f>SUM(R8:R39)</f>
        <v>2186</v>
      </c>
      <c r="V40" s="16">
        <f>SUM(V8:V38)</f>
        <v>472</v>
      </c>
      <c r="W40" s="16">
        <f>SUM(W8:W39)</f>
        <v>0</v>
      </c>
    </row>
  </sheetData>
  <mergeCells count="3">
    <mergeCell ref="A1:B1"/>
    <mergeCell ref="A2:J3"/>
    <mergeCell ref="A4:L4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2023-01-18T16:18:15Z</dcterms:modified>
  <cp:category/>
  <cp:contentStatus/>
</cp:coreProperties>
</file>