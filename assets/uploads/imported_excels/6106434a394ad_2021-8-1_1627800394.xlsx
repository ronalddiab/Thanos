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G31" i="5" s="1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G30" i="5" s="1"/>
  <c r="AN36" i="7"/>
  <c r="M31" i="9"/>
  <c r="AK36" i="7"/>
  <c r="J31" i="9"/>
  <c r="AH36" i="7"/>
  <c r="G31" i="9"/>
  <c r="AG36" i="7"/>
  <c r="F31" i="9"/>
  <c r="AM35" i="7"/>
  <c r="L30" i="9"/>
  <c r="AG35" i="7"/>
  <c r="F30" i="9"/>
  <c r="AW34" i="7"/>
  <c r="R29" i="9"/>
  <c r="G29" i="5" s="1"/>
  <c r="AV38" i="7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<sst xmlns="http://schemas.openxmlformats.org/spreadsheetml/2006/main" count="128" uniqueCount="49">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</sst>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Submetering!R27</f>
        <v>1152.278804</v>
      </c>
      <c r="H27" s="11">
        <v>0.52800000000000002</v>
      </c>
      <c r="I27" s="12">
        <f>Hotel!B32</f>
        <v>81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60600</v>
      </c>
      <c r="F28" s="11">
        <v>5.0000000000000001E-3</v>
      </c>
      <c r="G28" s="12">
        <f>Submetering!R28</f>
        <v>1126.1594749999999</v>
      </c>
      <c r="H28" s="11">
        <v>0.52800000000000002</v>
      </c>
      <c r="I28" s="12">
        <f>Hotel!B33</f>
        <v>95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67200</v>
      </c>
      <c r="F29" s="11">
        <v>5.0000000000000001E-3</v>
      </c>
      <c r="G29" s="12">
        <f>Submetering!R29</f>
        <v>1297.2600070000001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79410</v>
      </c>
      <c r="F30" s="11">
        <v>5.0000000000000001E-3</v>
      </c>
      <c r="G30" s="12">
        <f>Submetering!R30</f>
        <v>936.88897499999996</v>
      </c>
      <c r="H30" s="11">
        <v>0.52800000000000002</v>
      </c>
      <c r="I30" s="12">
        <f>Hotel!B35</f>
        <v>156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46390</v>
      </c>
      <c r="F31" s="11">
        <v>5.0000000000000001E-3</v>
      </c>
      <c r="G31" s="12">
        <f>Submetering!R31</f>
        <v>1092.847867</v>
      </c>
      <c r="H31" s="11">
        <v>0.52800000000000002</v>
      </c>
      <c r="I31" s="12">
        <f>Hotel!B36</f>
        <v>150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83240</v>
      </c>
      <c r="F32" s="11">
        <v>5.0000000000000001E-3</v>
      </c>
      <c r="G32" s="12">
        <f>Submetering!R32</f>
        <v>1464.5751290000001</v>
      </c>
      <c r="H32" s="11">
        <v>0.52800000000000002</v>
      </c>
      <c r="I32" s="12">
        <f>Hotel!B37</f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Hotel!AV32*0.00378541*100</f>
        <v>1152.278804</v>
      </c>
      <c r="S27" s="4">
        <f>Hotel!B32</f>
        <v>81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970</v>
      </c>
      <c r="F28" s="4">
        <f>Hotel!R33</f>
        <v>13500</v>
      </c>
      <c r="G28" s="4">
        <f>Hotel!S33</f>
        <v>3680</v>
      </c>
      <c r="H28" s="4">
        <f>Hotel!T33</f>
        <v>1620</v>
      </c>
      <c r="I28" s="4">
        <f>Hotel!U33</f>
        <v>3940</v>
      </c>
      <c r="J28" s="4">
        <f>Hotel!V33</f>
        <v>3480</v>
      </c>
      <c r="K28" s="4">
        <f>Hotel!W33</f>
        <v>2280</v>
      </c>
      <c r="L28" s="4">
        <f>Hotel!X33</f>
        <v>3920</v>
      </c>
      <c r="M28" s="4">
        <f>Hotel!Y33</f>
        <v>5460</v>
      </c>
      <c r="N28" s="4">
        <f>Hotel!Z33</f>
        <v>2510</v>
      </c>
      <c r="O28" s="4">
        <f>Hotel!AA33</f>
        <v>3140</v>
      </c>
      <c r="P28" s="4">
        <f>Hotel!AB33</f>
        <v>6950</v>
      </c>
      <c r="Q28" s="4">
        <f>Hotel!AC33</f>
        <v>9150</v>
      </c>
      <c r="R28" s="4">
        <f>Hotel!AV33*0.00378541*100</f>
        <v>1126.1594749999999</v>
      </c>
      <c r="S28" s="4">
        <f>Hotel!B33</f>
        <v>95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1060</v>
      </c>
      <c r="F29" s="4">
        <f>Hotel!R34</f>
        <v>15410</v>
      </c>
      <c r="G29" s="4">
        <f>Hotel!S34</f>
        <v>4260</v>
      </c>
      <c r="H29" s="4">
        <f>Hotel!T34</f>
        <v>1760</v>
      </c>
      <c r="I29" s="4">
        <f>Hotel!U34</f>
        <v>4150</v>
      </c>
      <c r="J29" s="4">
        <f>Hotel!V34</f>
        <v>3800</v>
      </c>
      <c r="K29" s="4">
        <f>Hotel!W34</f>
        <v>2470</v>
      </c>
      <c r="L29" s="4">
        <f>Hotel!X34</f>
        <v>4210</v>
      </c>
      <c r="M29" s="4">
        <f>Hotel!Y34</f>
        <v>5860</v>
      </c>
      <c r="N29" s="4">
        <f>Hotel!Z34</f>
        <v>2820</v>
      </c>
      <c r="O29" s="4">
        <f>Hotel!AA34</f>
        <v>3370</v>
      </c>
      <c r="P29" s="4">
        <f>Hotel!AB34</f>
        <v>7480</v>
      </c>
      <c r="Q29" s="4">
        <f>Hotel!AC34</f>
        <v>10550</v>
      </c>
      <c r="R29" s="4">
        <f>Hotel!AV34*0.00378541*100</f>
        <v>1297.2600070000001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1250</v>
      </c>
      <c r="F30" s="4">
        <f>Hotel!R35</f>
        <v>17470</v>
      </c>
      <c r="G30" s="4">
        <f>Hotel!S35</f>
        <v>4730</v>
      </c>
      <c r="H30" s="4">
        <f>Hotel!T35</f>
        <v>2110</v>
      </c>
      <c r="I30" s="4">
        <f>Hotel!U35</f>
        <v>5240</v>
      </c>
      <c r="J30" s="4">
        <f>Hotel!V35</f>
        <v>4450</v>
      </c>
      <c r="K30" s="4">
        <f>Hotel!W35</f>
        <v>2920</v>
      </c>
      <c r="L30" s="4">
        <f>Hotel!X35</f>
        <v>5130</v>
      </c>
      <c r="M30" s="4">
        <f>Hotel!Y35</f>
        <v>6720</v>
      </c>
      <c r="N30" s="4">
        <f>Hotel!Z35</f>
        <v>3530</v>
      </c>
      <c r="O30" s="4">
        <f>Hotel!AA35</f>
        <v>4120</v>
      </c>
      <c r="P30" s="4">
        <f>Hotel!AB35</f>
        <v>9060</v>
      </c>
      <c r="Q30" s="4">
        <f>Hotel!AC35</f>
        <v>12680</v>
      </c>
      <c r="R30" s="4">
        <f>Hotel!AV35*0.00378541*100</f>
        <v>936.88897499999996</v>
      </c>
      <c r="S30" s="4">
        <f>Hotel!B35</f>
        <v>156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740</v>
      </c>
      <c r="F31" s="4">
        <f>Hotel!R36</f>
        <v>10330</v>
      </c>
      <c r="G31" s="4">
        <f>Hotel!S36</f>
        <v>2790</v>
      </c>
      <c r="H31" s="4">
        <f>Hotel!T36</f>
        <v>1220</v>
      </c>
      <c r="I31" s="4">
        <f>Hotel!U36</f>
        <v>3220</v>
      </c>
      <c r="J31" s="4">
        <f>Hotel!V36</f>
        <v>2590</v>
      </c>
      <c r="K31" s="4">
        <f>Hotel!W36</f>
        <v>1720</v>
      </c>
      <c r="L31" s="4">
        <f>Hotel!X36</f>
        <v>3400</v>
      </c>
      <c r="M31" s="4">
        <f>Hotel!Y36</f>
        <v>4650</v>
      </c>
      <c r="N31" s="4">
        <f>Hotel!Z36</f>
        <v>2220</v>
      </c>
      <c r="O31" s="4">
        <f>Hotel!AA36</f>
        <v>2520</v>
      </c>
      <c r="P31" s="4">
        <f>Hotel!AB36</f>
        <v>5510</v>
      </c>
      <c r="Q31" s="4">
        <f>Hotel!AC36</f>
        <v>5480</v>
      </c>
      <c r="R31" s="4">
        <f>Hotel!AV36*0.00378541*100</f>
        <v>1092.847867</v>
      </c>
      <c r="S31" s="4">
        <f>Hotel!B36</f>
        <v>150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1320</v>
      </c>
      <c r="F32" s="4">
        <f>Hotel!R37</f>
        <v>18320</v>
      </c>
      <c r="G32" s="4">
        <f>Hotel!S37</f>
        <v>4950</v>
      </c>
      <c r="H32" s="4">
        <f>Hotel!T37</f>
        <v>2210</v>
      </c>
      <c r="I32" s="4">
        <f>Hotel!U37</f>
        <v>5760</v>
      </c>
      <c r="J32" s="4">
        <f>Hotel!V37</f>
        <v>4430</v>
      </c>
      <c r="K32" s="4">
        <f>Hotel!W37</f>
        <v>3100</v>
      </c>
      <c r="L32" s="4">
        <f>Hotel!X37</f>
        <v>5170</v>
      </c>
      <c r="M32" s="4">
        <f>Hotel!Y37</f>
        <v>7310</v>
      </c>
      <c r="N32" s="4">
        <f>Hotel!Z37</f>
        <v>3530</v>
      </c>
      <c r="O32" s="4">
        <f>Hotel!AA37</f>
        <v>4180</v>
      </c>
      <c r="P32" s="4">
        <f>Hotel!AB37</f>
        <v>9860</v>
      </c>
      <c r="Q32" s="4">
        <f>Hotel!AC37</f>
        <v>13100</v>
      </c>
      <c r="R32" s="4">
        <f>Hotel!AV37*0.00378541*100</f>
        <v>1464.5751290000001</v>
      </c>
      <c r="S32" s="4">
        <f>Hotel!B37</f>
        <v>101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0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17"/>
        <v>15180</v>
      </c>
      <c r="S32" s="37">
        <f t="shared" si="15"/>
        <v>4190</v>
      </c>
      <c r="T32" s="37">
        <f t="shared" si="18"/>
        <v>1740</v>
      </c>
      <c r="U32" s="37">
        <f t="shared" si="19"/>
        <v>4380</v>
      </c>
      <c r="V32" s="37">
        <f t="shared" si="20"/>
        <v>3630</v>
      </c>
      <c r="W32" s="37">
        <f t="shared" si="21"/>
        <v>2450</v>
      </c>
      <c r="X32" s="37">
        <f t="shared" si="22"/>
        <v>3750</v>
      </c>
      <c r="Y32" s="37">
        <f t="shared" si="23"/>
        <v>5770</v>
      </c>
      <c r="Z32" s="37">
        <f t="shared" si="24"/>
        <v>2670</v>
      </c>
      <c r="AA32" s="37">
        <f t="shared" si="25"/>
        <v>2980</v>
      </c>
      <c r="AB32" s="37">
        <f t="shared" si="26"/>
        <v>7420</v>
      </c>
      <c r="AC32" s="37">
        <f t="shared" si="27"/>
        <v>9530</v>
      </c>
      <c r="AD32" s="35">
        <f t="shared" si="28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29"/>
        <v>323.64999999999998</v>
      </c>
      <c r="AU32" s="47">
        <v>96484</v>
      </c>
      <c r="AV32" s="37">
        <f t="shared" si="34"/>
        <v>3044</v>
      </c>
      <c r="AW32" s="35">
        <f t="shared" si="30"/>
        <v>6.0880000000000001</v>
      </c>
    </row>
    <row r="33" spans="1:49" x14ac:dyDescent="0.25">
      <c r="A33" s="23">
        <v>44404</v>
      </c>
      <c r="B33" s="40">
        <v>95</v>
      </c>
      <c r="C33" s="24">
        <v>6713310</v>
      </c>
      <c r="D33" s="24">
        <v>16288120</v>
      </c>
      <c r="E33" s="24">
        <v>2907150</v>
      </c>
      <c r="F33" s="24">
        <v>3566260</v>
      </c>
      <c r="G33" s="24">
        <v>10594540</v>
      </c>
      <c r="H33" s="24">
        <v>5677200</v>
      </c>
      <c r="I33" s="24">
        <v>5194250</v>
      </c>
      <c r="J33" s="24">
        <v>6095970</v>
      </c>
      <c r="K33" s="24">
        <v>9416840</v>
      </c>
      <c r="L33" s="24">
        <v>3953670</v>
      </c>
      <c r="M33" s="24">
        <v>8048660</v>
      </c>
      <c r="N33" s="24">
        <v>12361760</v>
      </c>
      <c r="O33" s="24">
        <v>17078730</v>
      </c>
      <c r="Q33" s="37">
        <f>IF((C33-C32&lt;0), "0",C33-C32)</f>
        <v>970</v>
      </c>
      <c r="R33" s="37">
        <f t="shared" si="17"/>
        <v>13500</v>
      </c>
      <c r="S33" s="37">
        <f t="shared" si="15"/>
        <v>3680</v>
      </c>
      <c r="T33" s="37">
        <f t="shared" si="18"/>
        <v>1620</v>
      </c>
      <c r="U33" s="37">
        <f t="shared" si="19"/>
        <v>3940</v>
      </c>
      <c r="V33" s="37">
        <f t="shared" si="20"/>
        <v>3480</v>
      </c>
      <c r="W33" s="37">
        <f t="shared" si="21"/>
        <v>2280</v>
      </c>
      <c r="X33" s="37">
        <f t="shared" si="22"/>
        <v>3920</v>
      </c>
      <c r="Y33" s="37">
        <f t="shared" si="23"/>
        <v>5460</v>
      </c>
      <c r="Z33" s="37">
        <f t="shared" si="24"/>
        <v>2510</v>
      </c>
      <c r="AA33" s="37">
        <f t="shared" si="25"/>
        <v>3140</v>
      </c>
      <c r="AB33" s="37">
        <f t="shared" si="26"/>
        <v>6950</v>
      </c>
      <c r="AC33" s="37">
        <f t="shared" si="27"/>
        <v>9150</v>
      </c>
      <c r="AD33" s="35">
        <f t="shared" si="28"/>
        <v>60600</v>
      </c>
      <c r="AF33" s="20">
        <f t="shared" si="1"/>
        <v>4.8500000000000005</v>
      </c>
      <c r="AG33" s="20">
        <f t="shared" si="2"/>
        <v>67.5</v>
      </c>
      <c r="AH33" s="20">
        <f t="shared" si="3"/>
        <v>18.400000000000002</v>
      </c>
      <c r="AI33" s="20">
        <f t="shared" si="4"/>
        <v>8.1</v>
      </c>
      <c r="AJ33" s="20">
        <f t="shared" si="5"/>
        <v>19.7</v>
      </c>
      <c r="AK33" s="20">
        <f t="shared" si="6"/>
        <v>17.400000000000002</v>
      </c>
      <c r="AL33" s="20">
        <f t="shared" si="7"/>
        <v>11.4</v>
      </c>
      <c r="AM33" s="20">
        <f t="shared" si="8"/>
        <v>19.600000000000001</v>
      </c>
      <c r="AN33" s="20">
        <f t="shared" si="9"/>
        <v>27.3</v>
      </c>
      <c r="AO33" s="20">
        <f t="shared" si="10"/>
        <v>12.55</v>
      </c>
      <c r="AP33" s="20">
        <f t="shared" si="11"/>
        <v>15.700000000000001</v>
      </c>
      <c r="AQ33" s="20">
        <f t="shared" si="12"/>
        <v>34.75</v>
      </c>
      <c r="AR33" s="20">
        <f t="shared" si="13"/>
        <v>45.75</v>
      </c>
      <c r="AS33" s="35">
        <f t="shared" si="29"/>
        <v>303</v>
      </c>
      <c r="AU33" s="47">
        <v>99459</v>
      </c>
      <c r="AV33" s="37">
        <f t="shared" si="34"/>
        <v>2975</v>
      </c>
      <c r="AW33" s="35">
        <f t="shared" si="30"/>
        <v>5.95</v>
      </c>
    </row>
    <row r="34" spans="1:49" x14ac:dyDescent="0.25">
      <c r="A34" s="23">
        <v>44405</v>
      </c>
      <c r="B34" s="52">
        <v>103</v>
      </c>
      <c r="C34" s="51">
        <v>6714370</v>
      </c>
      <c r="D34" s="24">
        <v>16303530</v>
      </c>
      <c r="E34" s="24">
        <v>2911410</v>
      </c>
      <c r="F34" s="24">
        <v>3568020</v>
      </c>
      <c r="G34" s="24">
        <v>10598690</v>
      </c>
      <c r="H34" s="24">
        <v>5681000</v>
      </c>
      <c r="I34" s="24">
        <v>5196720</v>
      </c>
      <c r="J34" s="24">
        <v>6100180</v>
      </c>
      <c r="K34" s="24">
        <v>9422700</v>
      </c>
      <c r="L34" s="24">
        <v>3956490</v>
      </c>
      <c r="M34" s="24">
        <v>8052030</v>
      </c>
      <c r="N34" s="24">
        <v>12369240</v>
      </c>
      <c r="O34" s="24">
        <v>17089280</v>
      </c>
      <c r="Q34" s="37">
        <f>IF((C34-C33&lt;0), "0",C34-C33)</f>
        <v>1060</v>
      </c>
      <c r="R34" s="37">
        <f t="shared" si="17"/>
        <v>15410</v>
      </c>
      <c r="S34" s="37">
        <f t="shared" si="15"/>
        <v>4260</v>
      </c>
      <c r="T34" s="37">
        <f t="shared" si="18"/>
        <v>1760</v>
      </c>
      <c r="U34" s="37">
        <f t="shared" si="19"/>
        <v>4150</v>
      </c>
      <c r="V34" s="37">
        <f t="shared" si="20"/>
        <v>3800</v>
      </c>
      <c r="W34" s="37">
        <f t="shared" si="21"/>
        <v>2470</v>
      </c>
      <c r="X34" s="37">
        <f t="shared" si="22"/>
        <v>4210</v>
      </c>
      <c r="Y34" s="37">
        <f t="shared" si="23"/>
        <v>5860</v>
      </c>
      <c r="Z34" s="37">
        <f t="shared" si="24"/>
        <v>2820</v>
      </c>
      <c r="AA34" s="37">
        <f t="shared" si="25"/>
        <v>3370</v>
      </c>
      <c r="AB34" s="37">
        <f t="shared" si="26"/>
        <v>7480</v>
      </c>
      <c r="AC34" s="37">
        <f t="shared" si="27"/>
        <v>10550</v>
      </c>
      <c r="AD34" s="35">
        <f t="shared" si="28"/>
        <v>67200</v>
      </c>
      <c r="AF34" s="20">
        <f>Q34*$D$39</f>
        <v>5.3</v>
      </c>
      <c r="AG34" s="20">
        <f t="shared" si="2"/>
        <v>77.05</v>
      </c>
      <c r="AH34" s="20">
        <f t="shared" si="3"/>
        <v>21.3</v>
      </c>
      <c r="AI34" s="20">
        <f t="shared" si="4"/>
        <v>8.8000000000000007</v>
      </c>
      <c r="AJ34" s="20">
        <f t="shared" si="5"/>
        <v>20.75</v>
      </c>
      <c r="AK34" s="20">
        <f t="shared" si="6"/>
        <v>19</v>
      </c>
      <c r="AL34" s="20">
        <f t="shared" si="7"/>
        <v>12.35</v>
      </c>
      <c r="AM34" s="20">
        <f t="shared" si="8"/>
        <v>21.05</v>
      </c>
      <c r="AN34" s="20">
        <f t="shared" si="9"/>
        <v>29.3</v>
      </c>
      <c r="AO34" s="20">
        <f t="shared" si="10"/>
        <v>14.1</v>
      </c>
      <c r="AP34" s="20">
        <f t="shared" si="11"/>
        <v>16.850000000000001</v>
      </c>
      <c r="AQ34" s="20">
        <f t="shared" si="12"/>
        <v>37.4</v>
      </c>
      <c r="AR34" s="20">
        <f t="shared" si="13"/>
        <v>52.75</v>
      </c>
      <c r="AS34" s="35">
        <f>SUM(AF34:AR34)</f>
        <v>336</v>
      </c>
      <c r="AU34" s="47">
        <v>102886</v>
      </c>
      <c r="AV34" s="37">
        <f t="shared" si="34"/>
        <v>3427</v>
      </c>
      <c r="AW34" s="35">
        <f t="shared" si="30"/>
        <v>6.8540000000000001</v>
      </c>
    </row>
    <row r="35" spans="1:49" x14ac:dyDescent="0.25">
      <c r="A35" s="23">
        <v>44406</v>
      </c>
      <c r="B35" s="40">
        <v>156</v>
      </c>
      <c r="C35" s="24">
        <v>6715620</v>
      </c>
      <c r="D35" s="24">
        <v>16321000</v>
      </c>
      <c r="E35" s="24">
        <v>2916140</v>
      </c>
      <c r="F35" s="24">
        <v>3570130</v>
      </c>
      <c r="G35" s="24">
        <v>10603930</v>
      </c>
      <c r="H35" s="24">
        <v>5685450</v>
      </c>
      <c r="I35" s="24">
        <v>5199640</v>
      </c>
      <c r="J35" s="24">
        <v>6105310</v>
      </c>
      <c r="K35" s="24">
        <v>9429420</v>
      </c>
      <c r="L35" s="24">
        <v>3960020</v>
      </c>
      <c r="M35" s="24">
        <v>8056150</v>
      </c>
      <c r="N35" s="24">
        <v>12378300</v>
      </c>
      <c r="O35" s="24">
        <v>17101960</v>
      </c>
      <c r="Q35" s="37">
        <f>IF((C35-C34&lt;0), "0",C35-C34)</f>
        <v>1250</v>
      </c>
      <c r="R35" s="37">
        <f t="shared" si="17"/>
        <v>17470</v>
      </c>
      <c r="S35" s="37">
        <f t="shared" si="15"/>
        <v>4730</v>
      </c>
      <c r="T35" s="37">
        <f t="shared" si="18"/>
        <v>2110</v>
      </c>
      <c r="U35" s="37">
        <f t="shared" si="19"/>
        <v>5240</v>
      </c>
      <c r="V35" s="37">
        <f t="shared" si="20"/>
        <v>4450</v>
      </c>
      <c r="W35" s="37">
        <f t="shared" si="21"/>
        <v>2920</v>
      </c>
      <c r="X35" s="37">
        <f t="shared" si="22"/>
        <v>5130</v>
      </c>
      <c r="Y35" s="37">
        <f t="shared" si="23"/>
        <v>6720</v>
      </c>
      <c r="Z35" s="37">
        <f t="shared" si="24"/>
        <v>3530</v>
      </c>
      <c r="AA35" s="37">
        <f t="shared" si="25"/>
        <v>4120</v>
      </c>
      <c r="AB35" s="37">
        <f t="shared" si="26"/>
        <v>9060</v>
      </c>
      <c r="AC35" s="37">
        <f t="shared" si="27"/>
        <v>12680</v>
      </c>
      <c r="AD35" s="35">
        <f t="shared" si="28"/>
        <v>79410</v>
      </c>
      <c r="AF35" s="20">
        <f t="shared" si="1"/>
        <v>6.25</v>
      </c>
      <c r="AG35" s="20">
        <f t="shared" si="2"/>
        <v>87.350000000000009</v>
      </c>
      <c r="AH35" s="20">
        <f t="shared" si="3"/>
        <v>23.650000000000002</v>
      </c>
      <c r="AI35" s="20">
        <f t="shared" si="4"/>
        <v>10.55</v>
      </c>
      <c r="AJ35" s="20">
        <f t="shared" si="5"/>
        <v>26.2</v>
      </c>
      <c r="AK35" s="20">
        <f t="shared" si="6"/>
        <v>22.25</v>
      </c>
      <c r="AL35" s="20">
        <f t="shared" si="7"/>
        <v>14.6</v>
      </c>
      <c r="AM35" s="20">
        <f t="shared" si="8"/>
        <v>25.650000000000002</v>
      </c>
      <c r="AN35" s="20">
        <f t="shared" si="9"/>
        <v>33.6</v>
      </c>
      <c r="AO35" s="20">
        <f t="shared" si="10"/>
        <v>17.650000000000002</v>
      </c>
      <c r="AP35" s="20">
        <f t="shared" si="11"/>
        <v>20.6</v>
      </c>
      <c r="AQ35" s="20">
        <f t="shared" si="12"/>
        <v>45.300000000000004</v>
      </c>
      <c r="AR35" s="20">
        <f t="shared" si="13"/>
        <v>63.4</v>
      </c>
      <c r="AS35" s="35">
        <f>SUM(AF35:AR35)</f>
        <v>397.05</v>
      </c>
      <c r="AU35" s="47">
        <v>105361</v>
      </c>
      <c r="AV35" s="37">
        <f t="shared" si="34"/>
        <v>2475</v>
      </c>
      <c r="AW35" s="35">
        <f t="shared" si="30"/>
        <v>4.95</v>
      </c>
    </row>
    <row r="36" spans="1:49" x14ac:dyDescent="0.25">
      <c r="A36" s="23">
        <v>44407</v>
      </c>
      <c r="B36" s="40">
        <v>150</v>
      </c>
      <c r="C36" s="24">
        <v>6716360</v>
      </c>
      <c r="D36" s="24">
        <v>16331330</v>
      </c>
      <c r="E36" s="24">
        <v>2918930</v>
      </c>
      <c r="F36" s="24">
        <v>3571350</v>
      </c>
      <c r="G36" s="24">
        <v>10607150</v>
      </c>
      <c r="H36" s="24">
        <v>5688040</v>
      </c>
      <c r="I36" s="24">
        <v>5201360</v>
      </c>
      <c r="J36" s="53">
        <v>6108710</v>
      </c>
      <c r="K36" s="24">
        <v>9434070</v>
      </c>
      <c r="L36" s="24">
        <v>3962240</v>
      </c>
      <c r="M36" s="24">
        <v>8058670</v>
      </c>
      <c r="N36" s="24">
        <v>12383810</v>
      </c>
      <c r="O36" s="24">
        <v>17107440</v>
      </c>
      <c r="Q36" s="37">
        <f t="shared" ref="Q36:AA36" si="35">IF((C36-C35&lt;0), "0",C36-C35)</f>
        <v>740</v>
      </c>
      <c r="R36" s="37">
        <f t="shared" si="35"/>
        <v>10330</v>
      </c>
      <c r="S36" s="37">
        <f t="shared" si="35"/>
        <v>2790</v>
      </c>
      <c r="T36" s="37">
        <f t="shared" si="35"/>
        <v>1220</v>
      </c>
      <c r="U36" s="37">
        <f t="shared" si="35"/>
        <v>3220</v>
      </c>
      <c r="V36" s="37">
        <f t="shared" si="35"/>
        <v>2590</v>
      </c>
      <c r="W36" s="37">
        <f t="shared" si="35"/>
        <v>1720</v>
      </c>
      <c r="X36" s="37">
        <f t="shared" si="35"/>
        <v>3400</v>
      </c>
      <c r="Y36" s="37">
        <f t="shared" si="35"/>
        <v>4650</v>
      </c>
      <c r="Z36" s="37">
        <f t="shared" si="35"/>
        <v>2220</v>
      </c>
      <c r="AA36" s="37">
        <f t="shared" si="35"/>
        <v>2520</v>
      </c>
      <c r="AB36" s="37">
        <f t="shared" si="26"/>
        <v>5510</v>
      </c>
      <c r="AC36" s="37">
        <f t="shared" si="27"/>
        <v>5480</v>
      </c>
      <c r="AD36" s="35">
        <f t="shared" si="28"/>
        <v>46390</v>
      </c>
      <c r="AF36" s="20">
        <f t="shared" si="1"/>
        <v>3.7</v>
      </c>
      <c r="AG36" s="20">
        <f t="shared" si="2"/>
        <v>51.65</v>
      </c>
      <c r="AH36" s="20">
        <f t="shared" si="3"/>
        <v>13.950000000000001</v>
      </c>
      <c r="AI36" s="20">
        <f t="shared" si="4"/>
        <v>6.1000000000000005</v>
      </c>
      <c r="AJ36" s="20">
        <f t="shared" si="5"/>
        <v>16.100000000000001</v>
      </c>
      <c r="AK36" s="20">
        <f t="shared" si="6"/>
        <v>12.950000000000001</v>
      </c>
      <c r="AL36" s="20">
        <f t="shared" si="7"/>
        <v>8.6</v>
      </c>
      <c r="AM36" s="20">
        <f t="shared" si="8"/>
        <v>17</v>
      </c>
      <c r="AN36" s="20">
        <f t="shared" si="9"/>
        <v>23.25</v>
      </c>
      <c r="AO36" s="20">
        <f t="shared" si="10"/>
        <v>11.1</v>
      </c>
      <c r="AP36" s="20">
        <f t="shared" si="11"/>
        <v>12.6</v>
      </c>
      <c r="AQ36" s="20">
        <f t="shared" si="12"/>
        <v>27.55</v>
      </c>
      <c r="AR36" s="20">
        <f t="shared" si="13"/>
        <v>27.400000000000002</v>
      </c>
      <c r="AS36" s="35">
        <f>SUM(AF36:AR36)</f>
        <v>231.95000000000002</v>
      </c>
      <c r="AU36" s="47">
        <v>108248</v>
      </c>
      <c r="AV36" s="37">
        <f t="shared" ref="AV36:AV37" si="36">IF((AU36-AU35&lt;0),"0",AU36-AU35)</f>
        <v>2887</v>
      </c>
      <c r="AW36" s="35">
        <f t="shared" ref="AW36:AW37" si="37">AV36*$D$40</f>
        <v>5.774</v>
      </c>
    </row>
    <row r="37" spans="1:49" x14ac:dyDescent="0.25">
      <c r="A37" s="23">
        <v>44408</v>
      </c>
      <c r="B37" s="40">
        <v>101</v>
      </c>
      <c r="C37" s="24">
        <v>6717680</v>
      </c>
      <c r="D37" s="24">
        <v>16349650</v>
      </c>
      <c r="E37" s="24">
        <v>2923880</v>
      </c>
      <c r="F37" s="24">
        <v>3573560</v>
      </c>
      <c r="G37" s="24">
        <v>10612910</v>
      </c>
      <c r="H37" s="24">
        <v>5692470</v>
      </c>
      <c r="I37" s="24">
        <v>5204460</v>
      </c>
      <c r="J37" s="24">
        <v>6113880</v>
      </c>
      <c r="K37" s="24">
        <v>9441380</v>
      </c>
      <c r="L37" s="24">
        <v>3965770</v>
      </c>
      <c r="M37" s="24">
        <v>8062850</v>
      </c>
      <c r="N37" s="24">
        <v>12393670</v>
      </c>
      <c r="O37" s="24">
        <v>17120540</v>
      </c>
      <c r="Q37" s="37">
        <f t="shared" ref="Q37" si="38">IF((C37-C36&lt;0), "0",C37-C36)</f>
        <v>1320</v>
      </c>
      <c r="R37" s="37">
        <f t="shared" ref="R37" si="39">IF((D37-D36&lt;0), "0",D37-D36)</f>
        <v>18320</v>
      </c>
      <c r="S37" s="37">
        <f t="shared" ref="S37" si="40">IF((E37-E36&lt;0), "0",E37-E36)</f>
        <v>4950</v>
      </c>
      <c r="T37" s="37">
        <f t="shared" ref="T37" si="41">IF((F37-F36&lt;0), "0",F37-F36)</f>
        <v>2210</v>
      </c>
      <c r="U37" s="37">
        <f t="shared" ref="U37" si="42">IF((G37-G36&lt;0), "0",G37-G36)</f>
        <v>5760</v>
      </c>
      <c r="V37" s="37">
        <f t="shared" ref="V37" si="43">IF((H37-H36&lt;0), "0",H37-H36)</f>
        <v>4430</v>
      </c>
      <c r="W37" s="37">
        <f t="shared" ref="W37" si="44">IF((I37-I36&lt;0), "0",I37-I36)</f>
        <v>3100</v>
      </c>
      <c r="X37" s="37">
        <f t="shared" ref="X37" si="45">IF((J37-J36&lt;0), "0",J37-J36)</f>
        <v>5170</v>
      </c>
      <c r="Y37" s="37">
        <f t="shared" ref="Y37" si="46">IF((K37-K36&lt;0), "0",K37-K36)</f>
        <v>7310</v>
      </c>
      <c r="Z37" s="37">
        <f t="shared" ref="Z37" si="47">IF((L37-L36&lt;0), "0",L37-L36)</f>
        <v>3530</v>
      </c>
      <c r="AA37" s="37">
        <f t="shared" ref="AA37" si="48">IF((M37-M36&lt;0), "0",M37-M36)</f>
        <v>4180</v>
      </c>
      <c r="AB37" s="37">
        <f t="shared" si="26"/>
        <v>9860</v>
      </c>
      <c r="AC37" s="37">
        <f t="shared" si="27"/>
        <v>13100</v>
      </c>
      <c r="AD37" s="35">
        <f t="shared" si="28"/>
        <v>83240</v>
      </c>
      <c r="AF37" s="20">
        <f t="shared" ref="AF37" si="49">Q37*$D$39</f>
        <v>6.6000000000000005</v>
      </c>
      <c r="AG37" s="20">
        <f t="shared" ref="AG37" si="50">R37*$D$39</f>
        <v>91.600000000000009</v>
      </c>
      <c r="AH37" s="20">
        <f t="shared" ref="AH37" si="51">S37*$D$39</f>
        <v>24.75</v>
      </c>
      <c r="AI37" s="20">
        <f t="shared" ref="AI37" si="52">T37*$D$39</f>
        <v>11.05</v>
      </c>
      <c r="AJ37" s="20">
        <f t="shared" ref="AJ37" si="53">U37*$D$39</f>
        <v>28.8</v>
      </c>
      <c r="AK37" s="20">
        <f t="shared" ref="AK37" si="54">V37*$D$39</f>
        <v>22.150000000000002</v>
      </c>
      <c r="AL37" s="20">
        <f t="shared" ref="AL37" si="55">W37*$D$39</f>
        <v>15.5</v>
      </c>
      <c r="AM37" s="20">
        <f t="shared" ref="AM37" si="56">X37*$D$39</f>
        <v>25.85</v>
      </c>
      <c r="AN37" s="20">
        <f t="shared" ref="AN37" si="57">Y37*$D$39</f>
        <v>36.550000000000004</v>
      </c>
      <c r="AO37" s="20">
        <f t="shared" ref="AO37" si="58">Z37*$D$39</f>
        <v>17.650000000000002</v>
      </c>
      <c r="AP37" s="20">
        <f t="shared" ref="AP37" si="59">AA37*$D$39</f>
        <v>20.900000000000002</v>
      </c>
      <c r="AQ37" s="20">
        <f t="shared" ref="AQ37" si="60">AB37*$D$39</f>
        <v>49.300000000000004</v>
      </c>
      <c r="AR37" s="20">
        <f t="shared" ref="AR37" si="61">AC37*$D$39</f>
        <v>65.5</v>
      </c>
      <c r="AS37" s="35">
        <f>SUM(AF37:AR37)</f>
        <v>416.2</v>
      </c>
      <c r="AU37" s="47">
        <v>112117</v>
      </c>
      <c r="AV37" s="37">
        <f t="shared" si="36"/>
        <v>3869</v>
      </c>
      <c r="AW37" s="35">
        <f t="shared" si="37"/>
        <v>7.7380000000000004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89960</v>
      </c>
      <c r="R38" s="38">
        <f t="shared" ref="R38:AD38" si="62">SUM(R7:R37)</f>
        <v>446050</v>
      </c>
      <c r="S38" s="38">
        <f t="shared" si="62"/>
        <v>118130</v>
      </c>
      <c r="T38" s="38">
        <f t="shared" si="62"/>
        <v>53490</v>
      </c>
      <c r="U38" s="38">
        <f t="shared" si="62"/>
        <v>137800</v>
      </c>
      <c r="V38" s="38">
        <f t="shared" si="62"/>
        <v>108590</v>
      </c>
      <c r="W38" s="38">
        <f t="shared" si="62"/>
        <v>73300</v>
      </c>
      <c r="X38" s="38">
        <f t="shared" si="62"/>
        <v>123050</v>
      </c>
      <c r="Y38" s="38">
        <f t="shared" si="62"/>
        <v>169150</v>
      </c>
      <c r="Z38" s="38">
        <f t="shared" si="62"/>
        <v>84190</v>
      </c>
      <c r="AA38" s="38">
        <f t="shared" si="62"/>
        <v>101150</v>
      </c>
      <c r="AB38" s="38">
        <f t="shared" si="62"/>
        <v>227350</v>
      </c>
      <c r="AC38" s="38">
        <f t="shared" si="62"/>
        <v>284570</v>
      </c>
      <c r="AD38" s="38">
        <f t="shared" si="62"/>
        <v>2016780</v>
      </c>
      <c r="AF38" s="35">
        <f>SUM(AF7:AF37)</f>
        <v>449.80000000000013</v>
      </c>
      <c r="AG38" s="35">
        <f t="shared" ref="AG38:AS38" si="63">SUM(AG7:AG37)</f>
        <v>2230.2500000000005</v>
      </c>
      <c r="AH38" s="35">
        <f t="shared" si="63"/>
        <v>590.65</v>
      </c>
      <c r="AI38" s="35">
        <f t="shared" si="63"/>
        <v>267.45000000000005</v>
      </c>
      <c r="AJ38" s="35">
        <f t="shared" si="63"/>
        <v>688.99999999999989</v>
      </c>
      <c r="AK38" s="35">
        <f t="shared" si="63"/>
        <v>542.94999999999993</v>
      </c>
      <c r="AL38" s="35">
        <f t="shared" si="63"/>
        <v>366.5</v>
      </c>
      <c r="AM38" s="35">
        <f t="shared" si="63"/>
        <v>615.24999999999989</v>
      </c>
      <c r="AN38" s="35">
        <f t="shared" si="63"/>
        <v>845.74999999999989</v>
      </c>
      <c r="AO38" s="35">
        <f t="shared" si="63"/>
        <v>420.95000000000005</v>
      </c>
      <c r="AP38" s="35">
        <f t="shared" si="63"/>
        <v>505.75</v>
      </c>
      <c r="AQ38" s="35">
        <f t="shared" si="63"/>
        <v>1136.75</v>
      </c>
      <c r="AR38" s="35">
        <f t="shared" si="63"/>
        <v>1422.8500000000006</v>
      </c>
      <c r="AS38" s="35">
        <f t="shared" si="63"/>
        <v>10083.900000000001</v>
      </c>
      <c r="AT38" s="35"/>
      <c r="AU38" s="48"/>
      <c r="AV38" s="34">
        <f>SUM(AV7:AV37)</f>
        <v>90389</v>
      </c>
      <c r="AW38" s="34">
        <f>SUM(AW7:AW37)</f>
        <v>169.18</v>
      </c>
    </row>
    <row r="39" spans="1:49" x14ac:dyDescent="0.25">
      <c r="D39">
        <v>5.0000000000000001E-3</v>
      </c>
      <c r="AV39" s="36">
        <f>AV38*0.00378541*1000</f>
        <v>342159.42449</v>
      </c>
    </row>
    <row r="40" spans="1:49" x14ac:dyDescent="0.25">
      <c r="D40">
        <v>2E-3</v>
      </c>
      <c r="AV40">
        <f>AV39/31</f>
        <v>11037.40079</v>
      </c>
    </row>
    <row r="41" spans="1:49" x14ac:dyDescent="0.25">
      <c r="AV41">
        <f>AV38*0.00378541</f>
        <v>342.15942448999999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2021-08-01T06:45:39Z</dcterms:modified>
</cp:coreProperties>
</file>