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defaultThemeVersion="124226"/>
  <xr:revisionPtr revIDLastSave="0" documentId="13_ncr:1_{FF30F1CC-83DA-4ABB-BF50-5CB97D951C14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8" l="1"/>
  <c r="B9" i="8"/>
  <c r="B10" i="8"/>
  <c r="B4" i="2"/>
  <c r="S27" i="2"/>
  <c r="B20" i="4"/>
  <c r="B3" i="4"/>
  <c r="H21" i="2"/>
  <c r="C21" i="2"/>
  <c r="C22" i="2"/>
  <c r="C23" i="2"/>
  <c r="C24" i="2"/>
  <c r="O17" i="8" l="1"/>
  <c r="G17" i="8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<sst xmlns="http://schemas.openxmlformats.org/spreadsheetml/2006/main" count="201" uniqueCount="128">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</sst>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-364120</c:v>
                </c:pt>
                <c:pt idx="1">
                  <c:v>-2084000</c:v>
                </c:pt>
                <c:pt idx="2">
                  <c:v>-202200</c:v>
                </c:pt>
                <c:pt idx="3">
                  <c:v>-804710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-46691</c:v>
                </c:pt>
                <c:pt idx="1">
                  <c:v>0.18762256083839651</c:v>
                </c:pt>
                <c:pt idx="2" formatCode="_(* #,##0.00_);_(* \(#,##0.00\);_(* &quot;-&quot;??_);_(@_)">
                  <c:v>-185631</c:v>
                </c:pt>
                <c:pt idx="3">
                  <c:v>0.74593740958626675</c:v>
                </c:pt>
                <c:pt idx="4" formatCode="0.00">
                  <c:v>-25975</c:v>
                </c:pt>
                <c:pt idx="5">
                  <c:v>0.10437763204423442</c:v>
                </c:pt>
                <c:pt idx="6" formatCode="0.00">
                  <c:v>-58267</c:v>
                </c:pt>
                <c:pt idx="7">
                  <c:v>0.23413942199504933</c:v>
                </c:pt>
                <c:pt idx="8" formatCode="0.00">
                  <c:v>-5645</c:v>
                </c:pt>
                <c:pt idx="9">
                  <c:v>2.2683801073713313E-2</c:v>
                </c:pt>
                <c:pt idx="10" formatCode="0.00">
                  <c:v>-162</c:v>
                </c:pt>
                <c:pt idx="11">
                  <c:v>6.5097887935191439E-4</c:v>
                </c:pt>
                <c:pt idx="12" formatCode="0.00">
                  <c:v>-66852</c:v>
                </c:pt>
                <c:pt idx="13">
                  <c:v>0.26863728421255667</c:v>
                </c:pt>
                <c:pt idx="14" formatCode="_(* #,##0.00_);_(* \(#,##0.00\);_(* &quot;-&quot;??_);_(@_)">
                  <c:v>-240566</c:v>
                </c:pt>
                <c:pt idx="15">
                  <c:v>0.96668756228501629</c:v>
                </c:pt>
                <c:pt idx="16" formatCode="0.00">
                  <c:v>-109390</c:v>
                </c:pt>
                <c:pt idx="17">
                  <c:v>0.43957147908830807</c:v>
                </c:pt>
                <c:pt idx="18" formatCode="0.00">
                  <c:v>-18657</c:v>
                </c:pt>
                <c:pt idx="19">
                  <c:v>7.4971067605362138E-2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1633.6999999999971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-757836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07616"/>
        <c:axId val="154609152"/>
      </c:barChart>
      <c:catAx>
        <c:axId val="154607616"/>
        <c:scaling>
          <c:orientation val="minMax"/>
        </c:scaling>
        <c:delete val="1"/>
        <c:axPos val="b"/>
        <c:majorTickMark val="none"/>
        <c:minorTickMark val="none"/>
        <c:tickLblPos val="nextTo"/>
        <c:crossAx val="154609152"/>
        <c:crosses val="autoZero"/>
        <c:auto val="1"/>
        <c:lblAlgn val="ctr"/>
        <c:lblOffset val="100"/>
        <c:noMultiLvlLbl val="0"/>
      </c:catAx>
      <c:valAx>
        <c:axId val="15460915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54607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A6" sqref="A6:XFD6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3</v>
      </c>
      <c r="D2" s="46">
        <v>2021</v>
      </c>
      <c r="E2" s="107">
        <v>22070</v>
      </c>
      <c r="F2" s="48">
        <v>0.14000000000000001</v>
      </c>
      <c r="G2" s="107">
        <v>6660</v>
      </c>
      <c r="H2" s="48">
        <v>0.4453480216384178</v>
      </c>
      <c r="I2" s="65">
        <v>286.69999999999709</v>
      </c>
      <c r="J2" s="76">
        <v>0.4</v>
      </c>
      <c r="K2" s="108">
        <f>K33/31</f>
        <v>0</v>
      </c>
      <c r="L2" s="76">
        <v>1.5287027707808565</v>
      </c>
      <c r="M2" s="72">
        <v>56</v>
      </c>
      <c r="N2" s="72">
        <v>128</v>
      </c>
      <c r="O2" s="72">
        <v>304</v>
      </c>
    </row>
    <row r="3" spans="1:15" ht="15" x14ac:dyDescent="0.25">
      <c r="A3" s="45" t="s">
        <v>9</v>
      </c>
      <c r="B3" s="46">
        <f>B2+1</f>
        <v>2</v>
      </c>
      <c r="C3" s="47">
        <v>3</v>
      </c>
      <c r="D3" s="46">
        <v>2021</v>
      </c>
      <c r="E3" s="107">
        <v>23210</v>
      </c>
      <c r="F3" s="48">
        <v>0.14000000000000001</v>
      </c>
      <c r="G3" s="107">
        <v>6198</v>
      </c>
      <c r="H3" s="48">
        <v>0.4453480216384178</v>
      </c>
      <c r="I3" s="65">
        <v>259</v>
      </c>
      <c r="J3" s="76">
        <v>0.4</v>
      </c>
      <c r="K3" s="108">
        <v>0</v>
      </c>
      <c r="L3" s="76">
        <v>1.5287027707808565</v>
      </c>
      <c r="M3" s="72">
        <v>51</v>
      </c>
      <c r="N3" s="72">
        <v>113</v>
      </c>
      <c r="O3" s="72">
        <v>342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3</v>
      </c>
      <c r="D4" s="46">
        <v>2021</v>
      </c>
      <c r="E4" s="107">
        <v>22360</v>
      </c>
      <c r="F4" s="48">
        <v>0.14000000000000001</v>
      </c>
      <c r="G4" s="107">
        <v>6395</v>
      </c>
      <c r="H4" s="48">
        <v>0.4453480216384178</v>
      </c>
      <c r="I4" s="65">
        <v>265</v>
      </c>
      <c r="J4" s="76">
        <v>0.4</v>
      </c>
      <c r="K4" s="108">
        <v>0</v>
      </c>
      <c r="L4" s="76">
        <v>1.5287027707808565</v>
      </c>
      <c r="M4" s="72">
        <v>50</v>
      </c>
      <c r="N4" s="72">
        <v>111</v>
      </c>
      <c r="O4" s="72">
        <v>341</v>
      </c>
    </row>
    <row r="5" spans="1:15" ht="15" x14ac:dyDescent="0.25">
      <c r="A5" s="45" t="s">
        <v>9</v>
      </c>
      <c r="B5" s="46">
        <f t="shared" si="0"/>
        <v>4</v>
      </c>
      <c r="C5" s="47">
        <v>3</v>
      </c>
      <c r="D5" s="46">
        <v>2021</v>
      </c>
      <c r="E5" s="107">
        <v>22910</v>
      </c>
      <c r="F5" s="48">
        <v>0.14000000000000001</v>
      </c>
      <c r="G5" s="107">
        <v>6606</v>
      </c>
      <c r="H5" s="48">
        <v>0.4453480216384178</v>
      </c>
      <c r="I5" s="65">
        <v>330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126</v>
      </c>
      <c r="O5" s="72">
        <v>339</v>
      </c>
    </row>
    <row r="6" spans="1:15" ht="15" x14ac:dyDescent="0.25">
      <c r="A6" s="45" t="s">
        <v>9</v>
      </c>
      <c r="B6" s="46">
        <f t="shared" si="0"/>
        <v>5</v>
      </c>
      <c r="C6" s="47">
        <v>3</v>
      </c>
      <c r="D6" s="46">
        <v>2021</v>
      </c>
      <c r="E6" s="107">
        <v>23110</v>
      </c>
      <c r="F6" s="48">
        <v>0.14000000000000001</v>
      </c>
      <c r="G6" s="107">
        <v>6572</v>
      </c>
      <c r="H6" s="48">
        <v>0.4453480216384178</v>
      </c>
      <c r="I6" s="65">
        <v>273</v>
      </c>
      <c r="J6" s="76">
        <v>0.4</v>
      </c>
      <c r="K6" s="108">
        <v>0</v>
      </c>
      <c r="L6" s="76">
        <v>1.5287027707808565</v>
      </c>
      <c r="M6" s="72">
        <v>28</v>
      </c>
      <c r="N6" s="72">
        <v>69</v>
      </c>
      <c r="O6" s="72">
        <v>178</v>
      </c>
    </row>
    <row r="7" spans="1:15" ht="15" x14ac:dyDescent="0.25">
      <c r="A7" s="45" t="s">
        <v>9</v>
      </c>
      <c r="B7" s="46">
        <f t="shared" si="0"/>
        <v>6</v>
      </c>
      <c r="C7" s="47">
        <v>3</v>
      </c>
      <c r="D7" s="46">
        <v>2021</v>
      </c>
      <c r="E7" s="107">
        <v>22680</v>
      </c>
      <c r="F7" s="48">
        <v>0.14000000000000001</v>
      </c>
      <c r="G7" s="107">
        <v>6477</v>
      </c>
      <c r="H7" s="48">
        <v>0.4453480216384178</v>
      </c>
      <c r="I7" s="65">
        <v>220</v>
      </c>
      <c r="J7" s="76">
        <v>0.4</v>
      </c>
      <c r="K7" s="108">
        <v>0</v>
      </c>
      <c r="L7" s="76">
        <v>1.5287027707808565</v>
      </c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3</v>
      </c>
      <c r="D8" s="46">
        <v>2021</v>
      </c>
      <c r="E8" s="107"/>
      <c r="F8" s="48">
        <v>0.14000000000000001</v>
      </c>
      <c r="G8" s="107"/>
      <c r="H8" s="48">
        <v>0.4453480216384178</v>
      </c>
      <c r="I8" s="65"/>
      <c r="J8" s="76">
        <v>0.4</v>
      </c>
      <c r="K8" s="108">
        <v>0</v>
      </c>
      <c r="L8" s="76">
        <v>1.5287027707808565</v>
      </c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3</v>
      </c>
      <c r="D9" s="46">
        <v>2021</v>
      </c>
      <c r="E9" s="107"/>
      <c r="F9" s="48">
        <v>0.14000000000000001</v>
      </c>
      <c r="G9" s="107"/>
      <c r="H9" s="48">
        <v>0.4453480216384178</v>
      </c>
      <c r="I9" s="65"/>
      <c r="J9" s="76">
        <v>0.4</v>
      </c>
      <c r="K9" s="108">
        <v>0</v>
      </c>
      <c r="L9" s="76">
        <v>1.5287027707808565</v>
      </c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3</v>
      </c>
      <c r="D10" s="46">
        <v>2021</v>
      </c>
      <c r="E10" s="107"/>
      <c r="F10" s="48">
        <v>0.14000000000000001</v>
      </c>
      <c r="G10" s="107"/>
      <c r="H10" s="48">
        <v>0.4453480216384178</v>
      </c>
      <c r="I10" s="65"/>
      <c r="J10" s="76">
        <v>0.4</v>
      </c>
      <c r="K10" s="108">
        <v>0</v>
      </c>
      <c r="L10" s="76">
        <v>1.5287027707808565</v>
      </c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3</v>
      </c>
      <c r="D11" s="46">
        <v>2021</v>
      </c>
      <c r="E11" s="107"/>
      <c r="F11" s="48">
        <v>0.14000000000000001</v>
      </c>
      <c r="G11" s="107"/>
      <c r="H11" s="48">
        <v>0.4453480216384178</v>
      </c>
      <c r="I11" s="65"/>
      <c r="J11" s="76">
        <v>0.4</v>
      </c>
      <c r="K11" s="108">
        <v>0</v>
      </c>
      <c r="L11" s="76">
        <v>1.5287027707808565</v>
      </c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3</v>
      </c>
      <c r="D12" s="46">
        <v>2021</v>
      </c>
      <c r="E12" s="107"/>
      <c r="F12" s="48">
        <v>0.14000000000000001</v>
      </c>
      <c r="G12" s="107"/>
      <c r="H12" s="48">
        <v>0.4453480216384178</v>
      </c>
      <c r="I12" s="65"/>
      <c r="J12" s="76">
        <v>0.4</v>
      </c>
      <c r="K12" s="108">
        <v>0</v>
      </c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3</v>
      </c>
      <c r="D13" s="46">
        <v>2021</v>
      </c>
      <c r="E13" s="107"/>
      <c r="F13" s="48">
        <v>0.14000000000000001</v>
      </c>
      <c r="G13" s="107"/>
      <c r="H13" s="48">
        <v>0.4453480216384178</v>
      </c>
      <c r="I13" s="65"/>
      <c r="J13" s="76">
        <v>0.4</v>
      </c>
      <c r="K13" s="108">
        <v>0</v>
      </c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3</v>
      </c>
      <c r="D14" s="46">
        <v>2021</v>
      </c>
      <c r="E14" s="107"/>
      <c r="F14" s="48">
        <v>0.14000000000000001</v>
      </c>
      <c r="G14" s="107"/>
      <c r="H14" s="48">
        <v>0.4453480216384178</v>
      </c>
      <c r="I14" s="65"/>
      <c r="J14" s="76">
        <v>0.4</v>
      </c>
      <c r="K14" s="108">
        <v>0</v>
      </c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3</v>
      </c>
      <c r="D15" s="46">
        <v>2021</v>
      </c>
      <c r="E15" s="107"/>
      <c r="F15" s="48">
        <v>0.14000000000000001</v>
      </c>
      <c r="G15" s="107"/>
      <c r="H15" s="48">
        <v>0.4453480216384178</v>
      </c>
      <c r="I15" s="65"/>
      <c r="J15" s="76">
        <v>0.4</v>
      </c>
      <c r="K15" s="108">
        <v>0</v>
      </c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3</v>
      </c>
      <c r="D16" s="46">
        <v>2021</v>
      </c>
      <c r="E16" s="107"/>
      <c r="F16" s="48">
        <v>0.14000000000000001</v>
      </c>
      <c r="G16" s="107"/>
      <c r="H16" s="48">
        <v>0.4453480216384178</v>
      </c>
      <c r="I16" s="65"/>
      <c r="J16" s="76">
        <v>0.4</v>
      </c>
      <c r="K16" s="108">
        <v>0</v>
      </c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3</v>
      </c>
      <c r="D17" s="46">
        <v>2021</v>
      </c>
      <c r="E17" s="107"/>
      <c r="F17" s="48">
        <v>0.14000000000000001</v>
      </c>
      <c r="G17" s="107"/>
      <c r="H17" s="48">
        <v>0.4453480216384178</v>
      </c>
      <c r="I17" s="65"/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3</v>
      </c>
      <c r="D18" s="46">
        <v>2021</v>
      </c>
      <c r="E18" s="107"/>
      <c r="F18" s="48">
        <v>0.14000000000000001</v>
      </c>
      <c r="G18" s="107"/>
      <c r="H18" s="48">
        <v>0.4453480216384178</v>
      </c>
      <c r="I18" s="65"/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3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3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3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3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3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3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3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3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3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3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3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3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3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3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136340</v>
      </c>
      <c r="F33" s="104">
        <v>0</v>
      </c>
      <c r="G33" s="101">
        <f>SUM(G2:G32)</f>
        <v>38908</v>
      </c>
      <c r="H33" s="102">
        <v>0</v>
      </c>
      <c r="I33" s="103">
        <f>SUM(I2:I32)</f>
        <v>1633.6999999999971</v>
      </c>
      <c r="J33" s="104">
        <v>0</v>
      </c>
      <c r="K33" s="105">
        <v>0</v>
      </c>
      <c r="L33" s="102">
        <v>0</v>
      </c>
      <c r="M33" s="106">
        <f t="shared" ref="M33:O33" si="1">SUM(M2:M32)</f>
        <v>240</v>
      </c>
      <c r="N33" s="106">
        <f t="shared" si="1"/>
        <v>547</v>
      </c>
      <c r="O33" s="106">
        <f t="shared" si="1"/>
        <v>1504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10" sqref="T1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44256</v>
      </c>
      <c r="B4" s="1">
        <v>822.66</v>
      </c>
      <c r="C4" s="1">
        <v>202.2</v>
      </c>
      <c r="D4" s="1">
        <v>7188944.2400000002</v>
      </c>
      <c r="E4" s="1">
        <v>7810757.9800000004</v>
      </c>
      <c r="F4" s="1">
        <v>2.0840000000000001</v>
      </c>
      <c r="G4" s="1">
        <v>634.35</v>
      </c>
      <c r="H4" s="1">
        <v>532.79</v>
      </c>
      <c r="I4" s="1">
        <v>197.09</v>
      </c>
      <c r="J4" s="1">
        <v>290.29000000000002</v>
      </c>
      <c r="K4" s="1">
        <v>305.37</v>
      </c>
      <c r="L4" s="1">
        <v>209.05</v>
      </c>
      <c r="M4" s="1">
        <v>427.59</v>
      </c>
      <c r="N4" s="1">
        <v>376.04</v>
      </c>
      <c r="O4" s="1">
        <v>121.34</v>
      </c>
      <c r="P4" s="1">
        <v>495.62</v>
      </c>
      <c r="Q4" s="1">
        <v>370.65</v>
      </c>
      <c r="R4" s="1">
        <v>124.01</v>
      </c>
      <c r="S4" s="1">
        <v>99.441000000000003</v>
      </c>
      <c r="T4" s="1">
        <v>364.12</v>
      </c>
      <c r="V4" s="71">
        <v>56</v>
      </c>
      <c r="W4" s="71">
        <v>128</v>
      </c>
      <c r="X4" s="71">
        <v>304</v>
      </c>
      <c r="Y4" s="17"/>
    </row>
    <row r="5" spans="1:25" ht="21" customHeight="1" x14ac:dyDescent="0.25">
      <c r="A5" s="8">
        <v>44257</v>
      </c>
      <c r="B5" s="1">
        <v>823.87</v>
      </c>
      <c r="C5" s="1">
        <v>202.45</v>
      </c>
      <c r="D5" s="1">
        <v>7191198.0599999996</v>
      </c>
      <c r="E5" s="1">
        <v>7813711.1500000004</v>
      </c>
      <c r="F5" s="1">
        <v>2.0863</v>
      </c>
      <c r="G5" s="1">
        <v>635.36</v>
      </c>
      <c r="H5" s="1">
        <v>533.65</v>
      </c>
      <c r="I5" s="1">
        <v>197.4</v>
      </c>
      <c r="J5" s="1">
        <v>290.52</v>
      </c>
      <c r="K5" s="1">
        <v>305.72000000000003</v>
      </c>
      <c r="L5" s="1">
        <v>209.29</v>
      </c>
      <c r="M5" s="1">
        <v>428.35</v>
      </c>
      <c r="N5" s="1">
        <v>376.91</v>
      </c>
      <c r="O5" s="1">
        <v>121.59</v>
      </c>
      <c r="P5" s="1">
        <v>496.52</v>
      </c>
      <c r="Q5" s="1">
        <v>371.5</v>
      </c>
      <c r="R5" s="1">
        <v>124.05</v>
      </c>
      <c r="S5" s="1">
        <v>99.591999999999999</v>
      </c>
      <c r="T5" s="1">
        <v>364.63</v>
      </c>
      <c r="V5" s="71">
        <v>51</v>
      </c>
      <c r="W5" s="71">
        <v>113</v>
      </c>
      <c r="X5" s="71">
        <v>342</v>
      </c>
      <c r="Y5" s="17"/>
    </row>
    <row r="6" spans="1:25" ht="21" customHeight="1" x14ac:dyDescent="0.25">
      <c r="A6" s="8">
        <v>44258</v>
      </c>
      <c r="B6" s="1">
        <v>825.05</v>
      </c>
      <c r="C6" s="1">
        <v>202.7</v>
      </c>
      <c r="D6" s="1">
        <v>7193371.4000000004</v>
      </c>
      <c r="E6" s="1">
        <v>7816547.6500000004</v>
      </c>
      <c r="F6" s="1">
        <v>2.0886999999999998</v>
      </c>
      <c r="G6" s="1">
        <v>636.39</v>
      </c>
      <c r="H6" s="1">
        <v>534.48</v>
      </c>
      <c r="I6" s="1">
        <v>197.76</v>
      </c>
      <c r="J6" s="1">
        <v>290.79000000000002</v>
      </c>
      <c r="K6" s="1">
        <v>306.14999999999998</v>
      </c>
      <c r="L6" s="1">
        <v>209.53</v>
      </c>
      <c r="M6" s="1">
        <v>429.07</v>
      </c>
      <c r="N6" s="1">
        <v>377.73</v>
      </c>
      <c r="O6" s="1">
        <v>121.9</v>
      </c>
      <c r="P6" s="1">
        <v>497.5</v>
      </c>
      <c r="Q6" s="1">
        <v>372.36</v>
      </c>
      <c r="R6" s="1">
        <v>124.12</v>
      </c>
      <c r="S6" s="1">
        <v>99.74</v>
      </c>
      <c r="T6" s="1">
        <v>365.13</v>
      </c>
      <c r="V6" s="71">
        <v>50</v>
      </c>
      <c r="W6" s="71">
        <v>111</v>
      </c>
      <c r="X6" s="71">
        <v>341</v>
      </c>
      <c r="Y6" s="17"/>
    </row>
    <row r="7" spans="1:25" ht="21" customHeight="1" x14ac:dyDescent="0.25">
      <c r="A7" s="8">
        <v>44259</v>
      </c>
      <c r="B7" s="1">
        <v>826.2</v>
      </c>
      <c r="C7" s="1">
        <v>202.94</v>
      </c>
      <c r="D7" s="1">
        <v>7195478.4500000002</v>
      </c>
      <c r="E7" s="1">
        <v>7819494.3399999999</v>
      </c>
      <c r="F7" s="1">
        <v>2.0912000000000002</v>
      </c>
      <c r="G7" s="1">
        <v>637.38</v>
      </c>
      <c r="H7" s="1">
        <v>535.25</v>
      </c>
      <c r="I7" s="1">
        <v>198.1</v>
      </c>
      <c r="J7" s="1">
        <v>291.12</v>
      </c>
      <c r="K7" s="1">
        <v>306.56</v>
      </c>
      <c r="L7" s="1">
        <v>209.79</v>
      </c>
      <c r="M7" s="1">
        <v>429.74</v>
      </c>
      <c r="N7" s="1">
        <v>378.57</v>
      </c>
      <c r="O7" s="1">
        <v>122.15</v>
      </c>
      <c r="P7" s="1">
        <v>498.46</v>
      </c>
      <c r="Q7" s="1">
        <v>373.16</v>
      </c>
      <c r="R7" s="1">
        <v>124.2</v>
      </c>
      <c r="S7" s="1">
        <v>99.83</v>
      </c>
      <c r="T7" s="1">
        <v>365.65</v>
      </c>
      <c r="V7" s="71">
        <v>55</v>
      </c>
      <c r="W7" s="71">
        <v>126</v>
      </c>
      <c r="X7" s="71">
        <v>339</v>
      </c>
      <c r="Y7" s="17"/>
    </row>
    <row r="8" spans="1:25" ht="21" customHeight="1" x14ac:dyDescent="0.25">
      <c r="A8" s="8">
        <v>44260</v>
      </c>
      <c r="B8" s="1">
        <v>827.4</v>
      </c>
      <c r="C8" s="1">
        <v>203.17</v>
      </c>
      <c r="D8" s="1">
        <v>7197919.7000000002</v>
      </c>
      <c r="E8" s="1">
        <v>7822436.8899999997</v>
      </c>
      <c r="F8" s="1">
        <v>2.0935999999999999</v>
      </c>
      <c r="G8" s="1">
        <v>638.38</v>
      </c>
      <c r="H8" s="1">
        <v>536.1</v>
      </c>
      <c r="I8" s="1">
        <v>198.36</v>
      </c>
      <c r="J8" s="1">
        <v>291.42</v>
      </c>
      <c r="K8" s="1">
        <v>307</v>
      </c>
      <c r="L8" s="1">
        <v>210.04</v>
      </c>
      <c r="M8" s="1">
        <v>430.45</v>
      </c>
      <c r="N8" s="1">
        <v>379.49</v>
      </c>
      <c r="O8" s="1">
        <v>122.48</v>
      </c>
      <c r="P8" s="1">
        <v>499.43</v>
      </c>
      <c r="Q8" s="1">
        <v>373.93</v>
      </c>
      <c r="R8" s="1">
        <v>124.29</v>
      </c>
      <c r="S8" s="1">
        <v>99.882999999999996</v>
      </c>
      <c r="T8" s="1">
        <v>366.17</v>
      </c>
      <c r="V8" s="71">
        <v>28</v>
      </c>
      <c r="W8" s="71">
        <v>69</v>
      </c>
      <c r="X8" s="71">
        <v>178</v>
      </c>
      <c r="Y8" s="17"/>
    </row>
    <row r="9" spans="1:25" ht="21" customHeight="1" x14ac:dyDescent="0.25">
      <c r="A9" s="8">
        <v>44261</v>
      </c>
      <c r="B9" s="1">
        <v>828.63</v>
      </c>
      <c r="C9" s="1">
        <v>203.42</v>
      </c>
      <c r="D9" s="1">
        <v>7200430.9100000001</v>
      </c>
      <c r="E9" s="1">
        <v>7825459.2999999998</v>
      </c>
      <c r="F9" s="1">
        <v>2.0958999999999999</v>
      </c>
      <c r="G9" s="1">
        <v>639.29999999999995</v>
      </c>
      <c r="H9" s="1">
        <v>537.12</v>
      </c>
      <c r="I9" s="1">
        <v>198.7</v>
      </c>
      <c r="J9" s="1">
        <v>291.69</v>
      </c>
      <c r="K9" s="1">
        <v>307.39999999999998</v>
      </c>
      <c r="L9" s="1">
        <v>210.26</v>
      </c>
      <c r="M9" s="1">
        <v>431.16</v>
      </c>
      <c r="N9" s="1">
        <v>380.45</v>
      </c>
      <c r="O9" s="1">
        <v>122.74</v>
      </c>
      <c r="P9" s="1">
        <v>500.44</v>
      </c>
      <c r="Q9" s="1">
        <v>374.83</v>
      </c>
      <c r="R9" s="1">
        <v>124.46</v>
      </c>
      <c r="S9" s="1">
        <v>100.02</v>
      </c>
      <c r="T9" s="1">
        <v>366.68</v>
      </c>
      <c r="V9" s="71"/>
      <c r="W9" s="71"/>
      <c r="X9" s="71"/>
      <c r="Y9" s="17"/>
    </row>
    <row r="10" spans="1:25" ht="21" customHeight="1" x14ac:dyDescent="0.25">
      <c r="A10" s="8">
        <v>44262</v>
      </c>
      <c r="B10" s="1">
        <v>829.97</v>
      </c>
      <c r="C10" s="1">
        <v>203.67</v>
      </c>
      <c r="D10" s="1">
        <v>7202605.0800000001</v>
      </c>
      <c r="E10" s="1">
        <v>7828346.0599999996</v>
      </c>
      <c r="F10" s="1">
        <v>2.0983000000000001</v>
      </c>
      <c r="G10" s="1">
        <v>640.17999999999995</v>
      </c>
      <c r="H10" s="1">
        <v>538.05999999999995</v>
      </c>
      <c r="I10" s="1">
        <v>199.04</v>
      </c>
      <c r="J10" s="1">
        <v>291.98</v>
      </c>
      <c r="K10" s="1">
        <v>307.83</v>
      </c>
      <c r="L10" s="1">
        <v>210.5</v>
      </c>
      <c r="M10" s="1">
        <v>431.88</v>
      </c>
      <c r="N10" s="1">
        <v>381.35</v>
      </c>
      <c r="O10" s="1">
        <v>122.97</v>
      </c>
      <c r="P10" s="1">
        <v>501.51</v>
      </c>
      <c r="Q10" s="1">
        <v>375.61</v>
      </c>
      <c r="R10" s="1">
        <v>124.65</v>
      </c>
      <c r="S10" s="1">
        <v>100.16</v>
      </c>
      <c r="T10" s="1">
        <v>367.18</v>
      </c>
      <c r="V10" s="71"/>
      <c r="W10" s="71"/>
      <c r="X10" s="71"/>
      <c r="Y10" s="17"/>
    </row>
    <row r="11" spans="1:25" ht="21" customHeight="1" x14ac:dyDescent="0.25">
      <c r="A11" s="8">
        <v>44263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44264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44265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44266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44267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44268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44269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44270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44271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44272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44273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44274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44275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44276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44277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44278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44280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44281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44282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44283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44284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44285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44286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240</v>
      </c>
      <c r="W35" s="78">
        <f>SUM(W4:W34)</f>
        <v>547</v>
      </c>
      <c r="X35" s="78">
        <f>SUM(X4:X34)</f>
        <v>1504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P19" sqref="P1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44256</v>
      </c>
      <c r="B4" s="26">
        <f>TOTAL!E2</f>
        <v>22070</v>
      </c>
      <c r="C4" s="4">
        <f>('Kwh Reading'!T5-'Kwh Reading'!T4)*1000</f>
        <v>509.99999999999091</v>
      </c>
      <c r="D4" s="2">
        <f>('Kwh Reading'!F5-'Kwh Reading'!F4)*1000000</f>
        <v>2299.9999999999686</v>
      </c>
      <c r="E4" s="2">
        <f>('Kwh Reading'!C5-'Kwh Reading'!C4)*1000</f>
        <v>250</v>
      </c>
      <c r="F4" s="2">
        <f>('Kwh Reading'!J5-'Kwh Reading'!J4)*1000</f>
        <v>229.99999999996135</v>
      </c>
      <c r="G4" s="2">
        <f>('Kwh Reading'!K5-'Kwh Reading'!K4)*1000</f>
        <v>350.00000000002274</v>
      </c>
      <c r="H4" s="2">
        <f>('Kwh Reading'!L5-'Kwh Reading'!L4)*1000</f>
        <v>239.99999999998067</v>
      </c>
      <c r="I4" s="2">
        <f>('Kwh Reading'!R5-'Kwh Reading'!R4)*1000</f>
        <v>39.999999999992042</v>
      </c>
      <c r="J4" s="2">
        <f>('Kwh Reading'!S5-'Kwh Reading'!S4)*1000</f>
        <v>150.99999999999625</v>
      </c>
      <c r="K4" s="2">
        <f>('Kwh Reading'!I5-'Kwh Reading'!I4)*1000</f>
        <v>310.00000000000227</v>
      </c>
      <c r="L4" s="2">
        <f>('Kwh Reading'!B5-'Kwh Reading'!B4)*1000</f>
        <v>1210.0000000000364</v>
      </c>
      <c r="M4" s="2">
        <f>('Kwh Reading'!M5-'Kwh Reading'!M4)*1000</f>
        <v>760.00000000004775</v>
      </c>
      <c r="N4" s="2">
        <f>('Kwh Reading'!H5-'Kwh Reading'!H4)*1000</f>
        <v>860.00000000001364</v>
      </c>
      <c r="O4" s="2">
        <f>('Kwh Reading'!P5-'Kwh Reading'!P4)*1000</f>
        <v>899.99999999997726</v>
      </c>
      <c r="P4" s="2">
        <f>('Kwh Reading'!G5-'Kwh Reading'!G4)*1000</f>
        <v>1009.9999999999909</v>
      </c>
      <c r="Q4" s="2">
        <f>('Kwh Reading'!Q5-'Kwh Reading'!Q4)*1000</f>
        <v>850.00000000002274</v>
      </c>
      <c r="R4" s="2">
        <f>('Kwh Reading'!N5-'Kwh Reading'!N4)*1000</f>
        <v>870.00000000000455</v>
      </c>
      <c r="S4" s="2">
        <f>'Kwh Reading'!E5-'Kwh Reading'!E4</f>
        <v>2953.1699999999255</v>
      </c>
      <c r="T4" s="2">
        <f>'Kwh Reading'!D5-'Kwh Reading'!D4</f>
        <v>2253.8199999993667</v>
      </c>
      <c r="U4" s="27">
        <f>('Kwh Reading'!O5-'Kwh Reading'!O4)*1000</f>
        <v>250</v>
      </c>
      <c r="V4" s="16">
        <f>B4-(SUM(C4:U4))</f>
        <v>5772.0100000007005</v>
      </c>
    </row>
    <row r="5" spans="1:22" x14ac:dyDescent="0.25">
      <c r="A5" s="3">
        <f>'Kwh Reading'!A5</f>
        <v>44257</v>
      </c>
      <c r="B5" s="26">
        <f>TOTAL!E3</f>
        <v>23210</v>
      </c>
      <c r="C5" s="4">
        <f>('Kwh Reading'!T6-'Kwh Reading'!T5)*1000</f>
        <v>500</v>
      </c>
      <c r="D5" s="2">
        <f>('Kwh Reading'!F6-'Kwh Reading'!F5)*1000000</f>
        <v>2399.9999999997358</v>
      </c>
      <c r="E5" s="2">
        <f>('Kwh Reading'!C6-'Kwh Reading'!C5)*1000</f>
        <v>250</v>
      </c>
      <c r="F5" s="2">
        <f>('Kwh Reading'!J6-'Kwh Reading'!J5)*1000</f>
        <v>270.00000000003865</v>
      </c>
      <c r="G5" s="2">
        <f>('Kwh Reading'!K6-'Kwh Reading'!K5)*1000</f>
        <v>429.99999999994998</v>
      </c>
      <c r="H5" s="2">
        <f>('Kwh Reading'!L6-'Kwh Reading'!L5)*1000</f>
        <v>240.00000000000909</v>
      </c>
      <c r="I5" s="2">
        <f>('Kwh Reading'!R6-'Kwh Reading'!R5)*1000</f>
        <v>70.00000000000739</v>
      </c>
      <c r="J5" s="2">
        <f>('Kwh Reading'!S6-'Kwh Reading'!S5)*1000</f>
        <v>147.99999999999613</v>
      </c>
      <c r="K5" s="2">
        <f>('Kwh Reading'!I6-'Kwh Reading'!I5)*1000</f>
        <v>359.99999999998522</v>
      </c>
      <c r="L5" s="2">
        <f>('Kwh Reading'!B6-'Kwh Reading'!B5)*1000</f>
        <v>1179.99999999995</v>
      </c>
      <c r="M5" s="2">
        <f>('Kwh Reading'!M6-'Kwh Reading'!M5)*1000</f>
        <v>719.99999999997044</v>
      </c>
      <c r="N5" s="2">
        <f>('Kwh Reading'!H6-'Kwh Reading'!H5)*1000</f>
        <v>830.00000000004093</v>
      </c>
      <c r="O5" s="2">
        <f>('Kwh Reading'!P6-'Kwh Reading'!P5)*1000</f>
        <v>980.00000000001819</v>
      </c>
      <c r="P5" s="2">
        <f>('Kwh Reading'!G6-'Kwh Reading'!G5)*1000</f>
        <v>1029.9999999999727</v>
      </c>
      <c r="Q5" s="2">
        <f>('Kwh Reading'!Q6-'Kwh Reading'!Q5)*1000</f>
        <v>860.00000000001364</v>
      </c>
      <c r="R5" s="2">
        <f>('Kwh Reading'!N6-'Kwh Reading'!N5)*1000</f>
        <v>819.99999999999318</v>
      </c>
      <c r="S5" s="2">
        <f>'Kwh Reading'!E6-'Kwh Reading'!E5</f>
        <v>2836.5</v>
      </c>
      <c r="T5" s="2">
        <f>'Kwh Reading'!D6-'Kwh Reading'!D5</f>
        <v>2173.3400000007823</v>
      </c>
      <c r="U5" s="27">
        <f>('Kwh Reading'!O6-'Kwh Reading'!O5)*1000</f>
        <v>310.00000000000227</v>
      </c>
      <c r="V5" s="16">
        <f>B5-(SUM(C5:U5))</f>
        <v>6802.1599999995342</v>
      </c>
    </row>
    <row r="6" spans="1:22" x14ac:dyDescent="0.25">
      <c r="A6" s="3">
        <f>'Kwh Reading'!A6</f>
        <v>44258</v>
      </c>
      <c r="B6" s="26">
        <f>TOTAL!E4</f>
        <v>22360</v>
      </c>
      <c r="C6" s="4">
        <f>('Kwh Reading'!T7-'Kwh Reading'!T6)*1000</f>
        <v>519.99999999998181</v>
      </c>
      <c r="D6" s="2">
        <f>('Kwh Reading'!F7-'Kwh Reading'!F6)*1000000</f>
        <v>2500.0000000003906</v>
      </c>
      <c r="E6" s="2">
        <f>('Kwh Reading'!C7-'Kwh Reading'!C6)*1000</f>
        <v>240.00000000000909</v>
      </c>
      <c r="F6" s="2">
        <f>('Kwh Reading'!J7-'Kwh Reading'!J6)*1000</f>
        <v>329.99999999998408</v>
      </c>
      <c r="G6" s="2">
        <f>('Kwh Reading'!K7-'Kwh Reading'!K6)*1000</f>
        <v>410.00000000002501</v>
      </c>
      <c r="H6" s="2">
        <f>('Kwh Reading'!L7-'Kwh Reading'!L6)*1000</f>
        <v>259.99999999999091</v>
      </c>
      <c r="I6" s="2">
        <f>('Kwh Reading'!R7-'Kwh Reading'!R6)*1000</f>
        <v>79.999999999998295</v>
      </c>
      <c r="J6" s="2">
        <f>('Kwh Reading'!S7-'Kwh Reading'!S6)*1000</f>
        <v>90.000000000003411</v>
      </c>
      <c r="K6" s="2">
        <f>('Kwh Reading'!I7-'Kwh Reading'!I6)*1000</f>
        <v>340.00000000000341</v>
      </c>
      <c r="L6" s="2">
        <f>('Kwh Reading'!B7-'Kwh Reading'!B6)*1000</f>
        <v>1150.0000000000909</v>
      </c>
      <c r="M6" s="2">
        <f>('Kwh Reading'!M7-'Kwh Reading'!M6)*1000</f>
        <v>670.00000000001592</v>
      </c>
      <c r="N6" s="2">
        <f>('Kwh Reading'!H7-'Kwh Reading'!H6)*1000</f>
        <v>769.99999999998181</v>
      </c>
      <c r="O6" s="2">
        <f>('Kwh Reading'!P7-'Kwh Reading'!P6)*1000</f>
        <v>959.99999999997954</v>
      </c>
      <c r="P6" s="2">
        <f>('Kwh Reading'!G7-'Kwh Reading'!G6)*1000</f>
        <v>990.00000000000909</v>
      </c>
      <c r="Q6" s="2">
        <f>('Kwh Reading'!Q7-'Kwh Reading'!Q6)*1000</f>
        <v>800.00000000001137</v>
      </c>
      <c r="R6" s="2">
        <f>('Kwh Reading'!N7-'Kwh Reading'!N6)*1000</f>
        <v>839.99999999997499</v>
      </c>
      <c r="S6" s="2">
        <f>'Kwh Reading'!E7-'Kwh Reading'!E6</f>
        <v>2946.6899999994785</v>
      </c>
      <c r="T6" s="2">
        <f>'Kwh Reading'!D7-'Kwh Reading'!D6</f>
        <v>2107.0499999998137</v>
      </c>
      <c r="U6" s="27">
        <f>('Kwh Reading'!O7-'Kwh Reading'!O6)*1000</f>
        <v>250</v>
      </c>
      <c r="V6" s="16">
        <f t="shared" ref="V6:V34" si="0">B6-(SUM(C6:U6))</f>
        <v>6106.2600000002567</v>
      </c>
    </row>
    <row r="7" spans="1:22" x14ac:dyDescent="0.25">
      <c r="A7" s="3">
        <f>'Kwh Reading'!A7</f>
        <v>44259</v>
      </c>
      <c r="B7" s="26">
        <f>TOTAL!E5</f>
        <v>22910</v>
      </c>
      <c r="C7" s="4">
        <f>('Kwh Reading'!T8-'Kwh Reading'!T7)*1000</f>
        <v>520.00000000003865</v>
      </c>
      <c r="D7" s="2">
        <f>('Kwh Reading'!F8-'Kwh Reading'!F7)*1000000</f>
        <v>2399.9999999997358</v>
      </c>
      <c r="E7" s="2">
        <f>('Kwh Reading'!C8-'Kwh Reading'!C7)*1000</f>
        <v>229.99999999998977</v>
      </c>
      <c r="F7" s="2">
        <f>('Kwh Reading'!J8-'Kwh Reading'!J7)*1000</f>
        <v>300.00000000001137</v>
      </c>
      <c r="G7" s="2">
        <f>('Kwh Reading'!K8-'Kwh Reading'!K7)*1000</f>
        <v>439.99999999999773</v>
      </c>
      <c r="H7" s="2">
        <f>('Kwh Reading'!L8-'Kwh Reading'!L7)*1000</f>
        <v>250</v>
      </c>
      <c r="I7" s="2">
        <f>('Kwh Reading'!R8-'Kwh Reading'!R7)*1000</f>
        <v>90.000000000003411</v>
      </c>
      <c r="J7" s="2">
        <f>('Kwh Reading'!S8-'Kwh Reading'!S7)*1000</f>
        <v>52.999999999997272</v>
      </c>
      <c r="K7" s="2">
        <f>('Kwh Reading'!I8-'Kwh Reading'!I7)*1000</f>
        <v>260.00000000001933</v>
      </c>
      <c r="L7" s="2">
        <f>('Kwh Reading'!B8-'Kwh Reading'!B7)*1000</f>
        <v>1199.9999999999318</v>
      </c>
      <c r="M7" s="2">
        <f>('Kwh Reading'!M8-'Kwh Reading'!M7)*1000</f>
        <v>709.99999999997954</v>
      </c>
      <c r="N7" s="2">
        <f>('Kwh Reading'!H8-'Kwh Reading'!H7)*1000</f>
        <v>850.00000000002274</v>
      </c>
      <c r="O7" s="2">
        <f>('Kwh Reading'!P8-'Kwh Reading'!P7)*1000</f>
        <v>970.00000000002728</v>
      </c>
      <c r="P7" s="2">
        <f>('Kwh Reading'!G8-'Kwh Reading'!G7)*1000</f>
        <v>1000</v>
      </c>
      <c r="Q7" s="2">
        <f>('Kwh Reading'!Q8-'Kwh Reading'!Q7)*1000</f>
        <v>769.99999999998181</v>
      </c>
      <c r="R7" s="2">
        <f>('Kwh Reading'!N8-'Kwh Reading'!N7)*1000</f>
        <v>920.00000000001592</v>
      </c>
      <c r="S7" s="2">
        <f>'Kwh Reading'!E8-'Kwh Reading'!E7</f>
        <v>2942.5499999998137</v>
      </c>
      <c r="T7" s="2">
        <f>'Kwh Reading'!D8-'Kwh Reading'!D7</f>
        <v>2441.25</v>
      </c>
      <c r="U7" s="27">
        <f>('Kwh Reading'!O8-'Kwh Reading'!O7)*1000</f>
        <v>329.99999999999829</v>
      </c>
      <c r="V7" s="16">
        <f t="shared" si="0"/>
        <v>6233.2000000004336</v>
      </c>
    </row>
    <row r="8" spans="1:22" x14ac:dyDescent="0.25">
      <c r="A8" s="3">
        <f>'Kwh Reading'!A8</f>
        <v>44260</v>
      </c>
      <c r="B8" s="26">
        <v>23110</v>
      </c>
      <c r="C8" s="4">
        <f>('Kwh Reading'!T9-'Kwh Reading'!T8)*1000</f>
        <v>509.99999999999091</v>
      </c>
      <c r="D8" s="2">
        <f>('Kwh Reading'!F9-'Kwh Reading'!F8)*1000000</f>
        <v>2299.9999999999686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399.99999999997726</v>
      </c>
      <c r="H8" s="2">
        <f>('Kwh Reading'!L9-'Kwh Reading'!L8)*1000</f>
        <v>219.99999999999886</v>
      </c>
      <c r="I8" s="2">
        <f>('Kwh Reading'!R9-'Kwh Reading'!R8)*1000</f>
        <v>169.99999999998749</v>
      </c>
      <c r="J8" s="2">
        <f>('Kwh Reading'!S9-'Kwh Reading'!S8)*1000</f>
        <v>137.00000000000045</v>
      </c>
      <c r="K8" s="2">
        <f>('Kwh Reading'!I9-'Kwh Reading'!I8)*1000</f>
        <v>339.99999999997499</v>
      </c>
      <c r="L8" s="2">
        <f>('Kwh Reading'!B9-'Kwh Reading'!B8)*1000</f>
        <v>1230.0000000000182</v>
      </c>
      <c r="M8" s="2">
        <f>('Kwh Reading'!M9-'Kwh Reading'!M8)*1000</f>
        <v>710.00000000003638</v>
      </c>
      <c r="N8" s="2">
        <f>('Kwh Reading'!H9-'Kwh Reading'!H8)*1000</f>
        <v>1019.9999999999818</v>
      </c>
      <c r="O8" s="2">
        <f>('Kwh Reading'!P9-'Kwh Reading'!P8)*1000</f>
        <v>1009.9999999999909</v>
      </c>
      <c r="P8" s="2">
        <f>('Kwh Reading'!G9-'Kwh Reading'!G8)*1000</f>
        <v>919.99999999995907</v>
      </c>
      <c r="Q8" s="2">
        <f>('Kwh Reading'!Q9-'Kwh Reading'!Q8)*1000</f>
        <v>899.99999999997726</v>
      </c>
      <c r="R8" s="2">
        <f>('Kwh Reading'!N9-'Kwh Reading'!N8)*1000</f>
        <v>959.99999999997954</v>
      </c>
      <c r="S8" s="2">
        <f>'Kwh Reading'!E9-'Kwh Reading'!E8</f>
        <v>3022.410000000149</v>
      </c>
      <c r="T8" s="2">
        <f>'Kwh Reading'!D9-'Kwh Reading'!D8</f>
        <v>2511.2099999999627</v>
      </c>
      <c r="U8" s="27">
        <f>('Kwh Reading'!O9-'Kwh Reading'!O8)*1000</f>
        <v>259.99999999999091</v>
      </c>
      <c r="V8" s="16">
        <f t="shared" si="0"/>
        <v>5969.3800000000701</v>
      </c>
    </row>
    <row r="9" spans="1:22" x14ac:dyDescent="0.25">
      <c r="A9" s="3">
        <f>'Kwh Reading'!A9</f>
        <v>44261</v>
      </c>
      <c r="B9" s="26">
        <f>TOTAL!E7</f>
        <v>22680</v>
      </c>
      <c r="C9" s="4">
        <f>('Kwh Reading'!T10-'Kwh Reading'!T9)*1000</f>
        <v>500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290.00000000002046</v>
      </c>
      <c r="G9" s="2">
        <f>('Kwh Reading'!K10-'Kwh Reading'!K9)*1000</f>
        <v>430.00000000000682</v>
      </c>
      <c r="H9" s="2">
        <f>('Kwh Reading'!L10-'Kwh Reading'!L9)*1000</f>
        <v>240.00000000000909</v>
      </c>
      <c r="I9" s="2">
        <f>('Kwh Reading'!R10-'Kwh Reading'!R9)*1000</f>
        <v>190.00000000001194</v>
      </c>
      <c r="J9" s="2">
        <f>('Kwh Reading'!S10-'Kwh Reading'!S9)*1000</f>
        <v>140.00000000000057</v>
      </c>
      <c r="K9" s="2">
        <f>('Kwh Reading'!I10-'Kwh Reading'!I9)*1000</f>
        <v>340.00000000000341</v>
      </c>
      <c r="L9" s="2">
        <f>('Kwh Reading'!B10-'Kwh Reading'!B9)*1000</f>
        <v>1340.0000000000318</v>
      </c>
      <c r="M9" s="2">
        <f>('Kwh Reading'!M10-'Kwh Reading'!M9)*1000</f>
        <v>719.99999999997044</v>
      </c>
      <c r="N9" s="2">
        <f>('Kwh Reading'!H10-'Kwh Reading'!H9)*1000</f>
        <v>939.99999999994088</v>
      </c>
      <c r="O9" s="2">
        <f>('Kwh Reading'!P10-'Kwh Reading'!P9)*1000</f>
        <v>1069.9999999999932</v>
      </c>
      <c r="P9" s="2">
        <f>('Kwh Reading'!G10-'Kwh Reading'!G9)*1000</f>
        <v>879.99999999999545</v>
      </c>
      <c r="Q9" s="2">
        <f>('Kwh Reading'!Q10-'Kwh Reading'!Q9)*1000</f>
        <v>780.00000000002956</v>
      </c>
      <c r="R9" s="2">
        <f>('Kwh Reading'!N10-'Kwh Reading'!N9)*1000</f>
        <v>900.00000000003411</v>
      </c>
      <c r="S9" s="2">
        <f>'Kwh Reading'!E10-'Kwh Reading'!E9</f>
        <v>2886.7599999997765</v>
      </c>
      <c r="T9" s="2">
        <f>'Kwh Reading'!D10-'Kwh Reading'!D9</f>
        <v>2174.1699999999255</v>
      </c>
      <c r="U9" s="27">
        <f>('Kwh Reading'!O10-'Kwh Reading'!O9)*1000</f>
        <v>230.00000000000398</v>
      </c>
      <c r="V9" s="16">
        <f t="shared" si="0"/>
        <v>5979.0700000000688</v>
      </c>
    </row>
    <row r="10" spans="1:22" x14ac:dyDescent="0.25">
      <c r="A10" s="3">
        <f>'Kwh Reading'!A10</f>
        <v>44262</v>
      </c>
      <c r="B10" s="26">
        <f>TOTAL!E8</f>
        <v>0</v>
      </c>
      <c r="C10" s="4">
        <f>('Kwh Reading'!T11-'Kwh Reading'!T10)*1000</f>
        <v>-367180</v>
      </c>
      <c r="D10" s="2">
        <f>('Kwh Reading'!F11-'Kwh Reading'!F10)*1000000</f>
        <v>-2098300</v>
      </c>
      <c r="E10" s="2">
        <f>('Kwh Reading'!C11-'Kwh Reading'!C10)*1000</f>
        <v>-203670</v>
      </c>
      <c r="F10" s="2">
        <f>('Kwh Reading'!J11-'Kwh Reading'!J10)*1000</f>
        <v>-291980</v>
      </c>
      <c r="G10" s="2">
        <f>('Kwh Reading'!K11-'Kwh Reading'!K10)*1000</f>
        <v>-307830</v>
      </c>
      <c r="H10" s="2">
        <f>('Kwh Reading'!L11-'Kwh Reading'!L10)*1000</f>
        <v>-210500</v>
      </c>
      <c r="I10" s="2">
        <f>('Kwh Reading'!R11-'Kwh Reading'!R10)*1000</f>
        <v>-124650</v>
      </c>
      <c r="J10" s="2">
        <f>('Kwh Reading'!S11-'Kwh Reading'!S10)*1000</f>
        <v>-100160</v>
      </c>
      <c r="K10" s="2">
        <f>('Kwh Reading'!I11-'Kwh Reading'!I10)*1000</f>
        <v>-199040</v>
      </c>
      <c r="L10" s="2">
        <f>('Kwh Reading'!B11-'Kwh Reading'!B10)*1000</f>
        <v>-829970</v>
      </c>
      <c r="M10" s="2">
        <f>('Kwh Reading'!M11-'Kwh Reading'!M10)*1000</f>
        <v>-431880</v>
      </c>
      <c r="N10" s="2">
        <f>('Kwh Reading'!H11-'Kwh Reading'!H10)*1000</f>
        <v>-538060</v>
      </c>
      <c r="O10" s="2">
        <f>('Kwh Reading'!P11-'Kwh Reading'!P10)*1000</f>
        <v>-501510</v>
      </c>
      <c r="P10" s="2">
        <f>('Kwh Reading'!G11-'Kwh Reading'!G10)*1000</f>
        <v>-640180</v>
      </c>
      <c r="Q10" s="2">
        <f>('Kwh Reading'!Q11-'Kwh Reading'!Q10)*1000</f>
        <v>-375610</v>
      </c>
      <c r="R10" s="2">
        <f>('Kwh Reading'!N11-'Kwh Reading'!N10)*1000</f>
        <v>-381350</v>
      </c>
      <c r="S10" s="34">
        <f>'Kwh Reading'!E11-'Kwh Reading'!E10</f>
        <v>-7828346.0599999996</v>
      </c>
      <c r="T10" s="34">
        <f>'Kwh Reading'!D11-'Kwh Reading'!D10</f>
        <v>-7202605.0800000001</v>
      </c>
      <c r="U10" s="27">
        <f>('Kwh Reading'!O11-'Kwh Reading'!O10)*1000</f>
        <v>-122970</v>
      </c>
      <c r="V10" s="16">
        <f t="shared" si="0"/>
        <v>22755791.140000001</v>
      </c>
    </row>
    <row r="11" spans="1:22" x14ac:dyDescent="0.25">
      <c r="A11" s="3">
        <f>'Kwh Reading'!A11</f>
        <v>44263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44264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0"/>
        <v>0</v>
      </c>
    </row>
    <row r="13" spans="1:22" x14ac:dyDescent="0.25">
      <c r="A13" s="3">
        <f>'Kwh Reading'!A13</f>
        <v>44265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0"/>
        <v>0</v>
      </c>
    </row>
    <row r="14" spans="1:22" x14ac:dyDescent="0.25">
      <c r="A14" s="3">
        <f>'Kwh Reading'!A14</f>
        <v>44266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0"/>
        <v>0</v>
      </c>
    </row>
    <row r="15" spans="1:22" x14ac:dyDescent="0.25">
      <c r="A15" s="3">
        <f>'Kwh Reading'!A15</f>
        <v>44267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0"/>
        <v>0</v>
      </c>
    </row>
    <row r="16" spans="1:22" x14ac:dyDescent="0.25">
      <c r="A16" s="3">
        <f>'Kwh Reading'!A16</f>
        <v>44268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0"/>
        <v>0</v>
      </c>
    </row>
    <row r="17" spans="1:22" x14ac:dyDescent="0.25">
      <c r="A17" s="3">
        <f>'Kwh Reading'!A17</f>
        <v>44269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0"/>
        <v>0</v>
      </c>
    </row>
    <row r="18" spans="1:22" x14ac:dyDescent="0.25">
      <c r="A18" s="3">
        <f>'Kwh Reading'!A18</f>
        <v>44270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0"/>
        <v>0</v>
      </c>
    </row>
    <row r="19" spans="1:22" x14ac:dyDescent="0.25">
      <c r="A19" s="3">
        <f>'Kwh Reading'!A19</f>
        <v>44271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44272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44273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44274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44275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44276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44277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44278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44279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44280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44281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44282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44283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44284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44285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44286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136340</v>
      </c>
      <c r="C35" s="75">
        <f t="shared" ref="C35" si="1">SUM(C4:C34)</f>
        <v>-364120</v>
      </c>
      <c r="D35" s="75">
        <f t="shared" ref="D35" si="2">SUM(D4:D34)</f>
        <v>-2084000</v>
      </c>
      <c r="E35" s="75">
        <f t="shared" ref="E35" si="3">SUM(E4:E34)</f>
        <v>-202200</v>
      </c>
      <c r="F35" s="75">
        <f t="shared" ref="F35" si="4">SUM(F4:F34)</f>
        <v>-290290</v>
      </c>
      <c r="G35" s="75">
        <f t="shared" ref="G35:U35" si="5">SUM(G4:G34)</f>
        <v>-305370</v>
      </c>
      <c r="H35" s="75">
        <f t="shared" si="5"/>
        <v>-209050</v>
      </c>
      <c r="I35" s="75">
        <f t="shared" si="5"/>
        <v>-124010</v>
      </c>
      <c r="J35" s="75">
        <f t="shared" si="5"/>
        <v>-99441</v>
      </c>
      <c r="K35" s="75">
        <f t="shared" si="5"/>
        <v>-197090</v>
      </c>
      <c r="L35" s="75">
        <f t="shared" si="5"/>
        <v>-822659.99999999988</v>
      </c>
      <c r="M35" s="75">
        <f t="shared" si="5"/>
        <v>-427590</v>
      </c>
      <c r="N35" s="75">
        <f t="shared" si="5"/>
        <v>-532790</v>
      </c>
      <c r="O35" s="75">
        <f t="shared" si="5"/>
        <v>-495620</v>
      </c>
      <c r="P35" s="75">
        <f t="shared" si="5"/>
        <v>-634350.00000000012</v>
      </c>
      <c r="Q35" s="75">
        <f t="shared" si="5"/>
        <v>-370649.99999999994</v>
      </c>
      <c r="R35" s="75">
        <f t="shared" si="5"/>
        <v>-376040</v>
      </c>
      <c r="S35" s="75">
        <f t="shared" si="5"/>
        <v>-7810757.9800000004</v>
      </c>
      <c r="T35" s="75">
        <f t="shared" si="5"/>
        <v>-7188944.2400000002</v>
      </c>
      <c r="U35" s="75">
        <f t="shared" si="5"/>
        <v>-121340</v>
      </c>
      <c r="V35" s="75">
        <f>SUM(V4:V34)</f>
        <v>22792653.220000003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2" sqref="B2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44256</v>
      </c>
      <c r="B3" s="83">
        <f>TOTAL!E2</f>
        <v>22070</v>
      </c>
      <c r="C3" s="1">
        <f>'Kwh Consumption'!C4</f>
        <v>509.99999999999091</v>
      </c>
      <c r="D3" s="1">
        <f>'Kwh Consumption'!D4</f>
        <v>2299.9999999999686</v>
      </c>
      <c r="E3" s="1">
        <f>'Kwh Consumption'!E4</f>
        <v>250</v>
      </c>
      <c r="F3" s="1">
        <f>('Kwh Consumption'!F4+'Kwh Consumption'!G4+'Kwh Consumption'!H4)</f>
        <v>819.99999999996476</v>
      </c>
      <c r="G3" s="16">
        <f>('Kwh Consumption'!I4+'Kwh Consumption'!J4)</f>
        <v>190.99999999998829</v>
      </c>
      <c r="H3" s="1">
        <f>('Kwh Consumption'!K4+'Kwh Consumption'!L4)</f>
        <v>1520.0000000000387</v>
      </c>
      <c r="I3" s="1">
        <f>('Kwh Consumption'!M4+'Kwh Consumption'!N4+'Kwh Consumption'!O4+'Kwh Consumption'!P4+'Kwh Consumption'!Q4+'Kwh Consumption'!R4)</f>
        <v>5250.0000000000573</v>
      </c>
      <c r="J3" s="1">
        <f>('Kwh Consumption'!S4+'Kwh Consumption'!T4)</f>
        <v>5206.9899999992922</v>
      </c>
      <c r="K3" s="1">
        <f>'Kwh Consumption'!U4</f>
        <v>250</v>
      </c>
      <c r="L3" s="32">
        <f t="shared" ref="L3:L33" si="0">B3-C3-D3-E3-F3-G3-H3-I3-J3-K3</f>
        <v>5772.0100000006969</v>
      </c>
    </row>
    <row r="4" spans="1:12" x14ac:dyDescent="0.25">
      <c r="A4" s="14">
        <f>'Kwh Reading'!A5</f>
        <v>44257</v>
      </c>
      <c r="B4" s="83">
        <f>TOTAL!E3</f>
        <v>23210</v>
      </c>
      <c r="C4" s="1">
        <f>'Kwh Consumption'!C5</f>
        <v>500</v>
      </c>
      <c r="D4" s="1">
        <f>'Kwh Consumption'!D5</f>
        <v>2399.9999999997358</v>
      </c>
      <c r="E4" s="1">
        <f>'Kwh Consumption'!E5</f>
        <v>250</v>
      </c>
      <c r="F4" s="1">
        <f>('Kwh Consumption'!F5+'Kwh Consumption'!G5+'Kwh Consumption'!H5)</f>
        <v>939.99999999999773</v>
      </c>
      <c r="G4" s="16">
        <f>('Kwh Consumption'!I5+'Kwh Consumption'!J5)</f>
        <v>218.00000000000352</v>
      </c>
      <c r="H4" s="1">
        <f>('Kwh Consumption'!K5+'Kwh Consumption'!L5)</f>
        <v>1539.9999999999352</v>
      </c>
      <c r="I4" s="1">
        <f>('Kwh Consumption'!M5+'Kwh Consumption'!N5+'Kwh Consumption'!O5+'Kwh Consumption'!P5+'Kwh Consumption'!Q5+'Kwh Consumption'!R5)</f>
        <v>5240.0000000000091</v>
      </c>
      <c r="J4" s="1">
        <f>('Kwh Consumption'!S5+'Kwh Consumption'!T5)</f>
        <v>5009.8400000007823</v>
      </c>
      <c r="K4" s="1">
        <f>'Kwh Consumption'!U5</f>
        <v>310.00000000000227</v>
      </c>
      <c r="L4" s="32">
        <f t="shared" si="0"/>
        <v>6802.1599999995378</v>
      </c>
    </row>
    <row r="5" spans="1:12" x14ac:dyDescent="0.25">
      <c r="A5" s="14">
        <f>'Kwh Reading'!A6</f>
        <v>44258</v>
      </c>
      <c r="B5" s="83">
        <f>TOTAL!E4</f>
        <v>22360</v>
      </c>
      <c r="C5" s="1">
        <f>'Kwh Consumption'!C6</f>
        <v>519.99999999998181</v>
      </c>
      <c r="D5" s="1">
        <f>'Kwh Consumption'!D6</f>
        <v>2500.0000000003906</v>
      </c>
      <c r="E5" s="1">
        <f>'Kwh Consumption'!E6</f>
        <v>240.00000000000909</v>
      </c>
      <c r="F5" s="1">
        <f>('Kwh Consumption'!F6+'Kwh Consumption'!G6+'Kwh Consumption'!H6)</f>
        <v>1000</v>
      </c>
      <c r="G5" s="16">
        <f>('Kwh Consumption'!I6+'Kwh Consumption'!J6)</f>
        <v>170.00000000000171</v>
      </c>
      <c r="H5" s="1">
        <f>('Kwh Consumption'!K6+'Kwh Consumption'!L6)</f>
        <v>1490.0000000000944</v>
      </c>
      <c r="I5" s="1">
        <f>('Kwh Consumption'!M6+'Kwh Consumption'!N6+'Kwh Consumption'!O6+'Kwh Consumption'!P6+'Kwh Consumption'!Q6+'Kwh Consumption'!R6)</f>
        <v>5029.9999999999727</v>
      </c>
      <c r="J5" s="1">
        <f>('Kwh Consumption'!S6+'Kwh Consumption'!T6)</f>
        <v>5053.7399999992922</v>
      </c>
      <c r="K5" s="1">
        <f>'Kwh Consumption'!U6</f>
        <v>250</v>
      </c>
      <c r="L5" s="32">
        <f t="shared" si="0"/>
        <v>6106.2600000002622</v>
      </c>
    </row>
    <row r="6" spans="1:12" x14ac:dyDescent="0.25">
      <c r="A6" s="14">
        <f>'Kwh Reading'!A7</f>
        <v>44259</v>
      </c>
      <c r="B6" s="83">
        <f>TOTAL!E5</f>
        <v>22910</v>
      </c>
      <c r="C6" s="1">
        <f>'Kwh Consumption'!C7</f>
        <v>520.00000000003865</v>
      </c>
      <c r="D6" s="1">
        <f>'Kwh Consumption'!D7</f>
        <v>2399.9999999997358</v>
      </c>
      <c r="E6" s="1">
        <f>'Kwh Consumption'!E7</f>
        <v>229.99999999998977</v>
      </c>
      <c r="F6" s="1">
        <f>('Kwh Consumption'!F7+'Kwh Consumption'!G7+'Kwh Consumption'!H7)</f>
        <v>990.00000000000909</v>
      </c>
      <c r="G6" s="16">
        <f>('Kwh Consumption'!I7+'Kwh Consumption'!J7)</f>
        <v>143.00000000000068</v>
      </c>
      <c r="H6" s="1">
        <f>('Kwh Consumption'!K7+'Kwh Consumption'!L7)</f>
        <v>1459.9999999999511</v>
      </c>
      <c r="I6" s="1">
        <f>('Kwh Consumption'!M7+'Kwh Consumption'!N7+'Kwh Consumption'!O7+'Kwh Consumption'!P7+'Kwh Consumption'!Q7+'Kwh Consumption'!R7)</f>
        <v>5220.0000000000273</v>
      </c>
      <c r="J6" s="1">
        <f>('Kwh Consumption'!S7+'Kwh Consumption'!T7)</f>
        <v>5383.7999999998137</v>
      </c>
      <c r="K6" s="1">
        <f>'Kwh Consumption'!U7</f>
        <v>329.99999999999829</v>
      </c>
      <c r="L6" s="32">
        <f t="shared" si="0"/>
        <v>6233.2000000004336</v>
      </c>
    </row>
    <row r="7" spans="1:12" x14ac:dyDescent="0.25">
      <c r="A7" s="14">
        <f>'Kwh Reading'!A8</f>
        <v>44260</v>
      </c>
      <c r="B7" s="83">
        <f>TOTAL!E6</f>
        <v>23110</v>
      </c>
      <c r="C7" s="1">
        <f>'Kwh Consumption'!C8</f>
        <v>509.99999999999091</v>
      </c>
      <c r="D7" s="1">
        <f>'Kwh Consumption'!D8</f>
        <v>2299.9999999999686</v>
      </c>
      <c r="E7" s="1">
        <f>'Kwh Consumption'!E8</f>
        <v>250</v>
      </c>
      <c r="F7" s="1">
        <f>('Kwh Consumption'!F8+'Kwh Consumption'!G8+'Kwh Consumption'!H8)</f>
        <v>889.99999999995794</v>
      </c>
      <c r="G7" s="16">
        <f>('Kwh Consumption'!I8+'Kwh Consumption'!J8)</f>
        <v>306.99999999998795</v>
      </c>
      <c r="H7" s="1">
        <f>('Kwh Consumption'!K8+'Kwh Consumption'!L8)</f>
        <v>1569.9999999999932</v>
      </c>
      <c r="I7" s="1">
        <f>('Kwh Consumption'!M8+'Kwh Consumption'!N8+'Kwh Consumption'!O8+'Kwh Consumption'!P8+'Kwh Consumption'!Q8+'Kwh Consumption'!R8)</f>
        <v>5519.9999999999254</v>
      </c>
      <c r="J7" s="1">
        <f>('Kwh Consumption'!S8+'Kwh Consumption'!T8)</f>
        <v>5533.6200000001118</v>
      </c>
      <c r="K7" s="1">
        <f>'Kwh Consumption'!U8</f>
        <v>259.99999999999091</v>
      </c>
      <c r="L7" s="32">
        <f t="shared" si="0"/>
        <v>5969.3800000000738</v>
      </c>
    </row>
    <row r="8" spans="1:12" x14ac:dyDescent="0.25">
      <c r="A8" s="14">
        <f>'Kwh Reading'!A9</f>
        <v>44261</v>
      </c>
      <c r="B8" s="83">
        <f>TOTAL!E7</f>
        <v>22680</v>
      </c>
      <c r="C8" s="1">
        <f>'Kwh Consumption'!C9</f>
        <v>500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960.00000000003638</v>
      </c>
      <c r="G8" s="16">
        <f>('Kwh Consumption'!I9+'Kwh Consumption'!J9)</f>
        <v>330.00000000001251</v>
      </c>
      <c r="H8" s="1">
        <f>('Kwh Consumption'!K9+'Kwh Consumption'!L9)</f>
        <v>1680.0000000000352</v>
      </c>
      <c r="I8" s="1">
        <f>('Kwh Consumption'!M9+'Kwh Consumption'!N9+'Kwh Consumption'!O9+'Kwh Consumption'!P9+'Kwh Consumption'!Q9+'Kwh Consumption'!R9)</f>
        <v>5289.9999999999636</v>
      </c>
      <c r="J8" s="1">
        <f>('Kwh Consumption'!S9+'Kwh Consumption'!T9)</f>
        <v>5060.929999999702</v>
      </c>
      <c r="K8" s="1">
        <f>'Kwh Consumption'!U9</f>
        <v>230.00000000000398</v>
      </c>
      <c r="L8" s="32">
        <f t="shared" si="0"/>
        <v>5979.0700000000688</v>
      </c>
    </row>
    <row r="9" spans="1:12" x14ac:dyDescent="0.25">
      <c r="A9" s="14">
        <f>'Kwh Reading'!A10</f>
        <v>44262</v>
      </c>
      <c r="B9" s="83">
        <f>TOTAL!E8</f>
        <v>0</v>
      </c>
      <c r="C9" s="1">
        <f>'Kwh Consumption'!C10</f>
        <v>-367180</v>
      </c>
      <c r="D9" s="1">
        <f>'Kwh Consumption'!D10</f>
        <v>-2098300</v>
      </c>
      <c r="E9" s="1">
        <f>'Kwh Consumption'!E10</f>
        <v>-203670</v>
      </c>
      <c r="F9" s="1">
        <f>('Kwh Consumption'!F10+'Kwh Consumption'!G10+'Kwh Consumption'!H10)</f>
        <v>-810310</v>
      </c>
      <c r="G9" s="16">
        <f>('Kwh Consumption'!I10+'Kwh Consumption'!J10)</f>
        <v>-224810</v>
      </c>
      <c r="H9" s="1">
        <f>('Kwh Consumption'!K10+'Kwh Consumption'!L10)</f>
        <v>-1029010</v>
      </c>
      <c r="I9" s="1">
        <f>('Kwh Consumption'!M10+'Kwh Consumption'!N10+'Kwh Consumption'!O10+'Kwh Consumption'!P10+'Kwh Consumption'!Q10+'Kwh Consumption'!R10)</f>
        <v>-2868590</v>
      </c>
      <c r="J9" s="1">
        <f>('Kwh Consumption'!S10+'Kwh Consumption'!T10)</f>
        <v>-15030951.140000001</v>
      </c>
      <c r="K9" s="1">
        <f>'Kwh Consumption'!U10</f>
        <v>-122970</v>
      </c>
      <c r="L9" s="32">
        <f t="shared" si="0"/>
        <v>22755791.140000001</v>
      </c>
    </row>
    <row r="10" spans="1:12" x14ac:dyDescent="0.25">
      <c r="A10" s="14">
        <f>'Kwh Reading'!A11</f>
        <v>44263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44264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44265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44266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44267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44268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44269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44270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44271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44272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44273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44274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44275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44276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44277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44278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44279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44280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44281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44282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44283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44284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44285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44286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136340</v>
      </c>
      <c r="C34" s="75">
        <f>SUM(C3:C33)</f>
        <v>-364120</v>
      </c>
      <c r="D34" s="75">
        <f t="shared" ref="D34:L34" si="1">SUM(D3:D33)</f>
        <v>-2084000</v>
      </c>
      <c r="E34" s="75">
        <f t="shared" si="1"/>
        <v>-202200</v>
      </c>
      <c r="F34" s="75">
        <f t="shared" si="1"/>
        <v>-804710</v>
      </c>
      <c r="G34" s="75">
        <f t="shared" si="1"/>
        <v>-223451</v>
      </c>
      <c r="H34" s="75">
        <f t="shared" si="1"/>
        <v>-1019750</v>
      </c>
      <c r="I34" s="75">
        <f t="shared" si="1"/>
        <v>-2837040</v>
      </c>
      <c r="J34" s="75">
        <f t="shared" si="1"/>
        <v>-14999702.220000003</v>
      </c>
      <c r="K34" s="75">
        <f t="shared" si="1"/>
        <v>-121340</v>
      </c>
      <c r="L34" s="75">
        <f t="shared" si="1"/>
        <v>22792653.220000003</v>
      </c>
      <c r="M34" s="84">
        <f>C34+D34+E34+F34+G34+H34+I34+J34+K34+L34</f>
        <v>136340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-50976.800000000003</v>
      </c>
      <c r="D36" s="75">
        <f>D34*B36</f>
        <v>-291760</v>
      </c>
      <c r="E36" s="75">
        <f>E34*B36</f>
        <v>-28308.000000000004</v>
      </c>
      <c r="F36" s="75">
        <f>F34*B36</f>
        <v>-112659.40000000001</v>
      </c>
      <c r="G36" s="75">
        <f>G34*B36</f>
        <v>-31283.140000000003</v>
      </c>
      <c r="H36" s="75">
        <f>H34*B36</f>
        <v>-142765</v>
      </c>
      <c r="I36" s="75">
        <f>I34*B36</f>
        <v>-397185.60000000003</v>
      </c>
      <c r="J36" s="75">
        <f>J34*B36</f>
        <v>-2099958.3108000006</v>
      </c>
      <c r="K36" s="75">
        <f>K34*B36</f>
        <v>-16987.600000000002</v>
      </c>
      <c r="L36" s="75">
        <f>L34*B36</f>
        <v>3190971.4508000007</v>
      </c>
      <c r="M36" s="84">
        <f>C36+D36+E36+F36+G36+H36+I36+J36+K36+L36</f>
        <v>19087.600000000093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44256</v>
      </c>
      <c r="B3" s="11">
        <f>TOTAL!F2</f>
        <v>0.14000000000000001</v>
      </c>
      <c r="C3" s="11">
        <f>'Kwh Consumption'!B4*' Kwh area wise $ '!B3</f>
        <v>3089.8</v>
      </c>
      <c r="D3" s="1">
        <f>'Kwh Consumption'!C4*' Kwh area wise $ '!B3</f>
        <v>71.399999999998727</v>
      </c>
      <c r="E3" s="1">
        <f>'Kwh Consumption'!D4*' Kwh area wise $ '!B3</f>
        <v>321.99999999999562</v>
      </c>
      <c r="F3" s="1">
        <f>'Kwh Consumption'!E4*' Kwh area wise $ '!B3</f>
        <v>35</v>
      </c>
      <c r="G3" s="1">
        <f>('Kwh Consumption'!F4+'Kwh Consumption'!G4+'Kwh Consumption'!H4)*' Kwh area wise $ '!B3</f>
        <v>114.79999999999508</v>
      </c>
      <c r="H3" s="16">
        <f>('Kwh Consumption'!I4+'Kwh Consumption'!J4)*' Kwh area wise $ '!B3</f>
        <v>26.739999999998364</v>
      </c>
      <c r="I3" s="1">
        <f>('Kwh Consumption'!K4+'Kwh Consumption'!L4)*' Kwh area wise $ '!B3</f>
        <v>212.80000000000544</v>
      </c>
      <c r="J3" s="1">
        <f>('Kwh Consumption'!M4+'Kwh Consumption'!N4+'Kwh Consumption'!O4+'Kwh Consumption'!P4+'Kwh Consumption'!Q4+'Kwh Consumption'!R4)*' Kwh area wise $ '!B3</f>
        <v>735.00000000000807</v>
      </c>
      <c r="K3" s="1">
        <f>('Kwh Consumption'!S4+'Kwh Consumption'!T4)*' Kwh area wise $ '!B3</f>
        <v>728.97859999990101</v>
      </c>
      <c r="L3" s="1">
        <f>'Kwh Consumption'!U4*' Kwh area wise $ '!B3</f>
        <v>35</v>
      </c>
      <c r="M3" s="1">
        <f>'Kwh Consumption'!V4*' Kwh area wise $ '!B3</f>
        <v>808.08140000009814</v>
      </c>
    </row>
    <row r="4" spans="1:13" x14ac:dyDescent="0.25">
      <c r="A4" s="14">
        <f>'Kwh Reading'!A5</f>
        <v>44257</v>
      </c>
      <c r="B4" s="11">
        <f>TOTAL!F3</f>
        <v>0.14000000000000001</v>
      </c>
      <c r="C4" s="11">
        <f>'Kwh Consumption'!B5*' Kwh area wise $ '!B4</f>
        <v>3249.4</v>
      </c>
      <c r="D4" s="1">
        <f>'Kwh Consumption'!C5*' Kwh area wise $ '!B4</f>
        <v>70</v>
      </c>
      <c r="E4" s="1">
        <f>'Kwh Consumption'!D5*' Kwh area wise $ '!B4</f>
        <v>335.99999999996305</v>
      </c>
      <c r="F4" s="1">
        <f>'Kwh Consumption'!E5*' Kwh area wise $ '!B4</f>
        <v>35</v>
      </c>
      <c r="G4" s="1">
        <f>('Kwh Consumption'!F5+'Kwh Consumption'!G5+'Kwh Consumption'!H5)*' Kwh area wise $ '!B4</f>
        <v>131.59999999999968</v>
      </c>
      <c r="H4" s="16">
        <f>('Kwh Consumption'!I5+'Kwh Consumption'!J5)*' Kwh area wise $ '!B4</f>
        <v>30.520000000000497</v>
      </c>
      <c r="I4" s="1">
        <f>('Kwh Consumption'!K5+'Kwh Consumption'!L5)*' Kwh area wise $ '!B4</f>
        <v>215.59999999999096</v>
      </c>
      <c r="J4" s="1">
        <f>('Kwh Consumption'!M5+'Kwh Consumption'!N5+'Kwh Consumption'!O5+'Kwh Consumption'!P5+'Kwh Consumption'!Q5+'Kwh Consumption'!R5)*' Kwh area wise $ '!B4</f>
        <v>733.60000000000139</v>
      </c>
      <c r="K4" s="1">
        <f>('Kwh Consumption'!S5+'Kwh Consumption'!T5)*' Kwh area wise $ '!B4</f>
        <v>701.37760000010962</v>
      </c>
      <c r="L4" s="1">
        <f>'Kwh Consumption'!U5*' Kwh area wise $ '!B4</f>
        <v>43.400000000000325</v>
      </c>
      <c r="M4" s="1">
        <f>'Kwh Consumption'!V5*' Kwh area wise $ '!B4</f>
        <v>952.30239999993489</v>
      </c>
    </row>
    <row r="5" spans="1:13" x14ac:dyDescent="0.25">
      <c r="A5" s="14">
        <f>'Kwh Reading'!A6</f>
        <v>44258</v>
      </c>
      <c r="B5" s="11">
        <f>TOTAL!F4</f>
        <v>0.14000000000000001</v>
      </c>
      <c r="C5" s="11">
        <f>'Kwh Consumption'!B6*' Kwh area wise $ '!B5</f>
        <v>3130.4</v>
      </c>
      <c r="D5" s="1">
        <f>'Kwh Consumption'!C6*' Kwh area wise $ '!B5</f>
        <v>72.799999999997453</v>
      </c>
      <c r="E5" s="1">
        <f>'Kwh Consumption'!D6*' Kwh area wise $ '!B5</f>
        <v>350.00000000005474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140</v>
      </c>
      <c r="H5" s="16">
        <f>('Kwh Consumption'!I6+'Kwh Consumption'!J6)*' Kwh area wise $ '!B5</f>
        <v>23.800000000000242</v>
      </c>
      <c r="I5" s="1">
        <f>('Kwh Consumption'!K6+'Kwh Consumption'!L6)*' Kwh area wise $ '!B5</f>
        <v>208.60000000001324</v>
      </c>
      <c r="J5" s="1">
        <f>('Kwh Consumption'!M6+'Kwh Consumption'!N6+'Kwh Consumption'!O6+'Kwh Consumption'!P6+'Kwh Consumption'!Q6+'Kwh Consumption'!R6)*' Kwh area wise $ '!B5</f>
        <v>704.19999999999629</v>
      </c>
      <c r="K5" s="1">
        <f>('Kwh Consumption'!S6+'Kwh Consumption'!T6)*' Kwh area wise $ '!B5</f>
        <v>707.52359999990097</v>
      </c>
      <c r="L5" s="1">
        <f>'Kwh Consumption'!U6*' Kwh area wise $ '!B5</f>
        <v>35</v>
      </c>
      <c r="M5" s="1">
        <f>'Kwh Consumption'!V6*' Kwh area wise $ '!B5</f>
        <v>854.87640000003603</v>
      </c>
    </row>
    <row r="6" spans="1:13" x14ac:dyDescent="0.25">
      <c r="A6" s="14">
        <f>'Kwh Reading'!A7</f>
        <v>44259</v>
      </c>
      <c r="B6" s="11">
        <f>TOTAL!F5</f>
        <v>0.14000000000000001</v>
      </c>
      <c r="C6" s="11">
        <f>'Kwh Consumption'!B7*' Kwh area wise $ '!B6</f>
        <v>3207.4</v>
      </c>
      <c r="D6" s="1">
        <f>'Kwh Consumption'!C7*' Kwh area wise $ '!B6</f>
        <v>72.800000000005411</v>
      </c>
      <c r="E6" s="1">
        <f>'Kwh Consumption'!D7*' Kwh area wise $ '!B6</f>
        <v>335.99999999996305</v>
      </c>
      <c r="F6" s="1">
        <f>'Kwh Consumption'!E7*' Kwh area wise $ '!B6</f>
        <v>32.199999999998568</v>
      </c>
      <c r="G6" s="1">
        <f>('Kwh Consumption'!F7+'Kwh Consumption'!G7+'Kwh Consumption'!H7)*' Kwh area wise $ '!B6</f>
        <v>138.60000000000127</v>
      </c>
      <c r="H6" s="16">
        <f>('Kwh Consumption'!I7+'Kwh Consumption'!J7)*' Kwh area wise $ '!B6</f>
        <v>20.020000000000099</v>
      </c>
      <c r="I6" s="1">
        <f>('Kwh Consumption'!K7+'Kwh Consumption'!L7)*' Kwh area wise $ '!B6</f>
        <v>204.39999999999318</v>
      </c>
      <c r="J6" s="1">
        <f>('Kwh Consumption'!M7+'Kwh Consumption'!N7+'Kwh Consumption'!O7+'Kwh Consumption'!P7+'Kwh Consumption'!Q7+'Kwh Consumption'!R7)*' Kwh area wise $ '!B6</f>
        <v>730.80000000000393</v>
      </c>
      <c r="K6" s="1">
        <f>('Kwh Consumption'!S7+'Kwh Consumption'!T7)*' Kwh area wise $ '!B6</f>
        <v>753.73199999997405</v>
      </c>
      <c r="L6" s="1">
        <f>'Kwh Consumption'!U7*' Kwh area wise $ '!B6</f>
        <v>46.199999999999768</v>
      </c>
      <c r="M6" s="1">
        <f>'Kwh Consumption'!V7*' Kwh area wise $ '!B6</f>
        <v>872.64800000006085</v>
      </c>
    </row>
    <row r="7" spans="1:13" x14ac:dyDescent="0.25">
      <c r="A7" s="14">
        <f>'Kwh Reading'!A8</f>
        <v>44260</v>
      </c>
      <c r="B7" s="11">
        <f>TOTAL!F6</f>
        <v>0.14000000000000001</v>
      </c>
      <c r="C7" s="11">
        <f>'Kwh Consumption'!B8*' Kwh area wise $ '!B7</f>
        <v>3235.4</v>
      </c>
      <c r="D7" s="1">
        <f>'Kwh Consumption'!C8*' Kwh area wise $ '!B7</f>
        <v>71.399999999998727</v>
      </c>
      <c r="E7" s="1">
        <f>'Kwh Consumption'!D8*' Kwh area wise $ '!B7</f>
        <v>321.99999999999562</v>
      </c>
      <c r="F7" s="1">
        <f>'Kwh Consumption'!E8*' Kwh area wise $ '!B7</f>
        <v>35</v>
      </c>
      <c r="G7" s="1">
        <f>('Kwh Consumption'!F8+'Kwh Consumption'!G8+'Kwh Consumption'!H8)*' Kwh area wise $ '!B7</f>
        <v>124.59999999999413</v>
      </c>
      <c r="H7" s="16">
        <f>('Kwh Consumption'!I8+'Kwh Consumption'!J8)*' Kwh area wise $ '!B7</f>
        <v>42.97999999999832</v>
      </c>
      <c r="I7" s="1">
        <f>('Kwh Consumption'!K8+'Kwh Consumption'!L8)*' Kwh area wise $ '!B7</f>
        <v>219.79999999999907</v>
      </c>
      <c r="J7" s="1">
        <f>('Kwh Consumption'!M8+'Kwh Consumption'!N8+'Kwh Consumption'!O8+'Kwh Consumption'!P8+'Kwh Consumption'!Q8+'Kwh Consumption'!R8)*' Kwh area wise $ '!B7</f>
        <v>772.79999999998961</v>
      </c>
      <c r="K7" s="1">
        <f>('Kwh Consumption'!S8+'Kwh Consumption'!T8)*' Kwh area wise $ '!B7</f>
        <v>774.70680000001573</v>
      </c>
      <c r="L7" s="1">
        <f>'Kwh Consumption'!U8*' Kwh area wise $ '!B7</f>
        <v>36.399999999998727</v>
      </c>
      <c r="M7" s="1">
        <f>'Kwh Consumption'!V8*' Kwh area wise $ '!B7</f>
        <v>835.71320000000992</v>
      </c>
    </row>
    <row r="8" spans="1:13" x14ac:dyDescent="0.25">
      <c r="A8" s="14">
        <f>'Kwh Reading'!A9</f>
        <v>44261</v>
      </c>
      <c r="B8" s="11">
        <f>TOTAL!F7</f>
        <v>0.14000000000000001</v>
      </c>
      <c r="C8" s="11">
        <f>'Kwh Consumption'!B9*' Kwh area wise $ '!B8</f>
        <v>3175.2000000000003</v>
      </c>
      <c r="D8" s="1">
        <f>'Kwh Consumption'!C9*' Kwh area wise $ '!B8</f>
        <v>70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134.40000000000509</v>
      </c>
      <c r="H8" s="16">
        <f>('Kwh Consumption'!I9+'Kwh Consumption'!J9)*' Kwh area wise $ '!B8</f>
        <v>46.200000000001758</v>
      </c>
      <c r="I8" s="1">
        <f>('Kwh Consumption'!K9+'Kwh Consumption'!L9)*' Kwh area wise $ '!B8</f>
        <v>235.20000000000496</v>
      </c>
      <c r="J8" s="1">
        <f>('Kwh Consumption'!M9+'Kwh Consumption'!N9+'Kwh Consumption'!O9+'Kwh Consumption'!P9+'Kwh Consumption'!Q9+'Kwh Consumption'!R9)*' Kwh area wise $ '!B8</f>
        <v>740.59999999999502</v>
      </c>
      <c r="K8" s="1">
        <f>('Kwh Consumption'!S9+'Kwh Consumption'!T9)*' Kwh area wise $ '!B8</f>
        <v>708.53019999995831</v>
      </c>
      <c r="L8" s="1">
        <f>'Kwh Consumption'!U9*' Kwh area wise $ '!B8</f>
        <v>32.200000000000557</v>
      </c>
      <c r="M8" s="1">
        <f>'Kwh Consumption'!V9*' Kwh area wise $ '!B8</f>
        <v>837.06980000000976</v>
      </c>
    </row>
    <row r="9" spans="1:13" x14ac:dyDescent="0.25">
      <c r="A9" s="14">
        <f>'Kwh Reading'!A10</f>
        <v>44262</v>
      </c>
      <c r="B9" s="11">
        <f>TOTAL!F8</f>
        <v>0.14000000000000001</v>
      </c>
      <c r="C9" s="11">
        <f>'Kwh Consumption'!B10*' Kwh area wise $ '!B9</f>
        <v>0</v>
      </c>
      <c r="D9" s="1">
        <f>'Kwh Consumption'!C10*' Kwh area wise $ '!B9</f>
        <v>-51405.200000000004</v>
      </c>
      <c r="E9" s="1">
        <f>'Kwh Consumption'!D10*' Kwh area wise $ '!B9</f>
        <v>-293762</v>
      </c>
      <c r="F9" s="1">
        <f>'Kwh Consumption'!E10*' Kwh area wise $ '!B9</f>
        <v>-28513.800000000003</v>
      </c>
      <c r="G9" s="1">
        <f>('Kwh Consumption'!F10+'Kwh Consumption'!G10+'Kwh Consumption'!H10)*' Kwh area wise $ '!B9</f>
        <v>-113443.40000000001</v>
      </c>
      <c r="H9" s="16">
        <f>('Kwh Consumption'!I10+'Kwh Consumption'!J10)*' Kwh area wise $ '!B9</f>
        <v>-31473.4</v>
      </c>
      <c r="I9" s="1">
        <f>('Kwh Consumption'!K10+'Kwh Consumption'!L10)*' Kwh area wise $ '!B9</f>
        <v>-144061.40000000002</v>
      </c>
      <c r="J9" s="1">
        <f>('Kwh Consumption'!M10+'Kwh Consumption'!N10+'Kwh Consumption'!O10+'Kwh Consumption'!P10+'Kwh Consumption'!Q10+'Kwh Consumption'!R10)*' Kwh area wise $ '!B9</f>
        <v>-401602.60000000003</v>
      </c>
      <c r="K9" s="1">
        <f>('Kwh Consumption'!S10+'Kwh Consumption'!T10)*' Kwh area wise $ '!B9</f>
        <v>-2104333.1596000004</v>
      </c>
      <c r="L9" s="1">
        <f>'Kwh Consumption'!U10*' Kwh area wise $ '!B9</f>
        <v>-17215.800000000003</v>
      </c>
      <c r="M9" s="1">
        <f>'Kwh Consumption'!V10*' Kwh area wise $ '!B9</f>
        <v>3185810.7596000005</v>
      </c>
    </row>
    <row r="10" spans="1:13" x14ac:dyDescent="0.25">
      <c r="A10" s="14">
        <f>'Kwh Reading'!A11</f>
        <v>44263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44264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44265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44266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44267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44268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44269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44270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44271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44272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44273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44274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44275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44276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44277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44278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44279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44280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44281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44282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44283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44284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44285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44286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19087.599999999999</v>
      </c>
      <c r="D34" s="75">
        <f t="shared" si="0"/>
        <v>-50976.800000000003</v>
      </c>
      <c r="E34" s="75">
        <f t="shared" si="0"/>
        <v>-291760</v>
      </c>
      <c r="F34" s="75">
        <f t="shared" si="0"/>
        <v>-28308.000000000004</v>
      </c>
      <c r="G34" s="75">
        <f t="shared" si="0"/>
        <v>-112659.40000000001</v>
      </c>
      <c r="H34" s="75">
        <f t="shared" si="0"/>
        <v>-31283.140000000003</v>
      </c>
      <c r="I34" s="75">
        <f t="shared" si="0"/>
        <v>-142765.00000000003</v>
      </c>
      <c r="J34" s="75">
        <f t="shared" si="0"/>
        <v>-397185.60000000003</v>
      </c>
      <c r="K34" s="75">
        <f t="shared" si="0"/>
        <v>-2099958.3108000006</v>
      </c>
      <c r="L34" s="75">
        <f t="shared" si="0"/>
        <v>-16987.600000000002</v>
      </c>
      <c r="M34" s="75">
        <f>SUM(M3:M33)</f>
        <v>3190971.4508000007</v>
      </c>
      <c r="N34" s="84">
        <f>D34+E34+F34+G34+H34+I34+J34+K34+L34+M34</f>
        <v>19087.600000000093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9" sqref="R9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44256</v>
      </c>
      <c r="B3" s="33">
        <v>145881</v>
      </c>
      <c r="C3" s="33">
        <v>102975</v>
      </c>
      <c r="D3" s="33">
        <v>191438</v>
      </c>
      <c r="E3" s="55">
        <v>240566</v>
      </c>
      <c r="F3" s="33">
        <v>66852</v>
      </c>
      <c r="G3" s="55">
        <v>109390</v>
      </c>
      <c r="H3" s="33">
        <v>46691</v>
      </c>
      <c r="I3" s="56">
        <v>58267</v>
      </c>
      <c r="J3" s="55">
        <v>18657</v>
      </c>
      <c r="K3" s="55">
        <v>1024</v>
      </c>
      <c r="L3" s="55">
        <v>16433</v>
      </c>
      <c r="M3" s="55">
        <v>22429</v>
      </c>
      <c r="N3" s="55">
        <v>6743</v>
      </c>
      <c r="O3" s="55">
        <v>1564</v>
      </c>
      <c r="P3" s="33">
        <v>25975</v>
      </c>
      <c r="Q3" s="55">
        <v>162</v>
      </c>
      <c r="R3" s="55">
        <v>5645</v>
      </c>
    </row>
    <row r="4" spans="1:18" x14ac:dyDescent="0.25">
      <c r="A4" s="54">
        <v>44257</v>
      </c>
      <c r="B4" s="56">
        <v>146021</v>
      </c>
      <c r="C4" s="56">
        <v>103127</v>
      </c>
      <c r="D4" s="55">
        <v>191527</v>
      </c>
      <c r="E4" s="55">
        <v>240626</v>
      </c>
      <c r="F4" s="55">
        <v>66852</v>
      </c>
      <c r="G4" s="55">
        <v>109410</v>
      </c>
      <c r="H4" s="33">
        <v>46725</v>
      </c>
      <c r="I4" s="55">
        <v>58342</v>
      </c>
      <c r="J4" s="55">
        <v>18668</v>
      </c>
      <c r="K4" s="55">
        <v>1024</v>
      </c>
      <c r="L4" s="55">
        <v>16441</v>
      </c>
      <c r="M4" s="55">
        <v>22443</v>
      </c>
      <c r="N4" s="55">
        <v>6746</v>
      </c>
      <c r="O4" s="55">
        <v>1566</v>
      </c>
      <c r="P4" s="55">
        <v>26031</v>
      </c>
      <c r="Q4" s="33">
        <v>165</v>
      </c>
      <c r="R4" s="55">
        <v>5651</v>
      </c>
    </row>
    <row r="5" spans="1:18" x14ac:dyDescent="0.25">
      <c r="A5" s="54">
        <v>44258</v>
      </c>
      <c r="B5" s="55">
        <v>146232</v>
      </c>
      <c r="C5" s="33">
        <v>103277</v>
      </c>
      <c r="D5" s="55">
        <v>191639</v>
      </c>
      <c r="E5" s="55">
        <v>240680</v>
      </c>
      <c r="F5" s="55">
        <v>66853</v>
      </c>
      <c r="G5" s="55">
        <v>109435</v>
      </c>
      <c r="H5" s="33">
        <v>46804</v>
      </c>
      <c r="I5" s="55">
        <v>58359</v>
      </c>
      <c r="J5" s="55">
        <v>18680</v>
      </c>
      <c r="K5" s="55">
        <v>1024</v>
      </c>
      <c r="L5" s="55">
        <v>16447</v>
      </c>
      <c r="M5" s="55">
        <v>22457</v>
      </c>
      <c r="N5" s="55">
        <v>6754</v>
      </c>
      <c r="O5" s="55">
        <v>1568</v>
      </c>
      <c r="P5" s="55">
        <v>26031</v>
      </c>
      <c r="Q5" s="33">
        <v>170</v>
      </c>
      <c r="R5" s="55">
        <v>5658</v>
      </c>
    </row>
    <row r="6" spans="1:18" x14ac:dyDescent="0.25">
      <c r="A6" s="54">
        <v>44259</v>
      </c>
      <c r="B6" s="56">
        <v>146427</v>
      </c>
      <c r="C6" s="56">
        <v>103495</v>
      </c>
      <c r="D6" s="55">
        <v>191820</v>
      </c>
      <c r="E6" s="55">
        <v>240740</v>
      </c>
      <c r="F6" s="55">
        <v>66853</v>
      </c>
      <c r="G6" s="55">
        <v>109459</v>
      </c>
      <c r="H6" s="33">
        <v>46853</v>
      </c>
      <c r="I6" s="55">
        <v>58377</v>
      </c>
      <c r="J6" s="55">
        <v>18691</v>
      </c>
      <c r="K6" s="55">
        <v>1024</v>
      </c>
      <c r="L6" s="55">
        <v>16454</v>
      </c>
      <c r="M6" s="55">
        <v>22471</v>
      </c>
      <c r="N6" s="55">
        <v>6762</v>
      </c>
      <c r="O6" s="55">
        <v>1568</v>
      </c>
      <c r="P6" s="55">
        <v>26031</v>
      </c>
      <c r="Q6" s="33">
        <v>172</v>
      </c>
      <c r="R6" s="55">
        <v>5666</v>
      </c>
    </row>
    <row r="7" spans="1:18" x14ac:dyDescent="0.25">
      <c r="A7" s="54">
        <v>44260</v>
      </c>
      <c r="B7" s="56">
        <v>146613</v>
      </c>
      <c r="C7" s="33">
        <v>103692</v>
      </c>
      <c r="D7" s="55">
        <v>192001</v>
      </c>
      <c r="E7" s="55">
        <v>240798</v>
      </c>
      <c r="F7" s="55">
        <v>66853</v>
      </c>
      <c r="G7" s="55">
        <v>109483</v>
      </c>
      <c r="H7" s="33">
        <v>46892</v>
      </c>
      <c r="I7" s="55">
        <v>58395</v>
      </c>
      <c r="J7" s="55">
        <v>18704</v>
      </c>
      <c r="K7" s="55">
        <v>1024</v>
      </c>
      <c r="L7" s="55">
        <v>16462</v>
      </c>
      <c r="M7" s="55">
        <v>22485</v>
      </c>
      <c r="N7" s="55">
        <v>6767</v>
      </c>
      <c r="O7" s="55">
        <v>1570</v>
      </c>
      <c r="P7" s="55">
        <v>26031</v>
      </c>
      <c r="Q7" s="33">
        <v>174</v>
      </c>
      <c r="R7" s="55">
        <v>5673</v>
      </c>
    </row>
    <row r="8" spans="1:18" x14ac:dyDescent="0.25">
      <c r="A8" s="54">
        <v>44261</v>
      </c>
      <c r="B8" s="33">
        <v>146875</v>
      </c>
      <c r="C8" s="56">
        <v>103849</v>
      </c>
      <c r="D8" s="55">
        <v>192132</v>
      </c>
      <c r="E8" s="55">
        <v>240871</v>
      </c>
      <c r="F8" s="55">
        <v>66854</v>
      </c>
      <c r="G8" s="55">
        <v>109506</v>
      </c>
      <c r="H8" s="33">
        <v>46932</v>
      </c>
      <c r="I8" s="55">
        <v>58425</v>
      </c>
      <c r="J8" s="55">
        <v>18715</v>
      </c>
      <c r="K8" s="55">
        <v>1024</v>
      </c>
      <c r="L8" s="55">
        <v>16468</v>
      </c>
      <c r="M8" s="55">
        <v>22501</v>
      </c>
      <c r="N8" s="55">
        <v>6772</v>
      </c>
      <c r="O8" s="55">
        <v>1570</v>
      </c>
      <c r="P8" s="55">
        <v>26041</v>
      </c>
      <c r="Q8" s="33">
        <v>177</v>
      </c>
      <c r="R8" s="55">
        <v>5679</v>
      </c>
    </row>
    <row r="9" spans="1:18" x14ac:dyDescent="0.25">
      <c r="A9" s="54">
        <v>44262</v>
      </c>
      <c r="B9" s="33">
        <v>147051</v>
      </c>
      <c r="C9" s="33">
        <v>103995</v>
      </c>
      <c r="D9" s="55">
        <v>192241</v>
      </c>
      <c r="E9" s="55">
        <v>240940</v>
      </c>
      <c r="F9" s="55">
        <v>66854</v>
      </c>
      <c r="G9" s="55">
        <v>109529</v>
      </c>
      <c r="H9" s="33">
        <v>46963</v>
      </c>
      <c r="I9" s="55">
        <v>58440</v>
      </c>
      <c r="J9" s="55">
        <v>18727</v>
      </c>
      <c r="K9" s="55">
        <v>1024</v>
      </c>
      <c r="L9" s="55">
        <v>16474</v>
      </c>
      <c r="M9" s="55">
        <v>22516</v>
      </c>
      <c r="N9" s="55">
        <v>6774</v>
      </c>
      <c r="O9" s="55">
        <v>1571</v>
      </c>
      <c r="P9" s="55">
        <v>26041</v>
      </c>
      <c r="Q9" s="33">
        <v>181</v>
      </c>
      <c r="R9" s="55">
        <v>5686</v>
      </c>
    </row>
    <row r="10" spans="1:18" x14ac:dyDescent="0.25">
      <c r="A10" s="54">
        <v>44263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18" x14ac:dyDescent="0.25">
      <c r="A11" s="54">
        <v>44264</v>
      </c>
      <c r="B11" s="33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18" x14ac:dyDescent="0.25">
      <c r="A12" s="54">
        <v>44265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18" x14ac:dyDescent="0.25">
      <c r="A13" s="54">
        <v>44266</v>
      </c>
      <c r="B13" s="33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18" x14ac:dyDescent="0.25">
      <c r="A14" s="54">
        <v>44267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18" x14ac:dyDescent="0.25">
      <c r="A15" s="54">
        <v>44268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</row>
    <row r="16" spans="1:18" x14ac:dyDescent="0.25">
      <c r="A16" s="54">
        <v>44269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44270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44271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</row>
    <row r="19" spans="1:22" x14ac:dyDescent="0.25">
      <c r="A19" s="54">
        <v>44272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44273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44274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44275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44276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44277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44278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44279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44280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44281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44282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44283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44284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44285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44286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44287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B9" sqref="B9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44256</v>
      </c>
      <c r="B4" s="65">
        <f>TOTAL!I2</f>
        <v>286.69999999999709</v>
      </c>
      <c r="C4" s="66">
        <f>('Water Reading'!B4-'Water Reading'!B3)+('Water Reading'!C4-'Water Reading'!C3)</f>
        <v>292</v>
      </c>
      <c r="D4" s="67">
        <f>C4/B4</f>
        <v>1.0184862225322739</v>
      </c>
      <c r="E4" s="88">
        <f>'Water Reading'!H4-'Water Reading'!H3</f>
        <v>34</v>
      </c>
      <c r="F4" s="89">
        <f>E4/C4</f>
        <v>0.11643835616438356</v>
      </c>
      <c r="G4" s="93">
        <f>('Water Reading'!D4-'Water Reading'!D3)-('Water Reading'!R4-'Water Reading'!R3)-('Water Reading'!Q4-'Water Reading'!Q3)</f>
        <v>80</v>
      </c>
      <c r="H4" s="89">
        <f>G4/C4</f>
        <v>0.27397260273972601</v>
      </c>
      <c r="I4" s="90">
        <f>'Water Reading'!P4-'Water Reading'!P3</f>
        <v>56</v>
      </c>
      <c r="J4" s="68">
        <f>I4/C4</f>
        <v>0.19178082191780821</v>
      </c>
      <c r="K4" s="91">
        <f>('Water Reading'!I4-'Water Reading'!I3)</f>
        <v>75</v>
      </c>
      <c r="L4" s="68">
        <f>K4/C4</f>
        <v>0.25684931506849318</v>
      </c>
      <c r="M4" s="90">
        <f>'Water Reading'!R4-'Water Reading'!R3</f>
        <v>6</v>
      </c>
      <c r="N4" s="92">
        <f>M4/C4</f>
        <v>2.0547945205479451E-2</v>
      </c>
      <c r="O4" s="90">
        <f>'Water Reading'!Q4-'Water Reading'!Q3</f>
        <v>3</v>
      </c>
      <c r="P4" s="99">
        <f>O4/C4</f>
        <v>1.0273972602739725E-2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60</v>
      </c>
      <c r="T4" s="100">
        <f>S4/C4</f>
        <v>0.20547945205479451</v>
      </c>
      <c r="U4" s="90">
        <f>'Water Reading'!G4-'Water Reading'!G3</f>
        <v>20</v>
      </c>
      <c r="V4" s="100">
        <f>U4/C4</f>
        <v>6.8493150684931503E-2</v>
      </c>
      <c r="W4" s="90">
        <f>'Water Reading'!J4-'Water Reading'!J3</f>
        <v>11</v>
      </c>
      <c r="X4" s="100">
        <f>W4/C4</f>
        <v>3.7671232876712327E-2</v>
      </c>
      <c r="Y4" s="66">
        <f t="shared" ref="Y4:Y34" si="0">E4+I4+K4+M4+O4+G4+Q4+S4+U4+W4</f>
        <v>345</v>
      </c>
      <c r="Z4" s="67">
        <f t="shared" ref="Z4:Z35" si="1">Y4/B4</f>
        <v>1.2033484478549128</v>
      </c>
    </row>
    <row r="5" spans="1:26" x14ac:dyDescent="0.25">
      <c r="A5" s="8">
        <f>'Water Reading'!A4</f>
        <v>44257</v>
      </c>
      <c r="B5" s="65">
        <f>TOTAL!I3</f>
        <v>259</v>
      </c>
      <c r="C5" s="66">
        <f>('Water Reading'!B5-'Water Reading'!B4)+('Water Reading'!C5-'Water Reading'!C4)</f>
        <v>361</v>
      </c>
      <c r="D5" s="67">
        <f t="shared" ref="D5:D34" si="2">C5/B5</f>
        <v>1.3938223938223939</v>
      </c>
      <c r="E5" s="88">
        <f>'Water Reading'!H5-'Water Reading'!H4</f>
        <v>79</v>
      </c>
      <c r="F5" s="89">
        <f t="shared" ref="F5:F34" si="3">E5/C5</f>
        <v>0.2188365650969529</v>
      </c>
      <c r="G5" s="93">
        <f>('Water Reading'!D5-'Water Reading'!D4)-('Water Reading'!R5-'Water Reading'!R4)-('Water Reading'!Q5-'Water Reading'!Q4)</f>
        <v>100</v>
      </c>
      <c r="H5" s="89">
        <f t="shared" ref="H5:H34" si="4">G5/C5</f>
        <v>0.2770083102493075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17</v>
      </c>
      <c r="L5" s="68">
        <f t="shared" ref="L5:L34" si="6">K5/C5</f>
        <v>4.7091412742382273E-2</v>
      </c>
      <c r="M5" s="90">
        <f>'Water Reading'!R5-'Water Reading'!R4</f>
        <v>7</v>
      </c>
      <c r="N5" s="92">
        <f t="shared" ref="N5:N34" si="7">M5/C5</f>
        <v>1.9390581717451522E-2</v>
      </c>
      <c r="O5" s="90">
        <f>'Water Reading'!Q5-'Water Reading'!Q4</f>
        <v>5</v>
      </c>
      <c r="P5" s="99">
        <f t="shared" ref="P5:P34" si="8">O5/C5</f>
        <v>1.3850415512465374E-2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54</v>
      </c>
      <c r="T5" s="100">
        <f t="shared" ref="T5:T34" si="10">S5/C5</f>
        <v>0.14958448753462603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12</v>
      </c>
      <c r="X5" s="100">
        <f t="shared" ref="X5:X34" si="12">W5/C5</f>
        <v>3.3240997229916899E-2</v>
      </c>
      <c r="Y5" s="66">
        <f t="shared" si="0"/>
        <v>300</v>
      </c>
      <c r="Z5" s="67">
        <f t="shared" si="1"/>
        <v>1.1583011583011582</v>
      </c>
    </row>
    <row r="6" spans="1:26" x14ac:dyDescent="0.25">
      <c r="A6" s="8">
        <f>'Water Reading'!A5</f>
        <v>44258</v>
      </c>
      <c r="B6" s="65">
        <f>TOTAL!I4</f>
        <v>265</v>
      </c>
      <c r="C6" s="66">
        <f>('Water Reading'!B6-'Water Reading'!B5)+('Water Reading'!C6-'Water Reading'!C5)</f>
        <v>413</v>
      </c>
      <c r="D6" s="67">
        <f t="shared" si="2"/>
        <v>1.5584905660377359</v>
      </c>
      <c r="E6" s="88">
        <f>'Water Reading'!H6-'Water Reading'!H5</f>
        <v>49</v>
      </c>
      <c r="F6" s="89">
        <f t="shared" si="3"/>
        <v>0.11864406779661017</v>
      </c>
      <c r="G6" s="93">
        <f>('Water Reading'!D6-'Water Reading'!D5)-('Water Reading'!R6-'Water Reading'!R5)-('Water Reading'!Q6-'Water Reading'!Q5)</f>
        <v>171</v>
      </c>
      <c r="H6" s="89">
        <f t="shared" si="4"/>
        <v>0.41404358353510895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18</v>
      </c>
      <c r="L6" s="68">
        <f t="shared" si="6"/>
        <v>4.3583535108958835E-2</v>
      </c>
      <c r="M6" s="90">
        <f>'Water Reading'!R6-'Water Reading'!R5</f>
        <v>8</v>
      </c>
      <c r="N6" s="92">
        <f t="shared" si="7"/>
        <v>1.9370460048426151E-2</v>
      </c>
      <c r="O6" s="90">
        <f>'Water Reading'!Q6-'Water Reading'!Q5</f>
        <v>2</v>
      </c>
      <c r="P6" s="99">
        <f t="shared" si="8"/>
        <v>4.8426150121065378E-3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0.14527845036319612</v>
      </c>
      <c r="U6" s="90">
        <f>'Water Reading'!G6-'Water Reading'!G5</f>
        <v>24</v>
      </c>
      <c r="V6" s="100">
        <f t="shared" si="11"/>
        <v>5.8111380145278453E-2</v>
      </c>
      <c r="W6" s="90">
        <f>'Water Reading'!J6-'Water Reading'!J5</f>
        <v>11</v>
      </c>
      <c r="X6" s="100">
        <f t="shared" si="12"/>
        <v>2.6634382566585957E-2</v>
      </c>
      <c r="Y6" s="66">
        <f t="shared" si="0"/>
        <v>343</v>
      </c>
      <c r="Z6" s="67">
        <f t="shared" si="1"/>
        <v>1.2943396226415094</v>
      </c>
    </row>
    <row r="7" spans="1:26" x14ac:dyDescent="0.25">
      <c r="A7" s="8">
        <f>'Water Reading'!A6</f>
        <v>44259</v>
      </c>
      <c r="B7" s="65">
        <f>TOTAL!I5</f>
        <v>330</v>
      </c>
      <c r="C7" s="66">
        <f>('Water Reading'!B7-'Water Reading'!B6)+('Water Reading'!C7-'Water Reading'!C6)</f>
        <v>383</v>
      </c>
      <c r="D7" s="67">
        <f t="shared" si="2"/>
        <v>1.1606060606060606</v>
      </c>
      <c r="E7" s="88">
        <f>'Water Reading'!H7-'Water Reading'!H6</f>
        <v>39</v>
      </c>
      <c r="F7" s="89">
        <f t="shared" si="3"/>
        <v>0.10182767624020887</v>
      </c>
      <c r="G7" s="93">
        <f>('Water Reading'!D7-'Water Reading'!D6)-('Water Reading'!R7-'Water Reading'!R6)-('Water Reading'!Q7-'Water Reading'!Q6)</f>
        <v>172</v>
      </c>
      <c r="H7" s="89">
        <f t="shared" si="4"/>
        <v>0.44908616187989558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4.6997389033942558E-2</v>
      </c>
      <c r="M7" s="90">
        <f>'Water Reading'!R7-'Water Reading'!R6</f>
        <v>7</v>
      </c>
      <c r="N7" s="92">
        <f t="shared" si="7"/>
        <v>1.8276762402088774E-2</v>
      </c>
      <c r="O7" s="90">
        <f>'Water Reading'!Q7-'Water Reading'!Q6</f>
        <v>2</v>
      </c>
      <c r="P7" s="99">
        <f t="shared" si="8"/>
        <v>5.2219321148825066E-3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58</v>
      </c>
      <c r="T7" s="100">
        <f t="shared" si="10"/>
        <v>0.1514360313315927</v>
      </c>
      <c r="U7" s="90">
        <f>'Water Reading'!G7-'Water Reading'!G6</f>
        <v>24</v>
      </c>
      <c r="V7" s="100">
        <f t="shared" si="11"/>
        <v>6.2663185378590072E-2</v>
      </c>
      <c r="W7" s="90">
        <f>'Water Reading'!J7-'Water Reading'!J6</f>
        <v>13</v>
      </c>
      <c r="X7" s="100">
        <f t="shared" si="12"/>
        <v>3.3942558746736295E-2</v>
      </c>
      <c r="Y7" s="66">
        <f t="shared" si="0"/>
        <v>333</v>
      </c>
      <c r="Z7" s="67">
        <f t="shared" si="1"/>
        <v>1.009090909090909</v>
      </c>
    </row>
    <row r="8" spans="1:26" x14ac:dyDescent="0.25">
      <c r="A8" s="8">
        <f>'Water Reading'!A7</f>
        <v>44260</v>
      </c>
      <c r="B8" s="65">
        <f>TOTAL!I6</f>
        <v>273</v>
      </c>
      <c r="C8" s="66">
        <f>('Water Reading'!B8-'Water Reading'!B7)+('Water Reading'!C8-'Water Reading'!C7)</f>
        <v>419</v>
      </c>
      <c r="D8" s="67">
        <f t="shared" si="2"/>
        <v>1.5347985347985349</v>
      </c>
      <c r="E8" s="88">
        <f>'Water Reading'!H8-'Water Reading'!H7</f>
        <v>40</v>
      </c>
      <c r="F8" s="89">
        <f t="shared" si="3"/>
        <v>9.5465393794749401E-2</v>
      </c>
      <c r="G8" s="93">
        <f>('Water Reading'!D8-'Water Reading'!D7)-('Water Reading'!R8-'Water Reading'!R7)-('Water Reading'!Q8-'Water Reading'!Q7)</f>
        <v>122</v>
      </c>
      <c r="H8" s="89">
        <f t="shared" si="4"/>
        <v>0.29116945107398567</v>
      </c>
      <c r="I8" s="90">
        <f>'Water Reading'!P8-'Water Reading'!P7</f>
        <v>10</v>
      </c>
      <c r="J8" s="68">
        <f t="shared" si="5"/>
        <v>2.386634844868735E-2</v>
      </c>
      <c r="K8" s="91">
        <f>('Water Reading'!I8-'Water Reading'!I7)</f>
        <v>30</v>
      </c>
      <c r="L8" s="68">
        <f t="shared" si="6"/>
        <v>7.1599045346062054E-2</v>
      </c>
      <c r="M8" s="90">
        <f>'Water Reading'!R8-'Water Reading'!R7</f>
        <v>6</v>
      </c>
      <c r="N8" s="92">
        <f t="shared" si="7"/>
        <v>1.4319809069212411E-2</v>
      </c>
      <c r="O8" s="90">
        <f>'Water Reading'!Q8-'Water Reading'!Q7</f>
        <v>3</v>
      </c>
      <c r="P8" s="99">
        <f t="shared" si="8"/>
        <v>7.1599045346062056E-3</v>
      </c>
      <c r="Q8" s="91">
        <f>'Water Reading'!F8-'Water Reading'!F7</f>
        <v>1</v>
      </c>
      <c r="R8" s="100">
        <f t="shared" si="9"/>
        <v>2.3866348448687352E-3</v>
      </c>
      <c r="S8" s="90">
        <f>'Water Reading'!E8-'Water Reading'!E7</f>
        <v>73</v>
      </c>
      <c r="T8" s="100">
        <f t="shared" si="10"/>
        <v>0.17422434367541767</v>
      </c>
      <c r="U8" s="90">
        <f>'Water Reading'!G8-'Water Reading'!G7</f>
        <v>23</v>
      </c>
      <c r="V8" s="100">
        <f t="shared" si="11"/>
        <v>5.4892601431980909E-2</v>
      </c>
      <c r="W8" s="90">
        <f>'Water Reading'!J8-'Water Reading'!J7</f>
        <v>11</v>
      </c>
      <c r="X8" s="100">
        <f t="shared" si="12"/>
        <v>2.6252983293556086E-2</v>
      </c>
      <c r="Y8" s="66">
        <f t="shared" si="0"/>
        <v>319</v>
      </c>
      <c r="Z8" s="67">
        <f t="shared" si="1"/>
        <v>1.1684981684981686</v>
      </c>
    </row>
    <row r="9" spans="1:26" x14ac:dyDescent="0.25">
      <c r="A9" s="8">
        <f>'Water Reading'!A8</f>
        <v>44261</v>
      </c>
      <c r="B9" s="65">
        <f>TOTAL!I7</f>
        <v>220</v>
      </c>
      <c r="C9" s="66">
        <f>('Water Reading'!B9-'Water Reading'!B8)+('Water Reading'!C9-'Water Reading'!C8)</f>
        <v>322</v>
      </c>
      <c r="D9" s="67">
        <f t="shared" si="2"/>
        <v>1.4636363636363636</v>
      </c>
      <c r="E9" s="88">
        <f>'Water Reading'!H9-'Water Reading'!H8</f>
        <v>31</v>
      </c>
      <c r="F9" s="89">
        <f t="shared" si="3"/>
        <v>9.627329192546584E-2</v>
      </c>
      <c r="G9" s="93">
        <f>('Water Reading'!D9-'Water Reading'!D8)-('Water Reading'!R9-'Water Reading'!R8)-('Water Reading'!Q9-'Water Reading'!Q8)</f>
        <v>98</v>
      </c>
      <c r="H9" s="89">
        <f t="shared" si="4"/>
        <v>0.30434782608695654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15</v>
      </c>
      <c r="L9" s="68">
        <f t="shared" si="6"/>
        <v>4.6583850931677016E-2</v>
      </c>
      <c r="M9" s="90">
        <f>'Water Reading'!R9-'Water Reading'!R8</f>
        <v>7</v>
      </c>
      <c r="N9" s="92">
        <f t="shared" si="7"/>
        <v>2.1739130434782608E-2</v>
      </c>
      <c r="O9" s="90">
        <f>'Water Reading'!Q9-'Water Reading'!Q8</f>
        <v>4</v>
      </c>
      <c r="P9" s="99">
        <f t="shared" si="8"/>
        <v>1.2422360248447204E-2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69</v>
      </c>
      <c r="T9" s="100">
        <f t="shared" si="10"/>
        <v>0.21428571428571427</v>
      </c>
      <c r="U9" s="90">
        <f>'Water Reading'!G9-'Water Reading'!G8</f>
        <v>23</v>
      </c>
      <c r="V9" s="100">
        <f t="shared" si="11"/>
        <v>7.1428571428571425E-2</v>
      </c>
      <c r="W9" s="90">
        <f>'Water Reading'!J9-'Water Reading'!J8</f>
        <v>12</v>
      </c>
      <c r="X9" s="100">
        <f t="shared" si="12"/>
        <v>3.7267080745341616E-2</v>
      </c>
      <c r="Y9" s="66">
        <f t="shared" si="0"/>
        <v>259</v>
      </c>
      <c r="Z9" s="67">
        <f t="shared" si="1"/>
        <v>1.1772727272727272</v>
      </c>
    </row>
    <row r="10" spans="1:26" x14ac:dyDescent="0.25">
      <c r="A10" s="8">
        <f>'Water Reading'!A9</f>
        <v>44262</v>
      </c>
      <c r="B10" s="65">
        <f>TOTAL!I8</f>
        <v>0</v>
      </c>
      <c r="C10" s="66">
        <f>('Water Reading'!B10-'Water Reading'!B9)+('Water Reading'!C10-'Water Reading'!C9)</f>
        <v>-251046</v>
      </c>
      <c r="D10" s="67" t="e">
        <f t="shared" si="2"/>
        <v>#DIV/0!</v>
      </c>
      <c r="E10" s="88">
        <f>'Water Reading'!H10-'Water Reading'!H9</f>
        <v>-46963</v>
      </c>
      <c r="F10" s="89">
        <f t="shared" si="3"/>
        <v>0.18706930204026354</v>
      </c>
      <c r="G10" s="93">
        <f>('Water Reading'!D10-'Water Reading'!D9)-('Water Reading'!R10-'Water Reading'!R9)-('Water Reading'!Q10-'Water Reading'!Q9)</f>
        <v>-186374</v>
      </c>
      <c r="H10" s="89">
        <f t="shared" si="4"/>
        <v>0.74238984090565074</v>
      </c>
      <c r="I10" s="90">
        <f>'Water Reading'!P10-'Water Reading'!P9</f>
        <v>-26041</v>
      </c>
      <c r="J10" s="68">
        <f t="shared" si="5"/>
        <v>0.10372999370633271</v>
      </c>
      <c r="K10" s="91">
        <f>('Water Reading'!I10-'Water Reading'!I9)</f>
        <v>-58440</v>
      </c>
      <c r="L10" s="68">
        <f t="shared" si="6"/>
        <v>0.23278602327860232</v>
      </c>
      <c r="M10" s="90">
        <f>'Water Reading'!R10-'Water Reading'!R9</f>
        <v>-5686</v>
      </c>
      <c r="N10" s="92">
        <f t="shared" si="7"/>
        <v>2.2649235598256892E-2</v>
      </c>
      <c r="O10" s="90">
        <f>'Water Reading'!Q10-'Water Reading'!Q9</f>
        <v>-181</v>
      </c>
      <c r="P10" s="99">
        <f t="shared" si="8"/>
        <v>7.2098340543167393E-4</v>
      </c>
      <c r="Q10" s="91">
        <f>'Water Reading'!F10-'Water Reading'!F9</f>
        <v>-66854</v>
      </c>
      <c r="R10" s="100">
        <f t="shared" si="9"/>
        <v>0.266301793296846</v>
      </c>
      <c r="S10" s="90">
        <f>'Water Reading'!E10-'Water Reading'!E9</f>
        <v>-240940</v>
      </c>
      <c r="T10" s="100">
        <f t="shared" si="10"/>
        <v>0.95974442930777626</v>
      </c>
      <c r="U10" s="90">
        <f>'Water Reading'!G10-'Water Reading'!G9</f>
        <v>-109529</v>
      </c>
      <c r="V10" s="100">
        <f t="shared" si="11"/>
        <v>0.43629056029572272</v>
      </c>
      <c r="W10" s="90">
        <f>'Water Reading'!J10-'Water Reading'!J9</f>
        <v>-18727</v>
      </c>
      <c r="X10" s="100">
        <f t="shared" si="12"/>
        <v>7.4595890792922406E-2</v>
      </c>
      <c r="Y10" s="66">
        <f t="shared" si="0"/>
        <v>-759735</v>
      </c>
      <c r="Z10" s="67" t="e">
        <f t="shared" si="1"/>
        <v>#DIV/0!</v>
      </c>
    </row>
    <row r="11" spans="1:26" x14ac:dyDescent="0.25">
      <c r="A11" s="8">
        <f>'Water Reading'!A10</f>
        <v>44263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44264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44265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44266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44267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44268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0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44269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0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44270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0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44271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0">
        <f>('Water Reading'!I19-'Water Reading'!I18)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44272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0">
        <f>('Water Reading'!I20-'Water Reading'!I19)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44273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44274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44275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44276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44277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44278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44279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44280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44281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44282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44283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44284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44285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44286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1633.6999999999971</v>
      </c>
      <c r="C35" s="75">
        <f>SUM(C4:C34)</f>
        <v>-248856</v>
      </c>
      <c r="D35" s="96">
        <f>C35/B35</f>
        <v>-152.32662055456964</v>
      </c>
      <c r="E35" s="7">
        <f>SUM(E4:E34)</f>
        <v>-46691</v>
      </c>
      <c r="F35" s="95">
        <f>E35/C35</f>
        <v>0.18762256083839651</v>
      </c>
      <c r="G35" s="75">
        <f>SUM(G4:G34)</f>
        <v>-185631</v>
      </c>
      <c r="H35" s="95">
        <f>G35/C35</f>
        <v>0.74593740958626675</v>
      </c>
      <c r="I35" s="7">
        <f>SUM(I4:I34)</f>
        <v>-25975</v>
      </c>
      <c r="J35" s="95">
        <f>I35/C35</f>
        <v>0.10437763204423442</v>
      </c>
      <c r="K35" s="7">
        <f>SUM(K4:K34)</f>
        <v>-58267</v>
      </c>
      <c r="L35" s="95">
        <f>K35/C35</f>
        <v>0.23413942199504933</v>
      </c>
      <c r="M35" s="7">
        <f>SUM(M4:M34)</f>
        <v>-5645</v>
      </c>
      <c r="N35" s="95">
        <f>M35/C35</f>
        <v>2.2683801073713313E-2</v>
      </c>
      <c r="O35" s="7">
        <f>SUM(O4:O34)</f>
        <v>-162</v>
      </c>
      <c r="P35" s="95">
        <f>O35/C35</f>
        <v>6.5097887935191439E-4</v>
      </c>
      <c r="Q35" s="7">
        <f>SUM(Q4:Q34)</f>
        <v>-66852</v>
      </c>
      <c r="R35" s="95">
        <f>Q35/C35</f>
        <v>0.26863728421255667</v>
      </c>
      <c r="S35" s="75">
        <f>SUM(S4:S34)</f>
        <v>-240566</v>
      </c>
      <c r="T35" s="95">
        <f>S35/C35</f>
        <v>0.96668756228501629</v>
      </c>
      <c r="U35" s="7">
        <f>SUM(U4:U34)</f>
        <v>-109390</v>
      </c>
      <c r="V35" s="95">
        <f>U35/C35</f>
        <v>0.43957147908830807</v>
      </c>
      <c r="W35" s="7">
        <f>SUM(W4:W34)</f>
        <v>-18657</v>
      </c>
      <c r="X35" s="95">
        <f>W35/C35</f>
        <v>7.4971067605362138E-2</v>
      </c>
      <c r="Y35" s="75">
        <f>SUM(Y4:Y34)</f>
        <v>-757836</v>
      </c>
      <c r="Z35" s="95">
        <f t="shared" si="1"/>
        <v>-463.87708881679708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2021-03-07T06:15:35Z</dcterms:modified>
  <cp:category/>
  <cp:contentStatus/>
</cp:coreProperties>
</file>