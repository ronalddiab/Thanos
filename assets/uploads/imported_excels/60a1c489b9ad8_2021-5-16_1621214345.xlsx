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5840" tabRatio="598" firstSheet="2" activeTab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19" i="4" l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C8" i="3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9" i="3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Q19" i="1" l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T19" i="2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R16" i="2"/>
  <c r="R17" i="2" s="1"/>
  <c r="R19" i="2" s="1"/>
  <c r="R20" i="2" s="1"/>
  <c r="R21" i="2" s="1"/>
  <c r="R22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/>
  <c r="AE23" i="8"/>
  <c r="I23" i="9" s="1"/>
  <c r="AE26" i="8"/>
  <c r="I26" i="9"/>
  <c r="AE21" i="8"/>
  <c r="I21" i="9" s="1"/>
  <c r="AE16" i="8"/>
  <c r="I16" i="9"/>
  <c r="AE24" i="8"/>
  <c r="I24" i="9"/>
  <c r="AE22" i="8"/>
  <c r="I22" i="9"/>
  <c r="AE14" i="8"/>
  <c r="I14" i="9"/>
  <c r="AE25" i="8"/>
  <c r="I25" i="9"/>
  <c r="AE27" i="8"/>
  <c r="I27" i="9"/>
  <c r="AE12" i="8"/>
  <c r="I12" i="9"/>
  <c r="AE29" i="8"/>
  <c r="I29" i="9"/>
  <c r="AE15" i="8"/>
  <c r="I15" i="9"/>
  <c r="AE19" i="8"/>
  <c r="I19" i="9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/>
  <c r="M34" i="1"/>
  <c r="G34" i="2"/>
  <c r="Z34" i="4"/>
  <c r="C30" i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<sst xmlns="http://schemas.openxmlformats.org/spreadsheetml/2006/main" count="444" uniqueCount="143">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</sst>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I12" sqref="I1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6">
        <v>1.27</v>
      </c>
      <c r="G18" s="47">
        <f>Gas!C19*0.9147</f>
        <v>0</v>
      </c>
      <c r="H18" s="167">
        <v>3.65</v>
      </c>
      <c r="I18" s="169">
        <f>Submetering!H18+Submetering!AD18+Submetering!AE18</f>
        <v>-194</v>
      </c>
      <c r="J18" s="169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6">
        <v>1.27</v>
      </c>
      <c r="G19" s="47">
        <f>Gas!C20*0.9147</f>
        <v>0</v>
      </c>
      <c r="H19" s="167">
        <v>3.65</v>
      </c>
      <c r="I19" s="169">
        <f>Submetering!H19+Submetering!AD19+Submetering!AE19</f>
        <v>-194</v>
      </c>
      <c r="J19" s="169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6">
        <v>1.27</v>
      </c>
      <c r="G20" s="47">
        <f>Gas!C21*0.9147</f>
        <v>0</v>
      </c>
      <c r="H20" s="167">
        <v>3.65</v>
      </c>
      <c r="I20" s="169">
        <f>Submetering!H20+Submetering!AD20+Submetering!AE20</f>
        <v>-194</v>
      </c>
      <c r="J20" s="169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6">
        <v>1.27</v>
      </c>
      <c r="G21" s="47">
        <f>Gas!C22*0.9147</f>
        <v>0</v>
      </c>
      <c r="H21" s="167">
        <v>3.65</v>
      </c>
      <c r="I21" s="169">
        <f>Submetering!H21+Submetering!AD21+Submetering!AE21</f>
        <v>-194</v>
      </c>
      <c r="J21" s="169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6">
        <v>1.27</v>
      </c>
      <c r="G22" s="47">
        <f>Gas!C23*0.9147</f>
        <v>0</v>
      </c>
      <c r="H22" s="167">
        <v>3.65</v>
      </c>
      <c r="I22" s="169">
        <f>Submetering!H22+Submetering!AD22+Submetering!AE22</f>
        <v>-194</v>
      </c>
      <c r="J22" s="169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6">
        <v>1.27</v>
      </c>
      <c r="G23" s="47">
        <f>Gas!C24*0.9147</f>
        <v>0</v>
      </c>
      <c r="H23" s="167">
        <v>3.65</v>
      </c>
      <c r="I23" s="169">
        <f>Submetering!H23+Submetering!AD23+Submetering!AE23</f>
        <v>-194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6">
        <v>1.27</v>
      </c>
      <c r="G24" s="47">
        <f>Gas!C25*0.9147</f>
        <v>0</v>
      </c>
      <c r="H24" s="167">
        <v>3.65</v>
      </c>
      <c r="I24" s="169">
        <f>Submetering!H24+Submetering!AD24+Submetering!AE24</f>
        <v>-194</v>
      </c>
      <c r="J24" s="169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6">
        <v>1.27</v>
      </c>
      <c r="G25" s="47">
        <f>Gas!C26*0.9147</f>
        <v>0</v>
      </c>
      <c r="H25" s="167">
        <v>3.65</v>
      </c>
      <c r="I25" s="169">
        <f>Submetering!H25+Submetering!AD25+Submetering!AE25</f>
        <v>-194</v>
      </c>
      <c r="J25" s="169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6">
        <v>1.27</v>
      </c>
      <c r="G26" s="47">
        <f>Gas!C27*0.9147</f>
        <v>0</v>
      </c>
      <c r="H26" s="167">
        <v>3.65</v>
      </c>
      <c r="I26" s="169">
        <f>Submetering!H26+Submetering!AD26+Submetering!AE26</f>
        <v>-194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6">
        <v>1.27</v>
      </c>
      <c r="G27" s="47">
        <f>Gas!C28*0.9147</f>
        <v>0</v>
      </c>
      <c r="H27" s="167">
        <v>3.65</v>
      </c>
      <c r="I27" s="169">
        <f>Submetering!H27+Submetering!AD27+Submetering!AE27</f>
        <v>-194</v>
      </c>
      <c r="J27" s="169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 t="str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workbookViewId="0">
      <selection activeCell="B18" sqref="A18:XFD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f t="shared" si="19"/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f t="shared" si="19"/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f t="shared" ref="B18:B33" si="27">B18</f>
        <v>45257</v>
      </c>
      <c r="C19" s="16">
        <f t="shared" si="11"/>
        <v>0</v>
      </c>
      <c r="D19" s="42">
        <f t="shared" ref="D18:D33" si="28">D18</f>
        <v>39513</v>
      </c>
      <c r="E19" s="16">
        <f t="shared" si="12"/>
        <v>0</v>
      </c>
      <c r="F19" s="42">
        <f t="shared" ref="F18:F33" si="29">F18</f>
        <v>20365</v>
      </c>
      <c r="G19" s="16">
        <f t="shared" si="13"/>
        <v>0</v>
      </c>
      <c r="H19" s="42">
        <f t="shared" ref="H18:H33" si="30">H18</f>
        <v>241586</v>
      </c>
      <c r="I19" s="16">
        <f t="shared" si="14"/>
        <v>0</v>
      </c>
      <c r="J19" s="42">
        <f t="shared" si="26"/>
        <v>303517</v>
      </c>
      <c r="K19" s="16">
        <f t="shared" si="15"/>
        <v>0</v>
      </c>
      <c r="L19" s="42">
        <f t="shared" si="23"/>
        <v>24932</v>
      </c>
      <c r="M19" s="16">
        <f t="shared" si="16"/>
        <v>0</v>
      </c>
      <c r="N19" s="42">
        <f t="shared" ref="N18:N33" si="31">N18</f>
        <v>215497</v>
      </c>
      <c r="O19" s="16">
        <f t="shared" si="17"/>
        <v>0</v>
      </c>
      <c r="P19" s="42">
        <f t="shared" si="24"/>
        <v>103933</v>
      </c>
      <c r="Q19" s="16">
        <f t="shared" si="18"/>
        <v>0</v>
      </c>
      <c r="R19" s="1">
        <f t="shared" si="19"/>
        <v>55047</v>
      </c>
      <c r="S19" s="16">
        <f t="shared" si="20"/>
        <v>0</v>
      </c>
      <c r="T19" s="42">
        <f t="shared" ref="T18:T33" si="32">T18</f>
        <v>3634</v>
      </c>
      <c r="U19" s="16">
        <f t="shared" si="21"/>
        <v>0</v>
      </c>
      <c r="W19" t="s">
        <v>12</v>
      </c>
    </row>
    <row r="20" spans="1:23" ht="13.5" thickBot="1" x14ac:dyDescent="0.25">
      <c r="A20" s="10">
        <v>44334</v>
      </c>
      <c r="B20" s="42">
        <f t="shared" si="27"/>
        <v>45257</v>
      </c>
      <c r="C20" s="16">
        <f t="shared" si="11"/>
        <v>0</v>
      </c>
      <c r="D20" s="42">
        <f t="shared" si="28"/>
        <v>39513</v>
      </c>
      <c r="E20" s="16">
        <f t="shared" si="12"/>
        <v>0</v>
      </c>
      <c r="F20" s="42">
        <f t="shared" si="29"/>
        <v>20365</v>
      </c>
      <c r="G20" s="16">
        <f t="shared" si="13"/>
        <v>0</v>
      </c>
      <c r="H20" s="42">
        <f t="shared" si="30"/>
        <v>241586</v>
      </c>
      <c r="I20" s="16">
        <f t="shared" si="14"/>
        <v>0</v>
      </c>
      <c r="J20" s="42">
        <f t="shared" si="26"/>
        <v>303517</v>
      </c>
      <c r="K20" s="16">
        <v>0</v>
      </c>
      <c r="L20" s="42">
        <f t="shared" si="23"/>
        <v>24932</v>
      </c>
      <c r="M20" s="16">
        <f t="shared" si="16"/>
        <v>0</v>
      </c>
      <c r="N20" s="42">
        <f t="shared" si="31"/>
        <v>215497</v>
      </c>
      <c r="O20" s="16">
        <f t="shared" si="17"/>
        <v>0</v>
      </c>
      <c r="P20" s="42">
        <f t="shared" si="24"/>
        <v>103933</v>
      </c>
      <c r="Q20" s="16">
        <f t="shared" si="18"/>
        <v>0</v>
      </c>
      <c r="R20" s="1">
        <f t="shared" si="19"/>
        <v>55047</v>
      </c>
      <c r="S20" s="16">
        <f t="shared" si="20"/>
        <v>0</v>
      </c>
      <c r="T20" s="42">
        <f t="shared" si="32"/>
        <v>3634</v>
      </c>
      <c r="U20" s="16">
        <f t="shared" si="21"/>
        <v>0</v>
      </c>
    </row>
    <row r="21" spans="1:23" ht="13.5" thickBot="1" x14ac:dyDescent="0.25">
      <c r="A21" s="10">
        <v>44335</v>
      </c>
      <c r="B21" s="42">
        <f t="shared" si="27"/>
        <v>45257</v>
      </c>
      <c r="C21" s="16">
        <f t="shared" si="11"/>
        <v>0</v>
      </c>
      <c r="D21" s="42">
        <f t="shared" si="28"/>
        <v>39513</v>
      </c>
      <c r="E21" s="16">
        <f t="shared" si="12"/>
        <v>0</v>
      </c>
      <c r="F21" s="42">
        <f t="shared" si="29"/>
        <v>20365</v>
      </c>
      <c r="G21" s="16">
        <f t="shared" si="13"/>
        <v>0</v>
      </c>
      <c r="H21" s="42">
        <f t="shared" si="30"/>
        <v>241586</v>
      </c>
      <c r="I21" s="16">
        <f t="shared" si="14"/>
        <v>0</v>
      </c>
      <c r="J21" s="42">
        <f t="shared" si="26"/>
        <v>303517</v>
      </c>
      <c r="K21" s="16">
        <f t="shared" si="15"/>
        <v>0</v>
      </c>
      <c r="L21" s="42">
        <f t="shared" si="23"/>
        <v>24932</v>
      </c>
      <c r="M21" s="16">
        <f t="shared" si="16"/>
        <v>0</v>
      </c>
      <c r="N21" s="42">
        <f t="shared" si="31"/>
        <v>215497</v>
      </c>
      <c r="O21" s="16">
        <f t="shared" si="17"/>
        <v>0</v>
      </c>
      <c r="P21" s="42">
        <f t="shared" si="24"/>
        <v>103933</v>
      </c>
      <c r="Q21" s="16">
        <f t="shared" si="18"/>
        <v>0</v>
      </c>
      <c r="R21" s="1">
        <f t="shared" si="19"/>
        <v>55047</v>
      </c>
      <c r="S21" s="16">
        <f t="shared" si="20"/>
        <v>0</v>
      </c>
      <c r="T21" s="42">
        <f t="shared" si="32"/>
        <v>3634</v>
      </c>
      <c r="U21" s="16">
        <f t="shared" si="21"/>
        <v>0</v>
      </c>
    </row>
    <row r="22" spans="1:23" ht="13.5" thickBot="1" x14ac:dyDescent="0.25">
      <c r="A22" s="10">
        <v>44336</v>
      </c>
      <c r="B22" s="42">
        <f t="shared" si="27"/>
        <v>45257</v>
      </c>
      <c r="C22" s="16">
        <f t="shared" si="11"/>
        <v>0</v>
      </c>
      <c r="D22" s="42">
        <f t="shared" si="28"/>
        <v>39513</v>
      </c>
      <c r="E22" s="16">
        <f t="shared" si="12"/>
        <v>0</v>
      </c>
      <c r="F22" s="42">
        <f t="shared" si="29"/>
        <v>20365</v>
      </c>
      <c r="G22" s="16">
        <f t="shared" si="13"/>
        <v>0</v>
      </c>
      <c r="H22" s="42">
        <f t="shared" si="30"/>
        <v>241586</v>
      </c>
      <c r="I22" s="16">
        <f t="shared" si="14"/>
        <v>0</v>
      </c>
      <c r="J22" s="42">
        <f t="shared" si="26"/>
        <v>303517</v>
      </c>
      <c r="K22" s="16">
        <f t="shared" si="15"/>
        <v>0</v>
      </c>
      <c r="L22" s="42">
        <f t="shared" si="23"/>
        <v>24932</v>
      </c>
      <c r="M22" s="16">
        <f t="shared" si="16"/>
        <v>0</v>
      </c>
      <c r="N22" s="42">
        <f t="shared" si="31"/>
        <v>215497</v>
      </c>
      <c r="O22" s="16">
        <f t="shared" si="17"/>
        <v>0</v>
      </c>
      <c r="P22" s="42">
        <f t="shared" si="24"/>
        <v>103933</v>
      </c>
      <c r="Q22" s="16">
        <f t="shared" si="18"/>
        <v>0</v>
      </c>
      <c r="R22" s="1">
        <f t="shared" si="19"/>
        <v>55047</v>
      </c>
      <c r="S22" s="16">
        <f t="shared" si="20"/>
        <v>0</v>
      </c>
      <c r="T22" s="42">
        <f t="shared" si="32"/>
        <v>3634</v>
      </c>
      <c r="U22" s="16">
        <f t="shared" si="21"/>
        <v>0</v>
      </c>
    </row>
    <row r="23" spans="1:23" ht="13.5" thickBot="1" x14ac:dyDescent="0.25">
      <c r="A23" s="10">
        <v>44337</v>
      </c>
      <c r="B23" s="42">
        <f t="shared" si="27"/>
        <v>45257</v>
      </c>
      <c r="C23" s="16">
        <f t="shared" si="11"/>
        <v>0</v>
      </c>
      <c r="D23" s="42">
        <f t="shared" si="28"/>
        <v>39513</v>
      </c>
      <c r="E23" s="16">
        <f t="shared" si="12"/>
        <v>0</v>
      </c>
      <c r="F23" s="42">
        <f t="shared" si="29"/>
        <v>20365</v>
      </c>
      <c r="G23" s="16">
        <f t="shared" si="13"/>
        <v>0</v>
      </c>
      <c r="H23" s="42">
        <f t="shared" si="30"/>
        <v>241586</v>
      </c>
      <c r="I23" s="16">
        <f t="shared" si="14"/>
        <v>0</v>
      </c>
      <c r="J23" s="42">
        <v>303517</v>
      </c>
      <c r="K23" s="16">
        <f t="shared" si="15"/>
        <v>0</v>
      </c>
      <c r="L23" s="42">
        <f t="shared" si="23"/>
        <v>24932</v>
      </c>
      <c r="M23" s="16">
        <f t="shared" si="16"/>
        <v>0</v>
      </c>
      <c r="N23" s="42">
        <f t="shared" si="31"/>
        <v>215497</v>
      </c>
      <c r="O23" s="16">
        <f t="shared" si="17"/>
        <v>0</v>
      </c>
      <c r="P23" s="42">
        <f t="shared" si="24"/>
        <v>103933</v>
      </c>
      <c r="Q23" s="16">
        <f t="shared" si="18"/>
        <v>0</v>
      </c>
      <c r="R23" s="1">
        <v>55047</v>
      </c>
      <c r="S23" s="16">
        <f t="shared" si="20"/>
        <v>0</v>
      </c>
      <c r="T23" s="42">
        <f t="shared" si="32"/>
        <v>3634</v>
      </c>
      <c r="U23" s="16">
        <f t="shared" si="21"/>
        <v>0</v>
      </c>
    </row>
    <row r="24" spans="1:23" s="156" customFormat="1" ht="13.5" thickBot="1" x14ac:dyDescent="0.25">
      <c r="A24" s="10">
        <v>44338</v>
      </c>
      <c r="B24" s="42">
        <f t="shared" si="27"/>
        <v>45257</v>
      </c>
      <c r="C24" s="16">
        <f t="shared" si="11"/>
        <v>0</v>
      </c>
      <c r="D24" s="42">
        <f t="shared" si="28"/>
        <v>39513</v>
      </c>
      <c r="E24" s="16">
        <f t="shared" si="12"/>
        <v>0</v>
      </c>
      <c r="F24" s="42">
        <f t="shared" si="29"/>
        <v>20365</v>
      </c>
      <c r="G24" s="16">
        <f t="shared" si="13"/>
        <v>0</v>
      </c>
      <c r="H24" s="42">
        <f t="shared" si="30"/>
        <v>241586</v>
      </c>
      <c r="I24" s="16">
        <f t="shared" si="14"/>
        <v>0</v>
      </c>
      <c r="J24" s="42">
        <v>303517</v>
      </c>
      <c r="K24" s="16">
        <f t="shared" si="15"/>
        <v>0</v>
      </c>
      <c r="L24" s="42">
        <f t="shared" si="23"/>
        <v>24932</v>
      </c>
      <c r="M24" s="16">
        <f t="shared" si="16"/>
        <v>0</v>
      </c>
      <c r="N24" s="42">
        <f t="shared" si="31"/>
        <v>215497</v>
      </c>
      <c r="O24" s="16">
        <f t="shared" si="17"/>
        <v>0</v>
      </c>
      <c r="P24" s="42">
        <f t="shared" si="24"/>
        <v>103933</v>
      </c>
      <c r="Q24" s="16">
        <f t="shared" si="18"/>
        <v>0</v>
      </c>
      <c r="R24" s="1">
        <v>55047</v>
      </c>
      <c r="S24" s="16">
        <f t="shared" si="20"/>
        <v>0</v>
      </c>
      <c r="T24" s="42">
        <f t="shared" si="32"/>
        <v>3634</v>
      </c>
      <c r="U24" s="16">
        <f t="shared" si="21"/>
        <v>0</v>
      </c>
    </row>
    <row r="25" spans="1:23" ht="13.5" thickBot="1" x14ac:dyDescent="0.25">
      <c r="A25" s="10">
        <v>44339</v>
      </c>
      <c r="B25" s="42">
        <f t="shared" si="27"/>
        <v>45257</v>
      </c>
      <c r="C25" s="16">
        <f t="shared" si="11"/>
        <v>0</v>
      </c>
      <c r="D25" s="42">
        <f t="shared" si="28"/>
        <v>39513</v>
      </c>
      <c r="E25" s="16">
        <f t="shared" si="12"/>
        <v>0</v>
      </c>
      <c r="F25" s="42">
        <f t="shared" si="29"/>
        <v>20365</v>
      </c>
      <c r="G25" s="16">
        <f t="shared" si="13"/>
        <v>0</v>
      </c>
      <c r="H25" s="42">
        <f t="shared" si="30"/>
        <v>241586</v>
      </c>
      <c r="I25" s="16">
        <f t="shared" si="14"/>
        <v>0</v>
      </c>
      <c r="J25" s="42">
        <v>303517</v>
      </c>
      <c r="K25" s="16">
        <f t="shared" si="15"/>
        <v>0</v>
      </c>
      <c r="L25" s="42">
        <f t="shared" si="23"/>
        <v>24932</v>
      </c>
      <c r="M25" s="16">
        <f t="shared" si="16"/>
        <v>0</v>
      </c>
      <c r="N25" s="42">
        <f t="shared" si="31"/>
        <v>215497</v>
      </c>
      <c r="O25" s="16">
        <f t="shared" si="17"/>
        <v>0</v>
      </c>
      <c r="P25" s="42">
        <f t="shared" si="24"/>
        <v>103933</v>
      </c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>
        <f t="shared" si="32"/>
        <v>3634</v>
      </c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>
        <f t="shared" si="27"/>
        <v>45257</v>
      </c>
      <c r="C26" s="16">
        <f t="shared" si="11"/>
        <v>0</v>
      </c>
      <c r="D26" s="42">
        <f t="shared" si="28"/>
        <v>39513</v>
      </c>
      <c r="E26" s="16">
        <f t="shared" si="12"/>
        <v>0</v>
      </c>
      <c r="F26" s="42">
        <f t="shared" si="29"/>
        <v>20365</v>
      </c>
      <c r="G26" s="16">
        <f t="shared" si="13"/>
        <v>0</v>
      </c>
      <c r="H26" s="42">
        <f t="shared" si="30"/>
        <v>241586</v>
      </c>
      <c r="I26" s="16">
        <f t="shared" si="14"/>
        <v>0</v>
      </c>
      <c r="J26" s="42">
        <v>303517</v>
      </c>
      <c r="K26" s="16">
        <f t="shared" si="15"/>
        <v>0</v>
      </c>
      <c r="L26" s="42">
        <f t="shared" si="23"/>
        <v>24932</v>
      </c>
      <c r="M26" s="16">
        <f t="shared" si="16"/>
        <v>0</v>
      </c>
      <c r="N26" s="42">
        <f t="shared" si="31"/>
        <v>215497</v>
      </c>
      <c r="O26" s="16">
        <f t="shared" si="17"/>
        <v>0</v>
      </c>
      <c r="P26" s="42">
        <f t="shared" si="24"/>
        <v>103933</v>
      </c>
      <c r="Q26" s="16">
        <f t="shared" si="18"/>
        <v>0</v>
      </c>
      <c r="R26" s="1">
        <v>55047</v>
      </c>
      <c r="S26" s="16">
        <f t="shared" si="20"/>
        <v>0</v>
      </c>
      <c r="T26" s="42">
        <f t="shared" si="32"/>
        <v>3634</v>
      </c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>
        <f t="shared" si="27"/>
        <v>45257</v>
      </c>
      <c r="C27" s="16">
        <f t="shared" si="11"/>
        <v>0</v>
      </c>
      <c r="D27" s="42">
        <f t="shared" si="28"/>
        <v>39513</v>
      </c>
      <c r="E27" s="16">
        <f t="shared" si="12"/>
        <v>0</v>
      </c>
      <c r="F27" s="42">
        <f t="shared" si="29"/>
        <v>20365</v>
      </c>
      <c r="G27" s="16">
        <f t="shared" si="13"/>
        <v>0</v>
      </c>
      <c r="H27" s="42">
        <f t="shared" si="30"/>
        <v>241586</v>
      </c>
      <c r="I27" s="16">
        <f t="shared" si="14"/>
        <v>0</v>
      </c>
      <c r="J27" s="42">
        <v>303517</v>
      </c>
      <c r="K27" s="16">
        <f t="shared" si="15"/>
        <v>0</v>
      </c>
      <c r="L27" s="42">
        <f t="shared" si="23"/>
        <v>24932</v>
      </c>
      <c r="M27" s="16">
        <f t="shared" si="16"/>
        <v>0</v>
      </c>
      <c r="N27" s="42">
        <f t="shared" si="31"/>
        <v>215497</v>
      </c>
      <c r="O27" s="16">
        <f t="shared" si="17"/>
        <v>0</v>
      </c>
      <c r="P27" s="42">
        <f t="shared" si="24"/>
        <v>103933</v>
      </c>
      <c r="Q27" s="16">
        <f t="shared" si="18"/>
        <v>0</v>
      </c>
      <c r="R27" s="1">
        <v>55047</v>
      </c>
      <c r="S27" s="16">
        <f t="shared" si="20"/>
        <v>0</v>
      </c>
      <c r="T27" s="42">
        <f t="shared" si="32"/>
        <v>3634</v>
      </c>
      <c r="U27" s="16">
        <f t="shared" si="21"/>
        <v>0</v>
      </c>
    </row>
    <row r="28" spans="1:23" ht="13.5" thickBot="1" x14ac:dyDescent="0.25">
      <c r="A28" s="10">
        <v>44342</v>
      </c>
      <c r="B28" s="42">
        <f t="shared" si="27"/>
        <v>45257</v>
      </c>
      <c r="C28" s="16">
        <f t="shared" si="11"/>
        <v>0</v>
      </c>
      <c r="D28" s="42">
        <f t="shared" si="28"/>
        <v>39513</v>
      </c>
      <c r="E28" s="16">
        <f t="shared" si="12"/>
        <v>0</v>
      </c>
      <c r="F28" s="42">
        <f t="shared" si="29"/>
        <v>20365</v>
      </c>
      <c r="G28" s="16">
        <f t="shared" si="13"/>
        <v>0</v>
      </c>
      <c r="H28" s="42">
        <f t="shared" si="30"/>
        <v>241586</v>
      </c>
      <c r="I28" s="16">
        <f t="shared" si="14"/>
        <v>0</v>
      </c>
      <c r="J28" s="42">
        <v>303517</v>
      </c>
      <c r="K28" s="16">
        <f t="shared" si="15"/>
        <v>0</v>
      </c>
      <c r="L28" s="42">
        <f t="shared" si="23"/>
        <v>24932</v>
      </c>
      <c r="M28" s="16">
        <f t="shared" si="16"/>
        <v>0</v>
      </c>
      <c r="N28" s="42">
        <f t="shared" si="31"/>
        <v>215497</v>
      </c>
      <c r="O28" s="16">
        <f t="shared" si="17"/>
        <v>0</v>
      </c>
      <c r="P28" s="42">
        <f t="shared" si="24"/>
        <v>103933</v>
      </c>
      <c r="Q28" s="17">
        <f t="shared" si="18"/>
        <v>0</v>
      </c>
      <c r="R28" s="1">
        <v>55047</v>
      </c>
      <c r="S28" s="17">
        <f t="shared" si="20"/>
        <v>0</v>
      </c>
      <c r="T28" s="42">
        <f t="shared" si="32"/>
        <v>3634</v>
      </c>
      <c r="U28" s="16">
        <f t="shared" si="21"/>
        <v>0</v>
      </c>
    </row>
    <row r="29" spans="1:23" ht="13.5" thickBot="1" x14ac:dyDescent="0.25">
      <c r="A29" s="10">
        <v>44343</v>
      </c>
      <c r="B29" s="42">
        <f t="shared" si="27"/>
        <v>45257</v>
      </c>
      <c r="C29" s="16">
        <f t="shared" si="11"/>
        <v>0</v>
      </c>
      <c r="D29" s="42">
        <f t="shared" si="28"/>
        <v>39513</v>
      </c>
      <c r="E29" s="16">
        <f t="shared" si="12"/>
        <v>0</v>
      </c>
      <c r="F29" s="42">
        <f t="shared" si="29"/>
        <v>20365</v>
      </c>
      <c r="G29" s="16">
        <f t="shared" si="13"/>
        <v>0</v>
      </c>
      <c r="H29" s="42">
        <f t="shared" si="30"/>
        <v>241586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24932</v>
      </c>
      <c r="M29" s="16">
        <f t="shared" si="16"/>
        <v>0</v>
      </c>
      <c r="N29" s="42">
        <f t="shared" si="31"/>
        <v>215497</v>
      </c>
      <c r="O29" s="16">
        <f t="shared" si="17"/>
        <v>0</v>
      </c>
      <c r="P29" s="42">
        <f t="shared" si="24"/>
        <v>103933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si="32"/>
        <v>3634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7"/>
        <v>45257</v>
      </c>
      <c r="C30" s="16">
        <f t="shared" si="11"/>
        <v>0</v>
      </c>
      <c r="D30" s="42">
        <f t="shared" si="28"/>
        <v>39513</v>
      </c>
      <c r="E30" s="16">
        <f t="shared" si="12"/>
        <v>0</v>
      </c>
      <c r="F30" s="42">
        <f t="shared" si="29"/>
        <v>20365</v>
      </c>
      <c r="G30" s="16">
        <f t="shared" si="13"/>
        <v>0</v>
      </c>
      <c r="H30" s="42">
        <f t="shared" si="30"/>
        <v>241586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24932</v>
      </c>
      <c r="M30" s="16">
        <f t="shared" si="16"/>
        <v>0</v>
      </c>
      <c r="N30" s="42">
        <f t="shared" si="31"/>
        <v>215497</v>
      </c>
      <c r="O30" s="16">
        <f t="shared" si="17"/>
        <v>0</v>
      </c>
      <c r="P30" s="42">
        <f t="shared" si="24"/>
        <v>103933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32"/>
        <v>3634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7"/>
        <v>45257</v>
      </c>
      <c r="C31" s="16">
        <f t="shared" si="11"/>
        <v>0</v>
      </c>
      <c r="D31" s="42">
        <f t="shared" si="28"/>
        <v>39513</v>
      </c>
      <c r="E31" s="16">
        <f t="shared" si="12"/>
        <v>0</v>
      </c>
      <c r="F31" s="42">
        <f t="shared" si="29"/>
        <v>20365</v>
      </c>
      <c r="G31" s="16">
        <f t="shared" si="13"/>
        <v>0</v>
      </c>
      <c r="H31" s="42">
        <f t="shared" si="30"/>
        <v>241586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24932</v>
      </c>
      <c r="M31" s="16">
        <f t="shared" si="16"/>
        <v>0</v>
      </c>
      <c r="N31" s="42">
        <f t="shared" si="31"/>
        <v>215497</v>
      </c>
      <c r="O31" s="16">
        <f t="shared" si="17"/>
        <v>0</v>
      </c>
      <c r="P31" s="42">
        <f t="shared" si="24"/>
        <v>103933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32"/>
        <v>3634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7"/>
        <v>45257</v>
      </c>
      <c r="C32" s="16">
        <f t="shared" si="11"/>
        <v>0</v>
      </c>
      <c r="D32" s="42">
        <f t="shared" si="28"/>
        <v>39513</v>
      </c>
      <c r="E32" s="16">
        <f t="shared" si="12"/>
        <v>0</v>
      </c>
      <c r="F32" s="42">
        <f t="shared" si="29"/>
        <v>20365</v>
      </c>
      <c r="G32" s="16">
        <f t="shared" si="13"/>
        <v>0</v>
      </c>
      <c r="H32" s="42">
        <f t="shared" si="30"/>
        <v>241586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24932</v>
      </c>
      <c r="M32" s="16">
        <f t="shared" si="16"/>
        <v>0</v>
      </c>
      <c r="N32" s="42">
        <f t="shared" si="31"/>
        <v>215497</v>
      </c>
      <c r="O32" s="16">
        <f t="shared" si="17"/>
        <v>0</v>
      </c>
      <c r="P32" s="42">
        <f t="shared" si="24"/>
        <v>103933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32"/>
        <v>3634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7"/>
        <v>45257</v>
      </c>
      <c r="C33" s="16">
        <f t="shared" si="11"/>
        <v>0</v>
      </c>
      <c r="D33" s="42">
        <f t="shared" si="28"/>
        <v>39513</v>
      </c>
      <c r="E33" s="16">
        <f t="shared" si="12"/>
        <v>0</v>
      </c>
      <c r="F33" s="42">
        <f t="shared" si="29"/>
        <v>20365</v>
      </c>
      <c r="G33" s="16">
        <f t="shared" si="13"/>
        <v>0</v>
      </c>
      <c r="H33" s="42">
        <f t="shared" si="30"/>
        <v>241586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24932</v>
      </c>
      <c r="M33" s="16">
        <f t="shared" si="16"/>
        <v>0</v>
      </c>
      <c r="N33" s="42">
        <f t="shared" si="31"/>
        <v>215497</v>
      </c>
      <c r="O33" s="16">
        <f t="shared" si="17"/>
        <v>0</v>
      </c>
      <c r="P33" s="42">
        <f t="shared" si="24"/>
        <v>103933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32"/>
        <v>3634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11520</v>
      </c>
      <c r="D34" s="13"/>
      <c r="E34" s="11">
        <f>SUM(E3:E33)</f>
        <v>6560</v>
      </c>
      <c r="F34" s="13"/>
      <c r="G34" s="11">
        <f>SUM(G3:G33)</f>
        <v>980</v>
      </c>
      <c r="H34" s="13"/>
      <c r="I34" s="11">
        <f>SUM(I3:I33)</f>
        <v>801</v>
      </c>
      <c r="J34" s="13"/>
      <c r="K34" s="11">
        <f>SUM(K3:K33)</f>
        <v>0</v>
      </c>
      <c r="L34" s="13"/>
      <c r="M34" s="11">
        <f>SUM(M3:M33)</f>
        <v>8000</v>
      </c>
      <c r="N34" s="43"/>
      <c r="O34" s="11">
        <f>SUM(O3:O33)</f>
        <v>51</v>
      </c>
      <c r="P34" s="13"/>
      <c r="Q34" s="11">
        <f>SUM(Q3:Q33)</f>
        <v>2182</v>
      </c>
      <c r="R34" s="1"/>
      <c r="S34" s="11">
        <f>SUM(S3:S33)</f>
        <v>0</v>
      </c>
      <c r="T34" s="1"/>
      <c r="U34" s="11">
        <f>SUM(U3:U33)</f>
        <v>2240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f t="shared" ref="B18:B33" si="10">B18</f>
        <v>410890</v>
      </c>
      <c r="C19" s="49">
        <f t="shared" si="9"/>
        <v>0</v>
      </c>
      <c r="D19" s="3">
        <f t="shared" ref="D18:D33" si="11">D18</f>
        <v>4349600</v>
      </c>
      <c r="E19" s="49">
        <f t="shared" si="4"/>
        <v>0</v>
      </c>
      <c r="F19" s="3">
        <f t="shared" ref="F18:F33" si="12">F18</f>
        <v>3038600</v>
      </c>
      <c r="G19" s="49">
        <f t="shared" si="7"/>
        <v>0</v>
      </c>
      <c r="H19" s="3">
        <f t="shared" ref="H18:H33" si="13">H18</f>
        <v>732442</v>
      </c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44334</v>
      </c>
      <c r="B20" s="3">
        <f t="shared" si="10"/>
        <v>410890</v>
      </c>
      <c r="C20" s="49">
        <f t="shared" si="9"/>
        <v>0</v>
      </c>
      <c r="D20" s="3">
        <f t="shared" si="11"/>
        <v>4349600</v>
      </c>
      <c r="E20" s="49">
        <f t="shared" si="4"/>
        <v>0</v>
      </c>
      <c r="F20" s="3">
        <f t="shared" si="12"/>
        <v>3038600</v>
      </c>
      <c r="G20" s="49">
        <f t="shared" si="7"/>
        <v>0</v>
      </c>
      <c r="H20" s="3">
        <f t="shared" si="13"/>
        <v>732442</v>
      </c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44335</v>
      </c>
      <c r="B21" s="3">
        <f t="shared" si="10"/>
        <v>410890</v>
      </c>
      <c r="C21" s="49">
        <f t="shared" si="9"/>
        <v>0</v>
      </c>
      <c r="D21" s="3">
        <f t="shared" si="11"/>
        <v>4349600</v>
      </c>
      <c r="E21" s="49">
        <f t="shared" si="4"/>
        <v>0</v>
      </c>
      <c r="F21" s="3">
        <f t="shared" si="12"/>
        <v>3038600</v>
      </c>
      <c r="G21" s="49">
        <f t="shared" si="7"/>
        <v>0</v>
      </c>
      <c r="H21" s="3">
        <f t="shared" si="13"/>
        <v>732442</v>
      </c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44336</v>
      </c>
      <c r="B22" s="3">
        <f t="shared" si="10"/>
        <v>410890</v>
      </c>
      <c r="C22" s="49">
        <f t="shared" si="9"/>
        <v>0</v>
      </c>
      <c r="D22" s="3">
        <f t="shared" si="11"/>
        <v>4349600</v>
      </c>
      <c r="E22" s="49">
        <f t="shared" si="4"/>
        <v>0</v>
      </c>
      <c r="F22" s="3">
        <f t="shared" si="12"/>
        <v>3038600</v>
      </c>
      <c r="G22" s="49">
        <f t="shared" si="7"/>
        <v>0</v>
      </c>
      <c r="H22" s="3">
        <f t="shared" si="13"/>
        <v>732442</v>
      </c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f t="shared" si="10"/>
        <v>410890</v>
      </c>
      <c r="C23" s="49">
        <f t="shared" si="9"/>
        <v>0</v>
      </c>
      <c r="D23" s="3">
        <f t="shared" si="11"/>
        <v>4349600</v>
      </c>
      <c r="E23" s="49">
        <f t="shared" si="4"/>
        <v>0</v>
      </c>
      <c r="F23" s="3">
        <f t="shared" si="12"/>
        <v>3038600</v>
      </c>
      <c r="G23" s="49">
        <f t="shared" si="7"/>
        <v>0</v>
      </c>
      <c r="H23" s="3">
        <f t="shared" si="13"/>
        <v>732442</v>
      </c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>
        <f t="shared" si="10"/>
        <v>410890</v>
      </c>
      <c r="C24" s="49">
        <f t="shared" si="9"/>
        <v>0</v>
      </c>
      <c r="D24" s="3">
        <f t="shared" si="11"/>
        <v>4349600</v>
      </c>
      <c r="E24" s="49">
        <f t="shared" si="4"/>
        <v>0</v>
      </c>
      <c r="F24" s="3">
        <f t="shared" si="12"/>
        <v>3038600</v>
      </c>
      <c r="G24" s="49">
        <f t="shared" si="7"/>
        <v>0</v>
      </c>
      <c r="H24" s="3">
        <f t="shared" si="13"/>
        <v>732442</v>
      </c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>
        <f t="shared" si="10"/>
        <v>410890</v>
      </c>
      <c r="C25" s="49">
        <f t="shared" si="9"/>
        <v>0</v>
      </c>
      <c r="D25" s="3">
        <f t="shared" si="11"/>
        <v>4349600</v>
      </c>
      <c r="E25" s="49">
        <f t="shared" si="4"/>
        <v>0</v>
      </c>
      <c r="F25" s="3">
        <f t="shared" si="12"/>
        <v>3038600</v>
      </c>
      <c r="G25" s="49">
        <f>F25-F24</f>
        <v>0</v>
      </c>
      <c r="H25" s="3">
        <f t="shared" si="13"/>
        <v>732442</v>
      </c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>
        <f t="shared" si="10"/>
        <v>410890</v>
      </c>
      <c r="C26" s="49">
        <f t="shared" si="9"/>
        <v>0</v>
      </c>
      <c r="D26" s="3">
        <f t="shared" si="11"/>
        <v>4349600</v>
      </c>
      <c r="E26" s="49">
        <f t="shared" si="4"/>
        <v>0</v>
      </c>
      <c r="F26" s="3">
        <f t="shared" si="12"/>
        <v>3038600</v>
      </c>
      <c r="G26" s="49">
        <f t="shared" si="7"/>
        <v>0</v>
      </c>
      <c r="H26" s="3">
        <f t="shared" si="13"/>
        <v>732442</v>
      </c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>
        <f t="shared" si="10"/>
        <v>410890</v>
      </c>
      <c r="C27" s="49">
        <f t="shared" si="9"/>
        <v>0</v>
      </c>
      <c r="D27" s="3">
        <f t="shared" si="11"/>
        <v>4349600</v>
      </c>
      <c r="E27" s="49">
        <f t="shared" si="4"/>
        <v>0</v>
      </c>
      <c r="F27" s="3">
        <f t="shared" si="12"/>
        <v>3038600</v>
      </c>
      <c r="G27" s="49">
        <f t="shared" si="7"/>
        <v>0</v>
      </c>
      <c r="H27" s="3">
        <f t="shared" si="13"/>
        <v>732442</v>
      </c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>
        <f t="shared" si="10"/>
        <v>410890</v>
      </c>
      <c r="C28" s="49">
        <f t="shared" si="9"/>
        <v>0</v>
      </c>
      <c r="D28" s="3">
        <f t="shared" si="11"/>
        <v>4349600</v>
      </c>
      <c r="E28" s="49">
        <f t="shared" si="4"/>
        <v>0</v>
      </c>
      <c r="F28" s="3">
        <f t="shared" si="12"/>
        <v>3038600</v>
      </c>
      <c r="G28" s="49">
        <f t="shared" si="7"/>
        <v>0</v>
      </c>
      <c r="H28" s="3">
        <f t="shared" si="13"/>
        <v>732442</v>
      </c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>
        <f t="shared" si="10"/>
        <v>410890</v>
      </c>
      <c r="C29" s="49">
        <f t="shared" si="9"/>
        <v>0</v>
      </c>
      <c r="D29" s="3">
        <f t="shared" si="11"/>
        <v>4349600</v>
      </c>
      <c r="E29" s="49">
        <f t="shared" si="4"/>
        <v>0</v>
      </c>
      <c r="F29" s="3">
        <f t="shared" si="12"/>
        <v>3038600</v>
      </c>
      <c r="G29" s="49">
        <f t="shared" si="7"/>
        <v>0</v>
      </c>
      <c r="H29" s="3">
        <f t="shared" si="13"/>
        <v>732442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0"/>
        <v>410890</v>
      </c>
      <c r="C30" s="49">
        <f t="shared" si="9"/>
        <v>0</v>
      </c>
      <c r="D30" s="3">
        <f t="shared" si="11"/>
        <v>4349600</v>
      </c>
      <c r="E30" s="49">
        <f t="shared" si="4"/>
        <v>0</v>
      </c>
      <c r="F30" s="3">
        <f t="shared" si="12"/>
        <v>3038600</v>
      </c>
      <c r="G30" s="49">
        <f t="shared" si="7"/>
        <v>0</v>
      </c>
      <c r="H30" s="3">
        <f t="shared" si="13"/>
        <v>732442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0"/>
        <v>410890</v>
      </c>
      <c r="C31" s="49">
        <f t="shared" si="9"/>
        <v>0</v>
      </c>
      <c r="D31" s="3">
        <f t="shared" si="11"/>
        <v>4349600</v>
      </c>
      <c r="E31" s="49">
        <f t="shared" si="4"/>
        <v>0</v>
      </c>
      <c r="F31" s="3">
        <f t="shared" si="12"/>
        <v>3038600</v>
      </c>
      <c r="G31" s="49">
        <f t="shared" si="7"/>
        <v>0</v>
      </c>
      <c r="H31" s="3">
        <f t="shared" si="13"/>
        <v>732442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0"/>
        <v>410890</v>
      </c>
      <c r="C32" s="49">
        <f t="shared" si="9"/>
        <v>0</v>
      </c>
      <c r="D32" s="3">
        <f t="shared" si="11"/>
        <v>4349600</v>
      </c>
      <c r="E32" s="49">
        <f t="shared" si="4"/>
        <v>0</v>
      </c>
      <c r="F32" s="3">
        <f t="shared" si="12"/>
        <v>3038600</v>
      </c>
      <c r="G32" s="49">
        <f t="shared" si="7"/>
        <v>0</v>
      </c>
      <c r="H32" s="3">
        <f t="shared" si="13"/>
        <v>732442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0"/>
        <v>410890</v>
      </c>
      <c r="C33" s="49">
        <f t="shared" si="9"/>
        <v>0</v>
      </c>
      <c r="D33" s="3">
        <f t="shared" si="11"/>
        <v>4349600</v>
      </c>
      <c r="E33" s="49">
        <f t="shared" si="4"/>
        <v>0</v>
      </c>
      <c r="F33" s="3">
        <f t="shared" si="12"/>
        <v>3038600</v>
      </c>
      <c r="G33" s="49">
        <f t="shared" si="7"/>
        <v>0</v>
      </c>
      <c r="H33" s="3">
        <f t="shared" si="13"/>
        <v>732442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10320</v>
      </c>
      <c r="D34" s="3"/>
      <c r="E34" s="66">
        <f>SUM(E3:E33)</f>
        <v>4930.2</v>
      </c>
      <c r="F34" s="3"/>
      <c r="G34" s="66">
        <f>SUM(G3:G33)</f>
        <v>5718.6</v>
      </c>
      <c r="H34" s="3"/>
      <c r="I34" s="66">
        <f>SUM(I3:I33)</f>
        <v>50.868000000000009</v>
      </c>
      <c r="J34" s="66">
        <f>SUM(J3:J33)</f>
        <v>21232.108000000007</v>
      </c>
      <c r="K34" s="66">
        <f>SUM(K3:K33)</f>
        <v>124420.15287999999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I18" sqref="A18:XFD18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/>
      <c r="C19" s="165">
        <f t="shared" ref="C18:C33" si="15">C18</f>
        <v>18199</v>
      </c>
      <c r="D19" s="49">
        <f>IF((C19-C18)&lt;0,"0",(C19-C18))*160</f>
        <v>0</v>
      </c>
      <c r="E19" s="140">
        <f t="shared" ref="E18:E33" si="16">E18</f>
        <v>25924968</v>
      </c>
      <c r="F19" s="149">
        <f t="shared" si="2"/>
        <v>0</v>
      </c>
      <c r="G19" s="144">
        <f t="shared" ref="G18:G33" si="17">G18</f>
        <v>81992107</v>
      </c>
      <c r="H19" s="49">
        <f t="shared" si="3"/>
        <v>0</v>
      </c>
      <c r="I19" s="151">
        <f t="shared" si="12"/>
        <v>0</v>
      </c>
      <c r="J19" s="140">
        <f t="shared" ref="J18:J33" si="18">J18</f>
        <v>8003146</v>
      </c>
      <c r="K19" s="149">
        <f t="shared" si="4"/>
        <v>0</v>
      </c>
      <c r="L19" s="142">
        <f t="shared" ref="L18:L33" si="19">L18</f>
        <v>8003180</v>
      </c>
      <c r="M19" s="149">
        <f t="shared" si="5"/>
        <v>0</v>
      </c>
      <c r="N19" s="140">
        <f t="shared" ref="N18:N33" si="20">N18</f>
        <v>5136611</v>
      </c>
      <c r="O19" s="149">
        <f t="shared" si="13"/>
        <v>0</v>
      </c>
      <c r="P19" s="142">
        <f t="shared" ref="P18:P33" si="21">P18</f>
        <v>3361023</v>
      </c>
      <c r="Q19" s="149">
        <f t="shared" si="6"/>
        <v>0</v>
      </c>
      <c r="R19" s="140">
        <f t="shared" ref="R18:R33" si="22">R18</f>
        <v>17407046</v>
      </c>
      <c r="S19" s="149">
        <f t="shared" si="7"/>
        <v>0</v>
      </c>
      <c r="T19" s="150">
        <v>0</v>
      </c>
      <c r="U19" s="143"/>
      <c r="V19" s="140">
        <f t="shared" ref="V18:V33" si="23">V18</f>
        <v>5060522</v>
      </c>
      <c r="W19" s="149">
        <f t="shared" si="8"/>
        <v>0</v>
      </c>
      <c r="X19" s="28">
        <f t="shared" si="9"/>
        <v>0</v>
      </c>
      <c r="Y19" s="152">
        <f t="shared" si="10"/>
        <v>0</v>
      </c>
      <c r="Z19" s="153">
        <f t="shared" si="11"/>
        <v>0</v>
      </c>
      <c r="AA19" s="153">
        <f t="shared" si="14"/>
        <v>23196.497001600001</v>
      </c>
    </row>
    <row r="20" spans="1:27" s="154" customFormat="1" ht="16.5" thickBot="1" x14ac:dyDescent="0.25">
      <c r="A20" s="10">
        <v>44334</v>
      </c>
      <c r="B20" s="149"/>
      <c r="C20" s="165">
        <f t="shared" si="15"/>
        <v>18199</v>
      </c>
      <c r="D20" s="49">
        <f>IF((C20-C19)&lt;0,"0",(C20-C19))*160</f>
        <v>0</v>
      </c>
      <c r="E20" s="140">
        <f t="shared" si="16"/>
        <v>25924968</v>
      </c>
      <c r="F20" s="149">
        <f t="shared" si="2"/>
        <v>0</v>
      </c>
      <c r="G20" s="144">
        <f t="shared" si="17"/>
        <v>81992107</v>
      </c>
      <c r="H20" s="49">
        <f t="shared" si="3"/>
        <v>0</v>
      </c>
      <c r="I20" s="151">
        <f t="shared" si="12"/>
        <v>0</v>
      </c>
      <c r="J20" s="140">
        <f t="shared" si="18"/>
        <v>8003146</v>
      </c>
      <c r="K20" s="149">
        <f t="shared" si="4"/>
        <v>0</v>
      </c>
      <c r="L20" s="142">
        <f t="shared" si="19"/>
        <v>8003180</v>
      </c>
      <c r="M20" s="149">
        <f t="shared" si="5"/>
        <v>0</v>
      </c>
      <c r="N20" s="140">
        <f t="shared" si="20"/>
        <v>5136611</v>
      </c>
      <c r="O20" s="149">
        <f t="shared" si="13"/>
        <v>0</v>
      </c>
      <c r="P20" s="142">
        <f t="shared" si="21"/>
        <v>3361023</v>
      </c>
      <c r="Q20" s="149">
        <f t="shared" si="6"/>
        <v>0</v>
      </c>
      <c r="R20" s="140">
        <f t="shared" si="22"/>
        <v>17407046</v>
      </c>
      <c r="S20" s="149">
        <f t="shared" si="7"/>
        <v>0</v>
      </c>
      <c r="T20" s="150">
        <v>0</v>
      </c>
      <c r="U20" s="143"/>
      <c r="V20" s="140">
        <f t="shared" si="23"/>
        <v>5060522</v>
      </c>
      <c r="W20" s="149">
        <f t="shared" si="8"/>
        <v>0</v>
      </c>
      <c r="X20" s="28">
        <f t="shared" si="9"/>
        <v>0</v>
      </c>
      <c r="Y20" s="152">
        <f t="shared" si="10"/>
        <v>0</v>
      </c>
      <c r="Z20" s="153">
        <f t="shared" si="11"/>
        <v>0</v>
      </c>
      <c r="AA20" s="153">
        <f t="shared" si="14"/>
        <v>16209.732551999999</v>
      </c>
    </row>
    <row r="21" spans="1:27" s="154" customFormat="1" ht="16.5" thickBot="1" x14ac:dyDescent="0.25">
      <c r="A21" s="10">
        <v>44335</v>
      </c>
      <c r="B21" s="149"/>
      <c r="C21" s="165">
        <f t="shared" si="15"/>
        <v>18199</v>
      </c>
      <c r="D21" s="49">
        <f>IF((C21-C20)&lt;0,"0",(C21-C20))*160</f>
        <v>0</v>
      </c>
      <c r="E21" s="140">
        <f t="shared" si="16"/>
        <v>25924968</v>
      </c>
      <c r="F21" s="149">
        <f t="shared" si="2"/>
        <v>0</v>
      </c>
      <c r="G21" s="144">
        <f t="shared" si="17"/>
        <v>81992107</v>
      </c>
      <c r="H21" s="49">
        <f t="shared" si="3"/>
        <v>0</v>
      </c>
      <c r="I21" s="151">
        <f t="shared" si="12"/>
        <v>0</v>
      </c>
      <c r="J21" s="140">
        <f t="shared" si="18"/>
        <v>8003146</v>
      </c>
      <c r="K21" s="149">
        <f t="shared" si="4"/>
        <v>0</v>
      </c>
      <c r="L21" s="142">
        <f t="shared" si="19"/>
        <v>8003180</v>
      </c>
      <c r="M21" s="149">
        <f t="shared" si="5"/>
        <v>0</v>
      </c>
      <c r="N21" s="140">
        <f t="shared" si="20"/>
        <v>5136611</v>
      </c>
      <c r="O21" s="149">
        <f t="shared" si="13"/>
        <v>0</v>
      </c>
      <c r="P21" s="142">
        <f t="shared" si="21"/>
        <v>3361023</v>
      </c>
      <c r="Q21" s="149">
        <f t="shared" si="6"/>
        <v>0</v>
      </c>
      <c r="R21" s="140">
        <f t="shared" si="22"/>
        <v>17407046</v>
      </c>
      <c r="S21" s="149">
        <f t="shared" si="7"/>
        <v>0</v>
      </c>
      <c r="T21" s="150">
        <v>0</v>
      </c>
      <c r="U21" s="143"/>
      <c r="V21" s="140">
        <f t="shared" si="23"/>
        <v>5060522</v>
      </c>
      <c r="W21" s="149">
        <f t="shared" si="8"/>
        <v>0</v>
      </c>
      <c r="X21" s="28">
        <f t="shared" si="9"/>
        <v>0</v>
      </c>
      <c r="Y21" s="152">
        <f t="shared" si="10"/>
        <v>0</v>
      </c>
      <c r="Z21" s="153">
        <f t="shared" si="11"/>
        <v>0</v>
      </c>
      <c r="AA21" s="153">
        <f t="shared" si="14"/>
        <v>8591.7364832000003</v>
      </c>
    </row>
    <row r="22" spans="1:27" ht="16.5" thickBot="1" x14ac:dyDescent="0.25">
      <c r="A22" s="10">
        <v>44336</v>
      </c>
      <c r="B22" s="49"/>
      <c r="C22" s="165">
        <f t="shared" si="15"/>
        <v>18199</v>
      </c>
      <c r="D22" s="49">
        <f t="shared" si="1"/>
        <v>0</v>
      </c>
      <c r="E22" s="140">
        <f t="shared" si="16"/>
        <v>25924968</v>
      </c>
      <c r="F22" s="49">
        <f t="shared" si="2"/>
        <v>0</v>
      </c>
      <c r="G22" s="144">
        <f t="shared" si="17"/>
        <v>81992107</v>
      </c>
      <c r="H22" s="49">
        <f t="shared" si="3"/>
        <v>0</v>
      </c>
      <c r="I22" s="141">
        <f t="shared" si="12"/>
        <v>0</v>
      </c>
      <c r="J22" s="140">
        <f t="shared" si="18"/>
        <v>8003146</v>
      </c>
      <c r="K22" s="49">
        <f t="shared" si="4"/>
        <v>0</v>
      </c>
      <c r="L22" s="142">
        <f t="shared" si="19"/>
        <v>8003180</v>
      </c>
      <c r="M22" s="49">
        <f t="shared" si="5"/>
        <v>0</v>
      </c>
      <c r="N22" s="140">
        <f t="shared" si="20"/>
        <v>5136611</v>
      </c>
      <c r="O22" s="49">
        <f t="shared" si="13"/>
        <v>0</v>
      </c>
      <c r="P22" s="142">
        <f t="shared" si="21"/>
        <v>3361023</v>
      </c>
      <c r="Q22" s="49">
        <f t="shared" si="6"/>
        <v>0</v>
      </c>
      <c r="R22" s="140">
        <f t="shared" si="22"/>
        <v>17407046</v>
      </c>
      <c r="S22" s="49">
        <f t="shared" si="7"/>
        <v>0</v>
      </c>
      <c r="T22" s="140">
        <v>0</v>
      </c>
      <c r="U22" s="143"/>
      <c r="V22" s="140">
        <f t="shared" si="23"/>
        <v>5060522</v>
      </c>
      <c r="W22" s="49">
        <f t="shared" si="8"/>
        <v>0</v>
      </c>
      <c r="X22" s="28">
        <f t="shared" si="9"/>
        <v>0</v>
      </c>
      <c r="Y22" s="35">
        <f t="shared" si="10"/>
        <v>0</v>
      </c>
      <c r="Z22" s="27">
        <f t="shared" si="11"/>
        <v>0</v>
      </c>
      <c r="AA22" s="27">
        <f t="shared" si="14"/>
        <v>0</v>
      </c>
    </row>
    <row r="23" spans="1:27" ht="16.5" thickBot="1" x14ac:dyDescent="0.25">
      <c r="A23" s="10">
        <v>44337</v>
      </c>
      <c r="B23" s="49"/>
      <c r="C23" s="165">
        <f t="shared" si="15"/>
        <v>18199</v>
      </c>
      <c r="D23" s="49">
        <f t="shared" si="1"/>
        <v>0</v>
      </c>
      <c r="E23" s="140">
        <f t="shared" si="16"/>
        <v>25924968</v>
      </c>
      <c r="F23" s="49">
        <f t="shared" si="2"/>
        <v>0</v>
      </c>
      <c r="G23" s="144">
        <f t="shared" si="17"/>
        <v>81992107</v>
      </c>
      <c r="H23" s="49">
        <f t="shared" si="3"/>
        <v>0</v>
      </c>
      <c r="I23" s="141">
        <f t="shared" si="12"/>
        <v>0</v>
      </c>
      <c r="J23" s="140">
        <f t="shared" si="18"/>
        <v>8003146</v>
      </c>
      <c r="K23" s="49">
        <f t="shared" si="4"/>
        <v>0</v>
      </c>
      <c r="L23" s="142">
        <f t="shared" si="19"/>
        <v>8003180</v>
      </c>
      <c r="M23" s="49">
        <f t="shared" si="5"/>
        <v>0</v>
      </c>
      <c r="N23" s="140">
        <f t="shared" si="20"/>
        <v>5136611</v>
      </c>
      <c r="O23" s="49">
        <f t="shared" si="13"/>
        <v>0</v>
      </c>
      <c r="P23" s="142">
        <f t="shared" si="21"/>
        <v>3361023</v>
      </c>
      <c r="Q23" s="49">
        <f t="shared" si="6"/>
        <v>0</v>
      </c>
      <c r="R23" s="140">
        <f t="shared" si="22"/>
        <v>17407046</v>
      </c>
      <c r="S23" s="49">
        <f t="shared" si="7"/>
        <v>0</v>
      </c>
      <c r="T23" s="140">
        <v>0</v>
      </c>
      <c r="U23" s="143"/>
      <c r="V23" s="140">
        <f t="shared" si="23"/>
        <v>5060522</v>
      </c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0</v>
      </c>
    </row>
    <row r="24" spans="1:27" ht="16.5" thickBot="1" x14ac:dyDescent="0.25">
      <c r="A24" s="10">
        <v>44338</v>
      </c>
      <c r="B24" s="49"/>
      <c r="C24" s="165">
        <f t="shared" si="15"/>
        <v>18199</v>
      </c>
      <c r="D24" s="49">
        <f t="shared" si="1"/>
        <v>0</v>
      </c>
      <c r="E24" s="140">
        <f t="shared" si="16"/>
        <v>25924968</v>
      </c>
      <c r="F24" s="49">
        <f t="shared" si="2"/>
        <v>0</v>
      </c>
      <c r="G24" s="144">
        <f t="shared" si="17"/>
        <v>81992107</v>
      </c>
      <c r="H24" s="49">
        <f t="shared" si="3"/>
        <v>0</v>
      </c>
      <c r="I24" s="141">
        <f t="shared" si="12"/>
        <v>0</v>
      </c>
      <c r="J24" s="140">
        <f t="shared" si="18"/>
        <v>8003146</v>
      </c>
      <c r="K24" s="49">
        <f t="shared" si="4"/>
        <v>0</v>
      </c>
      <c r="L24" s="142">
        <f t="shared" si="19"/>
        <v>8003180</v>
      </c>
      <c r="M24" s="49">
        <f t="shared" si="5"/>
        <v>0</v>
      </c>
      <c r="N24" s="140">
        <f t="shared" si="20"/>
        <v>5136611</v>
      </c>
      <c r="O24" s="49">
        <f t="shared" si="13"/>
        <v>0</v>
      </c>
      <c r="P24" s="142">
        <f t="shared" si="21"/>
        <v>3361023</v>
      </c>
      <c r="Q24" s="49">
        <f t="shared" si="6"/>
        <v>0</v>
      </c>
      <c r="R24" s="140">
        <f t="shared" si="22"/>
        <v>17407046</v>
      </c>
      <c r="S24" s="49">
        <f t="shared" si="7"/>
        <v>0</v>
      </c>
      <c r="T24" s="140">
        <v>0</v>
      </c>
      <c r="U24" s="143"/>
      <c r="V24" s="140">
        <f t="shared" si="23"/>
        <v>5060522</v>
      </c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0</v>
      </c>
    </row>
    <row r="25" spans="1:27" ht="16.5" thickBot="1" x14ac:dyDescent="0.25">
      <c r="A25" s="10">
        <v>44339</v>
      </c>
      <c r="B25" s="49"/>
      <c r="C25" s="165">
        <f t="shared" si="15"/>
        <v>18199</v>
      </c>
      <c r="D25" s="49">
        <f t="shared" si="1"/>
        <v>0</v>
      </c>
      <c r="E25" s="140">
        <f t="shared" si="16"/>
        <v>25924968</v>
      </c>
      <c r="F25" s="49">
        <f t="shared" si="2"/>
        <v>0</v>
      </c>
      <c r="G25" s="144">
        <f t="shared" si="17"/>
        <v>81992107</v>
      </c>
      <c r="H25" s="49">
        <f t="shared" si="3"/>
        <v>0</v>
      </c>
      <c r="I25" s="141">
        <f t="shared" si="12"/>
        <v>0</v>
      </c>
      <c r="J25" s="140">
        <f t="shared" si="18"/>
        <v>8003146</v>
      </c>
      <c r="K25" s="49">
        <f t="shared" si="4"/>
        <v>0</v>
      </c>
      <c r="L25" s="142">
        <f t="shared" si="19"/>
        <v>8003180</v>
      </c>
      <c r="M25" s="49">
        <f t="shared" si="5"/>
        <v>0</v>
      </c>
      <c r="N25" s="140">
        <f t="shared" si="20"/>
        <v>5136611</v>
      </c>
      <c r="O25" s="49">
        <f t="shared" si="13"/>
        <v>0</v>
      </c>
      <c r="P25" s="142">
        <f t="shared" si="21"/>
        <v>3361023</v>
      </c>
      <c r="Q25" s="49">
        <f t="shared" si="6"/>
        <v>0</v>
      </c>
      <c r="R25" s="140">
        <f t="shared" si="22"/>
        <v>17407046</v>
      </c>
      <c r="S25" s="49">
        <f t="shared" si="7"/>
        <v>0</v>
      </c>
      <c r="T25" s="140">
        <v>0</v>
      </c>
      <c r="U25" s="143"/>
      <c r="V25" s="140">
        <f t="shared" si="23"/>
        <v>5060522</v>
      </c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0</v>
      </c>
    </row>
    <row r="26" spans="1:27" ht="16.5" thickBot="1" x14ac:dyDescent="0.25">
      <c r="A26" s="10">
        <v>44340</v>
      </c>
      <c r="B26" s="49"/>
      <c r="C26" s="165">
        <f t="shared" si="15"/>
        <v>18199</v>
      </c>
      <c r="D26" s="49">
        <f t="shared" si="1"/>
        <v>0</v>
      </c>
      <c r="E26" s="140">
        <f t="shared" si="16"/>
        <v>25924968</v>
      </c>
      <c r="F26" s="49">
        <f t="shared" si="2"/>
        <v>0</v>
      </c>
      <c r="G26" s="144">
        <f t="shared" si="17"/>
        <v>81992107</v>
      </c>
      <c r="H26" s="49">
        <f t="shared" si="3"/>
        <v>0</v>
      </c>
      <c r="I26" s="141">
        <f t="shared" si="12"/>
        <v>0</v>
      </c>
      <c r="J26" s="140">
        <f t="shared" si="18"/>
        <v>8003146</v>
      </c>
      <c r="K26" s="49">
        <f t="shared" si="4"/>
        <v>0</v>
      </c>
      <c r="L26" s="142">
        <f t="shared" si="19"/>
        <v>8003180</v>
      </c>
      <c r="M26" s="49">
        <f t="shared" si="5"/>
        <v>0</v>
      </c>
      <c r="N26" s="140">
        <f t="shared" si="20"/>
        <v>5136611</v>
      </c>
      <c r="O26" s="49">
        <f t="shared" si="13"/>
        <v>0</v>
      </c>
      <c r="P26" s="142">
        <f t="shared" si="21"/>
        <v>3361023</v>
      </c>
      <c r="Q26" s="49">
        <f t="shared" si="6"/>
        <v>0</v>
      </c>
      <c r="R26" s="140">
        <f t="shared" si="22"/>
        <v>17407046</v>
      </c>
      <c r="S26" s="49">
        <f t="shared" si="7"/>
        <v>0</v>
      </c>
      <c r="T26" s="140">
        <v>0</v>
      </c>
      <c r="U26" s="143"/>
      <c r="V26" s="140">
        <f t="shared" si="23"/>
        <v>5060522</v>
      </c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>
        <f t="shared" si="15"/>
        <v>18199</v>
      </c>
      <c r="D27" s="49">
        <f t="shared" si="1"/>
        <v>0</v>
      </c>
      <c r="E27" s="140">
        <f t="shared" si="16"/>
        <v>25924968</v>
      </c>
      <c r="F27" s="49">
        <f t="shared" si="2"/>
        <v>0</v>
      </c>
      <c r="G27" s="144">
        <f t="shared" si="17"/>
        <v>81992107</v>
      </c>
      <c r="H27" s="49">
        <f t="shared" si="3"/>
        <v>0</v>
      </c>
      <c r="I27" s="141">
        <f t="shared" si="12"/>
        <v>0</v>
      </c>
      <c r="J27" s="140">
        <f t="shared" si="18"/>
        <v>8003146</v>
      </c>
      <c r="K27" s="49">
        <f t="shared" si="4"/>
        <v>0</v>
      </c>
      <c r="L27" s="142">
        <f t="shared" si="19"/>
        <v>8003180</v>
      </c>
      <c r="M27" s="49">
        <f t="shared" si="5"/>
        <v>0</v>
      </c>
      <c r="N27" s="140">
        <f t="shared" si="20"/>
        <v>5136611</v>
      </c>
      <c r="O27" s="49">
        <f t="shared" si="13"/>
        <v>0</v>
      </c>
      <c r="P27" s="142">
        <f t="shared" si="21"/>
        <v>3361023</v>
      </c>
      <c r="Q27" s="49">
        <f t="shared" si="6"/>
        <v>0</v>
      </c>
      <c r="R27" s="140">
        <f t="shared" si="22"/>
        <v>17407046</v>
      </c>
      <c r="S27" s="49">
        <f t="shared" si="7"/>
        <v>0</v>
      </c>
      <c r="T27" s="140">
        <v>0</v>
      </c>
      <c r="U27" s="143"/>
      <c r="V27" s="140">
        <f t="shared" si="23"/>
        <v>5060522</v>
      </c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>
        <f t="shared" si="15"/>
        <v>18199</v>
      </c>
      <c r="D28" s="49">
        <f t="shared" si="1"/>
        <v>0</v>
      </c>
      <c r="E28" s="140">
        <f t="shared" si="16"/>
        <v>25924968</v>
      </c>
      <c r="F28" s="49">
        <f t="shared" si="2"/>
        <v>0</v>
      </c>
      <c r="G28" s="144">
        <f t="shared" si="17"/>
        <v>81992107</v>
      </c>
      <c r="H28" s="49">
        <f t="shared" si="3"/>
        <v>0</v>
      </c>
      <c r="I28" s="141">
        <f t="shared" si="12"/>
        <v>0</v>
      </c>
      <c r="J28" s="140">
        <f t="shared" si="18"/>
        <v>8003146</v>
      </c>
      <c r="K28" s="49">
        <f t="shared" si="4"/>
        <v>0</v>
      </c>
      <c r="L28" s="142">
        <f t="shared" si="19"/>
        <v>8003180</v>
      </c>
      <c r="M28" s="49">
        <f t="shared" si="5"/>
        <v>0</v>
      </c>
      <c r="N28" s="140">
        <f t="shared" si="20"/>
        <v>5136611</v>
      </c>
      <c r="O28" s="49">
        <f t="shared" si="13"/>
        <v>0</v>
      </c>
      <c r="P28" s="142">
        <f t="shared" si="21"/>
        <v>3361023</v>
      </c>
      <c r="Q28" s="49">
        <f t="shared" si="6"/>
        <v>0</v>
      </c>
      <c r="R28" s="140">
        <f t="shared" si="22"/>
        <v>17407046</v>
      </c>
      <c r="S28" s="49">
        <f t="shared" si="7"/>
        <v>0</v>
      </c>
      <c r="T28" s="140">
        <v>0</v>
      </c>
      <c r="U28" s="143"/>
      <c r="V28" s="140">
        <f t="shared" si="23"/>
        <v>5060522</v>
      </c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>
        <f t="shared" si="15"/>
        <v>18199</v>
      </c>
      <c r="D29" s="49">
        <f t="shared" si="1"/>
        <v>0</v>
      </c>
      <c r="E29" s="140">
        <f t="shared" si="16"/>
        <v>25924968</v>
      </c>
      <c r="F29" s="49">
        <f t="shared" si="2"/>
        <v>0</v>
      </c>
      <c r="G29" s="144">
        <f t="shared" si="17"/>
        <v>81992107</v>
      </c>
      <c r="H29" s="49">
        <f t="shared" si="3"/>
        <v>0</v>
      </c>
      <c r="I29" s="141">
        <f t="shared" si="12"/>
        <v>0</v>
      </c>
      <c r="J29" s="140">
        <f t="shared" si="18"/>
        <v>8003146</v>
      </c>
      <c r="K29" s="49">
        <f t="shared" si="4"/>
        <v>0</v>
      </c>
      <c r="L29" s="142">
        <f t="shared" si="19"/>
        <v>8003180</v>
      </c>
      <c r="M29" s="49">
        <f t="shared" si="5"/>
        <v>0</v>
      </c>
      <c r="N29" s="140">
        <f t="shared" si="20"/>
        <v>5136611</v>
      </c>
      <c r="O29" s="49">
        <f t="shared" si="13"/>
        <v>0</v>
      </c>
      <c r="P29" s="142">
        <f t="shared" si="21"/>
        <v>3361023</v>
      </c>
      <c r="Q29" s="49">
        <f t="shared" si="6"/>
        <v>0</v>
      </c>
      <c r="R29" s="140">
        <f t="shared" si="22"/>
        <v>17407046</v>
      </c>
      <c r="S29" s="49">
        <f t="shared" si="7"/>
        <v>0</v>
      </c>
      <c r="T29" s="140">
        <v>0</v>
      </c>
      <c r="U29" s="143"/>
      <c r="V29" s="140">
        <f t="shared" si="23"/>
        <v>5060522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>
        <f t="shared" si="15"/>
        <v>18199</v>
      </c>
      <c r="D30" s="49">
        <f t="shared" si="1"/>
        <v>0</v>
      </c>
      <c r="E30" s="140">
        <f t="shared" si="16"/>
        <v>25924968</v>
      </c>
      <c r="F30" s="49">
        <f t="shared" si="2"/>
        <v>0</v>
      </c>
      <c r="G30" s="144">
        <f t="shared" si="17"/>
        <v>81992107</v>
      </c>
      <c r="H30" s="49">
        <f t="shared" si="3"/>
        <v>0</v>
      </c>
      <c r="I30" s="141">
        <f t="shared" si="12"/>
        <v>0</v>
      </c>
      <c r="J30" s="140">
        <f t="shared" si="18"/>
        <v>8003146</v>
      </c>
      <c r="K30" s="49">
        <f t="shared" si="4"/>
        <v>0</v>
      </c>
      <c r="L30" s="142">
        <f t="shared" si="19"/>
        <v>8003180</v>
      </c>
      <c r="M30" s="49">
        <f t="shared" si="5"/>
        <v>0</v>
      </c>
      <c r="N30" s="140">
        <f t="shared" si="20"/>
        <v>5136611</v>
      </c>
      <c r="O30" s="49">
        <f t="shared" si="13"/>
        <v>0</v>
      </c>
      <c r="P30" s="142">
        <f t="shared" si="21"/>
        <v>3361023</v>
      </c>
      <c r="Q30" s="49">
        <f t="shared" si="6"/>
        <v>0</v>
      </c>
      <c r="R30" s="140">
        <f t="shared" si="22"/>
        <v>17407046</v>
      </c>
      <c r="S30" s="49">
        <f t="shared" si="7"/>
        <v>0</v>
      </c>
      <c r="T30" s="140">
        <v>0</v>
      </c>
      <c r="U30" s="143"/>
      <c r="V30" s="140">
        <f t="shared" si="23"/>
        <v>5060522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>
        <f t="shared" si="15"/>
        <v>18199</v>
      </c>
      <c r="D31" s="49">
        <f t="shared" si="1"/>
        <v>0</v>
      </c>
      <c r="E31" s="140">
        <f t="shared" si="16"/>
        <v>25924968</v>
      </c>
      <c r="F31" s="49">
        <f t="shared" si="2"/>
        <v>0</v>
      </c>
      <c r="G31" s="144">
        <f t="shared" si="17"/>
        <v>81992107</v>
      </c>
      <c r="H31" s="49">
        <f t="shared" si="3"/>
        <v>0</v>
      </c>
      <c r="I31" s="28">
        <f>F31+H31</f>
        <v>0</v>
      </c>
      <c r="J31" s="140">
        <f t="shared" si="18"/>
        <v>8003146</v>
      </c>
      <c r="K31" s="49">
        <f t="shared" si="4"/>
        <v>0</v>
      </c>
      <c r="L31" s="142">
        <f t="shared" si="19"/>
        <v>8003180</v>
      </c>
      <c r="M31" s="49">
        <f t="shared" si="5"/>
        <v>0</v>
      </c>
      <c r="N31" s="140">
        <f t="shared" si="20"/>
        <v>5136611</v>
      </c>
      <c r="O31" s="49">
        <f t="shared" si="13"/>
        <v>0</v>
      </c>
      <c r="P31" s="142">
        <f t="shared" si="21"/>
        <v>3361023</v>
      </c>
      <c r="Q31" s="49">
        <f t="shared" si="6"/>
        <v>0</v>
      </c>
      <c r="R31" s="140">
        <f t="shared" si="22"/>
        <v>17407046</v>
      </c>
      <c r="S31" s="49">
        <f t="shared" si="7"/>
        <v>0</v>
      </c>
      <c r="T31" s="140">
        <v>0</v>
      </c>
      <c r="U31" s="29"/>
      <c r="V31" s="140">
        <f t="shared" si="23"/>
        <v>5060522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>
        <f t="shared" si="15"/>
        <v>18199</v>
      </c>
      <c r="D32" s="49">
        <f t="shared" si="1"/>
        <v>0</v>
      </c>
      <c r="E32" s="140">
        <f t="shared" si="16"/>
        <v>25924968</v>
      </c>
      <c r="F32" s="49">
        <f t="shared" si="2"/>
        <v>0</v>
      </c>
      <c r="G32" s="144">
        <f t="shared" si="17"/>
        <v>81992107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8003146</v>
      </c>
      <c r="K32" s="49">
        <f t="shared" si="4"/>
        <v>0</v>
      </c>
      <c r="L32" s="142">
        <f t="shared" si="19"/>
        <v>8003180</v>
      </c>
      <c r="M32" s="49">
        <f t="shared" si="5"/>
        <v>0</v>
      </c>
      <c r="N32" s="140">
        <f t="shared" si="20"/>
        <v>5136611</v>
      </c>
      <c r="O32" s="49">
        <f t="shared" si="13"/>
        <v>0</v>
      </c>
      <c r="P32" s="142">
        <f t="shared" si="21"/>
        <v>3361023</v>
      </c>
      <c r="Q32" s="49">
        <f t="shared" si="6"/>
        <v>0</v>
      </c>
      <c r="R32" s="140">
        <f t="shared" si="22"/>
        <v>17407046</v>
      </c>
      <c r="S32" s="49">
        <f t="shared" si="7"/>
        <v>0</v>
      </c>
      <c r="T32" s="140">
        <v>0</v>
      </c>
      <c r="U32" s="29"/>
      <c r="V32" s="140">
        <f t="shared" si="23"/>
        <v>5060522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18199</v>
      </c>
      <c r="D33" s="49">
        <f t="shared" si="1"/>
        <v>0</v>
      </c>
      <c r="E33" s="140">
        <f t="shared" si="16"/>
        <v>25924968</v>
      </c>
      <c r="F33" s="49">
        <f t="shared" si="2"/>
        <v>0</v>
      </c>
      <c r="G33" s="144">
        <f t="shared" si="17"/>
        <v>81992107</v>
      </c>
      <c r="H33" s="49">
        <f t="shared" si="3"/>
        <v>0</v>
      </c>
      <c r="I33" s="28">
        <f t="shared" si="24"/>
        <v>0</v>
      </c>
      <c r="J33" s="140">
        <f t="shared" si="18"/>
        <v>8003146</v>
      </c>
      <c r="K33" s="49">
        <f t="shared" si="4"/>
        <v>0</v>
      </c>
      <c r="L33" s="142">
        <f t="shared" si="19"/>
        <v>8003180</v>
      </c>
      <c r="M33" s="49">
        <f t="shared" si="5"/>
        <v>0</v>
      </c>
      <c r="N33" s="140">
        <f t="shared" si="20"/>
        <v>5136611</v>
      </c>
      <c r="O33" s="49">
        <f t="shared" si="13"/>
        <v>0</v>
      </c>
      <c r="P33" s="142">
        <f t="shared" si="21"/>
        <v>3361023</v>
      </c>
      <c r="Q33" s="49">
        <f t="shared" si="6"/>
        <v>0</v>
      </c>
      <c r="R33" s="140">
        <f t="shared" si="22"/>
        <v>17407046</v>
      </c>
      <c r="S33" s="49">
        <f t="shared" si="7"/>
        <v>0</v>
      </c>
      <c r="T33" s="140">
        <v>0</v>
      </c>
      <c r="U33" s="29"/>
      <c r="V33" s="140">
        <f t="shared" si="23"/>
        <v>5060522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1264</v>
      </c>
      <c r="C34" s="162"/>
      <c r="D34" s="162">
        <f>SUM(D2:D33)</f>
        <v>7680</v>
      </c>
      <c r="E34" s="162">
        <v>0</v>
      </c>
      <c r="F34" s="162">
        <f>SUM(F2:F33)</f>
        <v>210706</v>
      </c>
      <c r="G34" s="162">
        <v>0</v>
      </c>
      <c r="H34" s="162">
        <f>SUM(H2:H33)</f>
        <v>751381</v>
      </c>
      <c r="I34" s="162">
        <f t="shared" ref="I34:X34" si="25">SUM(I5:I33)</f>
        <v>865798</v>
      </c>
      <c r="J34" s="162">
        <v>0</v>
      </c>
      <c r="K34" s="162">
        <f>SUM(K2:K33)</f>
        <v>131712</v>
      </c>
      <c r="L34" s="162">
        <v>0</v>
      </c>
      <c r="M34" s="162">
        <f>SUM(M2:M33)</f>
        <v>118760</v>
      </c>
      <c r="N34" s="162">
        <v>0</v>
      </c>
      <c r="O34" s="162">
        <f>SUM(O2:O33)</f>
        <v>135986</v>
      </c>
      <c r="P34" s="162">
        <v>0</v>
      </c>
      <c r="Q34" s="162">
        <f>SUM(Q2:Q33)</f>
        <v>173151</v>
      </c>
      <c r="R34" s="162">
        <v>0</v>
      </c>
      <c r="S34" s="162">
        <f>SUM(S2:S33)</f>
        <v>147338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163000</v>
      </c>
      <c r="X34" s="162">
        <f t="shared" si="25"/>
        <v>794357</v>
      </c>
      <c r="Y34" s="162">
        <f>SUM(Y2:Y33)</f>
        <v>92140</v>
      </c>
      <c r="Z34" s="162">
        <f>SUM(Z2:Z33)</f>
        <v>120076.89495359999</v>
      </c>
      <c r="AA34" s="162">
        <f>SUM(AA2:AA33)</f>
        <v>474273.08423039992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f t="shared" ref="B18:B33" si="2">B18</f>
        <v>17344006</v>
      </c>
      <c r="C19" s="55">
        <f t="shared" si="1"/>
        <v>0</v>
      </c>
    </row>
    <row r="20" spans="1:9" ht="24" thickBot="1" x14ac:dyDescent="0.4">
      <c r="A20" s="10">
        <v>44334</v>
      </c>
      <c r="B20" s="157">
        <f t="shared" si="2"/>
        <v>17344006</v>
      </c>
      <c r="C20" s="55">
        <f t="shared" si="1"/>
        <v>0</v>
      </c>
    </row>
    <row r="21" spans="1:9" ht="24" thickBot="1" x14ac:dyDescent="0.4">
      <c r="A21" s="10">
        <v>44335</v>
      </c>
      <c r="B21" s="157">
        <f t="shared" si="2"/>
        <v>17344006</v>
      </c>
      <c r="C21" s="55">
        <f t="shared" si="1"/>
        <v>0</v>
      </c>
    </row>
    <row r="22" spans="1:9" ht="24" thickBot="1" x14ac:dyDescent="0.4">
      <c r="A22" s="10">
        <v>44336</v>
      </c>
      <c r="B22" s="157">
        <f t="shared" si="2"/>
        <v>17344006</v>
      </c>
      <c r="C22" s="55">
        <f t="shared" si="1"/>
        <v>0</v>
      </c>
    </row>
    <row r="23" spans="1:9" ht="24" thickBot="1" x14ac:dyDescent="0.4">
      <c r="A23" s="10">
        <v>44337</v>
      </c>
      <c r="B23" s="157">
        <f t="shared" si="2"/>
        <v>17344006</v>
      </c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>
        <f t="shared" si="2"/>
        <v>17344006</v>
      </c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>
        <f t="shared" si="2"/>
        <v>17344006</v>
      </c>
      <c r="C25" s="55">
        <f t="shared" si="1"/>
        <v>0</v>
      </c>
    </row>
    <row r="26" spans="1:9" ht="24" thickBot="1" x14ac:dyDescent="0.4">
      <c r="A26" s="10">
        <v>44340</v>
      </c>
      <c r="B26" s="157">
        <f t="shared" si="2"/>
        <v>17344006</v>
      </c>
      <c r="C26" s="55">
        <f t="shared" si="1"/>
        <v>0</v>
      </c>
    </row>
    <row r="27" spans="1:9" ht="24" thickBot="1" x14ac:dyDescent="0.4">
      <c r="A27" s="10">
        <v>44341</v>
      </c>
      <c r="B27" s="157">
        <f t="shared" si="2"/>
        <v>17344006</v>
      </c>
      <c r="C27" s="55">
        <f t="shared" si="1"/>
        <v>0</v>
      </c>
    </row>
    <row r="28" spans="1:9" ht="24" thickBot="1" x14ac:dyDescent="0.4">
      <c r="A28" s="10">
        <v>44342</v>
      </c>
      <c r="B28" s="157">
        <f t="shared" si="2"/>
        <v>17344006</v>
      </c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>
        <f t="shared" si="2"/>
        <v>17344006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17344006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17344006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17344006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17344006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28445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pane xSplit="1" topLeftCell="B1" activePane="topRight" state="frozen"/>
      <selection pane="topRight" activeCell="A18" sqref="A18:XFD1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20489.561000000002</v>
      </c>
      <c r="C19" s="54" t="str">
        <f>IF((B19-B18)&lt;0,"0",(B19-B18))</f>
        <v>0</v>
      </c>
      <c r="D19" s="38">
        <f t="shared" si="15"/>
        <v>0</v>
      </c>
      <c r="E19" s="1">
        <f t="shared" ref="E18:E33" si="29">E18</f>
        <v>3576.875</v>
      </c>
      <c r="F19" s="54">
        <f t="shared" si="16"/>
        <v>0</v>
      </c>
      <c r="G19" s="38">
        <f t="shared" si="17"/>
        <v>0</v>
      </c>
      <c r="H19" s="1">
        <f t="shared" ref="H18:H33" si="30">H18</f>
        <v>3053</v>
      </c>
      <c r="I19" s="54">
        <f t="shared" si="18"/>
        <v>0</v>
      </c>
      <c r="J19" s="38">
        <f t="shared" si="19"/>
        <v>0</v>
      </c>
      <c r="K19" s="7">
        <f t="shared" ref="K18:K33" si="31">K18</f>
        <v>13379.52</v>
      </c>
      <c r="L19" s="54">
        <f t="shared" si="20"/>
        <v>0</v>
      </c>
      <c r="M19" s="38">
        <f t="shared" si="21"/>
        <v>0</v>
      </c>
      <c r="N19" s="7">
        <f t="shared" ref="N18:N33" si="32">N18</f>
        <v>3031.8980000000001</v>
      </c>
      <c r="O19" s="54">
        <f t="shared" si="22"/>
        <v>0</v>
      </c>
      <c r="P19" s="38">
        <f t="shared" si="26"/>
        <v>0</v>
      </c>
      <c r="Q19" s="7">
        <f t="shared" si="28"/>
        <v>4783.3599999999997</v>
      </c>
      <c r="R19" s="54">
        <f t="shared" si="23"/>
        <v>0</v>
      </c>
      <c r="S19" s="38">
        <f t="shared" si="24"/>
        <v>0</v>
      </c>
      <c r="T19" s="8">
        <f t="shared" si="27"/>
        <v>0</v>
      </c>
      <c r="U19" s="40">
        <f t="shared" si="25"/>
        <v>0</v>
      </c>
    </row>
    <row r="20" spans="1:24" ht="16.5" thickBot="1" x14ac:dyDescent="0.25">
      <c r="A20" s="10">
        <v>44334</v>
      </c>
      <c r="B20" s="1">
        <v>20489.561000000002</v>
      </c>
      <c r="C20" s="54">
        <f t="shared" si="14"/>
        <v>0</v>
      </c>
      <c r="D20" s="38">
        <f t="shared" si="15"/>
        <v>0</v>
      </c>
      <c r="E20" s="1">
        <f t="shared" si="29"/>
        <v>3576.875</v>
      </c>
      <c r="F20" s="54">
        <f t="shared" si="16"/>
        <v>0</v>
      </c>
      <c r="G20" s="38">
        <f t="shared" si="17"/>
        <v>0</v>
      </c>
      <c r="H20" s="1">
        <f t="shared" si="30"/>
        <v>3053</v>
      </c>
      <c r="I20" s="54">
        <f t="shared" si="18"/>
        <v>0</v>
      </c>
      <c r="J20" s="38">
        <f t="shared" si="19"/>
        <v>0</v>
      </c>
      <c r="K20" s="7">
        <f t="shared" si="31"/>
        <v>13379.52</v>
      </c>
      <c r="L20" s="54">
        <f t="shared" si="20"/>
        <v>0</v>
      </c>
      <c r="M20" s="38">
        <f t="shared" si="21"/>
        <v>0</v>
      </c>
      <c r="N20" s="7">
        <f t="shared" si="32"/>
        <v>3031.8980000000001</v>
      </c>
      <c r="O20" s="54">
        <f t="shared" si="22"/>
        <v>0</v>
      </c>
      <c r="P20" s="38">
        <f t="shared" si="26"/>
        <v>0</v>
      </c>
      <c r="Q20" s="7">
        <f t="shared" si="28"/>
        <v>4783.3599999999997</v>
      </c>
      <c r="R20" s="54">
        <v>0</v>
      </c>
      <c r="S20" s="38">
        <f t="shared" si="24"/>
        <v>0</v>
      </c>
      <c r="T20" s="8">
        <f t="shared" si="27"/>
        <v>0</v>
      </c>
      <c r="U20" s="40">
        <f t="shared" si="25"/>
        <v>0</v>
      </c>
      <c r="X20" t="s">
        <v>12</v>
      </c>
    </row>
    <row r="21" spans="1:24" ht="16.5" thickBot="1" x14ac:dyDescent="0.25">
      <c r="A21" s="10">
        <v>44335</v>
      </c>
      <c r="B21" s="1">
        <v>20489.561000000002</v>
      </c>
      <c r="C21" s="54">
        <f t="shared" si="14"/>
        <v>0</v>
      </c>
      <c r="D21" s="38">
        <f t="shared" si="15"/>
        <v>0</v>
      </c>
      <c r="E21" s="1">
        <f t="shared" si="29"/>
        <v>3576.875</v>
      </c>
      <c r="F21" s="54">
        <f t="shared" si="16"/>
        <v>0</v>
      </c>
      <c r="G21" s="38">
        <f t="shared" si="17"/>
        <v>0</v>
      </c>
      <c r="H21" s="1">
        <f t="shared" si="30"/>
        <v>3053</v>
      </c>
      <c r="I21" s="54">
        <f t="shared" si="18"/>
        <v>0</v>
      </c>
      <c r="J21" s="38">
        <f t="shared" si="19"/>
        <v>0</v>
      </c>
      <c r="K21" s="7">
        <f t="shared" si="31"/>
        <v>13379.52</v>
      </c>
      <c r="L21" s="54">
        <f t="shared" si="20"/>
        <v>0</v>
      </c>
      <c r="M21" s="38">
        <f t="shared" si="21"/>
        <v>0</v>
      </c>
      <c r="N21" s="7">
        <f t="shared" si="32"/>
        <v>3031.8980000000001</v>
      </c>
      <c r="O21" s="54">
        <f t="shared" si="22"/>
        <v>0</v>
      </c>
      <c r="P21" s="38">
        <f t="shared" si="26"/>
        <v>0</v>
      </c>
      <c r="Q21" s="7">
        <f t="shared" si="28"/>
        <v>4783.3599999999997</v>
      </c>
      <c r="R21" s="54">
        <f t="shared" si="23"/>
        <v>0</v>
      </c>
      <c r="S21" s="38">
        <f t="shared" si="24"/>
        <v>0</v>
      </c>
      <c r="T21" s="8">
        <f t="shared" si="27"/>
        <v>0</v>
      </c>
      <c r="U21" s="40">
        <f t="shared" si="25"/>
        <v>0</v>
      </c>
    </row>
    <row r="22" spans="1:24" ht="16.5" thickBot="1" x14ac:dyDescent="0.25">
      <c r="A22" s="10">
        <v>44336</v>
      </c>
      <c r="B22" s="1">
        <v>20489.561000000002</v>
      </c>
      <c r="C22" s="54">
        <f t="shared" si="14"/>
        <v>0</v>
      </c>
      <c r="D22" s="38">
        <f t="shared" si="15"/>
        <v>0</v>
      </c>
      <c r="E22" s="1">
        <f t="shared" si="29"/>
        <v>3576.875</v>
      </c>
      <c r="F22" s="54">
        <f t="shared" si="16"/>
        <v>0</v>
      </c>
      <c r="G22" s="38">
        <f t="shared" si="17"/>
        <v>0</v>
      </c>
      <c r="H22" s="1">
        <f t="shared" si="30"/>
        <v>3053</v>
      </c>
      <c r="I22" s="54">
        <f t="shared" si="18"/>
        <v>0</v>
      </c>
      <c r="J22" s="38">
        <f t="shared" si="19"/>
        <v>0</v>
      </c>
      <c r="K22" s="7">
        <f t="shared" si="31"/>
        <v>13379.52</v>
      </c>
      <c r="L22" s="54">
        <f t="shared" si="20"/>
        <v>0</v>
      </c>
      <c r="M22" s="38">
        <f t="shared" si="21"/>
        <v>0</v>
      </c>
      <c r="N22" s="7">
        <f t="shared" si="32"/>
        <v>3031.8980000000001</v>
      </c>
      <c r="O22" s="54">
        <f t="shared" si="22"/>
        <v>0</v>
      </c>
      <c r="P22" s="38">
        <f t="shared" si="26"/>
        <v>0</v>
      </c>
      <c r="Q22" s="7">
        <f t="shared" si="28"/>
        <v>4783.3599999999997</v>
      </c>
      <c r="R22" s="54">
        <f t="shared" si="23"/>
        <v>0</v>
      </c>
      <c r="S22" s="38">
        <f t="shared" si="24"/>
        <v>0</v>
      </c>
      <c r="T22" s="8">
        <f t="shared" si="27"/>
        <v>0</v>
      </c>
      <c r="U22" s="40">
        <f t="shared" si="25"/>
        <v>0</v>
      </c>
    </row>
    <row r="23" spans="1:24" ht="16.5" thickBot="1" x14ac:dyDescent="0.25">
      <c r="A23" s="10">
        <v>44337</v>
      </c>
      <c r="B23" s="1">
        <v>20489.561000000002</v>
      </c>
      <c r="C23" s="54">
        <f t="shared" si="14"/>
        <v>0</v>
      </c>
      <c r="D23" s="38">
        <f t="shared" si="15"/>
        <v>0</v>
      </c>
      <c r="E23" s="1">
        <f t="shared" si="29"/>
        <v>3576.875</v>
      </c>
      <c r="F23" s="54">
        <f t="shared" si="16"/>
        <v>0</v>
      </c>
      <c r="G23" s="38">
        <f t="shared" si="17"/>
        <v>0</v>
      </c>
      <c r="H23" s="1">
        <f t="shared" si="30"/>
        <v>3053</v>
      </c>
      <c r="I23" s="54">
        <f t="shared" si="18"/>
        <v>0</v>
      </c>
      <c r="J23" s="38">
        <f t="shared" si="19"/>
        <v>0</v>
      </c>
      <c r="K23" s="7">
        <f t="shared" si="31"/>
        <v>13379.52</v>
      </c>
      <c r="L23" s="54">
        <f t="shared" si="20"/>
        <v>0</v>
      </c>
      <c r="M23" s="38">
        <f t="shared" si="21"/>
        <v>0</v>
      </c>
      <c r="N23" s="7">
        <f t="shared" si="32"/>
        <v>3031.8980000000001</v>
      </c>
      <c r="O23" s="54">
        <f t="shared" si="22"/>
        <v>0</v>
      </c>
      <c r="P23" s="38">
        <f t="shared" si="26"/>
        <v>0</v>
      </c>
      <c r="Q23" s="7">
        <f t="shared" si="28"/>
        <v>4783.3599999999997</v>
      </c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>
        <v>20489.561000000002</v>
      </c>
      <c r="C24" s="54">
        <f t="shared" si="14"/>
        <v>0</v>
      </c>
      <c r="D24" s="38">
        <f t="shared" si="15"/>
        <v>0</v>
      </c>
      <c r="E24" s="1">
        <f t="shared" si="29"/>
        <v>3576.875</v>
      </c>
      <c r="F24" s="54">
        <f t="shared" si="16"/>
        <v>0</v>
      </c>
      <c r="G24" s="38">
        <f t="shared" si="17"/>
        <v>0</v>
      </c>
      <c r="H24" s="1">
        <f t="shared" si="30"/>
        <v>3053</v>
      </c>
      <c r="I24" s="54">
        <f t="shared" si="18"/>
        <v>0</v>
      </c>
      <c r="J24" s="38">
        <f t="shared" si="19"/>
        <v>0</v>
      </c>
      <c r="K24" s="7">
        <f t="shared" si="31"/>
        <v>13379.52</v>
      </c>
      <c r="L24" s="54">
        <f t="shared" si="20"/>
        <v>0</v>
      </c>
      <c r="M24" s="38">
        <f t="shared" si="21"/>
        <v>0</v>
      </c>
      <c r="N24" s="7">
        <f t="shared" si="32"/>
        <v>3031.8980000000001</v>
      </c>
      <c r="O24" s="54">
        <f t="shared" si="22"/>
        <v>0</v>
      </c>
      <c r="P24" s="38">
        <f t="shared" si="26"/>
        <v>0</v>
      </c>
      <c r="Q24" s="7">
        <f t="shared" si="28"/>
        <v>4783.3599999999997</v>
      </c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>
        <v>20489.561000000002</v>
      </c>
      <c r="C25" s="54">
        <f t="shared" si="14"/>
        <v>0</v>
      </c>
      <c r="D25" s="38">
        <f t="shared" si="15"/>
        <v>0</v>
      </c>
      <c r="E25" s="1">
        <f t="shared" si="29"/>
        <v>3576.875</v>
      </c>
      <c r="F25" s="54">
        <f t="shared" si="16"/>
        <v>0</v>
      </c>
      <c r="G25" s="38">
        <f t="shared" si="17"/>
        <v>0</v>
      </c>
      <c r="H25" s="1">
        <f t="shared" si="30"/>
        <v>3053</v>
      </c>
      <c r="I25" s="54">
        <f t="shared" si="18"/>
        <v>0</v>
      </c>
      <c r="J25" s="38">
        <f t="shared" si="19"/>
        <v>0</v>
      </c>
      <c r="K25" s="7">
        <f t="shared" si="31"/>
        <v>13379.52</v>
      </c>
      <c r="L25" s="54">
        <f t="shared" si="20"/>
        <v>0</v>
      </c>
      <c r="M25" s="38">
        <f t="shared" si="21"/>
        <v>0</v>
      </c>
      <c r="N25" s="7">
        <f t="shared" si="32"/>
        <v>3031.8980000000001</v>
      </c>
      <c r="O25" s="54">
        <f t="shared" si="22"/>
        <v>0</v>
      </c>
      <c r="P25" s="38">
        <f t="shared" si="26"/>
        <v>0</v>
      </c>
      <c r="Q25" s="7">
        <f t="shared" si="28"/>
        <v>4783.3599999999997</v>
      </c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>
        <v>20489.561000000002</v>
      </c>
      <c r="C26" s="54">
        <f t="shared" si="14"/>
        <v>0</v>
      </c>
      <c r="D26" s="38">
        <f t="shared" si="15"/>
        <v>0</v>
      </c>
      <c r="E26" s="1">
        <f t="shared" si="29"/>
        <v>3576.875</v>
      </c>
      <c r="F26" s="54">
        <f t="shared" si="16"/>
        <v>0</v>
      </c>
      <c r="G26" s="38">
        <f t="shared" si="17"/>
        <v>0</v>
      </c>
      <c r="H26" s="1">
        <f t="shared" si="30"/>
        <v>3053</v>
      </c>
      <c r="I26" s="54">
        <f t="shared" si="18"/>
        <v>0</v>
      </c>
      <c r="J26" s="38">
        <f t="shared" si="19"/>
        <v>0</v>
      </c>
      <c r="K26" s="7">
        <f t="shared" si="31"/>
        <v>13379.52</v>
      </c>
      <c r="L26" s="54">
        <f t="shared" si="20"/>
        <v>0</v>
      </c>
      <c r="M26" s="38">
        <f t="shared" si="21"/>
        <v>0</v>
      </c>
      <c r="N26" s="7">
        <f t="shared" si="32"/>
        <v>3031.8980000000001</v>
      </c>
      <c r="O26" s="54">
        <f t="shared" si="22"/>
        <v>0</v>
      </c>
      <c r="P26" s="38">
        <f t="shared" si="26"/>
        <v>0</v>
      </c>
      <c r="Q26" s="7">
        <f t="shared" si="28"/>
        <v>4783.3599999999997</v>
      </c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>
        <v>20489.561000000002</v>
      </c>
      <c r="C27" s="54">
        <f t="shared" si="14"/>
        <v>0</v>
      </c>
      <c r="D27" s="38">
        <f t="shared" si="15"/>
        <v>0</v>
      </c>
      <c r="E27" s="1">
        <f t="shared" si="29"/>
        <v>3576.875</v>
      </c>
      <c r="F27" s="54">
        <f t="shared" si="16"/>
        <v>0</v>
      </c>
      <c r="G27" s="38">
        <f t="shared" si="17"/>
        <v>0</v>
      </c>
      <c r="H27" s="1">
        <f t="shared" si="30"/>
        <v>3053</v>
      </c>
      <c r="I27" s="54">
        <f t="shared" si="18"/>
        <v>0</v>
      </c>
      <c r="J27" s="38">
        <f t="shared" si="19"/>
        <v>0</v>
      </c>
      <c r="K27" s="7">
        <f t="shared" si="31"/>
        <v>13379.52</v>
      </c>
      <c r="L27" s="54">
        <f t="shared" si="20"/>
        <v>0</v>
      </c>
      <c r="M27" s="38">
        <f t="shared" si="21"/>
        <v>0</v>
      </c>
      <c r="N27" s="7">
        <f t="shared" si="32"/>
        <v>3031.8980000000001</v>
      </c>
      <c r="O27" s="54">
        <f t="shared" si="22"/>
        <v>0</v>
      </c>
      <c r="P27" s="38">
        <f t="shared" si="26"/>
        <v>0</v>
      </c>
      <c r="Q27" s="7">
        <f t="shared" si="28"/>
        <v>4783.3599999999997</v>
      </c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>
        <v>20489.561000000002</v>
      </c>
      <c r="C28" s="54">
        <f t="shared" si="14"/>
        <v>0</v>
      </c>
      <c r="D28" s="38">
        <f t="shared" si="15"/>
        <v>0</v>
      </c>
      <c r="E28" s="1">
        <f t="shared" si="29"/>
        <v>3576.875</v>
      </c>
      <c r="F28" s="54">
        <f t="shared" si="16"/>
        <v>0</v>
      </c>
      <c r="G28" s="38">
        <f t="shared" si="17"/>
        <v>0</v>
      </c>
      <c r="H28" s="1">
        <f t="shared" si="30"/>
        <v>3053</v>
      </c>
      <c r="I28" s="54">
        <f t="shared" si="18"/>
        <v>0</v>
      </c>
      <c r="J28" s="38">
        <f t="shared" si="19"/>
        <v>0</v>
      </c>
      <c r="K28" s="7">
        <f t="shared" si="31"/>
        <v>13379.52</v>
      </c>
      <c r="L28" s="54">
        <f t="shared" si="20"/>
        <v>0</v>
      </c>
      <c r="M28" s="38">
        <f t="shared" si="21"/>
        <v>0</v>
      </c>
      <c r="N28" s="7">
        <f t="shared" si="32"/>
        <v>3031.8980000000001</v>
      </c>
      <c r="O28" s="54">
        <f t="shared" si="22"/>
        <v>0</v>
      </c>
      <c r="P28" s="38">
        <f t="shared" si="26"/>
        <v>0</v>
      </c>
      <c r="Q28" s="7">
        <f t="shared" si="28"/>
        <v>4783.3599999999997</v>
      </c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>
        <v>20489.561000000002</v>
      </c>
      <c r="C29" s="54">
        <f t="shared" si="14"/>
        <v>0</v>
      </c>
      <c r="D29" s="38">
        <f t="shared" si="15"/>
        <v>0</v>
      </c>
      <c r="E29" s="1">
        <f t="shared" si="29"/>
        <v>3576.875</v>
      </c>
      <c r="F29" s="54">
        <f t="shared" si="16"/>
        <v>0</v>
      </c>
      <c r="G29" s="38">
        <f t="shared" si="17"/>
        <v>0</v>
      </c>
      <c r="H29" s="1">
        <f t="shared" si="30"/>
        <v>3053</v>
      </c>
      <c r="I29" s="54">
        <f t="shared" si="18"/>
        <v>0</v>
      </c>
      <c r="J29" s="38">
        <f t="shared" si="19"/>
        <v>0</v>
      </c>
      <c r="K29" s="7">
        <f t="shared" si="31"/>
        <v>13379.52</v>
      </c>
      <c r="L29" s="54">
        <f t="shared" si="20"/>
        <v>0</v>
      </c>
      <c r="M29" s="38">
        <f t="shared" si="21"/>
        <v>0</v>
      </c>
      <c r="N29" s="7">
        <f t="shared" si="32"/>
        <v>3031.8980000000001</v>
      </c>
      <c r="O29" s="54">
        <f t="shared" si="22"/>
        <v>0</v>
      </c>
      <c r="P29" s="38">
        <f t="shared" si="26"/>
        <v>0</v>
      </c>
      <c r="Q29" s="7">
        <f t="shared" si="28"/>
        <v>4783.3599999999997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9"/>
        <v>3576.875</v>
      </c>
      <c r="F30" s="54">
        <f t="shared" si="16"/>
        <v>0</v>
      </c>
      <c r="G30" s="38">
        <f t="shared" si="17"/>
        <v>0</v>
      </c>
      <c r="H30" s="1">
        <f t="shared" si="30"/>
        <v>3053</v>
      </c>
      <c r="I30" s="54">
        <f t="shared" si="18"/>
        <v>0</v>
      </c>
      <c r="J30" s="38">
        <f t="shared" si="19"/>
        <v>0</v>
      </c>
      <c r="K30" s="7">
        <f t="shared" si="31"/>
        <v>13379.52</v>
      </c>
      <c r="L30" s="54">
        <f t="shared" si="20"/>
        <v>0</v>
      </c>
      <c r="M30" s="38">
        <f t="shared" si="21"/>
        <v>0</v>
      </c>
      <c r="N30" s="7">
        <f t="shared" si="32"/>
        <v>3031.8980000000001</v>
      </c>
      <c r="O30" s="54">
        <f t="shared" si="22"/>
        <v>0</v>
      </c>
      <c r="P30" s="38">
        <f t="shared" si="26"/>
        <v>0</v>
      </c>
      <c r="Q30" s="7">
        <f t="shared" si="28"/>
        <v>4783.3599999999997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3576.875</v>
      </c>
      <c r="F31" s="54">
        <f t="shared" si="16"/>
        <v>0</v>
      </c>
      <c r="G31" s="38">
        <f t="shared" si="17"/>
        <v>0</v>
      </c>
      <c r="H31" s="1">
        <f t="shared" si="30"/>
        <v>3053</v>
      </c>
      <c r="I31" s="54">
        <f t="shared" si="18"/>
        <v>0</v>
      </c>
      <c r="J31" s="38">
        <f t="shared" si="19"/>
        <v>0</v>
      </c>
      <c r="K31" s="7">
        <f t="shared" si="31"/>
        <v>13379.52</v>
      </c>
      <c r="L31" s="54">
        <f t="shared" si="20"/>
        <v>0</v>
      </c>
      <c r="M31" s="38">
        <f t="shared" si="21"/>
        <v>0</v>
      </c>
      <c r="N31" s="7">
        <f t="shared" si="32"/>
        <v>3031.8980000000001</v>
      </c>
      <c r="O31" s="54">
        <f t="shared" si="22"/>
        <v>0</v>
      </c>
      <c r="P31" s="38">
        <f t="shared" si="26"/>
        <v>0</v>
      </c>
      <c r="Q31" s="7">
        <f t="shared" si="28"/>
        <v>4783.3599999999997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3576.875</v>
      </c>
      <c r="F32" s="54">
        <f t="shared" si="16"/>
        <v>0</v>
      </c>
      <c r="G32" s="38">
        <f t="shared" si="17"/>
        <v>0</v>
      </c>
      <c r="H32" s="1">
        <f t="shared" si="30"/>
        <v>3053</v>
      </c>
      <c r="I32" s="54">
        <f t="shared" si="18"/>
        <v>0</v>
      </c>
      <c r="J32" s="38">
        <f t="shared" si="19"/>
        <v>0</v>
      </c>
      <c r="K32" s="7">
        <f t="shared" si="31"/>
        <v>13379.52</v>
      </c>
      <c r="L32" s="54">
        <f t="shared" si="20"/>
        <v>0</v>
      </c>
      <c r="M32" s="38">
        <f t="shared" si="21"/>
        <v>0</v>
      </c>
      <c r="N32" s="7">
        <f t="shared" si="32"/>
        <v>3031.8980000000001</v>
      </c>
      <c r="O32" s="54">
        <f t="shared" si="22"/>
        <v>0</v>
      </c>
      <c r="P32" s="38">
        <f t="shared" si="26"/>
        <v>0</v>
      </c>
      <c r="Q32" s="7">
        <f t="shared" si="28"/>
        <v>4783.3599999999997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3576.875</v>
      </c>
      <c r="F33" s="54">
        <f t="shared" si="16"/>
        <v>0</v>
      </c>
      <c r="G33" s="38">
        <f t="shared" si="17"/>
        <v>0</v>
      </c>
      <c r="H33" s="1">
        <f t="shared" si="30"/>
        <v>3053</v>
      </c>
      <c r="I33" s="54">
        <f t="shared" si="18"/>
        <v>0</v>
      </c>
      <c r="J33" s="38">
        <f t="shared" si="19"/>
        <v>0</v>
      </c>
      <c r="K33" s="7">
        <f t="shared" si="31"/>
        <v>13379.52</v>
      </c>
      <c r="L33" s="54">
        <f t="shared" si="20"/>
        <v>0</v>
      </c>
      <c r="M33" s="38">
        <f t="shared" si="21"/>
        <v>0</v>
      </c>
      <c r="N33" s="7">
        <f t="shared" si="32"/>
        <v>3031.8980000000001</v>
      </c>
      <c r="O33" s="54">
        <f t="shared" si="22"/>
        <v>0</v>
      </c>
      <c r="P33" s="38">
        <f t="shared" si="26"/>
        <v>0</v>
      </c>
      <c r="Q33" s="7">
        <f t="shared" si="28"/>
        <v>4783.3599999999997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293948.99999999837</v>
      </c>
      <c r="E34" s="162">
        <v>0</v>
      </c>
      <c r="F34" s="162">
        <f>SUM(F2:F33)</f>
        <v>26.875</v>
      </c>
      <c r="G34" s="162">
        <f>SUM(G2:G33)</f>
        <v>51845.299999999632</v>
      </c>
      <c r="H34" s="162"/>
      <c r="I34" s="162">
        <f>SUM(I2:I33)</f>
        <v>136</v>
      </c>
      <c r="J34" s="162">
        <f>SUM(J2:J33)</f>
        <v>252700</v>
      </c>
      <c r="K34" s="162"/>
      <c r="L34" s="162">
        <f>SUM(L2:L33)</f>
        <v>30.010000000000218</v>
      </c>
      <c r="M34" s="162">
        <f>SUM(M2:M33)</f>
        <v>53617.999999998756</v>
      </c>
      <c r="N34" s="162"/>
      <c r="O34" s="162">
        <f>SUM(O2:O33)</f>
        <v>19.537000000000262</v>
      </c>
      <c r="P34" s="162">
        <f>SUM(P2:P33)</f>
        <v>37120.30000000049</v>
      </c>
      <c r="Q34" s="162"/>
      <c r="R34" s="162">
        <f>SUM(R2:R33)</f>
        <v>31.599999999999454</v>
      </c>
      <c r="S34" s="162">
        <f>SUM(S2:S33)</f>
        <v>59308.499999998545</v>
      </c>
      <c r="T34" s="162">
        <f>SUM(T2:T33)</f>
        <v>401.85099999999784</v>
      </c>
      <c r="U34" s="162">
        <f>SUM(U2:U33)</f>
        <v>763516.89999999583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330553</v>
      </c>
      <c r="D2" s="110">
        <f>C2*1.27</f>
        <v>419802.31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25924968</v>
      </c>
      <c r="K3" s="105">
        <f>J3-I3</f>
        <v>210706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81992107</v>
      </c>
      <c r="K4" s="105">
        <f>J4-I4</f>
        <v>751381</v>
      </c>
    </row>
    <row r="5" spans="1:11" ht="13.5" thickBot="1" x14ac:dyDescent="0.25">
      <c r="A5" s="108"/>
      <c r="B5" s="114" t="s">
        <v>27</v>
      </c>
      <c r="C5" s="118">
        <f>(K10+K12)*0.842284+K26</f>
        <v>406365.02399200003</v>
      </c>
      <c r="D5" s="118">
        <f t="shared" ref="D5:D11" si="0">C5*1.27</f>
        <v>516083.58046984003</v>
      </c>
      <c r="E5" s="119"/>
      <c r="F5" s="108"/>
      <c r="G5" s="108"/>
      <c r="H5" s="114" t="s">
        <v>23</v>
      </c>
      <c r="I5" s="120"/>
      <c r="J5" s="120"/>
      <c r="K5" s="145">
        <f>K3+K4</f>
        <v>962087</v>
      </c>
    </row>
    <row r="6" spans="1:11" ht="13.5" thickBot="1" x14ac:dyDescent="0.25">
      <c r="A6" s="108"/>
      <c r="B6" s="114" t="s">
        <v>99</v>
      </c>
      <c r="C6" s="118">
        <f>(K10+K12+K26)*0.1488</f>
        <v>71575.478399999993</v>
      </c>
      <c r="D6" s="118">
        <f t="shared" si="0"/>
        <v>90900.857567999992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8003146</v>
      </c>
      <c r="K6" s="105">
        <f>J6-I6</f>
        <v>86174</v>
      </c>
    </row>
    <row r="7" spans="1:11" ht="13.5" thickBot="1" x14ac:dyDescent="0.25">
      <c r="A7" s="108"/>
      <c r="B7" s="114" t="s">
        <v>101</v>
      </c>
      <c r="C7" s="118">
        <f>(K6+K7)-(C8+C9+C10+C11+K26)</f>
        <v>121062</v>
      </c>
      <c r="D7" s="118">
        <f t="shared" si="0"/>
        <v>153748.74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8003180</v>
      </c>
      <c r="K7" s="105">
        <f>J7-I7</f>
        <v>72022</v>
      </c>
    </row>
    <row r="8" spans="1:11" ht="13.5" thickBot="1" x14ac:dyDescent="0.25">
      <c r="A8" s="108"/>
      <c r="B8" s="114" t="s">
        <v>103</v>
      </c>
      <c r="C8" s="118">
        <f>K21+K22+K23+K24</f>
        <v>16981</v>
      </c>
      <c r="D8" s="118">
        <f t="shared" si="0"/>
        <v>21565.87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5136611</v>
      </c>
      <c r="K8" s="105">
        <f>(J8-I8)*2</f>
        <v>135986</v>
      </c>
    </row>
    <row r="9" spans="1:11" ht="13.5" thickBot="1" x14ac:dyDescent="0.25">
      <c r="A9" s="108"/>
      <c r="B9" s="114" t="s">
        <v>137</v>
      </c>
      <c r="C9" s="118">
        <f>K25+K16+K17</f>
        <v>2291</v>
      </c>
      <c r="D9" s="118">
        <f t="shared" si="0"/>
        <v>2909.57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3361023</v>
      </c>
      <c r="K9" s="105">
        <f>J9-I9</f>
        <v>173151</v>
      </c>
    </row>
    <row r="10" spans="1:11" ht="13.5" thickBot="1" x14ac:dyDescent="0.25">
      <c r="A10" s="108"/>
      <c r="B10" s="114" t="s">
        <v>106</v>
      </c>
      <c r="C10" s="118">
        <f>K18</f>
        <v>8000</v>
      </c>
      <c r="D10" s="118">
        <f t="shared" si="0"/>
        <v>10160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17407046</v>
      </c>
      <c r="K10" s="105">
        <f>J10-I10</f>
        <v>147338</v>
      </c>
    </row>
    <row r="11" spans="1:11" ht="13.5" thickBot="1" x14ac:dyDescent="0.25">
      <c r="A11" s="108"/>
      <c r="B11" s="114" t="s">
        <v>108</v>
      </c>
      <c r="C11" s="118">
        <f>K19+K20</f>
        <v>2182</v>
      </c>
      <c r="D11" s="118">
        <f t="shared" si="0"/>
        <v>2771.14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5060522</v>
      </c>
      <c r="K12" s="105">
        <f>(J12-I12)*2</f>
        <v>326000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940671</v>
      </c>
    </row>
    <row r="14" spans="1:11" ht="13.5" thickBot="1" x14ac:dyDescent="0.25">
      <c r="A14" s="108"/>
      <c r="B14" s="114" t="s">
        <v>42</v>
      </c>
      <c r="C14" s="118">
        <f>K29</f>
        <v>10320</v>
      </c>
      <c r="D14" s="126">
        <f t="shared" ref="D14:D22" si="1">C14*10.03</f>
        <v>103509.59999999999</v>
      </c>
      <c r="E14" s="127"/>
      <c r="F14" s="108"/>
      <c r="G14" s="108"/>
      <c r="H14" s="114" t="s">
        <v>114</v>
      </c>
      <c r="I14" s="123"/>
      <c r="J14" s="124"/>
      <c r="K14" s="106">
        <f>K5-K13</f>
        <v>21416</v>
      </c>
    </row>
    <row r="15" spans="1:11" ht="13.5" thickBot="1" x14ac:dyDescent="0.25">
      <c r="A15" s="108"/>
      <c r="B15" s="114" t="s">
        <v>115</v>
      </c>
      <c r="C15" s="128">
        <f>K30</f>
        <v>50.868000000000002</v>
      </c>
      <c r="D15" s="126">
        <f t="shared" si="1"/>
        <v>510.20603999999997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586.39559759999997</v>
      </c>
      <c r="D16" s="126">
        <f t="shared" si="1"/>
        <v>5881.5478439279996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3634</v>
      </c>
      <c r="K16" s="107">
        <f>(J16-I16)*160</f>
        <v>2240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24932</v>
      </c>
      <c r="K18" s="107">
        <f>(J18-I18)*160</f>
        <v>8000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103933</v>
      </c>
      <c r="K19" s="107">
        <f>J19-I19</f>
        <v>2182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45257</v>
      </c>
      <c r="K21" s="107">
        <f>(J21-I21)*120</f>
        <v>8640</v>
      </c>
    </row>
    <row r="22" spans="1:11" ht="13.5" thickBot="1" x14ac:dyDescent="0.25">
      <c r="A22" s="108"/>
      <c r="B22" s="114" t="s">
        <v>119</v>
      </c>
      <c r="C22" s="126">
        <f>C14-(C15+C16+C17+C18+C19+C20+C21)</f>
        <v>3862.7364023999999</v>
      </c>
      <c r="D22" s="126">
        <f t="shared" si="1"/>
        <v>38743.246116071998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39513</v>
      </c>
      <c r="K22" s="107">
        <f>(J22-I22)*160</f>
        <v>6560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20365</v>
      </c>
      <c r="K23" s="107">
        <f>(J23-I23)*20</f>
        <v>980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241586</v>
      </c>
      <c r="K24" s="107">
        <f>J24-I24</f>
        <v>801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215497</v>
      </c>
      <c r="K25" s="107">
        <f>J25-I25</f>
        <v>51</v>
      </c>
    </row>
    <row r="26" spans="1:11" ht="13.5" thickBot="1" x14ac:dyDescent="0.25">
      <c r="A26" s="108"/>
      <c r="B26" s="114" t="s">
        <v>42</v>
      </c>
      <c r="C26" s="132">
        <f>K35</f>
        <v>28445</v>
      </c>
      <c r="D26" s="118">
        <f>C26*3.65</f>
        <v>103824.25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18199</v>
      </c>
      <c r="K26" s="107">
        <f>(J26-I26)*160</f>
        <v>7680</v>
      </c>
    </row>
    <row r="27" spans="1:11" ht="13.5" thickBot="1" x14ac:dyDescent="0.25">
      <c r="A27" s="108"/>
      <c r="B27" s="109" t="s">
        <v>124</v>
      </c>
      <c r="C27" s="132">
        <f>C26</f>
        <v>28445</v>
      </c>
      <c r="D27" s="118">
        <f>C27*3.65</f>
        <v>103824.25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410890</v>
      </c>
      <c r="K29" s="107">
        <f>(J29-I29)*10</f>
        <v>10320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732442</v>
      </c>
      <c r="K30" s="107">
        <f>(J30-I30)*0.027</f>
        <v>50.868000000000002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4349600</v>
      </c>
      <c r="K31" s="107">
        <f>(J31-I31)*0.027</f>
        <v>4930.2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3038600</v>
      </c>
      <c r="K32" s="107">
        <f>(J32-I32)*0.027</f>
        <v>5718.6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17344006</v>
      </c>
      <c r="K35" s="138">
        <f>J35-I35</f>
        <v>28445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5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5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7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7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6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6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5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5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7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7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6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6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5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5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7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7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6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6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5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5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7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7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6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6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5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5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7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7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6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6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5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5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7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7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6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6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5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5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7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7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6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6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5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5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7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7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6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6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5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5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7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7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6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6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5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5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7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7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6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6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5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5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7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7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6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6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5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5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7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7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6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6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5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5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7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7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6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6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5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5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7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7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6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6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5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5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7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7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5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5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7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7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5">
        <v>23</v>
      </c>
      <c r="D49" s="71" t="s">
        <v>83</v>
      </c>
      <c r="E49" s="88"/>
      <c r="F49" s="88"/>
      <c r="G49" s="73">
        <f t="shared" si="0"/>
        <v>0</v>
      </c>
      <c r="H49" s="74"/>
      <c r="J49" s="175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7"/>
      <c r="D50" s="71" t="s">
        <v>82</v>
      </c>
      <c r="E50" s="88"/>
      <c r="F50" s="88"/>
      <c r="G50" s="73">
        <f t="shared" si="0"/>
        <v>0</v>
      </c>
      <c r="H50" s="74"/>
      <c r="J50" s="177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8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8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9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9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0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80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5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5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6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6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5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5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6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6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5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5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6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6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5">
        <v>28</v>
      </c>
      <c r="D62" s="184" t="s">
        <v>86</v>
      </c>
      <c r="E62" s="72"/>
      <c r="F62" s="72"/>
      <c r="G62" s="73"/>
      <c r="H62" s="186" t="s">
        <v>87</v>
      </c>
      <c r="I62" s="78"/>
      <c r="J62" s="175">
        <v>28</v>
      </c>
      <c r="K62" s="184" t="s">
        <v>86</v>
      </c>
      <c r="L62" s="72"/>
      <c r="M62" s="72"/>
      <c r="N62" s="73"/>
      <c r="O62" s="186" t="s">
        <v>87</v>
      </c>
    </row>
    <row r="63" spans="1:15" ht="15" x14ac:dyDescent="0.2">
      <c r="A63" s="78"/>
      <c r="B63" s="67"/>
      <c r="C63" s="176"/>
      <c r="D63" s="185"/>
      <c r="E63" s="72"/>
      <c r="F63" s="72"/>
      <c r="G63" s="73"/>
      <c r="H63" s="187"/>
      <c r="I63" s="78"/>
      <c r="J63" s="176"/>
      <c r="K63" s="185"/>
      <c r="L63" s="72"/>
      <c r="M63" s="72"/>
      <c r="N63" s="73"/>
      <c r="O63" s="187"/>
    </row>
    <row r="64" spans="1:15" x14ac:dyDescent="0.2">
      <c r="A64" s="78"/>
      <c r="B64" s="67"/>
      <c r="C64" s="188" t="s">
        <v>88</v>
      </c>
      <c r="D64" s="188"/>
      <c r="E64" s="188"/>
      <c r="F64" s="188"/>
      <c r="G64" s="93">
        <f>SUM(G2:G63)</f>
        <v>36510</v>
      </c>
      <c r="H64" s="94"/>
      <c r="I64" s="78"/>
      <c r="J64" s="188" t="s">
        <v>88</v>
      </c>
      <c r="K64" s="188"/>
      <c r="L64" s="188"/>
      <c r="M64" s="188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9">
        <v>44256</v>
      </c>
      <c r="C69" s="190"/>
      <c r="D69" s="190"/>
      <c r="E69" s="191"/>
      <c r="F69" s="97"/>
      <c r="G69" s="189">
        <v>44287</v>
      </c>
      <c r="H69" s="190"/>
      <c r="I69" s="190"/>
      <c r="J69" s="191"/>
      <c r="K69" s="97"/>
      <c r="L69" s="181" t="s">
        <v>25</v>
      </c>
      <c r="M69" s="182"/>
      <c r="N69" s="182"/>
      <c r="O69" s="183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2021-05-17T01:12:38Z</dcterms:modified>
</cp:coreProperties>
</file>