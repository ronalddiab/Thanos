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1 - 2020" sheetId="1" r:id="rId3"/>
  </sheets>
  <definedNames>
    <definedName name="_xlnm.Print_Area" localSheetId="2">'01 - 2020'!$A$1:$J$37</definedName>
  </definedNames>
  <calcPr calcId="162913" calcMode="manual"/>
</workbook>
</file>

<file path=xl/calcChain.xml><?xml version="1.0" encoding="utf-8"?>
<calcChain xmlns="http://schemas.openxmlformats.org/spreadsheetml/2006/main"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L25" i="3"/>
  <c r="K25" i="3"/>
  <c r="I25" i="3"/>
  <c r="G25" i="3"/>
  <c r="E25" i="3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I39" i="1" l="1"/>
  <c r="H39" i="1"/>
  <c r="K38" i="1"/>
  <c r="J38" i="1"/>
  <c r="I38" i="1"/>
  <c r="H38" i="1"/>
  <c r="G38" i="1"/>
  <c r="F38" i="1"/>
  <c r="E38" i="1"/>
  <c r="D38" i="1"/>
  <c r="C38" i="1"/>
  <c r="B38" i="1"/>
  <c r="E2" i="3" l="1"/>
  <c r="E2" i="2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L7" i="3"/>
  <c r="K7" i="3"/>
  <c r="I7" i="3"/>
  <c r="G7" i="3"/>
  <c r="E7" i="3"/>
  <c r="L6" i="3"/>
  <c r="K6" i="3"/>
  <c r="I6" i="3"/>
  <c r="G6" i="3"/>
  <c r="E6" i="3"/>
  <c r="L5" i="3"/>
  <c r="K5" i="3"/>
  <c r="I5" i="3"/>
  <c r="G5" i="3"/>
  <c r="E5" i="3"/>
  <c r="L4" i="3"/>
  <c r="K4" i="3"/>
  <c r="I4" i="3"/>
  <c r="G4" i="3"/>
  <c r="E4" i="3"/>
  <c r="L3" i="3"/>
  <c r="K3" i="3"/>
  <c r="I3" i="3"/>
  <c r="G3" i="3"/>
  <c r="E3" i="3"/>
  <c r="L2" i="3"/>
  <c r="K2" i="3"/>
  <c r="I2" i="3"/>
  <c r="G2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J8" i="2"/>
  <c r="I8" i="2"/>
  <c r="H8" i="2"/>
  <c r="F8" i="2"/>
  <c r="E8" i="2"/>
  <c r="J7" i="2"/>
  <c r="I7" i="2"/>
  <c r="H7" i="2"/>
  <c r="F7" i="2"/>
  <c r="E7" i="2"/>
  <c r="J6" i="2"/>
  <c r="I6" i="2"/>
  <c r="H6" i="2"/>
  <c r="F6" i="2"/>
  <c r="E6" i="2"/>
  <c r="J5" i="2"/>
  <c r="I5" i="2"/>
  <c r="H5" i="2"/>
  <c r="F5" i="2"/>
  <c r="E5" i="2"/>
  <c r="J4" i="2"/>
  <c r="I4" i="2"/>
  <c r="H4" i="2"/>
  <c r="F4" i="2"/>
  <c r="E4" i="2"/>
  <c r="J3" i="2"/>
  <c r="I3" i="2"/>
  <c r="H3" i="2"/>
  <c r="F3" i="2"/>
  <c r="E3" i="2"/>
  <c r="J2" i="2"/>
  <c r="I2" i="2"/>
  <c r="H2" i="2"/>
  <c r="F2" i="2"/>
  <c r="L19" i="3" l="1"/>
  <c r="K19" i="3"/>
  <c r="I19" i="3"/>
  <c r="G19" i="3"/>
  <c r="E19" i="3"/>
  <c r="J19" i="2"/>
  <c r="I19" i="2"/>
  <c r="H19" i="2"/>
  <c r="F19" i="2"/>
  <c r="E19" i="2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<sst xmlns="http://schemas.openxmlformats.org/spreadsheetml/2006/main" count="106" uniqueCount="37">
  <si>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</si>
  <si>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</si>
  <si>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</si>
  <si>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</si>
  <si>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</si>
  <si>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</si>
  <si>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</si>
  <si>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</si>
  <si>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</si>
  <si>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</si>
  <si>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</si>
  <si>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</si>
  <si>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</si>
  <si>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</si>
  <si>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</si>
  <si>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</si>
  <si>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</si>
  <si>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</si>
  <si>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</si>
  <si>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</si>
  <si>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</si>
  <si>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</si>
  <si>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</si>
  <si>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</si>
  <si>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</si>
  <si>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</si>
  <si>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</si>
  <si>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</si>
  <si>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</si>
  <si>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</si>
  <si>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</si>
  <si>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</si>
  <si>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</si>
  <si>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</si>
  <si>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</si>
  <si>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</si>
  <si>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JANUARY'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</si>
</sst>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P32" sqref="P3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</v>
      </c>
      <c r="D2">
        <v>2020</v>
      </c>
      <c r="E2" s="27">
        <f>'01 - 2020'!B7-'01 - 2020'!B6+'01 - 2020'!C7-'01 - 2020'!C6</f>
        <v>10889</v>
      </c>
      <c r="F2" s="25">
        <v>0.11799999999999999</v>
      </c>
      <c r="G2" s="27">
        <f>(('01 - 2020'!E7-'01 - 2020'!E6)+('01 - 2020'!F7-'01 - 2020'!F6)+('01 - 2020'!G7-'01 - 2020'!G6))*1.81</f>
        <v>134.89930000000078</v>
      </c>
      <c r="H2" s="25">
        <v>0.99</v>
      </c>
      <c r="I2" s="27">
        <f>'01 - 2020'!J7-'01 - 2020'!J6</f>
        <v>15860</v>
      </c>
      <c r="J2" s="25">
        <v>8.1000000000000003E-2</v>
      </c>
      <c r="K2" s="27">
        <f>'01 - 2020'!H7-'01 - 2020'!H6</f>
        <v>0</v>
      </c>
      <c r="L2" s="27">
        <f>'01 - 2020'!I7-'01 - 2020'!I6</f>
        <v>134</v>
      </c>
      <c r="M2" s="26">
        <v>4.393629424766913</v>
      </c>
      <c r="N2" s="6">
        <v>102</v>
      </c>
    </row>
    <row r="3" spans="1:15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'01 - 2020'!B8-'01 - 2020'!B7+'01 - 2020'!C8-'01 - 2020'!C7</f>
        <v>9755</v>
      </c>
      <c r="F3" s="25">
        <v>0.11799999999999999</v>
      </c>
      <c r="G3" s="27">
        <f>(('01 - 2020'!E8-'01 - 2020'!E7)+('01 - 2020'!F8-'01 - 2020'!F7)+('01 - 2020'!G8-'01 - 2020'!G7))*1.81</f>
        <v>118.12060000000039</v>
      </c>
      <c r="H3" s="25">
        <v>0.99</v>
      </c>
      <c r="I3" s="27">
        <f>'01 - 2020'!J8-'01 - 2020'!J7</f>
        <v>13014</v>
      </c>
      <c r="J3" s="25">
        <v>8.1000000000000003E-2</v>
      </c>
      <c r="K3" s="27">
        <f>'01 - 2020'!H8-'01 - 2020'!H7</f>
        <v>0</v>
      </c>
      <c r="L3" s="27">
        <f>'01 - 2020'!I8-'01 - 2020'!I7</f>
        <v>102</v>
      </c>
      <c r="M3" s="26">
        <v>4.393629424766913</v>
      </c>
      <c r="N3" s="6">
        <v>95</v>
      </c>
    </row>
    <row r="4" spans="1:15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'01 - 2020'!B9-'01 - 2020'!B8+'01 - 2020'!C9-'01 - 2020'!C8</f>
        <v>10558</v>
      </c>
      <c r="F4" s="25">
        <v>0.11799999999999999</v>
      </c>
      <c r="G4" s="27">
        <f>(('01 - 2020'!E9-'01 - 2020'!E8)+('01 - 2020'!F9-'01 - 2020'!F8)+('01 - 2020'!G9-'01 - 2020'!G8))*1.81</f>
        <v>127.67739999999665</v>
      </c>
      <c r="H4" s="25">
        <v>0.99</v>
      </c>
      <c r="I4" s="27">
        <f>'01 - 2020'!J9-'01 - 2020'!J8</f>
        <v>15817</v>
      </c>
      <c r="J4" s="25">
        <v>8.1000000000000003E-2</v>
      </c>
      <c r="K4" s="27">
        <f>'01 - 2020'!H9-'01 - 2020'!H8</f>
        <v>0</v>
      </c>
      <c r="L4" s="27">
        <f>'01 - 2020'!I9-'01 - 2020'!I8</f>
        <v>121</v>
      </c>
      <c r="M4" s="26">
        <v>4.393629424766913</v>
      </c>
      <c r="N4" s="6">
        <v>98</v>
      </c>
    </row>
    <row r="5" spans="1:15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'01 - 2020'!B10-'01 - 2020'!B9+'01 - 2020'!C10-'01 - 2020'!C9</f>
        <v>9133</v>
      </c>
      <c r="F5" s="25">
        <v>0.11799999999999999</v>
      </c>
      <c r="G5" s="27">
        <f>(('01 - 2020'!E10-'01 - 2020'!E9)+('01 - 2020'!F10-'01 - 2020'!F9)+('01 - 2020'!G10-'01 - 2020'!G9))*1.81</f>
        <v>120.63650000000264</v>
      </c>
      <c r="H5" s="25">
        <v>0.99</v>
      </c>
      <c r="I5" s="27">
        <f>'01 - 2020'!J10-'01 - 2020'!J9</f>
        <v>13828</v>
      </c>
      <c r="J5" s="25">
        <v>8.1000000000000003E-2</v>
      </c>
      <c r="K5" s="27">
        <f>'01 - 2020'!H10-'01 - 2020'!H9</f>
        <v>0</v>
      </c>
      <c r="L5" s="27">
        <f>'01 - 2020'!I10-'01 - 2020'!I9</f>
        <v>131</v>
      </c>
      <c r="M5" s="26">
        <v>4.393629424766913</v>
      </c>
      <c r="N5" s="6">
        <v>98</v>
      </c>
    </row>
    <row r="6" spans="1:15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'01 - 2020'!B11-'01 - 2020'!B10+'01 - 2020'!C11-'01 - 2020'!C10</f>
        <v>11038</v>
      </c>
      <c r="F6" s="25">
        <v>0.11799999999999999</v>
      </c>
      <c r="G6" s="27">
        <f>(('01 - 2020'!E11-'01 - 2020'!E10)+('01 - 2020'!F11-'01 - 2020'!F10)+('01 - 2020'!G11-'01 - 2020'!G10))*1.81</f>
        <v>135.20699999999843</v>
      </c>
      <c r="H6" s="25">
        <v>0.99</v>
      </c>
      <c r="I6" s="27">
        <f>'01 - 2020'!J11-'01 - 2020'!J10</f>
        <v>15830</v>
      </c>
      <c r="J6" s="25">
        <v>8.1000000000000003E-2</v>
      </c>
      <c r="K6" s="27">
        <f>'01 - 2020'!H11-'01 - 2020'!H10</f>
        <v>0</v>
      </c>
      <c r="L6" s="27">
        <f>'01 - 2020'!I11-'01 - 2020'!I10</f>
        <v>114</v>
      </c>
      <c r="M6" s="26">
        <v>4.393629424766913</v>
      </c>
      <c r="N6" s="15">
        <v>93</v>
      </c>
    </row>
    <row r="7" spans="1:15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'01 - 2020'!B12-'01 - 2020'!B11+'01 - 2020'!C12-'01 - 2020'!C11</f>
        <v>8005</v>
      </c>
      <c r="F7" s="25">
        <v>0.11799999999999999</v>
      </c>
      <c r="G7" s="27">
        <f>(('01 - 2020'!E12-'01 - 2020'!E11)+('01 - 2020'!F12-'01 - 2020'!F11)+('01 - 2020'!G12-'01 - 2020'!G11))*1.81</f>
        <v>108.47330000000177</v>
      </c>
      <c r="H7" s="25">
        <v>0.99</v>
      </c>
      <c r="I7" s="27">
        <f>'01 - 2020'!J12-'01 - 2020'!J11</f>
        <v>12533</v>
      </c>
      <c r="J7" s="25">
        <v>8.1000000000000003E-2</v>
      </c>
      <c r="K7" s="27">
        <f>'01 - 2020'!H12-'01 - 2020'!H11</f>
        <v>0</v>
      </c>
      <c r="L7" s="27">
        <f>'01 - 2020'!I12-'01 - 2020'!I11</f>
        <v>86</v>
      </c>
      <c r="M7" s="26">
        <v>4.393629424766913</v>
      </c>
      <c r="N7" s="6">
        <v>92</v>
      </c>
    </row>
    <row r="8" spans="1:15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'01 - 2020'!B13-'01 - 2020'!B12+'01 - 2020'!C13-'01 - 2020'!C12</f>
        <v>10338</v>
      </c>
      <c r="F8" s="25">
        <v>0.11799999999999999</v>
      </c>
      <c r="G8" s="27">
        <f>(('01 - 2020'!E13-'01 - 2020'!E12)+('01 - 2020'!F13-'01 - 2020'!F12)+('01 - 2020'!G13-'01 - 2020'!G12))*1.81</f>
        <v>126.5370999999985</v>
      </c>
      <c r="H8" s="25">
        <v>0.99</v>
      </c>
      <c r="I8" s="27">
        <f>'01 - 2020'!J13-'01 - 2020'!J12</f>
        <v>13748</v>
      </c>
      <c r="J8" s="25">
        <v>8.1000000000000003E-2</v>
      </c>
      <c r="K8" s="27">
        <f>'01 - 2020'!H13-'01 - 2020'!H12</f>
        <v>0</v>
      </c>
      <c r="L8" s="27">
        <f>'01 - 2020'!I13-'01 - 2020'!I12</f>
        <v>104</v>
      </c>
      <c r="M8" s="26">
        <v>4.393629424766913</v>
      </c>
      <c r="N8" s="6">
        <v>82</v>
      </c>
    </row>
    <row r="9" spans="1:15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'01 - 2020'!B14-'01 - 2020'!B13+'01 - 2020'!C14-'01 - 2020'!C13</f>
        <v>10955</v>
      </c>
      <c r="F9" s="25">
        <v>0.11799999999999999</v>
      </c>
      <c r="G9" s="27">
        <f>(('01 - 2020'!E14-'01 - 2020'!E13)+('01 - 2020'!F14-'01 - 2020'!F13)+('01 - 2020'!G14-'01 - 2020'!G13))*1.81</f>
        <v>140.5465000000014</v>
      </c>
      <c r="H9" s="25">
        <v>0.99</v>
      </c>
      <c r="I9" s="27">
        <f>'01 - 2020'!J14-'01 - 2020'!J13</f>
        <v>13550</v>
      </c>
      <c r="J9" s="25">
        <v>8.1000000000000003E-2</v>
      </c>
      <c r="K9" s="27">
        <f>'01 - 2020'!H14-'01 - 2020'!H13</f>
        <v>0</v>
      </c>
      <c r="L9" s="27">
        <f>'01 - 2020'!I14-'01 - 2020'!I13</f>
        <v>143</v>
      </c>
      <c r="M9" s="26">
        <v>4.393629424766913</v>
      </c>
      <c r="N9" s="6">
        <v>90</v>
      </c>
    </row>
    <row r="10" spans="1:15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'01 - 2020'!B15-'01 - 2020'!B14+'01 - 2020'!C15-'01 - 2020'!C14</f>
        <v>9277</v>
      </c>
      <c r="F10" s="25">
        <v>0.11799999999999999</v>
      </c>
      <c r="G10" s="27">
        <f>(('01 - 2020'!E15-'01 - 2020'!E14)+('01 - 2020'!F15-'01 - 2020'!F14)+('01 - 2020'!G15-'01 - 2020'!G14))*1.81</f>
        <v>109.23349999999819</v>
      </c>
      <c r="H10" s="25">
        <v>0.99</v>
      </c>
      <c r="I10" s="27">
        <f>'01 - 2020'!J15-'01 - 2020'!J14</f>
        <v>12626</v>
      </c>
      <c r="J10" s="25">
        <v>8.1000000000000003E-2</v>
      </c>
      <c r="K10" s="27">
        <f>'01 - 2020'!H15-'01 - 2020'!H14</f>
        <v>0</v>
      </c>
      <c r="L10" s="27">
        <f>'01 - 2020'!I15-'01 - 2020'!I14</f>
        <v>129</v>
      </c>
      <c r="M10" s="26">
        <v>4.393629424766913</v>
      </c>
      <c r="N10" s="6">
        <v>97</v>
      </c>
    </row>
    <row r="11" spans="1:15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'01 - 2020'!B16-'01 - 2020'!B15+'01 - 2020'!C16-'01 - 2020'!C15</f>
        <v>10340</v>
      </c>
      <c r="F11" s="25">
        <v>0.11799999999999999</v>
      </c>
      <c r="G11" s="27">
        <f>(('01 - 2020'!E16-'01 - 2020'!E15)+('01 - 2020'!F16-'01 - 2020'!F15)+('01 - 2020'!G16-'01 - 2020'!G15))*1.81</f>
        <v>126.17509999999966</v>
      </c>
      <c r="H11" s="25">
        <v>0.99</v>
      </c>
      <c r="I11" s="27">
        <f>'01 - 2020'!J16-'01 - 2020'!J15</f>
        <v>13336</v>
      </c>
      <c r="J11" s="25">
        <v>8.1000000000000003E-2</v>
      </c>
      <c r="K11" s="27">
        <f>'01 - 2020'!H16-'01 - 2020'!H15</f>
        <v>0</v>
      </c>
      <c r="L11" s="27">
        <f>'01 - 2020'!I16-'01 - 2020'!I15</f>
        <v>108</v>
      </c>
      <c r="M11" s="26">
        <v>4.393629424766913</v>
      </c>
      <c r="N11" s="6">
        <v>103</v>
      </c>
    </row>
    <row r="12" spans="1:15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'01 - 2020'!B17-'01 - 2020'!B16+'01 - 2020'!C17-'01 - 2020'!C16</f>
        <v>10158</v>
      </c>
      <c r="F12" s="25">
        <v>0.11799999999999999</v>
      </c>
      <c r="G12" s="27">
        <f>(('01 - 2020'!E17-'01 - 2020'!E16)+('01 - 2020'!F17-'01 - 2020'!F16)+('01 - 2020'!G17-'01 - 2020'!G16))*1.81</f>
        <v>132.65490000000116</v>
      </c>
      <c r="H12" s="25">
        <v>0.99</v>
      </c>
      <c r="I12" s="27">
        <f>'01 - 2020'!J17-'01 - 2020'!J16</f>
        <v>11452</v>
      </c>
      <c r="J12" s="25">
        <v>8.1000000000000003E-2</v>
      </c>
      <c r="K12" s="27">
        <f>'01 - 2020'!H17-'01 - 2020'!H16</f>
        <v>0</v>
      </c>
      <c r="L12" s="27">
        <f>'01 - 2020'!I17-'01 - 2020'!I16</f>
        <v>104</v>
      </c>
      <c r="M12" s="26">
        <v>4.393629424766913</v>
      </c>
      <c r="N12" s="6">
        <v>92</v>
      </c>
    </row>
    <row r="13" spans="1:15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'01 - 2020'!B18-'01 - 2020'!B17+'01 - 2020'!C18-'01 - 2020'!C17</f>
        <v>9054</v>
      </c>
      <c r="F13" s="25">
        <v>0.11799999999999999</v>
      </c>
      <c r="G13" s="27">
        <f>(('01 - 2020'!E18-'01 - 2020'!E17)+('01 - 2020'!F18-'01 - 2020'!F17)+('01 - 2020'!G18-'01 - 2020'!G17))*1.81</f>
        <v>136.36539999999863</v>
      </c>
      <c r="H13" s="25">
        <v>0.99</v>
      </c>
      <c r="I13" s="27">
        <f>'01 - 2020'!J18-'01 - 2020'!J17</f>
        <v>12944</v>
      </c>
      <c r="J13" s="25">
        <v>8.1000000000000003E-2</v>
      </c>
      <c r="K13" s="27">
        <f>'01 - 2020'!H18-'01 - 2020'!H17</f>
        <v>0</v>
      </c>
      <c r="L13" s="27">
        <f>'01 - 2020'!I18-'01 - 2020'!I17</f>
        <v>145</v>
      </c>
      <c r="M13" s="26">
        <v>4.393629424766913</v>
      </c>
      <c r="N13" s="6">
        <v>93</v>
      </c>
    </row>
    <row r="14" spans="1:15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'01 - 2020'!B19-'01 - 2020'!B18+'01 - 2020'!C19-'01 - 2020'!C18</f>
        <v>11278</v>
      </c>
      <c r="F14" s="25">
        <v>0.11799999999999999</v>
      </c>
      <c r="G14" s="27">
        <f>(('01 - 2020'!E19-'01 - 2020'!E18)+('01 - 2020'!F19-'01 - 2020'!F18)+('01 - 2020'!G19-'01 - 2020'!G18))*1.81</f>
        <v>127.55070000000252</v>
      </c>
      <c r="H14" s="25">
        <v>0.99</v>
      </c>
      <c r="I14" s="27">
        <f>'01 - 2020'!J19-'01 - 2020'!J18</f>
        <v>10250</v>
      </c>
      <c r="J14" s="25">
        <v>8.1000000000000003E-2</v>
      </c>
      <c r="K14" s="27">
        <f>'01 - 2020'!H19-'01 - 2020'!H18</f>
        <v>0</v>
      </c>
      <c r="L14" s="27">
        <f>'01 - 2020'!I19-'01 - 2020'!I18</f>
        <v>119</v>
      </c>
      <c r="M14" s="26">
        <v>4.393629424766913</v>
      </c>
      <c r="N14" s="6">
        <v>87</v>
      </c>
      <c r="O14" s="27"/>
    </row>
    <row r="15" spans="1:15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'01 - 2020'!B20-'01 - 2020'!B19+'01 - 2020'!C20-'01 - 2020'!C19</f>
        <v>8995</v>
      </c>
      <c r="F15" s="25">
        <v>0.11799999999999999</v>
      </c>
      <c r="G15" s="27">
        <f>(('01 - 2020'!E20-'01 - 2020'!E19)+('01 - 2020'!F20-'01 - 2020'!F19)+('01 - 2020'!G20-'01 - 2020'!G19))*1.81</f>
        <v>140.74559999999792</v>
      </c>
      <c r="H15" s="25">
        <v>0.99</v>
      </c>
      <c r="I15" s="27">
        <f>'01 - 2020'!J20-'01 - 2020'!J19</f>
        <v>10298</v>
      </c>
      <c r="J15" s="25">
        <v>8.1000000000000003E-2</v>
      </c>
      <c r="K15" s="27">
        <f>'01 - 2020'!H20-'01 - 2020'!H19</f>
        <v>0</v>
      </c>
      <c r="L15" s="27">
        <f>'01 - 2020'!I20-'01 - 2020'!I19</f>
        <v>86</v>
      </c>
      <c r="M15" s="26">
        <v>4.393629424766913</v>
      </c>
      <c r="N15" s="6">
        <v>104</v>
      </c>
    </row>
    <row r="16" spans="1:15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'01 - 2020'!B21-'01 - 2020'!B20+'01 - 2020'!C21-'01 - 2020'!C20</f>
        <v>10716</v>
      </c>
      <c r="F16" s="25">
        <v>0.11799999999999999</v>
      </c>
      <c r="G16" s="27">
        <f>(('01 - 2020'!E21-'01 - 2020'!E20)+('01 - 2020'!F21-'01 - 2020'!F20)+('01 - 2020'!G21-'01 - 2020'!G20))*1.81</f>
        <v>131.62320000000128</v>
      </c>
      <c r="H16" s="25">
        <v>0.99</v>
      </c>
      <c r="I16" s="27">
        <f>'01 - 2020'!J21-'01 - 2020'!J20</f>
        <v>11818</v>
      </c>
      <c r="J16" s="25">
        <v>8.1000000000000003E-2</v>
      </c>
      <c r="K16" s="27">
        <f>'01 - 2020'!H21-'01 - 2020'!H20</f>
        <v>0</v>
      </c>
      <c r="L16" s="27">
        <f>'01 - 2020'!I21-'01 - 2020'!I20</f>
        <v>109</v>
      </c>
      <c r="M16" s="26">
        <v>4.393629424766913</v>
      </c>
      <c r="N16" s="6">
        <v>101</v>
      </c>
    </row>
    <row r="17" spans="1:16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'01 - 2020'!B22-'01 - 2020'!B21+'01 - 2020'!C22-'01 - 2020'!C21</f>
        <v>9357</v>
      </c>
      <c r="F17" s="25">
        <v>0.11799999999999999</v>
      </c>
      <c r="G17" s="27">
        <f>(('01 - 2020'!E22-'01 - 2020'!E21)+('01 - 2020'!F22-'01 - 2020'!F21)+('01 - 2020'!G22-'01 - 2020'!G21))*1.81</f>
        <v>128.52810000000164</v>
      </c>
      <c r="H17" s="25">
        <v>0.99</v>
      </c>
      <c r="I17" s="27">
        <f>'01 - 2020'!J22-'01 - 2020'!J21</f>
        <v>9701</v>
      </c>
      <c r="J17" s="25">
        <v>8.1000000000000003E-2</v>
      </c>
      <c r="K17" s="27">
        <f>'01 - 2020'!H22-'01 - 2020'!H21</f>
        <v>0</v>
      </c>
      <c r="L17" s="27">
        <f>'01 - 2020'!I22-'01 - 2020'!I21</f>
        <v>115</v>
      </c>
      <c r="M17" s="26">
        <v>4.393629424766913</v>
      </c>
      <c r="N17" s="27">
        <v>99</v>
      </c>
    </row>
    <row r="18" spans="1:16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'01 - 2020'!B23-'01 - 2020'!B22+'01 - 2020'!C23-'01 - 2020'!C22</f>
        <v>9833</v>
      </c>
      <c r="F18" s="25">
        <v>0.11799999999999999</v>
      </c>
      <c r="G18" s="27">
        <f>(('01 - 2020'!E23-'01 - 2020'!E22)+('01 - 2020'!F23-'01 - 2020'!F22)+('01 - 2020'!G23-'01 - 2020'!G22))*1.81</f>
        <v>137.75909999999735</v>
      </c>
      <c r="H18" s="25">
        <v>0.99</v>
      </c>
      <c r="I18" s="27">
        <f>'01 - 2020'!J23-'01 - 2020'!J22</f>
        <v>9402</v>
      </c>
      <c r="J18" s="25">
        <v>8.1000000000000003E-2</v>
      </c>
      <c r="K18" s="27">
        <f>'01 - 2020'!H23-'01 - 2020'!H22</f>
        <v>0</v>
      </c>
      <c r="L18" s="27">
        <f>'01 - 2020'!I23-'01 - 2020'!I22</f>
        <v>138</v>
      </c>
      <c r="M18" s="26">
        <v>4.393629424766913</v>
      </c>
      <c r="N18" s="27">
        <v>101</v>
      </c>
    </row>
    <row r="19" spans="1:16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'01 - 2020'!B24-'01 - 2020'!B23+'01 - 2020'!C24-'01 - 2020'!C23</f>
        <v>10912</v>
      </c>
      <c r="F19" s="25">
        <v>0.11799999999999999</v>
      </c>
      <c r="G19" s="27">
        <f>(('01 - 2020'!E24-'01 - 2020'!E23)+('01 - 2020'!F24-'01 - 2020'!F23)+('01 - 2020'!G24-'01 - 2020'!G23))*1.81</f>
        <v>144.70950000000133</v>
      </c>
      <c r="H19" s="25">
        <v>0.99</v>
      </c>
      <c r="I19" s="27">
        <f>'01 - 2020'!J24-'01 - 2020'!J23</f>
        <v>12128</v>
      </c>
      <c r="J19" s="25">
        <v>8.1000000000000003E-2</v>
      </c>
      <c r="K19" s="27">
        <f>'01 - 2020'!H24-'01 - 2020'!H23</f>
        <v>0</v>
      </c>
      <c r="L19" s="27">
        <f>'01 - 2020'!I24-'01 - 2020'!I23</f>
        <v>124</v>
      </c>
      <c r="M19" s="26">
        <v>4.393629424766913</v>
      </c>
      <c r="N19" s="27">
        <v>99</v>
      </c>
    </row>
    <row r="20" spans="1:16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'01 - 2020'!B25-'01 - 2020'!B24+'01 - 2020'!C25-'01 - 2020'!C24</f>
        <v>10224</v>
      </c>
      <c r="F20" s="25">
        <v>0.11799999999999999</v>
      </c>
      <c r="G20" s="27">
        <f>(('01 - 2020'!E25-'01 - 2020'!E24)+('01 - 2020'!F25-'01 - 2020'!F24)+('01 - 2020'!G25-'01 - 2020'!G24))*1.81</f>
        <v>137.92200000000051</v>
      </c>
      <c r="H20" s="25">
        <v>0.99</v>
      </c>
      <c r="I20" s="27">
        <f>'01 - 2020'!J25-'01 - 2020'!J24</f>
        <v>12589</v>
      </c>
      <c r="J20" s="25">
        <v>8.1000000000000003E-2</v>
      </c>
      <c r="K20" s="27">
        <f>'01 - 2020'!H25-'01 - 2020'!H24</f>
        <v>0</v>
      </c>
      <c r="L20" s="27">
        <f>'01 - 2020'!I25-'01 - 2020'!I24</f>
        <v>110</v>
      </c>
      <c r="M20" s="26">
        <v>4.393629424766913</v>
      </c>
      <c r="N20" s="27">
        <v>89</v>
      </c>
    </row>
    <row r="21" spans="1:16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'01 - 2020'!B26-'01 - 2020'!B25+'01 - 2020'!C26-'01 - 2020'!C25</f>
        <v>7695</v>
      </c>
      <c r="F21" s="25">
        <v>0.11799999999999999</v>
      </c>
      <c r="G21" s="27">
        <f>(('01 - 2020'!E26-'01 - 2020'!E25)+('01 - 2020'!F26-'01 - 2020'!F25)+('01 - 2020'!G26-'01 - 2020'!G25))*1.81</f>
        <v>97.830499999998281</v>
      </c>
      <c r="H21" s="25">
        <v>0.99</v>
      </c>
      <c r="I21" s="27">
        <f>'01 - 2020'!J26-'01 - 2020'!J25</f>
        <v>9353</v>
      </c>
      <c r="J21" s="25">
        <v>8.1000000000000003E-2</v>
      </c>
      <c r="K21" s="27">
        <f>'01 - 2020'!H26-'01 - 2020'!H25</f>
        <v>0</v>
      </c>
      <c r="L21" s="27">
        <f>'01 - 2020'!I26-'01 - 2020'!I25</f>
        <v>86</v>
      </c>
      <c r="M21" s="26">
        <v>4.393629424766913</v>
      </c>
      <c r="N21" s="6">
        <v>101</v>
      </c>
    </row>
    <row r="22" spans="1:16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'01 - 2020'!B27-'01 - 2020'!B26+'01 - 2020'!C27-'01 - 2020'!C26</f>
        <v>9597</v>
      </c>
      <c r="F22" s="25">
        <v>0.11799999999999999</v>
      </c>
      <c r="G22" s="27">
        <f>(('01 - 2020'!E27-'01 - 2020'!E26)+('01 - 2020'!F27-'01 - 2020'!F26)+('01 - 2020'!G27-'01 - 2020'!G26))*1.81</f>
        <v>126.42850000000108</v>
      </c>
      <c r="H22" s="25">
        <v>0.99</v>
      </c>
      <c r="I22" s="27">
        <f>'01 - 2020'!J27-'01 - 2020'!J26</f>
        <v>12040</v>
      </c>
      <c r="J22" s="25">
        <v>8.1000000000000003E-2</v>
      </c>
      <c r="K22" s="27">
        <f>'01 - 2020'!H27-'01 - 2020'!H26</f>
        <v>0</v>
      </c>
      <c r="L22" s="27">
        <f>'01 - 2020'!I27-'01 - 2020'!I26</f>
        <v>106</v>
      </c>
      <c r="M22" s="26">
        <v>4.393629424766913</v>
      </c>
      <c r="N22" s="6">
        <v>93</v>
      </c>
    </row>
    <row r="23" spans="1:16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'01 - 2020'!B28-'01 - 2020'!B27+'01 - 2020'!C28-'01 - 2020'!C27</f>
        <v>9621</v>
      </c>
      <c r="F23" s="25">
        <v>0.11799999999999999</v>
      </c>
      <c r="G23" s="27">
        <f>(('01 - 2020'!E28-'01 - 2020'!E27)+('01 - 2020'!F28-'01 - 2020'!F27)+('01 - 2020'!G28-'01 - 2020'!G27))*1.81</f>
        <v>119.78579999999765</v>
      </c>
      <c r="H23" s="25">
        <v>0.99</v>
      </c>
      <c r="I23" s="27">
        <f>'01 - 2020'!J28-'01 - 2020'!J27</f>
        <v>12031</v>
      </c>
      <c r="J23" s="25">
        <v>8.1000000000000003E-2</v>
      </c>
      <c r="K23" s="27">
        <f>'01 - 2020'!H28-'01 - 2020'!H27</f>
        <v>0</v>
      </c>
      <c r="L23" s="27">
        <f>'01 - 2020'!I28-'01 - 2020'!I27</f>
        <v>122</v>
      </c>
      <c r="M23" s="26">
        <v>4.393629424766913</v>
      </c>
      <c r="N23" s="6">
        <v>96</v>
      </c>
    </row>
    <row r="24" spans="1:16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'01 - 2020'!B29-'01 - 2020'!B28+'01 - 2020'!C29-'01 - 2020'!C28</f>
        <v>10124</v>
      </c>
      <c r="F24" s="25">
        <v>0.11799999999999999</v>
      </c>
      <c r="G24" s="27">
        <f>(('01 - 2020'!E29-'01 - 2020'!E28)+('01 - 2020'!F29-'01 - 2020'!F28)+('01 - 2020'!G29-'01 - 2020'!G28))*1.81</f>
        <v>124.6728000000039</v>
      </c>
      <c r="H24" s="25">
        <v>0.99</v>
      </c>
      <c r="I24" s="27">
        <f>'01 - 2020'!J29-'01 - 2020'!J28</f>
        <v>14447</v>
      </c>
      <c r="J24" s="25">
        <v>8.1000000000000003E-2</v>
      </c>
      <c r="K24" s="27">
        <f>'01 - 2020'!H29-'01 - 2020'!H28</f>
        <v>0</v>
      </c>
      <c r="L24" s="27">
        <f>'01 - 2020'!I29-'01 - 2020'!I28</f>
        <v>124</v>
      </c>
      <c r="M24" s="26">
        <v>4.393629424766913</v>
      </c>
      <c r="N24" s="6">
        <v>96</v>
      </c>
    </row>
    <row r="25" spans="1:16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'01 - 2020'!B30-'01 - 2020'!B29+'01 - 2020'!C30-'01 - 2020'!C29</f>
        <v>11231</v>
      </c>
      <c r="F25" s="25">
        <v>0.11799999999999999</v>
      </c>
      <c r="G25" s="27">
        <f>(('01 - 2020'!E30-'01 - 2020'!E29)+('01 - 2020'!F30-'01 - 2020'!F29)+('01 - 2020'!G30-'01 - 2020'!G29))*1.81</f>
        <v>107.42349999999531</v>
      </c>
      <c r="H25" s="25">
        <v>0.99</v>
      </c>
      <c r="I25" s="27">
        <f>'01 - 2020'!J30-'01 - 2020'!J29</f>
        <v>13542</v>
      </c>
      <c r="J25" s="25">
        <v>8.1000000000000003E-2</v>
      </c>
      <c r="K25" s="27">
        <f>'01 - 2020'!H30-'01 - 2020'!H29</f>
        <v>0</v>
      </c>
      <c r="L25" s="27">
        <f>'01 - 2020'!I30-'01 - 2020'!I29</f>
        <v>141</v>
      </c>
      <c r="M25" s="26">
        <v>4.393629424766913</v>
      </c>
      <c r="N25" s="6">
        <v>98</v>
      </c>
      <c r="P25" s="14"/>
    </row>
    <row r="26" spans="1:16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'01 - 2020'!B31-'01 - 2020'!B30+'01 - 2020'!C31-'01 - 2020'!C30</f>
        <v>9350</v>
      </c>
      <c r="F26" s="25">
        <v>0.11799999999999999</v>
      </c>
      <c r="G26" s="27">
        <f>(('01 - 2020'!E31-'01 - 2020'!E30)+('01 - 2020'!F31-'01 - 2020'!F30)+('01 - 2020'!G31-'01 - 2020'!G30))*1.81</f>
        <v>146.2480000000028</v>
      </c>
      <c r="H26" s="25">
        <v>0.99</v>
      </c>
      <c r="I26" s="27">
        <f>'01 - 2020'!J31-'01 - 2020'!J30</f>
        <v>12425</v>
      </c>
      <c r="J26" s="25">
        <v>8.1000000000000003E-2</v>
      </c>
      <c r="K26" s="27">
        <f>'01 - 2020'!H31-'01 - 2020'!H30</f>
        <v>0</v>
      </c>
      <c r="L26" s="27">
        <f>'01 - 2020'!I31-'01 - 2020'!I30</f>
        <v>126</v>
      </c>
      <c r="M26" s="26">
        <v>4.393629424766913</v>
      </c>
      <c r="N26" s="6">
        <v>96</v>
      </c>
    </row>
    <row r="27" spans="1:16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'01 - 2020'!B32-'01 - 2020'!B31+'01 - 2020'!C32-'01 - 2020'!C31</f>
        <v>10329</v>
      </c>
      <c r="F27" s="25">
        <v>0.11799999999999999</v>
      </c>
      <c r="G27" s="27">
        <f>(('01 - 2020'!E32-'01 - 2020'!E31)+('01 - 2020'!F32-'01 - 2020'!F31)+('01 - 2020'!G32-'01 - 2020'!G31))*1.81</f>
        <v>151.58750000000123</v>
      </c>
      <c r="H27" s="25">
        <v>0.99</v>
      </c>
      <c r="I27" s="27">
        <f>'01 - 2020'!J32-'01 - 2020'!J31</f>
        <v>12832</v>
      </c>
      <c r="J27" s="25">
        <v>8.1000000000000003E-2</v>
      </c>
      <c r="K27" s="27">
        <f>'01 - 2020'!H32-'01 - 2020'!H31</f>
        <v>0</v>
      </c>
      <c r="L27" s="27">
        <f>'01 - 2020'!I32-'01 - 2020'!I31</f>
        <v>119</v>
      </c>
      <c r="M27" s="26">
        <v>4.393629424766913</v>
      </c>
      <c r="N27" s="6">
        <v>76</v>
      </c>
    </row>
    <row r="28" spans="1:16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f>'01 - 2020'!B33-'01 - 2020'!B32+'01 - 2020'!C33-'01 - 2020'!C32</f>
        <v>8980</v>
      </c>
      <c r="F28" s="25">
        <v>0.11799999999999999</v>
      </c>
      <c r="G28" s="27">
        <f>(('01 - 2020'!E33-'01 - 2020'!E32)+('01 - 2020'!F33-'01 - 2020'!F32)+('01 - 2020'!G33-'01 - 2020'!G32))*1.81</f>
        <v>141.88589999999854</v>
      </c>
      <c r="H28" s="25">
        <v>0.99</v>
      </c>
      <c r="I28" s="27">
        <f>'01 - 2020'!J33-'01 - 2020'!J32</f>
        <v>10029</v>
      </c>
      <c r="J28" s="25">
        <v>8.1000000000000003E-2</v>
      </c>
      <c r="K28" s="27">
        <f>'01 - 2020'!H33-'01 - 2020'!H32</f>
        <v>0</v>
      </c>
      <c r="L28" s="27">
        <f>'01 - 2020'!I33-'01 - 2020'!I32</f>
        <v>114</v>
      </c>
      <c r="M28" s="26">
        <v>4.393629424766913</v>
      </c>
      <c r="N28" s="6">
        <v>90</v>
      </c>
    </row>
    <row r="29" spans="1:16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'01 - 2020'!B34-'01 - 2020'!B33+'01 - 2020'!C34-'01 - 2020'!C33</f>
        <v>10134</v>
      </c>
      <c r="F29" s="25">
        <v>0.11799999999999999</v>
      </c>
      <c r="G29" s="27">
        <f>(('01 - 2020'!E34-'01 - 2020'!E33)+('01 - 2020'!F34-'01 - 2020'!F33)+('01 - 2020'!G34-'01 - 2020'!G33))*1.81</f>
        <v>165.65120000000039</v>
      </c>
      <c r="H29" s="25">
        <v>0.99</v>
      </c>
      <c r="I29" s="27">
        <f>'01 - 2020'!J34-'01 - 2020'!J33</f>
        <v>9780</v>
      </c>
      <c r="J29" s="25">
        <v>8.1000000000000003E-2</v>
      </c>
      <c r="K29" s="27">
        <f>'01 - 2020'!H34-'01 - 2020'!H33</f>
        <v>0</v>
      </c>
      <c r="L29" s="27">
        <f>'01 - 2020'!I34-'01 - 2020'!I33</f>
        <v>144</v>
      </c>
      <c r="M29" s="26">
        <v>4.393629424766913</v>
      </c>
      <c r="N29" s="6">
        <v>98</v>
      </c>
    </row>
    <row r="30" spans="1:16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'01 - 2020'!B36-'01 - 2020'!B35+'01 - 2020'!C36-'01 - 2020'!C35</f>
        <v>0</v>
      </c>
      <c r="F31" s="25">
        <v>0.11799999999999999</v>
      </c>
      <c r="G31" s="27">
        <f>(('01 - 2020'!E36-'01 - 2020'!E35)+('01 - 2020'!F36-'01 - 2020'!F35)+('01 - 2020'!G36-'01 - 2020'!G35))*1.81</f>
        <v>0</v>
      </c>
      <c r="H31" s="25">
        <v>0.99</v>
      </c>
      <c r="I31" s="27">
        <f>'01 - 2020'!J36-'01 - 2020'!J35</f>
        <v>0</v>
      </c>
      <c r="J31" s="25">
        <v>8.1000000000000003E-2</v>
      </c>
      <c r="K31" s="27">
        <f>'01 - 2020'!H36-'01 - 2020'!H35</f>
        <v>0</v>
      </c>
      <c r="L31" s="27">
        <f>'01 - 2020'!I36-'01 - 2020'!I35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</v>
      </c>
      <c r="D32" s="25">
        <v>2020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P28" sqref="P2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</v>
      </c>
      <c r="D2">
        <v>2020</v>
      </c>
      <c r="E2" s="27">
        <f>'01 - 2020'!B7-'01 - 2020'!B6</f>
        <v>4305</v>
      </c>
      <c r="F2" s="27">
        <f>'01 - 2020'!C7-'01 - 2020'!C6</f>
        <v>6584</v>
      </c>
      <c r="G2" s="25">
        <v>0.11799999999999999</v>
      </c>
      <c r="H2" s="27">
        <f>'01 - 2020'!E7-'01 - 2020'!E6</f>
        <v>25.069999999999709</v>
      </c>
      <c r="I2" s="27">
        <f>'01 - 2020'!F7-'01 - 2020'!F6</f>
        <v>6.5099999999999909</v>
      </c>
      <c r="J2" s="27">
        <f>'01 - 2020'!G7-'01 - 2020'!G6</f>
        <v>42.950000000000728</v>
      </c>
      <c r="K2" s="25">
        <v>0.74</v>
      </c>
      <c r="L2" s="6">
        <v>102</v>
      </c>
      <c r="M2" s="12"/>
    </row>
    <row r="3" spans="1:13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'01 - 2020'!B8-'01 - 2020'!B7</f>
        <v>3775</v>
      </c>
      <c r="F3" s="27">
        <f>'01 - 2020'!C8-'01 - 2020'!C7</f>
        <v>5980</v>
      </c>
      <c r="G3" s="25">
        <v>0.11799999999999999</v>
      </c>
      <c r="H3" s="27">
        <f>'01 - 2020'!E8-'01 - 2020'!E7</f>
        <v>23.590000000000146</v>
      </c>
      <c r="I3" s="27">
        <f>'01 - 2020'!F8-'01 - 2020'!F7</f>
        <v>5.4099999999998545</v>
      </c>
      <c r="J3" s="27">
        <f>'01 - 2020'!G8-'01 - 2020'!G7</f>
        <v>36.260000000000218</v>
      </c>
      <c r="K3" s="25">
        <v>0.74</v>
      </c>
      <c r="L3" s="6">
        <v>95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'01 - 2020'!B9-'01 - 2020'!B8</f>
        <v>4072</v>
      </c>
      <c r="F4" s="27">
        <f>'01 - 2020'!C9-'01 - 2020'!C8</f>
        <v>6486</v>
      </c>
      <c r="G4" s="25">
        <v>0.11799999999999999</v>
      </c>
      <c r="H4" s="27">
        <f>'01 - 2020'!E9-'01 - 2020'!E8</f>
        <v>23.719999999999345</v>
      </c>
      <c r="I4" s="27">
        <f>'01 - 2020'!F9-'01 - 2020'!F8</f>
        <v>6.2899999999999636</v>
      </c>
      <c r="J4" s="27">
        <f>'01 - 2020'!G9-'01 - 2020'!G8</f>
        <v>40.529999999998836</v>
      </c>
      <c r="K4" s="25">
        <v>0.74</v>
      </c>
      <c r="L4" s="6">
        <v>98</v>
      </c>
      <c r="M4" s="12"/>
    </row>
    <row r="5" spans="1:13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'01 - 2020'!B10-'01 - 2020'!B9</f>
        <v>3505</v>
      </c>
      <c r="F5" s="27">
        <f>'01 - 2020'!C10-'01 - 2020'!C9</f>
        <v>5628</v>
      </c>
      <c r="G5" s="25">
        <v>0.11799999999999999</v>
      </c>
      <c r="H5" s="27">
        <f>'01 - 2020'!E10-'01 - 2020'!E9</f>
        <v>23.180000000000291</v>
      </c>
      <c r="I5" s="27">
        <f>'01 - 2020'!F10-'01 - 2020'!F9</f>
        <v>6</v>
      </c>
      <c r="J5" s="27">
        <f>'01 - 2020'!G10-'01 - 2020'!G9</f>
        <v>37.470000000001164</v>
      </c>
      <c r="K5" s="25">
        <v>0.74</v>
      </c>
      <c r="L5" s="6">
        <v>98</v>
      </c>
      <c r="M5" s="12"/>
    </row>
    <row r="6" spans="1:13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'01 - 2020'!B11-'01 - 2020'!B10</f>
        <v>4240</v>
      </c>
      <c r="F6" s="27">
        <f>'01 - 2020'!C11-'01 - 2020'!C10</f>
        <v>6798</v>
      </c>
      <c r="G6" s="25">
        <v>0.11799999999999999</v>
      </c>
      <c r="H6" s="27">
        <f>'01 - 2020'!E11-'01 - 2020'!E10</f>
        <v>23</v>
      </c>
      <c r="I6" s="27">
        <f>'01 - 2020'!F11-'01 - 2020'!F10</f>
        <v>6.0800000000001546</v>
      </c>
      <c r="J6" s="27">
        <f>'01 - 2020'!G11-'01 - 2020'!G10</f>
        <v>45.619999999998981</v>
      </c>
      <c r="K6" s="25">
        <v>0.74</v>
      </c>
      <c r="L6" s="15">
        <v>93</v>
      </c>
      <c r="M6" s="13"/>
    </row>
    <row r="7" spans="1:13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'01 - 2020'!B12-'01 - 2020'!B11</f>
        <v>3140</v>
      </c>
      <c r="F7" s="27">
        <f>'01 - 2020'!C12-'01 - 2020'!C11</f>
        <v>4865</v>
      </c>
      <c r="G7" s="25">
        <v>0.11799999999999999</v>
      </c>
      <c r="H7" s="27">
        <f>'01 - 2020'!E12-'01 - 2020'!E11</f>
        <v>22.329999999999927</v>
      </c>
      <c r="I7" s="27">
        <f>'01 - 2020'!F12-'01 - 2020'!F11</f>
        <v>5.8799999999998818</v>
      </c>
      <c r="J7" s="27">
        <f>'01 - 2020'!G12-'01 - 2020'!G11</f>
        <v>31.720000000001164</v>
      </c>
      <c r="K7" s="25">
        <v>0.74</v>
      </c>
      <c r="L7" s="6">
        <v>92</v>
      </c>
      <c r="M7" s="13"/>
    </row>
    <row r="8" spans="1:13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'01 - 2020'!B13-'01 - 2020'!B12</f>
        <v>4206</v>
      </c>
      <c r="F8" s="27">
        <f>'01 - 2020'!C13-'01 - 2020'!C12</f>
        <v>6132</v>
      </c>
      <c r="G8" s="25">
        <v>0.11799999999999999</v>
      </c>
      <c r="H8" s="27">
        <f>'01 - 2020'!E13-'01 - 2020'!E12</f>
        <v>26.260000000000218</v>
      </c>
      <c r="I8" s="27">
        <f>'01 - 2020'!F13-'01 - 2020'!F12</f>
        <v>6.2000000000000455</v>
      </c>
      <c r="J8" s="27">
        <f>'01 - 2020'!G13-'01 - 2020'!G12</f>
        <v>37.449999999998909</v>
      </c>
      <c r="K8" s="25">
        <v>0.74</v>
      </c>
      <c r="L8" s="6">
        <v>82</v>
      </c>
      <c r="M8" s="13"/>
    </row>
    <row r="9" spans="1:13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'01 - 2020'!B14-'01 - 2020'!B13</f>
        <v>4348</v>
      </c>
      <c r="F9" s="27">
        <f>'01 - 2020'!C14-'01 - 2020'!C13</f>
        <v>6607</v>
      </c>
      <c r="G9" s="25">
        <v>0.11799999999999999</v>
      </c>
      <c r="H9" s="27">
        <f>'01 - 2020'!E14-'01 - 2020'!E13</f>
        <v>27.409999999999854</v>
      </c>
      <c r="I9" s="27">
        <f>'01 - 2020'!F14-'01 - 2020'!F13</f>
        <v>6.0299999999999727</v>
      </c>
      <c r="J9" s="27">
        <f>'01 - 2020'!G14-'01 - 2020'!G13</f>
        <v>44.210000000000946</v>
      </c>
      <c r="K9" s="25">
        <v>0.74</v>
      </c>
      <c r="L9" s="6">
        <v>90</v>
      </c>
      <c r="M9" s="13"/>
    </row>
    <row r="10" spans="1:13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'01 - 2020'!B15-'01 - 2020'!B14</f>
        <v>3681</v>
      </c>
      <c r="F10" s="27">
        <f>'01 - 2020'!C15-'01 - 2020'!C14</f>
        <v>5596</v>
      </c>
      <c r="G10" s="25">
        <v>0.11799999999999999</v>
      </c>
      <c r="H10" s="27">
        <f>'01 - 2020'!E15-'01 - 2020'!E14</f>
        <v>22.889999999999418</v>
      </c>
      <c r="I10" s="27">
        <f>'01 - 2020'!F15-'01 - 2020'!F14</f>
        <v>5.7300000000000182</v>
      </c>
      <c r="J10" s="27">
        <f>'01 - 2020'!G15-'01 - 2020'!G14</f>
        <v>31.729999999999563</v>
      </c>
      <c r="K10" s="25">
        <v>0.74</v>
      </c>
      <c r="L10" s="27">
        <v>97</v>
      </c>
      <c r="M10" s="13"/>
    </row>
    <row r="11" spans="1:13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'01 - 2020'!B16-'01 - 2020'!B15</f>
        <v>4020</v>
      </c>
      <c r="F11" s="27">
        <f>'01 - 2020'!C16-'01 - 2020'!C15</f>
        <v>6320</v>
      </c>
      <c r="G11" s="25">
        <v>0.11799999999999999</v>
      </c>
      <c r="H11" s="27">
        <f>'01 - 2020'!E16-'01 - 2020'!E15</f>
        <v>24.809999999999491</v>
      </c>
      <c r="I11" s="27">
        <f>'01 - 2020'!F16-'01 - 2020'!F15</f>
        <v>6.6400000000001</v>
      </c>
      <c r="J11" s="27">
        <f>'01 - 2020'!G16-'01 - 2020'!G15</f>
        <v>38.260000000000218</v>
      </c>
      <c r="K11" s="25">
        <v>0.74</v>
      </c>
      <c r="L11" s="27">
        <v>103</v>
      </c>
      <c r="M11" s="13"/>
    </row>
    <row r="12" spans="1:13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'01 - 2020'!B17-'01 - 2020'!B16</f>
        <v>4038</v>
      </c>
      <c r="F12" s="27">
        <f>'01 - 2020'!C17-'01 - 2020'!C16</f>
        <v>6120</v>
      </c>
      <c r="G12" s="25">
        <v>0.11799999999999999</v>
      </c>
      <c r="H12" s="27">
        <f>'01 - 2020'!E17-'01 - 2020'!E16</f>
        <v>39.1200000000008</v>
      </c>
      <c r="I12" s="27">
        <f>'01 - 2020'!F17-'01 - 2020'!F16</f>
        <v>5.3399999999999181</v>
      </c>
      <c r="J12" s="27">
        <f>'01 - 2020'!G17-'01 - 2020'!G16</f>
        <v>28.829999999999927</v>
      </c>
      <c r="K12" s="25">
        <v>0.74</v>
      </c>
      <c r="L12" s="27">
        <v>92</v>
      </c>
      <c r="M12" s="13"/>
    </row>
    <row r="13" spans="1:13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'01 - 2020'!B18-'01 - 2020'!B17</f>
        <v>3676</v>
      </c>
      <c r="F13" s="27">
        <f>'01 - 2020'!C18-'01 - 2020'!C17</f>
        <v>5378</v>
      </c>
      <c r="G13" s="25">
        <v>0.11799999999999999</v>
      </c>
      <c r="H13" s="27">
        <f>'01 - 2020'!E18-'01 - 2020'!E17</f>
        <v>15.670000000000073</v>
      </c>
      <c r="I13" s="27">
        <f>'01 - 2020'!F18-'01 - 2020'!F17</f>
        <v>4.4600000000000364</v>
      </c>
      <c r="J13" s="27">
        <f>'01 - 2020'!G18-'01 - 2020'!G17</f>
        <v>55.209999999999127</v>
      </c>
      <c r="K13" s="25">
        <v>0.74</v>
      </c>
      <c r="L13" s="27">
        <v>93</v>
      </c>
      <c r="M13" s="13"/>
    </row>
    <row r="14" spans="1:13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'01 - 2020'!B19-'01 - 2020'!B18</f>
        <v>4655</v>
      </c>
      <c r="F14" s="27">
        <f>'01 - 2020'!C19-'01 - 2020'!C18</f>
        <v>6623</v>
      </c>
      <c r="G14" s="25">
        <v>0.11799999999999999</v>
      </c>
      <c r="H14" s="27">
        <f>'01 - 2020'!E19-'01 - 2020'!E18</f>
        <v>22.840000000000146</v>
      </c>
      <c r="I14" s="27">
        <f>'01 - 2020'!F19-'01 - 2020'!F18</f>
        <v>5.3199999999999363</v>
      </c>
      <c r="J14" s="27">
        <f>'01 - 2020'!G19-'01 - 2020'!G18</f>
        <v>42.31000000000131</v>
      </c>
      <c r="K14" s="25">
        <v>0.74</v>
      </c>
      <c r="L14" s="6">
        <v>87</v>
      </c>
      <c r="M14" s="13"/>
    </row>
    <row r="15" spans="1:13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</f>
        <v>3641</v>
      </c>
      <c r="F15" s="27">
        <f>'01 - 2020'!C20-'01 - 2020'!C19</f>
        <v>5354</v>
      </c>
      <c r="G15" s="25">
        <v>0.11799999999999999</v>
      </c>
      <c r="H15" s="27">
        <f>'01 - 2020'!E20-'01 - 2020'!E19</f>
        <v>32.699999999998909</v>
      </c>
      <c r="I15" s="27">
        <f>'01 - 2020'!F20-'01 - 2020'!F19</f>
        <v>5.3099999999999454</v>
      </c>
      <c r="J15" s="27">
        <f>'01 - 2020'!G20-'01 - 2020'!G19</f>
        <v>39.75</v>
      </c>
      <c r="K15" s="25">
        <v>0.74</v>
      </c>
      <c r="L15" s="6">
        <v>104</v>
      </c>
      <c r="M15" s="13"/>
    </row>
    <row r="16" spans="1:13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</f>
        <v>4425</v>
      </c>
      <c r="F16" s="27">
        <f>'01 - 2020'!C21-'01 - 2020'!C20</f>
        <v>6291</v>
      </c>
      <c r="G16" s="25">
        <v>0.11799999999999999</v>
      </c>
      <c r="H16" s="27">
        <f>'01 - 2020'!E21-'01 - 2020'!E20</f>
        <v>21.100000000000364</v>
      </c>
      <c r="I16" s="27">
        <f>'01 - 2020'!F21-'01 - 2020'!F20</f>
        <v>5.7699999999999818</v>
      </c>
      <c r="J16" s="27">
        <f>'01 - 2020'!G21-'01 - 2020'!G20</f>
        <v>45.850000000000364</v>
      </c>
      <c r="K16" s="25">
        <v>0.74</v>
      </c>
      <c r="L16" s="27">
        <v>101</v>
      </c>
      <c r="M16" s="13"/>
    </row>
    <row r="17" spans="1:13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</f>
        <v>3644</v>
      </c>
      <c r="F17" s="27">
        <f>'01 - 2020'!C22-'01 - 2020'!C21</f>
        <v>5713</v>
      </c>
      <c r="G17" s="25">
        <v>0.11799999999999999</v>
      </c>
      <c r="H17" s="27">
        <f>'01 - 2020'!E22-'01 - 2020'!E21</f>
        <v>21.8700000000008</v>
      </c>
      <c r="I17" s="27">
        <f>'01 - 2020'!F22-'01 - 2020'!F21</f>
        <v>5.1400000000001</v>
      </c>
      <c r="J17" s="27">
        <f>'01 - 2020'!G22-'01 - 2020'!G21</f>
        <v>44</v>
      </c>
      <c r="K17" s="25">
        <v>0.74</v>
      </c>
      <c r="L17" s="27">
        <v>99</v>
      </c>
      <c r="M17" s="13"/>
    </row>
    <row r="18" spans="1:13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</f>
        <v>3870</v>
      </c>
      <c r="F18" s="27">
        <f>'01 - 2020'!C23-'01 - 2020'!C22</f>
        <v>5963</v>
      </c>
      <c r="G18" s="25">
        <v>0.11799999999999999</v>
      </c>
      <c r="H18" s="27">
        <f>'01 - 2020'!E23-'01 - 2020'!E22</f>
        <v>24.869999999998981</v>
      </c>
      <c r="I18" s="27">
        <f>'01 - 2020'!F23-'01 - 2020'!F22</f>
        <v>6.1800000000000637</v>
      </c>
      <c r="J18" s="27">
        <f>'01 - 2020'!G23-'01 - 2020'!G22</f>
        <v>45.059999999999491</v>
      </c>
      <c r="K18" s="25">
        <v>0.74</v>
      </c>
      <c r="L18" s="27">
        <v>101</v>
      </c>
      <c r="M18" s="13"/>
    </row>
    <row r="19" spans="1:13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</f>
        <v>4371</v>
      </c>
      <c r="F19" s="27">
        <f>'01 - 2020'!C24-'01 - 2020'!C23</f>
        <v>6541</v>
      </c>
      <c r="G19" s="25">
        <v>0.11799999999999999</v>
      </c>
      <c r="H19" s="27">
        <f>'01 - 2020'!E24-'01 - 2020'!E23</f>
        <v>25.950000000000728</v>
      </c>
      <c r="I19" s="27">
        <f>'01 - 2020'!F24-'01 - 2020'!F23</f>
        <v>5</v>
      </c>
      <c r="J19" s="27">
        <f>'01 - 2020'!G24-'01 - 2020'!G23</f>
        <v>49</v>
      </c>
      <c r="K19" s="25">
        <v>0.74</v>
      </c>
      <c r="L19" s="6">
        <v>99</v>
      </c>
      <c r="M19" s="13"/>
    </row>
    <row r="20" spans="1:13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</f>
        <v>4119</v>
      </c>
      <c r="F20" s="27">
        <f>'01 - 2020'!C25-'01 - 2020'!C24</f>
        <v>6105</v>
      </c>
      <c r="G20" s="25">
        <v>0.11799999999999999</v>
      </c>
      <c r="H20" s="27">
        <f>'01 - 2020'!E25-'01 - 2020'!E24</f>
        <v>28.180000000000291</v>
      </c>
      <c r="I20" s="27">
        <f>'01 - 2020'!F25-'01 - 2020'!F24</f>
        <v>5.0199999999999818</v>
      </c>
      <c r="J20" s="27">
        <f>'01 - 2020'!G25-'01 - 2020'!G24</f>
        <v>43</v>
      </c>
      <c r="K20" s="25">
        <v>0.74</v>
      </c>
      <c r="L20" s="6">
        <v>89</v>
      </c>
      <c r="M20" s="13"/>
    </row>
    <row r="21" spans="1:13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</f>
        <v>3067</v>
      </c>
      <c r="F21" s="27">
        <f>'01 - 2020'!C26-'01 - 2020'!C25</f>
        <v>4628</v>
      </c>
      <c r="G21" s="25">
        <v>0.11799999999999999</v>
      </c>
      <c r="H21" s="27">
        <f>'01 - 2020'!E26-'01 - 2020'!E25</f>
        <v>18.920000000000073</v>
      </c>
      <c r="I21" s="27">
        <f>'01 - 2020'!F26-'01 - 2020'!F25</f>
        <v>5.2599999999999909</v>
      </c>
      <c r="J21" s="27">
        <f>'01 - 2020'!G26-'01 - 2020'!G25</f>
        <v>29.869999999998981</v>
      </c>
      <c r="K21" s="25">
        <v>0.74</v>
      </c>
      <c r="L21" s="6">
        <v>101</v>
      </c>
      <c r="M21" s="13"/>
    </row>
    <row r="22" spans="1:13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</f>
        <v>3747</v>
      </c>
      <c r="F22" s="27">
        <f>'01 - 2020'!C27-'01 - 2020'!C26</f>
        <v>5850</v>
      </c>
      <c r="G22" s="25">
        <v>0.11799999999999999</v>
      </c>
      <c r="H22" s="27">
        <f>'01 - 2020'!E27-'01 - 2020'!E26</f>
        <v>25.479999999999563</v>
      </c>
      <c r="I22" s="27">
        <f>'01 - 2020'!F27-'01 - 2020'!F26</f>
        <v>4.9900000000000091</v>
      </c>
      <c r="J22" s="27">
        <f>'01 - 2020'!G27-'01 - 2020'!G26</f>
        <v>39.380000000001019</v>
      </c>
      <c r="K22" s="25">
        <v>0.74</v>
      </c>
      <c r="L22" s="27">
        <v>93</v>
      </c>
      <c r="M22" s="13"/>
    </row>
    <row r="23" spans="1:13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</f>
        <v>3782</v>
      </c>
      <c r="F23" s="27">
        <f>'01 - 2020'!C28-'01 - 2020'!C27</f>
        <v>5839</v>
      </c>
      <c r="G23" s="25">
        <v>0.11799999999999999</v>
      </c>
      <c r="H23" s="27">
        <f>'01 - 2020'!E28-'01 - 2020'!E27</f>
        <v>23.889999999999418</v>
      </c>
      <c r="I23" s="27">
        <f>'01 - 2020'!F28-'01 - 2020'!F27</f>
        <v>3.8999999999998636</v>
      </c>
      <c r="J23" s="27">
        <f>'01 - 2020'!G28-'01 - 2020'!G27</f>
        <v>38.389999999999418</v>
      </c>
      <c r="K23" s="25">
        <v>0.74</v>
      </c>
      <c r="L23" s="27">
        <v>96</v>
      </c>
      <c r="M23" s="13"/>
    </row>
    <row r="24" spans="1:13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</f>
        <v>3968</v>
      </c>
      <c r="F24" s="27">
        <f>'01 - 2020'!C29-'01 - 2020'!C28</f>
        <v>6156</v>
      </c>
      <c r="G24" s="25">
        <v>0.11799999999999999</v>
      </c>
      <c r="H24" s="27">
        <f>'01 - 2020'!E29-'01 - 2020'!E28</f>
        <v>25.210000000000946</v>
      </c>
      <c r="I24" s="27">
        <f>'01 - 2020'!F29-'01 - 2020'!F28</f>
        <v>5.3700000000001182</v>
      </c>
      <c r="J24" s="27">
        <f>'01 - 2020'!G29-'01 - 2020'!G28</f>
        <v>38.300000000001091</v>
      </c>
      <c r="K24" s="25">
        <v>0.74</v>
      </c>
      <c r="L24" s="27">
        <v>96</v>
      </c>
      <c r="M24" s="13"/>
    </row>
    <row r="25" spans="1:13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</f>
        <v>4490</v>
      </c>
      <c r="F25" s="27">
        <f>'01 - 2020'!C30-'01 - 2020'!C29</f>
        <v>6741</v>
      </c>
      <c r="G25" s="25">
        <v>0.11799999999999999</v>
      </c>
      <c r="H25" s="27">
        <f>'01 - 2020'!E30-'01 - 2020'!E29</f>
        <v>26.789999999999054</v>
      </c>
      <c r="I25" s="27">
        <f>'01 - 2020'!F30-'01 - 2020'!F29</f>
        <v>5.3799999999998818</v>
      </c>
      <c r="J25" s="27">
        <f>'01 - 2020'!G30-'01 - 2020'!G29</f>
        <v>27.179999999998472</v>
      </c>
      <c r="K25" s="25">
        <v>0.74</v>
      </c>
      <c r="L25" s="6">
        <v>98</v>
      </c>
      <c r="M25" s="13"/>
    </row>
    <row r="26" spans="1:13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</f>
        <v>3691</v>
      </c>
      <c r="F26" s="27">
        <f>'01 - 2020'!C31-'01 - 2020'!C30</f>
        <v>5659</v>
      </c>
      <c r="G26" s="25">
        <v>0.11799999999999999</v>
      </c>
      <c r="H26" s="27">
        <f>'01 - 2020'!E31-'01 - 2020'!E30</f>
        <v>23.590000000000146</v>
      </c>
      <c r="I26" s="27">
        <f>'01 - 2020'!F31-'01 - 2020'!F30</f>
        <v>4.7300000000000182</v>
      </c>
      <c r="J26" s="27">
        <f>'01 - 2020'!G31-'01 - 2020'!G30</f>
        <v>52.480000000001382</v>
      </c>
      <c r="K26" s="25">
        <v>0.74</v>
      </c>
      <c r="L26" s="6">
        <v>96</v>
      </c>
      <c r="M26" s="13"/>
    </row>
    <row r="27" spans="1:13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</f>
        <v>4038</v>
      </c>
      <c r="F27" s="27">
        <f>'01 - 2020'!C32-'01 - 2020'!C31</f>
        <v>6291</v>
      </c>
      <c r="G27" s="25">
        <v>0.11799999999999999</v>
      </c>
      <c r="H27" s="27">
        <f>'01 - 2020'!E32-'01 - 2020'!E31</f>
        <v>29.210000000000946</v>
      </c>
      <c r="I27" s="27">
        <f>'01 - 2020'!F32-'01 - 2020'!F31</f>
        <v>4.2200000000000273</v>
      </c>
      <c r="J27" s="27">
        <f>'01 - 2020'!G32-'01 - 2020'!G31</f>
        <v>50.319999999999709</v>
      </c>
      <c r="K27" s="25">
        <v>0.74</v>
      </c>
      <c r="L27" s="6">
        <v>76</v>
      </c>
      <c r="M27" s="13"/>
    </row>
    <row r="28" spans="1:13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f>'01 - 2020'!B33-'01 - 2020'!B32</f>
        <v>3784</v>
      </c>
      <c r="F28" s="27">
        <f>'01 - 2020'!C33-'01 - 2020'!C32</f>
        <v>5196</v>
      </c>
      <c r="G28" s="25">
        <v>0.11799999999999999</v>
      </c>
      <c r="H28" s="27">
        <f>'01 - 2020'!E33-'01 - 2020'!E32</f>
        <v>24.6299999999992</v>
      </c>
      <c r="I28" s="27">
        <f>'01 - 2020'!F33-'01 - 2020'!F32</f>
        <v>5.7599999999999909</v>
      </c>
      <c r="J28" s="27">
        <f>'01 - 2020'!G33-'01 - 2020'!G32</f>
        <v>48</v>
      </c>
      <c r="K28" s="25">
        <v>0.74</v>
      </c>
      <c r="L28" s="6">
        <v>90</v>
      </c>
      <c r="M28" s="13"/>
    </row>
    <row r="29" spans="1:13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</f>
        <v>4232</v>
      </c>
      <c r="F29" s="27">
        <f>'01 - 2020'!C34-'01 - 2020'!C33</f>
        <v>5902</v>
      </c>
      <c r="G29" s="25">
        <v>0.11799999999999999</v>
      </c>
      <c r="H29" s="27">
        <f>'01 - 2020'!E34-'01 - 2020'!E33</f>
        <v>22.390000000001237</v>
      </c>
      <c r="I29" s="27">
        <f>'01 - 2020'!F34-'01 - 2020'!F33</f>
        <v>4.9300000000000637</v>
      </c>
      <c r="J29" s="27">
        <f>'01 - 2020'!G34-'01 - 2020'!G33</f>
        <v>64.199999999998909</v>
      </c>
      <c r="K29" s="25">
        <v>0.74</v>
      </c>
      <c r="L29" s="6">
        <v>98</v>
      </c>
      <c r="M29" s="13"/>
    </row>
    <row r="30" spans="1:13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</f>
        <v>0</v>
      </c>
      <c r="F31" s="27">
        <f>'01 - 2020'!C36-'01 - 2020'!C35</f>
        <v>0</v>
      </c>
      <c r="G31" s="25">
        <v>0.11799999999999999</v>
      </c>
      <c r="H31" s="27">
        <f>'01 - 2020'!E36-'01 - 2020'!E35</f>
        <v>0</v>
      </c>
      <c r="I31" s="27">
        <f>'01 - 2020'!F36-'01 - 2020'!F35</f>
        <v>0</v>
      </c>
      <c r="J31" s="27">
        <f>'01 - 2020'!G36-'01 - 2020'!G35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 s="25">
        <v>1</v>
      </c>
      <c r="D32" s="25">
        <v>2020</v>
      </c>
      <c r="E32" s="27">
        <f>'01 - 2020'!B37-'01 - 2020'!B36</f>
        <v>0</v>
      </c>
      <c r="F32" s="27">
        <f>'01 - 2020'!C37-'01 - 2020'!C36</f>
        <v>0</v>
      </c>
      <c r="G32" s="25">
        <v>0.11799999999999999</v>
      </c>
      <c r="H32" s="27">
        <f>'01 - 2020'!E37-'01 - 2020'!E36</f>
        <v>0</v>
      </c>
      <c r="I32" s="27">
        <f>'01 - 2020'!F37-'01 - 2020'!F36</f>
        <v>0</v>
      </c>
      <c r="J32" s="27">
        <f>'01 - 2020'!G37-'01 - 2020'!G36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B34" sqref="B34:J34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59" t="s">
        <v>30</v>
      </c>
      <c r="B2" s="59"/>
      <c r="C2" s="59"/>
      <c r="D2" s="59"/>
      <c r="E2" s="59"/>
      <c r="F2" s="59"/>
      <c r="G2" s="59"/>
      <c r="H2" s="59"/>
      <c r="I2" s="59"/>
      <c r="J2" s="59"/>
      <c r="K2" s="25"/>
      <c r="L2" s="25"/>
    </row>
    <row r="3" spans="1:15" ht="16.5" thickBot="1" x14ac:dyDescent="0.3">
      <c r="A3" s="52" t="s">
        <v>36</v>
      </c>
      <c r="B3" s="52"/>
      <c r="C3" s="52"/>
      <c r="D3" s="52"/>
      <c r="E3" s="52"/>
      <c r="F3" s="52"/>
      <c r="G3" s="52"/>
      <c r="H3" s="52"/>
      <c r="I3" s="52"/>
      <c r="J3" s="52"/>
      <c r="K3" s="25"/>
      <c r="L3" s="25"/>
    </row>
    <row r="4" spans="1:15" ht="16.5" thickBot="1" x14ac:dyDescent="0.3">
      <c r="A4" s="2"/>
      <c r="B4" s="53">
        <v>19</v>
      </c>
      <c r="C4" s="54"/>
      <c r="D4" s="53" t="s">
        <v>0</v>
      </c>
      <c r="E4" s="55"/>
      <c r="F4" s="55"/>
      <c r="G4" s="56"/>
      <c r="H4" s="57" t="s">
        <v>1</v>
      </c>
      <c r="I4" s="58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49">
        <v>43830</v>
      </c>
      <c r="B6" s="16">
        <v>371020</v>
      </c>
      <c r="C6" s="16">
        <v>262903</v>
      </c>
      <c r="D6" s="17">
        <v>0.5</v>
      </c>
      <c r="E6" s="30">
        <v>8752.6200000000008</v>
      </c>
      <c r="F6" s="30">
        <v>1649.89</v>
      </c>
      <c r="G6" s="18">
        <v>15141.97</v>
      </c>
      <c r="H6" s="16">
        <v>14528</v>
      </c>
      <c r="I6" s="16">
        <v>83575</v>
      </c>
      <c r="J6" s="16">
        <v>37225210</v>
      </c>
      <c r="K6" s="19"/>
      <c r="L6" s="34"/>
    </row>
    <row r="7" spans="1:15" ht="12.75" customHeight="1" x14ac:dyDescent="0.25">
      <c r="A7" s="49">
        <v>43831</v>
      </c>
      <c r="B7" s="38">
        <v>375325</v>
      </c>
      <c r="C7" s="39">
        <v>269487</v>
      </c>
      <c r="D7" s="40">
        <v>0.43</v>
      </c>
      <c r="E7" s="41">
        <v>8777.69</v>
      </c>
      <c r="F7" s="41">
        <v>1656.4</v>
      </c>
      <c r="G7" s="41">
        <v>15184.92</v>
      </c>
      <c r="H7" s="42">
        <v>14528</v>
      </c>
      <c r="I7" s="42">
        <v>83709</v>
      </c>
      <c r="J7" s="42">
        <v>37241070</v>
      </c>
      <c r="K7" s="43"/>
      <c r="L7" s="44"/>
    </row>
    <row r="8" spans="1:15" ht="12.75" customHeight="1" x14ac:dyDescent="0.25">
      <c r="A8" s="49">
        <v>43832</v>
      </c>
      <c r="B8" s="28">
        <v>379100</v>
      </c>
      <c r="C8" s="20">
        <v>275467</v>
      </c>
      <c r="D8" s="17">
        <v>0.36</v>
      </c>
      <c r="E8" s="24">
        <v>8801.2800000000007</v>
      </c>
      <c r="F8" s="24">
        <v>1661.81</v>
      </c>
      <c r="G8" s="24">
        <v>15221.18</v>
      </c>
      <c r="H8" s="20">
        <v>14528</v>
      </c>
      <c r="I8" s="16">
        <v>83811</v>
      </c>
      <c r="J8" s="16">
        <v>37254084</v>
      </c>
      <c r="K8" s="19"/>
      <c r="L8" s="34"/>
    </row>
    <row r="9" spans="1:15" ht="12.75" customHeight="1" x14ac:dyDescent="0.25">
      <c r="A9" s="49">
        <v>43833</v>
      </c>
      <c r="B9" s="16">
        <v>383172</v>
      </c>
      <c r="C9" s="16">
        <v>281953</v>
      </c>
      <c r="D9" s="17">
        <v>0.85</v>
      </c>
      <c r="E9" s="24">
        <v>8825</v>
      </c>
      <c r="F9" s="24">
        <v>1668.1</v>
      </c>
      <c r="G9" s="24">
        <v>15261.71</v>
      </c>
      <c r="H9" s="20">
        <v>14528</v>
      </c>
      <c r="I9" s="16">
        <v>83932</v>
      </c>
      <c r="J9" s="16">
        <v>37269901</v>
      </c>
      <c r="K9" s="19"/>
      <c r="L9" s="34"/>
    </row>
    <row r="10" spans="1:15" ht="12.75" customHeight="1" x14ac:dyDescent="0.25">
      <c r="A10" s="49">
        <v>43834</v>
      </c>
      <c r="B10" s="16">
        <v>386677</v>
      </c>
      <c r="C10" s="16">
        <v>287581</v>
      </c>
      <c r="D10" s="17">
        <v>0.78</v>
      </c>
      <c r="E10" s="24">
        <v>8848.18</v>
      </c>
      <c r="F10" s="24">
        <v>1674.1</v>
      </c>
      <c r="G10" s="24">
        <v>15299.18</v>
      </c>
      <c r="H10" s="20">
        <v>14528</v>
      </c>
      <c r="I10" s="16">
        <v>84063</v>
      </c>
      <c r="J10" s="16">
        <v>37283729</v>
      </c>
      <c r="K10" s="19"/>
      <c r="L10" s="34"/>
    </row>
    <row r="11" spans="1:15" ht="12.75" customHeight="1" x14ac:dyDescent="0.25">
      <c r="A11" s="49">
        <v>43835</v>
      </c>
      <c r="B11" s="16">
        <v>390917</v>
      </c>
      <c r="C11" s="16">
        <v>294379</v>
      </c>
      <c r="D11" s="17">
        <v>0.7</v>
      </c>
      <c r="E11" s="24">
        <v>8871.18</v>
      </c>
      <c r="F11" s="24">
        <v>1680.18</v>
      </c>
      <c r="G11" s="24">
        <v>15344.8</v>
      </c>
      <c r="H11" s="16">
        <v>14528</v>
      </c>
      <c r="I11" s="16">
        <v>84177</v>
      </c>
      <c r="J11" s="16">
        <v>37299559</v>
      </c>
      <c r="K11" s="19"/>
      <c r="L11" s="34"/>
    </row>
    <row r="12" spans="1:15" ht="12.75" customHeight="1" x14ac:dyDescent="0.25">
      <c r="A12" s="49">
        <v>43836</v>
      </c>
      <c r="B12" s="16">
        <v>394057</v>
      </c>
      <c r="C12" s="16">
        <v>299244</v>
      </c>
      <c r="D12" s="17">
        <v>0.63</v>
      </c>
      <c r="E12" s="24">
        <v>8893.51</v>
      </c>
      <c r="F12" s="24">
        <v>1686.06</v>
      </c>
      <c r="G12" s="24">
        <v>15376.52</v>
      </c>
      <c r="H12" s="16">
        <v>14528</v>
      </c>
      <c r="I12" s="18">
        <v>84263</v>
      </c>
      <c r="J12" s="18">
        <v>37312092</v>
      </c>
      <c r="K12" s="19"/>
      <c r="L12" s="34"/>
    </row>
    <row r="13" spans="1:15" ht="12.75" customHeight="1" x14ac:dyDescent="0.25">
      <c r="A13" s="49">
        <v>43837</v>
      </c>
      <c r="B13" s="16">
        <v>398263</v>
      </c>
      <c r="C13" s="16">
        <v>305376</v>
      </c>
      <c r="D13" s="17">
        <v>0.55000000000000004</v>
      </c>
      <c r="E13" s="24">
        <v>8919.77</v>
      </c>
      <c r="F13" s="24">
        <v>1692.26</v>
      </c>
      <c r="G13" s="18">
        <v>15413.97</v>
      </c>
      <c r="H13" s="16">
        <v>14528</v>
      </c>
      <c r="I13" s="16">
        <v>84367</v>
      </c>
      <c r="J13" s="16">
        <v>37325840</v>
      </c>
      <c r="K13" s="28"/>
      <c r="L13" s="34"/>
      <c r="O13" s="27"/>
    </row>
    <row r="14" spans="1:15" ht="12.75" customHeight="1" x14ac:dyDescent="0.25">
      <c r="A14" s="49">
        <v>43838</v>
      </c>
      <c r="B14" s="20">
        <v>402611</v>
      </c>
      <c r="C14" s="16">
        <v>311983</v>
      </c>
      <c r="D14" s="17">
        <v>0.47</v>
      </c>
      <c r="E14" s="24">
        <v>8947.18</v>
      </c>
      <c r="F14" s="24">
        <v>1698.29</v>
      </c>
      <c r="G14" s="18">
        <v>15458.18</v>
      </c>
      <c r="H14" s="16">
        <v>14528</v>
      </c>
      <c r="I14" s="16">
        <v>84510</v>
      </c>
      <c r="J14" s="16">
        <v>37339390</v>
      </c>
      <c r="K14" s="19"/>
      <c r="L14" s="34"/>
      <c r="O14" s="27"/>
    </row>
    <row r="15" spans="1:15" ht="12.75" customHeight="1" x14ac:dyDescent="0.25">
      <c r="A15" s="49">
        <v>43839</v>
      </c>
      <c r="B15" s="50">
        <v>406292</v>
      </c>
      <c r="C15" s="16">
        <v>317579</v>
      </c>
      <c r="D15" s="17">
        <v>0.4</v>
      </c>
      <c r="E15" s="24">
        <v>8970.07</v>
      </c>
      <c r="F15" s="24">
        <v>1704.02</v>
      </c>
      <c r="G15" s="18">
        <v>15489.91</v>
      </c>
      <c r="H15" s="16">
        <v>14528</v>
      </c>
      <c r="I15" s="16">
        <v>84639</v>
      </c>
      <c r="J15" s="16">
        <v>37352016</v>
      </c>
      <c r="K15" s="19"/>
      <c r="L15" s="34"/>
    </row>
    <row r="16" spans="1:15" ht="12.75" customHeight="1" x14ac:dyDescent="0.25">
      <c r="A16" s="49">
        <v>43840</v>
      </c>
      <c r="B16" s="18">
        <v>410312</v>
      </c>
      <c r="C16" s="18">
        <v>323899</v>
      </c>
      <c r="D16" s="29">
        <v>0.85</v>
      </c>
      <c r="E16" s="24">
        <v>8994.8799999999992</v>
      </c>
      <c r="F16" s="24">
        <v>1710.66</v>
      </c>
      <c r="G16" s="18">
        <v>15528.17</v>
      </c>
      <c r="H16" s="16">
        <v>14528</v>
      </c>
      <c r="I16" s="18">
        <v>84747</v>
      </c>
      <c r="J16" s="18">
        <v>37365352</v>
      </c>
      <c r="K16" s="19">
        <v>3400</v>
      </c>
      <c r="L16" s="34"/>
    </row>
    <row r="17" spans="1:16" ht="12.75" customHeight="1" x14ac:dyDescent="0.25">
      <c r="A17" s="49">
        <v>43841</v>
      </c>
      <c r="B17" s="16">
        <v>414350</v>
      </c>
      <c r="C17" s="16">
        <v>330019</v>
      </c>
      <c r="D17" s="17">
        <v>0.79</v>
      </c>
      <c r="E17" s="24">
        <v>9034</v>
      </c>
      <c r="F17" s="24">
        <v>1716</v>
      </c>
      <c r="G17" s="18">
        <v>15557</v>
      </c>
      <c r="H17" s="16">
        <v>14528</v>
      </c>
      <c r="I17" s="16">
        <v>84851</v>
      </c>
      <c r="J17" s="16">
        <v>37376804</v>
      </c>
      <c r="K17" s="19"/>
      <c r="L17" s="34"/>
      <c r="P17" s="27"/>
    </row>
    <row r="18" spans="1:16" ht="12.75" customHeight="1" x14ac:dyDescent="0.25">
      <c r="A18" s="49">
        <v>43842</v>
      </c>
      <c r="B18" s="16">
        <v>418026</v>
      </c>
      <c r="C18" s="16">
        <v>335397</v>
      </c>
      <c r="D18" s="17">
        <v>0.72</v>
      </c>
      <c r="E18" s="24">
        <v>9049.67</v>
      </c>
      <c r="F18" s="24">
        <v>1720.46</v>
      </c>
      <c r="G18" s="18">
        <v>15612.21</v>
      </c>
      <c r="H18" s="16">
        <v>14528</v>
      </c>
      <c r="I18" s="16">
        <v>84996</v>
      </c>
      <c r="J18" s="16">
        <v>37389748</v>
      </c>
      <c r="K18" s="19"/>
      <c r="L18" s="34"/>
      <c r="P18" s="27"/>
    </row>
    <row r="19" spans="1:16" ht="12.75" customHeight="1" x14ac:dyDescent="0.25">
      <c r="A19" s="49">
        <v>43843</v>
      </c>
      <c r="B19" s="16">
        <v>422681</v>
      </c>
      <c r="C19" s="16">
        <v>342020</v>
      </c>
      <c r="D19" s="17">
        <v>0.65</v>
      </c>
      <c r="E19" s="24">
        <v>9072.51</v>
      </c>
      <c r="F19" s="24">
        <v>1725.78</v>
      </c>
      <c r="G19" s="18">
        <v>15654.52</v>
      </c>
      <c r="H19" s="16">
        <v>14528</v>
      </c>
      <c r="I19" s="16">
        <v>85115</v>
      </c>
      <c r="J19" s="16">
        <v>37399998</v>
      </c>
      <c r="K19" s="19"/>
      <c r="L19" s="34"/>
    </row>
    <row r="20" spans="1:16" ht="12.75" customHeight="1" x14ac:dyDescent="0.25">
      <c r="A20" s="49">
        <v>43844</v>
      </c>
      <c r="B20" s="16">
        <v>426322</v>
      </c>
      <c r="C20" s="16">
        <v>347374</v>
      </c>
      <c r="D20" s="17">
        <v>0.56999999999999995</v>
      </c>
      <c r="E20" s="24">
        <v>9105.2099999999991</v>
      </c>
      <c r="F20" s="24">
        <v>1731.09</v>
      </c>
      <c r="G20" s="18">
        <v>15694.27</v>
      </c>
      <c r="H20" s="16">
        <v>14528</v>
      </c>
      <c r="I20" s="16">
        <v>85201</v>
      </c>
      <c r="J20" s="16">
        <v>37410296</v>
      </c>
      <c r="K20" s="19"/>
      <c r="L20" s="34"/>
    </row>
    <row r="21" spans="1:16" ht="12.75" customHeight="1" x14ac:dyDescent="0.25">
      <c r="A21" s="49">
        <v>43845</v>
      </c>
      <c r="B21" s="16">
        <v>430747</v>
      </c>
      <c r="C21" s="16">
        <v>353665</v>
      </c>
      <c r="D21" s="17">
        <v>0.49</v>
      </c>
      <c r="E21" s="24">
        <v>9126.31</v>
      </c>
      <c r="F21" s="24">
        <v>1736.86</v>
      </c>
      <c r="G21" s="18">
        <v>15740.12</v>
      </c>
      <c r="H21" s="16">
        <v>14528</v>
      </c>
      <c r="I21" s="18">
        <v>85310</v>
      </c>
      <c r="J21" s="16">
        <v>37422114</v>
      </c>
      <c r="K21" s="28"/>
      <c r="L21" s="34"/>
    </row>
    <row r="22" spans="1:16" ht="12.75" customHeight="1" x14ac:dyDescent="0.25">
      <c r="A22" s="49">
        <v>43846</v>
      </c>
      <c r="B22" s="22">
        <v>434391</v>
      </c>
      <c r="C22" s="22">
        <v>359378</v>
      </c>
      <c r="D22" s="17">
        <v>0.42</v>
      </c>
      <c r="E22" s="24">
        <v>9148.18</v>
      </c>
      <c r="F22" s="24">
        <v>1742</v>
      </c>
      <c r="G22" s="18">
        <v>15784.12</v>
      </c>
      <c r="H22" s="16">
        <v>14528</v>
      </c>
      <c r="I22" s="16">
        <v>85425</v>
      </c>
      <c r="J22" s="16">
        <v>37431815</v>
      </c>
      <c r="K22" s="28"/>
      <c r="L22" s="34"/>
    </row>
    <row r="23" spans="1:16" ht="12.75" customHeight="1" x14ac:dyDescent="0.25">
      <c r="A23" s="49">
        <v>43847</v>
      </c>
      <c r="B23" s="22">
        <v>438261</v>
      </c>
      <c r="C23" s="22">
        <v>365341</v>
      </c>
      <c r="D23" s="17">
        <v>0.78</v>
      </c>
      <c r="E23" s="24">
        <v>9173.0499999999993</v>
      </c>
      <c r="F23" s="24">
        <v>1748.18</v>
      </c>
      <c r="G23" s="18">
        <v>15829.18</v>
      </c>
      <c r="H23" s="16">
        <v>14528</v>
      </c>
      <c r="I23" s="16">
        <v>85563</v>
      </c>
      <c r="J23" s="16">
        <v>37441217</v>
      </c>
      <c r="K23" s="19">
        <v>3100</v>
      </c>
      <c r="L23" s="35"/>
    </row>
    <row r="24" spans="1:16" ht="12.75" customHeight="1" x14ac:dyDescent="0.25">
      <c r="A24" s="49">
        <v>43848</v>
      </c>
      <c r="B24" s="18">
        <v>442632</v>
      </c>
      <c r="C24" s="18">
        <v>371882</v>
      </c>
      <c r="D24" s="29">
        <v>0.71</v>
      </c>
      <c r="E24" s="24">
        <v>9199</v>
      </c>
      <c r="F24" s="24">
        <v>1753.18</v>
      </c>
      <c r="G24" s="18">
        <v>15878.18</v>
      </c>
      <c r="H24" s="16">
        <v>14528</v>
      </c>
      <c r="I24" s="16">
        <v>85687</v>
      </c>
      <c r="J24" s="16">
        <v>37453345</v>
      </c>
      <c r="K24" s="28"/>
      <c r="L24" s="35"/>
    </row>
    <row r="25" spans="1:16" ht="12.75" customHeight="1" x14ac:dyDescent="0.25">
      <c r="A25" s="49">
        <v>43849</v>
      </c>
      <c r="B25" s="18">
        <v>446751</v>
      </c>
      <c r="C25" s="18">
        <v>377987</v>
      </c>
      <c r="D25" s="29">
        <v>0.64</v>
      </c>
      <c r="E25" s="24">
        <v>9227.18</v>
      </c>
      <c r="F25" s="24">
        <v>1758.2</v>
      </c>
      <c r="G25" s="18">
        <v>15921.18</v>
      </c>
      <c r="H25" s="16">
        <v>14528</v>
      </c>
      <c r="I25" s="16">
        <v>85797</v>
      </c>
      <c r="J25" s="16">
        <v>37465934</v>
      </c>
      <c r="K25" s="28"/>
      <c r="L25" s="35"/>
    </row>
    <row r="26" spans="1:16" ht="12.75" customHeight="1" x14ac:dyDescent="0.25">
      <c r="A26" s="49">
        <v>43850</v>
      </c>
      <c r="B26" s="16">
        <v>449818</v>
      </c>
      <c r="C26" s="16">
        <v>382615</v>
      </c>
      <c r="D26" s="17">
        <v>0.57999999999999996</v>
      </c>
      <c r="E26" s="24">
        <v>9246.1</v>
      </c>
      <c r="F26" s="24">
        <v>1763.46</v>
      </c>
      <c r="G26" s="18">
        <v>15951.05</v>
      </c>
      <c r="H26" s="16">
        <v>14528</v>
      </c>
      <c r="I26" s="16">
        <v>85883</v>
      </c>
      <c r="J26" s="16">
        <v>37475287</v>
      </c>
      <c r="K26" s="19"/>
      <c r="L26" s="34"/>
    </row>
    <row r="27" spans="1:16" ht="12.75" customHeight="1" x14ac:dyDescent="0.25">
      <c r="A27" s="49">
        <v>43851</v>
      </c>
      <c r="B27" s="16">
        <v>453565</v>
      </c>
      <c r="C27" s="16">
        <v>388465</v>
      </c>
      <c r="D27" s="17">
        <v>0.51</v>
      </c>
      <c r="E27" s="24">
        <v>9271.58</v>
      </c>
      <c r="F27" s="24">
        <v>1768.45</v>
      </c>
      <c r="G27" s="18">
        <v>15990.43</v>
      </c>
      <c r="H27" s="16">
        <v>14528</v>
      </c>
      <c r="I27" s="16">
        <v>85989</v>
      </c>
      <c r="J27" s="16">
        <v>37487327</v>
      </c>
      <c r="K27" s="19"/>
      <c r="L27" s="34"/>
    </row>
    <row r="28" spans="1:16" ht="12.75" customHeight="1" x14ac:dyDescent="0.25">
      <c r="A28" s="49">
        <v>43852</v>
      </c>
      <c r="B28" s="16">
        <v>457347</v>
      </c>
      <c r="C28" s="16">
        <v>394304</v>
      </c>
      <c r="D28" s="17">
        <v>0.45</v>
      </c>
      <c r="E28" s="30">
        <v>9295.4699999999993</v>
      </c>
      <c r="F28" s="30">
        <v>1772.35</v>
      </c>
      <c r="G28" s="18">
        <v>16028.82</v>
      </c>
      <c r="H28" s="16">
        <v>14528</v>
      </c>
      <c r="I28" s="16">
        <v>86111</v>
      </c>
      <c r="J28" s="16">
        <v>37499358</v>
      </c>
      <c r="K28" s="19"/>
      <c r="L28" s="34"/>
      <c r="P28" s="6"/>
    </row>
    <row r="29" spans="1:16" ht="12.75" customHeight="1" x14ac:dyDescent="0.25">
      <c r="A29" s="49">
        <v>43853</v>
      </c>
      <c r="B29" s="16">
        <v>461315</v>
      </c>
      <c r="C29" s="16">
        <v>400460</v>
      </c>
      <c r="D29" s="17">
        <v>0.38</v>
      </c>
      <c r="E29" s="30">
        <v>9320.68</v>
      </c>
      <c r="F29" s="30">
        <v>1777.72</v>
      </c>
      <c r="G29" s="18">
        <v>16067.12</v>
      </c>
      <c r="H29" s="16">
        <v>14528</v>
      </c>
      <c r="I29" s="16">
        <v>86235</v>
      </c>
      <c r="J29" s="16">
        <v>37513805</v>
      </c>
      <c r="K29" s="19"/>
      <c r="L29" s="34"/>
      <c r="P29" s="6"/>
    </row>
    <row r="30" spans="1:16" ht="12.75" customHeight="1" x14ac:dyDescent="0.25">
      <c r="A30" s="49">
        <v>43854</v>
      </c>
      <c r="B30" s="16">
        <v>465805</v>
      </c>
      <c r="C30" s="16">
        <v>407201</v>
      </c>
      <c r="D30" s="17">
        <v>0.3</v>
      </c>
      <c r="E30" s="30">
        <v>9347.4699999999993</v>
      </c>
      <c r="F30" s="30">
        <v>1783.1</v>
      </c>
      <c r="G30" s="18">
        <v>16094.3</v>
      </c>
      <c r="H30" s="16">
        <v>14528</v>
      </c>
      <c r="I30" s="16">
        <v>86376</v>
      </c>
      <c r="J30" s="16">
        <v>37527347</v>
      </c>
      <c r="K30" s="19"/>
      <c r="L30" s="36"/>
      <c r="P30" s="6"/>
    </row>
    <row r="31" spans="1:16" ht="12.75" customHeight="1" x14ac:dyDescent="0.25">
      <c r="A31" s="49">
        <v>43855</v>
      </c>
      <c r="B31" s="16">
        <v>469496</v>
      </c>
      <c r="C31" s="16">
        <v>412860</v>
      </c>
      <c r="D31" s="17">
        <v>0.2</v>
      </c>
      <c r="E31" s="30">
        <v>9371.06</v>
      </c>
      <c r="F31" s="30">
        <v>1787.83</v>
      </c>
      <c r="G31" s="18">
        <v>16146.78</v>
      </c>
      <c r="H31" s="16">
        <v>14528</v>
      </c>
      <c r="I31" s="16">
        <v>86502</v>
      </c>
      <c r="J31" s="16">
        <v>37539772</v>
      </c>
      <c r="K31" s="19"/>
      <c r="L31" s="36"/>
      <c r="P31" s="6"/>
    </row>
    <row r="32" spans="1:16" ht="12.75" customHeight="1" x14ac:dyDescent="0.25">
      <c r="A32" s="49">
        <v>43856</v>
      </c>
      <c r="B32" s="16">
        <v>473534</v>
      </c>
      <c r="C32" s="16">
        <v>419151</v>
      </c>
      <c r="D32" s="17">
        <v>0.79</v>
      </c>
      <c r="E32" s="30">
        <v>9400.27</v>
      </c>
      <c r="F32" s="30">
        <v>1792.05</v>
      </c>
      <c r="G32" s="18">
        <v>16197.1</v>
      </c>
      <c r="H32" s="16">
        <v>14528</v>
      </c>
      <c r="I32" s="16">
        <v>86621</v>
      </c>
      <c r="J32" s="16">
        <v>37552604</v>
      </c>
      <c r="K32" s="19"/>
      <c r="L32" s="34"/>
      <c r="P32" s="6"/>
    </row>
    <row r="33" spans="1:12" ht="12.75" customHeight="1" x14ac:dyDescent="0.25">
      <c r="A33" s="49">
        <v>43857</v>
      </c>
      <c r="B33" s="18">
        <v>477318</v>
      </c>
      <c r="C33" s="21">
        <v>424347</v>
      </c>
      <c r="D33" s="29">
        <v>0.72</v>
      </c>
      <c r="E33" s="30">
        <v>9424.9</v>
      </c>
      <c r="F33" s="30">
        <v>1797.81</v>
      </c>
      <c r="G33" s="18">
        <v>16245.1</v>
      </c>
      <c r="H33" s="16">
        <v>14528</v>
      </c>
      <c r="I33" s="18">
        <v>86735</v>
      </c>
      <c r="J33" s="18">
        <v>37562633</v>
      </c>
      <c r="K33" s="19"/>
      <c r="L33" s="34"/>
    </row>
    <row r="34" spans="1:12" ht="12.75" customHeight="1" x14ac:dyDescent="0.25">
      <c r="A34" s="49">
        <v>43858</v>
      </c>
      <c r="B34" s="16">
        <v>481550</v>
      </c>
      <c r="C34" s="21">
        <v>430249</v>
      </c>
      <c r="D34" s="17">
        <v>0.6</v>
      </c>
      <c r="E34" s="30">
        <v>9447.2900000000009</v>
      </c>
      <c r="F34" s="30">
        <v>1802.74</v>
      </c>
      <c r="G34" s="18">
        <v>16309.3</v>
      </c>
      <c r="H34" s="18">
        <v>14528</v>
      </c>
      <c r="I34" s="16">
        <v>86879</v>
      </c>
      <c r="J34" s="16">
        <v>37572413</v>
      </c>
      <c r="K34" s="19"/>
      <c r="L34" s="34"/>
    </row>
    <row r="35" spans="1:12" ht="12.75" customHeight="1" x14ac:dyDescent="0.25">
      <c r="A35" s="49">
        <v>43859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43860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43861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1" t="s">
        <v>35</v>
      </c>
      <c r="B38" s="37">
        <f t="shared" ref="B38:I38" si="0">B37-B6</f>
        <v>-371020</v>
      </c>
      <c r="C38" s="37">
        <f t="shared" si="0"/>
        <v>-262903</v>
      </c>
      <c r="D38" s="37">
        <f t="shared" si="0"/>
        <v>-0.5</v>
      </c>
      <c r="E38" s="37">
        <f t="shared" si="0"/>
        <v>-8752.6200000000008</v>
      </c>
      <c r="F38" s="37">
        <f t="shared" si="0"/>
        <v>-1649.89</v>
      </c>
      <c r="G38" s="37">
        <f t="shared" si="0"/>
        <v>-15141.97</v>
      </c>
      <c r="H38" s="37">
        <f t="shared" si="0"/>
        <v>-14528</v>
      </c>
      <c r="I38" s="37">
        <f t="shared" si="0"/>
        <v>-83575</v>
      </c>
      <c r="J38" s="37">
        <f>J37-J6</f>
        <v>-37225210</v>
      </c>
      <c r="K38" s="37">
        <f>SUM(K6:K37)</f>
        <v>6500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-18383909.175000001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01 - 2020</vt:lpstr>
      <vt:lpstr>'01 - 2020'!Print_Area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2020-01-28T05:09:11Z</dcterms:modified>
</cp:coreProperties>
</file>