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2" i="5"/>
  <c r="H4" i="8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G32" i="8"/>
  <c r="G33" i="8"/>
  <c r="H34" i="8" s="1"/>
  <c r="G4" i="8"/>
  <c r="H31" i="8" l="1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4" i="9"/>
  <c r="I4" i="9" s="1"/>
  <c r="J4" i="9" s="1"/>
  <c r="H5" i="10"/>
  <c r="H6" i="10"/>
  <c r="H7" i="10"/>
  <c r="I7" i="10" s="1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I30" i="10" s="1"/>
  <c r="H31" i="10"/>
  <c r="H32" i="10"/>
  <c r="H33" i="10"/>
  <c r="H4" i="10"/>
  <c r="J30" i="9" l="1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I29" i="10"/>
  <c r="I26" i="10"/>
  <c r="I23" i="10"/>
  <c r="I11" i="10"/>
  <c r="I6" i="10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<sst xmlns="http://schemas.openxmlformats.org/spreadsheetml/2006/main" count="76" uniqueCount="40">
  <si>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</si>
  <si>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</si>
  <si>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</si>
  <si>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</si>
  <si>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</si>
  <si>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</si>
  <si>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</si>
  <si>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</si>
  <si>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</si>
  <si>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</si>
  <si>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</si>
  <si>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</si>
  <si>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</si>
  <si>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</si>
  <si>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</si>
  <si>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</si>
  <si>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</si>
  <si>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</si>
  <si>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</si>
  <si>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</si>
  <si>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</si>
  <si>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</si>
  <si>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</si>
  <si>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</si>
  <si>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</si>
  <si>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</si>
  <si>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</si>
  <si>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</si>
  <si>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</si>
  <si>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</si>
  <si>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</si>
  <si>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</si>
  <si>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</si>
  <si>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</si>
  <si>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</si>
  <si>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</si>
  <si>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</si>
  <si>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NATURAL GAS CONSUMPTION , DEC.2021</t>
  </si>
  <si>
    <t>ELECTRICITY CONSUMPTION , DEC.2021</t>
  </si>
  <si>
    <t>WATER CONSUMPTION , DEC.2021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</si>
</sst>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3">
          <cell r="G33">
            <v>12450</v>
          </cell>
        </row>
      </sheetData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I34">
            <v>1176539.1521959999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3" zoomScale="110" zoomScaleNormal="110" workbookViewId="0">
      <selection activeCell="A30" sqref="A30:XFD3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12</v>
      </c>
      <c r="D2" s="12">
        <v>2021</v>
      </c>
      <c r="E2" s="13">
        <v>621</v>
      </c>
      <c r="F2" s="3">
        <v>1.2</v>
      </c>
      <c r="G2" s="13"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12</v>
      </c>
      <c r="D3" s="12">
        <v>2021</v>
      </c>
      <c r="E3" s="13">
        <f>Electricity!I5</f>
        <v>1540.0800000000745</v>
      </c>
      <c r="F3" s="3">
        <v>1.2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12</v>
      </c>
      <c r="D4" s="12">
        <v>2021</v>
      </c>
      <c r="E4" s="13">
        <f>Electricity!I6</f>
        <v>1592.5199999976903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12</v>
      </c>
      <c r="D5" s="12">
        <v>2021</v>
      </c>
      <c r="E5" s="13">
        <f>Electricity!I7</f>
        <v>1355.160000000149</v>
      </c>
      <c r="F5" s="3">
        <v>1.2</v>
      </c>
      <c r="G5" s="13">
        <f>Gas!J7</f>
        <v>0</v>
      </c>
      <c r="H5" s="3">
        <v>1.69</v>
      </c>
      <c r="I5" s="13">
        <f>Water!H7</f>
        <v>1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12</v>
      </c>
      <c r="D6" s="12">
        <v>2021</v>
      </c>
      <c r="E6" s="13">
        <f>Electricity!I8</f>
        <v>1399.320000000298</v>
      </c>
      <c r="F6" s="3">
        <v>1.2</v>
      </c>
      <c r="G6" s="13">
        <f>Gas!J8</f>
        <v>0</v>
      </c>
      <c r="H6" s="3">
        <v>1.69</v>
      </c>
      <c r="I6" s="13">
        <f>Water!H8</f>
        <v>0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12</v>
      </c>
      <c r="D7" s="12">
        <v>2021</v>
      </c>
      <c r="E7" s="13">
        <f>Electricity!I9</f>
        <v>1228.1999999992549</v>
      </c>
      <c r="F7" s="3">
        <v>1.2</v>
      </c>
      <c r="G7" s="13">
        <f>Gas!J9</f>
        <v>0</v>
      </c>
      <c r="H7" s="3">
        <v>1.69</v>
      </c>
      <c r="I7" s="13">
        <f>Water!H9</f>
        <v>1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12</v>
      </c>
      <c r="D8" s="12">
        <v>2021</v>
      </c>
      <c r="E8" s="13">
        <f>Electricity!I10</f>
        <v>1368.9600000008941</v>
      </c>
      <c r="F8" s="3">
        <v>1.2</v>
      </c>
      <c r="G8" s="13">
        <f>Gas!J10</f>
        <v>0</v>
      </c>
      <c r="H8" s="3">
        <v>1.69</v>
      </c>
      <c r="I8" s="13">
        <f>Water!H10</f>
        <v>15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12</v>
      </c>
      <c r="D9" s="12">
        <v>2021</v>
      </c>
      <c r="E9" s="13">
        <f>Electricity!I11</f>
        <v>1349.6399999987334</v>
      </c>
      <c r="F9" s="3">
        <v>1.2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12</v>
      </c>
      <c r="D10" s="12">
        <v>2021</v>
      </c>
      <c r="E10" s="13">
        <f>Electricity!I12</f>
        <v>1435.2000000011176</v>
      </c>
      <c r="F10" s="3">
        <v>1.2</v>
      </c>
      <c r="G10" s="13">
        <f>Gas!J12</f>
        <v>0</v>
      </c>
      <c r="H10" s="3">
        <v>1.69</v>
      </c>
      <c r="I10" s="13">
        <f>Water!H12</f>
        <v>8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12</v>
      </c>
      <c r="D11" s="12">
        <v>2021</v>
      </c>
      <c r="E11" s="13">
        <f>Electricity!I13</f>
        <v>1426.9199999999255</v>
      </c>
      <c r="F11" s="3">
        <v>1.2</v>
      </c>
      <c r="G11" s="13">
        <f>Gas!J13</f>
        <v>0</v>
      </c>
      <c r="H11" s="3">
        <v>1.69</v>
      </c>
      <c r="I11" s="13">
        <f>Water!H13</f>
        <v>1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12</v>
      </c>
      <c r="D12" s="12">
        <v>2021</v>
      </c>
      <c r="E12" s="13">
        <f>Electricity!I14</f>
        <v>1418.640000000596</v>
      </c>
      <c r="F12" s="3">
        <v>1.2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12</v>
      </c>
      <c r="D13" s="12">
        <v>2021</v>
      </c>
      <c r="E13" s="13">
        <f>Electricity!I15</f>
        <v>1297.2000000011176</v>
      </c>
      <c r="F13" s="3">
        <v>1.2</v>
      </c>
      <c r="G13" s="13">
        <f>Gas!J15</f>
        <v>0</v>
      </c>
      <c r="H13" s="3">
        <v>1.69</v>
      </c>
      <c r="I13" s="13">
        <f>Water!H15</f>
        <v>3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12</v>
      </c>
      <c r="D14" s="12">
        <v>2021</v>
      </c>
      <c r="E14" s="13">
        <f>Electricity!I16</f>
        <v>1250.2799999974668</v>
      </c>
      <c r="F14" s="3">
        <v>1.2</v>
      </c>
      <c r="G14" s="13">
        <f>Gas!J16</f>
        <v>0</v>
      </c>
      <c r="H14" s="3">
        <v>1.69</v>
      </c>
      <c r="I14" s="13">
        <f>Water!H16</f>
        <v>1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12</v>
      </c>
      <c r="D15" s="12">
        <v>2021</v>
      </c>
      <c r="E15" s="13">
        <f>Electricity!I17</f>
        <v>1360.6800000015646</v>
      </c>
      <c r="F15" s="3">
        <v>1.2</v>
      </c>
      <c r="G15" s="13">
        <f>Gas!J17</f>
        <v>0</v>
      </c>
      <c r="H15" s="3">
        <v>1.69</v>
      </c>
      <c r="I15" s="13">
        <f>Water!H17</f>
        <v>1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12</v>
      </c>
      <c r="D16" s="12">
        <v>2021</v>
      </c>
      <c r="E16" s="13">
        <f>Electricity!I18</f>
        <v>1380</v>
      </c>
      <c r="F16" s="3">
        <v>1.2</v>
      </c>
      <c r="G16" s="13">
        <f>Gas!J18</f>
        <v>0</v>
      </c>
      <c r="H16" s="3">
        <v>1.69</v>
      </c>
      <c r="I16" s="13">
        <f>Water!H18</f>
        <v>26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12</v>
      </c>
      <c r="D17" s="12">
        <v>2021</v>
      </c>
      <c r="E17" s="13">
        <f>Electricity!I19</f>
        <v>1479.359999999404</v>
      </c>
      <c r="F17" s="3">
        <v>1.2</v>
      </c>
      <c r="G17" s="13">
        <f>Gas!J19</f>
        <v>0</v>
      </c>
      <c r="H17" s="3">
        <v>1.69</v>
      </c>
      <c r="I17" s="13">
        <f>Water!H19</f>
        <v>7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12</v>
      </c>
      <c r="D18" s="12">
        <v>2021</v>
      </c>
      <c r="E18" s="13">
        <f>Electricity!I20</f>
        <v>1487.640000000596</v>
      </c>
      <c r="F18" s="3">
        <v>1.2</v>
      </c>
      <c r="G18" s="13">
        <f>Gas!J20</f>
        <v>0</v>
      </c>
      <c r="H18" s="3">
        <v>1.69</v>
      </c>
      <c r="I18" s="13">
        <f>Water!H20</f>
        <v>1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12</v>
      </c>
      <c r="D19" s="12">
        <v>2021</v>
      </c>
      <c r="E19" s="13">
        <f>Electricity!I21</f>
        <v>1509.7200000006706</v>
      </c>
      <c r="F19" s="3">
        <v>1.2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12</v>
      </c>
      <c r="D20" s="12">
        <v>2021</v>
      </c>
      <c r="E20" s="13">
        <f>Electricity!I22</f>
        <v>1526.2799999993294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12</v>
      </c>
      <c r="D21" s="12">
        <v>2021</v>
      </c>
      <c r="E21" s="13">
        <f>Electricity!I23</f>
        <v>1377.2400000002235</v>
      </c>
      <c r="F21" s="3">
        <v>1.2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12</v>
      </c>
      <c r="D22" s="12">
        <v>2021</v>
      </c>
      <c r="E22" s="13">
        <f>Electricity!I24</f>
        <v>1598.0399999991059</v>
      </c>
      <c r="F22" s="3">
        <v>1.2</v>
      </c>
      <c r="G22" s="13">
        <f>Gas!J24</f>
        <v>0</v>
      </c>
      <c r="H22" s="3">
        <v>1.69</v>
      </c>
      <c r="I22" s="13">
        <f>Water!H24</f>
        <v>1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12</v>
      </c>
      <c r="D23" s="12">
        <v>2021</v>
      </c>
      <c r="E23" s="13">
        <f>Electricity!I25</f>
        <v>1460.0400000009686</v>
      </c>
      <c r="F23" s="3">
        <v>1.2</v>
      </c>
      <c r="G23" s="13">
        <f>Gas!J25</f>
        <v>0</v>
      </c>
      <c r="H23" s="3">
        <v>1.69</v>
      </c>
      <c r="I23" s="13">
        <f>Water!H25</f>
        <v>1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12</v>
      </c>
      <c r="D24" s="12">
        <v>2021</v>
      </c>
      <c r="E24" s="13">
        <f>Electricity!I26</f>
        <v>1559.3999999985099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12</v>
      </c>
      <c r="D25" s="12">
        <v>2021</v>
      </c>
      <c r="E25" s="13">
        <f>Electricity!I27</f>
        <v>1520.7600000016391</v>
      </c>
      <c r="F25" s="3">
        <v>1.2</v>
      </c>
      <c r="G25" s="13">
        <f>Gas!J27</f>
        <v>0</v>
      </c>
      <c r="H25" s="3">
        <v>1.69</v>
      </c>
      <c r="I25" s="13">
        <f>Water!H27</f>
        <v>21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12</v>
      </c>
      <c r="D26" s="12">
        <v>2021</v>
      </c>
      <c r="E26" s="13">
        <f>Electricity!I28</f>
        <v>1570.4399999994785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12</v>
      </c>
      <c r="D27" s="12">
        <v>2021</v>
      </c>
      <c r="E27" s="13">
        <f>Electricity!I29</f>
        <v>1460.0400000009686</v>
      </c>
      <c r="F27" s="3">
        <v>1.2</v>
      </c>
      <c r="G27" s="13">
        <f>Gas!J29</f>
        <v>0</v>
      </c>
      <c r="H27" s="3">
        <v>1.69</v>
      </c>
      <c r="I27" s="13">
        <f>Water!H29</f>
        <v>1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12</v>
      </c>
      <c r="D28" s="12">
        <v>2021</v>
      </c>
      <c r="E28" s="13">
        <f>Electricity!I30</f>
        <v>1178.5199999976903</v>
      </c>
      <c r="F28" s="3">
        <v>1.2</v>
      </c>
      <c r="G28" s="13">
        <f>Gas!J30</f>
        <v>0</v>
      </c>
      <c r="H28" s="3">
        <v>1.69</v>
      </c>
      <c r="I28" s="13">
        <f>Water!H30</f>
        <v>3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12</v>
      </c>
      <c r="D29" s="12">
        <v>2021</v>
      </c>
      <c r="E29" s="13">
        <f>Electricity!I31</f>
        <v>1490.4000000003725</v>
      </c>
      <c r="F29" s="3">
        <v>1.2</v>
      </c>
      <c r="G29" s="13">
        <f>Gas!J31</f>
        <v>0</v>
      </c>
      <c r="H29" s="3">
        <v>1.69</v>
      </c>
      <c r="I29" s="13">
        <f>Water!H31</f>
        <v>12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12</v>
      </c>
      <c r="D30" s="12">
        <v>2021</v>
      </c>
      <c r="E30" s="13">
        <f>Electricity!I32</f>
        <v>1520.7600000016391</v>
      </c>
      <c r="F30" s="3">
        <v>1.2</v>
      </c>
      <c r="G30" s="13">
        <f>Gas!J32</f>
        <v>0</v>
      </c>
      <c r="H30" s="3">
        <v>1.69</v>
      </c>
      <c r="I30" s="13">
        <f>Water!H32</f>
        <v>-11503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12</v>
      </c>
      <c r="D31" s="12">
        <v>2021</v>
      </c>
      <c r="E31" s="13">
        <f>Electricity!I33</f>
        <v>-13189292.040000001</v>
      </c>
      <c r="F31" s="3">
        <v>1.2</v>
      </c>
      <c r="G31" s="13">
        <f>Gas!J33</f>
        <v>-1176540.4133199998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12</v>
      </c>
      <c r="D32" s="12">
        <v>2021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32" sqref="E3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2" t="s">
        <v>39</v>
      </c>
      <c r="E1" s="112"/>
      <c r="F1" s="112"/>
      <c r="G1" s="112"/>
      <c r="H1" s="112"/>
      <c r="I1" s="112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44531</v>
      </c>
      <c r="E4" s="24">
        <v>11385</v>
      </c>
      <c r="F4" s="24">
        <v>1065</v>
      </c>
      <c r="G4" s="24">
        <f>E4+F4</f>
        <v>12450</v>
      </c>
      <c r="H4" s="25">
        <f>+(G4-[1]Nov.2021!$G$33)</f>
        <v>0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44532</v>
      </c>
      <c r="E5" s="24">
        <v>11398</v>
      </c>
      <c r="F5" s="24">
        <v>1065</v>
      </c>
      <c r="G5" s="24">
        <f t="shared" ref="G5:G34" si="0">E5+F5</f>
        <v>12463</v>
      </c>
      <c r="H5" s="25">
        <f>G5-G4</f>
        <v>13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44533</v>
      </c>
      <c r="E6" s="24">
        <v>11398</v>
      </c>
      <c r="F6" s="24">
        <v>1065</v>
      </c>
      <c r="G6" s="24">
        <f t="shared" si="0"/>
        <v>12463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44534</v>
      </c>
      <c r="E7" s="24">
        <v>11399</v>
      </c>
      <c r="F7" s="24">
        <v>1065</v>
      </c>
      <c r="G7" s="24">
        <f t="shared" si="0"/>
        <v>12464</v>
      </c>
      <c r="H7" s="25">
        <f t="shared" si="1"/>
        <v>1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44535</v>
      </c>
      <c r="E8" s="24">
        <v>11399</v>
      </c>
      <c r="F8" s="24">
        <v>1065</v>
      </c>
      <c r="G8" s="24">
        <f t="shared" si="0"/>
        <v>12464</v>
      </c>
      <c r="H8" s="25">
        <f t="shared" si="1"/>
        <v>0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44536</v>
      </c>
      <c r="E9" s="24">
        <v>11400</v>
      </c>
      <c r="F9" s="24">
        <v>1065</v>
      </c>
      <c r="G9" s="24">
        <f t="shared" si="0"/>
        <v>12465</v>
      </c>
      <c r="H9" s="25">
        <f t="shared" si="1"/>
        <v>1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44537</v>
      </c>
      <c r="E10" s="24">
        <v>11415</v>
      </c>
      <c r="F10" s="24">
        <v>1065</v>
      </c>
      <c r="G10" s="24">
        <f t="shared" si="0"/>
        <v>12480</v>
      </c>
      <c r="H10" s="25">
        <f t="shared" si="1"/>
        <v>15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44538</v>
      </c>
      <c r="E11" s="24">
        <v>11416</v>
      </c>
      <c r="F11" s="24">
        <v>1065</v>
      </c>
      <c r="G11" s="24">
        <f t="shared" si="0"/>
        <v>12481</v>
      </c>
      <c r="H11" s="25">
        <f t="shared" si="1"/>
        <v>1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44539</v>
      </c>
      <c r="E12" s="24">
        <v>11424</v>
      </c>
      <c r="F12" s="24">
        <v>1065</v>
      </c>
      <c r="G12" s="24">
        <f t="shared" si="0"/>
        <v>12489</v>
      </c>
      <c r="H12" s="25">
        <f t="shared" si="1"/>
        <v>8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44540</v>
      </c>
      <c r="E13" s="24">
        <v>11425</v>
      </c>
      <c r="F13" s="24">
        <v>1065</v>
      </c>
      <c r="G13" s="24">
        <f t="shared" si="0"/>
        <v>12490</v>
      </c>
      <c r="H13" s="25">
        <f t="shared" si="1"/>
        <v>1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44541</v>
      </c>
      <c r="E14" s="24">
        <v>11425</v>
      </c>
      <c r="F14" s="24">
        <v>1065</v>
      </c>
      <c r="G14" s="24">
        <f t="shared" si="0"/>
        <v>12490</v>
      </c>
      <c r="H14" s="25">
        <f t="shared" si="1"/>
        <v>0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44542</v>
      </c>
      <c r="E15" s="110">
        <v>11428</v>
      </c>
      <c r="F15" s="24">
        <v>1065</v>
      </c>
      <c r="G15" s="24">
        <f t="shared" si="0"/>
        <v>12493</v>
      </c>
      <c r="H15" s="25">
        <f t="shared" si="1"/>
        <v>3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44543</v>
      </c>
      <c r="E16" s="24">
        <v>11429</v>
      </c>
      <c r="F16" s="24">
        <v>1065</v>
      </c>
      <c r="G16" s="24">
        <f t="shared" si="0"/>
        <v>12494</v>
      </c>
      <c r="H16" s="25">
        <f t="shared" si="1"/>
        <v>1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44544</v>
      </c>
      <c r="E17" s="24">
        <v>11430</v>
      </c>
      <c r="F17" s="24">
        <v>1065</v>
      </c>
      <c r="G17" s="24">
        <f t="shared" si="0"/>
        <v>12495</v>
      </c>
      <c r="H17" s="25">
        <f t="shared" si="1"/>
        <v>1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44545</v>
      </c>
      <c r="E18" s="24">
        <v>11456</v>
      </c>
      <c r="F18" s="24">
        <v>1065</v>
      </c>
      <c r="G18" s="24">
        <f t="shared" si="0"/>
        <v>12521</v>
      </c>
      <c r="H18" s="25">
        <f t="shared" si="1"/>
        <v>26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44546</v>
      </c>
      <c r="E19" s="24">
        <v>11463</v>
      </c>
      <c r="F19" s="24">
        <v>1065</v>
      </c>
      <c r="G19" s="24">
        <f t="shared" si="0"/>
        <v>12528</v>
      </c>
      <c r="H19" s="25">
        <f t="shared" si="1"/>
        <v>7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44547</v>
      </c>
      <c r="E20" s="24">
        <v>11464</v>
      </c>
      <c r="F20" s="24">
        <v>1065</v>
      </c>
      <c r="G20" s="24">
        <f t="shared" si="0"/>
        <v>12529</v>
      </c>
      <c r="H20" s="25">
        <f t="shared" si="1"/>
        <v>1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44548</v>
      </c>
      <c r="E21" s="24">
        <v>11464</v>
      </c>
      <c r="F21" s="24">
        <v>1065</v>
      </c>
      <c r="G21" s="24">
        <f t="shared" si="0"/>
        <v>12529</v>
      </c>
      <c r="H21" s="25">
        <f t="shared" si="1"/>
        <v>0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44549</v>
      </c>
      <c r="E22" s="24">
        <v>11464</v>
      </c>
      <c r="F22" s="24">
        <v>1065</v>
      </c>
      <c r="G22" s="24">
        <f t="shared" si="0"/>
        <v>12529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44550</v>
      </c>
      <c r="E23" s="24">
        <v>11464</v>
      </c>
      <c r="F23" s="24">
        <v>1065</v>
      </c>
      <c r="G23" s="24">
        <f t="shared" si="0"/>
        <v>12529</v>
      </c>
      <c r="H23" s="25">
        <f t="shared" si="1"/>
        <v>0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44551</v>
      </c>
      <c r="E24" s="24">
        <v>11465</v>
      </c>
      <c r="F24" s="24">
        <v>1065</v>
      </c>
      <c r="G24" s="24">
        <f t="shared" si="0"/>
        <v>12530</v>
      </c>
      <c r="H24" s="25">
        <f t="shared" si="1"/>
        <v>1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44552</v>
      </c>
      <c r="E25" s="24">
        <v>11466</v>
      </c>
      <c r="F25" s="24">
        <v>1065</v>
      </c>
      <c r="G25" s="24">
        <f t="shared" si="0"/>
        <v>12531</v>
      </c>
      <c r="H25" s="25">
        <f t="shared" si="1"/>
        <v>1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44553</v>
      </c>
      <c r="E26" s="24">
        <v>11466</v>
      </c>
      <c r="F26" s="24">
        <v>1065</v>
      </c>
      <c r="G26" s="24">
        <f t="shared" si="0"/>
        <v>12531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44554</v>
      </c>
      <c r="E27" s="24">
        <v>11487</v>
      </c>
      <c r="F27" s="24">
        <v>1065</v>
      </c>
      <c r="G27" s="24">
        <f t="shared" si="0"/>
        <v>12552</v>
      </c>
      <c r="H27" s="25">
        <f t="shared" si="1"/>
        <v>21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44555</v>
      </c>
      <c r="E28" s="24">
        <v>11487</v>
      </c>
      <c r="F28" s="24">
        <v>1065</v>
      </c>
      <c r="G28" s="24">
        <f t="shared" si="0"/>
        <v>12552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44556</v>
      </c>
      <c r="E29" s="24">
        <v>11488</v>
      </c>
      <c r="F29" s="24">
        <v>1065</v>
      </c>
      <c r="G29" s="24">
        <f t="shared" si="0"/>
        <v>12553</v>
      </c>
      <c r="H29" s="25">
        <f t="shared" si="1"/>
        <v>1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44557</v>
      </c>
      <c r="E30" s="24">
        <v>11491</v>
      </c>
      <c r="F30" s="24">
        <v>1065</v>
      </c>
      <c r="G30" s="24">
        <f t="shared" si="0"/>
        <v>12556</v>
      </c>
      <c r="H30" s="25">
        <f t="shared" si="1"/>
        <v>3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44558</v>
      </c>
      <c r="E31" s="24">
        <v>11503</v>
      </c>
      <c r="F31" s="24">
        <v>1065</v>
      </c>
      <c r="G31" s="24">
        <f t="shared" si="0"/>
        <v>12568</v>
      </c>
      <c r="H31" s="25">
        <f t="shared" si="1"/>
        <v>12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44559</v>
      </c>
      <c r="E32" s="24"/>
      <c r="F32" s="24">
        <v>1065</v>
      </c>
      <c r="G32" s="24">
        <f t="shared" si="0"/>
        <v>1065</v>
      </c>
      <c r="H32" s="25">
        <f t="shared" si="1"/>
        <v>-11503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44560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44561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31" sqref="F31:F3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2" t="s">
        <v>37</v>
      </c>
      <c r="E1" s="112"/>
      <c r="F1" s="112"/>
      <c r="G1" s="112"/>
      <c r="H1" s="112"/>
      <c r="I1" s="112"/>
      <c r="J1" s="112"/>
      <c r="K1" s="112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44531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I4-[2]Oct.2021!$I$34</f>
        <v>1.26112399995327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44532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44533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44534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44535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44536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44537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44538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44539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44540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44541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44542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44543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44544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44545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44546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44547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44548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44549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44550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44551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44552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44553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44554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44555</v>
      </c>
      <c r="E28" s="24">
        <v>760788</v>
      </c>
      <c r="F28" s="24">
        <v>172142</v>
      </c>
      <c r="G28" s="24">
        <f t="shared" si="0"/>
        <v>932930</v>
      </c>
      <c r="H28" s="18">
        <v>1.2611239999999999</v>
      </c>
      <c r="I28" s="24">
        <f t="shared" si="1"/>
        <v>1176540.4133199998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44556</v>
      </c>
      <c r="E29" s="24">
        <v>760788</v>
      </c>
      <c r="F29" s="24">
        <v>172142</v>
      </c>
      <c r="G29" s="24">
        <f t="shared" si="0"/>
        <v>932930</v>
      </c>
      <c r="H29" s="18">
        <v>1.2611239999999999</v>
      </c>
      <c r="I29" s="24">
        <f t="shared" si="1"/>
        <v>1176540.4133199998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44557</v>
      </c>
      <c r="E30" s="24">
        <v>760788</v>
      </c>
      <c r="F30" s="24">
        <v>172142</v>
      </c>
      <c r="G30" s="24">
        <f t="shared" si="0"/>
        <v>932930</v>
      </c>
      <c r="H30" s="18">
        <v>1.2611239999999999</v>
      </c>
      <c r="I30" s="24">
        <f t="shared" si="1"/>
        <v>1176540.4133199998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44558</v>
      </c>
      <c r="E31" s="24">
        <v>760788</v>
      </c>
      <c r="F31" s="24">
        <v>172142</v>
      </c>
      <c r="G31" s="24">
        <f t="shared" si="0"/>
        <v>932930</v>
      </c>
      <c r="H31" s="18">
        <v>1.2611239999999999</v>
      </c>
      <c r="I31" s="24">
        <f t="shared" si="1"/>
        <v>1176540.4133199998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44559</v>
      </c>
      <c r="E32" s="24">
        <v>760788</v>
      </c>
      <c r="F32" s="24">
        <v>172142</v>
      </c>
      <c r="G32" s="24">
        <f t="shared" si="0"/>
        <v>932930</v>
      </c>
      <c r="H32" s="18">
        <v>1.2611239999999999</v>
      </c>
      <c r="I32" s="24">
        <f t="shared" si="1"/>
        <v>1176540.4133199998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44560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-1176540.4133199998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44561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0.252224799990654</v>
      </c>
      <c r="M37" s="17">
        <f>+(L37*31)</f>
        <v>7.8189687997102739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0" workbookViewId="0">
      <selection activeCell="F33" sqref="F3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2" t="s">
        <v>38</v>
      </c>
      <c r="F1" s="112"/>
      <c r="G1" s="112"/>
      <c r="H1" s="112"/>
      <c r="I1" s="112"/>
      <c r="J1" s="112"/>
      <c r="K1" s="31"/>
      <c r="L1" s="31"/>
      <c r="M1" s="31"/>
      <c r="N1" s="31"/>
      <c r="O1" s="17"/>
      <c r="P1" s="17"/>
      <c r="Q1" s="112"/>
      <c r="R1" s="112"/>
      <c r="S1" s="112"/>
      <c r="T1" s="112"/>
      <c r="U1" s="112"/>
      <c r="V1" s="112"/>
      <c r="W1" s="112"/>
      <c r="X1" s="112"/>
      <c r="Y1" s="17"/>
      <c r="Z1" s="112"/>
      <c r="AA1" s="112"/>
      <c r="AB1" s="112"/>
      <c r="AC1" s="112"/>
      <c r="AD1" s="112"/>
      <c r="AE1" s="112"/>
      <c r="AF1" s="112"/>
      <c r="AG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3"/>
      <c r="AP3" s="114"/>
      <c r="AQ3" s="113"/>
      <c r="AR3" s="114"/>
      <c r="AS3" s="113"/>
      <c r="AT3" s="114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44531</v>
      </c>
      <c r="F4" s="92">
        <v>4764.1850000000004</v>
      </c>
      <c r="G4" s="23">
        <v>2760</v>
      </c>
      <c r="H4" s="24">
        <f>G4*F4</f>
        <v>13149150.600000001</v>
      </c>
      <c r="I4" s="25">
        <v>621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44532</v>
      </c>
      <c r="F5" s="92">
        <v>4764.7430000000004</v>
      </c>
      <c r="G5" s="23">
        <v>2760</v>
      </c>
      <c r="H5" s="24">
        <f t="shared" ref="H5:H34" si="0">G5*F5</f>
        <v>13150690.680000002</v>
      </c>
      <c r="I5" s="25">
        <f>+(H5-H4)</f>
        <v>1540.0800000000745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44533</v>
      </c>
      <c r="F6" s="92">
        <v>4765.32</v>
      </c>
      <c r="G6" s="23">
        <v>2760</v>
      </c>
      <c r="H6" s="24">
        <f t="shared" si="0"/>
        <v>13152283.199999999</v>
      </c>
      <c r="I6" s="25">
        <f t="shared" ref="I6:I34" si="1">+(H6-H5)</f>
        <v>1592.5199999976903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44534</v>
      </c>
      <c r="F7" s="92">
        <v>4765.8109999999997</v>
      </c>
      <c r="G7" s="23">
        <v>2760</v>
      </c>
      <c r="H7" s="24">
        <f t="shared" si="0"/>
        <v>13153638.359999999</v>
      </c>
      <c r="I7" s="25">
        <f t="shared" si="1"/>
        <v>1355.160000000149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44535</v>
      </c>
      <c r="F8" s="92">
        <v>4766.3180000000002</v>
      </c>
      <c r="G8" s="23">
        <v>2760</v>
      </c>
      <c r="H8" s="24">
        <f t="shared" si="0"/>
        <v>13155037.68</v>
      </c>
      <c r="I8" s="25">
        <f t="shared" si="1"/>
        <v>1399.320000000298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44536</v>
      </c>
      <c r="F9" s="92">
        <v>4766.7629999999999</v>
      </c>
      <c r="G9" s="23">
        <v>2760</v>
      </c>
      <c r="H9" s="24">
        <f t="shared" si="0"/>
        <v>13156265.879999999</v>
      </c>
      <c r="I9" s="25">
        <f t="shared" si="1"/>
        <v>1228.1999999992549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44537</v>
      </c>
      <c r="F10" s="92">
        <v>4767.259</v>
      </c>
      <c r="G10" s="23">
        <v>2760</v>
      </c>
      <c r="H10" s="24">
        <f t="shared" si="0"/>
        <v>13157634.84</v>
      </c>
      <c r="I10" s="25">
        <f t="shared" si="1"/>
        <v>1368.9600000008941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44538</v>
      </c>
      <c r="F11" s="92">
        <v>4767.7479999999996</v>
      </c>
      <c r="G11" s="23">
        <v>2760</v>
      </c>
      <c r="H11" s="24">
        <f t="shared" si="0"/>
        <v>13158984.479999999</v>
      </c>
      <c r="I11" s="25">
        <f t="shared" si="1"/>
        <v>1349.6399999987334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44539</v>
      </c>
      <c r="F12" s="92">
        <v>4768.268</v>
      </c>
      <c r="G12" s="23">
        <v>2760</v>
      </c>
      <c r="H12" s="24">
        <f t="shared" si="0"/>
        <v>13160419.68</v>
      </c>
      <c r="I12" s="25">
        <f t="shared" si="1"/>
        <v>1435.2000000011176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44540</v>
      </c>
      <c r="F13" s="92">
        <v>4768.7849999999999</v>
      </c>
      <c r="G13" s="23">
        <v>2760</v>
      </c>
      <c r="H13" s="24">
        <f t="shared" si="0"/>
        <v>13161846.6</v>
      </c>
      <c r="I13" s="25">
        <f t="shared" si="1"/>
        <v>1426.9199999999255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44541</v>
      </c>
      <c r="F14" s="92">
        <v>4769.299</v>
      </c>
      <c r="G14" s="23">
        <v>2760</v>
      </c>
      <c r="H14" s="24">
        <f t="shared" si="0"/>
        <v>13163265.24</v>
      </c>
      <c r="I14" s="25">
        <f t="shared" si="1"/>
        <v>1418.640000000596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44542</v>
      </c>
      <c r="F15" s="92">
        <v>4769.7690000000002</v>
      </c>
      <c r="G15" s="23">
        <v>2760</v>
      </c>
      <c r="H15" s="24">
        <f t="shared" si="0"/>
        <v>13164562.440000001</v>
      </c>
      <c r="I15" s="25">
        <f t="shared" si="1"/>
        <v>1297.2000000011176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44543</v>
      </c>
      <c r="F16" s="92">
        <v>4770.2219999999998</v>
      </c>
      <c r="G16" s="23">
        <v>2760</v>
      </c>
      <c r="H16" s="24">
        <f t="shared" si="0"/>
        <v>13165812.719999999</v>
      </c>
      <c r="I16" s="25">
        <f t="shared" si="1"/>
        <v>1250.2799999974668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44544</v>
      </c>
      <c r="F17" s="92">
        <v>4770.7150000000001</v>
      </c>
      <c r="G17" s="23">
        <v>2760</v>
      </c>
      <c r="H17" s="24">
        <f t="shared" si="0"/>
        <v>13167173.4</v>
      </c>
      <c r="I17" s="25">
        <f t="shared" si="1"/>
        <v>1360.6800000015646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44545</v>
      </c>
      <c r="F18" s="92">
        <v>4771.2150000000001</v>
      </c>
      <c r="G18" s="23">
        <v>2760</v>
      </c>
      <c r="H18" s="24">
        <f t="shared" si="0"/>
        <v>13168553.4</v>
      </c>
      <c r="I18" s="25">
        <f t="shared" si="1"/>
        <v>1380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44546</v>
      </c>
      <c r="F19" s="92">
        <v>4771.7510000000002</v>
      </c>
      <c r="G19" s="23">
        <v>2760</v>
      </c>
      <c r="H19" s="24">
        <f t="shared" si="0"/>
        <v>13170032.76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44547</v>
      </c>
      <c r="F20" s="92">
        <v>4772.29</v>
      </c>
      <c r="G20" s="23">
        <v>2760</v>
      </c>
      <c r="H20" s="24">
        <f t="shared" si="0"/>
        <v>13171520.4</v>
      </c>
      <c r="I20" s="25">
        <f t="shared" si="1"/>
        <v>1487.640000000596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44548</v>
      </c>
      <c r="F21" s="92">
        <v>4772.8370000000004</v>
      </c>
      <c r="G21" s="23">
        <v>2760</v>
      </c>
      <c r="H21" s="24">
        <f t="shared" si="0"/>
        <v>13173030.120000001</v>
      </c>
      <c r="I21" s="25">
        <f t="shared" si="1"/>
        <v>1509.7200000006706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44549</v>
      </c>
      <c r="F22" s="92">
        <v>4773.3900000000003</v>
      </c>
      <c r="G22" s="23">
        <v>2760</v>
      </c>
      <c r="H22" s="24">
        <f t="shared" si="0"/>
        <v>13174556.4</v>
      </c>
      <c r="I22" s="25">
        <f t="shared" si="1"/>
        <v>1526.2799999993294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44550</v>
      </c>
      <c r="F23" s="92">
        <v>4773.8890000000001</v>
      </c>
      <c r="G23" s="23">
        <v>2760</v>
      </c>
      <c r="H23" s="24">
        <f t="shared" si="0"/>
        <v>13175933.640000001</v>
      </c>
      <c r="I23" s="25">
        <f t="shared" si="1"/>
        <v>1377.2400000002235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44551</v>
      </c>
      <c r="F24" s="92">
        <v>4774.4679999999998</v>
      </c>
      <c r="G24" s="23">
        <v>2760</v>
      </c>
      <c r="H24" s="24">
        <f t="shared" si="0"/>
        <v>13177531.68</v>
      </c>
      <c r="I24" s="25">
        <f t="shared" si="1"/>
        <v>1598.0399999991059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44552</v>
      </c>
      <c r="F25" s="92">
        <v>4774.9970000000003</v>
      </c>
      <c r="G25" s="23">
        <v>2760</v>
      </c>
      <c r="H25" s="24">
        <f t="shared" si="0"/>
        <v>13178991.720000001</v>
      </c>
      <c r="I25" s="25">
        <f t="shared" si="1"/>
        <v>1460.0400000009686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44553</v>
      </c>
      <c r="F26" s="92">
        <v>4775.5619999999999</v>
      </c>
      <c r="G26" s="23">
        <v>2760</v>
      </c>
      <c r="H26" s="24">
        <f t="shared" si="0"/>
        <v>13180551.119999999</v>
      </c>
      <c r="I26" s="25">
        <f t="shared" si="1"/>
        <v>1559.3999999985099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44554</v>
      </c>
      <c r="F27" s="92">
        <v>4776.1130000000003</v>
      </c>
      <c r="G27" s="23">
        <v>2760</v>
      </c>
      <c r="H27" s="24">
        <f t="shared" si="0"/>
        <v>13182071.880000001</v>
      </c>
      <c r="I27" s="25">
        <f t="shared" si="1"/>
        <v>1520.7600000016391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44555</v>
      </c>
      <c r="F28" s="92">
        <v>4776.6819999999998</v>
      </c>
      <c r="G28" s="23">
        <v>2760</v>
      </c>
      <c r="H28" s="24">
        <f t="shared" si="0"/>
        <v>13183642.32</v>
      </c>
      <c r="I28" s="25">
        <f t="shared" si="1"/>
        <v>1570.4399999994785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44556</v>
      </c>
      <c r="F29" s="111">
        <v>4777.2110000000002</v>
      </c>
      <c r="G29" s="23">
        <v>2760</v>
      </c>
      <c r="H29" s="24">
        <f t="shared" si="0"/>
        <v>13185102.360000001</v>
      </c>
      <c r="I29" s="25">
        <f t="shared" si="1"/>
        <v>1460.0400000009686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44557</v>
      </c>
      <c r="F30" s="92">
        <v>4777.6379999999999</v>
      </c>
      <c r="G30" s="23">
        <v>2760</v>
      </c>
      <c r="H30" s="24">
        <f t="shared" si="0"/>
        <v>13186280.879999999</v>
      </c>
      <c r="I30" s="25">
        <f t="shared" si="1"/>
        <v>1178.5199999976903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44558</v>
      </c>
      <c r="F31" s="92">
        <v>4778.1779999999999</v>
      </c>
      <c r="G31" s="23">
        <v>2760</v>
      </c>
      <c r="H31" s="24">
        <f t="shared" si="0"/>
        <v>13187771.279999999</v>
      </c>
      <c r="I31" s="25">
        <f t="shared" si="1"/>
        <v>1490.4000000003725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44559</v>
      </c>
      <c r="F32" s="92">
        <v>4778.7290000000003</v>
      </c>
      <c r="G32" s="23">
        <v>2760</v>
      </c>
      <c r="H32" s="24">
        <f t="shared" si="0"/>
        <v>13189292.040000001</v>
      </c>
      <c r="I32" s="25">
        <f t="shared" si="1"/>
        <v>1520.7600000016391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44560</v>
      </c>
      <c r="F33" s="92"/>
      <c r="G33" s="23">
        <v>2760</v>
      </c>
      <c r="H33" s="24">
        <f t="shared" si="0"/>
        <v>0</v>
      </c>
      <c r="I33" s="25">
        <f t="shared" si="1"/>
        <v>-13189292.040000001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44561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2021-12-29T03:41:24Z</dcterms:modified>
</cp:coreProperties>
</file>