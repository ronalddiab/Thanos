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charts/chart2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Engineering Management\Daily Reports (utility)\2022\"/>
    </mc:Choice>
  </mc:AlternateContent>
  <bookViews>
    <workbookView xWindow="180" yWindow="-90" windowWidth="14325" windowHeight="11460" tabRatio="579" activeTab="9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Print_Area" localSheetId="14">'Degree Days 2022'!$A$41:$AJ$92</definedName>
    <definedName name="_xlnm.Print_Area" localSheetId="4">WATER!$A$3:$C$37</definedName>
  </definedNames>
  <calcPr calcId="152511"/>
</workbook>
</file>

<file path=xl/calcChain.xml><?xml version="1.0" encoding="utf-8"?>
<calcChain xmlns="http://schemas.openxmlformats.org/spreadsheetml/2006/main">
  <c r="G32" i="5" l="1"/>
  <c r="G33" i="5" s="1"/>
  <c r="G34" i="5" s="1"/>
  <c r="G35" i="5" s="1"/>
  <c r="G36" i="5" s="1"/>
  <c r="AE33" i="5"/>
  <c r="D25" i="73" l="1"/>
  <c r="D26" i="73"/>
  <c r="D27" i="73"/>
  <c r="D28" i="73"/>
  <c r="D29" i="73"/>
  <c r="D30" i="73"/>
  <c r="D31" i="73"/>
  <c r="D32" i="73"/>
  <c r="D33" i="73"/>
  <c r="D34" i="73"/>
  <c r="D35" i="73"/>
  <c r="AV25" i="7" l="1"/>
  <c r="AV26" i="7" s="1"/>
  <c r="AV27" i="7" s="1"/>
  <c r="AV28" i="7" s="1"/>
  <c r="AV29" i="7" s="1"/>
  <c r="AV30" i="7" s="1"/>
  <c r="AV31" i="7" s="1"/>
  <c r="AV32" i="7" s="1"/>
  <c r="AV33" i="7" s="1"/>
  <c r="AV34" i="7" s="1"/>
  <c r="AV35" i="7" s="1"/>
  <c r="AV36" i="7" s="1"/>
  <c r="AV17" i="7"/>
  <c r="AV18" i="7" s="1"/>
  <c r="AV19" i="7" s="1"/>
  <c r="AV20" i="7" s="1"/>
  <c r="AV21" i="7" s="1"/>
  <c r="AV22" i="7" s="1"/>
  <c r="AV23" i="7" s="1"/>
  <c r="AV24" i="7" s="1"/>
  <c r="H25" i="76" l="1"/>
  <c r="C25" i="76"/>
  <c r="C26" i="76"/>
  <c r="C27" i="76"/>
  <c r="C28" i="76"/>
  <c r="B25" i="76"/>
  <c r="D18" i="2" l="1"/>
  <c r="AZ15" i="5" l="1"/>
  <c r="AM18" i="5" l="1"/>
  <c r="M11" i="1" l="1"/>
  <c r="M12" i="1" s="1"/>
  <c r="M13" i="1" s="1"/>
  <c r="M15" i="1" s="1"/>
  <c r="M17" i="1" s="1"/>
  <c r="M18" i="1" s="1"/>
  <c r="M19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9" i="1"/>
  <c r="C11" i="1"/>
  <c r="C12" i="1" s="1"/>
  <c r="C13" i="1" s="1"/>
  <c r="C17" i="1" s="1"/>
  <c r="C18" i="1" s="1"/>
  <c r="C19" i="1" s="1"/>
  <c r="C25" i="1" s="1"/>
  <c r="C26" i="1" s="1"/>
  <c r="C30" i="1" s="1"/>
  <c r="C31" i="1" s="1"/>
  <c r="C32" i="1" s="1"/>
  <c r="C33" i="1" s="1"/>
  <c r="C34" i="1" s="1"/>
  <c r="C35" i="1" s="1"/>
  <c r="B11" i="1"/>
  <c r="B12" i="1" s="1"/>
  <c r="B13" i="1" s="1"/>
  <c r="B17" i="1" s="1"/>
  <c r="B18" i="1" s="1"/>
  <c r="B19" i="1" s="1"/>
  <c r="B25" i="1" s="1"/>
  <c r="B26" i="1" s="1"/>
  <c r="B30" i="1" s="1"/>
  <c r="B31" i="1" s="1"/>
  <c r="B32" i="1" s="1"/>
  <c r="B33" i="1" s="1"/>
  <c r="B34" i="1" s="1"/>
  <c r="B35" i="1" s="1"/>
  <c r="P10" i="2"/>
  <c r="P11" i="2" s="1"/>
  <c r="P12" i="2" s="1"/>
  <c r="P16" i="2" s="1"/>
  <c r="P17" i="2" s="1"/>
  <c r="P18" i="2" s="1"/>
  <c r="P24" i="2" s="1"/>
  <c r="P25" i="2" s="1"/>
  <c r="P29" i="2" s="1"/>
  <c r="P30" i="2" s="1"/>
  <c r="P31" i="2" s="1"/>
  <c r="P32" i="2" s="1"/>
  <c r="P33" i="2" s="1"/>
  <c r="P34" i="2" s="1"/>
  <c r="L10" i="2"/>
  <c r="L11" i="2" s="1"/>
  <c r="L12" i="2" s="1"/>
  <c r="L16" i="2" s="1"/>
  <c r="L17" i="2" s="1"/>
  <c r="L18" i="2" s="1"/>
  <c r="L24" i="2" s="1"/>
  <c r="L25" i="2" s="1"/>
  <c r="L29" i="2" s="1"/>
  <c r="L30" i="2" s="1"/>
  <c r="L31" i="2" s="1"/>
  <c r="L32" i="2" s="1"/>
  <c r="L33" i="2" s="1"/>
  <c r="L34" i="2" s="1"/>
  <c r="J10" i="2"/>
  <c r="J11" i="2" s="1"/>
  <c r="J12" i="2" s="1"/>
  <c r="J16" i="2" s="1"/>
  <c r="J17" i="2" s="1"/>
  <c r="J18" i="2" s="1"/>
  <c r="J24" i="2" s="1"/>
  <c r="J25" i="2" s="1"/>
  <c r="J29" i="2" s="1"/>
  <c r="J30" i="2" s="1"/>
  <c r="J31" i="2" s="1"/>
  <c r="J32" i="2" s="1"/>
  <c r="J33" i="2" s="1"/>
  <c r="J34" i="2" s="1"/>
  <c r="H10" i="2"/>
  <c r="H11" i="2" s="1"/>
  <c r="H12" i="2" s="1"/>
  <c r="H16" i="2" s="1"/>
  <c r="H17" i="2" s="1"/>
  <c r="H18" i="2" s="1"/>
  <c r="H24" i="2" s="1"/>
  <c r="H25" i="2" s="1"/>
  <c r="H29" i="2" s="1"/>
  <c r="H30" i="2" s="1"/>
  <c r="H31" i="2" s="1"/>
  <c r="H32" i="2" s="1"/>
  <c r="H33" i="2" s="1"/>
  <c r="H34" i="2" s="1"/>
  <c r="F10" i="2"/>
  <c r="F11" i="2" s="1"/>
  <c r="F12" i="2" s="1"/>
  <c r="F16" i="2" s="1"/>
  <c r="F17" i="2" s="1"/>
  <c r="F18" i="2" s="1"/>
  <c r="F24" i="2" s="1"/>
  <c r="F25" i="2" s="1"/>
  <c r="F29" i="2" s="1"/>
  <c r="F30" i="2" s="1"/>
  <c r="F31" i="2" s="1"/>
  <c r="F32" i="2" s="1"/>
  <c r="F33" i="2" s="1"/>
  <c r="F34" i="2" s="1"/>
  <c r="J3" i="76" l="1"/>
  <c r="H3" i="76"/>
  <c r="F3" i="76"/>
  <c r="B3" i="76"/>
  <c r="A3" i="76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A5" i="7"/>
  <c r="R2" i="3"/>
  <c r="J8" i="3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20" i="3" s="1"/>
  <c r="J21" i="3" s="1"/>
  <c r="J22" i="3" s="1"/>
  <c r="J23" i="3" s="1"/>
  <c r="J24" i="3" s="1"/>
  <c r="J27" i="3" s="1"/>
  <c r="J28" i="3" s="1"/>
  <c r="J29" i="3" s="1"/>
  <c r="J30" i="3" s="1"/>
  <c r="J31" i="3" s="1"/>
  <c r="J32" i="3" s="1"/>
  <c r="J33" i="3" s="1"/>
  <c r="J6" i="3"/>
  <c r="J2" i="3"/>
  <c r="B9" i="3"/>
  <c r="B10" i="3" s="1"/>
  <c r="B11" i="3" s="1"/>
  <c r="B15" i="3" s="1"/>
  <c r="B16" i="3" s="1"/>
  <c r="B23" i="3" s="1"/>
  <c r="B24" i="3" s="1"/>
  <c r="B28" i="3" s="1"/>
  <c r="B29" i="3" s="1"/>
  <c r="B30" i="3" s="1"/>
  <c r="B31" i="3" s="1"/>
  <c r="B32" i="3" s="1"/>
  <c r="B33" i="3" s="1"/>
  <c r="B3" i="3"/>
  <c r="C2" i="3"/>
  <c r="B2" i="3"/>
  <c r="A2" i="3"/>
  <c r="AR5" i="5"/>
  <c r="X5" i="5"/>
  <c r="T5" i="5"/>
  <c r="G9" i="5"/>
  <c r="G10" i="5"/>
  <c r="G11" i="5"/>
  <c r="G12" i="5"/>
  <c r="G13" i="5" s="1"/>
  <c r="G14" i="5" s="1"/>
  <c r="G15" i="5" s="1"/>
  <c r="G17" i="5" s="1"/>
  <c r="G18" i="5" s="1"/>
  <c r="G19" i="5" s="1"/>
  <c r="G20" i="5" s="1"/>
  <c r="G21" i="5" s="1"/>
  <c r="G22" i="5" s="1"/>
  <c r="G23" i="5" s="1"/>
  <c r="G24" i="5" s="1"/>
  <c r="G25" i="5" s="1"/>
  <c r="G26" i="5" s="1"/>
  <c r="G27" i="5" s="1"/>
  <c r="G28" i="5" s="1"/>
  <c r="G29" i="5" s="1"/>
  <c r="G5" i="5"/>
  <c r="A5" i="5"/>
  <c r="AE4" i="1"/>
  <c r="Z10" i="1"/>
  <c r="Z11" i="1" s="1"/>
  <c r="Z12" i="1" s="1"/>
  <c r="Z13" i="1" s="1"/>
  <c r="Z15" i="1" s="1"/>
  <c r="Z16" i="1" s="1"/>
  <c r="Z17" i="1" s="1"/>
  <c r="Z18" i="1" s="1"/>
  <c r="Z19" i="1" s="1"/>
  <c r="Z22" i="1" s="1"/>
  <c r="Z23" i="1" s="1"/>
  <c r="Z24" i="1" s="1"/>
  <c r="Z25" i="1" s="1"/>
  <c r="Z26" i="1" s="1"/>
  <c r="Z27" i="1" s="1"/>
  <c r="Z29" i="1" s="1"/>
  <c r="Z30" i="1" s="1"/>
  <c r="Z31" i="1" s="1"/>
  <c r="Z32" i="1" s="1"/>
  <c r="Z33" i="1" s="1"/>
  <c r="Z34" i="1" s="1"/>
  <c r="Z35" i="1" s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2" i="1" s="1"/>
  <c r="Q23" i="1" s="1"/>
  <c r="Q24" i="1" s="1"/>
  <c r="Q25" i="1" s="1"/>
  <c r="Q26" i="1" s="1"/>
  <c r="Q27" i="1" s="1"/>
  <c r="Q28" i="1" s="1"/>
  <c r="Q30" i="1" s="1"/>
  <c r="Q31" i="1" s="1"/>
  <c r="Q32" i="1" s="1"/>
  <c r="Q33" i="1" s="1"/>
  <c r="Q34" i="1" s="1"/>
  <c r="Q35" i="1" s="1"/>
  <c r="Q4" i="1"/>
  <c r="M5" i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2" i="1" s="1"/>
  <c r="H25" i="1" s="1"/>
  <c r="H26" i="1" s="1"/>
  <c r="H30" i="1" s="1"/>
  <c r="H31" i="1" s="1"/>
  <c r="H32" i="1" s="1"/>
  <c r="H33" i="1" s="1"/>
  <c r="H34" i="1" s="1"/>
  <c r="H35" i="1" s="1"/>
  <c r="F8" i="1"/>
  <c r="F9" i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4" i="1" s="1"/>
  <c r="F25" i="1" s="1"/>
  <c r="F26" i="1" s="1"/>
  <c r="F30" i="1" s="1"/>
  <c r="F31" i="1" s="1"/>
  <c r="F32" i="1" s="1"/>
  <c r="F33" i="1" s="1"/>
  <c r="F34" i="1" s="1"/>
  <c r="F35" i="1" s="1"/>
  <c r="B5" i="1"/>
  <c r="B6" i="7" s="1"/>
  <c r="AN4" i="1"/>
  <c r="Z4" i="1"/>
  <c r="X4" i="1"/>
  <c r="P4" i="1"/>
  <c r="M4" i="1"/>
  <c r="K4" i="1"/>
  <c r="I4" i="1"/>
  <c r="J4" i="1"/>
  <c r="L4" i="1"/>
  <c r="N4" i="1"/>
  <c r="O4" i="1"/>
  <c r="R4" i="1"/>
  <c r="S4" i="1"/>
  <c r="T4" i="1"/>
  <c r="U4" i="1"/>
  <c r="V4" i="1"/>
  <c r="W4" i="1"/>
  <c r="Y4" i="1"/>
  <c r="AA4" i="1"/>
  <c r="AB4" i="1"/>
  <c r="AD4" i="1"/>
  <c r="AF4" i="1"/>
  <c r="AG4" i="1"/>
  <c r="AH4" i="1"/>
  <c r="H4" i="1"/>
  <c r="F4" i="1"/>
  <c r="C4" i="1"/>
  <c r="Z5" i="7" s="1"/>
  <c r="B4" i="1"/>
  <c r="B5" i="7" s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" i="2"/>
  <c r="AA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" i="2"/>
  <c r="W4" i="2"/>
  <c r="W6" i="2"/>
  <c r="W7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" i="2"/>
  <c r="Q3" i="2"/>
  <c r="P4" i="2"/>
  <c r="P3" i="2"/>
  <c r="L4" i="2"/>
  <c r="L3" i="2"/>
  <c r="C3" i="2"/>
  <c r="J4" i="2"/>
  <c r="J3" i="2"/>
  <c r="H4" i="2"/>
  <c r="H3" i="2"/>
  <c r="F4" i="2"/>
  <c r="F3" i="2"/>
  <c r="D4" i="2"/>
  <c r="D3" i="2"/>
  <c r="D10" i="2" l="1"/>
  <c r="D11" i="2" s="1"/>
  <c r="D12" i="2" s="1"/>
  <c r="D17" i="2" s="1"/>
  <c r="D24" i="2" s="1"/>
  <c r="D25" i="2" s="1"/>
  <c r="D29" i="2" s="1"/>
  <c r="D30" i="2" s="1"/>
  <c r="D31" i="2" s="1"/>
  <c r="D32" i="2" s="1"/>
  <c r="D33" i="2" s="1"/>
  <c r="D34" i="2" s="1"/>
  <c r="D24" i="73" l="1"/>
  <c r="D23" i="73"/>
  <c r="D22" i="73"/>
  <c r="AF14" i="1" l="1"/>
  <c r="AF15" i="1"/>
  <c r="AF16" i="1"/>
  <c r="AF17" i="1"/>
  <c r="C3" i="76" l="1"/>
  <c r="D3" i="76"/>
  <c r="E3" i="76"/>
  <c r="G3" i="76"/>
  <c r="I3" i="76"/>
  <c r="K3" i="76"/>
  <c r="L3" i="76"/>
  <c r="M3" i="76"/>
  <c r="N3" i="76"/>
  <c r="O3" i="76"/>
  <c r="P3" i="76"/>
  <c r="Q3" i="76"/>
  <c r="R3" i="76"/>
  <c r="S3" i="76"/>
  <c r="T3" i="76"/>
  <c r="AR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S5" i="7"/>
  <c r="AT5" i="7"/>
  <c r="AU5" i="7"/>
  <c r="AV5" i="7"/>
  <c r="AW5" i="7"/>
  <c r="AX5" i="7"/>
  <c r="AQ5" i="7"/>
  <c r="F2" i="3"/>
  <c r="G2" i="3"/>
  <c r="H2" i="3"/>
  <c r="I2" i="3"/>
  <c r="K2" i="3"/>
  <c r="M2" i="3"/>
  <c r="N2" i="3"/>
  <c r="O2" i="3"/>
  <c r="P2" i="3"/>
  <c r="Q2" i="3"/>
  <c r="S2" i="3"/>
  <c r="U2" i="3"/>
  <c r="V2" i="3"/>
  <c r="W2" i="3"/>
  <c r="X2" i="3"/>
  <c r="Y2" i="3"/>
  <c r="Z2" i="3"/>
  <c r="AA2" i="3"/>
  <c r="AB2" i="3"/>
  <c r="AC2" i="3"/>
  <c r="AD2" i="3"/>
  <c r="AE2" i="3"/>
  <c r="AF2" i="3"/>
  <c r="AG2" i="3"/>
  <c r="AH2" i="3"/>
  <c r="AI2" i="3"/>
  <c r="AJ2" i="3"/>
  <c r="AK2" i="3"/>
  <c r="AL2" i="3"/>
  <c r="AU5" i="5"/>
  <c r="AW5" i="5"/>
  <c r="AY5" i="5"/>
  <c r="AZ5" i="5"/>
  <c r="BA5" i="5"/>
  <c r="BB5" i="5"/>
  <c r="BC5" i="5"/>
  <c r="BD5" i="5"/>
  <c r="BE5" i="5"/>
  <c r="BF5" i="5"/>
  <c r="BG5" i="5"/>
  <c r="AT6" i="5"/>
  <c r="AT7" i="5" s="1"/>
  <c r="AT8" i="5" s="1"/>
  <c r="C5" i="5"/>
  <c r="D5" i="5"/>
  <c r="E5" i="5"/>
  <c r="F5" i="5"/>
  <c r="H5" i="5"/>
  <c r="I5" i="5"/>
  <c r="J5" i="5"/>
  <c r="K5" i="5"/>
  <c r="L5" i="5"/>
  <c r="M5" i="5"/>
  <c r="N5" i="5"/>
  <c r="O5" i="5"/>
  <c r="P5" i="5"/>
  <c r="Q5" i="5"/>
  <c r="R5" i="5"/>
  <c r="S5" i="5"/>
  <c r="U5" i="5"/>
  <c r="V5" i="5"/>
  <c r="W5" i="5"/>
  <c r="Z5" i="5"/>
  <c r="AC5" i="5"/>
  <c r="AE5" i="5"/>
  <c r="AF5" i="5"/>
  <c r="AG5" i="5"/>
  <c r="AH5" i="5"/>
  <c r="AI5" i="5"/>
  <c r="AM5" i="5"/>
  <c r="AN5" i="5"/>
  <c r="AO5" i="5"/>
  <c r="AP5" i="5"/>
  <c r="B5" i="5"/>
  <c r="D4" i="1"/>
  <c r="E4" i="1"/>
  <c r="G4" i="1"/>
  <c r="AI4" i="1"/>
  <c r="AJ4" i="1"/>
  <c r="AK4" i="1"/>
  <c r="AL4" i="1"/>
  <c r="AM4" i="1"/>
  <c r="AO4" i="1"/>
  <c r="AQ4" i="1"/>
  <c r="AR4" i="1"/>
  <c r="AS4" i="1"/>
  <c r="AT4" i="1"/>
  <c r="AU4" i="1"/>
  <c r="AV4" i="1"/>
  <c r="AW4" i="1"/>
  <c r="G3" i="2"/>
  <c r="I3" i="2"/>
  <c r="K3" i="2"/>
  <c r="M3" i="2"/>
  <c r="O3" i="2"/>
  <c r="R3" i="2"/>
  <c r="T3" i="2"/>
  <c r="U3" i="2"/>
  <c r="V3" i="2"/>
  <c r="X3" i="2"/>
  <c r="Z3" i="2"/>
  <c r="AB3" i="2"/>
  <c r="AD3" i="2"/>
  <c r="AE3" i="2"/>
  <c r="AF3" i="2"/>
  <c r="AG3" i="2"/>
  <c r="E3" i="2"/>
  <c r="N3" i="2" l="1"/>
  <c r="C20" i="77"/>
  <c r="C18" i="77"/>
  <c r="C16" i="77"/>
  <c r="C15" i="77"/>
  <c r="C14" i="77"/>
  <c r="F49" i="74" l="1"/>
  <c r="G49" i="74"/>
  <c r="F50" i="74"/>
  <c r="G50" i="74"/>
  <c r="F51" i="74"/>
  <c r="G51" i="74"/>
  <c r="F52" i="74"/>
  <c r="G52" i="74"/>
  <c r="F53" i="74"/>
  <c r="G53" i="74"/>
  <c r="F54" i="74"/>
  <c r="G54" i="74"/>
  <c r="F55" i="74"/>
  <c r="G55" i="74"/>
  <c r="F56" i="74"/>
  <c r="G56" i="74"/>
  <c r="F57" i="74"/>
  <c r="G57" i="74"/>
  <c r="F58" i="74"/>
  <c r="G58" i="74"/>
  <c r="F59" i="74"/>
  <c r="G59" i="74"/>
  <c r="F60" i="74"/>
  <c r="G60" i="74"/>
  <c r="F61" i="74"/>
  <c r="G61" i="74"/>
  <c r="F62" i="74"/>
  <c r="G62" i="74"/>
  <c r="F63" i="74"/>
  <c r="G63" i="74"/>
  <c r="F64" i="74"/>
  <c r="G64" i="74"/>
  <c r="F65" i="74"/>
  <c r="G65" i="74"/>
  <c r="F66" i="74"/>
  <c r="G66" i="74"/>
  <c r="F67" i="74"/>
  <c r="G67" i="74"/>
  <c r="F68" i="74"/>
  <c r="G68" i="74"/>
  <c r="F69" i="74"/>
  <c r="G69" i="74"/>
  <c r="F70" i="74"/>
  <c r="G70" i="74"/>
  <c r="F71" i="74"/>
  <c r="G71" i="74"/>
  <c r="F72" i="74"/>
  <c r="G72" i="74"/>
  <c r="F73" i="74"/>
  <c r="G73" i="74"/>
  <c r="F74" i="74"/>
  <c r="G74" i="74"/>
  <c r="F75" i="74"/>
  <c r="G75" i="74"/>
  <c r="F76" i="74"/>
  <c r="G76" i="74"/>
  <c r="F77" i="74"/>
  <c r="G77" i="74"/>
  <c r="F78" i="74"/>
  <c r="G78" i="74"/>
  <c r="G48" i="74"/>
  <c r="F48" i="74"/>
  <c r="J49" i="74"/>
  <c r="K49" i="74"/>
  <c r="J50" i="74"/>
  <c r="K50" i="74"/>
  <c r="J51" i="74"/>
  <c r="K51" i="74"/>
  <c r="J52" i="74"/>
  <c r="K52" i="74"/>
  <c r="J53" i="74"/>
  <c r="K53" i="74"/>
  <c r="J54" i="74"/>
  <c r="K54" i="74"/>
  <c r="J55" i="74"/>
  <c r="K55" i="74"/>
  <c r="J56" i="74"/>
  <c r="K56" i="74"/>
  <c r="J57" i="74"/>
  <c r="K57" i="74"/>
  <c r="J58" i="74"/>
  <c r="K58" i="74"/>
  <c r="J59" i="74"/>
  <c r="K59" i="74"/>
  <c r="J60" i="74"/>
  <c r="K60" i="74"/>
  <c r="J61" i="74"/>
  <c r="K61" i="74"/>
  <c r="J62" i="74"/>
  <c r="K62" i="74"/>
  <c r="J63" i="74"/>
  <c r="K63" i="74"/>
  <c r="J64" i="74"/>
  <c r="K64" i="74"/>
  <c r="J65" i="74"/>
  <c r="K65" i="74"/>
  <c r="J66" i="74"/>
  <c r="K66" i="74"/>
  <c r="J67" i="74"/>
  <c r="K67" i="74"/>
  <c r="J68" i="74"/>
  <c r="K68" i="74"/>
  <c r="J69" i="74"/>
  <c r="K69" i="74"/>
  <c r="J70" i="74"/>
  <c r="K70" i="74"/>
  <c r="J71" i="74"/>
  <c r="K71" i="74"/>
  <c r="J72" i="74"/>
  <c r="K72" i="74"/>
  <c r="J73" i="74"/>
  <c r="K73" i="74"/>
  <c r="J74" i="74"/>
  <c r="K74" i="74"/>
  <c r="J75" i="74"/>
  <c r="K75" i="74"/>
  <c r="J76" i="74"/>
  <c r="K76" i="74"/>
  <c r="J77" i="74"/>
  <c r="K77" i="74"/>
  <c r="K48" i="74"/>
  <c r="J48" i="74"/>
  <c r="W13" i="76"/>
  <c r="W15" i="76"/>
  <c r="X15" i="76"/>
  <c r="Y15" i="76"/>
  <c r="W4" i="76"/>
  <c r="AC11" i="76"/>
  <c r="AC12" i="76"/>
  <c r="AC13" i="76"/>
  <c r="AC14" i="76"/>
  <c r="AC15" i="76"/>
  <c r="AC16" i="76"/>
  <c r="AC17" i="76"/>
  <c r="AC18" i="76"/>
  <c r="AC19" i="76"/>
  <c r="AB11" i="76"/>
  <c r="AB12" i="76"/>
  <c r="AB13" i="76"/>
  <c r="AB14" i="76"/>
  <c r="AB15" i="76"/>
  <c r="AB16" i="76"/>
  <c r="AB17" i="76"/>
  <c r="AB18" i="76"/>
  <c r="AB19" i="76"/>
  <c r="AA11" i="76"/>
  <c r="AA12" i="76"/>
  <c r="AA13" i="76"/>
  <c r="AA14" i="76"/>
  <c r="AA15" i="76"/>
  <c r="AA16" i="76"/>
  <c r="AA17" i="76"/>
  <c r="AA18" i="76"/>
  <c r="V10" i="76"/>
  <c r="W10" i="76"/>
  <c r="X10" i="76"/>
  <c r="Y10" i="76"/>
  <c r="Z10" i="76"/>
  <c r="AA10" i="76"/>
  <c r="AB10" i="76"/>
  <c r="AC10" i="76"/>
  <c r="AD10" i="76"/>
  <c r="AE10" i="76"/>
  <c r="AF10" i="76"/>
  <c r="V11" i="76"/>
  <c r="W11" i="76"/>
  <c r="X11" i="76"/>
  <c r="Y11" i="76"/>
  <c r="Z11" i="76"/>
  <c r="AD11" i="76"/>
  <c r="AE11" i="76"/>
  <c r="AF11" i="76"/>
  <c r="W9" i="76"/>
  <c r="X9" i="76"/>
  <c r="Y9" i="76"/>
  <c r="Z9" i="76"/>
  <c r="AA9" i="76"/>
  <c r="AB9" i="76"/>
  <c r="AC9" i="76"/>
  <c r="AD9" i="76"/>
  <c r="AE9" i="76"/>
  <c r="AF9" i="76"/>
  <c r="V9" i="76"/>
  <c r="B4" i="76"/>
  <c r="B5" i="76" s="1"/>
  <c r="B6" i="76" s="1"/>
  <c r="B7" i="76" s="1"/>
  <c r="B8" i="76" s="1"/>
  <c r="B9" i="76" s="1"/>
  <c r="B10" i="76" s="1"/>
  <c r="B11" i="76" s="1"/>
  <c r="B12" i="76" s="1"/>
  <c r="B13" i="76" s="1"/>
  <c r="B14" i="76" s="1"/>
  <c r="B15" i="76" s="1"/>
  <c r="B16" i="76" s="1"/>
  <c r="B17" i="76" s="1"/>
  <c r="B18" i="76" s="1"/>
  <c r="B19" i="76" s="1"/>
  <c r="B20" i="76" s="1"/>
  <c r="B21" i="76" s="1"/>
  <c r="B23" i="76" s="1"/>
  <c r="B24" i="76" s="1"/>
  <c r="B26" i="76" s="1"/>
  <c r="B27" i="76" s="1"/>
  <c r="B28" i="76" s="1"/>
  <c r="B29" i="76" s="1"/>
  <c r="B30" i="76" s="1"/>
  <c r="B31" i="76" s="1"/>
  <c r="B32" i="76" s="1"/>
  <c r="B33" i="76" s="1"/>
  <c r="B34" i="76" s="1"/>
  <c r="H4" i="76"/>
  <c r="H5" i="76" s="1"/>
  <c r="H6" i="76" s="1"/>
  <c r="H7" i="76" s="1"/>
  <c r="H8" i="76" s="1"/>
  <c r="H9" i="76" s="1"/>
  <c r="H10" i="76" s="1"/>
  <c r="H11" i="76" s="1"/>
  <c r="H12" i="76" s="1"/>
  <c r="H13" i="76" s="1"/>
  <c r="H14" i="76" s="1"/>
  <c r="H15" i="76" s="1"/>
  <c r="H16" i="76" s="1"/>
  <c r="H17" i="76" s="1"/>
  <c r="H18" i="76" s="1"/>
  <c r="H19" i="76" s="1"/>
  <c r="H20" i="76" s="1"/>
  <c r="H21" i="76" s="1"/>
  <c r="H23" i="76" s="1"/>
  <c r="H24" i="76" s="1"/>
  <c r="H26" i="76" s="1"/>
  <c r="H27" i="76" s="1"/>
  <c r="H28" i="76" s="1"/>
  <c r="H29" i="76" s="1"/>
  <c r="H30" i="76" s="1"/>
  <c r="H31" i="76" s="1"/>
  <c r="H32" i="76" s="1"/>
  <c r="H33" i="76" s="1"/>
  <c r="H34" i="76" s="1"/>
  <c r="AY5" i="7"/>
  <c r="AZ5" i="7"/>
  <c r="BA5" i="7"/>
  <c r="BB5" i="7"/>
  <c r="AV36" i="5"/>
  <c r="AX36" i="5"/>
  <c r="AS5" i="5"/>
  <c r="Q5" i="1"/>
  <c r="P5" i="1"/>
  <c r="P6" i="1" s="1"/>
  <c r="P7" i="1" s="1"/>
  <c r="P8" i="1" s="1"/>
  <c r="P9" i="1" s="1"/>
  <c r="P10" i="1" s="1"/>
  <c r="P11" i="1" s="1"/>
  <c r="P12" i="1" s="1"/>
  <c r="P13" i="1" s="1"/>
  <c r="P14" i="1" s="1"/>
  <c r="F5" i="1"/>
  <c r="F7" i="1" s="1"/>
  <c r="H5" i="1"/>
  <c r="K5" i="1"/>
  <c r="K6" i="1" s="1"/>
  <c r="K7" i="1" s="1"/>
  <c r="K9" i="1" s="1"/>
  <c r="K11" i="1" s="1"/>
  <c r="K12" i="1" s="1"/>
  <c r="K13" i="1" s="1"/>
  <c r="K15" i="1" s="1"/>
  <c r="K17" i="1" s="1"/>
  <c r="K18" i="1" s="1"/>
  <c r="K19" i="1" s="1"/>
  <c r="K21" i="1" s="1"/>
  <c r="K22" i="1" s="1"/>
  <c r="K23" i="1" s="1"/>
  <c r="K24" i="1" s="1"/>
  <c r="K25" i="1" s="1"/>
  <c r="K26" i="1" s="1"/>
  <c r="K27" i="1" s="1"/>
  <c r="K28" i="1" s="1"/>
  <c r="K30" i="1" s="1"/>
  <c r="K31" i="1" s="1"/>
  <c r="K32" i="1" s="1"/>
  <c r="K33" i="1" s="1"/>
  <c r="K34" i="1" s="1"/>
  <c r="K35" i="1" s="1"/>
  <c r="X5" i="1"/>
  <c r="Z5" i="1"/>
  <c r="Z7" i="1" s="1"/>
  <c r="Z8" i="1" s="1"/>
  <c r="AE5" i="1"/>
  <c r="AX4" i="1"/>
  <c r="P15" i="1" l="1"/>
  <c r="P16" i="1" s="1"/>
  <c r="P17" i="1" s="1"/>
  <c r="V28" i="76"/>
  <c r="V27" i="76"/>
  <c r="V26" i="76"/>
  <c r="P18" i="1" l="1"/>
  <c r="P19" i="1" s="1"/>
  <c r="P20" i="1" s="1"/>
  <c r="P21" i="1" s="1"/>
  <c r="P23" i="1" s="1"/>
  <c r="P24" i="1" s="1"/>
  <c r="P25" i="1" s="1"/>
  <c r="P26" i="1" s="1"/>
  <c r="P27" i="1" s="1"/>
  <c r="P28" i="1" s="1"/>
  <c r="P30" i="1" s="1"/>
  <c r="P31" i="1" s="1"/>
  <c r="P32" i="1" s="1"/>
  <c r="P33" i="1" s="1"/>
  <c r="P34" i="1" s="1"/>
  <c r="P35" i="1" s="1"/>
  <c r="C17" i="77"/>
  <c r="C19" i="77"/>
  <c r="B49" i="74" l="1"/>
  <c r="C49" i="74"/>
  <c r="B50" i="74"/>
  <c r="C50" i="74"/>
  <c r="B51" i="74"/>
  <c r="C51" i="74"/>
  <c r="B52" i="74"/>
  <c r="C52" i="74"/>
  <c r="B53" i="74"/>
  <c r="C53" i="74"/>
  <c r="B54" i="74"/>
  <c r="C54" i="74"/>
  <c r="B55" i="74"/>
  <c r="C55" i="74"/>
  <c r="B56" i="74"/>
  <c r="C56" i="74"/>
  <c r="B57" i="74"/>
  <c r="C57" i="74"/>
  <c r="B58" i="74"/>
  <c r="C58" i="74"/>
  <c r="B59" i="74"/>
  <c r="C59" i="74"/>
  <c r="B60" i="74"/>
  <c r="C60" i="74"/>
  <c r="B61" i="74"/>
  <c r="C61" i="74"/>
  <c r="B62" i="74"/>
  <c r="C62" i="74"/>
  <c r="B63" i="74"/>
  <c r="C63" i="74"/>
  <c r="B64" i="74"/>
  <c r="C64" i="74"/>
  <c r="B65" i="74"/>
  <c r="C65" i="74"/>
  <c r="B66" i="74"/>
  <c r="C66" i="74"/>
  <c r="B67" i="74"/>
  <c r="C67" i="74"/>
  <c r="B68" i="74"/>
  <c r="C68" i="74"/>
  <c r="B69" i="74"/>
  <c r="C69" i="74"/>
  <c r="B70" i="74"/>
  <c r="C70" i="74"/>
  <c r="B71" i="74"/>
  <c r="C71" i="74"/>
  <c r="B72" i="74"/>
  <c r="C72" i="74"/>
  <c r="B73" i="74"/>
  <c r="C73" i="74"/>
  <c r="B74" i="74"/>
  <c r="C74" i="74"/>
  <c r="B75" i="74"/>
  <c r="C75" i="74"/>
  <c r="B76" i="74"/>
  <c r="C76" i="74"/>
  <c r="B77" i="74"/>
  <c r="C77" i="74"/>
  <c r="B78" i="74"/>
  <c r="C78" i="74"/>
  <c r="C48" i="74"/>
  <c r="B48" i="74"/>
  <c r="BC5" i="7"/>
  <c r="BD5" i="7"/>
  <c r="BE5" i="7"/>
  <c r="BF5" i="7"/>
  <c r="BG5" i="7"/>
  <c r="BH5" i="7"/>
  <c r="BI5" i="7"/>
  <c r="AE7" i="1"/>
  <c r="AE8" i="1" s="1"/>
  <c r="AE9" i="1" s="1"/>
  <c r="AE10" i="1" s="1"/>
  <c r="E15" i="77" l="1"/>
  <c r="E16" i="77"/>
  <c r="E17" i="77"/>
  <c r="E18" i="77"/>
  <c r="E14" i="77"/>
  <c r="V11" i="74" l="1"/>
  <c r="W11" i="74"/>
  <c r="V12" i="74"/>
  <c r="W12" i="74"/>
  <c r="V13" i="74"/>
  <c r="W13" i="74"/>
  <c r="V14" i="74"/>
  <c r="W14" i="74"/>
  <c r="V15" i="74"/>
  <c r="W15" i="74"/>
  <c r="V16" i="74"/>
  <c r="W16" i="74"/>
  <c r="V17" i="74"/>
  <c r="W17" i="74"/>
  <c r="V18" i="74"/>
  <c r="W18" i="74"/>
  <c r="V19" i="74"/>
  <c r="W19" i="74"/>
  <c r="V20" i="74"/>
  <c r="W20" i="74"/>
  <c r="V21" i="74"/>
  <c r="W21" i="74"/>
  <c r="V22" i="74"/>
  <c r="W22" i="74"/>
  <c r="V23" i="74"/>
  <c r="W23" i="74"/>
  <c r="V24" i="74"/>
  <c r="W24" i="74"/>
  <c r="V25" i="74"/>
  <c r="W25" i="74"/>
  <c r="V26" i="74"/>
  <c r="W26" i="74"/>
  <c r="V27" i="74"/>
  <c r="W27" i="74"/>
  <c r="V28" i="74"/>
  <c r="W28" i="74"/>
  <c r="V29" i="74"/>
  <c r="W29" i="74"/>
  <c r="V30" i="74"/>
  <c r="W30" i="74"/>
  <c r="V31" i="74"/>
  <c r="W31" i="74"/>
  <c r="V32" i="74"/>
  <c r="W32" i="74"/>
  <c r="V33" i="74"/>
  <c r="W33" i="74"/>
  <c r="V34" i="74"/>
  <c r="W34" i="74"/>
  <c r="V35" i="74"/>
  <c r="W35" i="74"/>
  <c r="V36" i="74"/>
  <c r="W36" i="74"/>
  <c r="V37" i="74"/>
  <c r="W37" i="74"/>
  <c r="V38" i="74"/>
  <c r="W38" i="74"/>
  <c r="V39" i="74"/>
  <c r="W39" i="74"/>
  <c r="W10" i="74"/>
  <c r="V10" i="74"/>
  <c r="AA19" i="76"/>
  <c r="F4" i="76"/>
  <c r="F5" i="76" s="1"/>
  <c r="F6" i="76" s="1"/>
  <c r="F7" i="76" s="1"/>
  <c r="F8" i="76" s="1"/>
  <c r="F9" i="76" s="1"/>
  <c r="F10" i="76" s="1"/>
  <c r="F11" i="76" s="1"/>
  <c r="F12" i="76" s="1"/>
  <c r="F13" i="76" s="1"/>
  <c r="F14" i="76" s="1"/>
  <c r="F15" i="76" s="1"/>
  <c r="F16" i="76" s="1"/>
  <c r="F17" i="76" s="1"/>
  <c r="F18" i="76" s="1"/>
  <c r="F19" i="76" s="1"/>
  <c r="F20" i="76" s="1"/>
  <c r="F21" i="76" s="1"/>
  <c r="F23" i="76" s="1"/>
  <c r="F24" i="76" s="1"/>
  <c r="F26" i="76" s="1"/>
  <c r="F27" i="76" s="1"/>
  <c r="F28" i="76" s="1"/>
  <c r="F29" i="76" s="1"/>
  <c r="F30" i="76" s="1"/>
  <c r="F31" i="76" s="1"/>
  <c r="F32" i="76" s="1"/>
  <c r="F33" i="76" s="1"/>
  <c r="F34" i="76" s="1"/>
  <c r="J4" i="76"/>
  <c r="J5" i="76" s="1"/>
  <c r="J6" i="76" s="1"/>
  <c r="J7" i="76" s="1"/>
  <c r="J8" i="76" s="1"/>
  <c r="J9" i="76" s="1"/>
  <c r="J10" i="76" s="1"/>
  <c r="J11" i="76" s="1"/>
  <c r="J13" i="76" s="1"/>
  <c r="J14" i="76" s="1"/>
  <c r="J15" i="76" s="1"/>
  <c r="J16" i="76" s="1"/>
  <c r="J17" i="76" s="1"/>
  <c r="J18" i="76" s="1"/>
  <c r="J19" i="76" s="1"/>
  <c r="J20" i="76" s="1"/>
  <c r="J21" i="76" s="1"/>
  <c r="J23" i="76" s="1"/>
  <c r="J24" i="76" s="1"/>
  <c r="J25" i="76" s="1"/>
  <c r="J26" i="76" s="1"/>
  <c r="J27" i="76" s="1"/>
  <c r="J28" i="76" s="1"/>
  <c r="J29" i="76" s="1"/>
  <c r="J30" i="76" s="1"/>
  <c r="J31" i="76" s="1"/>
  <c r="J32" i="76" s="1"/>
  <c r="J33" i="76" s="1"/>
  <c r="J34" i="76" s="1"/>
  <c r="R3" i="3"/>
  <c r="R4" i="3" s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J3" i="3"/>
  <c r="J5" i="3" s="1"/>
  <c r="V6" i="5"/>
  <c r="V8" i="5" s="1"/>
  <c r="V9" i="5" s="1"/>
  <c r="V10" i="5" s="1"/>
  <c r="V11" i="5" s="1"/>
  <c r="V12" i="5" s="1"/>
  <c r="V13" i="5" s="1"/>
  <c r="V14" i="5" s="1"/>
  <c r="V15" i="5" s="1"/>
  <c r="V16" i="5" s="1"/>
  <c r="V17" i="5" s="1"/>
  <c r="V18" i="5" s="1"/>
  <c r="V19" i="5" s="1"/>
  <c r="V20" i="5" s="1"/>
  <c r="V21" i="5" s="1"/>
  <c r="V22" i="5" s="1"/>
  <c r="V23" i="5" s="1"/>
  <c r="V24" i="5" s="1"/>
  <c r="V25" i="5" s="1"/>
  <c r="V26" i="5" s="1"/>
  <c r="V27" i="5" s="1"/>
  <c r="V28" i="5" s="1"/>
  <c r="V29" i="5" s="1"/>
  <c r="V30" i="5" s="1"/>
  <c r="V31" i="5" s="1"/>
  <c r="V32" i="5" s="1"/>
  <c r="V33" i="5" s="1"/>
  <c r="V34" i="5" s="1"/>
  <c r="V35" i="5" s="1"/>
  <c r="V36" i="5" s="1"/>
  <c r="G6" i="5"/>
  <c r="G8" i="5" s="1"/>
  <c r="T6" i="5"/>
  <c r="T8" i="5" s="1"/>
  <c r="T9" i="5" s="1"/>
  <c r="T10" i="5" s="1"/>
  <c r="T12" i="5" s="1"/>
  <c r="X6" i="5"/>
  <c r="X8" i="5" s="1"/>
  <c r="X9" i="5" s="1"/>
  <c r="X10" i="5" s="1"/>
  <c r="X11" i="5" s="1"/>
  <c r="X12" i="5" s="1"/>
  <c r="X13" i="5" s="1"/>
  <c r="X14" i="5" s="1"/>
  <c r="X15" i="5" s="1"/>
  <c r="X16" i="5" s="1"/>
  <c r="X18" i="5" s="1"/>
  <c r="X19" i="5" s="1"/>
  <c r="X20" i="5" s="1"/>
  <c r="X21" i="5" s="1"/>
  <c r="X22" i="5" s="1"/>
  <c r="X23" i="5" s="1"/>
  <c r="X24" i="5" s="1"/>
  <c r="X25" i="5" s="1"/>
  <c r="X26" i="5" s="1"/>
  <c r="X27" i="5" s="1"/>
  <c r="X28" i="5" s="1"/>
  <c r="X30" i="5" s="1"/>
  <c r="X31" i="5" s="1"/>
  <c r="X32" i="5" s="1"/>
  <c r="X33" i="5" s="1"/>
  <c r="X34" i="5" s="1"/>
  <c r="X35" i="5" s="1"/>
  <c r="X36" i="5" s="1"/>
  <c r="AR5" i="1"/>
  <c r="AR6" i="1" s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N5" i="1"/>
  <c r="AN6" i="1" s="1"/>
  <c r="AN7" i="1" s="1"/>
  <c r="AN8" i="1" s="1"/>
  <c r="AN9" i="1" s="1"/>
  <c r="AN10" i="1" s="1"/>
  <c r="AN12" i="1" s="1"/>
  <c r="AN13" i="1" s="1"/>
  <c r="AN14" i="1" s="1"/>
  <c r="AN15" i="1" s="1"/>
  <c r="AN16" i="1" s="1"/>
  <c r="AN17" i="1" s="1"/>
  <c r="AN18" i="1" s="1"/>
  <c r="AN19" i="1" s="1"/>
  <c r="AN20" i="1" s="1"/>
  <c r="AN21" i="1" s="1"/>
  <c r="AN22" i="1" s="1"/>
  <c r="AN23" i="1" s="1"/>
  <c r="AN24" i="1" s="1"/>
  <c r="AN25" i="1" s="1"/>
  <c r="AN26" i="1" s="1"/>
  <c r="AN27" i="1" s="1"/>
  <c r="AN28" i="1" s="1"/>
  <c r="AN29" i="1" s="1"/>
  <c r="AN30" i="1" s="1"/>
  <c r="AN31" i="1" s="1"/>
  <c r="AN32" i="1" s="1"/>
  <c r="AN33" i="1" s="1"/>
  <c r="AN34" i="1" s="1"/>
  <c r="AN35" i="1" s="1"/>
  <c r="AP5" i="1"/>
  <c r="AP6" i="1" s="1"/>
  <c r="AP7" i="1" s="1"/>
  <c r="AP8" i="1" s="1"/>
  <c r="AP9" i="1" s="1"/>
  <c r="AP10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T14" i="5" l="1"/>
  <c r="T15" i="5" s="1"/>
  <c r="T16" i="5" s="1"/>
  <c r="T17" i="5" s="1"/>
  <c r="T18" i="5" s="1"/>
  <c r="T19" i="5" s="1"/>
  <c r="T20" i="5" s="1"/>
  <c r="T21" i="5" s="1"/>
  <c r="T22" i="5" s="1"/>
  <c r="T23" i="5" s="1"/>
  <c r="T24" i="5" s="1"/>
  <c r="T25" i="5" s="1"/>
  <c r="T26" i="5" s="1"/>
  <c r="T27" i="5" s="1"/>
  <c r="T28" i="5" s="1"/>
  <c r="T29" i="5" s="1"/>
  <c r="T32" i="5" s="1"/>
  <c r="T33" i="5" s="1"/>
  <c r="T34" i="5" s="1"/>
  <c r="T35" i="5" s="1"/>
  <c r="T36" i="5" s="1"/>
  <c r="T13" i="5"/>
  <c r="I21" i="2"/>
  <c r="I20" i="2"/>
  <c r="D19" i="73"/>
  <c r="D49" i="3"/>
  <c r="D48" i="3"/>
  <c r="D47" i="3"/>
  <c r="D46" i="3"/>
  <c r="D45" i="3"/>
  <c r="D42" i="3"/>
  <c r="D43" i="3" s="1"/>
  <c r="D44" i="3" s="1"/>
  <c r="D41" i="3"/>
  <c r="B43" i="3"/>
  <c r="C11" i="3"/>
  <c r="C3" i="3"/>
  <c r="I42" i="3"/>
  <c r="C8" i="3"/>
  <c r="C9" i="3"/>
  <c r="C10" i="3"/>
  <c r="I22" i="2" l="1"/>
  <c r="C5" i="3"/>
  <c r="C4" i="3"/>
  <c r="C6" i="3" l="1"/>
  <c r="C7" i="3"/>
  <c r="D10" i="73"/>
  <c r="R11" i="74" l="1"/>
  <c r="S11" i="74"/>
  <c r="R12" i="74"/>
  <c r="S12" i="74"/>
  <c r="R13" i="74"/>
  <c r="S13" i="74"/>
  <c r="R14" i="74"/>
  <c r="S14" i="74"/>
  <c r="R15" i="74"/>
  <c r="S15" i="74"/>
  <c r="R16" i="74"/>
  <c r="S16" i="74"/>
  <c r="R17" i="74"/>
  <c r="S17" i="74"/>
  <c r="R18" i="74"/>
  <c r="S18" i="74"/>
  <c r="R19" i="74"/>
  <c r="S19" i="74"/>
  <c r="R20" i="74"/>
  <c r="S20" i="74"/>
  <c r="R21" i="74"/>
  <c r="S21" i="74"/>
  <c r="R22" i="74"/>
  <c r="S22" i="74"/>
  <c r="R23" i="74"/>
  <c r="S23" i="74"/>
  <c r="R24" i="74"/>
  <c r="S24" i="74"/>
  <c r="R25" i="74"/>
  <c r="S25" i="74"/>
  <c r="R26" i="74"/>
  <c r="S26" i="74"/>
  <c r="R27" i="74"/>
  <c r="S27" i="74"/>
  <c r="R28" i="74"/>
  <c r="S28" i="74"/>
  <c r="R29" i="74"/>
  <c r="S29" i="74"/>
  <c r="R30" i="74"/>
  <c r="S30" i="74"/>
  <c r="R31" i="74"/>
  <c r="S31" i="74"/>
  <c r="R32" i="74"/>
  <c r="S32" i="74"/>
  <c r="R33" i="74"/>
  <c r="S33" i="74"/>
  <c r="R34" i="74"/>
  <c r="S34" i="74"/>
  <c r="R35" i="74"/>
  <c r="S35" i="74"/>
  <c r="R36" i="74"/>
  <c r="S36" i="74"/>
  <c r="R37" i="74"/>
  <c r="S37" i="74"/>
  <c r="R38" i="74"/>
  <c r="S38" i="74"/>
  <c r="R39" i="74"/>
  <c r="S39" i="74"/>
  <c r="R40" i="74"/>
  <c r="S40" i="74"/>
  <c r="S10" i="74"/>
  <c r="R10" i="74"/>
  <c r="K13" i="3" l="1"/>
  <c r="K14" i="3" l="1"/>
  <c r="N11" i="74"/>
  <c r="O11" i="74"/>
  <c r="N12" i="74"/>
  <c r="O12" i="74"/>
  <c r="N13" i="74"/>
  <c r="O13" i="74"/>
  <c r="N14" i="74"/>
  <c r="O14" i="74"/>
  <c r="N15" i="74"/>
  <c r="O15" i="74"/>
  <c r="N16" i="74"/>
  <c r="O16" i="74"/>
  <c r="N17" i="74"/>
  <c r="O17" i="74"/>
  <c r="N18" i="74"/>
  <c r="O18" i="74"/>
  <c r="N19" i="74"/>
  <c r="O19" i="74"/>
  <c r="N20" i="74"/>
  <c r="O20" i="74"/>
  <c r="N21" i="74"/>
  <c r="O21" i="74"/>
  <c r="N22" i="74"/>
  <c r="O22" i="74"/>
  <c r="N23" i="74"/>
  <c r="O23" i="74"/>
  <c r="N24" i="74"/>
  <c r="O24" i="74"/>
  <c r="N25" i="74"/>
  <c r="O25" i="74"/>
  <c r="N26" i="74"/>
  <c r="O26" i="74"/>
  <c r="N27" i="74"/>
  <c r="O27" i="74"/>
  <c r="N28" i="74"/>
  <c r="O28" i="74"/>
  <c r="N29" i="74"/>
  <c r="O29" i="74"/>
  <c r="N30" i="74"/>
  <c r="O30" i="74"/>
  <c r="N31" i="74"/>
  <c r="O31" i="74"/>
  <c r="N32" i="74"/>
  <c r="O32" i="74"/>
  <c r="N33" i="74"/>
  <c r="O33" i="74"/>
  <c r="N34" i="74"/>
  <c r="O34" i="74"/>
  <c r="N35" i="74"/>
  <c r="O35" i="74"/>
  <c r="N36" i="74"/>
  <c r="O36" i="74"/>
  <c r="N37" i="74"/>
  <c r="O37" i="74"/>
  <c r="N38" i="74"/>
  <c r="O38" i="74"/>
  <c r="N39" i="74"/>
  <c r="O39" i="74"/>
  <c r="O10" i="74"/>
  <c r="N10" i="74"/>
  <c r="H6" i="79"/>
  <c r="H7" i="79" s="1"/>
  <c r="H8" i="79" s="1"/>
  <c r="H10" i="79" s="1"/>
  <c r="H11" i="79" s="1"/>
  <c r="H12" i="79" s="1"/>
  <c r="H13" i="79" s="1"/>
  <c r="H15" i="79" s="1"/>
  <c r="H17" i="79" s="1"/>
  <c r="H18" i="79" s="1"/>
  <c r="H19" i="79" s="1"/>
  <c r="H20" i="79" s="1"/>
  <c r="H21" i="79" s="1"/>
  <c r="H22" i="79" s="1"/>
  <c r="H23" i="79" s="1"/>
  <c r="H24" i="79" s="1"/>
  <c r="H25" i="79" s="1"/>
  <c r="H26" i="79" s="1"/>
  <c r="H27" i="79" s="1"/>
  <c r="H28" i="79" s="1"/>
  <c r="H29" i="79" s="1"/>
  <c r="H30" i="79" s="1"/>
  <c r="H31" i="79" s="1"/>
  <c r="H32" i="79" s="1"/>
  <c r="H33" i="79" s="1"/>
  <c r="H34" i="79" s="1"/>
  <c r="H35" i="79" s="1"/>
  <c r="H36" i="79" s="1"/>
  <c r="J39" i="74" l="1"/>
  <c r="K39" i="74"/>
  <c r="J40" i="74"/>
  <c r="K40" i="74"/>
  <c r="J11" i="74"/>
  <c r="K11" i="74"/>
  <c r="J12" i="74"/>
  <c r="K12" i="74"/>
  <c r="J13" i="74"/>
  <c r="K13" i="74"/>
  <c r="J14" i="74"/>
  <c r="K14" i="74"/>
  <c r="J15" i="74"/>
  <c r="K15" i="74"/>
  <c r="J16" i="74"/>
  <c r="K16" i="74"/>
  <c r="J17" i="74"/>
  <c r="K17" i="74"/>
  <c r="J18" i="74"/>
  <c r="K18" i="74"/>
  <c r="J19" i="74"/>
  <c r="K19" i="74"/>
  <c r="J20" i="74"/>
  <c r="K20" i="74"/>
  <c r="J21" i="74"/>
  <c r="K21" i="74"/>
  <c r="J22" i="74"/>
  <c r="K22" i="74"/>
  <c r="J23" i="74"/>
  <c r="K23" i="74"/>
  <c r="J24" i="74"/>
  <c r="K24" i="74"/>
  <c r="J25" i="74"/>
  <c r="K25" i="74"/>
  <c r="J26" i="74"/>
  <c r="K26" i="74"/>
  <c r="J27" i="74"/>
  <c r="K27" i="74"/>
  <c r="J28" i="74"/>
  <c r="K28" i="74"/>
  <c r="J29" i="74"/>
  <c r="K29" i="74"/>
  <c r="J30" i="74"/>
  <c r="K30" i="74"/>
  <c r="J31" i="74"/>
  <c r="K31" i="74"/>
  <c r="J32" i="74"/>
  <c r="K32" i="74"/>
  <c r="J33" i="74"/>
  <c r="K33" i="74"/>
  <c r="J34" i="74"/>
  <c r="K34" i="74"/>
  <c r="J35" i="74"/>
  <c r="K35" i="74"/>
  <c r="J36" i="74"/>
  <c r="K36" i="74"/>
  <c r="J37" i="74"/>
  <c r="K37" i="74"/>
  <c r="J38" i="74"/>
  <c r="K38" i="74"/>
  <c r="K10" i="74"/>
  <c r="J10" i="74"/>
  <c r="AT37" i="7" l="1"/>
  <c r="AJ31" i="3"/>
  <c r="AJ32" i="3"/>
  <c r="AJ33" i="3"/>
  <c r="Z6" i="5"/>
  <c r="Z7" i="5" s="1"/>
  <c r="Z8" i="5" s="1"/>
  <c r="Z9" i="5" s="1"/>
  <c r="Z10" i="5" s="1"/>
  <c r="Z11" i="5" s="1"/>
  <c r="Z12" i="5" s="1"/>
  <c r="Z13" i="5" s="1"/>
  <c r="Z14" i="5" s="1"/>
  <c r="Z15" i="5" s="1"/>
  <c r="Z16" i="5" s="1"/>
  <c r="Z17" i="5" s="1"/>
  <c r="Z18" i="5" s="1"/>
  <c r="Z19" i="5" s="1"/>
  <c r="Z20" i="5" s="1"/>
  <c r="Z21" i="5" s="1"/>
  <c r="Z22" i="5" s="1"/>
  <c r="Z23" i="5" s="1"/>
  <c r="Z24" i="5" s="1"/>
  <c r="Z25" i="5" s="1"/>
  <c r="Z26" i="5" s="1"/>
  <c r="Z27" i="5" s="1"/>
  <c r="Z28" i="5" s="1"/>
  <c r="Z29" i="5" s="1"/>
  <c r="Z30" i="5" s="1"/>
  <c r="Z31" i="5" s="1"/>
  <c r="Z32" i="5" s="1"/>
  <c r="Z33" i="5" s="1"/>
  <c r="Z34" i="5" s="1"/>
  <c r="Z35" i="5" s="1"/>
  <c r="Z36" i="5" s="1"/>
  <c r="B6" i="5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Q7" i="2" l="1"/>
  <c r="M7" i="2"/>
  <c r="K7" i="2"/>
  <c r="I7" i="2"/>
  <c r="G7" i="2"/>
  <c r="E7" i="2"/>
  <c r="C7" i="76"/>
  <c r="W26" i="76"/>
  <c r="AA26" i="76" s="1"/>
  <c r="AB26" i="76" s="1"/>
  <c r="E6" i="2"/>
  <c r="Q6" i="2"/>
  <c r="K6" i="2"/>
  <c r="I6" i="2"/>
  <c r="M6" i="2"/>
  <c r="G6" i="2"/>
  <c r="N7" i="2" l="1"/>
  <c r="C11" i="76"/>
  <c r="N6" i="2"/>
  <c r="D23" i="1"/>
  <c r="K25" i="3"/>
  <c r="AS37" i="7" l="1"/>
  <c r="AU37" i="7" s="1"/>
  <c r="F11" i="74"/>
  <c r="G11" i="74"/>
  <c r="F12" i="74"/>
  <c r="G12" i="74"/>
  <c r="F13" i="74"/>
  <c r="G13" i="74"/>
  <c r="F14" i="74"/>
  <c r="G14" i="74"/>
  <c r="F15" i="74"/>
  <c r="G15" i="74"/>
  <c r="F16" i="74"/>
  <c r="G16" i="74"/>
  <c r="F17" i="74"/>
  <c r="G17" i="74"/>
  <c r="F18" i="74"/>
  <c r="G18" i="74"/>
  <c r="F19" i="74"/>
  <c r="G19" i="74"/>
  <c r="F20" i="74"/>
  <c r="G20" i="74"/>
  <c r="F21" i="74"/>
  <c r="G21" i="74"/>
  <c r="F22" i="74"/>
  <c r="G22" i="74"/>
  <c r="F23" i="74"/>
  <c r="G23" i="74"/>
  <c r="F24" i="74"/>
  <c r="G24" i="74"/>
  <c r="F25" i="74"/>
  <c r="G25" i="74"/>
  <c r="F26" i="74"/>
  <c r="G26" i="74"/>
  <c r="F27" i="74"/>
  <c r="G27" i="74"/>
  <c r="F28" i="74"/>
  <c r="G28" i="74"/>
  <c r="F29" i="74"/>
  <c r="G29" i="74"/>
  <c r="F30" i="74"/>
  <c r="G30" i="74"/>
  <c r="F31" i="74"/>
  <c r="G31" i="74"/>
  <c r="F32" i="74"/>
  <c r="G32" i="74"/>
  <c r="F33" i="74"/>
  <c r="G33" i="74"/>
  <c r="F34" i="74"/>
  <c r="G34" i="74"/>
  <c r="F35" i="74"/>
  <c r="G35" i="74"/>
  <c r="F36" i="74"/>
  <c r="G36" i="74"/>
  <c r="F37" i="74"/>
  <c r="G37" i="74"/>
  <c r="G10" i="74"/>
  <c r="F10" i="74"/>
  <c r="A34" i="79"/>
  <c r="L34" i="79" s="1"/>
  <c r="A35" i="79"/>
  <c r="L35" i="79" s="1"/>
  <c r="A36" i="79"/>
  <c r="L36" i="79" s="1"/>
  <c r="F36" i="73"/>
  <c r="B17" i="77" s="1"/>
  <c r="A33" i="73"/>
  <c r="BA34" i="7"/>
  <c r="G33" i="73"/>
  <c r="K33" i="73"/>
  <c r="A34" i="73"/>
  <c r="AM35" i="5"/>
  <c r="G34" i="73"/>
  <c r="K34" i="73"/>
  <c r="A35" i="73"/>
  <c r="AM36" i="5"/>
  <c r="G35" i="73"/>
  <c r="K35" i="73"/>
  <c r="A32" i="76"/>
  <c r="A33" i="76"/>
  <c r="A34" i="76"/>
  <c r="A34" i="7"/>
  <c r="BB34" i="7"/>
  <c r="BE34" i="7"/>
  <c r="BG34" i="7" s="1"/>
  <c r="A35" i="7"/>
  <c r="BB35" i="7"/>
  <c r="BE35" i="7"/>
  <c r="BG35" i="7" s="1"/>
  <c r="A36" i="7"/>
  <c r="BB36" i="7"/>
  <c r="BE36" i="7"/>
  <c r="BG36" i="7" s="1"/>
  <c r="A31" i="3"/>
  <c r="A32" i="3"/>
  <c r="A33" i="3"/>
  <c r="AN34" i="5"/>
  <c r="AP34" i="5"/>
  <c r="AN35" i="5"/>
  <c r="AP35" i="5"/>
  <c r="AN36" i="5"/>
  <c r="AP36" i="5"/>
  <c r="A34" i="5"/>
  <c r="AR34" i="5" s="1"/>
  <c r="A35" i="5"/>
  <c r="AR35" i="5" s="1"/>
  <c r="A36" i="5"/>
  <c r="AR36" i="5" s="1"/>
  <c r="A33" i="1"/>
  <c r="A34" i="1"/>
  <c r="A35" i="1"/>
  <c r="A32" i="2"/>
  <c r="B32" i="2" s="1"/>
  <c r="A33" i="2"/>
  <c r="B33" i="2" s="1"/>
  <c r="A34" i="2"/>
  <c r="B34" i="2" s="1"/>
  <c r="L32" i="82" l="1"/>
  <c r="O32" i="81"/>
  <c r="L31" i="82"/>
  <c r="O31" i="81"/>
  <c r="L30" i="82"/>
  <c r="O30" i="81"/>
  <c r="BA36" i="7"/>
  <c r="AM34" i="5"/>
  <c r="S31" i="3"/>
  <c r="U31" i="3" s="1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 i="7"/>
  <c r="O33" i="2"/>
  <c r="O34" i="2"/>
  <c r="AZ36" i="7"/>
  <c r="W28" i="76"/>
  <c r="G32" i="76"/>
  <c r="L32" i="76" s="1"/>
  <c r="I32" i="76"/>
  <c r="M32" i="76" s="1"/>
  <c r="K32" i="76"/>
  <c r="N32" i="76" s="1"/>
  <c r="BA36" i="5"/>
  <c r="BA34" i="5"/>
  <c r="Y34" i="5"/>
  <c r="H34" i="5"/>
  <c r="H36" i="5"/>
  <c r="N33" i="1"/>
  <c r="L33" i="1"/>
  <c r="I33" i="1"/>
  <c r="G33" i="1"/>
  <c r="J33" i="1" l="1"/>
  <c r="AI31" i="3"/>
  <c r="S33" i="3"/>
  <c r="U33" i="3" s="1"/>
  <c r="AB34" i="7"/>
  <c r="D34" i="7"/>
  <c r="Q34" i="2"/>
  <c r="Q33" i="2"/>
  <c r="M34" i="2"/>
  <c r="E32" i="82" s="1"/>
  <c r="M33" i="2"/>
  <c r="E31" i="82" s="1"/>
  <c r="K34" i="2"/>
  <c r="F32" i="82" s="1"/>
  <c r="K33" i="2"/>
  <c r="F31" i="82" s="1"/>
  <c r="I34" i="2"/>
  <c r="G32" i="82" s="1"/>
  <c r="I33" i="2"/>
  <c r="G31" i="82" s="1"/>
  <c r="G34" i="2"/>
  <c r="I32" i="82" s="1"/>
  <c r="G33" i="2"/>
  <c r="I31" i="82" s="1"/>
  <c r="E34" i="2"/>
  <c r="H32" i="82" s="1"/>
  <c r="E33" i="2"/>
  <c r="N32" i="2"/>
  <c r="I33" i="76"/>
  <c r="M33" i="76" s="1"/>
  <c r="D32" i="76"/>
  <c r="K33" i="76"/>
  <c r="N33" i="76" s="1"/>
  <c r="G34" i="76"/>
  <c r="G33" i="76"/>
  <c r="BA35" i="5"/>
  <c r="BD35" i="5" s="1"/>
  <c r="Y36" i="5"/>
  <c r="J32" i="82" s="1"/>
  <c r="Y35" i="5"/>
  <c r="J30" i="82"/>
  <c r="H35" i="5"/>
  <c r="N35" i="1"/>
  <c r="N34" i="1"/>
  <c r="L34" i="1"/>
  <c r="L35" i="1"/>
  <c r="I35" i="1"/>
  <c r="I34" i="1"/>
  <c r="G35" i="1"/>
  <c r="G34" i="1"/>
  <c r="D33" i="1"/>
  <c r="E33" i="1" s="1"/>
  <c r="AD32" i="3" l="1"/>
  <c r="AI32" i="3" s="1"/>
  <c r="AD33" i="3"/>
  <c r="AI33" i="3" s="1"/>
  <c r="BD36" i="5"/>
  <c r="S32" i="3"/>
  <c r="U32" i="3" s="1"/>
  <c r="I34" i="76"/>
  <c r="M34" i="76" s="1"/>
  <c r="M35" i="76" s="1"/>
  <c r="W27" i="76"/>
  <c r="K34" i="76"/>
  <c r="N34" i="76" s="1"/>
  <c r="N35" i="76" s="1"/>
  <c r="I34" i="79"/>
  <c r="AD34" i="7"/>
  <c r="D34" i="1"/>
  <c r="E34" i="1" s="1"/>
  <c r="D36" i="7"/>
  <c r="F34" i="7"/>
  <c r="D35" i="7"/>
  <c r="H31" i="82"/>
  <c r="N33" i="2"/>
  <c r="R33" i="2" s="1"/>
  <c r="N34" i="2"/>
  <c r="E32" i="81" s="1"/>
  <c r="E30" i="81"/>
  <c r="S32" i="76"/>
  <c r="R32" i="2"/>
  <c r="L34" i="76"/>
  <c r="D33" i="76"/>
  <c r="L33" i="76"/>
  <c r="J31" i="82"/>
  <c r="J35" i="1"/>
  <c r="J34" i="1"/>
  <c r="E32" i="76" l="1"/>
  <c r="R34" i="2"/>
  <c r="D35" i="1"/>
  <c r="E35" i="1" s="1"/>
  <c r="D34" i="76"/>
  <c r="I35" i="79"/>
  <c r="AB35" i="7"/>
  <c r="AB36" i="7"/>
  <c r="AF34" i="7"/>
  <c r="F36" i="7"/>
  <c r="H34" i="7"/>
  <c r="F35" i="7"/>
  <c r="S34" i="76"/>
  <c r="T34" i="76" s="1"/>
  <c r="F32" i="81" s="1"/>
  <c r="E31" i="81"/>
  <c r="S33" i="76"/>
  <c r="L35" i="76"/>
  <c r="E33" i="76" l="1"/>
  <c r="C32" i="76"/>
  <c r="I36" i="79"/>
  <c r="AH34" i="7"/>
  <c r="AD35" i="7"/>
  <c r="AD36" i="7"/>
  <c r="H36" i="7"/>
  <c r="J34" i="7"/>
  <c r="H35" i="7"/>
  <c r="C34" i="76" l="1"/>
  <c r="E34" i="76"/>
  <c r="C33" i="76"/>
  <c r="AF36" i="7"/>
  <c r="AJ34" i="7"/>
  <c r="AF35" i="7"/>
  <c r="J36" i="7"/>
  <c r="L34" i="7"/>
  <c r="J35" i="7"/>
  <c r="AL34" i="7" l="1"/>
  <c r="AH35" i="7"/>
  <c r="AH36" i="7"/>
  <c r="L36" i="7"/>
  <c r="N34" i="7"/>
  <c r="L35" i="7"/>
  <c r="AJ36" i="7" l="1"/>
  <c r="AJ35" i="7"/>
  <c r="N36" i="7"/>
  <c r="P34" i="7"/>
  <c r="N35" i="7"/>
  <c r="AL36" i="7" l="1"/>
  <c r="AL35" i="7"/>
  <c r="P36" i="7"/>
  <c r="R34" i="7"/>
  <c r="P35" i="7"/>
  <c r="R36" i="7" l="1"/>
  <c r="T34" i="7"/>
  <c r="R35" i="7"/>
  <c r="T36" i="7" l="1"/>
  <c r="V34" i="7"/>
  <c r="T35" i="7"/>
  <c r="V36" i="7" l="1"/>
  <c r="V35" i="7"/>
  <c r="Y29" i="5" l="1"/>
  <c r="Y30" i="5"/>
  <c r="Y31" i="5" l="1"/>
  <c r="Y33" i="5" l="1"/>
  <c r="Y32" i="5"/>
  <c r="I24" i="2" l="1"/>
  <c r="E22" i="2" l="1"/>
  <c r="G22" i="2"/>
  <c r="K22" i="2"/>
  <c r="M22" i="2"/>
  <c r="Q22" i="2"/>
  <c r="N22" i="2" l="1"/>
  <c r="R22" i="2" s="1"/>
  <c r="B11" i="74" l="1"/>
  <c r="C11" i="74"/>
  <c r="B12" i="74"/>
  <c r="C12" i="74"/>
  <c r="B13" i="74"/>
  <c r="C13" i="74"/>
  <c r="B14" i="74"/>
  <c r="C14" i="74"/>
  <c r="B15" i="74"/>
  <c r="C15" i="74"/>
  <c r="B16" i="74"/>
  <c r="C16" i="74"/>
  <c r="B17" i="74"/>
  <c r="C17" i="74"/>
  <c r="B18" i="74"/>
  <c r="C18" i="74"/>
  <c r="B19" i="74"/>
  <c r="C19" i="74"/>
  <c r="B20" i="74"/>
  <c r="C20" i="74"/>
  <c r="B21" i="74"/>
  <c r="C21" i="74"/>
  <c r="B22" i="74"/>
  <c r="C22" i="74"/>
  <c r="B23" i="74"/>
  <c r="C23" i="74"/>
  <c r="B24" i="74"/>
  <c r="C24" i="74"/>
  <c r="B25" i="74"/>
  <c r="C25" i="74"/>
  <c r="B26" i="74"/>
  <c r="C26" i="74"/>
  <c r="B27" i="74"/>
  <c r="C27" i="74"/>
  <c r="B28" i="74"/>
  <c r="C28" i="74"/>
  <c r="B29" i="74"/>
  <c r="C29" i="74"/>
  <c r="B30" i="74"/>
  <c r="C30" i="74"/>
  <c r="B31" i="74"/>
  <c r="C31" i="74"/>
  <c r="B32" i="74"/>
  <c r="C32" i="74"/>
  <c r="B33" i="74"/>
  <c r="C33" i="74"/>
  <c r="B34" i="74"/>
  <c r="C34" i="74"/>
  <c r="B35" i="74"/>
  <c r="C35" i="74"/>
  <c r="C36" i="74"/>
  <c r="B37" i="74"/>
  <c r="C37" i="74"/>
  <c r="B38" i="74"/>
  <c r="C38" i="74"/>
  <c r="C39" i="74"/>
  <c r="B40" i="74"/>
  <c r="C40" i="74"/>
  <c r="B10" i="74"/>
  <c r="R21" i="1" l="1"/>
  <c r="S33" i="1"/>
  <c r="Q9" i="2"/>
  <c r="C10" i="74"/>
  <c r="R33" i="1" l="1"/>
  <c r="V33" i="1" s="1"/>
  <c r="S34" i="1"/>
  <c r="S35" i="1"/>
  <c r="T33" i="1"/>
  <c r="U33" i="1"/>
  <c r="AL33" i="1"/>
  <c r="R35" i="1" l="1"/>
  <c r="V35" i="1" s="1"/>
  <c r="R34" i="1"/>
  <c r="V34" i="1" s="1"/>
  <c r="T34" i="1"/>
  <c r="U34" i="1"/>
  <c r="AL34" i="1"/>
  <c r="T35" i="1"/>
  <c r="AL35" i="1"/>
  <c r="U35" i="1"/>
  <c r="D10" i="74"/>
  <c r="D3" i="81"/>
  <c r="D4" i="81" s="1"/>
  <c r="D5" i="81" s="1"/>
  <c r="D6" i="81" s="1"/>
  <c r="D7" i="81" s="1"/>
  <c r="D8" i="81" s="1"/>
  <c r="D9" i="81" s="1"/>
  <c r="D10" i="81" s="1"/>
  <c r="D11" i="81" s="1"/>
  <c r="D12" i="81" s="1"/>
  <c r="D13" i="81" s="1"/>
  <c r="D14" i="81" s="1"/>
  <c r="D15" i="81" s="1"/>
  <c r="D16" i="81" s="1"/>
  <c r="D17" i="81" s="1"/>
  <c r="D18" i="81" s="1"/>
  <c r="D19" i="81" s="1"/>
  <c r="D20" i="81" s="1"/>
  <c r="D21" i="81" s="1"/>
  <c r="D22" i="81" s="1"/>
  <c r="D23" i="81" s="1"/>
  <c r="D24" i="81" s="1"/>
  <c r="D25" i="81" s="1"/>
  <c r="D26" i="81" s="1"/>
  <c r="D27" i="81" s="1"/>
  <c r="D28" i="81" s="1"/>
  <c r="D29" i="81" s="1"/>
  <c r="D30" i="81" s="1"/>
  <c r="D31" i="81" s="1"/>
  <c r="D32" i="81" s="1"/>
  <c r="E12" i="2" l="1"/>
  <c r="E9" i="2"/>
  <c r="E10" i="2"/>
  <c r="E11" i="2"/>
  <c r="AF34" i="3" l="1"/>
  <c r="F37" i="5"/>
  <c r="AT38" i="7" l="1"/>
  <c r="Y23" i="1" l="1"/>
  <c r="AA33" i="1"/>
  <c r="L25" i="1"/>
  <c r="Y33" i="1" l="1"/>
  <c r="AB33" i="1" s="1"/>
  <c r="Y34" i="1"/>
  <c r="AB34" i="1" s="1"/>
  <c r="Y35" i="1"/>
  <c r="AB35" i="1" s="1"/>
  <c r="AA34" i="1"/>
  <c r="AA35" i="1"/>
  <c r="E8" i="2"/>
  <c r="Q20" i="2"/>
  <c r="Q19" i="2"/>
  <c r="E13" i="2" l="1"/>
  <c r="E14" i="2"/>
  <c r="E15" i="2"/>
  <c r="D15" i="73"/>
  <c r="H12" i="77"/>
  <c r="E16" i="2" l="1"/>
  <c r="BA7" i="5"/>
  <c r="E17" i="2" l="1"/>
  <c r="I8" i="77"/>
  <c r="E18" i="2" l="1"/>
  <c r="AC34" i="76"/>
  <c r="U34" i="5" l="1"/>
  <c r="E19" i="2"/>
  <c r="K4" i="76"/>
  <c r="AA28" i="76"/>
  <c r="AB28" i="76" s="1"/>
  <c r="AE28" i="76" s="1"/>
  <c r="AF28" i="76" s="1"/>
  <c r="U35" i="5" l="1"/>
  <c r="U36" i="5"/>
  <c r="E20" i="2"/>
  <c r="E5" i="2"/>
  <c r="E4" i="2"/>
  <c r="A16" i="2"/>
  <c r="B16" i="2" s="1"/>
  <c r="O16" i="2" s="1"/>
  <c r="A17" i="2"/>
  <c r="B17" i="2" s="1"/>
  <c r="O17" i="2" s="1"/>
  <c r="A18" i="2"/>
  <c r="B18" i="2" s="1"/>
  <c r="O18" i="2" s="1"/>
  <c r="A19" i="2"/>
  <c r="B19" i="2" s="1"/>
  <c r="O19" i="2" s="1"/>
  <c r="A20" i="2"/>
  <c r="B20" i="2" s="1"/>
  <c r="O20" i="2" s="1"/>
  <c r="A21" i="2"/>
  <c r="B21" i="2" s="1"/>
  <c r="O21" i="2" s="1"/>
  <c r="A22" i="2"/>
  <c r="B22" i="2" s="1"/>
  <c r="O22" i="2" s="1"/>
  <c r="A23" i="2"/>
  <c r="B23" i="2" s="1"/>
  <c r="O23" i="2" s="1"/>
  <c r="A24" i="2"/>
  <c r="B24" i="2" s="1"/>
  <c r="O24" i="2" s="1"/>
  <c r="A25" i="2"/>
  <c r="B25" i="2" s="1"/>
  <c r="O25" i="2" s="1"/>
  <c r="A26" i="2"/>
  <c r="B26" i="2" s="1"/>
  <c r="O26" i="2" s="1"/>
  <c r="A27" i="2"/>
  <c r="B27" i="2" s="1"/>
  <c r="O27" i="2" s="1"/>
  <c r="A28" i="2"/>
  <c r="B28" i="2" s="1"/>
  <c r="O28" i="2" s="1"/>
  <c r="A29" i="2"/>
  <c r="B29" i="2" s="1"/>
  <c r="O29" i="2" s="1"/>
  <c r="A30" i="2"/>
  <c r="B30" i="2" s="1"/>
  <c r="O30" i="2" s="1"/>
  <c r="A31" i="2"/>
  <c r="B31" i="2" s="1"/>
  <c r="O31" i="2" s="1"/>
  <c r="A11" i="5"/>
  <c r="E21" i="2" l="1"/>
  <c r="W30" i="76"/>
  <c r="AH38" i="1" l="1"/>
  <c r="AH37" i="1"/>
  <c r="AK38" i="5"/>
  <c r="F39" i="5"/>
  <c r="B39" i="5"/>
  <c r="P34" i="3"/>
  <c r="E23" i="2" l="1"/>
  <c r="E24" i="2" l="1"/>
  <c r="AA27" i="76"/>
  <c r="E25" i="2" l="1"/>
  <c r="Y24" i="5"/>
  <c r="AB27" i="76"/>
  <c r="AB29" i="76" s="1"/>
  <c r="AA29" i="76"/>
  <c r="Q16" i="2"/>
  <c r="M16" i="2"/>
  <c r="I16" i="2"/>
  <c r="K16" i="2"/>
  <c r="G16" i="2"/>
  <c r="S30" i="1"/>
  <c r="T30" i="1" s="1"/>
  <c r="R30" i="1"/>
  <c r="N30" i="1"/>
  <c r="L30" i="1"/>
  <c r="I30" i="1"/>
  <c r="G30" i="1"/>
  <c r="D30" i="1"/>
  <c r="E30" i="1" s="1"/>
  <c r="J30" i="1" l="1"/>
  <c r="V30" i="1"/>
  <c r="E26" i="2"/>
  <c r="Y25" i="5"/>
  <c r="G17" i="2"/>
  <c r="I17" i="2"/>
  <c r="Q17" i="2"/>
  <c r="N16" i="2"/>
  <c r="R16" i="2" s="1"/>
  <c r="K17" i="2"/>
  <c r="M17" i="2"/>
  <c r="U30" i="1"/>
  <c r="E27" i="2" l="1"/>
  <c r="Y26" i="5"/>
  <c r="K18" i="2"/>
  <c r="M18" i="2"/>
  <c r="I18" i="2"/>
  <c r="Q18" i="2"/>
  <c r="G18" i="2"/>
  <c r="N17" i="2"/>
  <c r="R17" i="2" s="1"/>
  <c r="E28" i="2" l="1"/>
  <c r="Y27" i="5"/>
  <c r="G19" i="2"/>
  <c r="N18" i="2"/>
  <c r="R18" i="2" s="1"/>
  <c r="I19" i="2"/>
  <c r="K19" i="2"/>
  <c r="M19" i="2"/>
  <c r="E29" i="2" l="1"/>
  <c r="Y28" i="5"/>
  <c r="M20" i="2"/>
  <c r="K20" i="2"/>
  <c r="G20" i="2"/>
  <c r="N19" i="2"/>
  <c r="B3" i="2"/>
  <c r="A3" i="2"/>
  <c r="R19" i="2" l="1"/>
  <c r="S19" i="76"/>
  <c r="E30" i="2"/>
  <c r="K21" i="2"/>
  <c r="N20" i="2"/>
  <c r="R20" i="2" s="1"/>
  <c r="G21" i="2"/>
  <c r="M21" i="2"/>
  <c r="Q21" i="2"/>
  <c r="S26" i="3"/>
  <c r="E31" i="2" l="1"/>
  <c r="N21" i="2"/>
  <c r="R21" i="2" s="1"/>
  <c r="Q8" i="2"/>
  <c r="AD7" i="3" s="1"/>
  <c r="Q10" i="2"/>
  <c r="I5" i="2"/>
  <c r="G23" i="2" l="1"/>
  <c r="Q23" i="2"/>
  <c r="M23" i="2"/>
  <c r="I23" i="2"/>
  <c r="K23" i="2"/>
  <c r="Q11" i="2"/>
  <c r="I7" i="77"/>
  <c r="I12" i="77" s="1"/>
  <c r="N23" i="2" l="1"/>
  <c r="R23" i="2" s="1"/>
  <c r="K24" i="2"/>
  <c r="Q24" i="2"/>
  <c r="M24" i="2"/>
  <c r="G24" i="2"/>
  <c r="Q12" i="2"/>
  <c r="AU6" i="5"/>
  <c r="AZ6" i="5" s="1"/>
  <c r="AU7" i="5" l="1"/>
  <c r="AZ7" i="5" s="1"/>
  <c r="AA30" i="1"/>
  <c r="G25" i="2"/>
  <c r="K25" i="2"/>
  <c r="Q25" i="2"/>
  <c r="N24" i="2"/>
  <c r="R24" i="2" s="1"/>
  <c r="M25" i="2"/>
  <c r="I25" i="2"/>
  <c r="Y30" i="1"/>
  <c r="AB30" i="1" s="1"/>
  <c r="Q13" i="2"/>
  <c r="N25" i="2" l="1"/>
  <c r="R25" i="2" s="1"/>
  <c r="M26" i="2"/>
  <c r="K26" i="2"/>
  <c r="G26" i="2"/>
  <c r="Q26" i="2"/>
  <c r="I26" i="2"/>
  <c r="Q14" i="2"/>
  <c r="N26" i="2" l="1"/>
  <c r="R26" i="2" s="1"/>
  <c r="I27" i="2"/>
  <c r="Q27" i="2"/>
  <c r="G27" i="2"/>
  <c r="K27" i="2"/>
  <c r="M27" i="2"/>
  <c r="Q15" i="2"/>
  <c r="N27" i="2" l="1"/>
  <c r="R27" i="2" s="1"/>
  <c r="G28" i="2"/>
  <c r="I28" i="2"/>
  <c r="M28" i="2"/>
  <c r="Q28" i="2"/>
  <c r="K28" i="2"/>
  <c r="G17" i="76"/>
  <c r="C18" i="76"/>
  <c r="Q29" i="2" l="1"/>
  <c r="G29" i="2"/>
  <c r="K29" i="2"/>
  <c r="M29" i="2"/>
  <c r="I29" i="2"/>
  <c r="N28" i="2"/>
  <c r="R28" i="2" s="1"/>
  <c r="AV36" i="1"/>
  <c r="AV38" i="1" s="1"/>
  <c r="AS36" i="1"/>
  <c r="AW36" i="1" s="1"/>
  <c r="M6" i="79"/>
  <c r="O6" i="79" s="1"/>
  <c r="C8" i="77"/>
  <c r="A13" i="1"/>
  <c r="I30" i="2" l="1"/>
  <c r="M30" i="2"/>
  <c r="K30" i="2"/>
  <c r="Q30" i="2"/>
  <c r="G30" i="2"/>
  <c r="N29" i="2"/>
  <c r="R29" i="2" s="1"/>
  <c r="M7" i="79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N30" i="2" l="1"/>
  <c r="R30" i="2" s="1"/>
  <c r="O34" i="79"/>
  <c r="M35" i="79"/>
  <c r="Q31" i="2"/>
  <c r="M31" i="2"/>
  <c r="G31" i="2"/>
  <c r="K31" i="2"/>
  <c r="I31" i="2"/>
  <c r="I4" i="2"/>
  <c r="G4" i="2"/>
  <c r="M36" i="79" l="1"/>
  <c r="O36" i="79" s="1"/>
  <c r="O35" i="79"/>
  <c r="N31" i="2"/>
  <c r="R31" i="2" s="1"/>
  <c r="G5" i="2"/>
  <c r="F38" i="5" l="1"/>
  <c r="A19" i="76" l="1"/>
  <c r="AJ9" i="3" l="1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A32" i="1" l="1"/>
  <c r="Y32" i="1"/>
  <c r="AB32" i="1" s="1"/>
  <c r="R32" i="1"/>
  <c r="S32" i="1"/>
  <c r="T32" i="1" s="1"/>
  <c r="N32" i="1"/>
  <c r="L32" i="1"/>
  <c r="I32" i="1"/>
  <c r="G32" i="1"/>
  <c r="D32" i="1"/>
  <c r="E32" i="1" s="1"/>
  <c r="V32" i="1" l="1"/>
  <c r="J32" i="1"/>
  <c r="U32" i="1"/>
  <c r="H13" i="82" l="1"/>
  <c r="A14" i="5"/>
  <c r="H14" i="82" l="1"/>
  <c r="H15" i="82" l="1"/>
  <c r="H17" i="82" l="1"/>
  <c r="H18" i="82" l="1"/>
  <c r="H19" i="82" l="1"/>
  <c r="H20" i="82" l="1"/>
  <c r="H21" i="82" l="1"/>
  <c r="H22" i="82"/>
  <c r="H23" i="82" l="1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H24" i="82" l="1"/>
  <c r="I17" i="79"/>
  <c r="L17" i="1"/>
  <c r="H25" i="82" l="1"/>
  <c r="H26" i="82" l="1"/>
  <c r="G14" i="73" l="1"/>
  <c r="H27" i="82" l="1"/>
  <c r="AB12" i="74"/>
  <c r="AA12" i="74"/>
  <c r="AB11" i="74"/>
  <c r="AA11" i="74"/>
  <c r="AB10" i="74"/>
  <c r="AA10" i="74"/>
  <c r="M10" i="74"/>
  <c r="M11" i="74"/>
  <c r="M12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5" i="74"/>
  <c r="M36" i="74"/>
  <c r="M37" i="74"/>
  <c r="M38" i="74"/>
  <c r="M39" i="74"/>
  <c r="L40" i="74"/>
  <c r="L39" i="74"/>
  <c r="L38" i="74"/>
  <c r="L37" i="74"/>
  <c r="L36" i="74"/>
  <c r="L35" i="74"/>
  <c r="L34" i="74"/>
  <c r="L33" i="74"/>
  <c r="L32" i="74"/>
  <c r="L31" i="74"/>
  <c r="L30" i="74"/>
  <c r="L29" i="74"/>
  <c r="L28" i="74"/>
  <c r="L27" i="74"/>
  <c r="L26" i="74"/>
  <c r="L25" i="74"/>
  <c r="L24" i="74"/>
  <c r="L23" i="74"/>
  <c r="L22" i="74"/>
  <c r="L21" i="74"/>
  <c r="L20" i="74"/>
  <c r="L19" i="74"/>
  <c r="L18" i="74"/>
  <c r="L17" i="74"/>
  <c r="L16" i="74"/>
  <c r="L15" i="74"/>
  <c r="L14" i="74"/>
  <c r="L13" i="74"/>
  <c r="L12" i="74"/>
  <c r="L11" i="74"/>
  <c r="L10" i="74"/>
  <c r="I40" i="74"/>
  <c r="I39" i="74"/>
  <c r="I38" i="74"/>
  <c r="I37" i="74"/>
  <c r="I36" i="74"/>
  <c r="I35" i="74"/>
  <c r="I34" i="74"/>
  <c r="I33" i="74"/>
  <c r="I32" i="74"/>
  <c r="I31" i="74"/>
  <c r="I30" i="74"/>
  <c r="I29" i="74"/>
  <c r="I28" i="74"/>
  <c r="I27" i="74"/>
  <c r="I26" i="74"/>
  <c r="I25" i="74"/>
  <c r="I24" i="74"/>
  <c r="I23" i="74"/>
  <c r="I22" i="74"/>
  <c r="I21" i="74"/>
  <c r="I20" i="74"/>
  <c r="I19" i="74"/>
  <c r="I18" i="74"/>
  <c r="I17" i="74"/>
  <c r="I16" i="74"/>
  <c r="I15" i="74"/>
  <c r="I14" i="74"/>
  <c r="I13" i="74"/>
  <c r="I12" i="74"/>
  <c r="I11" i="74"/>
  <c r="I10" i="74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H11" i="74"/>
  <c r="H10" i="74"/>
  <c r="E37" i="74"/>
  <c r="E36" i="74"/>
  <c r="E35" i="74"/>
  <c r="E34" i="74"/>
  <c r="E33" i="74"/>
  <c r="E32" i="74"/>
  <c r="E31" i="74"/>
  <c r="E30" i="74"/>
  <c r="E29" i="74"/>
  <c r="E28" i="74"/>
  <c r="E27" i="74"/>
  <c r="E26" i="74"/>
  <c r="E25" i="74"/>
  <c r="E24" i="74"/>
  <c r="E23" i="74"/>
  <c r="E22" i="74"/>
  <c r="E21" i="74"/>
  <c r="E20" i="74"/>
  <c r="E19" i="74"/>
  <c r="E18" i="74"/>
  <c r="E17" i="74"/>
  <c r="E16" i="74"/>
  <c r="E15" i="74"/>
  <c r="E14" i="74"/>
  <c r="E13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G43" i="74" l="1"/>
  <c r="F43" i="74"/>
  <c r="C43" i="74"/>
  <c r="B43" i="74"/>
  <c r="K43" i="74"/>
  <c r="J43" i="74"/>
  <c r="H28" i="82"/>
  <c r="H29" i="82" l="1"/>
  <c r="S3" i="3"/>
  <c r="A25" i="3" l="1"/>
  <c r="A23" i="3" l="1"/>
  <c r="A23" i="1"/>
  <c r="A31" i="76" l="1"/>
  <c r="S23" i="3" l="1"/>
  <c r="U23" i="3" s="1"/>
  <c r="K29" i="76"/>
  <c r="I18" i="76"/>
  <c r="G31" i="76"/>
  <c r="C31" i="76"/>
  <c r="K31" i="76" l="1"/>
  <c r="N31" i="76" s="1"/>
  <c r="S25" i="3"/>
  <c r="U25" i="3" s="1"/>
  <c r="I31" i="76"/>
  <c r="M31" i="76" s="1"/>
  <c r="L31" i="76"/>
  <c r="D31" i="7"/>
  <c r="D31" i="76" l="1"/>
  <c r="E31" i="76" s="1"/>
  <c r="D32" i="7"/>
  <c r="F31" i="7"/>
  <c r="F32" i="7" l="1"/>
  <c r="H31" i="7"/>
  <c r="D33" i="7"/>
  <c r="F33" i="7" l="1"/>
  <c r="J31" i="7"/>
  <c r="H32" i="7"/>
  <c r="J32" i="7" l="1"/>
  <c r="L31" i="7"/>
  <c r="H33" i="7"/>
  <c r="J33" i="7" l="1"/>
  <c r="L32" i="7"/>
  <c r="N31" i="7"/>
  <c r="T40" i="74"/>
  <c r="X39" i="74"/>
  <c r="T39" i="74"/>
  <c r="P39" i="74"/>
  <c r="X38" i="74"/>
  <c r="T38" i="74"/>
  <c r="P38" i="74"/>
  <c r="X37" i="74"/>
  <c r="T37" i="74"/>
  <c r="P37" i="74"/>
  <c r="X36" i="74"/>
  <c r="T36" i="74"/>
  <c r="P36" i="74"/>
  <c r="X35" i="74"/>
  <c r="T35" i="74"/>
  <c r="P35" i="74"/>
  <c r="X34" i="74"/>
  <c r="T34" i="74"/>
  <c r="P34" i="74"/>
  <c r="X33" i="74"/>
  <c r="T33" i="74"/>
  <c r="P33" i="74"/>
  <c r="X32" i="74"/>
  <c r="T32" i="74"/>
  <c r="P32" i="74"/>
  <c r="X31" i="74"/>
  <c r="T31" i="74"/>
  <c r="P31" i="74"/>
  <c r="X30" i="74"/>
  <c r="T30" i="74"/>
  <c r="P30" i="74"/>
  <c r="X29" i="74"/>
  <c r="T29" i="74"/>
  <c r="P29" i="74"/>
  <c r="X28" i="74"/>
  <c r="T28" i="74"/>
  <c r="P28" i="74"/>
  <c r="X27" i="74"/>
  <c r="T27" i="74"/>
  <c r="P27" i="74"/>
  <c r="X26" i="74"/>
  <c r="T26" i="74"/>
  <c r="P26" i="74"/>
  <c r="X25" i="74"/>
  <c r="T25" i="74"/>
  <c r="P25" i="74"/>
  <c r="X24" i="74"/>
  <c r="T24" i="74"/>
  <c r="P24" i="74"/>
  <c r="X23" i="74"/>
  <c r="T23" i="74"/>
  <c r="P23" i="74"/>
  <c r="X22" i="74"/>
  <c r="T22" i="74"/>
  <c r="P22" i="74"/>
  <c r="X21" i="74"/>
  <c r="T21" i="74"/>
  <c r="P21" i="74"/>
  <c r="X20" i="74"/>
  <c r="T20" i="74"/>
  <c r="P20" i="74"/>
  <c r="X19" i="74"/>
  <c r="T19" i="74"/>
  <c r="P19" i="74"/>
  <c r="X18" i="74"/>
  <c r="T18" i="74"/>
  <c r="P18" i="74"/>
  <c r="X17" i="74"/>
  <c r="T17" i="74"/>
  <c r="P17" i="74"/>
  <c r="X16" i="74"/>
  <c r="T16" i="74"/>
  <c r="P16" i="74"/>
  <c r="X15" i="74"/>
  <c r="T15" i="74"/>
  <c r="P15" i="74"/>
  <c r="X14" i="74"/>
  <c r="T14" i="74"/>
  <c r="P14" i="74"/>
  <c r="X13" i="74"/>
  <c r="T13" i="74"/>
  <c r="P13" i="74"/>
  <c r="X12" i="74"/>
  <c r="T12" i="74"/>
  <c r="P12" i="74"/>
  <c r="X11" i="74"/>
  <c r="T11" i="74"/>
  <c r="P11" i="74"/>
  <c r="X10" i="74"/>
  <c r="T10" i="74"/>
  <c r="P10" i="74"/>
  <c r="I7" i="79"/>
  <c r="AM24" i="5"/>
  <c r="AP24" i="5"/>
  <c r="AN24" i="5"/>
  <c r="N43" i="74" l="1"/>
  <c r="O43" i="74"/>
  <c r="W43" i="74"/>
  <c r="V43" i="74"/>
  <c r="S43" i="74"/>
  <c r="AB14" i="74" s="1"/>
  <c r="R43" i="74"/>
  <c r="AA14" i="74" s="1"/>
  <c r="N32" i="7"/>
  <c r="L33" i="7"/>
  <c r="P31" i="7"/>
  <c r="I22" i="76"/>
  <c r="G22" i="76"/>
  <c r="C22" i="76"/>
  <c r="BA24" i="5"/>
  <c r="H24" i="5"/>
  <c r="N23" i="1"/>
  <c r="L23" i="1"/>
  <c r="I23" i="1"/>
  <c r="G23" i="1"/>
  <c r="R31" i="7" l="1"/>
  <c r="J23" i="1"/>
  <c r="P32" i="7"/>
  <c r="N33" i="7"/>
  <c r="E23" i="1"/>
  <c r="I22" i="1"/>
  <c r="R32" i="7" l="1"/>
  <c r="P33" i="7"/>
  <c r="R33" i="7" l="1"/>
  <c r="U24" i="5"/>
  <c r="R23" i="1"/>
  <c r="V23" i="1" s="1"/>
  <c r="S23" i="1"/>
  <c r="AL23" i="1" s="1"/>
  <c r="AA23" i="1"/>
  <c r="I24" i="1"/>
  <c r="AB23" i="1" l="1"/>
  <c r="T23" i="1"/>
  <c r="U23" i="1"/>
  <c r="I25" i="1"/>
  <c r="I26" i="1" l="1"/>
  <c r="I27" i="1" l="1"/>
  <c r="I28" i="1" l="1"/>
  <c r="I29" i="1" l="1"/>
  <c r="I31" i="1" l="1"/>
  <c r="K18" i="73" l="1"/>
  <c r="G18" i="73"/>
  <c r="K15" i="76"/>
  <c r="D13" i="73" l="1"/>
  <c r="X78" i="74" l="1"/>
  <c r="BA19" i="5" l="1"/>
  <c r="N6" i="1"/>
  <c r="L5" i="1"/>
  <c r="BA20" i="5" l="1"/>
  <c r="BD20" i="5" s="1"/>
  <c r="N7" i="1"/>
  <c r="L6" i="1"/>
  <c r="A5" i="76"/>
  <c r="A6" i="76"/>
  <c r="A7" i="76"/>
  <c r="A8" i="76"/>
  <c r="A9" i="76"/>
  <c r="A10" i="76"/>
  <c r="A11" i="76"/>
  <c r="A12" i="76"/>
  <c r="A13" i="76"/>
  <c r="A14" i="76"/>
  <c r="A15" i="76"/>
  <c r="A16" i="76"/>
  <c r="A17" i="76"/>
  <c r="A18" i="76"/>
  <c r="A20" i="76"/>
  <c r="A21" i="76"/>
  <c r="A22" i="76"/>
  <c r="A23" i="76"/>
  <c r="A24" i="76"/>
  <c r="A25" i="76"/>
  <c r="A26" i="76"/>
  <c r="A27" i="76"/>
  <c r="A28" i="76"/>
  <c r="A29" i="76"/>
  <c r="A30" i="76"/>
  <c r="C17" i="76"/>
  <c r="C12" i="76"/>
  <c r="L7" i="1" l="1"/>
  <c r="BA21" i="5"/>
  <c r="N8" i="1"/>
  <c r="L8" i="1" l="1"/>
  <c r="N9" i="1"/>
  <c r="N10" i="1" l="1"/>
  <c r="L9" i="1"/>
  <c r="N11" i="1" l="1"/>
  <c r="L10" i="1"/>
  <c r="N12" i="1" l="1"/>
  <c r="L11" i="1"/>
  <c r="L12" i="1" l="1"/>
  <c r="N13" i="1"/>
  <c r="A21" i="1"/>
  <c r="A22" i="1"/>
  <c r="A24" i="1"/>
  <c r="A25" i="1"/>
  <c r="A26" i="1"/>
  <c r="N14" i="1" l="1"/>
  <c r="L13" i="1"/>
  <c r="S5" i="3"/>
  <c r="U5" i="3" s="1"/>
  <c r="S6" i="3"/>
  <c r="U6" i="3" s="1"/>
  <c r="K10" i="73"/>
  <c r="Y7" i="5"/>
  <c r="Y8" i="5"/>
  <c r="N15" i="1" l="1"/>
  <c r="L14" i="1"/>
  <c r="N16" i="1" l="1"/>
  <c r="L15" i="1"/>
  <c r="A6" i="2"/>
  <c r="A7" i="2"/>
  <c r="A8" i="2"/>
  <c r="A9" i="2"/>
  <c r="A10" i="2"/>
  <c r="A11" i="2"/>
  <c r="A12" i="2"/>
  <c r="A13" i="2"/>
  <c r="A14" i="2"/>
  <c r="A15" i="2"/>
  <c r="A4" i="2"/>
  <c r="B4" i="2" s="1"/>
  <c r="N17" i="1" l="1"/>
  <c r="L16" i="1"/>
  <c r="Y6" i="5"/>
  <c r="S7" i="3"/>
  <c r="U7" i="3" s="1"/>
  <c r="N18" i="1" l="1"/>
  <c r="S8" i="3"/>
  <c r="U8" i="3" s="1"/>
  <c r="D9" i="1"/>
  <c r="E9" i="1" s="1"/>
  <c r="L18" i="1" l="1"/>
  <c r="N19" i="1"/>
  <c r="S9" i="3"/>
  <c r="L19" i="1" l="1"/>
  <c r="N20" i="1"/>
  <c r="S16" i="3"/>
  <c r="U16" i="3" s="1"/>
  <c r="L20" i="1" l="1"/>
  <c r="N21" i="1"/>
  <c r="L21" i="1" l="1"/>
  <c r="N22" i="1"/>
  <c r="L22" i="1" l="1"/>
  <c r="N24" i="1" l="1"/>
  <c r="C13" i="76"/>
  <c r="N25" i="1" l="1"/>
  <c r="L24" i="1"/>
  <c r="AD23" i="3"/>
  <c r="C14" i="76"/>
  <c r="AI23" i="3" l="1"/>
  <c r="N26" i="1"/>
  <c r="C15" i="76"/>
  <c r="N27" i="1" l="1"/>
  <c r="L26" i="1"/>
  <c r="AD25" i="3"/>
  <c r="C16" i="76"/>
  <c r="D11" i="73"/>
  <c r="G5" i="76"/>
  <c r="AI25" i="3" l="1"/>
  <c r="N28" i="1"/>
  <c r="L27" i="1"/>
  <c r="N29" i="1" l="1"/>
  <c r="L28" i="1"/>
  <c r="L29" i="1" l="1"/>
  <c r="C19" i="76"/>
  <c r="N31" i="1" l="1"/>
  <c r="C20" i="76"/>
  <c r="C4" i="76"/>
  <c r="G14" i="76"/>
  <c r="L14" i="76" l="1"/>
  <c r="L31" i="1"/>
  <c r="C21" i="76"/>
  <c r="K14" i="76"/>
  <c r="N14" i="76" s="1"/>
  <c r="I14" i="76"/>
  <c r="M14" i="76" s="1"/>
  <c r="K16" i="76"/>
  <c r="N16" i="76" s="1"/>
  <c r="K17" i="76"/>
  <c r="N17" i="76" s="1"/>
  <c r="N15" i="76"/>
  <c r="G15" i="76"/>
  <c r="I15" i="76"/>
  <c r="M15" i="76" s="1"/>
  <c r="D14" i="76" l="1"/>
  <c r="E14" i="76" s="1"/>
  <c r="L15" i="76"/>
  <c r="D15" i="76"/>
  <c r="G16" i="76"/>
  <c r="I16" i="76"/>
  <c r="M16" i="76" s="1"/>
  <c r="L16" i="76" l="1"/>
  <c r="D16" i="76"/>
  <c r="C23" i="76"/>
  <c r="I17" i="76"/>
  <c r="M17" i="76" s="1"/>
  <c r="E15" i="76"/>
  <c r="L17" i="76" l="1"/>
  <c r="D17" i="76"/>
  <c r="E17" i="76" s="1"/>
  <c r="C24" i="76"/>
  <c r="G18" i="76"/>
  <c r="E16" i="76"/>
  <c r="S12" i="3"/>
  <c r="U12" i="3" s="1"/>
  <c r="G19" i="76" l="1"/>
  <c r="L19" i="76" s="1"/>
  <c r="I19" i="76"/>
  <c r="M19" i="76" s="1"/>
  <c r="K18" i="76"/>
  <c r="N18" i="76" s="1"/>
  <c r="D18" i="76" l="1"/>
  <c r="E18" i="76" s="1"/>
  <c r="I20" i="76"/>
  <c r="M18" i="76"/>
  <c r="L18" i="76"/>
  <c r="K19" i="76"/>
  <c r="N19" i="76" s="1"/>
  <c r="D19" i="76" l="1"/>
  <c r="E19" i="76" s="1"/>
  <c r="I21" i="76"/>
  <c r="G20" i="76"/>
  <c r="K20" i="76"/>
  <c r="N20" i="76" s="1"/>
  <c r="D20" i="76" l="1"/>
  <c r="E20" i="76" s="1"/>
  <c r="M20" i="76"/>
  <c r="L20" i="76"/>
  <c r="G21" i="76"/>
  <c r="K21" i="76"/>
  <c r="N21" i="76" s="1"/>
  <c r="D21" i="76" l="1"/>
  <c r="E21" i="76" s="1"/>
  <c r="C29" i="76"/>
  <c r="M21" i="76"/>
  <c r="K22" i="76"/>
  <c r="D22" i="76" s="1"/>
  <c r="L21" i="76"/>
  <c r="N22" i="76" l="1"/>
  <c r="C30" i="76"/>
  <c r="M22" i="76"/>
  <c r="I23" i="76"/>
  <c r="K23" i="76"/>
  <c r="N23" i="76" s="1"/>
  <c r="L22" i="76"/>
  <c r="G23" i="76"/>
  <c r="G29" i="73"/>
  <c r="D23" i="76" l="1"/>
  <c r="E23" i="76" s="1"/>
  <c r="M23" i="76"/>
  <c r="I24" i="76"/>
  <c r="G24" i="76"/>
  <c r="L23" i="76"/>
  <c r="K24" i="76"/>
  <c r="N24" i="76" s="1"/>
  <c r="D24" i="76" l="1"/>
  <c r="E24" i="76" s="1"/>
  <c r="M24" i="76"/>
  <c r="I25" i="76"/>
  <c r="D25" i="76" s="1"/>
  <c r="G25" i="76"/>
  <c r="L24" i="76"/>
  <c r="K25" i="76"/>
  <c r="N25" i="76" s="1"/>
  <c r="AA8" i="1"/>
  <c r="U8" i="5"/>
  <c r="E25" i="76" l="1"/>
  <c r="M25" i="76"/>
  <c r="I26" i="76"/>
  <c r="D26" i="76" s="1"/>
  <c r="K26" i="76"/>
  <c r="N26" i="76" s="1"/>
  <c r="G26" i="76"/>
  <c r="L25" i="76"/>
  <c r="U9" i="5"/>
  <c r="E26" i="76" l="1"/>
  <c r="M26" i="76"/>
  <c r="I27" i="76"/>
  <c r="G27" i="76"/>
  <c r="K27" i="76"/>
  <c r="N27" i="76" s="1"/>
  <c r="L26" i="76"/>
  <c r="U10" i="5"/>
  <c r="D27" i="76" l="1"/>
  <c r="E27" i="76" s="1"/>
  <c r="M27" i="76"/>
  <c r="I28" i="76"/>
  <c r="G28" i="76"/>
  <c r="K28" i="76"/>
  <c r="N28" i="76" s="1"/>
  <c r="L27" i="76"/>
  <c r="D28" i="76" l="1"/>
  <c r="E28" i="76" s="1"/>
  <c r="M28" i="76"/>
  <c r="I29" i="76"/>
  <c r="G29" i="76"/>
  <c r="L28" i="76"/>
  <c r="N29" i="76"/>
  <c r="I6" i="79"/>
  <c r="D29" i="76" l="1"/>
  <c r="E29" i="76" s="1"/>
  <c r="M29" i="76"/>
  <c r="I30" i="76"/>
  <c r="G30" i="76"/>
  <c r="K30" i="76"/>
  <c r="N30" i="76" s="1"/>
  <c r="L29" i="76"/>
  <c r="R29" i="1"/>
  <c r="V29" i="1" s="1"/>
  <c r="AA7" i="1"/>
  <c r="D29" i="1"/>
  <c r="E29" i="1" s="1"/>
  <c r="D28" i="1"/>
  <c r="E28" i="1" s="1"/>
  <c r="D27" i="1"/>
  <c r="E27" i="1" s="1"/>
  <c r="D26" i="1"/>
  <c r="E26" i="1" s="1"/>
  <c r="D25" i="1"/>
  <c r="E25" i="1" s="1"/>
  <c r="D24" i="1"/>
  <c r="E24" i="1" s="1"/>
  <c r="D22" i="1"/>
  <c r="E22" i="1" s="1"/>
  <c r="D30" i="76" l="1"/>
  <c r="E30" i="76" s="1"/>
  <c r="M30" i="76"/>
  <c r="L30" i="76"/>
  <c r="O7" i="79"/>
  <c r="O8" i="79" l="1"/>
  <c r="D21" i="1"/>
  <c r="E21" i="1" s="1"/>
  <c r="O9" i="79" l="1"/>
  <c r="I8" i="79"/>
  <c r="Q4" i="2"/>
  <c r="O10" i="79" l="1"/>
  <c r="I9" i="79"/>
  <c r="I10" i="79" l="1"/>
  <c r="O11" i="79"/>
  <c r="K12" i="73"/>
  <c r="A32" i="1"/>
  <c r="A31" i="1"/>
  <c r="A30" i="1"/>
  <c r="A29" i="1"/>
  <c r="A28" i="1"/>
  <c r="A27" i="1"/>
  <c r="A20" i="1"/>
  <c r="A19" i="1"/>
  <c r="A18" i="1"/>
  <c r="A17" i="1"/>
  <c r="A16" i="1"/>
  <c r="A15" i="1"/>
  <c r="A14" i="1"/>
  <c r="A12" i="1"/>
  <c r="A11" i="1"/>
  <c r="A10" i="1"/>
  <c r="A9" i="1"/>
  <c r="A8" i="1"/>
  <c r="A7" i="1"/>
  <c r="A6" i="1"/>
  <c r="A5" i="1"/>
  <c r="O12" i="79" l="1"/>
  <c r="I11" i="79"/>
  <c r="D31" i="1"/>
  <c r="E31" i="1" s="1"/>
  <c r="O13" i="79" l="1"/>
  <c r="I12" i="79"/>
  <c r="O14" i="79" l="1"/>
  <c r="I13" i="79"/>
  <c r="O15" i="79" l="1"/>
  <c r="I14" i="79"/>
  <c r="I15" i="79" l="1"/>
  <c r="O16" i="79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I16" i="79" l="1"/>
  <c r="O17" i="79"/>
  <c r="A10" i="3"/>
  <c r="A11" i="3"/>
  <c r="A12" i="3"/>
  <c r="A13" i="3"/>
  <c r="O18" i="79" l="1"/>
  <c r="O19" i="79" l="1"/>
  <c r="I18" i="79"/>
  <c r="O20" i="79" l="1"/>
  <c r="I19" i="79"/>
  <c r="O21" i="79" l="1"/>
  <c r="I20" i="79"/>
  <c r="I21" i="79" l="1"/>
  <c r="O22" i="79"/>
  <c r="I22" i="79" l="1"/>
  <c r="O23" i="79"/>
  <c r="I23" i="79" l="1"/>
  <c r="O24" i="79"/>
  <c r="D5" i="73"/>
  <c r="AM6" i="5" s="1"/>
  <c r="D6" i="73"/>
  <c r="D7" i="73"/>
  <c r="D8" i="73"/>
  <c r="AM9" i="5" s="1"/>
  <c r="D9" i="73"/>
  <c r="D12" i="73"/>
  <c r="D14" i="73"/>
  <c r="AM16" i="5"/>
  <c r="D16" i="73"/>
  <c r="AM17" i="5" s="1"/>
  <c r="D17" i="73"/>
  <c r="D18" i="73"/>
  <c r="D20" i="73"/>
  <c r="D21" i="73"/>
  <c r="BA23" i="7"/>
  <c r="BA24" i="7"/>
  <c r="BA25" i="7"/>
  <c r="BA26" i="7"/>
  <c r="BA27" i="7"/>
  <c r="BA28" i="7"/>
  <c r="BA29" i="7"/>
  <c r="BA30" i="7"/>
  <c r="BA31" i="7"/>
  <c r="A4" i="76"/>
  <c r="A3" i="3"/>
  <c r="A4" i="3"/>
  <c r="A5" i="3"/>
  <c r="A6" i="3"/>
  <c r="A7" i="3"/>
  <c r="A8" i="3"/>
  <c r="A9" i="3"/>
  <c r="A14" i="3"/>
  <c r="A15" i="3"/>
  <c r="A16" i="3"/>
  <c r="A17" i="3"/>
  <c r="A18" i="3"/>
  <c r="A19" i="3"/>
  <c r="A20" i="3"/>
  <c r="A21" i="3"/>
  <c r="A22" i="3"/>
  <c r="A24" i="3"/>
  <c r="A26" i="3"/>
  <c r="A27" i="3"/>
  <c r="A28" i="3"/>
  <c r="A29" i="3"/>
  <c r="A30" i="3"/>
  <c r="A5" i="73"/>
  <c r="A6" i="73"/>
  <c r="A7" i="73"/>
  <c r="A8" i="73"/>
  <c r="A9" i="73"/>
  <c r="A10" i="73"/>
  <c r="A11" i="73"/>
  <c r="A12" i="73"/>
  <c r="A13" i="73"/>
  <c r="A14" i="73"/>
  <c r="A15" i="73"/>
  <c r="A16" i="73"/>
  <c r="A17" i="73"/>
  <c r="A18" i="73"/>
  <c r="A19" i="73"/>
  <c r="A20" i="73"/>
  <c r="A21" i="73"/>
  <c r="A22" i="73"/>
  <c r="A23" i="73"/>
  <c r="A24" i="73"/>
  <c r="A25" i="73"/>
  <c r="A26" i="73"/>
  <c r="A27" i="73"/>
  <c r="A28" i="73"/>
  <c r="A29" i="73"/>
  <c r="A30" i="73"/>
  <c r="A31" i="73"/>
  <c r="A32" i="73"/>
  <c r="BA32" i="7" l="1"/>
  <c r="AM32" i="5"/>
  <c r="I24" i="79"/>
  <c r="O25" i="79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 i="7"/>
  <c r="AM8" i="5"/>
  <c r="BA8" i="7"/>
  <c r="BA17" i="7"/>
  <c r="BA9" i="7"/>
  <c r="BA18" i="7"/>
  <c r="AM10" i="5"/>
  <c r="BA10" i="7"/>
  <c r="AM19" i="5"/>
  <c r="BA19" i="7"/>
  <c r="AM11" i="5"/>
  <c r="BA11" i="7"/>
  <c r="K14" i="73"/>
  <c r="AP14" i="5"/>
  <c r="Y11" i="5"/>
  <c r="AB21" i="74"/>
  <c r="AA21" i="74"/>
  <c r="I4" i="76"/>
  <c r="U3" i="3"/>
  <c r="J2" i="82"/>
  <c r="U6" i="5"/>
  <c r="H6" i="5"/>
  <c r="D5" i="75"/>
  <c r="E5" i="75" s="1"/>
  <c r="Y5" i="1"/>
  <c r="R5" i="1"/>
  <c r="G5" i="1"/>
  <c r="K4" i="2"/>
  <c r="I2" i="82"/>
  <c r="I13" i="76"/>
  <c r="M13" i="76" s="1"/>
  <c r="H8" i="5"/>
  <c r="H10" i="5"/>
  <c r="AA6" i="1"/>
  <c r="Y6" i="1"/>
  <c r="Y15" i="1"/>
  <c r="AB15" i="1" s="1"/>
  <c r="R13" i="1"/>
  <c r="S10" i="1"/>
  <c r="J9" i="63"/>
  <c r="K8" i="73"/>
  <c r="G8" i="73"/>
  <c r="C6" i="76"/>
  <c r="AW38" i="1"/>
  <c r="S6" i="1"/>
  <c r="T6" i="1" s="1"/>
  <c r="S5" i="1"/>
  <c r="D7" i="7"/>
  <c r="K24" i="73"/>
  <c r="M4" i="2"/>
  <c r="G2" i="82"/>
  <c r="J30" i="63"/>
  <c r="AP31" i="5"/>
  <c r="B8" i="77"/>
  <c r="J11" i="63"/>
  <c r="D7" i="77"/>
  <c r="E7" i="77" s="1"/>
  <c r="F7" i="77" s="1"/>
  <c r="AV39" i="1"/>
  <c r="BA6" i="5"/>
  <c r="BD6" i="5" s="1"/>
  <c r="BA8" i="5"/>
  <c r="BA9" i="5"/>
  <c r="BA10" i="5"/>
  <c r="BA13" i="5"/>
  <c r="A34" i="65"/>
  <c r="G5" i="73"/>
  <c r="K5" i="73"/>
  <c r="G6" i="73"/>
  <c r="K6" i="73"/>
  <c r="G7" i="73"/>
  <c r="K7" i="73"/>
  <c r="G9" i="73"/>
  <c r="K9" i="73"/>
  <c r="G10" i="73"/>
  <c r="G11" i="73"/>
  <c r="K11" i="73"/>
  <c r="G12" i="73"/>
  <c r="G13" i="73"/>
  <c r="G15" i="73"/>
  <c r="K15" i="73"/>
  <c r="G16" i="73"/>
  <c r="K16" i="73"/>
  <c r="G17" i="73"/>
  <c r="K17" i="73"/>
  <c r="G19" i="73"/>
  <c r="K19" i="73"/>
  <c r="G20" i="73"/>
  <c r="K20" i="73"/>
  <c r="G21" i="73"/>
  <c r="K21" i="73"/>
  <c r="G22" i="73"/>
  <c r="K22" i="73"/>
  <c r="G23" i="73"/>
  <c r="K23" i="73"/>
  <c r="G24" i="73"/>
  <c r="G25" i="73"/>
  <c r="K25" i="73"/>
  <c r="AM27" i="5"/>
  <c r="G26" i="73"/>
  <c r="K26" i="73"/>
  <c r="AM28" i="5"/>
  <c r="G27" i="73"/>
  <c r="K27" i="73"/>
  <c r="AM29" i="5"/>
  <c r="G28" i="73"/>
  <c r="K28" i="73"/>
  <c r="AM30" i="5"/>
  <c r="K29" i="73"/>
  <c r="AM31" i="5"/>
  <c r="G30" i="73"/>
  <c r="G31" i="73"/>
  <c r="K31" i="73"/>
  <c r="AM33" i="5"/>
  <c r="G32" i="73"/>
  <c r="K32" i="73"/>
  <c r="A19" i="65"/>
  <c r="AR14" i="5"/>
  <c r="AP18" i="5"/>
  <c r="AP17" i="5"/>
  <c r="AP13" i="5"/>
  <c r="G3" i="82"/>
  <c r="AP26" i="5"/>
  <c r="AP22" i="5"/>
  <c r="AP21" i="5"/>
  <c r="AP12" i="5"/>
  <c r="AP8" i="5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AP7" i="5"/>
  <c r="AP27" i="5"/>
  <c r="A6" i="79"/>
  <c r="L6" i="79" s="1"/>
  <c r="A7" i="79"/>
  <c r="L7" i="79" s="1"/>
  <c r="A8" i="79"/>
  <c r="L8" i="79" s="1"/>
  <c r="A9" i="79"/>
  <c r="L9" i="79" s="1"/>
  <c r="A10" i="79"/>
  <c r="L10" i="79" s="1"/>
  <c r="A11" i="79"/>
  <c r="L11" i="79" s="1"/>
  <c r="A12" i="79"/>
  <c r="L12" i="79" s="1"/>
  <c r="A13" i="79"/>
  <c r="L13" i="79" s="1"/>
  <c r="A14" i="79"/>
  <c r="L14" i="79" s="1"/>
  <c r="A15" i="79"/>
  <c r="L15" i="79" s="1"/>
  <c r="A16" i="79"/>
  <c r="L16" i="79" s="1"/>
  <c r="A17" i="79"/>
  <c r="L17" i="79" s="1"/>
  <c r="A18" i="79"/>
  <c r="L18" i="79" s="1"/>
  <c r="A19" i="79"/>
  <c r="L19" i="79" s="1"/>
  <c r="A20" i="79"/>
  <c r="L20" i="79" s="1"/>
  <c r="A21" i="79"/>
  <c r="L21" i="79" s="1"/>
  <c r="A22" i="79"/>
  <c r="L22" i="79" s="1"/>
  <c r="A23" i="79"/>
  <c r="L23" i="79" s="1"/>
  <c r="A24" i="79"/>
  <c r="L24" i="79" s="1"/>
  <c r="A25" i="79"/>
  <c r="L25" i="79" s="1"/>
  <c r="A26" i="79"/>
  <c r="L26" i="79" s="1"/>
  <c r="A27" i="79"/>
  <c r="L27" i="79" s="1"/>
  <c r="A28" i="79"/>
  <c r="L28" i="79" s="1"/>
  <c r="A29" i="79"/>
  <c r="L29" i="79" s="1"/>
  <c r="A30" i="79"/>
  <c r="L30" i="79" s="1"/>
  <c r="A31" i="79"/>
  <c r="L31" i="79" s="1"/>
  <c r="A32" i="79"/>
  <c r="L32" i="79" s="1"/>
  <c r="A33" i="79"/>
  <c r="L33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C14" i="7" s="1"/>
  <c r="A23" i="5"/>
  <c r="AR23" i="5" s="1"/>
  <c r="AP9" i="5"/>
  <c r="D36" i="75"/>
  <c r="E36" i="75" s="1"/>
  <c r="F36" i="75"/>
  <c r="G36" i="75" s="1"/>
  <c r="D37" i="75"/>
  <c r="E37" i="75" s="1"/>
  <c r="F37" i="75"/>
  <c r="G37" i="75" s="1"/>
  <c r="B3" i="65"/>
  <c r="C3" i="65"/>
  <c r="H34" i="65"/>
  <c r="I34" i="65"/>
  <c r="J34" i="65"/>
  <c r="F32" i="63"/>
  <c r="G32" i="63"/>
  <c r="I32" i="63" s="1"/>
  <c r="H32" i="63"/>
  <c r="D3" i="7"/>
  <c r="F3" i="7" s="1"/>
  <c r="H3" i="7" s="1"/>
  <c r="AM3" i="7"/>
  <c r="BB6" i="7"/>
  <c r="BB33" i="7"/>
  <c r="G3" i="3"/>
  <c r="O3" i="3"/>
  <c r="W3" i="3"/>
  <c r="AJ3" i="3"/>
  <c r="AJ4" i="3"/>
  <c r="AJ5" i="3"/>
  <c r="AJ6" i="3"/>
  <c r="AJ7" i="3"/>
  <c r="AJ8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U10" i="5" s="1"/>
  <c r="A10" i="5"/>
  <c r="AR10" i="5" s="1"/>
  <c r="AN10" i="5"/>
  <c r="AR11" i="5"/>
  <c r="AN11" i="5"/>
  <c r="A12" i="5"/>
  <c r="AR12" i="5" s="1"/>
  <c r="AN12" i="5"/>
  <c r="A13" i="5"/>
  <c r="AR13" i="5" s="1"/>
  <c r="AN14" i="5"/>
  <c r="A15" i="5"/>
  <c r="AR15" i="5" s="1"/>
  <c r="AN15" i="5"/>
  <c r="A16" i="5"/>
  <c r="AR16" i="5" s="1"/>
  <c r="AN16" i="5"/>
  <c r="A17" i="5"/>
  <c r="AR17" i="5" s="1"/>
  <c r="AN17" i="5"/>
  <c r="A18" i="5"/>
  <c r="AR18" i="5" s="1"/>
  <c r="AN18" i="5"/>
  <c r="A19" i="5"/>
  <c r="AR19" i="5" s="1"/>
  <c r="AN19" i="5"/>
  <c r="A20" i="5"/>
  <c r="AR20" i="5" s="1"/>
  <c r="AN20" i="5"/>
  <c r="A21" i="5"/>
  <c r="AR21" i="5" s="1"/>
  <c r="AN21" i="5"/>
  <c r="A22" i="5"/>
  <c r="AR22" i="5" s="1"/>
  <c r="AN22" i="5"/>
  <c r="AN23" i="5"/>
  <c r="AP23" i="5"/>
  <c r="A24" i="5"/>
  <c r="AR24" i="5" s="1"/>
  <c r="A25" i="5"/>
  <c r="AR25" i="5" s="1"/>
  <c r="AN25" i="5"/>
  <c r="A26" i="5"/>
  <c r="AR26" i="5" s="1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 s="1"/>
  <c r="AN32" i="5"/>
  <c r="A33" i="5"/>
  <c r="AR33" i="5" s="1"/>
  <c r="AN33" i="5"/>
  <c r="AP33" i="5"/>
  <c r="A6" i="65"/>
  <c r="J6" i="63"/>
  <c r="A9" i="65"/>
  <c r="J8" i="63"/>
  <c r="A12" i="65"/>
  <c r="J12" i="63"/>
  <c r="A16" i="65"/>
  <c r="J15" i="63"/>
  <c r="J16" i="63"/>
  <c r="J18" i="63"/>
  <c r="A21" i="65"/>
  <c r="A23" i="65"/>
  <c r="A25" i="65"/>
  <c r="A27" i="65"/>
  <c r="J26" i="63"/>
  <c r="A29" i="65"/>
  <c r="J28" i="63"/>
  <c r="A33" i="65"/>
  <c r="AZ6" i="7"/>
  <c r="A5" i="2"/>
  <c r="AZ7" i="7" s="1"/>
  <c r="AZ8" i="7"/>
  <c r="AZ10" i="7"/>
  <c r="AZ11" i="7"/>
  <c r="AZ12" i="7"/>
  <c r="AZ13" i="7"/>
  <c r="AZ16" i="7"/>
  <c r="AZ17" i="7"/>
  <c r="AZ18" i="7"/>
  <c r="AZ20" i="7"/>
  <c r="AZ22" i="7"/>
  <c r="AZ23" i="7"/>
  <c r="AZ25" i="7"/>
  <c r="AZ27" i="7"/>
  <c r="AZ28" i="7"/>
  <c r="AZ31" i="7"/>
  <c r="AZ32" i="7"/>
  <c r="AZ33" i="7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 s="1"/>
  <c r="B5" i="81" s="1"/>
  <c r="B6" i="81" s="1"/>
  <c r="B7" i="81" s="1"/>
  <c r="B8" i="81" s="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T66" i="74"/>
  <c r="T62" i="74"/>
  <c r="T54" i="74"/>
  <c r="T60" i="74"/>
  <c r="T48" i="74"/>
  <c r="T53" i="74"/>
  <c r="T56" i="74"/>
  <c r="T73" i="74"/>
  <c r="AZ8" i="5"/>
  <c r="AP11" i="5"/>
  <c r="AP19" i="5"/>
  <c r="AP25" i="5"/>
  <c r="AP28" i="5"/>
  <c r="AP29" i="5"/>
  <c r="AN13" i="5"/>
  <c r="AP10" i="5"/>
  <c r="B32" i="63"/>
  <c r="A32" i="63"/>
  <c r="E32" i="63"/>
  <c r="C32" i="63"/>
  <c r="BA33" i="7"/>
  <c r="M5" i="2"/>
  <c r="E3" i="82" s="1"/>
  <c r="K5" i="2"/>
  <c r="I6" i="76"/>
  <c r="M6" i="76" s="1"/>
  <c r="I5" i="76"/>
  <c r="G6" i="76"/>
  <c r="G4" i="76"/>
  <c r="C5" i="76"/>
  <c r="S4" i="3"/>
  <c r="U4" i="3" s="1"/>
  <c r="J4" i="82"/>
  <c r="J3" i="82"/>
  <c r="U7" i="5"/>
  <c r="R7" i="1"/>
  <c r="R6" i="1"/>
  <c r="D7" i="1"/>
  <c r="E7" i="1" s="1"/>
  <c r="D6" i="1"/>
  <c r="E6" i="1" s="1"/>
  <c r="D5" i="1"/>
  <c r="E5" i="1" s="1"/>
  <c r="AB6" i="7"/>
  <c r="AD6" i="7" s="1"/>
  <c r="AM26" i="5"/>
  <c r="Q5" i="2"/>
  <c r="I5" i="65"/>
  <c r="G4" i="82"/>
  <c r="I4" i="82"/>
  <c r="H2" i="82"/>
  <c r="J2" i="63"/>
  <c r="K30" i="73"/>
  <c r="H7" i="5"/>
  <c r="J4" i="63"/>
  <c r="K6" i="76"/>
  <c r="N6" i="76" s="1"/>
  <c r="K5" i="76"/>
  <c r="N5" i="76" s="1"/>
  <c r="E4" i="82"/>
  <c r="K7" i="76"/>
  <c r="N7" i="76" s="1"/>
  <c r="I7" i="76"/>
  <c r="M7" i="76" s="1"/>
  <c r="G7" i="76"/>
  <c r="Y9" i="5"/>
  <c r="H9" i="5"/>
  <c r="R8" i="1"/>
  <c r="S7" i="1"/>
  <c r="T7" i="1" s="1"/>
  <c r="F4" i="82"/>
  <c r="G5" i="82"/>
  <c r="G6" i="1"/>
  <c r="I6" i="1"/>
  <c r="G7" i="1"/>
  <c r="K8" i="76"/>
  <c r="N8" i="76" s="1"/>
  <c r="I8" i="76"/>
  <c r="G8" i="76"/>
  <c r="Y10" i="5"/>
  <c r="R9" i="1"/>
  <c r="S8" i="1"/>
  <c r="AB9" i="7"/>
  <c r="D8" i="1"/>
  <c r="E8" i="1" s="1"/>
  <c r="E5" i="82"/>
  <c r="F5" i="82"/>
  <c r="I8" i="2"/>
  <c r="G6" i="82" s="1"/>
  <c r="G8" i="2"/>
  <c r="I6" i="82" s="1"/>
  <c r="I7" i="1"/>
  <c r="G8" i="1"/>
  <c r="R10" i="1"/>
  <c r="M8" i="2"/>
  <c r="E6" i="82" s="1"/>
  <c r="I8" i="1"/>
  <c r="G9" i="1"/>
  <c r="R11" i="1"/>
  <c r="M9" i="2"/>
  <c r="E7" i="82" s="1"/>
  <c r="I9" i="1"/>
  <c r="G10" i="1"/>
  <c r="D12" i="1"/>
  <c r="E12" i="1" s="1"/>
  <c r="D12" i="7"/>
  <c r="I11" i="1"/>
  <c r="I10" i="1"/>
  <c r="D13" i="1"/>
  <c r="E13" i="1" s="1"/>
  <c r="M11" i="2"/>
  <c r="E9" i="82" s="1"/>
  <c r="Y14" i="1"/>
  <c r="AB14" i="1" s="1"/>
  <c r="M12" i="2"/>
  <c r="E10" i="82" s="1"/>
  <c r="U13" i="5"/>
  <c r="Y13" i="5"/>
  <c r="Y12" i="5"/>
  <c r="K10" i="76"/>
  <c r="N10" i="76" s="1"/>
  <c r="G14" i="1"/>
  <c r="G13" i="1"/>
  <c r="G12" i="1"/>
  <c r="G11" i="1"/>
  <c r="D11" i="1"/>
  <c r="E11" i="1" s="1"/>
  <c r="AB14" i="7"/>
  <c r="M10" i="2"/>
  <c r="E8" i="82" s="1"/>
  <c r="K12" i="76"/>
  <c r="N12" i="76" s="1"/>
  <c r="K11" i="76"/>
  <c r="N11" i="76" s="1"/>
  <c r="K9" i="76"/>
  <c r="N9" i="76" s="1"/>
  <c r="I11" i="76"/>
  <c r="I10" i="76"/>
  <c r="M10" i="76" s="1"/>
  <c r="I9" i="76"/>
  <c r="M9" i="76" s="1"/>
  <c r="I12" i="76"/>
  <c r="M12" i="76" s="1"/>
  <c r="G11" i="76"/>
  <c r="G12" i="76"/>
  <c r="G10" i="76"/>
  <c r="G9" i="76"/>
  <c r="C9" i="76"/>
  <c r="C10" i="76"/>
  <c r="C8" i="76"/>
  <c r="U9" i="3"/>
  <c r="BA11" i="5"/>
  <c r="BA12" i="5"/>
  <c r="Y15" i="5"/>
  <c r="Y14" i="5"/>
  <c r="U15" i="5"/>
  <c r="U14" i="5"/>
  <c r="U12" i="5"/>
  <c r="U11" i="5"/>
  <c r="S9" i="1"/>
  <c r="D10" i="1"/>
  <c r="E10" i="1" s="1"/>
  <c r="K9" i="2"/>
  <c r="F7" i="82" s="1"/>
  <c r="K8" i="2"/>
  <c r="F6" i="82" s="1"/>
  <c r="I9" i="2"/>
  <c r="G7" i="82" s="1"/>
  <c r="G9" i="2"/>
  <c r="I7" i="82" s="1"/>
  <c r="J23" i="63"/>
  <c r="J17" i="63"/>
  <c r="A13" i="65"/>
  <c r="R14" i="1"/>
  <c r="R12" i="1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 i="1"/>
  <c r="S10" i="3"/>
  <c r="U10" i="3" s="1"/>
  <c r="H12" i="5"/>
  <c r="S12" i="1"/>
  <c r="K11" i="2"/>
  <c r="F9" i="82" s="1"/>
  <c r="I11" i="2"/>
  <c r="G9" i="82" s="1"/>
  <c r="G11" i="2"/>
  <c r="S11" i="3"/>
  <c r="U11" i="3" s="1"/>
  <c r="H13" i="5"/>
  <c r="S14" i="1"/>
  <c r="S13" i="1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 i="5"/>
  <c r="A35" i="76" l="1"/>
  <c r="D37" i="73" s="1"/>
  <c r="D7" i="76"/>
  <c r="E7" i="76" s="1"/>
  <c r="D11" i="76"/>
  <c r="E11" i="76" s="1"/>
  <c r="V8" i="1"/>
  <c r="C9" i="7"/>
  <c r="C34" i="7"/>
  <c r="C35" i="7"/>
  <c r="E34" i="7"/>
  <c r="C36" i="7"/>
  <c r="E36" i="7"/>
  <c r="E35" i="7"/>
  <c r="G34" i="7"/>
  <c r="G36" i="7"/>
  <c r="G35" i="7"/>
  <c r="I34" i="7"/>
  <c r="K34" i="7"/>
  <c r="I35" i="7"/>
  <c r="I36" i="7"/>
  <c r="M34" i="7"/>
  <c r="K36" i="7"/>
  <c r="K35" i="7"/>
  <c r="M35" i="7"/>
  <c r="M36" i="7"/>
  <c r="O34" i="7"/>
  <c r="Q34" i="7"/>
  <c r="O36" i="7"/>
  <c r="O35" i="7"/>
  <c r="Q36" i="7"/>
  <c r="Q35" i="7"/>
  <c r="S34" i="7"/>
  <c r="S35" i="7"/>
  <c r="S36" i="7"/>
  <c r="U34" i="7"/>
  <c r="W34" i="7"/>
  <c r="U36" i="7"/>
  <c r="U35" i="7"/>
  <c r="W35" i="7"/>
  <c r="W36" i="7"/>
  <c r="AA34" i="7"/>
  <c r="AC34" i="7"/>
  <c r="AA36" i="7"/>
  <c r="AA35" i="7"/>
  <c r="AE34" i="7"/>
  <c r="AC36" i="7"/>
  <c r="AC35" i="7"/>
  <c r="AG34" i="7"/>
  <c r="AE36" i="7"/>
  <c r="AE35" i="7"/>
  <c r="AI34" i="7"/>
  <c r="AK34" i="7"/>
  <c r="AG36" i="7"/>
  <c r="AG35" i="7"/>
  <c r="AM34" i="7"/>
  <c r="AI36" i="7"/>
  <c r="AI35" i="7"/>
  <c r="AK35" i="7"/>
  <c r="AK36" i="7"/>
  <c r="AM36" i="7"/>
  <c r="AM35" i="7"/>
  <c r="V13" i="1"/>
  <c r="V7" i="1"/>
  <c r="V12" i="1"/>
  <c r="V14" i="1"/>
  <c r="V11" i="1"/>
  <c r="S81" i="74"/>
  <c r="R81" i="74"/>
  <c r="V10" i="1"/>
  <c r="V9" i="1"/>
  <c r="V6" i="1"/>
  <c r="D4" i="76"/>
  <c r="E4" i="76" s="1"/>
  <c r="U13" i="1"/>
  <c r="G36" i="73"/>
  <c r="D5" i="76"/>
  <c r="E5" i="76" s="1"/>
  <c r="F3" i="82"/>
  <c r="N4" i="2"/>
  <c r="R4" i="2" s="1"/>
  <c r="I11" i="82"/>
  <c r="C15" i="7"/>
  <c r="U8" i="1"/>
  <c r="T12" i="1"/>
  <c r="U12" i="1"/>
  <c r="T9" i="1"/>
  <c r="U9" i="1"/>
  <c r="T14" i="1"/>
  <c r="U14" i="1"/>
  <c r="T11" i="1"/>
  <c r="U11" i="1"/>
  <c r="T10" i="1"/>
  <c r="U10" i="1"/>
  <c r="T8" i="1"/>
  <c r="E2" i="82"/>
  <c r="AA11" i="7"/>
  <c r="AA7" i="7"/>
  <c r="M5" i="76"/>
  <c r="D10" i="76"/>
  <c r="E10" i="76" s="1"/>
  <c r="L11" i="76"/>
  <c r="L12" i="76"/>
  <c r="D12" i="76"/>
  <c r="E12" i="76" s="1"/>
  <c r="L7" i="76"/>
  <c r="L9" i="76"/>
  <c r="D9" i="76"/>
  <c r="E9" i="76" s="1"/>
  <c r="L8" i="76"/>
  <c r="D8" i="76"/>
  <c r="E8" i="76" s="1"/>
  <c r="L6" i="76"/>
  <c r="D6" i="76"/>
  <c r="E6" i="76" s="1"/>
  <c r="AA12" i="7"/>
  <c r="AA13" i="7"/>
  <c r="AA10" i="7"/>
  <c r="D4" i="7"/>
  <c r="F4" i="7" s="1"/>
  <c r="H4" i="7" s="1"/>
  <c r="J4" i="7" s="1"/>
  <c r="L4" i="7" s="1"/>
  <c r="N4" i="7" s="1"/>
  <c r="P4" i="7" s="1"/>
  <c r="R4" i="7" s="1"/>
  <c r="T4" i="7" s="1"/>
  <c r="V4" i="7" s="1"/>
  <c r="C31" i="7"/>
  <c r="E31" i="7"/>
  <c r="C32" i="7"/>
  <c r="E32" i="7"/>
  <c r="C33" i="7"/>
  <c r="G31" i="7"/>
  <c r="I31" i="7"/>
  <c r="E33" i="7"/>
  <c r="G32" i="7"/>
  <c r="G33" i="7"/>
  <c r="K31" i="7"/>
  <c r="I32" i="7"/>
  <c r="K32" i="7"/>
  <c r="I33" i="7"/>
  <c r="M31" i="7"/>
  <c r="K33" i="7"/>
  <c r="M32" i="7"/>
  <c r="O31" i="7"/>
  <c r="Q31" i="7"/>
  <c r="O32" i="7"/>
  <c r="M33" i="7"/>
  <c r="Q32" i="7"/>
  <c r="S31" i="7"/>
  <c r="O33" i="7"/>
  <c r="Q33" i="7"/>
  <c r="S32" i="7"/>
  <c r="S33" i="7"/>
  <c r="I10" i="65"/>
  <c r="BE7" i="7"/>
  <c r="BG7" i="7" s="1"/>
  <c r="BE11" i="7"/>
  <c r="BG11" i="7" s="1"/>
  <c r="BE12" i="7"/>
  <c r="BG12" i="7" s="1"/>
  <c r="BE6" i="7"/>
  <c r="BG6" i="7" s="1"/>
  <c r="BE9" i="7"/>
  <c r="BG9" i="7" s="1"/>
  <c r="BE8" i="7"/>
  <c r="BG8" i="7" s="1"/>
  <c r="N4" i="76"/>
  <c r="M4" i="76"/>
  <c r="J6" i="82"/>
  <c r="J9" i="82"/>
  <c r="J11" i="82"/>
  <c r="J8" i="82"/>
  <c r="J5" i="82"/>
  <c r="J7" i="82"/>
  <c r="J10" i="82"/>
  <c r="L4" i="76"/>
  <c r="AZ9" i="5"/>
  <c r="BC9" i="5" s="1"/>
  <c r="O26" i="79"/>
  <c r="I25" i="79"/>
  <c r="J11" i="1"/>
  <c r="J10" i="1"/>
  <c r="L25" i="82"/>
  <c r="AZ29" i="7"/>
  <c r="L17" i="82"/>
  <c r="AZ21" i="7"/>
  <c r="O26" i="81"/>
  <c r="AZ30" i="7"/>
  <c r="B12" i="2"/>
  <c r="L10" i="82" s="1"/>
  <c r="AZ14" i="7"/>
  <c r="B13" i="2"/>
  <c r="AZ15" i="7"/>
  <c r="AZ24" i="7"/>
  <c r="B7" i="2"/>
  <c r="AZ9" i="7"/>
  <c r="O22" i="81"/>
  <c r="AZ26" i="7"/>
  <c r="O15" i="81"/>
  <c r="AZ19" i="7"/>
  <c r="AD5" i="3"/>
  <c r="AI5" i="3" s="1"/>
  <c r="E4" i="63"/>
  <c r="I7" i="65"/>
  <c r="P72" i="74"/>
  <c r="J6" i="1"/>
  <c r="P77" i="74"/>
  <c r="P68" i="74"/>
  <c r="J12" i="1"/>
  <c r="H48" i="74"/>
  <c r="H56" i="74"/>
  <c r="H64" i="74"/>
  <c r="H72" i="74"/>
  <c r="L58" i="74"/>
  <c r="L66" i="74"/>
  <c r="L53" i="74"/>
  <c r="L61" i="74"/>
  <c r="L69" i="74"/>
  <c r="L77" i="74"/>
  <c r="J7" i="1"/>
  <c r="H54" i="74"/>
  <c r="H62" i="74"/>
  <c r="H70" i="74"/>
  <c r="H78" i="74"/>
  <c r="D52" i="74"/>
  <c r="D55" i="74"/>
  <c r="D63" i="74"/>
  <c r="H49" i="74"/>
  <c r="H57" i="74"/>
  <c r="L51" i="74"/>
  <c r="L59" i="74"/>
  <c r="L67" i="74"/>
  <c r="L75" i="74"/>
  <c r="BE10" i="7"/>
  <c r="BG10" i="7" s="1"/>
  <c r="X73" i="74"/>
  <c r="P65" i="74"/>
  <c r="D61" i="74"/>
  <c r="H55" i="74"/>
  <c r="D66" i="74"/>
  <c r="D74" i="74"/>
  <c r="H60" i="74"/>
  <c r="H76" i="74"/>
  <c r="D48" i="74"/>
  <c r="D56" i="74"/>
  <c r="D64" i="74"/>
  <c r="D72" i="74"/>
  <c r="H50" i="74"/>
  <c r="L74" i="74"/>
  <c r="X57" i="74"/>
  <c r="H65" i="74"/>
  <c r="L64" i="74"/>
  <c r="D59" i="74"/>
  <c r="D67" i="74"/>
  <c r="D75" i="74"/>
  <c r="J9" i="1"/>
  <c r="BD11" i="5"/>
  <c r="J8" i="1"/>
  <c r="E5" i="63"/>
  <c r="E7" i="63"/>
  <c r="AD9" i="3"/>
  <c r="AI9" i="3" s="1"/>
  <c r="E9" i="63"/>
  <c r="D49" i="74"/>
  <c r="D57" i="74"/>
  <c r="D65" i="74"/>
  <c r="D73" i="74"/>
  <c r="H66" i="74"/>
  <c r="H74" i="74"/>
  <c r="L52" i="74"/>
  <c r="L60" i="74"/>
  <c r="L68" i="74"/>
  <c r="D78" i="74"/>
  <c r="D60" i="74"/>
  <c r="D76" i="74"/>
  <c r="H69" i="74"/>
  <c r="H77" i="74"/>
  <c r="L63" i="74"/>
  <c r="BD8" i="5"/>
  <c r="BD10" i="5"/>
  <c r="BD13" i="5"/>
  <c r="BD12" i="5"/>
  <c r="I12" i="65"/>
  <c r="I11" i="65"/>
  <c r="I6" i="65"/>
  <c r="AD4" i="3"/>
  <c r="E3" i="63"/>
  <c r="I9" i="65"/>
  <c r="X48" i="74"/>
  <c r="D77" i="74"/>
  <c r="L55" i="74"/>
  <c r="H53" i="74"/>
  <c r="L62" i="74"/>
  <c r="L70" i="74"/>
  <c r="D53" i="74"/>
  <c r="H67" i="74"/>
  <c r="L72" i="74"/>
  <c r="H59" i="74"/>
  <c r="D69" i="74"/>
  <c r="L50" i="74"/>
  <c r="D62" i="74"/>
  <c r="H51" i="74"/>
  <c r="D71" i="74"/>
  <c r="H71" i="74"/>
  <c r="L49" i="74"/>
  <c r="M8" i="76"/>
  <c r="L10" i="76"/>
  <c r="L5" i="76"/>
  <c r="BD7" i="5"/>
  <c r="AZ10" i="5"/>
  <c r="AU11" i="5"/>
  <c r="BD9" i="5"/>
  <c r="AB6" i="1"/>
  <c r="AD6" i="3"/>
  <c r="E8" i="63"/>
  <c r="AD8" i="3"/>
  <c r="I8" i="65"/>
  <c r="L28" i="82"/>
  <c r="X50" i="74"/>
  <c r="I8" i="82"/>
  <c r="I5" i="82"/>
  <c r="I3" i="82"/>
  <c r="E2" i="63"/>
  <c r="J21" i="63"/>
  <c r="X76" i="74"/>
  <c r="X58" i="74"/>
  <c r="X51" i="74"/>
  <c r="A28" i="65"/>
  <c r="L24" i="82"/>
  <c r="X72" i="74"/>
  <c r="X67" i="74"/>
  <c r="X60" i="74"/>
  <c r="X65" i="74"/>
  <c r="AB11" i="7"/>
  <c r="A17" i="65"/>
  <c r="P50" i="74"/>
  <c r="P54" i="74"/>
  <c r="X53" i="74"/>
  <c r="J19" i="63"/>
  <c r="B6" i="2"/>
  <c r="A10" i="65"/>
  <c r="P52" i="74"/>
  <c r="AA6" i="7"/>
  <c r="J7" i="63"/>
  <c r="A32" i="65"/>
  <c r="P63" i="74"/>
  <c r="P75" i="74"/>
  <c r="A18" i="65"/>
  <c r="D32" i="63"/>
  <c r="P48" i="74"/>
  <c r="B14" i="2"/>
  <c r="O12" i="81" s="1"/>
  <c r="X77" i="74"/>
  <c r="X70" i="74"/>
  <c r="P66" i="74"/>
  <c r="P78" i="74"/>
  <c r="J31" i="63"/>
  <c r="X75" i="74"/>
  <c r="X68" i="74"/>
  <c r="X59" i="74"/>
  <c r="E3" i="65"/>
  <c r="P74" i="74"/>
  <c r="H61" i="74"/>
  <c r="L57" i="74"/>
  <c r="D54" i="74"/>
  <c r="D68" i="74"/>
  <c r="H73" i="74"/>
  <c r="L56" i="74"/>
  <c r="L65" i="74"/>
  <c r="H75" i="74"/>
  <c r="H58" i="74"/>
  <c r="L48" i="74"/>
  <c r="L76" i="74"/>
  <c r="L73" i="74"/>
  <c r="H63" i="74"/>
  <c r="H68" i="74"/>
  <c r="D70" i="74"/>
  <c r="H52" i="74"/>
  <c r="L71" i="74"/>
  <c r="D51" i="74"/>
  <c r="D58" i="74"/>
  <c r="L54" i="74"/>
  <c r="P71" i="74"/>
  <c r="B9" i="77"/>
  <c r="D9" i="77" s="1"/>
  <c r="P70" i="74"/>
  <c r="X69" i="74"/>
  <c r="B15" i="2"/>
  <c r="A20" i="65"/>
  <c r="AB10" i="7"/>
  <c r="AC10" i="7" s="1"/>
  <c r="O29" i="81"/>
  <c r="J27" i="63"/>
  <c r="A11" i="65"/>
  <c r="P49" i="74"/>
  <c r="P53" i="74"/>
  <c r="X55" i="74"/>
  <c r="B9" i="2"/>
  <c r="B5" i="2"/>
  <c r="AB12" i="7"/>
  <c r="AC12" i="7" s="1"/>
  <c r="AA9" i="7"/>
  <c r="B8" i="2"/>
  <c r="X54" i="74"/>
  <c r="A8" i="65"/>
  <c r="AB13" i="7"/>
  <c r="AC13" i="7" s="1"/>
  <c r="AB7" i="7"/>
  <c r="AC7" i="7" s="1"/>
  <c r="J10" i="63"/>
  <c r="X49" i="74"/>
  <c r="X71" i="74"/>
  <c r="O2" i="81"/>
  <c r="A14" i="65"/>
  <c r="P69" i="74"/>
  <c r="P73" i="74"/>
  <c r="P51" i="74"/>
  <c r="P55" i="74"/>
  <c r="P59" i="74"/>
  <c r="U5" i="1"/>
  <c r="X66" i="74"/>
  <c r="AM23" i="5"/>
  <c r="P64" i="74"/>
  <c r="X63" i="74"/>
  <c r="P62" i="74"/>
  <c r="X62" i="74"/>
  <c r="P61" i="74"/>
  <c r="X61" i="74"/>
  <c r="F2" i="82"/>
  <c r="N5" i="1"/>
  <c r="AL5" i="1"/>
  <c r="AB5" i="1"/>
  <c r="AK6" i="5"/>
  <c r="T5" i="1"/>
  <c r="D50" i="74"/>
  <c r="AD3" i="3"/>
  <c r="P60" i="74"/>
  <c r="C13" i="7"/>
  <c r="J3" i="7"/>
  <c r="L3" i="7" s="1"/>
  <c r="N3" i="7" s="1"/>
  <c r="P3" i="7" s="1"/>
  <c r="R3" i="7" s="1"/>
  <c r="T3" i="7" s="1"/>
  <c r="V3" i="7" s="1"/>
  <c r="AC6" i="7"/>
  <c r="C7" i="7"/>
  <c r="E12" i="7"/>
  <c r="C6" i="7"/>
  <c r="D8" i="77"/>
  <c r="E8" i="77" s="1"/>
  <c r="F8" i="77" s="1"/>
  <c r="P58" i="74"/>
  <c r="AP15" i="5"/>
  <c r="P57" i="74"/>
  <c r="S13" i="3"/>
  <c r="S14" i="3"/>
  <c r="U14" i="3" s="1"/>
  <c r="AA14" i="1"/>
  <c r="AA15" i="1"/>
  <c r="S15" i="1"/>
  <c r="T13" i="1"/>
  <c r="J13" i="1"/>
  <c r="K13" i="73"/>
  <c r="P56" i="74"/>
  <c r="X56" i="74"/>
  <c r="K13" i="76"/>
  <c r="N13" i="76" s="1"/>
  <c r="M11" i="76"/>
  <c r="G13" i="76"/>
  <c r="BA15" i="5"/>
  <c r="BA14" i="5"/>
  <c r="BD14" i="5" s="1"/>
  <c r="I16" i="1"/>
  <c r="I15" i="1"/>
  <c r="AL14" i="1"/>
  <c r="D15" i="75" s="1"/>
  <c r="E15" i="75" s="1"/>
  <c r="J14" i="1"/>
  <c r="AC14" i="7"/>
  <c r="AD14" i="7"/>
  <c r="D14" i="1"/>
  <c r="E14" i="1" s="1"/>
  <c r="AA14" i="7"/>
  <c r="D15" i="7"/>
  <c r="D14" i="7"/>
  <c r="F14" i="7" s="1"/>
  <c r="H14" i="7" s="1"/>
  <c r="D13" i="7"/>
  <c r="AD10" i="3"/>
  <c r="M13" i="2"/>
  <c r="E11" i="82" s="1"/>
  <c r="G15" i="2"/>
  <c r="I13" i="82" s="1"/>
  <c r="I9" i="82"/>
  <c r="E7" i="7"/>
  <c r="F7" i="7"/>
  <c r="AC9" i="7"/>
  <c r="AD9" i="7"/>
  <c r="J20" i="63"/>
  <c r="A22" i="65"/>
  <c r="J13" i="63"/>
  <c r="A15" i="65"/>
  <c r="D8" i="7"/>
  <c r="C8" i="7"/>
  <c r="AE6" i="7"/>
  <c r="AF6" i="7"/>
  <c r="A5" i="65"/>
  <c r="J3" i="63"/>
  <c r="D10" i="7"/>
  <c r="C10" i="7"/>
  <c r="AA8" i="7"/>
  <c r="AB8" i="7"/>
  <c r="X74" i="74"/>
  <c r="J14" i="63"/>
  <c r="D6" i="7"/>
  <c r="F12" i="7"/>
  <c r="J25" i="63"/>
  <c r="D11" i="7"/>
  <c r="C11" i="7"/>
  <c r="A31" i="65"/>
  <c r="J29" i="63"/>
  <c r="A7" i="65"/>
  <c r="J5" i="63"/>
  <c r="P67" i="74"/>
  <c r="D9" i="7"/>
  <c r="X64" i="74"/>
  <c r="X52" i="74"/>
  <c r="A26" i="65"/>
  <c r="J24" i="63"/>
  <c r="C12" i="7"/>
  <c r="B11" i="2"/>
  <c r="B10" i="2"/>
  <c r="P76" i="74"/>
  <c r="O4" i="81" l="1"/>
  <c r="O6" i="2"/>
  <c r="O5" i="81"/>
  <c r="O7" i="2"/>
  <c r="AO34" i="7"/>
  <c r="AN34" i="7" s="1"/>
  <c r="AO35" i="7"/>
  <c r="AN35" i="7" s="1"/>
  <c r="AO36" i="7"/>
  <c r="AN36" i="7" s="1"/>
  <c r="Y34" i="7"/>
  <c r="Y36" i="7"/>
  <c r="Y35" i="7"/>
  <c r="K35" i="76"/>
  <c r="C35" i="76"/>
  <c r="I35" i="76"/>
  <c r="G35" i="76"/>
  <c r="O81" i="74"/>
  <c r="N81" i="74"/>
  <c r="W81" i="74"/>
  <c r="V81" i="74"/>
  <c r="C81" i="74"/>
  <c r="B81" i="74"/>
  <c r="G81" i="74"/>
  <c r="F81" i="74"/>
  <c r="J81" i="74"/>
  <c r="B15" i="77" s="1"/>
  <c r="K81" i="74"/>
  <c r="B16" i="77"/>
  <c r="T15" i="1"/>
  <c r="D6" i="75"/>
  <c r="E6" i="75" s="1"/>
  <c r="D13" i="76"/>
  <c r="E13" i="76" s="1"/>
  <c r="U13" i="3"/>
  <c r="L11" i="82"/>
  <c r="O13" i="2"/>
  <c r="O6" i="81"/>
  <c r="O8" i="2"/>
  <c r="L20" i="82"/>
  <c r="AI3" i="3"/>
  <c r="D5" i="65" s="1"/>
  <c r="O20" i="81"/>
  <c r="O17" i="81"/>
  <c r="L5" i="82"/>
  <c r="BC10" i="5"/>
  <c r="O27" i="79"/>
  <c r="I26" i="79"/>
  <c r="U6" i="1"/>
  <c r="O25" i="81"/>
  <c r="L15" i="82"/>
  <c r="L26" i="82"/>
  <c r="L22" i="82"/>
  <c r="O11" i="81"/>
  <c r="O10" i="81"/>
  <c r="O12" i="2"/>
  <c r="F17" i="77"/>
  <c r="O28" i="81"/>
  <c r="AI4" i="3"/>
  <c r="D6" i="65" s="1"/>
  <c r="AU12" i="5"/>
  <c r="AZ11" i="5"/>
  <c r="BC11" i="5" s="1"/>
  <c r="Y7" i="1"/>
  <c r="AI8" i="3"/>
  <c r="AI7" i="3"/>
  <c r="AI6" i="3"/>
  <c r="O24" i="81"/>
  <c r="L12" i="82"/>
  <c r="L4" i="82"/>
  <c r="AL6" i="1"/>
  <c r="AC11" i="7"/>
  <c r="AD11" i="7"/>
  <c r="D7" i="65"/>
  <c r="L2" i="82"/>
  <c r="AD13" i="7"/>
  <c r="AE13" i="7" s="1"/>
  <c r="AD7" i="7"/>
  <c r="AE7" i="7" s="1"/>
  <c r="AD10" i="7"/>
  <c r="AF10" i="7" s="1"/>
  <c r="L13" i="82"/>
  <c r="O13" i="81"/>
  <c r="L3" i="82"/>
  <c r="O5" i="2"/>
  <c r="D11" i="65"/>
  <c r="AD12" i="7"/>
  <c r="AE12" i="7" s="1"/>
  <c r="L6" i="82"/>
  <c r="L7" i="82"/>
  <c r="O7" i="81"/>
  <c r="O9" i="2"/>
  <c r="O14" i="81"/>
  <c r="L14" i="82"/>
  <c r="O3" i="81"/>
  <c r="L29" i="82"/>
  <c r="C2" i="63"/>
  <c r="D2" i="63" s="1"/>
  <c r="S4" i="76"/>
  <c r="E2" i="81"/>
  <c r="H3" i="63"/>
  <c r="F6" i="65"/>
  <c r="O4" i="2"/>
  <c r="W3" i="7"/>
  <c r="AO3" i="7" s="1"/>
  <c r="H17" i="5"/>
  <c r="BD15" i="5"/>
  <c r="Y16" i="5"/>
  <c r="AA16" i="1"/>
  <c r="Y16" i="1"/>
  <c r="AB16" i="1" s="1"/>
  <c r="G14" i="2"/>
  <c r="I12" i="82" s="1"/>
  <c r="L13" i="76"/>
  <c r="S15" i="3"/>
  <c r="BA16" i="5"/>
  <c r="BD16" i="5" s="1"/>
  <c r="U16" i="5"/>
  <c r="R15" i="1"/>
  <c r="V15" i="1" s="1"/>
  <c r="S16" i="1"/>
  <c r="I17" i="1"/>
  <c r="G15" i="1"/>
  <c r="U15" i="1" s="1"/>
  <c r="D16" i="1"/>
  <c r="E16" i="1" s="1"/>
  <c r="AE14" i="7"/>
  <c r="AF14" i="7"/>
  <c r="D15" i="1"/>
  <c r="E15" i="1" s="1"/>
  <c r="AA15" i="7"/>
  <c r="AB15" i="7"/>
  <c r="G14" i="7"/>
  <c r="E14" i="7"/>
  <c r="F13" i="7"/>
  <c r="E13" i="7"/>
  <c r="AD12" i="3"/>
  <c r="E11" i="63"/>
  <c r="I14" i="65"/>
  <c r="BE14" i="7"/>
  <c r="BG14" i="7" s="1"/>
  <c r="AD11" i="3"/>
  <c r="E10" i="63"/>
  <c r="BE13" i="7"/>
  <c r="BG13" i="7" s="1"/>
  <c r="I13" i="65"/>
  <c r="AI10" i="3"/>
  <c r="M14" i="2"/>
  <c r="K15" i="2"/>
  <c r="F13" i="82" s="1"/>
  <c r="I15" i="2"/>
  <c r="G13" i="82" s="1"/>
  <c r="I14" i="82"/>
  <c r="AE9" i="7"/>
  <c r="AF9" i="7"/>
  <c r="O27" i="81"/>
  <c r="L27" i="82"/>
  <c r="O19" i="81"/>
  <c r="L19" i="82"/>
  <c r="G12" i="7"/>
  <c r="H12" i="7"/>
  <c r="F6" i="7"/>
  <c r="E6" i="7"/>
  <c r="AH6" i="7"/>
  <c r="AG6" i="7"/>
  <c r="E8" i="7"/>
  <c r="F8" i="7"/>
  <c r="O11" i="2"/>
  <c r="O9" i="81"/>
  <c r="L9" i="82"/>
  <c r="O21" i="81"/>
  <c r="L21" i="82"/>
  <c r="AC8" i="7"/>
  <c r="AD8" i="7"/>
  <c r="F15" i="7"/>
  <c r="E15" i="7"/>
  <c r="F11" i="7"/>
  <c r="E11" i="7"/>
  <c r="O23" i="81"/>
  <c r="L23" i="82"/>
  <c r="I14" i="7"/>
  <c r="J14" i="7"/>
  <c r="H7" i="7"/>
  <c r="G7" i="7"/>
  <c r="F10" i="7"/>
  <c r="E10" i="7"/>
  <c r="E9" i="7"/>
  <c r="F9" i="7"/>
  <c r="O10" i="2"/>
  <c r="L8" i="82"/>
  <c r="O8" i="81"/>
  <c r="O18" i="81"/>
  <c r="L18" i="82"/>
  <c r="L16" i="82"/>
  <c r="O16" i="81"/>
  <c r="E12" i="82" l="1"/>
  <c r="N14" i="2"/>
  <c r="AR36" i="7"/>
  <c r="AR42" i="7" s="1"/>
  <c r="AR35" i="7"/>
  <c r="AR34" i="7"/>
  <c r="G36" i="76"/>
  <c r="AD28" i="76" s="1"/>
  <c r="B14" i="77"/>
  <c r="X34" i="7"/>
  <c r="X35" i="7"/>
  <c r="X36" i="7"/>
  <c r="U15" i="3"/>
  <c r="T16" i="1"/>
  <c r="I36" i="76"/>
  <c r="AD27" i="76" s="1"/>
  <c r="K36" i="76"/>
  <c r="AD26" i="76" s="1"/>
  <c r="D7" i="75"/>
  <c r="E7" i="75" s="1"/>
  <c r="J5" i="65"/>
  <c r="J12" i="82"/>
  <c r="I27" i="79"/>
  <c r="O28" i="79"/>
  <c r="AF7" i="7"/>
  <c r="AG7" i="7" s="1"/>
  <c r="AU13" i="5"/>
  <c r="AZ12" i="5"/>
  <c r="BC12" i="5" s="1"/>
  <c r="AB7" i="1"/>
  <c r="Y8" i="1"/>
  <c r="AE10" i="7"/>
  <c r="D10" i="65"/>
  <c r="D9" i="65"/>
  <c r="D8" i="65"/>
  <c r="AL7" i="1"/>
  <c r="D8" i="75" s="1"/>
  <c r="E8" i="75" s="1"/>
  <c r="AE11" i="7"/>
  <c r="AF11" i="7"/>
  <c r="AF13" i="7"/>
  <c r="AH13" i="7" s="1"/>
  <c r="AF12" i="7"/>
  <c r="AH12" i="7" s="1"/>
  <c r="D12" i="65"/>
  <c r="AI11" i="3"/>
  <c r="AI12" i="3"/>
  <c r="W6" i="1"/>
  <c r="B6" i="65"/>
  <c r="AG10" i="7"/>
  <c r="AH10" i="7"/>
  <c r="H18" i="5"/>
  <c r="Y17" i="5"/>
  <c r="Y17" i="1"/>
  <c r="AB17" i="1" s="1"/>
  <c r="BA17" i="5"/>
  <c r="BD17" i="5" s="1"/>
  <c r="U17" i="5"/>
  <c r="R16" i="1"/>
  <c r="V16" i="1" s="1"/>
  <c r="S17" i="1"/>
  <c r="I18" i="1"/>
  <c r="J15" i="1"/>
  <c r="AL15" i="1"/>
  <c r="D16" i="75" s="1"/>
  <c r="E16" i="75" s="1"/>
  <c r="G16" i="1"/>
  <c r="U16" i="1" s="1"/>
  <c r="AC15" i="7"/>
  <c r="AD15" i="7"/>
  <c r="AB16" i="7"/>
  <c r="AA16" i="7"/>
  <c r="AH14" i="7"/>
  <c r="AG14" i="7"/>
  <c r="C16" i="7"/>
  <c r="D16" i="7"/>
  <c r="G13" i="7"/>
  <c r="H13" i="7"/>
  <c r="BE15" i="7"/>
  <c r="BG15" i="7" s="1"/>
  <c r="AD13" i="3"/>
  <c r="E12" i="63"/>
  <c r="I15" i="65"/>
  <c r="M15" i="2"/>
  <c r="E13" i="82" s="1"/>
  <c r="F14" i="82"/>
  <c r="G14" i="82"/>
  <c r="I15" i="82"/>
  <c r="H10" i="7"/>
  <c r="G10" i="7"/>
  <c r="H11" i="7"/>
  <c r="G11" i="7"/>
  <c r="I12" i="7"/>
  <c r="J12" i="7"/>
  <c r="AI6" i="7"/>
  <c r="AJ6" i="7"/>
  <c r="L14" i="7"/>
  <c r="K14" i="7"/>
  <c r="AG9" i="7"/>
  <c r="AH9" i="7"/>
  <c r="I7" i="7"/>
  <c r="J7" i="7"/>
  <c r="G9" i="7"/>
  <c r="H9" i="7"/>
  <c r="G6" i="7"/>
  <c r="H6" i="7"/>
  <c r="G15" i="7"/>
  <c r="H15" i="7"/>
  <c r="AE8" i="7"/>
  <c r="AF8" i="7"/>
  <c r="G8" i="7"/>
  <c r="H8" i="7"/>
  <c r="AS36" i="7" l="1"/>
  <c r="AQ36" i="7"/>
  <c r="AQ34" i="7"/>
  <c r="BC35" i="7"/>
  <c r="AS35" i="7"/>
  <c r="AQ35" i="7"/>
  <c r="BC36" i="7"/>
  <c r="T17" i="1"/>
  <c r="D14" i="65"/>
  <c r="J13" i="82"/>
  <c r="O29" i="79"/>
  <c r="I28" i="79"/>
  <c r="AH7" i="7"/>
  <c r="AI7" i="7" s="1"/>
  <c r="AG13" i="7"/>
  <c r="AZ13" i="5"/>
  <c r="BC13" i="5" s="1"/>
  <c r="AU14" i="5"/>
  <c r="AA9" i="1"/>
  <c r="AB8" i="1"/>
  <c r="Y9" i="1"/>
  <c r="U7" i="1"/>
  <c r="AG11" i="7"/>
  <c r="AH11" i="7"/>
  <c r="AG12" i="7"/>
  <c r="D13" i="65"/>
  <c r="AL8" i="1"/>
  <c r="B7" i="65"/>
  <c r="AI13" i="7"/>
  <c r="AJ13" i="7"/>
  <c r="AJ10" i="7"/>
  <c r="AI10" i="7"/>
  <c r="H19" i="5"/>
  <c r="Y18" i="5"/>
  <c r="Y18" i="1"/>
  <c r="AB18" i="1" s="1"/>
  <c r="S17" i="3"/>
  <c r="BA18" i="5"/>
  <c r="BD19" i="5" s="1"/>
  <c r="U18" i="5"/>
  <c r="R17" i="1"/>
  <c r="V17" i="1" s="1"/>
  <c r="S18" i="1"/>
  <c r="I19" i="1"/>
  <c r="J16" i="1"/>
  <c r="AL16" i="1"/>
  <c r="D17" i="75" s="1"/>
  <c r="E17" i="75" s="1"/>
  <c r="G17" i="1"/>
  <c r="U17" i="1" s="1"/>
  <c r="AJ14" i="7"/>
  <c r="AI14" i="7"/>
  <c r="AE15" i="7"/>
  <c r="AF15" i="7"/>
  <c r="AD16" i="7"/>
  <c r="AC16" i="7"/>
  <c r="D17" i="1"/>
  <c r="E17" i="1" s="1"/>
  <c r="AB17" i="7"/>
  <c r="AA17" i="7"/>
  <c r="F16" i="7"/>
  <c r="E16" i="7"/>
  <c r="C17" i="7"/>
  <c r="D17" i="7"/>
  <c r="I13" i="7"/>
  <c r="J13" i="7"/>
  <c r="AI13" i="3"/>
  <c r="I16" i="65"/>
  <c r="BE16" i="7"/>
  <c r="BG16" i="7" s="1"/>
  <c r="E13" i="63"/>
  <c r="AD14" i="3"/>
  <c r="E14" i="82"/>
  <c r="F15" i="82"/>
  <c r="G15" i="82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I11" i="7"/>
  <c r="J11" i="7"/>
  <c r="AO6" i="7" l="1"/>
  <c r="W7" i="1"/>
  <c r="I16" i="82"/>
  <c r="T18" i="1"/>
  <c r="D9" i="75"/>
  <c r="E9" i="75" s="1"/>
  <c r="D15" i="65"/>
  <c r="BD18" i="5"/>
  <c r="J14" i="82"/>
  <c r="O14" i="2"/>
  <c r="I29" i="79"/>
  <c r="O30" i="79"/>
  <c r="AJ7" i="7"/>
  <c r="AK7" i="7" s="1"/>
  <c r="AZ14" i="5"/>
  <c r="BC14" i="5" s="1"/>
  <c r="AU15" i="5"/>
  <c r="AU16" i="5" s="1"/>
  <c r="AU17" i="5" s="1"/>
  <c r="AU18" i="5" s="1"/>
  <c r="AU19" i="5" s="1"/>
  <c r="AU20" i="5" s="1"/>
  <c r="AU21" i="5" s="1"/>
  <c r="AU22" i="5" s="1"/>
  <c r="AU23" i="5" s="1"/>
  <c r="AU24" i="5" s="1"/>
  <c r="AU25" i="5" s="1"/>
  <c r="AU26" i="5" s="1"/>
  <c r="AU27" i="5" s="1"/>
  <c r="AU28" i="5" s="1"/>
  <c r="AU29" i="5" s="1"/>
  <c r="AU30" i="5" s="1"/>
  <c r="AU31" i="5" s="1"/>
  <c r="AU32" i="5" s="1"/>
  <c r="AU33" i="5" s="1"/>
  <c r="AU34" i="5" s="1"/>
  <c r="AU35" i="5" s="1"/>
  <c r="AU36" i="5" s="1"/>
  <c r="AA10" i="1"/>
  <c r="AB9" i="1"/>
  <c r="Y10" i="1"/>
  <c r="AI11" i="7"/>
  <c r="AJ11" i="7"/>
  <c r="W8" i="1"/>
  <c r="B8" i="65"/>
  <c r="AL9" i="1"/>
  <c r="AK13" i="7"/>
  <c r="AL13" i="7"/>
  <c r="AM13" i="7" s="1"/>
  <c r="AL10" i="7"/>
  <c r="AM10" i="7" s="1"/>
  <c r="AK10" i="7"/>
  <c r="H20" i="5"/>
  <c r="Y19" i="5"/>
  <c r="Y19" i="1"/>
  <c r="AB19" i="1" s="1"/>
  <c r="S18" i="3"/>
  <c r="U18" i="3" s="1"/>
  <c r="U19" i="5"/>
  <c r="R18" i="1"/>
  <c r="V18" i="1" s="1"/>
  <c r="S19" i="1"/>
  <c r="I20" i="1"/>
  <c r="J17" i="1"/>
  <c r="AL17" i="1"/>
  <c r="D18" i="75" s="1"/>
  <c r="E18" i="75" s="1"/>
  <c r="G18" i="1"/>
  <c r="U18" i="1" s="1"/>
  <c r="AG15" i="7"/>
  <c r="AH15" i="7"/>
  <c r="AF16" i="7"/>
  <c r="AE16" i="7"/>
  <c r="AD17" i="7"/>
  <c r="AC17" i="7"/>
  <c r="AB18" i="7"/>
  <c r="AA18" i="7"/>
  <c r="AK14" i="7"/>
  <c r="AL14" i="7"/>
  <c r="AM14" i="7" s="1"/>
  <c r="D18" i="1"/>
  <c r="E18" i="1" s="1"/>
  <c r="E17" i="7"/>
  <c r="F17" i="7"/>
  <c r="L13" i="7"/>
  <c r="K13" i="7"/>
  <c r="G16" i="7"/>
  <c r="H16" i="7"/>
  <c r="C18" i="7"/>
  <c r="D18" i="7"/>
  <c r="AI14" i="3"/>
  <c r="I17" i="65"/>
  <c r="AD15" i="3"/>
  <c r="E14" i="63"/>
  <c r="BE17" i="7"/>
  <c r="BG17" i="7" s="1"/>
  <c r="E15" i="82"/>
  <c r="F16" i="82"/>
  <c r="N15" i="2"/>
  <c r="R15" i="2" s="1"/>
  <c r="P14" i="7"/>
  <c r="O14" i="7"/>
  <c r="L10" i="7"/>
  <c r="K10" i="7"/>
  <c r="AL12" i="7"/>
  <c r="AM12" i="7" s="1"/>
  <c r="AK12" i="7"/>
  <c r="N7" i="7"/>
  <c r="M7" i="7"/>
  <c r="AK9" i="7"/>
  <c r="AL9" i="7"/>
  <c r="AM9" i="7" s="1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I17" i="82" l="1"/>
  <c r="T19" i="1"/>
  <c r="AL18" i="1"/>
  <c r="D19" i="75" s="1"/>
  <c r="E19" i="75" s="1"/>
  <c r="D10" i="75"/>
  <c r="E10" i="75" s="1"/>
  <c r="D16" i="65"/>
  <c r="G16" i="82"/>
  <c r="J15" i="82"/>
  <c r="AN6" i="7"/>
  <c r="O15" i="2"/>
  <c r="S15" i="76"/>
  <c r="I30" i="79"/>
  <c r="O31" i="79"/>
  <c r="AL7" i="7"/>
  <c r="AM7" i="7" s="1"/>
  <c r="AO7" i="7" s="1"/>
  <c r="AN7" i="7" s="1"/>
  <c r="AO9" i="7"/>
  <c r="BC15" i="5"/>
  <c r="AA11" i="1"/>
  <c r="Y11" i="1"/>
  <c r="AB10" i="1"/>
  <c r="AL11" i="7"/>
  <c r="AM11" i="7" s="1"/>
  <c r="AK11" i="7"/>
  <c r="AO10" i="7"/>
  <c r="AL10" i="1"/>
  <c r="B9" i="65"/>
  <c r="W9" i="1"/>
  <c r="AO12" i="7"/>
  <c r="AO13" i="7"/>
  <c r="H21" i="5"/>
  <c r="Y20" i="5"/>
  <c r="Y20" i="1"/>
  <c r="AB20" i="1" s="1"/>
  <c r="S19" i="3"/>
  <c r="U20" i="5"/>
  <c r="R19" i="1"/>
  <c r="V19" i="1" s="1"/>
  <c r="S20" i="1"/>
  <c r="I21" i="1"/>
  <c r="G19" i="1"/>
  <c r="U19" i="1" s="1"/>
  <c r="J18" i="1"/>
  <c r="AA19" i="7"/>
  <c r="AB19" i="7"/>
  <c r="AC18" i="7"/>
  <c r="AD18" i="7"/>
  <c r="AI15" i="7"/>
  <c r="AJ15" i="7"/>
  <c r="AG16" i="7"/>
  <c r="AH16" i="7"/>
  <c r="AO14" i="7"/>
  <c r="AE17" i="7"/>
  <c r="AF17" i="7"/>
  <c r="D20" i="1"/>
  <c r="E20" i="1" s="1"/>
  <c r="D19" i="1"/>
  <c r="E19" i="1" s="1"/>
  <c r="F18" i="7"/>
  <c r="E18" i="7"/>
  <c r="H17" i="7"/>
  <c r="G17" i="7"/>
  <c r="N13" i="7"/>
  <c r="M13" i="7"/>
  <c r="J16" i="7"/>
  <c r="I16" i="7"/>
  <c r="C19" i="7"/>
  <c r="D19" i="7"/>
  <c r="AI15" i="3"/>
  <c r="BE18" i="7"/>
  <c r="BG18" i="7" s="1"/>
  <c r="AD16" i="3"/>
  <c r="I18" i="65"/>
  <c r="E15" i="63"/>
  <c r="E16" i="82"/>
  <c r="F17" i="82"/>
  <c r="G17" i="82"/>
  <c r="E13" i="81"/>
  <c r="C13" i="63"/>
  <c r="D13" i="63" s="1"/>
  <c r="Q14" i="7"/>
  <c r="R14" i="7"/>
  <c r="M6" i="7"/>
  <c r="N6" i="7"/>
  <c r="AK8" i="7"/>
  <c r="AL8" i="7"/>
  <c r="AM8" i="7" s="1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I18" i="82" l="1"/>
  <c r="AL19" i="1"/>
  <c r="D20" i="75" s="1"/>
  <c r="E20" i="75" s="1"/>
  <c r="D11" i="75"/>
  <c r="E11" i="75" s="1"/>
  <c r="D17" i="65"/>
  <c r="U19" i="3"/>
  <c r="T20" i="1"/>
  <c r="J16" i="82"/>
  <c r="S16" i="76"/>
  <c r="I31" i="79"/>
  <c r="AN14" i="7"/>
  <c r="AN12" i="7"/>
  <c r="AN13" i="7"/>
  <c r="AN10" i="7"/>
  <c r="AN9" i="7"/>
  <c r="AO8" i="7"/>
  <c r="AZ16" i="5"/>
  <c r="BC16" i="5" s="1"/>
  <c r="AA12" i="1"/>
  <c r="AA13" i="1"/>
  <c r="Y12" i="1"/>
  <c r="Y13" i="1"/>
  <c r="AB11" i="1"/>
  <c r="AO11" i="7"/>
  <c r="AL11" i="1"/>
  <c r="D12" i="75" s="1"/>
  <c r="E12" i="75" s="1"/>
  <c r="W10" i="1"/>
  <c r="B10" i="65"/>
  <c r="H22" i="5"/>
  <c r="Y21" i="5"/>
  <c r="Y21" i="1"/>
  <c r="AB21" i="1" s="1"/>
  <c r="S20" i="3"/>
  <c r="U20" i="3" s="1"/>
  <c r="BD21" i="5"/>
  <c r="U21" i="5"/>
  <c r="R20" i="1"/>
  <c r="V20" i="1" s="1"/>
  <c r="S21" i="1"/>
  <c r="J19" i="1"/>
  <c r="G20" i="1"/>
  <c r="U20" i="1" s="1"/>
  <c r="AC19" i="7"/>
  <c r="AD19" i="7"/>
  <c r="AE18" i="7"/>
  <c r="AF18" i="7"/>
  <c r="AK15" i="7"/>
  <c r="AL15" i="7"/>
  <c r="AM15" i="7" s="1"/>
  <c r="AG17" i="7"/>
  <c r="AH17" i="7"/>
  <c r="AA20" i="7"/>
  <c r="AB20" i="7"/>
  <c r="AI16" i="7"/>
  <c r="AJ16" i="7"/>
  <c r="C20" i="7"/>
  <c r="D20" i="7"/>
  <c r="F19" i="7"/>
  <c r="E19" i="7"/>
  <c r="I17" i="7"/>
  <c r="J17" i="7"/>
  <c r="P13" i="7"/>
  <c r="O13" i="7"/>
  <c r="L16" i="7"/>
  <c r="K16" i="7"/>
  <c r="G18" i="7"/>
  <c r="H18" i="7"/>
  <c r="BE19" i="7"/>
  <c r="BG19" i="7" s="1"/>
  <c r="I19" i="65"/>
  <c r="E16" i="63"/>
  <c r="AD17" i="3"/>
  <c r="AI16" i="3"/>
  <c r="F18" i="82"/>
  <c r="G18" i="82"/>
  <c r="C14" i="63"/>
  <c r="D14" i="63" s="1"/>
  <c r="E14" i="81"/>
  <c r="J16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C12" i="3" l="1"/>
  <c r="E17" i="82"/>
  <c r="I19" i="82"/>
  <c r="AL20" i="1"/>
  <c r="D21" i="75" s="1"/>
  <c r="E21" i="75" s="1"/>
  <c r="D18" i="65"/>
  <c r="T21" i="1"/>
  <c r="J17" i="82"/>
  <c r="S17" i="76"/>
  <c r="O33" i="79"/>
  <c r="I32" i="79"/>
  <c r="AN11" i="7"/>
  <c r="AN8" i="7"/>
  <c r="AZ17" i="5"/>
  <c r="BC17" i="5" s="1"/>
  <c r="AB13" i="1"/>
  <c r="AB12" i="1"/>
  <c r="AO15" i="7"/>
  <c r="B11" i="65"/>
  <c r="W11" i="1"/>
  <c r="AL12" i="1"/>
  <c r="AL13" i="1"/>
  <c r="D14" i="75" s="1"/>
  <c r="E14" i="75" s="1"/>
  <c r="H23" i="5"/>
  <c r="Y22" i="5"/>
  <c r="Y22" i="1"/>
  <c r="AB22" i="1" s="1"/>
  <c r="S21" i="3"/>
  <c r="BA22" i="5"/>
  <c r="BD22" i="5" s="1"/>
  <c r="U22" i="5"/>
  <c r="V21" i="1"/>
  <c r="S22" i="1"/>
  <c r="G21" i="1"/>
  <c r="AL21" i="1" s="1"/>
  <c r="J20" i="1"/>
  <c r="AJ17" i="7"/>
  <c r="AI17" i="7"/>
  <c r="AC20" i="7"/>
  <c r="AD20" i="7"/>
  <c r="AK16" i="7"/>
  <c r="AL16" i="7"/>
  <c r="AM16" i="7" s="1"/>
  <c r="AA21" i="7"/>
  <c r="AB21" i="7"/>
  <c r="AF19" i="7"/>
  <c r="AE19" i="7"/>
  <c r="AH18" i="7"/>
  <c r="AG18" i="7"/>
  <c r="N16" i="7"/>
  <c r="M16" i="7"/>
  <c r="Q13" i="7"/>
  <c r="R13" i="7"/>
  <c r="J18" i="7"/>
  <c r="I18" i="7"/>
  <c r="F20" i="7"/>
  <c r="E20" i="7"/>
  <c r="G19" i="7"/>
  <c r="H19" i="7"/>
  <c r="D21" i="7"/>
  <c r="C21" i="7"/>
  <c r="L17" i="7"/>
  <c r="K17" i="7"/>
  <c r="I20" i="65"/>
  <c r="E17" i="63"/>
  <c r="BE20" i="7"/>
  <c r="BG20" i="7" s="1"/>
  <c r="AD18" i="3"/>
  <c r="AI17" i="3"/>
  <c r="E18" i="82"/>
  <c r="F19" i="82"/>
  <c r="G19" i="82"/>
  <c r="I20" i="82"/>
  <c r="J17" i="65"/>
  <c r="C15" i="63"/>
  <c r="D15" i="63" s="1"/>
  <c r="E15" i="8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C13" i="3" l="1"/>
  <c r="D19" i="65"/>
  <c r="T22" i="1"/>
  <c r="J18" i="82"/>
  <c r="D13" i="75"/>
  <c r="E13" i="75" s="1"/>
  <c r="I33" i="79"/>
  <c r="AN15" i="7"/>
  <c r="AZ19" i="5"/>
  <c r="AZ18" i="5"/>
  <c r="W12" i="1"/>
  <c r="B12" i="65"/>
  <c r="Y23" i="5"/>
  <c r="Y14" i="7"/>
  <c r="AR14" i="7" s="1"/>
  <c r="S22" i="3"/>
  <c r="U22" i="3" s="1"/>
  <c r="BA23" i="5"/>
  <c r="BD23" i="5" s="1"/>
  <c r="U23" i="5"/>
  <c r="R22" i="1"/>
  <c r="V22" i="1" s="1"/>
  <c r="G22" i="1"/>
  <c r="AL22" i="1" s="1"/>
  <c r="J21" i="1"/>
  <c r="U21" i="1"/>
  <c r="D22" i="75"/>
  <c r="E22" i="75" s="1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B22" i="7"/>
  <c r="AA22" i="7"/>
  <c r="P16" i="7"/>
  <c r="O16" i="7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I18" i="3"/>
  <c r="BE21" i="7"/>
  <c r="BG21" i="7" s="1"/>
  <c r="AD19" i="3"/>
  <c r="I21" i="65"/>
  <c r="E18" i="63"/>
  <c r="F20" i="82"/>
  <c r="G20" i="82"/>
  <c r="J18" i="65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C14" i="3" l="1"/>
  <c r="E19" i="82"/>
  <c r="I21" i="82"/>
  <c r="D20" i="65"/>
  <c r="BC19" i="5"/>
  <c r="BC18" i="5"/>
  <c r="J19" i="82"/>
  <c r="AN16" i="7"/>
  <c r="AZ20" i="5"/>
  <c r="BC20" i="5" s="1"/>
  <c r="X14" i="7"/>
  <c r="B13" i="65"/>
  <c r="W13" i="1"/>
  <c r="Y7" i="7"/>
  <c r="H25" i="5"/>
  <c r="Y24" i="1"/>
  <c r="AB24" i="1" s="1"/>
  <c r="BD24" i="5"/>
  <c r="S24" i="1"/>
  <c r="D23" i="75"/>
  <c r="E23" i="75" s="1"/>
  <c r="J22" i="1"/>
  <c r="U22" i="1"/>
  <c r="AI19" i="7"/>
  <c r="AJ19" i="7"/>
  <c r="AC22" i="7"/>
  <c r="AD22" i="7"/>
  <c r="AH20" i="7"/>
  <c r="AG20" i="7"/>
  <c r="AA23" i="7"/>
  <c r="AB23" i="7"/>
  <c r="AE21" i="7"/>
  <c r="AF21" i="7"/>
  <c r="AL18" i="7"/>
  <c r="AM18" i="7" s="1"/>
  <c r="AK18" i="7"/>
  <c r="AO17" i="7"/>
  <c r="P17" i="7"/>
  <c r="O17" i="7"/>
  <c r="H21" i="7"/>
  <c r="G21" i="7"/>
  <c r="R16" i="7"/>
  <c r="Q16" i="7"/>
  <c r="J20" i="7"/>
  <c r="I20" i="7"/>
  <c r="E22" i="7"/>
  <c r="F22" i="7"/>
  <c r="D23" i="7"/>
  <c r="C23" i="7"/>
  <c r="U13" i="7"/>
  <c r="V13" i="7"/>
  <c r="W13" i="7" s="1"/>
  <c r="M18" i="7"/>
  <c r="N18" i="7"/>
  <c r="L19" i="7"/>
  <c r="K19" i="7"/>
  <c r="AD20" i="3"/>
  <c r="E19" i="63"/>
  <c r="I22" i="65"/>
  <c r="BE22" i="7"/>
  <c r="BG22" i="7" s="1"/>
  <c r="AI19" i="3"/>
  <c r="E20" i="82"/>
  <c r="F21" i="82"/>
  <c r="G21" i="82"/>
  <c r="E17" i="81"/>
  <c r="C17" i="63"/>
  <c r="D17" i="63" s="1"/>
  <c r="V15" i="7"/>
  <c r="W15" i="7" s="1"/>
  <c r="U15" i="7"/>
  <c r="V10" i="7"/>
  <c r="W10" i="7" s="1"/>
  <c r="U10" i="7"/>
  <c r="U11" i="7"/>
  <c r="V11" i="7"/>
  <c r="W11" i="7" s="1"/>
  <c r="AQ14" i="7"/>
  <c r="U9" i="7"/>
  <c r="V9" i="7"/>
  <c r="W9" i="7" s="1"/>
  <c r="U8" i="7"/>
  <c r="V8" i="7"/>
  <c r="W8" i="7" s="1"/>
  <c r="V6" i="7"/>
  <c r="W6" i="7" s="1"/>
  <c r="U6" i="7"/>
  <c r="Y12" i="7"/>
  <c r="AR12" i="7" s="1"/>
  <c r="C15" i="3" l="1"/>
  <c r="AR7" i="7"/>
  <c r="AQ7" i="7" s="1"/>
  <c r="I22" i="82"/>
  <c r="D21" i="65"/>
  <c r="T24" i="1"/>
  <c r="J20" i="82"/>
  <c r="S20" i="76"/>
  <c r="AN17" i="7"/>
  <c r="Y9" i="7"/>
  <c r="AR9" i="7" s="1"/>
  <c r="Y11" i="7"/>
  <c r="B14" i="65"/>
  <c r="W14" i="1"/>
  <c r="Y8" i="7"/>
  <c r="AR8" i="7" s="1"/>
  <c r="X7" i="7"/>
  <c r="Y13" i="7"/>
  <c r="Y10" i="7"/>
  <c r="AR10" i="7" s="1"/>
  <c r="H26" i="5"/>
  <c r="Y25" i="1"/>
  <c r="AB25" i="1" s="1"/>
  <c r="AO18" i="7"/>
  <c r="Y15" i="7"/>
  <c r="AR15" i="7" s="1"/>
  <c r="S24" i="3"/>
  <c r="U24" i="3" s="1"/>
  <c r="BA25" i="5"/>
  <c r="BD25" i="5" s="1"/>
  <c r="U25" i="5"/>
  <c r="R24" i="1"/>
  <c r="V24" i="1" s="1"/>
  <c r="S25" i="1"/>
  <c r="G24" i="1"/>
  <c r="AL24" i="1" s="1"/>
  <c r="AD23" i="7"/>
  <c r="AC23" i="7"/>
  <c r="AE22" i="7"/>
  <c r="AF22" i="7"/>
  <c r="AA24" i="7"/>
  <c r="AB24" i="7"/>
  <c r="AK19" i="7"/>
  <c r="AL19" i="7"/>
  <c r="AM19" i="7" s="1"/>
  <c r="AG21" i="7"/>
  <c r="AH21" i="7"/>
  <c r="AI20" i="7"/>
  <c r="AJ20" i="7"/>
  <c r="Q17" i="7"/>
  <c r="R17" i="7"/>
  <c r="O18" i="7"/>
  <c r="P18" i="7"/>
  <c r="G22" i="7"/>
  <c r="H22" i="7"/>
  <c r="E23" i="7"/>
  <c r="F23" i="7"/>
  <c r="C24" i="7"/>
  <c r="D24" i="7"/>
  <c r="J21" i="7"/>
  <c r="I21" i="7"/>
  <c r="M19" i="7"/>
  <c r="N19" i="7"/>
  <c r="T16" i="7"/>
  <c r="S16" i="7"/>
  <c r="K20" i="7"/>
  <c r="L20" i="7"/>
  <c r="AD21" i="3"/>
  <c r="I23" i="65"/>
  <c r="BE23" i="7"/>
  <c r="BG23" i="7" s="1"/>
  <c r="E20" i="63"/>
  <c r="AI20" i="3"/>
  <c r="F22" i="82"/>
  <c r="G22" i="82"/>
  <c r="I23" i="82"/>
  <c r="J20" i="65"/>
  <c r="C18" i="63"/>
  <c r="D18" i="63" s="1"/>
  <c r="E18" i="81"/>
  <c r="X12" i="7"/>
  <c r="Y6" i="7"/>
  <c r="AR6" i="7" s="1"/>
  <c r="AS6" i="7" s="1"/>
  <c r="AZ21" i="5" l="1"/>
  <c r="BC21" i="5" s="1"/>
  <c r="AR11" i="7"/>
  <c r="AS11" i="7" s="1"/>
  <c r="AR13" i="7"/>
  <c r="AS14" i="7" s="1"/>
  <c r="C16" i="3"/>
  <c r="AS10" i="7"/>
  <c r="AS9" i="7"/>
  <c r="BC15" i="7"/>
  <c r="E21" i="82"/>
  <c r="D22" i="65"/>
  <c r="T25" i="1"/>
  <c r="J21" i="82"/>
  <c r="D24" i="75"/>
  <c r="E24" i="75" s="1"/>
  <c r="S21" i="76"/>
  <c r="X13" i="7"/>
  <c r="X10" i="7"/>
  <c r="BC10" i="7"/>
  <c r="AN18" i="7"/>
  <c r="X9" i="7"/>
  <c r="X15" i="7"/>
  <c r="X11" i="7"/>
  <c r="U21" i="3"/>
  <c r="B15" i="65"/>
  <c r="W15" i="1"/>
  <c r="X8" i="7"/>
  <c r="AO19" i="7"/>
  <c r="H27" i="5"/>
  <c r="Y26" i="1"/>
  <c r="AB26" i="1" s="1"/>
  <c r="BA26" i="5"/>
  <c r="BD26" i="5" s="1"/>
  <c r="U26" i="5"/>
  <c r="R25" i="1"/>
  <c r="V25" i="1" s="1"/>
  <c r="S26" i="1"/>
  <c r="J24" i="1"/>
  <c r="D25" i="75"/>
  <c r="E25" i="75" s="1"/>
  <c r="U24" i="1"/>
  <c r="G25" i="1"/>
  <c r="AL25" i="1" s="1"/>
  <c r="AC24" i="7"/>
  <c r="AD24" i="7"/>
  <c r="AK20" i="7"/>
  <c r="AL20" i="7"/>
  <c r="AM20" i="7" s="1"/>
  <c r="AE23" i="7"/>
  <c r="AF23" i="7"/>
  <c r="AH22" i="7"/>
  <c r="AG22" i="7"/>
  <c r="AJ21" i="7"/>
  <c r="AI21" i="7"/>
  <c r="AA25" i="7"/>
  <c r="AB25" i="7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R18" i="7"/>
  <c r="Q18" i="7"/>
  <c r="L21" i="7"/>
  <c r="K21" i="7"/>
  <c r="AI21" i="3"/>
  <c r="BE24" i="7"/>
  <c r="BG24" i="7" s="1"/>
  <c r="E21" i="63"/>
  <c r="I24" i="65"/>
  <c r="AD22" i="3"/>
  <c r="E22" i="82"/>
  <c r="F23" i="82"/>
  <c r="J21" i="65"/>
  <c r="C19" i="63"/>
  <c r="D19" i="63" s="1"/>
  <c r="E19" i="81"/>
  <c r="X6" i="7"/>
  <c r="AQ9" i="7"/>
  <c r="AQ12" i="7"/>
  <c r="AS12" i="7" l="1"/>
  <c r="AS13" i="7"/>
  <c r="C17" i="3"/>
  <c r="AS7" i="7"/>
  <c r="AQ6" i="7"/>
  <c r="AS15" i="7"/>
  <c r="AS8" i="7"/>
  <c r="G23" i="82"/>
  <c r="I24" i="82"/>
  <c r="D23" i="65"/>
  <c r="BC8" i="7"/>
  <c r="AQ11" i="7"/>
  <c r="BC12" i="7"/>
  <c r="AQ15" i="7"/>
  <c r="T26" i="1"/>
  <c r="J22" i="82"/>
  <c r="S22" i="76"/>
  <c r="AQ8" i="7"/>
  <c r="BC9" i="7"/>
  <c r="AN19" i="7"/>
  <c r="AZ24" i="5"/>
  <c r="AZ22" i="5"/>
  <c r="BC22" i="5" s="1"/>
  <c r="AQ10" i="7"/>
  <c r="BC11" i="7"/>
  <c r="AQ13" i="7"/>
  <c r="BC14" i="7"/>
  <c r="BC13" i="7"/>
  <c r="B16" i="65"/>
  <c r="W16" i="1"/>
  <c r="H28" i="5"/>
  <c r="AO20" i="7"/>
  <c r="Y16" i="7"/>
  <c r="AR16" i="7" s="1"/>
  <c r="AS16" i="7" s="1"/>
  <c r="Y27" i="1"/>
  <c r="AB27" i="1" s="1"/>
  <c r="U26" i="3"/>
  <c r="BA27" i="5"/>
  <c r="BD27" i="5" s="1"/>
  <c r="U27" i="5"/>
  <c r="R26" i="1"/>
  <c r="V26" i="1" s="1"/>
  <c r="S27" i="1"/>
  <c r="G26" i="1"/>
  <c r="AL26" i="1" s="1"/>
  <c r="J25" i="1"/>
  <c r="D26" i="75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AH23" i="7"/>
  <c r="AG23" i="7"/>
  <c r="K22" i="7"/>
  <c r="L22" i="7"/>
  <c r="N21" i="7"/>
  <c r="M21" i="7"/>
  <c r="H24" i="7"/>
  <c r="G24" i="7"/>
  <c r="O20" i="7"/>
  <c r="P20" i="7"/>
  <c r="R19" i="7"/>
  <c r="Q19" i="7"/>
  <c r="J23" i="7"/>
  <c r="I23" i="7"/>
  <c r="V17" i="7"/>
  <c r="W17" i="7" s="1"/>
  <c r="U17" i="7"/>
  <c r="D26" i="7"/>
  <c r="C26" i="7"/>
  <c r="E25" i="7"/>
  <c r="F25" i="7"/>
  <c r="S18" i="7"/>
  <c r="T18" i="7"/>
  <c r="I25" i="65"/>
  <c r="E22" i="63"/>
  <c r="BE25" i="7"/>
  <c r="BG25" i="7" s="1"/>
  <c r="AI22" i="3"/>
  <c r="E23" i="82"/>
  <c r="F24" i="82"/>
  <c r="G24" i="82"/>
  <c r="E20" i="81"/>
  <c r="C20" i="63"/>
  <c r="D20" i="63" s="1"/>
  <c r="J22" i="65"/>
  <c r="BC6" i="7"/>
  <c r="C18" i="3" l="1"/>
  <c r="I25" i="82"/>
  <c r="D24" i="65"/>
  <c r="T27" i="1"/>
  <c r="J23" i="82"/>
  <c r="S23" i="76"/>
  <c r="AN20" i="7"/>
  <c r="X16" i="7"/>
  <c r="AZ23" i="5"/>
  <c r="BC23" i="5" s="1"/>
  <c r="B17" i="65"/>
  <c r="AO21" i="7"/>
  <c r="Y17" i="7"/>
  <c r="AR17" i="7" s="1"/>
  <c r="H29" i="5"/>
  <c r="Y28" i="1"/>
  <c r="AB28" i="1" s="1"/>
  <c r="S27" i="3"/>
  <c r="U27" i="3" s="1"/>
  <c r="BA28" i="5"/>
  <c r="BD28" i="5" s="1"/>
  <c r="U28" i="5"/>
  <c r="R27" i="1"/>
  <c r="V27" i="1" s="1"/>
  <c r="S28" i="1"/>
  <c r="U26" i="1"/>
  <c r="J26" i="1"/>
  <c r="G27" i="1"/>
  <c r="AL27" i="1" s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V18" i="7"/>
  <c r="W18" i="7" s="1"/>
  <c r="U18" i="7"/>
  <c r="M22" i="7"/>
  <c r="N22" i="7"/>
  <c r="I24" i="7"/>
  <c r="J24" i="7"/>
  <c r="T19" i="7"/>
  <c r="S19" i="7"/>
  <c r="L23" i="7"/>
  <c r="K23" i="7"/>
  <c r="Q20" i="7"/>
  <c r="R20" i="7"/>
  <c r="P21" i="7"/>
  <c r="O21" i="7"/>
  <c r="F26" i="7"/>
  <c r="E26" i="7"/>
  <c r="D27" i="7"/>
  <c r="C27" i="7"/>
  <c r="G25" i="7"/>
  <c r="H25" i="7"/>
  <c r="D25" i="65"/>
  <c r="BE26" i="7"/>
  <c r="BG26" i="7" s="1"/>
  <c r="E6" i="63"/>
  <c r="E23" i="63"/>
  <c r="I26" i="65"/>
  <c r="AD24" i="3"/>
  <c r="E24" i="82"/>
  <c r="F25" i="82"/>
  <c r="G25" i="82"/>
  <c r="J23" i="65"/>
  <c r="C21" i="63"/>
  <c r="D21" i="63" s="1"/>
  <c r="E21" i="81"/>
  <c r="C19" i="3" l="1"/>
  <c r="AS17" i="7"/>
  <c r="I26" i="82"/>
  <c r="T28" i="1"/>
  <c r="J24" i="82"/>
  <c r="D27" i="75"/>
  <c r="E27" i="75" s="1"/>
  <c r="S24" i="76"/>
  <c r="AN21" i="7"/>
  <c r="BC24" i="5"/>
  <c r="X17" i="7"/>
  <c r="B18" i="65"/>
  <c r="H30" i="5"/>
  <c r="AO22" i="7"/>
  <c r="Y29" i="1"/>
  <c r="AB29" i="1" s="1"/>
  <c r="Y18" i="7"/>
  <c r="AR18" i="7" s="1"/>
  <c r="S28" i="3"/>
  <c r="U28" i="3" s="1"/>
  <c r="BA29" i="5"/>
  <c r="BD29" i="5" s="1"/>
  <c r="U29" i="5"/>
  <c r="R28" i="1"/>
  <c r="V28" i="1" s="1"/>
  <c r="S29" i="1"/>
  <c r="D28" i="75"/>
  <c r="E28" i="75" s="1"/>
  <c r="U27" i="1"/>
  <c r="J27" i="1"/>
  <c r="G28" i="1"/>
  <c r="AL28" i="1" s="1"/>
  <c r="AL23" i="7"/>
  <c r="AM23" i="7" s="1"/>
  <c r="AK23" i="7"/>
  <c r="AC27" i="7"/>
  <c r="AD27" i="7"/>
  <c r="AA28" i="7"/>
  <c r="AB28" i="7"/>
  <c r="AJ24" i="7"/>
  <c r="AI24" i="7"/>
  <c r="AH25" i="7"/>
  <c r="AG25" i="7"/>
  <c r="AE26" i="7"/>
  <c r="AF26" i="7"/>
  <c r="M23" i="7"/>
  <c r="N23" i="7"/>
  <c r="T20" i="7"/>
  <c r="S20" i="7"/>
  <c r="P22" i="7"/>
  <c r="O22" i="7"/>
  <c r="R21" i="7"/>
  <c r="Q21" i="7"/>
  <c r="F27" i="7"/>
  <c r="E27" i="7"/>
  <c r="I25" i="7"/>
  <c r="J25" i="7"/>
  <c r="U19" i="7"/>
  <c r="V19" i="7"/>
  <c r="W19" i="7" s="1"/>
  <c r="C28" i="7"/>
  <c r="D28" i="7"/>
  <c r="H26" i="7"/>
  <c r="G26" i="7"/>
  <c r="L24" i="7"/>
  <c r="K24" i="7"/>
  <c r="AI24" i="3"/>
  <c r="I27" i="65"/>
  <c r="E24" i="63"/>
  <c r="BE27" i="7"/>
  <c r="BG27" i="7" s="1"/>
  <c r="E25" i="82"/>
  <c r="F26" i="82"/>
  <c r="G26" i="82"/>
  <c r="J24" i="65"/>
  <c r="E22" i="81"/>
  <c r="C22" i="63"/>
  <c r="D22" i="63" s="1"/>
  <c r="AS18" i="7" l="1"/>
  <c r="C20" i="3"/>
  <c r="I27" i="82"/>
  <c r="D26" i="65"/>
  <c r="T29" i="1"/>
  <c r="J25" i="82"/>
  <c r="S25" i="76"/>
  <c r="X18" i="7"/>
  <c r="AN22" i="7"/>
  <c r="AZ25" i="5"/>
  <c r="BC25" i="5" s="1"/>
  <c r="B19" i="65"/>
  <c r="H31" i="5"/>
  <c r="S29" i="3"/>
  <c r="U29" i="3" s="1"/>
  <c r="BA30" i="5"/>
  <c r="BD30" i="5" s="1"/>
  <c r="U30" i="5"/>
  <c r="G29" i="1"/>
  <c r="AL29" i="1" s="1"/>
  <c r="U28" i="1"/>
  <c r="J28" i="1"/>
  <c r="D29" i="75"/>
  <c r="E29" i="75" s="1"/>
  <c r="AG26" i="7"/>
  <c r="AH26" i="7"/>
  <c r="AL24" i="7"/>
  <c r="AM24" i="7" s="1"/>
  <c r="AK24" i="7"/>
  <c r="AJ25" i="7"/>
  <c r="AI25" i="7"/>
  <c r="AF27" i="7"/>
  <c r="AE27" i="7"/>
  <c r="AO23" i="7"/>
  <c r="AB29" i="7"/>
  <c r="AA29" i="7"/>
  <c r="AC28" i="7"/>
  <c r="AD28" i="7"/>
  <c r="M24" i="7"/>
  <c r="N24" i="7"/>
  <c r="G27" i="7"/>
  <c r="H27" i="7"/>
  <c r="R22" i="7"/>
  <c r="Q22" i="7"/>
  <c r="E28" i="7"/>
  <c r="F28" i="7"/>
  <c r="L25" i="7"/>
  <c r="K25" i="7"/>
  <c r="U20" i="7"/>
  <c r="V20" i="7"/>
  <c r="W20" i="7" s="1"/>
  <c r="O23" i="7"/>
  <c r="P23" i="7"/>
  <c r="D29" i="7"/>
  <c r="C29" i="7"/>
  <c r="J26" i="7"/>
  <c r="I26" i="7"/>
  <c r="S21" i="7"/>
  <c r="T21" i="7"/>
  <c r="Y19" i="7"/>
  <c r="AR19" i="7" s="1"/>
  <c r="AS19" i="7" s="1"/>
  <c r="D27" i="65"/>
  <c r="AD26" i="3"/>
  <c r="BE28" i="7"/>
  <c r="BG28" i="7" s="1"/>
  <c r="I28" i="65"/>
  <c r="E25" i="63"/>
  <c r="E26" i="82"/>
  <c r="F27" i="82"/>
  <c r="G27" i="82"/>
  <c r="J25" i="65"/>
  <c r="C23" i="63"/>
  <c r="D23" i="63" s="1"/>
  <c r="E23" i="81"/>
  <c r="C21" i="3" l="1"/>
  <c r="I28" i="82"/>
  <c r="J26" i="82"/>
  <c r="S26" i="76"/>
  <c r="AN23" i="7"/>
  <c r="AZ26" i="5"/>
  <c r="BC26" i="5" s="1"/>
  <c r="B20" i="65"/>
  <c r="AO24" i="7"/>
  <c r="H32" i="5"/>
  <c r="Y31" i="1"/>
  <c r="AB31" i="1" s="1"/>
  <c r="S30" i="3"/>
  <c r="S35" i="3" s="1"/>
  <c r="BA31" i="5"/>
  <c r="BD31" i="5" s="1"/>
  <c r="U31" i="5"/>
  <c r="S31" i="1"/>
  <c r="AL30" i="1"/>
  <c r="D30" i="75"/>
  <c r="E30" i="75" s="1"/>
  <c r="U29" i="1"/>
  <c r="J29" i="1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AR20" i="7" s="1"/>
  <c r="AS20" i="7" s="1"/>
  <c r="I27" i="7"/>
  <c r="J27" i="7"/>
  <c r="M25" i="7"/>
  <c r="N25" i="7"/>
  <c r="Q23" i="7"/>
  <c r="R23" i="7"/>
  <c r="S22" i="7"/>
  <c r="T22" i="7"/>
  <c r="K26" i="7"/>
  <c r="L26" i="7"/>
  <c r="O24" i="7"/>
  <c r="P24" i="7"/>
  <c r="X19" i="7"/>
  <c r="E29" i="7"/>
  <c r="F29" i="7"/>
  <c r="C30" i="7"/>
  <c r="D30" i="7"/>
  <c r="V21" i="7"/>
  <c r="W21" i="7" s="1"/>
  <c r="U21" i="7"/>
  <c r="H28" i="7"/>
  <c r="G28" i="7"/>
  <c r="BE29" i="7"/>
  <c r="BG29" i="7" s="1"/>
  <c r="AD27" i="3"/>
  <c r="I29" i="65"/>
  <c r="E26" i="63"/>
  <c r="AI26" i="3"/>
  <c r="E27" i="82"/>
  <c r="F28" i="82"/>
  <c r="G28" i="82"/>
  <c r="J26" i="65"/>
  <c r="E24" i="81"/>
  <c r="C24" i="63"/>
  <c r="D24" i="63" s="1"/>
  <c r="C22" i="3" l="1"/>
  <c r="I29" i="82"/>
  <c r="U30" i="3"/>
  <c r="D28" i="65"/>
  <c r="T31" i="1"/>
  <c r="S27" i="76"/>
  <c r="J27" i="82"/>
  <c r="AN24" i="7"/>
  <c r="X20" i="7"/>
  <c r="AZ27" i="5"/>
  <c r="BC27" i="5" s="1"/>
  <c r="B21" i="65"/>
  <c r="H33" i="5"/>
  <c r="H37" i="5" s="1"/>
  <c r="BA32" i="5"/>
  <c r="BD32" i="5" s="1"/>
  <c r="U32" i="5"/>
  <c r="R31" i="1"/>
  <c r="V31" i="1" s="1"/>
  <c r="G31" i="1"/>
  <c r="AL31" i="1" s="1"/>
  <c r="D31" i="75"/>
  <c r="E31" i="75" s="1"/>
  <c r="AG28" i="7"/>
  <c r="AH28" i="7"/>
  <c r="AA31" i="7"/>
  <c r="AB31" i="7"/>
  <c r="AK26" i="7"/>
  <c r="AL26" i="7"/>
  <c r="AM26" i="7" s="1"/>
  <c r="AJ27" i="7"/>
  <c r="AI27" i="7"/>
  <c r="AF29" i="7"/>
  <c r="AE29" i="7"/>
  <c r="AC30" i="7"/>
  <c r="AD30" i="7"/>
  <c r="AO25" i="7"/>
  <c r="Y21" i="7"/>
  <c r="AR21" i="7" s="1"/>
  <c r="AS21" i="7" s="1"/>
  <c r="T23" i="7"/>
  <c r="S23" i="7"/>
  <c r="I28" i="7"/>
  <c r="J28" i="7"/>
  <c r="P25" i="7"/>
  <c r="O25" i="7"/>
  <c r="E30" i="7"/>
  <c r="F30" i="7"/>
  <c r="R24" i="7"/>
  <c r="Q24" i="7"/>
  <c r="V22" i="7"/>
  <c r="W22" i="7" s="1"/>
  <c r="U22" i="7"/>
  <c r="M26" i="7"/>
  <c r="N26" i="7"/>
  <c r="L27" i="7"/>
  <c r="K27" i="7"/>
  <c r="H29" i="7"/>
  <c r="G29" i="7"/>
  <c r="AI27" i="3"/>
  <c r="I30" i="65"/>
  <c r="E27" i="63"/>
  <c r="AD28" i="3"/>
  <c r="BE30" i="7"/>
  <c r="BG30" i="7" s="1"/>
  <c r="E28" i="82"/>
  <c r="F29" i="82"/>
  <c r="G29" i="82"/>
  <c r="E25" i="81"/>
  <c r="C25" i="63"/>
  <c r="D25" i="63" s="1"/>
  <c r="J27" i="65"/>
  <c r="D29" i="65" l="1"/>
  <c r="S28" i="76"/>
  <c r="J28" i="82"/>
  <c r="AN25" i="7"/>
  <c r="AZ28" i="5"/>
  <c r="BC28" i="5" s="1"/>
  <c r="B22" i="65"/>
  <c r="Y22" i="7"/>
  <c r="AR22" i="7" s="1"/>
  <c r="Y37" i="5"/>
  <c r="X21" i="7"/>
  <c r="BA33" i="5"/>
  <c r="BD34" i="5" s="1"/>
  <c r="U33" i="5"/>
  <c r="U37" i="5" s="1"/>
  <c r="J31" i="1"/>
  <c r="U31" i="1"/>
  <c r="U36" i="1" s="1"/>
  <c r="D32" i="75"/>
  <c r="E32" i="75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S24" i="7"/>
  <c r="T24" i="7"/>
  <c r="G30" i="7"/>
  <c r="H30" i="7"/>
  <c r="J29" i="7"/>
  <c r="I29" i="7"/>
  <c r="P26" i="7"/>
  <c r="O26" i="7"/>
  <c r="U23" i="7"/>
  <c r="V23" i="7"/>
  <c r="W23" i="7" s="1"/>
  <c r="M27" i="7"/>
  <c r="N27" i="7"/>
  <c r="R25" i="7"/>
  <c r="Q25" i="7"/>
  <c r="K28" i="7"/>
  <c r="L28" i="7"/>
  <c r="I31" i="65"/>
  <c r="E28" i="63"/>
  <c r="AD29" i="3"/>
  <c r="BE31" i="7"/>
  <c r="BG31" i="7" s="1"/>
  <c r="AI28" i="3"/>
  <c r="C26" i="63"/>
  <c r="D26" i="63" s="1"/>
  <c r="E26" i="81"/>
  <c r="J28" i="65"/>
  <c r="C23" i="3" l="1"/>
  <c r="E29" i="82"/>
  <c r="AS22" i="7"/>
  <c r="D30" i="65"/>
  <c r="BD33" i="5"/>
  <c r="AL32" i="1"/>
  <c r="AL36" i="1" s="1"/>
  <c r="S29" i="76"/>
  <c r="J29" i="82"/>
  <c r="AN26" i="7"/>
  <c r="AZ29" i="5"/>
  <c r="BC29" i="5" s="1"/>
  <c r="B23" i="65"/>
  <c r="X22" i="7"/>
  <c r="D1" i="5"/>
  <c r="AO27" i="7"/>
  <c r="Y23" i="7"/>
  <c r="AR23" i="7" s="1"/>
  <c r="AG30" i="7"/>
  <c r="AH30" i="7"/>
  <c r="AF31" i="7"/>
  <c r="AE31" i="7"/>
  <c r="AI29" i="7"/>
  <c r="AJ29" i="7"/>
  <c r="AB33" i="7"/>
  <c r="AA33" i="7"/>
  <c r="AC32" i="7"/>
  <c r="AD32" i="7"/>
  <c r="AL28" i="7"/>
  <c r="AM28" i="7" s="1"/>
  <c r="AK28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K29" i="7"/>
  <c r="L29" i="7"/>
  <c r="A30" i="63"/>
  <c r="AI29" i="3"/>
  <c r="AD30" i="3"/>
  <c r="I32" i="65"/>
  <c r="BE32" i="7"/>
  <c r="BG32" i="7" s="1"/>
  <c r="E29" i="63"/>
  <c r="J29" i="65"/>
  <c r="C27" i="63"/>
  <c r="D27" i="63" s="1"/>
  <c r="E27" i="81"/>
  <c r="AS23" i="7" l="1"/>
  <c r="D33" i="75"/>
  <c r="E33" i="75" s="1"/>
  <c r="D31" i="65"/>
  <c r="D34" i="75"/>
  <c r="E34" i="75" s="1"/>
  <c r="S30" i="76"/>
  <c r="AN27" i="7"/>
  <c r="B7" i="77"/>
  <c r="AZ31" i="5"/>
  <c r="AZ30" i="5"/>
  <c r="BC30" i="5" s="1"/>
  <c r="B24" i="65"/>
  <c r="Y24" i="7"/>
  <c r="AR24" i="7" s="1"/>
  <c r="X23" i="7"/>
  <c r="G31" i="63"/>
  <c r="AD33" i="7"/>
  <c r="AC33" i="7"/>
  <c r="AJ30" i="7"/>
  <c r="AI30" i="7"/>
  <c r="AF32" i="7"/>
  <c r="AE32" i="7"/>
  <c r="AK29" i="7"/>
  <c r="AL29" i="7"/>
  <c r="AM29" i="7" s="1"/>
  <c r="AH31" i="7"/>
  <c r="AG31" i="7"/>
  <c r="AO28" i="7"/>
  <c r="U25" i="7"/>
  <c r="V25" i="7"/>
  <c r="W25" i="7" s="1"/>
  <c r="L30" i="7"/>
  <c r="K30" i="7"/>
  <c r="M29" i="7"/>
  <c r="N29" i="7"/>
  <c r="Q27" i="7"/>
  <c r="R27" i="7"/>
  <c r="P28" i="7"/>
  <c r="O28" i="7"/>
  <c r="S26" i="7"/>
  <c r="T26" i="7"/>
  <c r="A31" i="63"/>
  <c r="AI30" i="3"/>
  <c r="E30" i="63"/>
  <c r="I33" i="65"/>
  <c r="BE33" i="7"/>
  <c r="BG33" i="7" s="1"/>
  <c r="C28" i="63"/>
  <c r="D28" i="63" s="1"/>
  <c r="E28" i="81"/>
  <c r="J30" i="65"/>
  <c r="C24" i="3" l="1"/>
  <c r="AS24" i="7"/>
  <c r="D32" i="65"/>
  <c r="S31" i="76"/>
  <c r="X24" i="7"/>
  <c r="AN28" i="7"/>
  <c r="BC31" i="5"/>
  <c r="B25" i="65"/>
  <c r="AO29" i="7"/>
  <c r="Y25" i="7"/>
  <c r="AR25" i="7" s="1"/>
  <c r="J36" i="1"/>
  <c r="AG32" i="7"/>
  <c r="AH32" i="7"/>
  <c r="AL30" i="7"/>
  <c r="AM30" i="7" s="1"/>
  <c r="AK30" i="7"/>
  <c r="AF33" i="7"/>
  <c r="AE33" i="7"/>
  <c r="AI31" i="7"/>
  <c r="AJ31" i="7"/>
  <c r="R28" i="7"/>
  <c r="Q28" i="7"/>
  <c r="V26" i="7"/>
  <c r="W26" i="7" s="1"/>
  <c r="U26" i="7"/>
  <c r="M30" i="7"/>
  <c r="N30" i="7"/>
  <c r="P29" i="7"/>
  <c r="O29" i="7"/>
  <c r="S27" i="7"/>
  <c r="T27" i="7"/>
  <c r="B31" i="63"/>
  <c r="H33" i="65"/>
  <c r="B30" i="63"/>
  <c r="D33" i="65"/>
  <c r="E31" i="63"/>
  <c r="J31" i="65"/>
  <c r="C29" i="63"/>
  <c r="D29" i="63" s="1"/>
  <c r="E29" i="81"/>
  <c r="C25" i="3" l="1"/>
  <c r="J1" i="1"/>
  <c r="AS25" i="7"/>
  <c r="D35" i="75"/>
  <c r="E35" i="75" s="1"/>
  <c r="AN29" i="7"/>
  <c r="AZ32" i="5"/>
  <c r="BC32" i="5" s="1"/>
  <c r="X25" i="7"/>
  <c r="B26" i="65"/>
  <c r="Y26" i="7"/>
  <c r="AR26" i="7" s="1"/>
  <c r="AO30" i="7"/>
  <c r="F31" i="63"/>
  <c r="AI32" i="7"/>
  <c r="AJ32" i="7"/>
  <c r="AK31" i="7"/>
  <c r="AL31" i="7"/>
  <c r="AM31" i="7" s="1"/>
  <c r="AH33" i="7"/>
  <c r="AG33" i="7"/>
  <c r="R29" i="7"/>
  <c r="Q29" i="7"/>
  <c r="P30" i="7"/>
  <c r="O30" i="7"/>
  <c r="V27" i="7"/>
  <c r="W27" i="7" s="1"/>
  <c r="U27" i="7"/>
  <c r="S28" i="7"/>
  <c r="T28" i="7"/>
  <c r="D34" i="65"/>
  <c r="J32" i="65"/>
  <c r="C30" i="63"/>
  <c r="D30" i="63" s="1"/>
  <c r="C26" i="3" l="1"/>
  <c r="AZ34" i="5"/>
  <c r="AS26" i="7"/>
  <c r="X26" i="7"/>
  <c r="AN30" i="7"/>
  <c r="AZ33" i="5"/>
  <c r="G8" i="77"/>
  <c r="AO31" i="7"/>
  <c r="B27" i="65"/>
  <c r="AJ33" i="7"/>
  <c r="AI33" i="7"/>
  <c r="AK32" i="7"/>
  <c r="AL32" i="7"/>
  <c r="AM32" i="7" s="1"/>
  <c r="V28" i="7"/>
  <c r="W28" i="7" s="1"/>
  <c r="U28" i="7"/>
  <c r="Y27" i="7"/>
  <c r="AR27" i="7" s="1"/>
  <c r="S29" i="7"/>
  <c r="T29" i="7"/>
  <c r="R30" i="7"/>
  <c r="Q30" i="7"/>
  <c r="C31" i="63"/>
  <c r="D31" i="63" s="1"/>
  <c r="J33" i="65"/>
  <c r="C27" i="3" l="1"/>
  <c r="BC34" i="5"/>
  <c r="AZ35" i="5"/>
  <c r="BC35" i="5" s="1"/>
  <c r="AZ36" i="5"/>
  <c r="AS27" i="7"/>
  <c r="BC33" i="5"/>
  <c r="AN31" i="7"/>
  <c r="C36" i="76"/>
  <c r="E9" i="77"/>
  <c r="G9" i="77" s="1"/>
  <c r="B28" i="65"/>
  <c r="AK33" i="7"/>
  <c r="AL33" i="7"/>
  <c r="AM33" i="7" s="1"/>
  <c r="AO32" i="7"/>
  <c r="Y28" i="7"/>
  <c r="AR28" i="7" s="1"/>
  <c r="X27" i="7"/>
  <c r="V29" i="7"/>
  <c r="W29" i="7" s="1"/>
  <c r="U29" i="7"/>
  <c r="S30" i="7"/>
  <c r="T30" i="7"/>
  <c r="C28" i="3" l="1"/>
  <c r="BC36" i="5"/>
  <c r="AS28" i="7"/>
  <c r="AN32" i="7"/>
  <c r="F9" i="77"/>
  <c r="B29" i="65"/>
  <c r="AO33" i="7"/>
  <c r="X28" i="7"/>
  <c r="U30" i="7"/>
  <c r="V30" i="7"/>
  <c r="W30" i="7" s="1"/>
  <c r="Y29" i="7"/>
  <c r="AR29" i="7" s="1"/>
  <c r="T31" i="7"/>
  <c r="AS29" i="7" l="1"/>
  <c r="AN33" i="7"/>
  <c r="B30" i="65"/>
  <c r="Y30" i="7"/>
  <c r="AR30" i="7" s="1"/>
  <c r="T32" i="7"/>
  <c r="U31" i="7"/>
  <c r="V31" i="7"/>
  <c r="W31" i="7" s="1"/>
  <c r="X29" i="7"/>
  <c r="C29" i="3" l="1"/>
  <c r="AS30" i="7"/>
  <c r="X30" i="7"/>
  <c r="B31" i="65"/>
  <c r="Y31" i="7"/>
  <c r="AR31" i="7" s="1"/>
  <c r="T33" i="7"/>
  <c r="V32" i="7"/>
  <c r="W32" i="7" s="1"/>
  <c r="U32" i="7"/>
  <c r="C30" i="3" l="1"/>
  <c r="AS31" i="7"/>
  <c r="B32" i="65"/>
  <c r="Y32" i="7"/>
  <c r="AR32" i="7" s="1"/>
  <c r="X31" i="7"/>
  <c r="U33" i="7"/>
  <c r="V33" i="7"/>
  <c r="W33" i="7" s="1"/>
  <c r="AS32" i="7" l="1"/>
  <c r="X32" i="7"/>
  <c r="B33" i="65"/>
  <c r="Y33" i="7"/>
  <c r="AR33" i="7" s="1"/>
  <c r="C31" i="3" l="1"/>
  <c r="B34" i="65"/>
  <c r="X33" i="7"/>
  <c r="AR43" i="7" l="1"/>
  <c r="AR44" i="7" s="1"/>
  <c r="BC34" i="7"/>
  <c r="AS34" i="7"/>
  <c r="AS33" i="7"/>
  <c r="C32" i="3" l="1"/>
  <c r="AS40" i="7"/>
  <c r="C33" i="3" l="1"/>
  <c r="C35" i="3" s="1"/>
  <c r="H31" i="63"/>
  <c r="F34" i="65"/>
  <c r="B10" i="77" l="1"/>
  <c r="AA13" i="74" l="1"/>
  <c r="AB13" i="74"/>
  <c r="O86" i="74" l="1"/>
  <c r="N86" i="74"/>
  <c r="AB23" i="74" l="1"/>
  <c r="AA23" i="74"/>
  <c r="BC20" i="7" l="1"/>
  <c r="AQ19" i="7"/>
  <c r="AQ28" i="7"/>
  <c r="BC29" i="7"/>
  <c r="AQ27" i="7"/>
  <c r="BC28" i="7"/>
  <c r="BC26" i="7"/>
  <c r="AQ25" i="7"/>
  <c r="BC31" i="7"/>
  <c r="AQ30" i="7"/>
  <c r="BC32" i="7"/>
  <c r="AQ31" i="7"/>
  <c r="AQ32" i="7"/>
  <c r="BC33" i="7"/>
  <c r="BC18" i="7"/>
  <c r="AQ17" i="7"/>
  <c r="AQ33" i="7"/>
  <c r="AQ23" i="7"/>
  <c r="BC24" i="7"/>
  <c r="BC17" i="7"/>
  <c r="AQ16" i="7"/>
  <c r="BC16" i="7"/>
  <c r="BC27" i="7"/>
  <c r="AQ26" i="7"/>
  <c r="BC30" i="7"/>
  <c r="AQ29" i="7"/>
  <c r="AQ21" i="7"/>
  <c r="BC22" i="7"/>
  <c r="BC19" i="7"/>
  <c r="AQ18" i="7"/>
  <c r="BC25" i="7"/>
  <c r="AQ24" i="7"/>
  <c r="BC23" i="7"/>
  <c r="AQ22" i="7"/>
  <c r="AQ20" i="7"/>
  <c r="BC21" i="7"/>
  <c r="I5" i="1" l="1"/>
  <c r="V5" i="1" s="1"/>
  <c r="V36" i="1" s="1"/>
  <c r="V37" i="1" s="1"/>
  <c r="AA5" i="1"/>
  <c r="AA17" i="1" l="1"/>
  <c r="W5" i="1"/>
  <c r="B5" i="65"/>
  <c r="AA18" i="1" l="1"/>
  <c r="AA19" i="1" l="1"/>
  <c r="AA20" i="1" l="1"/>
  <c r="AA21" i="1" l="1"/>
  <c r="AA22" i="1" l="1"/>
  <c r="AA24" i="1" l="1"/>
  <c r="AA25" i="1" l="1"/>
  <c r="AA26" i="1" l="1"/>
  <c r="AA27" i="1" l="1"/>
  <c r="AA28" i="1" l="1"/>
  <c r="AA29" i="1" l="1"/>
  <c r="AA31" i="1" l="1"/>
  <c r="F34" i="75" l="1"/>
  <c r="G34" i="75" s="1"/>
  <c r="C33" i="65"/>
  <c r="E33" i="65" s="1"/>
  <c r="F35" i="75" l="1"/>
  <c r="G35" i="75" s="1"/>
  <c r="C34" i="65"/>
  <c r="E34" i="65" s="1"/>
  <c r="O5" i="1" l="1"/>
  <c r="O6" i="1" s="1"/>
  <c r="O7" i="1" s="1"/>
  <c r="O8" i="1" s="1"/>
  <c r="O9" i="1" s="1"/>
  <c r="O10" i="1" s="1"/>
  <c r="O11" i="1" s="1"/>
  <c r="O12" i="1" s="1"/>
  <c r="O13" i="1" l="1"/>
  <c r="O14" i="1" s="1"/>
  <c r="O15" i="1" s="1"/>
  <c r="O16" i="1" s="1"/>
  <c r="O19" i="1" l="1"/>
  <c r="O20" i="1" s="1"/>
  <c r="O21" i="1" s="1"/>
  <c r="O22" i="1" s="1"/>
  <c r="O17" i="1"/>
  <c r="O23" i="1" l="1"/>
  <c r="O24" i="1" s="1"/>
  <c r="O25" i="1" l="1"/>
  <c r="O26" i="1" s="1"/>
  <c r="O27" i="1" s="1"/>
  <c r="O28" i="1" s="1"/>
  <c r="O29" i="1" s="1"/>
  <c r="O30" i="1" l="1"/>
  <c r="O31" i="1" s="1"/>
  <c r="O32" i="1" s="1"/>
  <c r="O33" i="1" s="1"/>
  <c r="O34" i="1" s="1"/>
  <c r="O35" i="1" s="1"/>
  <c r="G34" i="65"/>
  <c r="I31" i="63" l="1"/>
  <c r="BC7" i="5" l="1"/>
  <c r="BC8" i="5"/>
  <c r="U17" i="3" l="1"/>
  <c r="D18" i="77" l="1"/>
  <c r="H16" i="82" l="1"/>
  <c r="C16" i="63"/>
  <c r="D16" i="63" s="1"/>
  <c r="S18" i="76" l="1"/>
  <c r="E16" i="81"/>
  <c r="J19" i="65" l="1"/>
  <c r="H7" i="82"/>
  <c r="H11" i="82"/>
  <c r="H4" i="82"/>
  <c r="H3" i="82"/>
  <c r="H5" i="82"/>
  <c r="H8" i="82"/>
  <c r="H6" i="82"/>
  <c r="H9" i="82"/>
  <c r="H10" i="82"/>
  <c r="N5" i="2"/>
  <c r="S5" i="76" s="1"/>
  <c r="N10" i="2"/>
  <c r="R10" i="2" s="1"/>
  <c r="C4" i="63"/>
  <c r="D4" i="63" s="1"/>
  <c r="E5" i="81"/>
  <c r="N11" i="2"/>
  <c r="S11" i="76" s="1"/>
  <c r="N13" i="2"/>
  <c r="R13" i="2" s="1"/>
  <c r="N12" i="2"/>
  <c r="R12" i="2" s="1"/>
  <c r="N9" i="2"/>
  <c r="E7" i="81" s="1"/>
  <c r="N8" i="2"/>
  <c r="E6" i="81" s="1"/>
  <c r="E9" i="81" l="1"/>
  <c r="R11" i="2"/>
  <c r="S7" i="76"/>
  <c r="S8" i="76"/>
  <c r="S12" i="76"/>
  <c r="R7" i="2"/>
  <c r="C6" i="63"/>
  <c r="D6" i="63" s="1"/>
  <c r="J13" i="65"/>
  <c r="J11" i="65"/>
  <c r="J14" i="65"/>
  <c r="E3" i="81"/>
  <c r="S9" i="76"/>
  <c r="S13" i="76"/>
  <c r="S6" i="76"/>
  <c r="S10" i="76"/>
  <c r="C3" i="63"/>
  <c r="D3" i="63" s="1"/>
  <c r="R6" i="2"/>
  <c r="C10" i="63"/>
  <c r="D10" i="63" s="1"/>
  <c r="C9" i="63"/>
  <c r="D9" i="63" s="1"/>
  <c r="C8" i="63"/>
  <c r="D8" i="63" s="1"/>
  <c r="E11" i="81"/>
  <c r="R9" i="2"/>
  <c r="E10" i="81"/>
  <c r="E4" i="81"/>
  <c r="C11" i="63"/>
  <c r="D11" i="63" s="1"/>
  <c r="R5" i="2"/>
  <c r="R8" i="2"/>
  <c r="C5" i="63"/>
  <c r="D5" i="63" s="1"/>
  <c r="C7" i="63"/>
  <c r="D7" i="63" s="1"/>
  <c r="E8" i="81"/>
  <c r="J8" i="65" l="1"/>
  <c r="J12" i="65"/>
  <c r="J7" i="65"/>
  <c r="J9" i="65"/>
  <c r="J6" i="65"/>
  <c r="J10" i="65"/>
  <c r="R14" i="2"/>
  <c r="E12" i="81" l="1"/>
  <c r="C12" i="63"/>
  <c r="D12" i="63" s="1"/>
  <c r="S14" i="76"/>
  <c r="H12" i="82"/>
  <c r="J15" i="65" l="1"/>
  <c r="C6" i="5" l="1"/>
  <c r="C7" i="5" l="1"/>
  <c r="G3" i="63"/>
  <c r="I6" i="5"/>
  <c r="D6" i="5"/>
  <c r="E6" i="5"/>
  <c r="J6" i="5" l="1"/>
  <c r="L2" i="81" s="1"/>
  <c r="K2" i="81"/>
  <c r="E7" i="5"/>
  <c r="G4" i="63"/>
  <c r="D7" i="5"/>
  <c r="I7" i="5"/>
  <c r="C8" i="5"/>
  <c r="J7" i="5" l="1"/>
  <c r="L3" i="81" s="1"/>
  <c r="K3" i="81"/>
  <c r="C9" i="5"/>
  <c r="I8" i="5"/>
  <c r="D8" i="5"/>
  <c r="E8" i="5"/>
  <c r="G5" i="63"/>
  <c r="C10" i="5" l="1"/>
  <c r="D9" i="5"/>
  <c r="G6" i="63"/>
  <c r="I9" i="5"/>
  <c r="E9" i="5"/>
  <c r="J8" i="5"/>
  <c r="L4" i="81" s="1"/>
  <c r="K4" i="81"/>
  <c r="K5" i="81" l="1"/>
  <c r="J9" i="5"/>
  <c r="L5" i="81" s="1"/>
  <c r="C11" i="5"/>
  <c r="E10" i="5"/>
  <c r="I10" i="5"/>
  <c r="D10" i="5"/>
  <c r="G7" i="63"/>
  <c r="J10" i="5" l="1"/>
  <c r="L6" i="81" s="1"/>
  <c r="K6" i="81"/>
  <c r="C12" i="5"/>
  <c r="E11" i="5"/>
  <c r="G8" i="63"/>
  <c r="D11" i="5"/>
  <c r="I11" i="5"/>
  <c r="K7" i="81" l="1"/>
  <c r="J11" i="5"/>
  <c r="L7" i="81" s="1"/>
  <c r="D12" i="5"/>
  <c r="I12" i="5"/>
  <c r="E12" i="5"/>
  <c r="G9" i="63"/>
  <c r="C13" i="5"/>
  <c r="K8" i="81" l="1"/>
  <c r="J12" i="5"/>
  <c r="L8" i="81" s="1"/>
  <c r="C14" i="5"/>
  <c r="E13" i="5"/>
  <c r="G10" i="63"/>
  <c r="D13" i="5"/>
  <c r="I13" i="5"/>
  <c r="J13" i="5" l="1"/>
  <c r="L9" i="81" s="1"/>
  <c r="K9" i="81"/>
  <c r="C15" i="5"/>
  <c r="E14" i="5"/>
  <c r="G11" i="63"/>
  <c r="D14" i="5"/>
  <c r="I14" i="5"/>
  <c r="D15" i="5" l="1"/>
  <c r="E15" i="5"/>
  <c r="I15" i="5"/>
  <c r="G12" i="63"/>
  <c r="K10" i="81"/>
  <c r="J14" i="5"/>
  <c r="L10" i="81" s="1"/>
  <c r="C16" i="5"/>
  <c r="C17" i="5" l="1"/>
  <c r="J15" i="5"/>
  <c r="L11" i="81" s="1"/>
  <c r="K11" i="81"/>
  <c r="G13" i="63"/>
  <c r="I16" i="5"/>
  <c r="E16" i="5"/>
  <c r="D16" i="5"/>
  <c r="C18" i="5" l="1"/>
  <c r="D17" i="5"/>
  <c r="I17" i="5"/>
  <c r="G14" i="63"/>
  <c r="E17" i="5"/>
  <c r="J16" i="5"/>
  <c r="L12" i="81" s="1"/>
  <c r="K12" i="81"/>
  <c r="J17" i="5" l="1"/>
  <c r="L13" i="81" s="1"/>
  <c r="K13" i="81"/>
  <c r="D18" i="5"/>
  <c r="E18" i="5"/>
  <c r="G15" i="63"/>
  <c r="I18" i="5"/>
  <c r="C19" i="5"/>
  <c r="J18" i="5" l="1"/>
  <c r="L14" i="81" s="1"/>
  <c r="K14" i="81"/>
  <c r="D19" i="5"/>
  <c r="I19" i="5"/>
  <c r="G16" i="63"/>
  <c r="E19" i="5"/>
  <c r="C20" i="5"/>
  <c r="G2" i="63"/>
  <c r="E20" i="5" l="1"/>
  <c r="I20" i="5"/>
  <c r="G17" i="63"/>
  <c r="D20" i="5"/>
  <c r="K15" i="81"/>
  <c r="J19" i="5"/>
  <c r="L15" i="81" s="1"/>
  <c r="C21" i="5"/>
  <c r="J20" i="5" l="1"/>
  <c r="L16" i="81" s="1"/>
  <c r="K16" i="81"/>
  <c r="C22" i="5"/>
  <c r="G18" i="63"/>
  <c r="I21" i="5"/>
  <c r="E21" i="5"/>
  <c r="D21" i="5"/>
  <c r="J21" i="5" l="1"/>
  <c r="L17" i="81" s="1"/>
  <c r="K17" i="81"/>
  <c r="C23" i="5"/>
  <c r="D22" i="5"/>
  <c r="E22" i="5"/>
  <c r="I22" i="5"/>
  <c r="G19" i="63"/>
  <c r="G20" i="63" l="1"/>
  <c r="I23" i="5"/>
  <c r="D23" i="5"/>
  <c r="E23" i="5"/>
  <c r="C24" i="5"/>
  <c r="J22" i="5"/>
  <c r="L18" i="81" s="1"/>
  <c r="K18" i="81"/>
  <c r="C25" i="5" l="1"/>
  <c r="K19" i="81"/>
  <c r="J23" i="5"/>
  <c r="L19" i="81" s="1"/>
  <c r="I24" i="5"/>
  <c r="D24" i="5"/>
  <c r="E24" i="5"/>
  <c r="G21" i="63"/>
  <c r="G22" i="63" l="1"/>
  <c r="I25" i="5"/>
  <c r="E25" i="5"/>
  <c r="D25" i="5"/>
  <c r="C26" i="5"/>
  <c r="J24" i="5"/>
  <c r="L20" i="81" s="1"/>
  <c r="K20" i="81"/>
  <c r="D26" i="5" l="1"/>
  <c r="E26" i="5"/>
  <c r="I26" i="5"/>
  <c r="G23" i="63"/>
  <c r="C27" i="5"/>
  <c r="J25" i="5"/>
  <c r="L21" i="81" s="1"/>
  <c r="K21" i="81"/>
  <c r="K22" i="81" l="1"/>
  <c r="J26" i="5"/>
  <c r="L22" i="81" s="1"/>
  <c r="E27" i="5"/>
  <c r="I27" i="5"/>
  <c r="D27" i="5"/>
  <c r="G24" i="63"/>
  <c r="C28" i="5"/>
  <c r="E28" i="5" l="1"/>
  <c r="I28" i="5"/>
  <c r="D28" i="5"/>
  <c r="G25" i="63"/>
  <c r="C29" i="5"/>
  <c r="K23" i="81"/>
  <c r="J27" i="5"/>
  <c r="L23" i="81" s="1"/>
  <c r="D29" i="5" l="1"/>
  <c r="G26" i="63"/>
  <c r="I29" i="5"/>
  <c r="E29" i="5"/>
  <c r="C30" i="5"/>
  <c r="J28" i="5"/>
  <c r="L24" i="81" s="1"/>
  <c r="K24" i="81"/>
  <c r="J29" i="5" l="1"/>
  <c r="L25" i="81" s="1"/>
  <c r="K25" i="81"/>
  <c r="C31" i="5"/>
  <c r="G27" i="63"/>
  <c r="D30" i="5"/>
  <c r="E30" i="5"/>
  <c r="I30" i="5"/>
  <c r="K26" i="81" l="1"/>
  <c r="J30" i="5"/>
  <c r="L26" i="81" s="1"/>
  <c r="I31" i="5"/>
  <c r="D31" i="5"/>
  <c r="G28" i="63"/>
  <c r="E31" i="5"/>
  <c r="C32" i="5"/>
  <c r="C34" i="5" l="1"/>
  <c r="C33" i="5"/>
  <c r="J31" i="5"/>
  <c r="L27" i="81" s="1"/>
  <c r="K27" i="81"/>
  <c r="I32" i="5"/>
  <c r="D32" i="5"/>
  <c r="G29" i="63"/>
  <c r="E32" i="5"/>
  <c r="I34" i="5" l="1"/>
  <c r="E34" i="5"/>
  <c r="D34" i="5"/>
  <c r="C36" i="5"/>
  <c r="C35" i="5"/>
  <c r="K28" i="81"/>
  <c r="J32" i="5"/>
  <c r="L28" i="81" s="1"/>
  <c r="I33" i="5"/>
  <c r="E33" i="5"/>
  <c r="E38" i="5" s="1"/>
  <c r="G30" i="63"/>
  <c r="I30" i="63" s="1"/>
  <c r="D33" i="5"/>
  <c r="D36" i="5" l="1"/>
  <c r="I36" i="5"/>
  <c r="K32" i="81" s="1"/>
  <c r="E36" i="5"/>
  <c r="E35" i="5"/>
  <c r="D35" i="5"/>
  <c r="I35" i="5"/>
  <c r="J34" i="5"/>
  <c r="L30" i="81" s="1"/>
  <c r="K30" i="81"/>
  <c r="J33" i="5"/>
  <c r="L29" i="81" s="1"/>
  <c r="K29" i="81"/>
  <c r="J35" i="5" l="1"/>
  <c r="L31" i="81" s="1"/>
  <c r="K31" i="81"/>
  <c r="J36" i="5"/>
  <c r="L32" i="81" s="1"/>
  <c r="C37" i="5"/>
  <c r="D39" i="5"/>
  <c r="D37" i="5" l="1"/>
  <c r="I37" i="5"/>
  <c r="C38" i="5"/>
  <c r="B6" i="77"/>
  <c r="AJ39" i="5" l="1"/>
  <c r="AM39" i="5" s="1"/>
  <c r="H39" i="5"/>
  <c r="D6" i="77"/>
  <c r="E6" i="77" s="1"/>
  <c r="G6" i="77"/>
  <c r="G39" i="5"/>
  <c r="I38" i="5"/>
  <c r="K39" i="5" l="1"/>
  <c r="F6" i="77"/>
  <c r="B36" i="74" l="1"/>
  <c r="B39" i="74"/>
  <c r="AJ6" i="5" l="1"/>
  <c r="K2" i="82" s="1"/>
  <c r="AA6" i="5"/>
  <c r="AJ7" i="5" l="1"/>
  <c r="K3" i="82" s="1"/>
  <c r="AA7" i="5"/>
  <c r="AJ8" i="5" l="1"/>
  <c r="K4" i="82" s="1"/>
  <c r="AA8" i="5"/>
  <c r="AJ9" i="5" l="1"/>
  <c r="K5" i="82" s="1"/>
  <c r="AA9" i="5"/>
  <c r="AA10" i="5" l="1"/>
  <c r="AJ10" i="5"/>
  <c r="K6" i="82" s="1"/>
  <c r="AJ11" i="5" l="1"/>
  <c r="K7" i="82" s="1"/>
  <c r="AA11" i="5"/>
  <c r="AA12" i="5" l="1"/>
  <c r="AJ12" i="5"/>
  <c r="K8" i="82" s="1"/>
  <c r="AA13" i="5" l="1"/>
  <c r="AJ13" i="5"/>
  <c r="K9" i="82" s="1"/>
  <c r="AJ14" i="5" l="1"/>
  <c r="K10" i="82" s="1"/>
  <c r="AA14" i="5"/>
  <c r="AA15" i="5" l="1"/>
  <c r="AJ15" i="5"/>
  <c r="K11" i="82" s="1"/>
  <c r="AJ16" i="5" l="1"/>
  <c r="K12" i="82" s="1"/>
  <c r="AA16" i="5"/>
  <c r="AA17" i="5" l="1"/>
  <c r="AJ17" i="5"/>
  <c r="K13" i="82" s="1"/>
  <c r="AJ18" i="5" l="1"/>
  <c r="K14" i="82" s="1"/>
  <c r="AA18" i="5"/>
  <c r="AA19" i="5" l="1"/>
  <c r="AJ19" i="5"/>
  <c r="K15" i="82" s="1"/>
  <c r="AA20" i="5" l="1"/>
  <c r="AJ20" i="5"/>
  <c r="K16" i="82" s="1"/>
  <c r="AJ21" i="5" l="1"/>
  <c r="K17" i="82" s="1"/>
  <c r="AA21" i="5"/>
  <c r="AA22" i="5" l="1"/>
  <c r="AJ22" i="5"/>
  <c r="K18" i="82" s="1"/>
  <c r="AJ23" i="5" l="1"/>
  <c r="K19" i="82" s="1"/>
  <c r="AA23" i="5"/>
  <c r="AJ24" i="5" l="1"/>
  <c r="K20" i="82" s="1"/>
  <c r="AA24" i="5"/>
  <c r="AJ25" i="5" l="1"/>
  <c r="K21" i="82" s="1"/>
  <c r="AA25" i="5"/>
  <c r="AA26" i="5" l="1"/>
  <c r="AJ26" i="5"/>
  <c r="K22" i="82" s="1"/>
  <c r="AJ27" i="5" l="1"/>
  <c r="K23" i="82" s="1"/>
  <c r="AA27" i="5"/>
  <c r="AA28" i="5" l="1"/>
  <c r="AJ28" i="5"/>
  <c r="K24" i="82" s="1"/>
  <c r="AA29" i="5" l="1"/>
  <c r="AJ29" i="5"/>
  <c r="K25" i="82" s="1"/>
  <c r="AA30" i="5" l="1"/>
  <c r="AJ30" i="5"/>
  <c r="K26" i="82" s="1"/>
  <c r="AJ31" i="5" l="1"/>
  <c r="K27" i="82" s="1"/>
  <c r="AA31" i="5"/>
  <c r="AJ32" i="5" l="1"/>
  <c r="K28" i="82" s="1"/>
  <c r="AA32" i="5"/>
  <c r="AA34" i="5" l="1"/>
  <c r="AJ34" i="5"/>
  <c r="K30" i="82" s="1"/>
  <c r="AA33" i="5"/>
  <c r="AJ33" i="5"/>
  <c r="AJ35" i="5" l="1"/>
  <c r="K31" i="82" s="1"/>
  <c r="AA35" i="5"/>
  <c r="K29" i="82"/>
  <c r="AJ36" i="5" l="1"/>
  <c r="K32" i="82" s="1"/>
  <c r="AA36" i="5"/>
  <c r="AJ37" i="5" l="1"/>
  <c r="Z38" i="5" s="1"/>
  <c r="AF5" i="1" l="1"/>
  <c r="AH5" i="1" s="1"/>
  <c r="F5" i="75"/>
  <c r="G5" i="75" s="1"/>
  <c r="C5" i="65" l="1"/>
  <c r="E5" i="65" s="1"/>
  <c r="AI5" i="1"/>
  <c r="AF6" i="1"/>
  <c r="AH6" i="1" s="1"/>
  <c r="AF7" i="1" l="1"/>
  <c r="AH7" i="1" s="1"/>
  <c r="C6" i="65"/>
  <c r="E6" i="65" s="1"/>
  <c r="AI6" i="1"/>
  <c r="AW7" i="7" s="1"/>
  <c r="AW6" i="7"/>
  <c r="AF8" i="1" l="1"/>
  <c r="AH8" i="1" s="1"/>
  <c r="AI7" i="1"/>
  <c r="AW8" i="7" s="1"/>
  <c r="C7" i="65"/>
  <c r="E7" i="65" s="1"/>
  <c r="AJ6" i="1"/>
  <c r="AK6" i="1" s="1"/>
  <c r="G3" i="81"/>
  <c r="AX7" i="7"/>
  <c r="AX6" i="7"/>
  <c r="Q4" i="76" s="1"/>
  <c r="G2" i="81"/>
  <c r="AJ5" i="1"/>
  <c r="AK5" i="1" s="1"/>
  <c r="AF9" i="1" l="1"/>
  <c r="AH9" i="1" s="1"/>
  <c r="C8" i="65"/>
  <c r="E8" i="65" s="1"/>
  <c r="AI8" i="1"/>
  <c r="BJ7" i="7"/>
  <c r="AY7" i="7"/>
  <c r="Q5" i="76"/>
  <c r="G4" i="81"/>
  <c r="AJ7" i="1"/>
  <c r="AK7" i="1" s="1"/>
  <c r="AX8" i="7"/>
  <c r="BJ6" i="7"/>
  <c r="AY6" i="7"/>
  <c r="C9" i="65" l="1"/>
  <c r="E9" i="65" s="1"/>
  <c r="AI9" i="1"/>
  <c r="AW10" i="7" s="1"/>
  <c r="AW9" i="7"/>
  <c r="AF10" i="1"/>
  <c r="AH10" i="1" s="1"/>
  <c r="Q6" i="76"/>
  <c r="BJ8" i="7"/>
  <c r="AY8" i="7"/>
  <c r="AI10" i="1" l="1"/>
  <c r="C10" i="65"/>
  <c r="E10" i="65" s="1"/>
  <c r="AJ9" i="1"/>
  <c r="AK9" i="1" s="1"/>
  <c r="AX10" i="7"/>
  <c r="G6" i="81"/>
  <c r="AF11" i="1"/>
  <c r="AH11" i="1" s="1"/>
  <c r="AJ8" i="1"/>
  <c r="AK8" i="1" s="1"/>
  <c r="AX9" i="7"/>
  <c r="G5" i="81"/>
  <c r="AW11" i="7" l="1"/>
  <c r="AI11" i="1"/>
  <c r="AW12" i="7" s="1"/>
  <c r="C11" i="65"/>
  <c r="E11" i="65" s="1"/>
  <c r="AF12" i="1"/>
  <c r="AH12" i="1" s="1"/>
  <c r="Q8" i="76"/>
  <c r="BJ10" i="7"/>
  <c r="AY10" i="7"/>
  <c r="AY9" i="7"/>
  <c r="Q7" i="76"/>
  <c r="BJ9" i="7"/>
  <c r="AX11" i="7" l="1"/>
  <c r="AJ10" i="1"/>
  <c r="AK10" i="1" s="1"/>
  <c r="G7" i="81"/>
  <c r="AJ11" i="1"/>
  <c r="AK11" i="1" s="1"/>
  <c r="AX12" i="7"/>
  <c r="G8" i="81"/>
  <c r="AF13" i="1"/>
  <c r="AH13" i="1" s="1"/>
  <c r="AI12" i="1"/>
  <c r="C12" i="65"/>
  <c r="E12" i="65" s="1"/>
  <c r="AH14" i="1" l="1"/>
  <c r="C13" i="65"/>
  <c r="E13" i="65" s="1"/>
  <c r="AI13" i="1"/>
  <c r="AW14" i="7" s="1"/>
  <c r="AW13" i="7"/>
  <c r="Q9" i="76"/>
  <c r="AY11" i="7"/>
  <c r="BJ11" i="7"/>
  <c r="BJ12" i="7"/>
  <c r="Q10" i="76"/>
  <c r="AY12" i="7"/>
  <c r="AI14" i="1" l="1"/>
  <c r="AW15" i="7" s="1"/>
  <c r="C14" i="65"/>
  <c r="E14" i="65" s="1"/>
  <c r="AX14" i="7"/>
  <c r="AJ13" i="1"/>
  <c r="AK13" i="1" s="1"/>
  <c r="G10" i="81"/>
  <c r="AH15" i="1"/>
  <c r="AX13" i="7"/>
  <c r="Q11" i="76" s="1"/>
  <c r="AJ12" i="1"/>
  <c r="AK12" i="1" s="1"/>
  <c r="G9" i="81"/>
  <c r="Q12" i="76" l="1"/>
  <c r="AY14" i="7"/>
  <c r="BJ14" i="7"/>
  <c r="C15" i="65"/>
  <c r="E15" i="65" s="1"/>
  <c r="AI15" i="1"/>
  <c r="AW16" i="7" s="1"/>
  <c r="G11" i="81"/>
  <c r="AJ14" i="1"/>
  <c r="AK14" i="1" s="1"/>
  <c r="AX15" i="7"/>
  <c r="Q13" i="76" s="1"/>
  <c r="BJ13" i="7"/>
  <c r="AY13" i="7"/>
  <c r="AH16" i="1"/>
  <c r="C16" i="65" l="1"/>
  <c r="E16" i="65" s="1"/>
  <c r="AI16" i="1"/>
  <c r="AW17" i="7" s="1"/>
  <c r="AH17" i="1"/>
  <c r="BJ15" i="7"/>
  <c r="AY15" i="7"/>
  <c r="AX16" i="7"/>
  <c r="AJ15" i="1"/>
  <c r="AK15" i="1" s="1"/>
  <c r="G12" i="81"/>
  <c r="AY16" i="7" l="1"/>
  <c r="BJ16" i="7"/>
  <c r="Q14" i="76"/>
  <c r="AX17" i="7"/>
  <c r="AJ16" i="1"/>
  <c r="AK16" i="1" s="1"/>
  <c r="G13" i="81"/>
  <c r="AI17" i="1"/>
  <c r="AW18" i="7" s="1"/>
  <c r="C17" i="65"/>
  <c r="E17" i="65" s="1"/>
  <c r="AF18" i="1"/>
  <c r="AH18" i="1" s="1"/>
  <c r="G14" i="81" l="1"/>
  <c r="AJ17" i="1"/>
  <c r="AK17" i="1" s="1"/>
  <c r="AX18" i="7"/>
  <c r="BJ17" i="7"/>
  <c r="Q15" i="76"/>
  <c r="AY17" i="7"/>
  <c r="AF19" i="1"/>
  <c r="AH19" i="1" s="1"/>
  <c r="AI18" i="1"/>
  <c r="AW19" i="7" s="1"/>
  <c r="C18" i="65"/>
  <c r="E18" i="65" s="1"/>
  <c r="AX19" i="7" l="1"/>
  <c r="G15" i="81"/>
  <c r="AJ18" i="1"/>
  <c r="AK18" i="1" s="1"/>
  <c r="AF20" i="1"/>
  <c r="AH20" i="1" s="1"/>
  <c r="BJ18" i="7"/>
  <c r="Q16" i="76"/>
  <c r="AY18" i="7"/>
  <c r="C19" i="65"/>
  <c r="E19" i="65" s="1"/>
  <c r="AI19" i="1"/>
  <c r="AW20" i="7" s="1"/>
  <c r="AX20" i="7" s="1"/>
  <c r="AF21" i="1" l="1"/>
  <c r="AH21" i="1" s="1"/>
  <c r="AY19" i="7"/>
  <c r="BJ19" i="7"/>
  <c r="Q17" i="76"/>
  <c r="C20" i="65"/>
  <c r="E20" i="65" s="1"/>
  <c r="AI20" i="1"/>
  <c r="AW21" i="7" s="1"/>
  <c r="AJ19" i="1"/>
  <c r="AK19" i="1" s="1"/>
  <c r="G16" i="81"/>
  <c r="AX21" i="7" l="1"/>
  <c r="G17" i="81"/>
  <c r="AJ20" i="1"/>
  <c r="AK20" i="1" s="1"/>
  <c r="AF22" i="1"/>
  <c r="AH22" i="1" s="1"/>
  <c r="AI21" i="1"/>
  <c r="AW22" i="7" s="1"/>
  <c r="AX22" i="7" s="1"/>
  <c r="C21" i="65"/>
  <c r="E21" i="65" s="1"/>
  <c r="AY20" i="7"/>
  <c r="Q18" i="76"/>
  <c r="BJ20" i="7"/>
  <c r="C22" i="65" l="1"/>
  <c r="E22" i="65" s="1"/>
  <c r="AI22" i="1"/>
  <c r="AW23" i="7" s="1"/>
  <c r="Q19" i="76"/>
  <c r="AY21" i="7"/>
  <c r="BJ21" i="7"/>
  <c r="AF23" i="1"/>
  <c r="AH23" i="1" s="1"/>
  <c r="AJ21" i="1"/>
  <c r="AK21" i="1" s="1"/>
  <c r="G18" i="81"/>
  <c r="AF24" i="1" l="1"/>
  <c r="AH24" i="1" s="1"/>
  <c r="AY22" i="7"/>
  <c r="Q20" i="76"/>
  <c r="BJ22" i="7"/>
  <c r="AX23" i="7"/>
  <c r="AJ22" i="1"/>
  <c r="AK22" i="1" s="1"/>
  <c r="G19" i="81"/>
  <c r="AI23" i="1"/>
  <c r="AW24" i="7" s="1"/>
  <c r="C23" i="65"/>
  <c r="E23" i="65" s="1"/>
  <c r="AF25" i="1" l="1"/>
  <c r="AH25" i="1" s="1"/>
  <c r="AI24" i="1"/>
  <c r="AW25" i="7" s="1"/>
  <c r="C24" i="65"/>
  <c r="E24" i="65" s="1"/>
  <c r="AY23" i="7"/>
  <c r="Q21" i="76"/>
  <c r="BJ23" i="7"/>
  <c r="AX24" i="7"/>
  <c r="AJ23" i="1"/>
  <c r="AK23" i="1" s="1"/>
  <c r="G20" i="81"/>
  <c r="AF26" i="1" l="1"/>
  <c r="AH26" i="1" s="1"/>
  <c r="AX25" i="7"/>
  <c r="G21" i="81"/>
  <c r="AJ24" i="1"/>
  <c r="AK24" i="1" s="1"/>
  <c r="AI25" i="1"/>
  <c r="AW26" i="7" s="1"/>
  <c r="C25" i="65"/>
  <c r="E25" i="65" s="1"/>
  <c r="AY24" i="7"/>
  <c r="Q22" i="76"/>
  <c r="BJ24" i="7"/>
  <c r="AF27" i="1" l="1"/>
  <c r="AH27" i="1" s="1"/>
  <c r="C26" i="65"/>
  <c r="E26" i="65" s="1"/>
  <c r="AI26" i="1"/>
  <c r="AW27" i="7" s="1"/>
  <c r="AX26" i="7"/>
  <c r="AJ25" i="1"/>
  <c r="AK25" i="1" s="1"/>
  <c r="G22" i="81"/>
  <c r="AY25" i="7"/>
  <c r="BJ25" i="7"/>
  <c r="Q23" i="76"/>
  <c r="BJ26" i="7" l="1"/>
  <c r="Q24" i="76"/>
  <c r="AY26" i="7"/>
  <c r="AX27" i="7"/>
  <c r="G23" i="81"/>
  <c r="AJ26" i="1"/>
  <c r="AK26" i="1" s="1"/>
  <c r="AI27" i="1"/>
  <c r="AW28" i="7" s="1"/>
  <c r="C27" i="65"/>
  <c r="E27" i="65" s="1"/>
  <c r="AF28" i="1"/>
  <c r="AH28" i="1" s="1"/>
  <c r="W6" i="5"/>
  <c r="AL6" i="5" s="1"/>
  <c r="AX28" i="7" l="1"/>
  <c r="G24" i="81"/>
  <c r="AJ27" i="1"/>
  <c r="AK27" i="1" s="1"/>
  <c r="AY27" i="7"/>
  <c r="Q25" i="76"/>
  <c r="BJ27" i="7"/>
  <c r="AI28" i="1"/>
  <c r="AW29" i="7" s="1"/>
  <c r="C28" i="65"/>
  <c r="E28" i="65" s="1"/>
  <c r="W7" i="5"/>
  <c r="AL7" i="5" s="1"/>
  <c r="AF29" i="1"/>
  <c r="AH29" i="1" s="1"/>
  <c r="AF30" i="1" l="1"/>
  <c r="AH30" i="1" s="1"/>
  <c r="Q26" i="76"/>
  <c r="AY28" i="7"/>
  <c r="BJ28" i="7"/>
  <c r="AI29" i="1"/>
  <c r="AW30" i="7" s="1"/>
  <c r="C29" i="65"/>
  <c r="E29" i="65" s="1"/>
  <c r="W8" i="5"/>
  <c r="AL8" i="5" s="1"/>
  <c r="AJ28" i="1"/>
  <c r="AK28" i="1" s="1"/>
  <c r="AX29" i="7"/>
  <c r="G25" i="81"/>
  <c r="AI30" i="1" l="1"/>
  <c r="AW31" i="7" s="1"/>
  <c r="C30" i="65"/>
  <c r="E30" i="65" s="1"/>
  <c r="AF31" i="1"/>
  <c r="AH31" i="1" s="1"/>
  <c r="AJ29" i="1"/>
  <c r="AK29" i="1" s="1"/>
  <c r="AX30" i="7"/>
  <c r="G26" i="81"/>
  <c r="W9" i="5"/>
  <c r="AL9" i="5" s="1"/>
  <c r="BJ29" i="7"/>
  <c r="AY29" i="7"/>
  <c r="Q27" i="76"/>
  <c r="AF32" i="1" l="1"/>
  <c r="AH32" i="1" s="1"/>
  <c r="C32" i="65" s="1"/>
  <c r="E32" i="65" s="1"/>
  <c r="AX31" i="7"/>
  <c r="G27" i="81"/>
  <c r="AJ30" i="1"/>
  <c r="AK30" i="1" s="1"/>
  <c r="W10" i="5"/>
  <c r="AL10" i="5" s="1"/>
  <c r="BJ30" i="7"/>
  <c r="Q28" i="76"/>
  <c r="AY30" i="7"/>
  <c r="AI31" i="1"/>
  <c r="AW32" i="7" s="1"/>
  <c r="C31" i="65"/>
  <c r="E31" i="65" s="1"/>
  <c r="AI32" i="1" l="1"/>
  <c r="AW33" i="7" s="1"/>
  <c r="AF33" i="1"/>
  <c r="AH33" i="1" s="1"/>
  <c r="AI33" i="1" s="1"/>
  <c r="AY31" i="7"/>
  <c r="Q29" i="76"/>
  <c r="BJ31" i="7"/>
  <c r="G28" i="81"/>
  <c r="AJ31" i="1"/>
  <c r="AK31" i="1" s="1"/>
  <c r="AX32" i="7"/>
  <c r="W11" i="5"/>
  <c r="AL11" i="5" s="1"/>
  <c r="AW34" i="7" l="1"/>
  <c r="AF35" i="1"/>
  <c r="AH35" i="1" s="1"/>
  <c r="AI35" i="1" s="1"/>
  <c r="AF34" i="1"/>
  <c r="AH34" i="1" s="1"/>
  <c r="W12" i="5"/>
  <c r="AL12" i="5" s="1"/>
  <c r="G29" i="81"/>
  <c r="AX33" i="7"/>
  <c r="AJ32" i="1"/>
  <c r="AK32" i="1" s="1"/>
  <c r="BJ32" i="7"/>
  <c r="Q30" i="76"/>
  <c r="AY32" i="7"/>
  <c r="AW36" i="7" l="1"/>
  <c r="G32" i="81" s="1"/>
  <c r="AJ33" i="1"/>
  <c r="AK33" i="1" s="1"/>
  <c r="G30" i="81"/>
  <c r="AX34" i="7"/>
  <c r="AI34" i="1"/>
  <c r="AW35" i="7" s="1"/>
  <c r="AH36" i="1"/>
  <c r="W13" i="5"/>
  <c r="AL13" i="5" s="1"/>
  <c r="BJ33" i="7"/>
  <c r="AY33" i="7"/>
  <c r="Q31" i="76"/>
  <c r="G31" i="81" l="1"/>
  <c r="AJ34" i="1"/>
  <c r="AK34" i="1" s="1"/>
  <c r="AX35" i="7"/>
  <c r="AJ35" i="1"/>
  <c r="AK35" i="1" s="1"/>
  <c r="AX36" i="7"/>
  <c r="AY34" i="7"/>
  <c r="BJ34" i="7"/>
  <c r="Q32" i="76"/>
  <c r="AI37" i="1"/>
  <c r="W14" i="5"/>
  <c r="AL14" i="5" s="1"/>
  <c r="AX37" i="7" l="1"/>
  <c r="AX42" i="7" s="1"/>
  <c r="AY35" i="7"/>
  <c r="BJ35" i="7"/>
  <c r="Q33" i="76"/>
  <c r="BJ36" i="7"/>
  <c r="AY36" i="7"/>
  <c r="Q34" i="76"/>
  <c r="W15" i="5"/>
  <c r="AL15" i="5" s="1"/>
  <c r="AY37" i="7" l="1"/>
  <c r="W16" i="5"/>
  <c r="AL16" i="5" s="1"/>
  <c r="K3" i="3" l="1"/>
  <c r="W17" i="5"/>
  <c r="AL17" i="5" s="1"/>
  <c r="F2" i="63"/>
  <c r="W18" i="5" l="1"/>
  <c r="AL18" i="5" s="1"/>
  <c r="K4" i="3"/>
  <c r="Z3" i="3"/>
  <c r="W19" i="5" l="1"/>
  <c r="AL19" i="5" s="1"/>
  <c r="K5" i="3"/>
  <c r="F3" i="63"/>
  <c r="AK3" i="3"/>
  <c r="AE3" i="3"/>
  <c r="AF3" i="3" s="1"/>
  <c r="H5" i="75"/>
  <c r="AL3" i="3"/>
  <c r="Z4" i="3"/>
  <c r="AL4" i="3" l="1"/>
  <c r="AK4" i="3"/>
  <c r="AE4" i="3"/>
  <c r="AF4" i="3" s="1"/>
  <c r="F4" i="63"/>
  <c r="Z5" i="3"/>
  <c r="AG3" i="3"/>
  <c r="K6" i="3"/>
  <c r="W20" i="5"/>
  <c r="AL20" i="5" s="1"/>
  <c r="AG4" i="3" l="1"/>
  <c r="W21" i="5"/>
  <c r="AL21" i="5" s="1"/>
  <c r="F5" i="63"/>
  <c r="AE5" i="3"/>
  <c r="AF5" i="3" s="1"/>
  <c r="AK5" i="3"/>
  <c r="AL5" i="3"/>
  <c r="Z6" i="3"/>
  <c r="K8" i="3" l="1"/>
  <c r="Z7" i="3"/>
  <c r="W22" i="5"/>
  <c r="AL22" i="5" s="1"/>
  <c r="BK8" i="7"/>
  <c r="AG5" i="3"/>
  <c r="AE6" i="3"/>
  <c r="AF6" i="3" s="1"/>
  <c r="F6" i="63"/>
  <c r="AK6" i="3"/>
  <c r="AL6" i="3"/>
  <c r="AG6" i="3" l="1"/>
  <c r="BK9" i="7"/>
  <c r="K9" i="3"/>
  <c r="AE7" i="3"/>
  <c r="AF7" i="3" s="1"/>
  <c r="AK7" i="3"/>
  <c r="AL7" i="3"/>
  <c r="F7" i="63"/>
  <c r="Z8" i="3"/>
  <c r="W23" i="5"/>
  <c r="AL23" i="5" s="1"/>
  <c r="W24" i="5" l="1"/>
  <c r="AL24" i="5" s="1"/>
  <c r="BK10" i="7"/>
  <c r="AG7" i="3"/>
  <c r="AK8" i="3"/>
  <c r="F8" i="63"/>
  <c r="AL8" i="3"/>
  <c r="AE8" i="3"/>
  <c r="AF8" i="3" s="1"/>
  <c r="K10" i="3"/>
  <c r="Z9" i="3"/>
  <c r="K11" i="3" l="1"/>
  <c r="AE9" i="3"/>
  <c r="AF9" i="3" s="1"/>
  <c r="F9" i="63"/>
  <c r="AK9" i="3"/>
  <c r="AL9" i="3"/>
  <c r="Z10" i="3"/>
  <c r="W25" i="5"/>
  <c r="AL25" i="5" s="1"/>
  <c r="AG8" i="3"/>
  <c r="K12" i="3" l="1"/>
  <c r="W26" i="5"/>
  <c r="AL26" i="5" s="1"/>
  <c r="AL10" i="3"/>
  <c r="AK10" i="3"/>
  <c r="F10" i="63"/>
  <c r="AE10" i="3"/>
  <c r="AF10" i="3" s="1"/>
  <c r="Z11" i="3"/>
  <c r="AG9" i="3"/>
  <c r="W27" i="5" l="1"/>
  <c r="AL27" i="5" s="1"/>
  <c r="AE11" i="3"/>
  <c r="AF11" i="3" s="1"/>
  <c r="F11" i="63"/>
  <c r="AL11" i="3"/>
  <c r="AK11" i="3"/>
  <c r="AG10" i="3"/>
  <c r="BK13" i="7"/>
  <c r="Z12" i="3"/>
  <c r="W28" i="5" l="1"/>
  <c r="AL28" i="5" s="1"/>
  <c r="BK14" i="7"/>
  <c r="AG11" i="3"/>
  <c r="Z13" i="3"/>
  <c r="AL12" i="3"/>
  <c r="AK12" i="3"/>
  <c r="AE12" i="3"/>
  <c r="AF12" i="3" s="1"/>
  <c r="F12" i="63"/>
  <c r="K15" i="3" l="1"/>
  <c r="F13" i="63"/>
  <c r="AL13" i="3"/>
  <c r="AK13" i="3"/>
  <c r="AE13" i="3"/>
  <c r="AF13" i="3" s="1"/>
  <c r="W29" i="5"/>
  <c r="AL29" i="5" s="1"/>
  <c r="AG12" i="3"/>
  <c r="BK15" i="7"/>
  <c r="Z14" i="3"/>
  <c r="AG13" i="3" l="1"/>
  <c r="BK16" i="7"/>
  <c r="K16" i="3"/>
  <c r="AL14" i="3"/>
  <c r="AE14" i="3"/>
  <c r="AF14" i="3" s="1"/>
  <c r="F14" i="63"/>
  <c r="AK14" i="3"/>
  <c r="W30" i="5"/>
  <c r="AL30" i="5" s="1"/>
  <c r="Z15" i="3"/>
  <c r="W31" i="5" l="1"/>
  <c r="AL31" i="5" s="1"/>
  <c r="BK17" i="7"/>
  <c r="AG14" i="3"/>
  <c r="F15" i="63"/>
  <c r="AK15" i="3"/>
  <c r="AL15" i="3"/>
  <c r="AE15" i="3"/>
  <c r="AF15" i="3" s="1"/>
  <c r="Z16" i="3"/>
  <c r="K17" i="3"/>
  <c r="AG15" i="3" l="1"/>
  <c r="AK16" i="3"/>
  <c r="AL16" i="3"/>
  <c r="AE16" i="3"/>
  <c r="AF16" i="3" s="1"/>
  <c r="F16" i="63"/>
  <c r="W32" i="5"/>
  <c r="AL32" i="5" s="1"/>
  <c r="Z17" i="3"/>
  <c r="K18" i="3"/>
  <c r="W33" i="5" l="1"/>
  <c r="AL33" i="5" s="1"/>
  <c r="AK17" i="3"/>
  <c r="AE17" i="3"/>
  <c r="AF17" i="3" s="1"/>
  <c r="F17" i="63"/>
  <c r="AL17" i="3"/>
  <c r="AG16" i="3"/>
  <c r="K19" i="3"/>
  <c r="Z18" i="3"/>
  <c r="W34" i="5" l="1"/>
  <c r="AL34" i="5" s="1"/>
  <c r="K20" i="3"/>
  <c r="Z19" i="3"/>
  <c r="AE18" i="3"/>
  <c r="AF18" i="3" s="1"/>
  <c r="AL18" i="3"/>
  <c r="F18" i="63"/>
  <c r="AK18" i="3"/>
  <c r="BK20" i="7"/>
  <c r="AG17" i="3"/>
  <c r="W36" i="5" l="1"/>
  <c r="AL36" i="5" s="1"/>
  <c r="W35" i="5"/>
  <c r="AL35" i="5" s="1"/>
  <c r="Z20" i="3"/>
  <c r="K21" i="3"/>
  <c r="F19" i="63"/>
  <c r="AE19" i="3"/>
  <c r="AF19" i="3" s="1"/>
  <c r="AL19" i="3"/>
  <c r="AK19" i="3"/>
  <c r="BK21" i="7"/>
  <c r="AG18" i="3"/>
  <c r="AL37" i="5" l="1"/>
  <c r="BK22" i="7"/>
  <c r="AG19" i="3"/>
  <c r="AE20" i="3"/>
  <c r="AF20" i="3" s="1"/>
  <c r="F20" i="63"/>
  <c r="AK20" i="3"/>
  <c r="AL20" i="3"/>
  <c r="K22" i="3"/>
  <c r="Z21" i="3"/>
  <c r="F21" i="63" l="1"/>
  <c r="AE21" i="3"/>
  <c r="AF21" i="3" s="1"/>
  <c r="AK21" i="3"/>
  <c r="AL21" i="3"/>
  <c r="BK23" i="7"/>
  <c r="AG20" i="3"/>
  <c r="K23" i="3"/>
  <c r="Z22" i="3"/>
  <c r="Z23" i="3" l="1"/>
  <c r="K24" i="3"/>
  <c r="BK24" i="7"/>
  <c r="AG21" i="3"/>
  <c r="AL22" i="3"/>
  <c r="F22" i="63"/>
  <c r="AE22" i="3"/>
  <c r="AF22" i="3" s="1"/>
  <c r="AK22" i="3"/>
  <c r="Z24" i="3" l="1"/>
  <c r="K26" i="3"/>
  <c r="F23" i="63"/>
  <c r="AL23" i="3"/>
  <c r="AE23" i="3"/>
  <c r="AF23" i="3" s="1"/>
  <c r="AK23" i="3"/>
  <c r="AG22" i="3"/>
  <c r="AG23" i="3" l="1"/>
  <c r="AL24" i="3"/>
  <c r="AK24" i="3"/>
  <c r="F24" i="63"/>
  <c r="AE24" i="3"/>
  <c r="AF24" i="3" s="1"/>
  <c r="K27" i="3"/>
  <c r="Z25" i="3"/>
  <c r="K28" i="3" l="1"/>
  <c r="Z26" i="3"/>
  <c r="F25" i="63"/>
  <c r="AK25" i="3"/>
  <c r="AE25" i="3"/>
  <c r="AF25" i="3" s="1"/>
  <c r="AL25" i="3"/>
  <c r="BK27" i="7"/>
  <c r="AG24" i="3"/>
  <c r="K29" i="3" l="1"/>
  <c r="Z27" i="3"/>
  <c r="F26" i="63"/>
  <c r="AE26" i="3"/>
  <c r="AF26" i="3" s="1"/>
  <c r="AK26" i="3"/>
  <c r="AL26" i="3"/>
  <c r="BK28" i="7"/>
  <c r="AG25" i="3"/>
  <c r="Z28" i="3" l="1"/>
  <c r="BK29" i="7"/>
  <c r="AG26" i="3"/>
  <c r="AK27" i="3"/>
  <c r="F27" i="63"/>
  <c r="AE27" i="3"/>
  <c r="AF27" i="3" s="1"/>
  <c r="AL27" i="3"/>
  <c r="K31" i="3" l="1"/>
  <c r="K30" i="3"/>
  <c r="Z29" i="3"/>
  <c r="BK30" i="7"/>
  <c r="AG27" i="3"/>
  <c r="AK28" i="3"/>
  <c r="F28" i="63"/>
  <c r="AE28" i="3"/>
  <c r="AF28" i="3" s="1"/>
  <c r="AL28" i="3"/>
  <c r="K32" i="3" l="1"/>
  <c r="Z31" i="3"/>
  <c r="F29" i="63"/>
  <c r="AE29" i="3"/>
  <c r="AF29" i="3" s="1"/>
  <c r="AL29" i="3"/>
  <c r="AK29" i="3"/>
  <c r="Z30" i="3"/>
  <c r="BK31" i="7"/>
  <c r="AG28" i="3"/>
  <c r="AL31" i="3" l="1"/>
  <c r="AE31" i="3"/>
  <c r="AF31" i="3" s="1"/>
  <c r="AK31" i="3"/>
  <c r="K33" i="3"/>
  <c r="Z32" i="3"/>
  <c r="BK32" i="7"/>
  <c r="AG29" i="3"/>
  <c r="AL30" i="3"/>
  <c r="F30" i="63"/>
  <c r="AK30" i="3"/>
  <c r="AE30" i="3"/>
  <c r="AF30" i="3" s="1"/>
  <c r="K35" i="3" l="1"/>
  <c r="U34" i="3" s="1"/>
  <c r="AG31" i="3"/>
  <c r="BK34" i="7"/>
  <c r="AL32" i="3"/>
  <c r="AE32" i="3"/>
  <c r="AF32" i="3" s="1"/>
  <c r="AK32" i="3"/>
  <c r="Z33" i="3"/>
  <c r="BK33" i="7"/>
  <c r="AG30" i="3"/>
  <c r="Z34" i="3" l="1"/>
  <c r="B18" i="77" s="1"/>
  <c r="AL33" i="3"/>
  <c r="AL34" i="3" s="1"/>
  <c r="B19" i="77" s="1"/>
  <c r="AE33" i="3"/>
  <c r="AF33" i="3" s="1"/>
  <c r="AK33" i="3"/>
  <c r="AG32" i="3"/>
  <c r="BK35" i="7"/>
  <c r="W32" i="76" l="1"/>
  <c r="X32" i="76" s="1"/>
  <c r="Y32" i="76" s="1"/>
  <c r="B20" i="77"/>
  <c r="AG33" i="3"/>
  <c r="BK36" i="7"/>
  <c r="F18" i="77"/>
  <c r="AB4" i="2" l="1"/>
  <c r="AB5" i="2" l="1"/>
  <c r="AB6" i="2" l="1"/>
  <c r="AB7" i="2" l="1"/>
  <c r="AB8" i="2" l="1"/>
  <c r="AB9" i="2" l="1"/>
  <c r="AB10" i="2" l="1"/>
  <c r="AB11" i="2" l="1"/>
  <c r="AB12" i="2" l="1"/>
  <c r="AB13" i="2" l="1"/>
  <c r="AB14" i="2" l="1"/>
  <c r="AB15" i="2" l="1"/>
  <c r="AB16" i="2" l="1"/>
  <c r="AB17" i="2" l="1"/>
  <c r="AB18" i="2" l="1"/>
  <c r="AB19" i="2" l="1"/>
  <c r="AB20" i="2" l="1"/>
  <c r="AB21" i="2" l="1"/>
  <c r="AB22" i="2" l="1"/>
  <c r="AB23" i="2" l="1"/>
  <c r="AB24" i="2" l="1"/>
  <c r="AB25" i="2" l="1"/>
  <c r="AB26" i="2" l="1"/>
  <c r="AB27" i="2" l="1"/>
  <c r="AB28" i="2" l="1"/>
  <c r="AB29" i="2" l="1"/>
  <c r="AB30" i="2" l="1"/>
  <c r="AB31" i="2" l="1"/>
  <c r="AB32" i="2" l="1"/>
  <c r="AB33" i="2" l="1"/>
  <c r="AB34" i="2"/>
  <c r="AB6" i="5" l="1"/>
  <c r="AB7" i="5" s="1"/>
  <c r="AB8" i="5" s="1"/>
  <c r="AB9" i="5" s="1"/>
  <c r="AB10" i="5" s="1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3" i="5" s="1"/>
  <c r="AB24" i="5" s="1"/>
  <c r="AB25" i="5" s="1"/>
  <c r="AB26" i="5" s="1"/>
  <c r="AB27" i="5" s="1"/>
  <c r="AB28" i="5" s="1"/>
  <c r="AB30" i="5" s="1"/>
  <c r="AB31" i="5" s="1"/>
  <c r="AB32" i="5" s="1"/>
  <c r="AB33" i="5" s="1"/>
  <c r="AB34" i="5" s="1"/>
  <c r="AB35" i="5" s="1"/>
  <c r="AB36" i="5" s="1"/>
  <c r="AD4" i="2" l="1"/>
  <c r="AD5" i="2" l="1"/>
  <c r="AD6" i="2" l="1"/>
  <c r="AD7" i="2" l="1"/>
  <c r="AD8" i="2" l="1"/>
  <c r="AD9" i="2" l="1"/>
  <c r="AD10" i="2" l="1"/>
  <c r="AD11" i="2" l="1"/>
  <c r="AD12" i="2" l="1"/>
  <c r="AD13" i="2" l="1"/>
  <c r="AD14" i="2" l="1"/>
  <c r="AD15" i="2" l="1"/>
  <c r="AD16" i="2" l="1"/>
  <c r="AD17" i="2" l="1"/>
  <c r="AD18" i="2" l="1"/>
  <c r="AD19" i="2" l="1"/>
  <c r="AD20" i="2" l="1"/>
  <c r="AD21" i="2" l="1"/>
  <c r="AD22" i="2" l="1"/>
  <c r="AD23" i="2" l="1"/>
  <c r="AD24" i="2" l="1"/>
  <c r="AD25" i="2" l="1"/>
  <c r="AD26" i="2" l="1"/>
  <c r="AD27" i="2" l="1"/>
  <c r="AD28" i="2" l="1"/>
  <c r="AD29" i="2" l="1"/>
  <c r="AD30" i="2" l="1"/>
  <c r="AD31" i="2" l="1"/>
  <c r="AD32" i="2" l="1"/>
  <c r="AD34" i="2" l="1"/>
  <c r="AD33" i="2"/>
  <c r="F33" i="3" l="1"/>
  <c r="AB33" i="3" s="1"/>
  <c r="F32" i="3"/>
  <c r="AB32" i="3" s="1"/>
  <c r="AQ5" i="1"/>
  <c r="AS5" i="1"/>
  <c r="AO5" i="1"/>
  <c r="AT5" i="1" l="1"/>
  <c r="AU5" i="1" s="1"/>
  <c r="I2" i="81" s="1"/>
  <c r="AO6" i="1"/>
  <c r="AQ6" i="1"/>
  <c r="AS6" i="1"/>
  <c r="AT6" i="1" l="1"/>
  <c r="AU6" i="1" s="1"/>
  <c r="I3" i="81" s="1"/>
  <c r="AS7" i="1"/>
  <c r="AO7" i="1"/>
  <c r="AQ7" i="1"/>
  <c r="AT7" i="1" l="1"/>
  <c r="AU7" i="1" s="1"/>
  <c r="I4" i="81" s="1"/>
  <c r="AO8" i="1"/>
  <c r="AS8" i="1"/>
  <c r="AQ8" i="1"/>
  <c r="AQ9" i="1" l="1"/>
  <c r="AO9" i="1"/>
  <c r="AS9" i="1"/>
  <c r="AT8" i="1"/>
  <c r="AU8" i="1" s="1"/>
  <c r="I5" i="81" s="1"/>
  <c r="AT9" i="1" l="1"/>
  <c r="AU9" i="1" s="1"/>
  <c r="I6" i="81" s="1"/>
  <c r="AO10" i="1"/>
  <c r="AQ10" i="1"/>
  <c r="AS10" i="1"/>
  <c r="AT10" i="1" l="1"/>
  <c r="AU10" i="1" s="1"/>
  <c r="I7" i="81" s="1"/>
  <c r="AO11" i="1"/>
  <c r="AS11" i="1"/>
  <c r="AQ11" i="1"/>
  <c r="AT11" i="1" l="1"/>
  <c r="AU11" i="1" s="1"/>
  <c r="I8" i="81" s="1"/>
  <c r="AO12" i="1"/>
  <c r="AQ12" i="1"/>
  <c r="AS12" i="1"/>
  <c r="AQ13" i="1" l="1"/>
  <c r="AS13" i="1"/>
  <c r="AO13" i="1"/>
  <c r="AT12" i="1"/>
  <c r="AU12" i="1" s="1"/>
  <c r="I9" i="81" s="1"/>
  <c r="AO14" i="1" l="1"/>
  <c r="AS14" i="1"/>
  <c r="AQ14" i="1"/>
  <c r="AT13" i="1"/>
  <c r="AU13" i="1" s="1"/>
  <c r="I10" i="81" s="1"/>
  <c r="AS15" i="1" l="1"/>
  <c r="AO15" i="1"/>
  <c r="AQ15" i="1"/>
  <c r="AT14" i="1"/>
  <c r="AU14" i="1" s="1"/>
  <c r="I11" i="81" s="1"/>
  <c r="AS16" i="1" l="1"/>
  <c r="AQ16" i="1"/>
  <c r="AO16" i="1"/>
  <c r="AT15" i="1"/>
  <c r="AU15" i="1" s="1"/>
  <c r="I12" i="81" s="1"/>
  <c r="AQ17" i="1" l="1"/>
  <c r="AO17" i="1"/>
  <c r="AS17" i="1"/>
  <c r="AT16" i="1"/>
  <c r="AU16" i="1" s="1"/>
  <c r="I13" i="81" s="1"/>
  <c r="AQ18" i="1" l="1"/>
  <c r="AS18" i="1"/>
  <c r="AO18" i="1"/>
  <c r="AT17" i="1"/>
  <c r="AU17" i="1" s="1"/>
  <c r="I14" i="81" s="1"/>
  <c r="AQ19" i="1" l="1"/>
  <c r="AO19" i="1"/>
  <c r="AS19" i="1"/>
  <c r="AT18" i="1"/>
  <c r="AQ20" i="1" l="1"/>
  <c r="AU18" i="1"/>
  <c r="I15" i="81" s="1"/>
  <c r="AS20" i="1"/>
  <c r="AO20" i="1"/>
  <c r="AT19" i="1"/>
  <c r="AU19" i="1" s="1"/>
  <c r="I16" i="81" s="1"/>
  <c r="AT20" i="1" l="1"/>
  <c r="AU20" i="1" s="1"/>
  <c r="I17" i="81" s="1"/>
  <c r="AO21" i="1"/>
  <c r="AQ21" i="1"/>
  <c r="AS21" i="1"/>
  <c r="AO22" i="1" l="1"/>
  <c r="AT21" i="1"/>
  <c r="AU21" i="1" s="1"/>
  <c r="I18" i="81" s="1"/>
  <c r="AS22" i="1"/>
  <c r="AQ22" i="1"/>
  <c r="AT22" i="1" l="1"/>
  <c r="AS23" i="1"/>
  <c r="AO23" i="1"/>
  <c r="AQ23" i="1"/>
  <c r="AT23" i="1" l="1"/>
  <c r="AU23" i="1" s="1"/>
  <c r="I20" i="81" s="1"/>
  <c r="AU22" i="1"/>
  <c r="I19" i="81" s="1"/>
  <c r="AS24" i="1"/>
  <c r="AQ24" i="1"/>
  <c r="AO24" i="1"/>
  <c r="AS26" i="1" l="1"/>
  <c r="AO26" i="1"/>
  <c r="AT24" i="1"/>
  <c r="AO25" i="1"/>
  <c r="AS25" i="1"/>
  <c r="AQ25" i="1"/>
  <c r="AO27" i="1" l="1"/>
  <c r="AU24" i="1"/>
  <c r="I21" i="81" s="1"/>
  <c r="AS27" i="1"/>
  <c r="AT25" i="1"/>
  <c r="AQ26" i="1"/>
  <c r="AT26" i="1" s="1"/>
  <c r="AO28" i="1" l="1"/>
  <c r="AS28" i="1"/>
  <c r="AU25" i="1"/>
  <c r="I22" i="81" s="1"/>
  <c r="AU26" i="1"/>
  <c r="I23" i="81" s="1"/>
  <c r="AQ27" i="1"/>
  <c r="AT27" i="1" s="1"/>
  <c r="AU27" i="1" s="1"/>
  <c r="AS29" i="1" l="1"/>
  <c r="AO29" i="1"/>
  <c r="AQ28" i="1"/>
  <c r="AT28" i="1" s="1"/>
  <c r="AU28" i="1" s="1"/>
  <c r="I24" i="81"/>
  <c r="AO30" i="1" l="1"/>
  <c r="AS30" i="1"/>
  <c r="AQ29" i="1"/>
  <c r="AT29" i="1" s="1"/>
  <c r="AU29" i="1" s="1"/>
  <c r="I25" i="81"/>
  <c r="AO31" i="1" l="1"/>
  <c r="AS31" i="1"/>
  <c r="I26" i="81"/>
  <c r="AQ30" i="1"/>
  <c r="AT30" i="1" s="1"/>
  <c r="AU30" i="1" s="1"/>
  <c r="AS32" i="1" l="1"/>
  <c r="AO32" i="1"/>
  <c r="I27" i="81"/>
  <c r="AQ31" i="1"/>
  <c r="AT31" i="1" s="1"/>
  <c r="AU31" i="1" s="1"/>
  <c r="AO33" i="1" l="1"/>
  <c r="AS33" i="1"/>
  <c r="AQ32" i="1"/>
  <c r="AT32" i="1" s="1"/>
  <c r="AS35" i="1" l="1"/>
  <c r="AS34" i="1"/>
  <c r="AO34" i="1"/>
  <c r="AO35" i="1"/>
  <c r="AU32" i="1"/>
  <c r="I29" i="81" s="1"/>
  <c r="I28" i="81"/>
  <c r="AQ33" i="1"/>
  <c r="AT33" i="1" s="1"/>
  <c r="AU33" i="1" s="1"/>
  <c r="AQ35" i="1" l="1"/>
  <c r="AT35" i="1" s="1"/>
  <c r="AQ34" i="1"/>
  <c r="AT34" i="1" s="1"/>
  <c r="AU34" i="1" s="1"/>
  <c r="AU35" i="1" l="1"/>
  <c r="I32" i="81" s="1"/>
  <c r="I30" i="81"/>
  <c r="I31" i="81" l="1"/>
  <c r="AU36" i="1" l="1"/>
  <c r="AU38" i="1" s="1"/>
  <c r="AV6" i="7" l="1"/>
  <c r="AV7" i="7" l="1"/>
  <c r="H2" i="81"/>
  <c r="AV8" i="7" l="1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H12" i="81" l="1"/>
  <c r="H13" i="81" l="1"/>
  <c r="H14" i="81" l="1"/>
  <c r="H15" i="81" l="1"/>
  <c r="H16" i="81" l="1"/>
  <c r="H17" i="81" l="1"/>
  <c r="H18" i="81" l="1"/>
  <c r="H19" i="81" l="1"/>
  <c r="H20" i="81" l="1"/>
  <c r="H21" i="81" l="1"/>
  <c r="H22" i="81" l="1"/>
  <c r="H23" i="81" l="1"/>
  <c r="H24" i="81" l="1"/>
  <c r="H25" i="81" l="1"/>
  <c r="H26" i="81" l="1"/>
  <c r="H27" i="81" l="1"/>
  <c r="H28" i="81" l="1"/>
  <c r="H29" i="81" l="1"/>
  <c r="H30" i="81" l="1"/>
  <c r="H32" i="81" l="1"/>
  <c r="H31" i="81"/>
  <c r="K6" i="5" l="1"/>
  <c r="K7" i="5" s="1"/>
  <c r="K8" i="5" l="1"/>
  <c r="L7" i="5"/>
  <c r="H4" i="63" l="1"/>
  <c r="F7" i="65"/>
  <c r="AK7" i="5"/>
  <c r="K9" i="5"/>
  <c r="L8" i="5"/>
  <c r="K10" i="5" l="1"/>
  <c r="L9" i="5"/>
  <c r="F8" i="65"/>
  <c r="H5" i="63"/>
  <c r="AK8" i="5"/>
  <c r="K11" i="5" l="1"/>
  <c r="L10" i="5"/>
  <c r="AK9" i="5"/>
  <c r="F9" i="65"/>
  <c r="H6" i="63"/>
  <c r="K12" i="5" l="1"/>
  <c r="L11" i="5"/>
  <c r="AK10" i="5"/>
  <c r="F10" i="65"/>
  <c r="H7" i="63"/>
  <c r="AK11" i="5" l="1"/>
  <c r="H8" i="63"/>
  <c r="F11" i="65"/>
  <c r="K13" i="5"/>
  <c r="L12" i="5"/>
  <c r="AK12" i="5" l="1"/>
  <c r="H9" i="63"/>
  <c r="F12" i="65"/>
  <c r="K14" i="5"/>
  <c r="L13" i="5"/>
  <c r="AK13" i="5" l="1"/>
  <c r="F13" i="65"/>
  <c r="H10" i="63"/>
  <c r="K15" i="5"/>
  <c r="L14" i="5"/>
  <c r="K16" i="5" l="1"/>
  <c r="L15" i="5"/>
  <c r="AK14" i="5"/>
  <c r="F14" i="65"/>
  <c r="H11" i="63"/>
  <c r="K17" i="5" l="1"/>
  <c r="L16" i="5"/>
  <c r="AK15" i="5"/>
  <c r="F15" i="65"/>
  <c r="H12" i="63"/>
  <c r="K18" i="5" l="1"/>
  <c r="L17" i="5"/>
  <c r="AK16" i="5"/>
  <c r="H13" i="63"/>
  <c r="F16" i="65"/>
  <c r="K19" i="5" l="1"/>
  <c r="L18" i="5"/>
  <c r="AK17" i="5"/>
  <c r="H14" i="63"/>
  <c r="F17" i="65"/>
  <c r="K20" i="5" l="1"/>
  <c r="L19" i="5"/>
  <c r="AK18" i="5"/>
  <c r="F18" i="65"/>
  <c r="H15" i="63"/>
  <c r="K21" i="5" l="1"/>
  <c r="L20" i="5"/>
  <c r="AK19" i="5"/>
  <c r="H16" i="63"/>
  <c r="F19" i="65"/>
  <c r="H2" i="63"/>
  <c r="F5" i="65"/>
  <c r="K22" i="5" l="1"/>
  <c r="L21" i="5"/>
  <c r="AK20" i="5"/>
  <c r="F20" i="65"/>
  <c r="H17" i="63"/>
  <c r="K23" i="5" l="1"/>
  <c r="L22" i="5"/>
  <c r="AK21" i="5"/>
  <c r="F21" i="65"/>
  <c r="H18" i="63"/>
  <c r="K24" i="5" l="1"/>
  <c r="L23" i="5"/>
  <c r="F22" i="65"/>
  <c r="AK22" i="5"/>
  <c r="H19" i="63"/>
  <c r="K25" i="5" l="1"/>
  <c r="L24" i="5"/>
  <c r="AK23" i="5"/>
  <c r="F23" i="65"/>
  <c r="H20" i="63"/>
  <c r="K26" i="5" l="1"/>
  <c r="L25" i="5"/>
  <c r="AK24" i="5"/>
  <c r="F24" i="65"/>
  <c r="H21" i="63"/>
  <c r="K27" i="5" l="1"/>
  <c r="L26" i="5"/>
  <c r="AK25" i="5"/>
  <c r="H22" i="63"/>
  <c r="F25" i="65"/>
  <c r="K28" i="5" l="1"/>
  <c r="L27" i="5"/>
  <c r="AK26" i="5"/>
  <c r="H23" i="63"/>
  <c r="F26" i="65"/>
  <c r="K29" i="5" l="1"/>
  <c r="L28" i="5"/>
  <c r="AK27" i="5"/>
  <c r="F27" i="65"/>
  <c r="H24" i="63"/>
  <c r="K30" i="5" l="1"/>
  <c r="L29" i="5"/>
  <c r="H25" i="63"/>
  <c r="F28" i="65"/>
  <c r="AK28" i="5"/>
  <c r="K31" i="5" l="1"/>
  <c r="L30" i="5"/>
  <c r="AK29" i="5"/>
  <c r="H26" i="63"/>
  <c r="F29" i="65"/>
  <c r="AK30" i="5" l="1"/>
  <c r="H27" i="63"/>
  <c r="F30" i="65"/>
  <c r="K32" i="5"/>
  <c r="L31" i="5"/>
  <c r="K33" i="5" l="1"/>
  <c r="L32" i="5"/>
  <c r="AK31" i="5"/>
  <c r="F31" i="65"/>
  <c r="H28" i="63"/>
  <c r="AK32" i="5" l="1"/>
  <c r="F32" i="65"/>
  <c r="H29" i="63"/>
  <c r="K34" i="5"/>
  <c r="L33" i="5"/>
  <c r="AK33" i="5" l="1"/>
  <c r="F33" i="65"/>
  <c r="H30" i="63"/>
  <c r="K35" i="5"/>
  <c r="L34" i="5"/>
  <c r="AK34" i="5" s="1"/>
  <c r="K36" i="5" l="1"/>
  <c r="L36" i="5" s="1"/>
  <c r="L35" i="5"/>
  <c r="AK35" i="5" s="1"/>
  <c r="X3" i="3"/>
  <c r="AK36" i="5" l="1"/>
  <c r="L37" i="5"/>
  <c r="AK37" i="5" s="1"/>
  <c r="X4" i="3"/>
  <c r="Y3" i="3"/>
  <c r="X5" i="3" l="1"/>
  <c r="Y4" i="3"/>
  <c r="X6" i="3" l="1"/>
  <c r="Y5" i="3"/>
  <c r="X7" i="3" l="1"/>
  <c r="Y6" i="3"/>
  <c r="X8" i="3" l="1"/>
  <c r="Y7" i="3"/>
  <c r="X9" i="3" l="1"/>
  <c r="Y8" i="3"/>
  <c r="Y9" i="3" l="1"/>
  <c r="X10" i="3"/>
  <c r="X11" i="3" l="1"/>
  <c r="Y10" i="3"/>
  <c r="X12" i="3" l="1"/>
  <c r="Y11" i="3"/>
  <c r="X13" i="3" l="1"/>
  <c r="Y12" i="3"/>
  <c r="X14" i="3" l="1"/>
  <c r="Y13" i="3"/>
  <c r="Y14" i="3" l="1"/>
  <c r="X15" i="3"/>
  <c r="Y15" i="3" l="1"/>
  <c r="X16" i="3"/>
  <c r="Y16" i="3" l="1"/>
  <c r="X17" i="3"/>
  <c r="Y17" i="3" l="1"/>
  <c r="X18" i="3"/>
  <c r="Y18" i="3" l="1"/>
  <c r="X19" i="3"/>
  <c r="Y19" i="3" l="1"/>
  <c r="X20" i="3"/>
  <c r="X21" i="3" l="1"/>
  <c r="Y20" i="3"/>
  <c r="Y21" i="3" l="1"/>
  <c r="X22" i="3"/>
  <c r="Y22" i="3" l="1"/>
  <c r="X23" i="3"/>
  <c r="Y23" i="3" l="1"/>
  <c r="X24" i="3"/>
  <c r="Y24" i="3" l="1"/>
  <c r="X25" i="3"/>
  <c r="X26" i="3" l="1"/>
  <c r="Y25" i="3"/>
  <c r="Y26" i="3" l="1"/>
  <c r="X27" i="3"/>
  <c r="X28" i="3" l="1"/>
  <c r="Y27" i="3"/>
  <c r="Y28" i="3" l="1"/>
  <c r="X29" i="3"/>
  <c r="X30" i="3" l="1"/>
  <c r="Y29" i="3"/>
  <c r="Y30" i="3" l="1"/>
  <c r="X31" i="3"/>
  <c r="X32" i="3" l="1"/>
  <c r="Y31" i="3"/>
  <c r="Y32" i="3" l="1"/>
  <c r="X33" i="3"/>
  <c r="Y33" i="3" s="1"/>
  <c r="H3" i="3" l="1"/>
  <c r="H4" i="3" l="1"/>
  <c r="I3" i="3"/>
  <c r="H5" i="3" l="1"/>
  <c r="I4" i="3"/>
  <c r="H6" i="3" l="1"/>
  <c r="I5" i="3"/>
  <c r="H7" i="3" l="1"/>
  <c r="I6" i="3"/>
  <c r="H8" i="3" l="1"/>
  <c r="I7" i="3"/>
  <c r="H9" i="3" l="1"/>
  <c r="I8" i="3"/>
  <c r="H10" i="3" l="1"/>
  <c r="I9" i="3"/>
  <c r="H11" i="3" l="1"/>
  <c r="I10" i="3"/>
  <c r="H12" i="3" l="1"/>
  <c r="I11" i="3"/>
  <c r="H13" i="3" l="1"/>
  <c r="I12" i="3"/>
  <c r="H14" i="3" l="1"/>
  <c r="I13" i="3"/>
  <c r="H15" i="3" l="1"/>
  <c r="I14" i="3"/>
  <c r="H16" i="3" l="1"/>
  <c r="I15" i="3"/>
  <c r="H17" i="3" l="1"/>
  <c r="I16" i="3"/>
  <c r="H18" i="3" l="1"/>
  <c r="I17" i="3"/>
  <c r="H19" i="3" l="1"/>
  <c r="I18" i="3"/>
  <c r="H20" i="3" l="1"/>
  <c r="I19" i="3"/>
  <c r="H21" i="3" l="1"/>
  <c r="I20" i="3"/>
  <c r="H22" i="3" l="1"/>
  <c r="I21" i="3"/>
  <c r="H23" i="3" l="1"/>
  <c r="I22" i="3"/>
  <c r="H24" i="3" l="1"/>
  <c r="I23" i="3"/>
  <c r="H25" i="3" l="1"/>
  <c r="I24" i="3"/>
  <c r="H26" i="3" l="1"/>
  <c r="I25" i="3"/>
  <c r="H27" i="3" l="1"/>
  <c r="I26" i="3"/>
  <c r="H28" i="3" l="1"/>
  <c r="I27" i="3"/>
  <c r="H29" i="3" l="1"/>
  <c r="I28" i="3"/>
  <c r="H30" i="3" l="1"/>
  <c r="I29" i="3"/>
  <c r="H31" i="3" l="1"/>
  <c r="I30" i="3"/>
  <c r="H32" i="3" l="1"/>
  <c r="I31" i="3"/>
  <c r="H33" i="3" l="1"/>
  <c r="I33" i="3" s="1"/>
  <c r="I32" i="3"/>
  <c r="AG6" i="5" l="1"/>
  <c r="AH6" i="5" l="1"/>
  <c r="AG7" i="5"/>
  <c r="AG8" i="5" l="1"/>
  <c r="AH7" i="5"/>
  <c r="AG9" i="5" l="1"/>
  <c r="AH8" i="5"/>
  <c r="AG10" i="5" l="1"/>
  <c r="AH9" i="5"/>
  <c r="AG11" i="5" l="1"/>
  <c r="AH10" i="5"/>
  <c r="AG12" i="5" l="1"/>
  <c r="AH11" i="5"/>
  <c r="AG13" i="5" l="1"/>
  <c r="AH12" i="5"/>
  <c r="AH13" i="5" l="1"/>
  <c r="AG15" i="5" l="1"/>
  <c r="AH14" i="5"/>
  <c r="AG16" i="5" l="1"/>
  <c r="AH15" i="5"/>
  <c r="AG17" i="5" l="1"/>
  <c r="AH16" i="5"/>
  <c r="AG18" i="5" l="1"/>
  <c r="AH17" i="5"/>
  <c r="AG19" i="5" l="1"/>
  <c r="AH18" i="5"/>
  <c r="AG20" i="5" l="1"/>
  <c r="AH19" i="5"/>
  <c r="AG21" i="5" l="1"/>
  <c r="AH20" i="5"/>
  <c r="AG22" i="5" l="1"/>
  <c r="AH21" i="5"/>
  <c r="AG23" i="5" l="1"/>
  <c r="AH22" i="5"/>
  <c r="AG24" i="5" l="1"/>
  <c r="AH23" i="5"/>
  <c r="AG25" i="5" l="1"/>
  <c r="AH24" i="5"/>
  <c r="AG26" i="5" l="1"/>
  <c r="AH25" i="5"/>
  <c r="AG27" i="5" l="1"/>
  <c r="AH26" i="5"/>
  <c r="AG28" i="5" l="1"/>
  <c r="AH27" i="5"/>
  <c r="AG29" i="5" l="1"/>
  <c r="AH28" i="5"/>
  <c r="AG30" i="5" l="1"/>
  <c r="AH29" i="5"/>
  <c r="AG31" i="5" l="1"/>
  <c r="AH30" i="5"/>
  <c r="AG32" i="5" l="1"/>
  <c r="AH31" i="5"/>
  <c r="AG33" i="5" l="1"/>
  <c r="AH32" i="5"/>
  <c r="AG34" i="5" l="1"/>
  <c r="AH33" i="5"/>
  <c r="AG35" i="5" l="1"/>
  <c r="AH34" i="5"/>
  <c r="AG36" i="5" l="1"/>
  <c r="AH36" i="5" s="1"/>
  <c r="AH35" i="5"/>
  <c r="AE6" i="5" l="1"/>
  <c r="AE7" i="5" l="1"/>
  <c r="AF6" i="5"/>
  <c r="AI6" i="5" s="1"/>
  <c r="AF7" i="5" l="1"/>
  <c r="AI7" i="5" s="1"/>
  <c r="AE8" i="5"/>
  <c r="AE9" i="5" l="1"/>
  <c r="AF8" i="5"/>
  <c r="AI8" i="5" s="1"/>
  <c r="AE10" i="5" l="1"/>
  <c r="AF9" i="5"/>
  <c r="AI9" i="5" s="1"/>
  <c r="AE11" i="5" l="1"/>
  <c r="AF10" i="5"/>
  <c r="AI10" i="5" s="1"/>
  <c r="AF11" i="5" l="1"/>
  <c r="AI11" i="5" s="1"/>
  <c r="AE13" i="5" l="1"/>
  <c r="AF12" i="5"/>
  <c r="AI12" i="5" s="1"/>
  <c r="AE14" i="5" l="1"/>
  <c r="AF13" i="5"/>
  <c r="AI13" i="5" s="1"/>
  <c r="AE15" i="5" l="1"/>
  <c r="AF14" i="5"/>
  <c r="AI14" i="5" s="1"/>
  <c r="AE16" i="5" l="1"/>
  <c r="AF15" i="5"/>
  <c r="AI15" i="5" s="1"/>
  <c r="AE17" i="5" l="1"/>
  <c r="AF16" i="5"/>
  <c r="AI16" i="5" s="1"/>
  <c r="AE18" i="5" l="1"/>
  <c r="AF17" i="5"/>
  <c r="AI17" i="5" s="1"/>
  <c r="AE19" i="5" l="1"/>
  <c r="AF18" i="5"/>
  <c r="AI18" i="5" s="1"/>
  <c r="AE20" i="5" l="1"/>
  <c r="AF19" i="5"/>
  <c r="AI19" i="5" s="1"/>
  <c r="AE21" i="5" l="1"/>
  <c r="AF20" i="5"/>
  <c r="AI20" i="5" s="1"/>
  <c r="AE22" i="5" l="1"/>
  <c r="AF21" i="5"/>
  <c r="AI21" i="5" s="1"/>
  <c r="AE23" i="5" l="1"/>
  <c r="AF22" i="5"/>
  <c r="AI22" i="5" s="1"/>
  <c r="AE24" i="5" l="1"/>
  <c r="AF23" i="5"/>
  <c r="AI23" i="5" s="1"/>
  <c r="AE25" i="5" l="1"/>
  <c r="AF24" i="5"/>
  <c r="AI24" i="5" s="1"/>
  <c r="AE26" i="5" l="1"/>
  <c r="AF25" i="5"/>
  <c r="AI25" i="5" s="1"/>
  <c r="AE27" i="5" l="1"/>
  <c r="AF26" i="5"/>
  <c r="AI26" i="5" s="1"/>
  <c r="AE28" i="5" l="1"/>
  <c r="AF27" i="5"/>
  <c r="AI27" i="5" s="1"/>
  <c r="AE29" i="5" l="1"/>
  <c r="AF28" i="5"/>
  <c r="AI28" i="5" s="1"/>
  <c r="AE30" i="5" l="1"/>
  <c r="AF29" i="5"/>
  <c r="AI29" i="5" s="1"/>
  <c r="AE31" i="5" l="1"/>
  <c r="AF30" i="5"/>
  <c r="AI30" i="5" s="1"/>
  <c r="AE32" i="5" l="1"/>
  <c r="AF31" i="5"/>
  <c r="AI31" i="5" s="1"/>
  <c r="AF32" i="5" l="1"/>
  <c r="AI32" i="5" s="1"/>
  <c r="AE34" i="5" l="1"/>
  <c r="AF33" i="5"/>
  <c r="AI33" i="5" s="1"/>
  <c r="AE35" i="5" l="1"/>
  <c r="AF34" i="5"/>
  <c r="AI34" i="5" s="1"/>
  <c r="AE36" i="5" l="1"/>
  <c r="AF36" i="5" s="1"/>
  <c r="AI36" i="5" s="1"/>
  <c r="AF35" i="5"/>
  <c r="AI35" i="5" s="1"/>
  <c r="Z4" i="2" l="1"/>
  <c r="X4" i="2"/>
  <c r="X5" i="2" l="1"/>
  <c r="Z5" i="2"/>
  <c r="X6" i="2" l="1"/>
  <c r="Z6" i="2"/>
  <c r="X7" i="2" l="1"/>
  <c r="Z7" i="2"/>
  <c r="AC27" i="76"/>
  <c r="AC28" i="76"/>
  <c r="AC26" i="76"/>
  <c r="AC29" i="76" l="1"/>
  <c r="X8" i="2"/>
  <c r="Z8" i="2"/>
  <c r="O29" i="76" l="1"/>
  <c r="P29" i="76" s="1"/>
  <c r="R29" i="76" s="1"/>
  <c r="T29" i="76" s="1"/>
  <c r="F27" i="81" s="1"/>
  <c r="O4" i="76"/>
  <c r="P4" i="76" s="1"/>
  <c r="R4" i="76" s="1"/>
  <c r="T4" i="76" s="1"/>
  <c r="F2" i="81" s="1"/>
  <c r="O8" i="76"/>
  <c r="P8" i="76" s="1"/>
  <c r="R8" i="76" s="1"/>
  <c r="T8" i="76" s="1"/>
  <c r="F6" i="81" s="1"/>
  <c r="O31" i="76"/>
  <c r="P31" i="76" s="1"/>
  <c r="R31" i="76" s="1"/>
  <c r="T31" i="76" s="1"/>
  <c r="F29" i="81" s="1"/>
  <c r="O24" i="76"/>
  <c r="P24" i="76" s="1"/>
  <c r="R24" i="76" s="1"/>
  <c r="T24" i="76" s="1"/>
  <c r="F22" i="81" s="1"/>
  <c r="O19" i="76"/>
  <c r="P19" i="76" s="1"/>
  <c r="R19" i="76" s="1"/>
  <c r="T19" i="76" s="1"/>
  <c r="F17" i="81" s="1"/>
  <c r="O28" i="76"/>
  <c r="P28" i="76" s="1"/>
  <c r="R28" i="76" s="1"/>
  <c r="T28" i="76" s="1"/>
  <c r="F26" i="81" s="1"/>
  <c r="O14" i="76"/>
  <c r="P14" i="76" s="1"/>
  <c r="R14" i="76" s="1"/>
  <c r="T14" i="76" s="1"/>
  <c r="F12" i="81" s="1"/>
  <c r="O34" i="76"/>
  <c r="P34" i="76" s="1"/>
  <c r="R34" i="76" s="1"/>
  <c r="O10" i="76"/>
  <c r="P10" i="76" s="1"/>
  <c r="R10" i="76" s="1"/>
  <c r="T10" i="76" s="1"/>
  <c r="F8" i="81" s="1"/>
  <c r="O27" i="76"/>
  <c r="P27" i="76" s="1"/>
  <c r="R27" i="76" s="1"/>
  <c r="T27" i="76" s="1"/>
  <c r="F25" i="81" s="1"/>
  <c r="O22" i="76"/>
  <c r="P22" i="76" s="1"/>
  <c r="R22" i="76" s="1"/>
  <c r="T22" i="76" s="1"/>
  <c r="F20" i="81" s="1"/>
  <c r="O15" i="76"/>
  <c r="P15" i="76" s="1"/>
  <c r="R15" i="76" s="1"/>
  <c r="T15" i="76" s="1"/>
  <c r="F13" i="81" s="1"/>
  <c r="O20" i="76"/>
  <c r="P20" i="76" s="1"/>
  <c r="R20" i="76" s="1"/>
  <c r="T20" i="76" s="1"/>
  <c r="F18" i="81" s="1"/>
  <c r="O18" i="76"/>
  <c r="P18" i="76" s="1"/>
  <c r="R18" i="76" s="1"/>
  <c r="T18" i="76" s="1"/>
  <c r="F16" i="81" s="1"/>
  <c r="O9" i="76"/>
  <c r="P9" i="76" s="1"/>
  <c r="R9" i="76" s="1"/>
  <c r="T9" i="76" s="1"/>
  <c r="F7" i="81" s="1"/>
  <c r="O30" i="76"/>
  <c r="P30" i="76" s="1"/>
  <c r="R30" i="76" s="1"/>
  <c r="T30" i="76" s="1"/>
  <c r="F28" i="81" s="1"/>
  <c r="O21" i="76"/>
  <c r="P21" i="76" s="1"/>
  <c r="R21" i="76" s="1"/>
  <c r="T21" i="76" s="1"/>
  <c r="F19" i="81" s="1"/>
  <c r="O32" i="76"/>
  <c r="P32" i="76" s="1"/>
  <c r="R32" i="76" s="1"/>
  <c r="T32" i="76" s="1"/>
  <c r="F30" i="81" s="1"/>
  <c r="O17" i="76"/>
  <c r="P17" i="76" s="1"/>
  <c r="R17" i="76" s="1"/>
  <c r="T17" i="76" s="1"/>
  <c r="F15" i="81" s="1"/>
  <c r="O5" i="76"/>
  <c r="P5" i="76" s="1"/>
  <c r="R5" i="76" s="1"/>
  <c r="T5" i="76" s="1"/>
  <c r="F3" i="81" s="1"/>
  <c r="O16" i="76"/>
  <c r="P16" i="76" s="1"/>
  <c r="R16" i="76" s="1"/>
  <c r="T16" i="76" s="1"/>
  <c r="F14" i="81" s="1"/>
  <c r="O11" i="76"/>
  <c r="P11" i="76" s="1"/>
  <c r="R11" i="76" s="1"/>
  <c r="T11" i="76" s="1"/>
  <c r="F9" i="81" s="1"/>
  <c r="O26" i="76"/>
  <c r="P26" i="76" s="1"/>
  <c r="R26" i="76" s="1"/>
  <c r="T26" i="76" s="1"/>
  <c r="F24" i="81" s="1"/>
  <c r="O23" i="76"/>
  <c r="P23" i="76" s="1"/>
  <c r="R23" i="76" s="1"/>
  <c r="T23" i="76" s="1"/>
  <c r="F21" i="81" s="1"/>
  <c r="O6" i="76"/>
  <c r="P6" i="76" s="1"/>
  <c r="R6" i="76" s="1"/>
  <c r="T6" i="76" s="1"/>
  <c r="F4" i="81" s="1"/>
  <c r="O13" i="76"/>
  <c r="P13" i="76" s="1"/>
  <c r="R13" i="76" s="1"/>
  <c r="T13" i="76" s="1"/>
  <c r="F11" i="81" s="1"/>
  <c r="O33" i="76"/>
  <c r="P33" i="76" s="1"/>
  <c r="R33" i="76" s="1"/>
  <c r="T33" i="76" s="1"/>
  <c r="F31" i="81" s="1"/>
  <c r="O25" i="76"/>
  <c r="P25" i="76" s="1"/>
  <c r="R25" i="76" s="1"/>
  <c r="T25" i="76" s="1"/>
  <c r="F23" i="81" s="1"/>
  <c r="O12" i="76"/>
  <c r="P12" i="76" s="1"/>
  <c r="R12" i="76" s="1"/>
  <c r="T12" i="76" s="1"/>
  <c r="F10" i="81" s="1"/>
  <c r="O7" i="76"/>
  <c r="P7" i="76" s="1"/>
  <c r="R7" i="76" s="1"/>
  <c r="T7" i="76" s="1"/>
  <c r="F5" i="81" s="1"/>
  <c r="AC33" i="76"/>
  <c r="AB30" i="76"/>
  <c r="D10" i="77" s="1"/>
  <c r="E10" i="77" s="1"/>
  <c r="X9" i="2"/>
  <c r="Z9" i="2"/>
  <c r="O35" i="76" l="1"/>
  <c r="AB33" i="76"/>
  <c r="AB34" i="76" s="1"/>
  <c r="AB36" i="76"/>
  <c r="AB38" i="76" s="1"/>
  <c r="Z10" i="2"/>
  <c r="X10" i="2"/>
  <c r="E12" i="77"/>
  <c r="G10" i="77"/>
  <c r="G12" i="77" s="1"/>
  <c r="F10" i="77"/>
  <c r="F12" i="77" s="1"/>
  <c r="Z11" i="2" l="1"/>
  <c r="I14" i="77"/>
  <c r="H14" i="77"/>
  <c r="X11" i="2"/>
  <c r="Z12" i="2" l="1"/>
  <c r="X12" i="2"/>
  <c r="Z13" i="2" l="1"/>
  <c r="X13" i="2"/>
  <c r="Z14" i="2" l="1"/>
  <c r="AC6" i="5"/>
  <c r="AC7" i="5" s="1"/>
  <c r="AC8" i="5" s="1"/>
  <c r="AC9" i="5" s="1"/>
  <c r="AC10" i="5" s="1"/>
  <c r="AC11" i="5" s="1"/>
  <c r="AC12" i="5" s="1"/>
  <c r="AC13" i="5" s="1"/>
  <c r="AC14" i="5" s="1"/>
  <c r="AC15" i="5" s="1"/>
  <c r="AC16" i="5" s="1"/>
  <c r="AC17" i="5" s="1"/>
  <c r="AC18" i="5" s="1"/>
  <c r="AC19" i="5" s="1"/>
  <c r="AC20" i="5" s="1"/>
  <c r="AC21" i="5" s="1"/>
  <c r="AC22" i="5" s="1"/>
  <c r="AC23" i="5" s="1"/>
  <c r="AC24" i="5" s="1"/>
  <c r="AC25" i="5" s="1"/>
  <c r="AC26" i="5" s="1"/>
  <c r="AC27" i="5" s="1"/>
  <c r="AC28" i="5" s="1"/>
  <c r="AC29" i="5" s="1"/>
  <c r="AC30" i="5" s="1"/>
  <c r="AC31" i="5" s="1"/>
  <c r="AC32" i="5" s="1"/>
  <c r="AC33" i="5" s="1"/>
  <c r="AC34" i="5" s="1"/>
  <c r="AC35" i="5" s="1"/>
  <c r="AC36" i="5" s="1"/>
  <c r="X14" i="2"/>
  <c r="Z15" i="2" l="1"/>
  <c r="AD7" i="5"/>
  <c r="X15" i="2"/>
  <c r="Z16" i="2" l="1"/>
  <c r="AD8" i="5"/>
  <c r="X16" i="2"/>
  <c r="Z17" i="2" l="1"/>
  <c r="AD9" i="5"/>
  <c r="X17" i="2"/>
  <c r="AD10" i="5" l="1"/>
  <c r="Z18" i="2"/>
  <c r="X18" i="2"/>
  <c r="Z19" i="2" l="1"/>
  <c r="AD11" i="5"/>
  <c r="X19" i="2"/>
  <c r="AD12" i="5" l="1"/>
  <c r="Z20" i="2"/>
  <c r="X20" i="2"/>
  <c r="X21" i="2" l="1"/>
  <c r="AD13" i="5"/>
  <c r="Z21" i="2"/>
  <c r="Z22" i="2" l="1"/>
  <c r="X22" i="2"/>
  <c r="AD14" i="5"/>
  <c r="Z23" i="2" l="1"/>
  <c r="X23" i="2"/>
  <c r="AD15" i="5"/>
  <c r="Z24" i="2" l="1"/>
  <c r="X24" i="2"/>
  <c r="AD16" i="5"/>
  <c r="X25" i="2" l="1"/>
  <c r="Z25" i="2"/>
  <c r="AD17" i="5"/>
  <c r="X26" i="2" l="1"/>
  <c r="Z26" i="2"/>
  <c r="AD18" i="5"/>
  <c r="X27" i="2" l="1"/>
  <c r="Z27" i="2"/>
  <c r="AD19" i="5"/>
  <c r="X28" i="2" l="1"/>
  <c r="Z28" i="2"/>
  <c r="AD20" i="5"/>
  <c r="Z29" i="2" l="1"/>
  <c r="X29" i="2"/>
  <c r="AD21" i="5"/>
  <c r="Z30" i="2" l="1"/>
  <c r="X30" i="2"/>
  <c r="AD22" i="5"/>
  <c r="Z31" i="2" l="1"/>
  <c r="X31" i="2"/>
  <c r="AD23" i="5"/>
  <c r="Z32" i="2" l="1"/>
  <c r="X32" i="2"/>
  <c r="AD24" i="5"/>
  <c r="Z33" i="2" l="1"/>
  <c r="Z34" i="2"/>
  <c r="X33" i="2"/>
  <c r="X34" i="2"/>
  <c r="AD25" i="5"/>
  <c r="AD26" i="5" l="1"/>
  <c r="AD27" i="5" l="1"/>
  <c r="AD28" i="5" l="1"/>
  <c r="AD29" i="5" l="1"/>
  <c r="AD30" i="5" l="1"/>
  <c r="AD31" i="5" l="1"/>
  <c r="AD32" i="5" l="1"/>
  <c r="AD33" i="5" l="1"/>
  <c r="AD34" i="5" l="1"/>
  <c r="AD36" i="5" l="1"/>
  <c r="AD35" i="5"/>
  <c r="S4" i="2"/>
  <c r="U4" i="2"/>
  <c r="V4" i="2" l="1"/>
  <c r="AF4" i="2" s="1"/>
  <c r="U5" i="2"/>
  <c r="S5" i="2"/>
  <c r="T4" i="2"/>
  <c r="U6" i="2" l="1"/>
  <c r="V5" i="2"/>
  <c r="AF5" i="2" s="1"/>
  <c r="B2" i="63"/>
  <c r="H5" i="65"/>
  <c r="T5" i="2"/>
  <c r="S6" i="2"/>
  <c r="A2" i="63"/>
  <c r="AE4" i="2"/>
  <c r="AG4" i="2" s="1"/>
  <c r="V6" i="2" l="1"/>
  <c r="AF6" i="2" s="1"/>
  <c r="U7" i="2"/>
  <c r="H6" i="65"/>
  <c r="B3" i="63"/>
  <c r="A3" i="63"/>
  <c r="AE5" i="2"/>
  <c r="AG5" i="2" s="1"/>
  <c r="T6" i="2"/>
  <c r="S7" i="2"/>
  <c r="B4" i="63" l="1"/>
  <c r="H7" i="65"/>
  <c r="A4" i="63"/>
  <c r="AE6" i="2"/>
  <c r="AG6" i="2" s="1"/>
  <c r="T7" i="2"/>
  <c r="S8" i="2"/>
  <c r="U8" i="2"/>
  <c r="V7" i="2"/>
  <c r="AF7" i="2" s="1"/>
  <c r="S9" i="2" l="1"/>
  <c r="T8" i="2"/>
  <c r="U9" i="2"/>
  <c r="V8" i="2"/>
  <c r="AF8" i="2" s="1"/>
  <c r="A5" i="63"/>
  <c r="AE7" i="2"/>
  <c r="AG7" i="2" s="1"/>
  <c r="B5" i="63"/>
  <c r="H8" i="65"/>
  <c r="S10" i="2" l="1"/>
  <c r="T9" i="2"/>
  <c r="A6" i="63"/>
  <c r="AE8" i="2"/>
  <c r="AG8" i="2" s="1"/>
  <c r="U10" i="2"/>
  <c r="V9" i="2"/>
  <c r="AF9" i="2" s="1"/>
  <c r="H9" i="65"/>
  <c r="B6" i="63"/>
  <c r="S11" i="2" l="1"/>
  <c r="T10" i="2"/>
  <c r="A7" i="63"/>
  <c r="AE9" i="2"/>
  <c r="AG9" i="2" s="1"/>
  <c r="B7" i="63"/>
  <c r="H10" i="65"/>
  <c r="U11" i="2"/>
  <c r="V10" i="2"/>
  <c r="AF10" i="2" s="1"/>
  <c r="S12" i="2" l="1"/>
  <c r="T11" i="2"/>
  <c r="A8" i="63"/>
  <c r="AE10" i="2"/>
  <c r="AG10" i="2" s="1"/>
  <c r="U12" i="2"/>
  <c r="V11" i="2"/>
  <c r="AF11" i="2" s="1"/>
  <c r="H11" i="65"/>
  <c r="B8" i="63"/>
  <c r="S13" i="2" l="1"/>
  <c r="T12" i="2"/>
  <c r="V12" i="2"/>
  <c r="AF12" i="2" s="1"/>
  <c r="U13" i="2"/>
  <c r="A9" i="63"/>
  <c r="AE11" i="2"/>
  <c r="AG11" i="2" s="1"/>
  <c r="H12" i="65"/>
  <c r="B9" i="63"/>
  <c r="S14" i="2" l="1"/>
  <c r="T13" i="2"/>
  <c r="A10" i="63"/>
  <c r="AE12" i="2"/>
  <c r="AG12" i="2" s="1"/>
  <c r="B10" i="63"/>
  <c r="H13" i="65"/>
  <c r="V13" i="2"/>
  <c r="AF13" i="2" s="1"/>
  <c r="U14" i="2"/>
  <c r="S15" i="2" l="1"/>
  <c r="T14" i="2"/>
  <c r="A11" i="63"/>
  <c r="AE13" i="2"/>
  <c r="AG13" i="2" s="1"/>
  <c r="H14" i="65"/>
  <c r="B11" i="63"/>
  <c r="U15" i="2"/>
  <c r="V14" i="2"/>
  <c r="AF14" i="2" s="1"/>
  <c r="S16" i="2" l="1"/>
  <c r="T15" i="2"/>
  <c r="A12" i="63"/>
  <c r="AE14" i="2"/>
  <c r="AG14" i="2" s="1"/>
  <c r="U16" i="2"/>
  <c r="V15" i="2"/>
  <c r="AF15" i="2" s="1"/>
  <c r="H15" i="65"/>
  <c r="B12" i="63"/>
  <c r="S17" i="2" l="1"/>
  <c r="T16" i="2"/>
  <c r="U17" i="2"/>
  <c r="V16" i="2"/>
  <c r="AF16" i="2" s="1"/>
  <c r="A13" i="63"/>
  <c r="AE15" i="2"/>
  <c r="AG15" i="2" s="1"/>
  <c r="B13" i="63"/>
  <c r="H16" i="65"/>
  <c r="A14" i="63" l="1"/>
  <c r="AE16" i="2"/>
  <c r="AG16" i="2" s="1"/>
  <c r="V17" i="2"/>
  <c r="AF17" i="2" s="1"/>
  <c r="U18" i="2"/>
  <c r="B14" i="63"/>
  <c r="H17" i="65"/>
  <c r="T17" i="2"/>
  <c r="S18" i="2"/>
  <c r="H18" i="65" l="1"/>
  <c r="B15" i="63"/>
  <c r="U19" i="2"/>
  <c r="V18" i="2"/>
  <c r="AF18" i="2" s="1"/>
  <c r="A15" i="63"/>
  <c r="AE17" i="2"/>
  <c r="AG17" i="2" s="1"/>
  <c r="S19" i="2"/>
  <c r="T18" i="2"/>
  <c r="U20" i="2" l="1"/>
  <c r="V19" i="2"/>
  <c r="AF19" i="2" s="1"/>
  <c r="H19" i="65"/>
  <c r="B16" i="63"/>
  <c r="T19" i="2"/>
  <c r="S20" i="2"/>
  <c r="A16" i="63"/>
  <c r="AE18" i="2"/>
  <c r="AG18" i="2" s="1"/>
  <c r="B17" i="63" l="1"/>
  <c r="H20" i="65"/>
  <c r="V20" i="2"/>
  <c r="AF20" i="2" s="1"/>
  <c r="U21" i="2"/>
  <c r="A17" i="63"/>
  <c r="AE19" i="2"/>
  <c r="AG19" i="2" s="1"/>
  <c r="T20" i="2"/>
  <c r="S21" i="2"/>
  <c r="B18" i="63" l="1"/>
  <c r="H21" i="65"/>
  <c r="U22" i="2"/>
  <c r="V21" i="2"/>
  <c r="AF21" i="2" s="1"/>
  <c r="A18" i="63"/>
  <c r="AE20" i="2"/>
  <c r="AG20" i="2" s="1"/>
  <c r="S22" i="2"/>
  <c r="T21" i="2"/>
  <c r="V22" i="2" l="1"/>
  <c r="AF22" i="2" s="1"/>
  <c r="U23" i="2"/>
  <c r="S23" i="2"/>
  <c r="T22" i="2"/>
  <c r="H22" i="65"/>
  <c r="B19" i="63"/>
  <c r="A19" i="63"/>
  <c r="AE21" i="2"/>
  <c r="AG21" i="2" s="1"/>
  <c r="AS6" i="5"/>
  <c r="H23" i="65" l="1"/>
  <c r="B20" i="63"/>
  <c r="U24" i="2"/>
  <c r="V23" i="2"/>
  <c r="AF23" i="2" s="1"/>
  <c r="AS7" i="5"/>
  <c r="AY6" i="5"/>
  <c r="S24" i="2"/>
  <c r="T23" i="2"/>
  <c r="A20" i="63"/>
  <c r="AE22" i="2"/>
  <c r="AG22" i="2" s="1"/>
  <c r="H24" i="65" l="1"/>
  <c r="B21" i="63"/>
  <c r="U25" i="2"/>
  <c r="V24" i="2"/>
  <c r="AF24" i="2" s="1"/>
  <c r="AS8" i="5"/>
  <c r="AY7" i="5"/>
  <c r="BB7" i="5" s="1"/>
  <c r="BE7" i="5" s="1"/>
  <c r="T24" i="2"/>
  <c r="S25" i="2"/>
  <c r="BB6" i="5"/>
  <c r="A21" i="63"/>
  <c r="AE23" i="2"/>
  <c r="AG23" i="2" s="1"/>
  <c r="T25" i="2" l="1"/>
  <c r="S26" i="2"/>
  <c r="AY8" i="5"/>
  <c r="BB8" i="5" s="1"/>
  <c r="BE8" i="5" s="1"/>
  <c r="AS9" i="5"/>
  <c r="U26" i="2"/>
  <c r="V25" i="2"/>
  <c r="AF25" i="2" s="1"/>
  <c r="H25" i="65"/>
  <c r="B22" i="63"/>
  <c r="BF7" i="5"/>
  <c r="BG7" i="5" s="1"/>
  <c r="G7" i="65" s="1"/>
  <c r="A22" i="63"/>
  <c r="AE24" i="2"/>
  <c r="AG24" i="2" s="1"/>
  <c r="O6" i="5"/>
  <c r="M6" i="5"/>
  <c r="U27" i="2" l="1"/>
  <c r="V26" i="2"/>
  <c r="AF26" i="2" s="1"/>
  <c r="P6" i="5"/>
  <c r="O7" i="5"/>
  <c r="T26" i="2"/>
  <c r="S27" i="2"/>
  <c r="N6" i="5"/>
  <c r="M7" i="5"/>
  <c r="AS10" i="5"/>
  <c r="AY9" i="5"/>
  <c r="BB9" i="5" s="1"/>
  <c r="BE9" i="5" s="1"/>
  <c r="H26" i="65"/>
  <c r="B23" i="63"/>
  <c r="A23" i="63"/>
  <c r="AE25" i="2"/>
  <c r="AG25" i="2" s="1"/>
  <c r="BF8" i="5"/>
  <c r="BG8" i="5" s="1"/>
  <c r="G8" i="65" s="1"/>
  <c r="I4" i="63"/>
  <c r="Q6" i="5" l="1"/>
  <c r="M2" i="81" s="1"/>
  <c r="O8" i="5"/>
  <c r="P7" i="5"/>
  <c r="BF9" i="5"/>
  <c r="BG9" i="5" s="1"/>
  <c r="G9" i="65" s="1"/>
  <c r="I5" i="63"/>
  <c r="AY10" i="5"/>
  <c r="BB10" i="5" s="1"/>
  <c r="BE10" i="5" s="1"/>
  <c r="AS11" i="5"/>
  <c r="V27" i="2"/>
  <c r="AF27" i="2" s="1"/>
  <c r="U28" i="2"/>
  <c r="H27" i="65"/>
  <c r="B24" i="63"/>
  <c r="A24" i="63"/>
  <c r="AE26" i="2"/>
  <c r="AG26" i="2" s="1"/>
  <c r="S28" i="2"/>
  <c r="T27" i="2"/>
  <c r="M8" i="5"/>
  <c r="N7" i="5"/>
  <c r="B25" i="63" l="1"/>
  <c r="H28" i="65"/>
  <c r="S29" i="2"/>
  <c r="T28" i="2"/>
  <c r="BF10" i="5"/>
  <c r="BG10" i="5" s="1"/>
  <c r="G10" i="65" s="1"/>
  <c r="I6" i="63"/>
  <c r="A25" i="63"/>
  <c r="AE27" i="2"/>
  <c r="AG27" i="2" s="1"/>
  <c r="AY11" i="5"/>
  <c r="BB11" i="5" s="1"/>
  <c r="BE11" i="5" s="1"/>
  <c r="AS12" i="5"/>
  <c r="AY12" i="5" s="1"/>
  <c r="M9" i="5"/>
  <c r="N8" i="5"/>
  <c r="V28" i="2"/>
  <c r="AF28" i="2" s="1"/>
  <c r="U29" i="2"/>
  <c r="P8" i="5"/>
  <c r="O9" i="5"/>
  <c r="Q7" i="5"/>
  <c r="BB12" i="5" l="1"/>
  <c r="BE12" i="5" s="1"/>
  <c r="M10" i="5"/>
  <c r="N9" i="5"/>
  <c r="AS13" i="5"/>
  <c r="AY13" i="5" s="1"/>
  <c r="BB13" i="5" s="1"/>
  <c r="B26" i="63"/>
  <c r="H29" i="65"/>
  <c r="V29" i="2"/>
  <c r="AF29" i="2" s="1"/>
  <c r="U30" i="2"/>
  <c r="BF11" i="5"/>
  <c r="BG11" i="5" s="1"/>
  <c r="G11" i="65" s="1"/>
  <c r="I7" i="63"/>
  <c r="M3" i="81"/>
  <c r="T29" i="2"/>
  <c r="S30" i="2"/>
  <c r="A26" i="63"/>
  <c r="AE28" i="2"/>
  <c r="AG28" i="2" s="1"/>
  <c r="O10" i="5"/>
  <c r="P9" i="5"/>
  <c r="Q8" i="5"/>
  <c r="M4" i="81" s="1"/>
  <c r="Q9" i="5" l="1"/>
  <c r="M5" i="81" s="1"/>
  <c r="O11" i="5"/>
  <c r="P10" i="5"/>
  <c r="N10" i="5"/>
  <c r="M11" i="5"/>
  <c r="BF12" i="5"/>
  <c r="BG12" i="5" s="1"/>
  <c r="G12" i="65" s="1"/>
  <c r="I8" i="63"/>
  <c r="AS14" i="5"/>
  <c r="AY14" i="5" s="1"/>
  <c r="BB14" i="5" s="1"/>
  <c r="BE13" i="5"/>
  <c r="A27" i="63"/>
  <c r="AE29" i="2"/>
  <c r="AG29" i="2" s="1"/>
  <c r="T30" i="2"/>
  <c r="S31" i="2"/>
  <c r="B27" i="63"/>
  <c r="H30" i="65"/>
  <c r="U31" i="2"/>
  <c r="V30" i="2"/>
  <c r="AF30" i="2" s="1"/>
  <c r="Q10" i="5" l="1"/>
  <c r="M6" i="81" s="1"/>
  <c r="A28" i="63"/>
  <c r="AE30" i="2"/>
  <c r="AG30" i="2" s="1"/>
  <c r="BE14" i="5"/>
  <c r="AS15" i="5"/>
  <c r="AY15" i="5" s="1"/>
  <c r="BB15" i="5" s="1"/>
  <c r="P11" i="5"/>
  <c r="O12" i="5"/>
  <c r="T31" i="2"/>
  <c r="S32" i="2"/>
  <c r="M12" i="5"/>
  <c r="N11" i="5"/>
  <c r="U32" i="2"/>
  <c r="V31" i="2"/>
  <c r="AF31" i="2" s="1"/>
  <c r="H31" i="65"/>
  <c r="B28" i="63"/>
  <c r="BF13" i="5"/>
  <c r="BG13" i="5" s="1"/>
  <c r="G13" i="65" s="1"/>
  <c r="I9" i="63"/>
  <c r="M13" i="5" l="1"/>
  <c r="N12" i="5"/>
  <c r="U33" i="2"/>
  <c r="V32" i="2"/>
  <c r="AF32" i="2" s="1"/>
  <c r="H32" i="65"/>
  <c r="B29" i="63"/>
  <c r="O13" i="5"/>
  <c r="P12" i="5"/>
  <c r="BF14" i="5"/>
  <c r="BG14" i="5" s="1"/>
  <c r="G14" i="65" s="1"/>
  <c r="I10" i="63"/>
  <c r="BE15" i="5"/>
  <c r="AS16" i="5"/>
  <c r="AY16" i="5" s="1"/>
  <c r="A29" i="63"/>
  <c r="AE31" i="2"/>
  <c r="AG31" i="2" s="1"/>
  <c r="T32" i="2"/>
  <c r="AE32" i="2" s="1"/>
  <c r="AG32" i="2" s="1"/>
  <c r="S33" i="2"/>
  <c r="Q11" i="5"/>
  <c r="BB16" i="5" l="1"/>
  <c r="BE16" i="5" s="1"/>
  <c r="M7" i="81"/>
  <c r="V33" i="2"/>
  <c r="AF33" i="2" s="1"/>
  <c r="U34" i="2"/>
  <c r="V34" i="2" s="1"/>
  <c r="AF34" i="2" s="1"/>
  <c r="N13" i="5"/>
  <c r="M14" i="5"/>
  <c r="BF15" i="5"/>
  <c r="BG15" i="5" s="1"/>
  <c r="G15" i="65" s="1"/>
  <c r="I11" i="63"/>
  <c r="AS17" i="5"/>
  <c r="P13" i="5"/>
  <c r="O14" i="5"/>
  <c r="T33" i="2"/>
  <c r="AE33" i="2" s="1"/>
  <c r="AG33" i="2" s="1"/>
  <c r="S34" i="2"/>
  <c r="T34" i="2" s="1"/>
  <c r="AE34" i="2" s="1"/>
  <c r="AG34" i="2" s="1"/>
  <c r="Q12" i="5"/>
  <c r="M8" i="81" s="1"/>
  <c r="Q13" i="5" l="1"/>
  <c r="M9" i="81" s="1"/>
  <c r="I12" i="63"/>
  <c r="BF16" i="5"/>
  <c r="BG16" i="5" s="1"/>
  <c r="G16" i="65" s="1"/>
  <c r="AS18" i="5"/>
  <c r="AY17" i="5"/>
  <c r="P14" i="5"/>
  <c r="O15" i="5"/>
  <c r="N14" i="5"/>
  <c r="M15" i="5"/>
  <c r="BB17" i="5" l="1"/>
  <c r="BE17" i="5" s="1"/>
  <c r="Q14" i="5"/>
  <c r="M10" i="81" s="1"/>
  <c r="AS19" i="5"/>
  <c r="AY18" i="5"/>
  <c r="P15" i="5"/>
  <c r="O16" i="5"/>
  <c r="N15" i="5"/>
  <c r="M16" i="5"/>
  <c r="I13" i="63" l="1"/>
  <c r="BF17" i="5"/>
  <c r="BG17" i="5" s="1"/>
  <c r="G17" i="65" s="1"/>
  <c r="BB18" i="5"/>
  <c r="BE18" i="5" s="1"/>
  <c r="Q15" i="5"/>
  <c r="M11" i="81" s="1"/>
  <c r="AS20" i="5"/>
  <c r="AY19" i="5"/>
  <c r="O17" i="5"/>
  <c r="P16" i="5"/>
  <c r="M17" i="5"/>
  <c r="N16" i="5"/>
  <c r="BF18" i="5" l="1"/>
  <c r="BG18" i="5" s="1"/>
  <c r="G18" i="65" s="1"/>
  <c r="I14" i="63"/>
  <c r="BB19" i="5"/>
  <c r="BE19" i="5" s="1"/>
  <c r="Q16" i="5"/>
  <c r="M12" i="81" s="1"/>
  <c r="AY20" i="5"/>
  <c r="AS21" i="5"/>
  <c r="O18" i="5"/>
  <c r="P17" i="5"/>
  <c r="M18" i="5"/>
  <c r="N17" i="5"/>
  <c r="BF19" i="5" l="1"/>
  <c r="BG19" i="5" s="1"/>
  <c r="G19" i="65" s="1"/>
  <c r="I15" i="63"/>
  <c r="BB20" i="5"/>
  <c r="BE20" i="5" s="1"/>
  <c r="Q17" i="5"/>
  <c r="M13" i="81" s="1"/>
  <c r="AS22" i="5"/>
  <c r="AY21" i="5"/>
  <c r="P18" i="5"/>
  <c r="O19" i="5"/>
  <c r="M19" i="5"/>
  <c r="N18" i="5"/>
  <c r="BF20" i="5" l="1"/>
  <c r="BG20" i="5" s="1"/>
  <c r="G20" i="65" s="1"/>
  <c r="I16" i="63"/>
  <c r="BB21" i="5"/>
  <c r="BE21" i="5" s="1"/>
  <c r="M20" i="5"/>
  <c r="N19" i="5"/>
  <c r="AS23" i="5"/>
  <c r="AY22" i="5"/>
  <c r="P19" i="5"/>
  <c r="O20" i="5"/>
  <c r="Q18" i="5"/>
  <c r="M14" i="81" s="1"/>
  <c r="BF21" i="5" l="1"/>
  <c r="BG21" i="5" s="1"/>
  <c r="G21" i="65" s="1"/>
  <c r="I17" i="63"/>
  <c r="BB22" i="5"/>
  <c r="BE22" i="5" s="1"/>
  <c r="Q19" i="5"/>
  <c r="M15" i="81" s="1"/>
  <c r="N20" i="5"/>
  <c r="M21" i="5"/>
  <c r="P20" i="5"/>
  <c r="O21" i="5"/>
  <c r="AY23" i="5"/>
  <c r="AS24" i="5"/>
  <c r="BF22" i="5" l="1"/>
  <c r="BG22" i="5" s="1"/>
  <c r="G22" i="65" s="1"/>
  <c r="I18" i="63"/>
  <c r="BB23" i="5"/>
  <c r="BE23" i="5" s="1"/>
  <c r="N21" i="5"/>
  <c r="M22" i="5"/>
  <c r="P21" i="5"/>
  <c r="O22" i="5"/>
  <c r="AY24" i="5"/>
  <c r="AS25" i="5"/>
  <c r="Q20" i="5"/>
  <c r="M16" i="81" s="1"/>
  <c r="I19" i="63" l="1"/>
  <c r="BF23" i="5"/>
  <c r="BG23" i="5" s="1"/>
  <c r="G23" i="65" s="1"/>
  <c r="BB24" i="5"/>
  <c r="BE24" i="5" s="1"/>
  <c r="AY25" i="5"/>
  <c r="AS26" i="5"/>
  <c r="P22" i="5"/>
  <c r="O23" i="5"/>
  <c r="Q21" i="5"/>
  <c r="M17" i="81" s="1"/>
  <c r="N22" i="5"/>
  <c r="M23" i="5"/>
  <c r="I20" i="63" l="1"/>
  <c r="BF24" i="5"/>
  <c r="BG24" i="5" s="1"/>
  <c r="G24" i="65" s="1"/>
  <c r="BB25" i="5"/>
  <c r="BE25" i="5" s="1"/>
  <c r="N23" i="5"/>
  <c r="M24" i="5"/>
  <c r="AS27" i="5"/>
  <c r="AY26" i="5"/>
  <c r="O24" i="5"/>
  <c r="P23" i="5"/>
  <c r="Q22" i="5"/>
  <c r="M18" i="81" s="1"/>
  <c r="BF25" i="5" l="1"/>
  <c r="BG25" i="5" s="1"/>
  <c r="G25" i="65" s="1"/>
  <c r="I21" i="63"/>
  <c r="BB26" i="5"/>
  <c r="BE26" i="5" s="1"/>
  <c r="M25" i="5"/>
  <c r="N24" i="5"/>
  <c r="P24" i="5"/>
  <c r="O25" i="5"/>
  <c r="AS28" i="5"/>
  <c r="AY27" i="5"/>
  <c r="Q23" i="5"/>
  <c r="M19" i="81" s="1"/>
  <c r="I22" i="63" l="1"/>
  <c r="BF26" i="5"/>
  <c r="BG26" i="5" s="1"/>
  <c r="G26" i="65" s="1"/>
  <c r="BB27" i="5"/>
  <c r="BE27" i="5" s="1"/>
  <c r="Q24" i="5"/>
  <c r="M20" i="81" s="1"/>
  <c r="M26" i="5"/>
  <c r="N25" i="5"/>
  <c r="P25" i="5"/>
  <c r="O26" i="5"/>
  <c r="AS29" i="5"/>
  <c r="AY28" i="5"/>
  <c r="BF27" i="5" l="1"/>
  <c r="BG27" i="5" s="1"/>
  <c r="G27" i="65" s="1"/>
  <c r="I23" i="63"/>
  <c r="BB28" i="5"/>
  <c r="BE28" i="5" s="1"/>
  <c r="N26" i="5"/>
  <c r="M27" i="5"/>
  <c r="O27" i="5"/>
  <c r="P26" i="5"/>
  <c r="AY29" i="5"/>
  <c r="AS30" i="5"/>
  <c r="Q25" i="5"/>
  <c r="M21" i="81" s="1"/>
  <c r="I24" i="63" l="1"/>
  <c r="BF28" i="5"/>
  <c r="BG28" i="5" s="1"/>
  <c r="G28" i="65" s="1"/>
  <c r="BB29" i="5"/>
  <c r="BE29" i="5" s="1"/>
  <c r="M28" i="5"/>
  <c r="N27" i="5"/>
  <c r="P27" i="5"/>
  <c r="O28" i="5"/>
  <c r="AS31" i="5"/>
  <c r="AY30" i="5"/>
  <c r="Q26" i="5"/>
  <c r="M22" i="81" s="1"/>
  <c r="BF29" i="5" l="1"/>
  <c r="BG29" i="5" s="1"/>
  <c r="G29" i="65" s="1"/>
  <c r="I25" i="63"/>
  <c r="BB30" i="5"/>
  <c r="BE30" i="5" s="1"/>
  <c r="Q27" i="5"/>
  <c r="M23" i="81" s="1"/>
  <c r="AY31" i="5"/>
  <c r="AS32" i="5"/>
  <c r="N28" i="5"/>
  <c r="M29" i="5"/>
  <c r="O29" i="5"/>
  <c r="P28" i="5"/>
  <c r="BF30" i="5" l="1"/>
  <c r="BG30" i="5" s="1"/>
  <c r="G30" i="65" s="1"/>
  <c r="I26" i="63"/>
  <c r="BB31" i="5"/>
  <c r="BE31" i="5" s="1"/>
  <c r="Q28" i="5"/>
  <c r="M24" i="81" s="1"/>
  <c r="N29" i="5"/>
  <c r="M30" i="5"/>
  <c r="P29" i="5"/>
  <c r="O30" i="5"/>
  <c r="AY32" i="5"/>
  <c r="AS33" i="5"/>
  <c r="BF31" i="5" l="1"/>
  <c r="BG31" i="5" s="1"/>
  <c r="G31" i="65" s="1"/>
  <c r="I27" i="63"/>
  <c r="BB32" i="5"/>
  <c r="BE32" i="5" s="1"/>
  <c r="N30" i="5"/>
  <c r="M31" i="5"/>
  <c r="Q29" i="5"/>
  <c r="M25" i="81" s="1"/>
  <c r="P30" i="5"/>
  <c r="O31" i="5"/>
  <c r="AY33" i="5"/>
  <c r="AS34" i="5"/>
  <c r="BF32" i="5" l="1"/>
  <c r="BG32" i="5" s="1"/>
  <c r="G32" i="65" s="1"/>
  <c r="I28" i="63"/>
  <c r="BB33" i="5"/>
  <c r="BE33" i="5" s="1"/>
  <c r="M32" i="5"/>
  <c r="N31" i="5"/>
  <c r="AY34" i="5"/>
  <c r="AS35" i="5"/>
  <c r="O32" i="5"/>
  <c r="P31" i="5"/>
  <c r="Q30" i="5"/>
  <c r="M26" i="81" s="1"/>
  <c r="BF33" i="5" l="1"/>
  <c r="BG33" i="5" s="1"/>
  <c r="G33" i="65" s="1"/>
  <c r="I29" i="63"/>
  <c r="BB34" i="5"/>
  <c r="BE34" i="5" s="1"/>
  <c r="BF34" i="5" s="1"/>
  <c r="BG34" i="5" s="1"/>
  <c r="M33" i="5"/>
  <c r="N32" i="5"/>
  <c r="O33" i="5"/>
  <c r="P32" i="5"/>
  <c r="AS36" i="5"/>
  <c r="AY36" i="5" s="1"/>
  <c r="AY35" i="5"/>
  <c r="Q31" i="5"/>
  <c r="M27" i="81" s="1"/>
  <c r="BB36" i="5" l="1"/>
  <c r="BE36" i="5" s="1"/>
  <c r="BF36" i="5" s="1"/>
  <c r="BG36" i="5" s="1"/>
  <c r="BB35" i="5"/>
  <c r="BE35" i="5" s="1"/>
  <c r="BF35" i="5" s="1"/>
  <c r="BG35" i="5" s="1"/>
  <c r="M34" i="5"/>
  <c r="N33" i="5"/>
  <c r="O34" i="5"/>
  <c r="P33" i="5"/>
  <c r="Q32" i="5"/>
  <c r="M28" i="81" s="1"/>
  <c r="M35" i="5" l="1"/>
  <c r="N34" i="5"/>
  <c r="O35" i="5"/>
  <c r="P34" i="5"/>
  <c r="Q33" i="5"/>
  <c r="M29" i="81" s="1"/>
  <c r="M36" i="5" l="1"/>
  <c r="N36" i="5" s="1"/>
  <c r="N35" i="5"/>
  <c r="P35" i="5"/>
  <c r="O36" i="5"/>
  <c r="P36" i="5" s="1"/>
  <c r="Q34" i="5"/>
  <c r="M30" i="81" s="1"/>
  <c r="Q36" i="5" l="1"/>
  <c r="Q35" i="5"/>
  <c r="M31" i="81" s="1"/>
  <c r="M32" i="81" l="1"/>
  <c r="Q37" i="5"/>
  <c r="O38" i="5" s="1"/>
  <c r="F3" i="3" l="1"/>
  <c r="AB3" i="3" s="1"/>
  <c r="F9" i="3" l="1"/>
  <c r="AB9" i="3" s="1"/>
  <c r="F10" i="3" l="1"/>
  <c r="AB10" i="3" s="1"/>
  <c r="F11" i="3" l="1"/>
  <c r="AB11" i="3" s="1"/>
  <c r="F15" i="3" l="1"/>
  <c r="AB15" i="3" s="1"/>
  <c r="F16" i="3" l="1"/>
  <c r="AB16" i="3" s="1"/>
  <c r="F23" i="3" l="1"/>
  <c r="AB23" i="3" s="1"/>
  <c r="F24" i="3"/>
  <c r="AB24" i="3" s="1"/>
  <c r="F28" i="3" l="1"/>
  <c r="AB28" i="3" s="1"/>
  <c r="F29" i="3"/>
  <c r="AB29" i="3" s="1"/>
  <c r="P3" i="3" l="1"/>
  <c r="P4" i="3" l="1"/>
  <c r="Q3" i="3"/>
  <c r="P5" i="3" l="1"/>
  <c r="Q4" i="3"/>
  <c r="Q5" i="3" l="1"/>
  <c r="P6" i="3"/>
  <c r="Q6" i="3" l="1"/>
  <c r="P7" i="3"/>
  <c r="Q7" i="3" l="1"/>
  <c r="P8" i="3"/>
  <c r="P9" i="3" l="1"/>
  <c r="Q8" i="3"/>
  <c r="Q9" i="3" l="1"/>
  <c r="P10" i="3"/>
  <c r="Q10" i="3" l="1"/>
  <c r="P11" i="3"/>
  <c r="P12" i="3" l="1"/>
  <c r="Q11" i="3"/>
  <c r="Q12" i="3" l="1"/>
  <c r="P13" i="3"/>
  <c r="P14" i="3" l="1"/>
  <c r="Q13" i="3"/>
  <c r="P15" i="3" l="1"/>
  <c r="Q18" i="3"/>
  <c r="Q14" i="3"/>
  <c r="Q15" i="3" l="1"/>
  <c r="P16" i="3"/>
  <c r="Q16" i="3" l="1"/>
  <c r="P17" i="3"/>
  <c r="P18" i="3" l="1"/>
  <c r="P19" i="3" s="1"/>
  <c r="Q17" i="3"/>
  <c r="P20" i="3" l="1"/>
  <c r="Q19" i="3"/>
  <c r="Q20" i="3" l="1"/>
  <c r="P21" i="3"/>
  <c r="P22" i="3" l="1"/>
  <c r="Q21" i="3"/>
  <c r="Q22" i="3" l="1"/>
  <c r="P23" i="3"/>
  <c r="Q23" i="3" l="1"/>
  <c r="P24" i="3"/>
  <c r="Q24" i="3" l="1"/>
  <c r="P25" i="3"/>
  <c r="Q25" i="3" l="1"/>
  <c r="P26" i="3"/>
  <c r="Q26" i="3" l="1"/>
  <c r="P27" i="3"/>
  <c r="Q27" i="3" l="1"/>
  <c r="P28" i="3"/>
  <c r="P29" i="3" l="1"/>
  <c r="Q28" i="3"/>
  <c r="P30" i="3" l="1"/>
  <c r="Q29" i="3"/>
  <c r="Q30" i="3" l="1"/>
  <c r="P31" i="3"/>
  <c r="Q31" i="3" l="1"/>
  <c r="P32" i="3"/>
  <c r="P33" i="3" l="1"/>
  <c r="Q33" i="3" s="1"/>
  <c r="Q32" i="3"/>
  <c r="AX5" i="1"/>
  <c r="J2" i="81" l="1"/>
  <c r="AX6" i="1"/>
  <c r="J3" i="81" l="1"/>
  <c r="AX7" i="1"/>
  <c r="J4" i="81" l="1"/>
  <c r="AX8" i="1"/>
  <c r="J5" i="81" l="1"/>
  <c r="AX9" i="1"/>
  <c r="J6" i="81" l="1"/>
  <c r="AX10" i="1"/>
  <c r="J7" i="81" l="1"/>
  <c r="AX11" i="1"/>
  <c r="AX12" i="1" l="1"/>
  <c r="J8" i="81"/>
  <c r="J9" i="81" l="1"/>
  <c r="AX13" i="1"/>
  <c r="AX14" i="1" l="1"/>
  <c r="J10" i="81"/>
  <c r="AX15" i="1" l="1"/>
  <c r="J11" i="81"/>
  <c r="J12" i="81" l="1"/>
  <c r="AX16" i="1"/>
  <c r="AX17" i="1" l="1"/>
  <c r="J13" i="81"/>
  <c r="J14" i="81" l="1"/>
  <c r="AX18" i="1"/>
  <c r="J15" i="81" l="1"/>
  <c r="AX19" i="1"/>
  <c r="J16" i="81" l="1"/>
  <c r="AX20" i="1"/>
  <c r="AX21" i="1" l="1"/>
  <c r="J17" i="81"/>
  <c r="J18" i="81" l="1"/>
  <c r="AX22" i="1"/>
  <c r="J19" i="81" l="1"/>
  <c r="AX23" i="1"/>
  <c r="AX24" i="1" l="1"/>
  <c r="J20" i="81"/>
  <c r="AX25" i="1" l="1"/>
  <c r="J21" i="81"/>
  <c r="J22" i="81" l="1"/>
  <c r="AX26" i="1"/>
  <c r="J23" i="81" l="1"/>
  <c r="AX27" i="1"/>
  <c r="AX28" i="1" l="1"/>
  <c r="J24" i="81"/>
  <c r="AX29" i="1" l="1"/>
  <c r="J25" i="81"/>
  <c r="AX30" i="1" l="1"/>
  <c r="J26" i="81"/>
  <c r="J27" i="81" l="1"/>
  <c r="AX31" i="1"/>
  <c r="AX32" i="1" l="1"/>
  <c r="J28" i="81"/>
  <c r="J29" i="81" l="1"/>
  <c r="AX33" i="1"/>
  <c r="J30" i="81" l="1"/>
  <c r="AX34" i="1"/>
  <c r="J31" i="81" l="1"/>
  <c r="AX35" i="1"/>
  <c r="J32" i="81" s="1"/>
  <c r="BC6" i="5" l="1"/>
  <c r="I3" i="63" l="1"/>
  <c r="BE6" i="5"/>
  <c r="BF6" i="5" s="1"/>
  <c r="BG6" i="5" s="1"/>
  <c r="G6" i="65" s="1"/>
  <c r="I2" i="63" l="1"/>
  <c r="G5" i="65" l="1"/>
  <c r="AC4" i="1" l="1"/>
  <c r="AC5" i="1" s="1"/>
  <c r="AC6" i="1" l="1"/>
  <c r="AD5" i="1"/>
  <c r="AG5" i="1" l="1"/>
  <c r="AM5" i="1"/>
  <c r="AC7" i="1"/>
  <c r="AD6" i="1"/>
  <c r="F6" i="75" l="1"/>
  <c r="G6" i="75" s="1"/>
  <c r="AG6" i="1"/>
  <c r="AM6" i="1"/>
  <c r="F7" i="75" s="1"/>
  <c r="G7" i="75" s="1"/>
  <c r="AC8" i="1"/>
  <c r="AD7" i="1"/>
  <c r="AC9" i="1" l="1"/>
  <c r="AD8" i="1"/>
  <c r="AG7" i="1"/>
  <c r="AM7" i="1"/>
  <c r="F8" i="75" s="1"/>
  <c r="G8" i="75" s="1"/>
  <c r="AG8" i="1" l="1"/>
  <c r="AM8" i="1"/>
  <c r="AC10" i="1"/>
  <c r="AD9" i="1"/>
  <c r="AG9" i="1" l="1"/>
  <c r="AM9" i="1"/>
  <c r="F10" i="75" s="1"/>
  <c r="G10" i="75" s="1"/>
  <c r="AC11" i="1"/>
  <c r="AD10" i="1"/>
  <c r="F9" i="75"/>
  <c r="G9" i="75" s="1"/>
  <c r="AG10" i="1" l="1"/>
  <c r="AM10" i="1"/>
  <c r="AC12" i="1"/>
  <c r="AD11" i="1"/>
  <c r="AM11" i="1" l="1"/>
  <c r="F12" i="75" s="1"/>
  <c r="G12" i="75" s="1"/>
  <c r="AG11" i="1"/>
  <c r="AC13" i="1"/>
  <c r="AD12" i="1"/>
  <c r="F11" i="75"/>
  <c r="G11" i="75" s="1"/>
  <c r="AG12" i="1" l="1"/>
  <c r="AM12" i="1"/>
  <c r="AC14" i="1"/>
  <c r="AD13" i="1"/>
  <c r="F13" i="75" l="1"/>
  <c r="G13" i="75" s="1"/>
  <c r="AG13" i="1"/>
  <c r="AM13" i="1"/>
  <c r="F14" i="75" s="1"/>
  <c r="G14" i="75" s="1"/>
  <c r="AC15" i="1"/>
  <c r="AD14" i="1"/>
  <c r="AG14" i="1" l="1"/>
  <c r="AM14" i="1"/>
  <c r="F15" i="75" s="1"/>
  <c r="G15" i="75" s="1"/>
  <c r="AC16" i="1"/>
  <c r="AD15" i="1"/>
  <c r="AG15" i="1" l="1"/>
  <c r="AM15" i="1"/>
  <c r="F16" i="75" s="1"/>
  <c r="G16" i="75" s="1"/>
  <c r="AC17" i="1"/>
  <c r="AD16" i="1"/>
  <c r="AM16" i="1" l="1"/>
  <c r="F17" i="75" s="1"/>
  <c r="G17" i="75" s="1"/>
  <c r="AG16" i="1"/>
  <c r="AC18" i="1"/>
  <c r="AD17" i="1"/>
  <c r="AM17" i="1" l="1"/>
  <c r="F18" i="75" s="1"/>
  <c r="G18" i="75" s="1"/>
  <c r="AG17" i="1"/>
  <c r="AC19" i="1"/>
  <c r="AD18" i="1"/>
  <c r="AM18" i="1" l="1"/>
  <c r="F19" i="75" s="1"/>
  <c r="G19" i="75" s="1"/>
  <c r="AG18" i="1"/>
  <c r="AC20" i="1"/>
  <c r="AD19" i="1"/>
  <c r="AC21" i="1" l="1"/>
  <c r="AD20" i="1"/>
  <c r="AG19" i="1"/>
  <c r="AM19" i="1"/>
  <c r="F20" i="75" s="1"/>
  <c r="G20" i="75" s="1"/>
  <c r="AM20" i="1" l="1"/>
  <c r="F21" i="75" s="1"/>
  <c r="G21" i="75" s="1"/>
  <c r="AG20" i="1"/>
  <c r="AC22" i="1"/>
  <c r="AD21" i="1"/>
  <c r="AC23" i="1" l="1"/>
  <c r="AD22" i="1"/>
  <c r="AM21" i="1"/>
  <c r="F22" i="75" s="1"/>
  <c r="G22" i="75" s="1"/>
  <c r="AG21" i="1"/>
  <c r="AG22" i="1" l="1"/>
  <c r="AM22" i="1"/>
  <c r="F23" i="75" s="1"/>
  <c r="G23" i="75" s="1"/>
  <c r="AC24" i="1"/>
  <c r="AD23" i="1"/>
  <c r="AM23" i="1" l="1"/>
  <c r="F24" i="75" s="1"/>
  <c r="G24" i="75" s="1"/>
  <c r="AG23" i="1"/>
  <c r="AC25" i="1"/>
  <c r="AD24" i="1"/>
  <c r="AC26" i="1" l="1"/>
  <c r="AD25" i="1"/>
  <c r="AM24" i="1"/>
  <c r="F25" i="75" s="1"/>
  <c r="G25" i="75" s="1"/>
  <c r="AG24" i="1"/>
  <c r="AM25" i="1" l="1"/>
  <c r="F26" i="75" s="1"/>
  <c r="G26" i="75" s="1"/>
  <c r="AG25" i="1"/>
  <c r="AC27" i="1"/>
  <c r="AD26" i="1"/>
  <c r="AG26" i="1" l="1"/>
  <c r="AM26" i="1"/>
  <c r="F27" i="75" s="1"/>
  <c r="G27" i="75" s="1"/>
  <c r="AC28" i="1"/>
  <c r="AD27" i="1"/>
  <c r="AM27" i="1" l="1"/>
  <c r="F28" i="75" s="1"/>
  <c r="G28" i="75" s="1"/>
  <c r="AG27" i="1"/>
  <c r="AC29" i="1"/>
  <c r="AD28" i="1"/>
  <c r="AC30" i="1" l="1"/>
  <c r="AD29" i="1"/>
  <c r="AG28" i="1"/>
  <c r="AM28" i="1"/>
  <c r="F29" i="75" s="1"/>
  <c r="G29" i="75" s="1"/>
  <c r="AM29" i="1" l="1"/>
  <c r="F30" i="75" s="1"/>
  <c r="G30" i="75" s="1"/>
  <c r="AG29" i="1"/>
  <c r="AC31" i="1"/>
  <c r="AD30" i="1"/>
  <c r="AC32" i="1" l="1"/>
  <c r="AD31" i="1"/>
  <c r="AM30" i="1"/>
  <c r="F31" i="75" s="1"/>
  <c r="G31" i="75" s="1"/>
  <c r="AG30" i="1"/>
  <c r="AG31" i="1" l="1"/>
  <c r="AM31" i="1"/>
  <c r="F32" i="75" s="1"/>
  <c r="G32" i="75" s="1"/>
  <c r="AC33" i="1"/>
  <c r="AD32" i="1"/>
  <c r="AC34" i="1" l="1"/>
  <c r="AD33" i="1"/>
  <c r="AG32" i="1"/>
  <c r="AM32" i="1"/>
  <c r="F33" i="75" s="1"/>
  <c r="G33" i="75" s="1"/>
  <c r="AG33" i="1" l="1"/>
  <c r="AM33" i="1"/>
  <c r="AC35" i="1"/>
  <c r="AD35" i="1" s="1"/>
  <c r="AD34" i="1"/>
  <c r="AM35" i="1" l="1"/>
  <c r="AG35" i="1"/>
  <c r="AM34" i="1"/>
  <c r="AG34" i="1"/>
  <c r="AM36" i="1" l="1"/>
  <c r="T2" i="3" l="1"/>
  <c r="T3" i="3" s="1"/>
  <c r="T4" i="3" s="1"/>
  <c r="T5" i="3" s="1"/>
  <c r="T6" i="3" s="1"/>
  <c r="T7" i="3" s="1"/>
  <c r="T8" i="3" s="1"/>
  <c r="T9" i="3" s="1"/>
  <c r="T10" i="3" s="1"/>
  <c r="T11" i="3" s="1"/>
  <c r="T12" i="3" s="1"/>
  <c r="T13" i="3" s="1"/>
  <c r="T14" i="3" s="1"/>
  <c r="T15" i="3" s="1"/>
  <c r="T16" i="3" s="1"/>
  <c r="T17" i="3" s="1"/>
  <c r="T18" i="3" s="1"/>
  <c r="T19" i="3" s="1"/>
  <c r="T20" i="3" s="1"/>
  <c r="T21" i="3" s="1"/>
  <c r="T22" i="3" s="1"/>
  <c r="T23" i="3" s="1"/>
  <c r="T24" i="3" s="1"/>
  <c r="T25" i="3" s="1"/>
  <c r="T26" i="3" s="1"/>
  <c r="T27" i="3" s="1"/>
  <c r="T28" i="3" s="1"/>
  <c r="T29" i="3" s="1"/>
  <c r="T30" i="3" s="1"/>
  <c r="T31" i="3" s="1"/>
  <c r="T32" i="3" s="1"/>
  <c r="T33" i="3" s="1"/>
  <c r="L2" i="3" l="1"/>
  <c r="L3" i="3" s="1"/>
  <c r="L4" i="3" l="1"/>
  <c r="M3" i="3"/>
  <c r="L5" i="3" l="1"/>
  <c r="M4" i="3"/>
  <c r="L6" i="3" l="1"/>
  <c r="M5" i="3"/>
  <c r="L7" i="3" l="1"/>
  <c r="M6" i="3"/>
  <c r="L8" i="3" l="1"/>
  <c r="M7" i="3"/>
  <c r="L9" i="3" l="1"/>
  <c r="M8" i="3"/>
  <c r="M9" i="3" l="1"/>
  <c r="L10" i="3"/>
  <c r="L11" i="3" l="1"/>
  <c r="M10" i="3"/>
  <c r="M11" i="3" l="1"/>
  <c r="L12" i="3"/>
  <c r="L13" i="3" l="1"/>
  <c r="M12" i="3"/>
  <c r="L14" i="3" l="1"/>
  <c r="M13" i="3"/>
  <c r="M14" i="3" l="1"/>
  <c r="L15" i="3"/>
  <c r="M15" i="3" l="1"/>
  <c r="L16" i="3"/>
  <c r="L17" i="3" l="1"/>
  <c r="M16" i="3"/>
  <c r="M17" i="3" l="1"/>
  <c r="L18" i="3"/>
  <c r="M18" i="3" l="1"/>
  <c r="L19" i="3"/>
  <c r="M19" i="3" l="1"/>
  <c r="L20" i="3"/>
  <c r="D2" i="3" l="1"/>
  <c r="D3" i="3" s="1"/>
  <c r="L21" i="3"/>
  <c r="M20" i="3"/>
  <c r="E3" i="3" l="1"/>
  <c r="AA3" i="3" s="1"/>
  <c r="AC3" i="3" s="1"/>
  <c r="AH3" i="3" s="1"/>
  <c r="D4" i="3"/>
  <c r="M21" i="3"/>
  <c r="L22" i="3"/>
  <c r="E2" i="3"/>
  <c r="M22" i="3" l="1"/>
  <c r="L23" i="3"/>
  <c r="E4" i="3"/>
  <c r="D5" i="3"/>
  <c r="F4" i="3" l="1"/>
  <c r="AB4" i="3" s="1"/>
  <c r="AA4" i="3"/>
  <c r="AC4" i="3" s="1"/>
  <c r="AH4" i="3" s="1"/>
  <c r="M23" i="3"/>
  <c r="L24" i="3"/>
  <c r="D6" i="3"/>
  <c r="E5" i="3"/>
  <c r="D7" i="3" l="1"/>
  <c r="E6" i="3"/>
  <c r="F5" i="3"/>
  <c r="AB5" i="3" s="1"/>
  <c r="AA5" i="3"/>
  <c r="AC5" i="3" s="1"/>
  <c r="AH5" i="3" s="1"/>
  <c r="M24" i="3"/>
  <c r="L25" i="3"/>
  <c r="M25" i="3" l="1"/>
  <c r="L26" i="3"/>
  <c r="F6" i="3"/>
  <c r="AB6" i="3" s="1"/>
  <c r="AA6" i="3"/>
  <c r="AC6" i="3" s="1"/>
  <c r="AH6" i="3" s="1"/>
  <c r="D8" i="3"/>
  <c r="E7" i="3"/>
  <c r="M26" i="3" l="1"/>
  <c r="L27" i="3"/>
  <c r="F7" i="3"/>
  <c r="AB7" i="3" s="1"/>
  <c r="AA7" i="3"/>
  <c r="AC7" i="3" s="1"/>
  <c r="AH7" i="3" s="1"/>
  <c r="D9" i="3"/>
  <c r="E8" i="3"/>
  <c r="F8" i="3" l="1"/>
  <c r="AB8" i="3" s="1"/>
  <c r="AA8" i="3"/>
  <c r="AC8" i="3" s="1"/>
  <c r="AH8" i="3" s="1"/>
  <c r="D10" i="3"/>
  <c r="E9" i="3"/>
  <c r="AA9" i="3" s="1"/>
  <c r="AC9" i="3" s="1"/>
  <c r="AH9" i="3" s="1"/>
  <c r="M27" i="3"/>
  <c r="L28" i="3"/>
  <c r="M28" i="3" l="1"/>
  <c r="L29" i="3"/>
  <c r="D11" i="3"/>
  <c r="E10" i="3"/>
  <c r="AA10" i="3" s="1"/>
  <c r="AC10" i="3" s="1"/>
  <c r="AH10" i="3" s="1"/>
  <c r="D12" i="3" l="1"/>
  <c r="E11" i="3"/>
  <c r="AA11" i="3" s="1"/>
  <c r="AC11" i="3" s="1"/>
  <c r="AH11" i="3" s="1"/>
  <c r="M29" i="3"/>
  <c r="L30" i="3"/>
  <c r="M30" i="3" l="1"/>
  <c r="L31" i="3"/>
  <c r="E12" i="3"/>
  <c r="D13" i="3"/>
  <c r="F12" i="3" l="1"/>
  <c r="AB12" i="3" s="1"/>
  <c r="AA12" i="3"/>
  <c r="AC12" i="3" s="1"/>
  <c r="AH12" i="3" s="1"/>
  <c r="D14" i="3"/>
  <c r="E13" i="3"/>
  <c r="M31" i="3"/>
  <c r="L32" i="3"/>
  <c r="AA13" i="3" l="1"/>
  <c r="AC13" i="3" s="1"/>
  <c r="AH13" i="3" s="1"/>
  <c r="F13" i="3"/>
  <c r="AB13" i="3" s="1"/>
  <c r="D15" i="3"/>
  <c r="E14" i="3"/>
  <c r="M32" i="3"/>
  <c r="L33" i="3"/>
  <c r="M33" i="3" s="1"/>
  <c r="AA14" i="3" l="1"/>
  <c r="AC14" i="3" s="1"/>
  <c r="AH14" i="3" s="1"/>
  <c r="F14" i="3"/>
  <c r="AB14" i="3" s="1"/>
  <c r="D16" i="3"/>
  <c r="E15" i="3"/>
  <c r="AA15" i="3" s="1"/>
  <c r="AC15" i="3" s="1"/>
  <c r="AH15" i="3" s="1"/>
  <c r="D17" i="3" l="1"/>
  <c r="E16" i="3"/>
  <c r="AA16" i="3" s="1"/>
  <c r="AC16" i="3" s="1"/>
  <c r="AH16" i="3" s="1"/>
  <c r="D18" i="3" l="1"/>
  <c r="E17" i="3"/>
  <c r="AA17" i="3" l="1"/>
  <c r="AC17" i="3" s="1"/>
  <c r="AH17" i="3" s="1"/>
  <c r="F17" i="3"/>
  <c r="AB17" i="3" s="1"/>
  <c r="D19" i="3"/>
  <c r="E18" i="3"/>
  <c r="AA18" i="3" l="1"/>
  <c r="AC18" i="3" s="1"/>
  <c r="AH18" i="3" s="1"/>
  <c r="F18" i="3"/>
  <c r="AB18" i="3" s="1"/>
  <c r="E19" i="3"/>
  <c r="D20" i="3"/>
  <c r="AA19" i="3" l="1"/>
  <c r="AC19" i="3" s="1"/>
  <c r="AH19" i="3" s="1"/>
  <c r="F19" i="3"/>
  <c r="AB19" i="3" s="1"/>
  <c r="E20" i="3"/>
  <c r="D21" i="3"/>
  <c r="AA20" i="3" l="1"/>
  <c r="AC20" i="3" s="1"/>
  <c r="AH20" i="3" s="1"/>
  <c r="F20" i="3"/>
  <c r="AB20" i="3" s="1"/>
  <c r="E21" i="3"/>
  <c r="D22" i="3"/>
  <c r="AA21" i="3" l="1"/>
  <c r="AC21" i="3" s="1"/>
  <c r="AH21" i="3" s="1"/>
  <c r="F21" i="3"/>
  <c r="AB21" i="3" s="1"/>
  <c r="E22" i="3"/>
  <c r="D23" i="3"/>
  <c r="AA22" i="3" l="1"/>
  <c r="AC22" i="3" s="1"/>
  <c r="AH22" i="3" s="1"/>
  <c r="F22" i="3"/>
  <c r="AB22" i="3" s="1"/>
  <c r="D24" i="3"/>
  <c r="E23" i="3"/>
  <c r="AA23" i="3" s="1"/>
  <c r="AC23" i="3" s="1"/>
  <c r="AH23" i="3" s="1"/>
  <c r="E24" i="3" l="1"/>
  <c r="AA24" i="3" s="1"/>
  <c r="AC24" i="3" s="1"/>
  <c r="AH24" i="3" s="1"/>
  <c r="D25" i="3"/>
  <c r="E25" i="3" l="1"/>
  <c r="D26" i="3"/>
  <c r="AA25" i="3" l="1"/>
  <c r="AC25" i="3" s="1"/>
  <c r="AH25" i="3" s="1"/>
  <c r="F25" i="3"/>
  <c r="AB25" i="3" s="1"/>
  <c r="E26" i="3"/>
  <c r="D27" i="3"/>
  <c r="AA26" i="3" l="1"/>
  <c r="AC26" i="3" s="1"/>
  <c r="AH26" i="3" s="1"/>
  <c r="F26" i="3"/>
  <c r="AB26" i="3" s="1"/>
  <c r="E27" i="3"/>
  <c r="D28" i="3"/>
  <c r="AA27" i="3" l="1"/>
  <c r="AC27" i="3" s="1"/>
  <c r="AH27" i="3" s="1"/>
  <c r="F27" i="3"/>
  <c r="AB27" i="3" s="1"/>
  <c r="E28" i="3"/>
  <c r="AA28" i="3" s="1"/>
  <c r="AC28" i="3" s="1"/>
  <c r="AH28" i="3" s="1"/>
  <c r="D29" i="3"/>
  <c r="E29" i="3" l="1"/>
  <c r="AA29" i="3" s="1"/>
  <c r="AC29" i="3" s="1"/>
  <c r="AH29" i="3" s="1"/>
  <c r="D30" i="3"/>
  <c r="E30" i="3" l="1"/>
  <c r="D31" i="3"/>
  <c r="E31" i="3" l="1"/>
  <c r="D32" i="3"/>
  <c r="F30" i="3"/>
  <c r="AB30" i="3" s="1"/>
  <c r="AA30" i="3"/>
  <c r="AC30" i="3" s="1"/>
  <c r="AH30" i="3" s="1"/>
  <c r="E32" i="3" l="1"/>
  <c r="AA32" i="3" s="1"/>
  <c r="AC32" i="3" s="1"/>
  <c r="AH32" i="3" s="1"/>
  <c r="D33" i="3"/>
  <c r="E33" i="3" s="1"/>
  <c r="AA33" i="3" s="1"/>
  <c r="AC33" i="3" s="1"/>
  <c r="AH33" i="3" s="1"/>
  <c r="F31" i="3"/>
  <c r="AB31" i="3" s="1"/>
  <c r="AA31" i="3"/>
  <c r="AC31" i="3" s="1"/>
  <c r="AH31" i="3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 shape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<sst xmlns="http://schemas.openxmlformats.org/spreadsheetml/2006/main" count="666" uniqueCount="418">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</sst>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1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0" applyNumberFormat="1" applyBorder="1" applyAlignment="1">
      <alignment wrapText="1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2" fontId="0" fillId="0" borderId="1" xfId="0" applyNumberFormat="1" applyBorder="1" applyAlignment="1">
      <alignment horizontal="left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43" fontId="0" fillId="0" borderId="43" xfId="1" applyFont="1" applyBorder="1" applyAlignment="1">
      <alignment horizontal="center"/>
    </xf>
    <xf numFmtId="2" fontId="0" fillId="0" borderId="0" xfId="4" applyNumberFormat="1" applyFont="1"/>
    <xf numFmtId="0" fontId="0" fillId="0" borderId="1" xfId="0" applyBorder="1" applyAlignment="1">
      <alignment horizontal="center" vertical="center"/>
    </xf>
    <xf numFmtId="9" fontId="16" fillId="0" borderId="1" xfId="4" applyFont="1" applyFill="1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560992"/>
        <c:axId val="456561376"/>
      </c:lineChart>
      <c:catAx>
        <c:axId val="456560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61376"/>
        <c:crosses val="autoZero"/>
        <c:auto val="1"/>
        <c:lblAlgn val="ctr"/>
        <c:lblOffset val="100"/>
        <c:noMultiLvlLbl val="0"/>
      </c:catAx>
      <c:valAx>
        <c:axId val="456561376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560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00856"/>
        <c:axId val="190601240"/>
      </c:lineChart>
      <c:catAx>
        <c:axId val="190600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601240"/>
        <c:crosses val="autoZero"/>
        <c:auto val="1"/>
        <c:lblAlgn val="ctr"/>
        <c:lblOffset val="100"/>
        <c:noMultiLvlLbl val="0"/>
      </c:catAx>
      <c:valAx>
        <c:axId val="190601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600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5536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259683982455213"/>
          <c:y val="0.19412945354149727"/>
          <c:w val="0.77663126001869953"/>
          <c:h val="0.69029198339826903"/>
        </c:manualLayout>
      </c:layout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707520"/>
        <c:axId val="456708696"/>
      </c:lineChart>
      <c:catAx>
        <c:axId val="45670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8696"/>
        <c:crosses val="autoZero"/>
        <c:auto val="1"/>
        <c:lblAlgn val="ctr"/>
        <c:lblOffset val="100"/>
        <c:noMultiLvlLbl val="0"/>
      </c:catAx>
      <c:valAx>
        <c:axId val="45670869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705168"/>
        <c:axId val="456705560"/>
      </c:lineChart>
      <c:catAx>
        <c:axId val="45670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5560"/>
        <c:crosses val="autoZero"/>
        <c:auto val="1"/>
        <c:lblAlgn val="ctr"/>
        <c:lblOffset val="100"/>
        <c:noMultiLvlLbl val="0"/>
      </c:catAx>
      <c:valAx>
        <c:axId val="45670556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6893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706344"/>
        <c:axId val="456707128"/>
      </c:lineChart>
      <c:catAx>
        <c:axId val="456706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7128"/>
        <c:crosses val="autoZero"/>
        <c:auto val="1"/>
        <c:lblAlgn val="ctr"/>
        <c:lblOffset val="100"/>
        <c:noMultiLvlLbl val="0"/>
      </c:catAx>
      <c:valAx>
        <c:axId val="45670712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6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4194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708304"/>
        <c:axId val="456222736"/>
      </c:lineChart>
      <c:catAx>
        <c:axId val="456708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2736"/>
        <c:crosses val="autoZero"/>
        <c:auto val="1"/>
        <c:lblAlgn val="ctr"/>
        <c:lblOffset val="100"/>
        <c:noMultiLvlLbl val="0"/>
      </c:catAx>
      <c:valAx>
        <c:axId val="456222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70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24304"/>
        <c:axId val="456220384"/>
      </c:lineChart>
      <c:catAx>
        <c:axId val="45622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0384"/>
        <c:crosses val="autoZero"/>
        <c:auto val="1"/>
        <c:lblAlgn val="ctr"/>
        <c:lblOffset val="100"/>
        <c:noMultiLvlLbl val="0"/>
      </c:catAx>
      <c:valAx>
        <c:axId val="456220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4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26656"/>
        <c:axId val="456224696"/>
      </c:lineChart>
      <c:catAx>
        <c:axId val="456226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4696"/>
        <c:crosses val="autoZero"/>
        <c:auto val="1"/>
        <c:lblAlgn val="ctr"/>
        <c:lblOffset val="100"/>
        <c:noMultiLvlLbl val="0"/>
      </c:catAx>
      <c:valAx>
        <c:axId val="4562246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6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21560"/>
        <c:axId val="456227832"/>
      </c:lineChart>
      <c:catAx>
        <c:axId val="456221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7832"/>
        <c:crosses val="autoZero"/>
        <c:auto val="1"/>
        <c:lblAlgn val="ctr"/>
        <c:lblOffset val="100"/>
        <c:noMultiLvlLbl val="0"/>
      </c:catAx>
      <c:valAx>
        <c:axId val="4562278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1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7481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27048"/>
        <c:axId val="456223520"/>
      </c:lineChart>
      <c:catAx>
        <c:axId val="456227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3520"/>
        <c:crosses val="autoZero"/>
        <c:auto val="1"/>
        <c:lblAlgn val="ctr"/>
        <c:lblOffset val="100"/>
        <c:noMultiLvlLbl val="0"/>
      </c:catAx>
      <c:valAx>
        <c:axId val="4562235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7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23128"/>
        <c:axId val="456223912"/>
      </c:lineChart>
      <c:catAx>
        <c:axId val="456223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3912"/>
        <c:crosses val="autoZero"/>
        <c:auto val="1"/>
        <c:lblAlgn val="ctr"/>
        <c:lblOffset val="100"/>
        <c:noMultiLvlLbl val="0"/>
      </c:catAx>
      <c:valAx>
        <c:axId val="456223912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3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log'!$C$4:$C$34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319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6225872"/>
        <c:axId val="456226264"/>
      </c:lineChart>
      <c:catAx>
        <c:axId val="45622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6264"/>
        <c:crosses val="autoZero"/>
        <c:auto val="1"/>
        <c:lblAlgn val="ctr"/>
        <c:lblOffset val="100"/>
        <c:noMultiLvlLbl val="0"/>
      </c:catAx>
      <c:valAx>
        <c:axId val="456226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622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8976"/>
          <c:w val="5.1419800460475666E-2"/>
          <c:h val="4.436860068259393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144</c:v>
                </c:pt>
                <c:pt idx="1">
                  <c:v>0</c:v>
                </c:pt>
                <c:pt idx="2">
                  <c:v>294</c:v>
                </c:pt>
                <c:pt idx="3">
                  <c:v>47</c:v>
                </c:pt>
                <c:pt idx="4">
                  <c:v>144</c:v>
                </c:pt>
                <c:pt idx="5">
                  <c:v>64</c:v>
                </c:pt>
                <c:pt idx="6">
                  <c:v>61</c:v>
                </c:pt>
                <c:pt idx="7">
                  <c:v>-12</c:v>
                </c:pt>
                <c:pt idx="8">
                  <c:v>0</c:v>
                </c:pt>
                <c:pt idx="9">
                  <c:v>0</c:v>
                </c:pt>
                <c:pt idx="10">
                  <c:v>173</c:v>
                </c:pt>
                <c:pt idx="11">
                  <c:v>0</c:v>
                </c:pt>
                <c:pt idx="12">
                  <c:v>172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305</c:v>
                </c:pt>
                <c:pt idx="17">
                  <c:v>116</c:v>
                </c:pt>
                <c:pt idx="18">
                  <c:v>0</c:v>
                </c:pt>
                <c:pt idx="19">
                  <c:v>107</c:v>
                </c:pt>
                <c:pt idx="20">
                  <c:v>38</c:v>
                </c:pt>
                <c:pt idx="21">
                  <c:v>0</c:v>
                </c:pt>
                <c:pt idx="22">
                  <c:v>0</c:v>
                </c:pt>
                <c:pt idx="23">
                  <c:v>190</c:v>
                </c:pt>
                <c:pt idx="24">
                  <c:v>158</c:v>
                </c:pt>
                <c:pt idx="25">
                  <c:v>112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2432"/>
        <c:axId val="457424000"/>
      </c:lineChart>
      <c:catAx>
        <c:axId val="457422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4000"/>
        <c:crosses val="autoZero"/>
        <c:auto val="1"/>
        <c:lblAlgn val="ctr"/>
        <c:lblOffset val="100"/>
        <c:noMultiLvlLbl val="0"/>
      </c:catAx>
      <c:valAx>
        <c:axId val="457424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-90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0472"/>
        <c:axId val="457420864"/>
      </c:lineChart>
      <c:catAx>
        <c:axId val="4574204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0864"/>
        <c:crosses val="autoZero"/>
        <c:auto val="1"/>
        <c:lblAlgn val="ctr"/>
        <c:lblOffset val="100"/>
        <c:noMultiLvlLbl val="0"/>
      </c:catAx>
      <c:valAx>
        <c:axId val="45742086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0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4078.7999999998137</c:v>
                </c:pt>
                <c:pt idx="1">
                  <c:v>0</c:v>
                </c:pt>
                <c:pt idx="2">
                  <c:v>2653</c:v>
                </c:pt>
                <c:pt idx="3">
                  <c:v>2747</c:v>
                </c:pt>
                <c:pt idx="4">
                  <c:v>2696</c:v>
                </c:pt>
                <c:pt idx="5">
                  <c:v>3300</c:v>
                </c:pt>
                <c:pt idx="6">
                  <c:v>2673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2752</c:v>
                </c:pt>
                <c:pt idx="11">
                  <c:v>2353</c:v>
                </c:pt>
                <c:pt idx="12">
                  <c:v>3292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4852</c:v>
                </c:pt>
                <c:pt idx="17">
                  <c:v>1979</c:v>
                </c:pt>
                <c:pt idx="18">
                  <c:v>2613</c:v>
                </c:pt>
                <c:pt idx="19">
                  <c:v>2436</c:v>
                </c:pt>
                <c:pt idx="20">
                  <c:v>2195</c:v>
                </c:pt>
                <c:pt idx="21">
                  <c:v>0</c:v>
                </c:pt>
                <c:pt idx="22">
                  <c:v>0</c:v>
                </c:pt>
                <c:pt idx="23">
                  <c:v>3654.2000000001863</c:v>
                </c:pt>
                <c:pt idx="24">
                  <c:v>2879.7999999998137</c:v>
                </c:pt>
                <c:pt idx="25">
                  <c:v>3149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4392"/>
        <c:axId val="457425960"/>
      </c:lineChart>
      <c:catAx>
        <c:axId val="457424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5960"/>
        <c:crosses val="autoZero"/>
        <c:auto val="1"/>
        <c:lblAlgn val="ctr"/>
        <c:lblOffset val="100"/>
        <c:noMultiLvlLbl val="0"/>
      </c:catAx>
      <c:valAx>
        <c:axId val="457425960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4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319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2040"/>
        <c:axId val="457421256"/>
      </c:lineChart>
      <c:catAx>
        <c:axId val="457422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1256"/>
        <c:crosses val="autoZero"/>
        <c:auto val="1"/>
        <c:lblAlgn val="ctr"/>
        <c:lblOffset val="100"/>
        <c:noMultiLvlLbl val="0"/>
      </c:catAx>
      <c:valAx>
        <c:axId val="457421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2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573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10</c:v>
                </c:pt>
                <c:pt idx="11">
                  <c:v>14</c:v>
                </c:pt>
                <c:pt idx="12">
                  <c:v>0</c:v>
                </c:pt>
                <c:pt idx="13">
                  <c:v>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0</c:v>
                </c:pt>
                <c:pt idx="21">
                  <c:v>0</c:v>
                </c:pt>
                <c:pt idx="22">
                  <c:v>12</c:v>
                </c:pt>
                <c:pt idx="23">
                  <c:v>10</c:v>
                </c:pt>
                <c:pt idx="24">
                  <c:v>11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3608"/>
        <c:axId val="457423216"/>
      </c:lineChart>
      <c:catAx>
        <c:axId val="457423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3216"/>
        <c:crosses val="autoZero"/>
        <c:auto val="1"/>
        <c:lblAlgn val="ctr"/>
        <c:lblOffset val="100"/>
        <c:noMultiLvlLbl val="0"/>
      </c:catAx>
      <c:valAx>
        <c:axId val="45742321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3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7652"/>
          <c:y val="0.54325368498487869"/>
          <c:w val="0.1145835520559925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3080.2903225806513</c:v>
                </c:pt>
                <c:pt idx="1">
                  <c:v>4906.8387096774095</c:v>
                </c:pt>
                <c:pt idx="2">
                  <c:v>-1226.7096774193633</c:v>
                </c:pt>
                <c:pt idx="3">
                  <c:v>-1156.7096774193487</c:v>
                </c:pt>
                <c:pt idx="4">
                  <c:v>-1226.7096774193487</c:v>
                </c:pt>
                <c:pt idx="5">
                  <c:v>-683.35483870966709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-1275.0483870968019</c:v>
                </c:pt>
                <c:pt idx="10">
                  <c:v>-1178.3709677419247</c:v>
                </c:pt>
                <c:pt idx="11">
                  <c:v>-9.8064516129088588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-2146.7419354838639</c:v>
                </c:pt>
                <c:pt idx="16">
                  <c:v>-850.03225806450064</c:v>
                </c:pt>
                <c:pt idx="17">
                  <c:v>-990.03225806454429</c:v>
                </c:pt>
                <c:pt idx="18">
                  <c:v>-920.03225806451519</c:v>
                </c:pt>
                <c:pt idx="19">
                  <c:v>725.29032258065126</c:v>
                </c:pt>
                <c:pt idx="20">
                  <c:v>0</c:v>
                </c:pt>
                <c:pt idx="21">
                  <c:v>0</c:v>
                </c:pt>
                <c:pt idx="22">
                  <c:v>-1533.3870967741677</c:v>
                </c:pt>
                <c:pt idx="23">
                  <c:v>-1156.7096774193633</c:v>
                </c:pt>
                <c:pt idx="24">
                  <c:v>-990.03225806454429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5568"/>
        <c:axId val="457426352"/>
      </c:lineChart>
      <c:catAx>
        <c:axId val="457425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6352"/>
        <c:crosses val="autoZero"/>
        <c:auto val="1"/>
        <c:lblAlgn val="ctr"/>
        <c:lblOffset val="100"/>
        <c:noMultiLvlLbl val="0"/>
      </c:catAx>
      <c:valAx>
        <c:axId val="45742635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5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7427136"/>
        <c:axId val="457427528"/>
      </c:lineChart>
      <c:catAx>
        <c:axId val="457427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7528"/>
        <c:crosses val="autoZero"/>
        <c:auto val="1"/>
        <c:lblAlgn val="ctr"/>
        <c:lblOffset val="100"/>
        <c:noMultiLvlLbl val="0"/>
      </c:catAx>
      <c:valAx>
        <c:axId val="4574275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7427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601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62064"/>
        <c:axId val="458759712"/>
      </c:lineChart>
      <c:catAx>
        <c:axId val="458762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59712"/>
        <c:crosses val="autoZero"/>
        <c:auto val="1"/>
        <c:lblAlgn val="ctr"/>
        <c:lblOffset val="100"/>
        <c:noMultiLvlLbl val="0"/>
      </c:catAx>
      <c:valAx>
        <c:axId val="45875971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2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31788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60104"/>
        <c:axId val="458758144"/>
      </c:lineChart>
      <c:catAx>
        <c:axId val="458760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58144"/>
        <c:crosses val="autoZero"/>
        <c:auto val="1"/>
        <c:lblAlgn val="ctr"/>
        <c:lblOffset val="100"/>
        <c:noMultiLvlLbl val="0"/>
      </c:catAx>
      <c:valAx>
        <c:axId val="4587581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0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56184"/>
        <c:axId val="458757752"/>
      </c:lineChart>
      <c:catAx>
        <c:axId val="458756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57752"/>
        <c:crosses val="autoZero"/>
        <c:auto val="1"/>
        <c:lblAlgn val="ctr"/>
        <c:lblOffset val="100"/>
        <c:noMultiLvlLbl val="0"/>
      </c:catAx>
      <c:valAx>
        <c:axId val="458757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56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40621"/>
          <c:y val="0.62975887529635965"/>
          <c:w val="0.13250539334757044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199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73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57360"/>
        <c:axId val="458763632"/>
      </c:lineChart>
      <c:catAx>
        <c:axId val="458757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3632"/>
        <c:crosses val="autoZero"/>
        <c:auto val="1"/>
        <c:lblAlgn val="ctr"/>
        <c:lblOffset val="100"/>
        <c:noMultiLvlLbl val="0"/>
      </c:catAx>
      <c:valAx>
        <c:axId val="458763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5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56576"/>
        <c:axId val="458763240"/>
      </c:lineChart>
      <c:catAx>
        <c:axId val="458756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3240"/>
        <c:crosses val="autoZero"/>
        <c:auto val="1"/>
        <c:lblAlgn val="ctr"/>
        <c:lblOffset val="100"/>
        <c:noMultiLvlLbl val="0"/>
      </c:catAx>
      <c:valAx>
        <c:axId val="458763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56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6893"/>
          <c:w val="0.12343118198094757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60496"/>
        <c:axId val="458761672"/>
      </c:lineChart>
      <c:catAx>
        <c:axId val="4587604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1672"/>
        <c:crosses val="autoZero"/>
        <c:auto val="1"/>
        <c:lblAlgn val="ctr"/>
        <c:lblOffset val="100"/>
        <c:noMultiLvlLbl val="0"/>
      </c:catAx>
      <c:valAx>
        <c:axId val="458761672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0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3898"/>
          <c:w val="0.15690398532824976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761280"/>
        <c:axId val="458812040"/>
      </c:lineChart>
      <c:catAx>
        <c:axId val="4587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812040"/>
        <c:crosses val="autoZero"/>
        <c:auto val="1"/>
        <c:lblAlgn val="ctr"/>
        <c:lblOffset val="100"/>
        <c:noMultiLvlLbl val="0"/>
      </c:catAx>
      <c:valAx>
        <c:axId val="4588120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761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5008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26.5</c:v>
                </c:pt>
                <c:pt idx="1">
                  <c:v>0</c:v>
                </c:pt>
                <c:pt idx="2">
                  <c:v>0</c:v>
                </c:pt>
                <c:pt idx="3">
                  <c:v>26.5</c:v>
                </c:pt>
                <c:pt idx="4">
                  <c:v>26.5</c:v>
                </c:pt>
                <c:pt idx="5">
                  <c:v>24.5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25</c:v>
                </c:pt>
                <c:pt idx="11">
                  <c:v>24.5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23.5</c:v>
                </c:pt>
                <c:pt idx="17">
                  <c:v>24</c:v>
                </c:pt>
                <c:pt idx="18">
                  <c:v>23.5</c:v>
                </c:pt>
                <c:pt idx="19">
                  <c:v>23.5</c:v>
                </c:pt>
                <c:pt idx="20">
                  <c:v>0</c:v>
                </c:pt>
                <c:pt idx="21">
                  <c:v>0</c:v>
                </c:pt>
                <c:pt idx="22">
                  <c:v>24</c:v>
                </c:pt>
                <c:pt idx="23">
                  <c:v>24.5</c:v>
                </c:pt>
                <c:pt idx="24">
                  <c:v>24.5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808512"/>
        <c:axId val="458805376"/>
      </c:lineChart>
      <c:catAx>
        <c:axId val="458808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805376"/>
        <c:crosses val="autoZero"/>
        <c:auto val="1"/>
        <c:lblAlgn val="ctr"/>
        <c:lblOffset val="100"/>
        <c:noMultiLvlLbl val="0"/>
      </c:catAx>
      <c:valAx>
        <c:axId val="458805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80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9266"/>
          <c:y val="0.62975887529635965"/>
          <c:w val="0.12164948453608219"/>
          <c:h val="4.4982698961950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-220.20000000000007</c:v>
                </c:pt>
                <c:pt idx="4">
                  <c:v>-201.30000000000004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34.299999999999997</c:v>
                </c:pt>
                <c:pt idx="4">
                  <c:v>43.399999999999991</c:v>
                </c:pt>
                <c:pt idx="11" formatCode="0.00_ ;[Red]\-0.00\ 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810864"/>
        <c:axId val="458806160"/>
      </c:lineChart>
      <c:catAx>
        <c:axId val="4588108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806160"/>
        <c:crosses val="autoZero"/>
        <c:auto val="1"/>
        <c:lblAlgn val="ctr"/>
        <c:lblOffset val="100"/>
        <c:noMultiLvlLbl val="0"/>
      </c:catAx>
      <c:valAx>
        <c:axId val="458806160"/>
        <c:scaling>
          <c:orientation val="minMax"/>
        </c:scaling>
        <c:delete val="0"/>
        <c:axPos val="l"/>
        <c:majorGridlines/>
        <c:numFmt formatCode="#,##0.0;[Red]#,##0.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458810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3898"/>
          <c:w val="0.15560165975103471"/>
          <c:h val="9.02781423155422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xmlns="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xmlns="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xmlns="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xmlns="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xmlns="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xmlns="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xmlns="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xmlns="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xmlns="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xmlns="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xmlns="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549728</xdr:colOff>
      <xdr:row>90</xdr:row>
      <xdr:rowOff>38100</xdr:rowOff>
    </xdr:from>
    <xdr:to>
      <xdr:col>20</xdr:col>
      <xdr:colOff>59871</xdr:colOff>
      <xdr:row>104</xdr:row>
      <xdr:rowOff>168728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xmlns="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xmlns="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xmlns="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xmlns="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xmlns="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xmlns="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xmlns="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xmlns="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xmlns="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xmlns="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xmlns="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xmlns="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xmlns="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xmlns="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xmlns="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xmlns="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xmlns="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EPT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UGUST%20202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HE%20Portal%20utilities%20management/2021/JAN%202021/20.01.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UZAN~1.ABO\AppData\Local\Temp\notesA2CAC6\April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JULY%20202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JUNE%20202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Amjad.abouhassan\AppData\Roaming\Microsoft\Excel\JAN%20202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EB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ARCH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APRIL%202022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MAY%202022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SEPT%202021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ULY%202021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UG%202021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EIFP1\ENGShare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44834</v>
          </cell>
        </row>
        <row r="34">
          <cell r="D34">
            <v>376630</v>
          </cell>
          <cell r="F34">
            <v>4168766</v>
          </cell>
          <cell r="H34">
            <v>18082090</v>
          </cell>
          <cell r="J34">
            <v>29857148</v>
          </cell>
          <cell r="L34">
            <v>24671166</v>
          </cell>
          <cell r="P34">
            <v>19535.339</v>
          </cell>
          <cell r="W34">
            <v>33498</v>
          </cell>
          <cell r="Y34">
            <v>999659</v>
          </cell>
          <cell r="AA34">
            <v>36801</v>
          </cell>
          <cell r="AC34">
            <v>1171535</v>
          </cell>
        </row>
      </sheetData>
      <sheetData sheetId="3">
        <row r="34">
          <cell r="B34">
            <v>226</v>
          </cell>
          <cell r="C34">
            <v>232</v>
          </cell>
        </row>
        <row r="35">
          <cell r="F35">
            <v>2287</v>
          </cell>
          <cell r="H35">
            <v>46848</v>
          </cell>
          <cell r="K35">
            <v>2459</v>
          </cell>
          <cell r="M35">
            <v>182937</v>
          </cell>
          <cell r="P35">
            <v>2231</v>
          </cell>
          <cell r="Q35">
            <v>186441</v>
          </cell>
          <cell r="X35">
            <v>2494</v>
          </cell>
          <cell r="Z35">
            <v>141111</v>
          </cell>
          <cell r="AC35">
            <v>1948</v>
          </cell>
          <cell r="AE35">
            <v>366639</v>
          </cell>
          <cell r="AN35">
            <v>65</v>
          </cell>
        </row>
      </sheetData>
      <sheetData sheetId="4">
        <row r="35">
          <cell r="A35">
            <v>44834</v>
          </cell>
          <cell r="AR35">
            <v>44834</v>
          </cell>
        </row>
        <row r="36">
          <cell r="G36">
            <v>630568</v>
          </cell>
          <cell r="T36">
            <v>5191</v>
          </cell>
          <cell r="X36">
            <v>155960</v>
          </cell>
        </row>
      </sheetData>
      <sheetData sheetId="5">
        <row r="32">
          <cell r="A32">
            <v>44834</v>
          </cell>
          <cell r="B32">
            <v>1058</v>
          </cell>
          <cell r="C32">
            <v>0</v>
          </cell>
          <cell r="D32">
            <v>765376</v>
          </cell>
          <cell r="E32">
            <v>0</v>
          </cell>
          <cell r="J32">
            <v>133</v>
          </cell>
          <cell r="T32">
            <v>417512</v>
          </cell>
        </row>
        <row r="33">
          <cell r="L33">
            <v>390191</v>
          </cell>
          <cell r="R33">
            <v>13912</v>
          </cell>
        </row>
      </sheetData>
      <sheetData sheetId="6">
        <row r="35">
          <cell r="A35">
            <v>44834</v>
          </cell>
        </row>
      </sheetData>
      <sheetData sheetId="7">
        <row r="33">
          <cell r="A33">
            <v>44834</v>
          </cell>
          <cell r="B33">
            <v>1124527</v>
          </cell>
        </row>
        <row r="34">
          <cell r="F34">
            <v>161459</v>
          </cell>
          <cell r="H34">
            <v>561164</v>
          </cell>
          <cell r="J34">
            <v>401903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>
        <row r="34">
          <cell r="E34">
            <v>920</v>
          </cell>
          <cell r="G34">
            <v>602.79999999981374</v>
          </cell>
          <cell r="I34">
            <v>568</v>
          </cell>
          <cell r="K34">
            <v>878</v>
          </cell>
          <cell r="M34">
            <v>1110</v>
          </cell>
          <cell r="O34">
            <v>0</v>
          </cell>
          <cell r="Q34">
            <v>4102.999999999156</v>
          </cell>
          <cell r="R34">
            <v>-24.199999999342253</v>
          </cell>
          <cell r="T34">
            <v>0</v>
          </cell>
          <cell r="U34">
            <v>429166</v>
          </cell>
          <cell r="V34">
            <v>0</v>
          </cell>
          <cell r="X34">
            <v>0</v>
          </cell>
          <cell r="Z34">
            <v>0</v>
          </cell>
          <cell r="AB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D35">
            <v>5</v>
          </cell>
          <cell r="E35">
            <v>41.900000000000006</v>
          </cell>
          <cell r="G35">
            <v>0</v>
          </cell>
          <cell r="I35">
            <v>0</v>
          </cell>
          <cell r="J35">
            <v>0</v>
          </cell>
          <cell r="L35">
            <v>1</v>
          </cell>
          <cell r="N35">
            <v>79</v>
          </cell>
          <cell r="O35">
            <v>1869</v>
          </cell>
          <cell r="R35">
            <v>0</v>
          </cell>
          <cell r="S35">
            <v>0</v>
          </cell>
          <cell r="T35">
            <v>0</v>
          </cell>
          <cell r="U35">
            <v>1</v>
          </cell>
          <cell r="V35">
            <v>79</v>
          </cell>
          <cell r="W35"/>
          <cell r="Y35">
            <v>1</v>
          </cell>
          <cell r="AA35">
            <v>65</v>
          </cell>
          <cell r="AB35">
            <v>0</v>
          </cell>
          <cell r="AD35">
            <v>0</v>
          </cell>
          <cell r="AF35">
            <v>0</v>
          </cell>
          <cell r="AG35">
            <v>0</v>
          </cell>
          <cell r="AH35">
            <v>65</v>
          </cell>
          <cell r="AI35">
            <v>144</v>
          </cell>
          <cell r="AJ35">
            <v>144</v>
          </cell>
          <cell r="AK35">
            <v>0</v>
          </cell>
          <cell r="AL35">
            <v>1</v>
          </cell>
          <cell r="AM35">
            <v>1</v>
          </cell>
          <cell r="AO35">
            <v>1980</v>
          </cell>
          <cell r="AQ35">
            <v>930</v>
          </cell>
          <cell r="AR35">
            <v>73</v>
          </cell>
          <cell r="AS35">
            <v>2190</v>
          </cell>
          <cell r="AT35">
            <v>5100</v>
          </cell>
          <cell r="AU35">
            <v>0</v>
          </cell>
          <cell r="AV35"/>
          <cell r="AW35"/>
          <cell r="AX35">
            <v>0.8</v>
          </cell>
        </row>
      </sheetData>
      <sheetData sheetId="4">
        <row r="36"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F36"/>
          <cell r="H36">
            <v>122</v>
          </cell>
          <cell r="I36">
            <v>122</v>
          </cell>
          <cell r="J36">
            <v>1.9830777366472765</v>
          </cell>
          <cell r="K36">
            <v>7089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R36"/>
          <cell r="S36"/>
          <cell r="U36">
            <v>0</v>
          </cell>
          <cell r="V36">
            <v>499</v>
          </cell>
          <cell r="W36">
            <v>1</v>
          </cell>
          <cell r="Z36">
            <v>99668</v>
          </cell>
          <cell r="AC36">
            <v>855</v>
          </cell>
          <cell r="AE36">
            <v>248.42</v>
          </cell>
          <cell r="AF36">
            <v>0</v>
          </cell>
          <cell r="AG36">
            <v>2247.41</v>
          </cell>
          <cell r="AH36">
            <v>0</v>
          </cell>
          <cell r="AI36">
            <v>0</v>
          </cell>
          <cell r="AM36">
            <v>29.5</v>
          </cell>
          <cell r="AN36">
            <v>0</v>
          </cell>
          <cell r="AO36"/>
          <cell r="AP36">
            <v>0</v>
          </cell>
          <cell r="AS36">
            <v>0.9</v>
          </cell>
          <cell r="AU36">
            <v>1.1000000000000001</v>
          </cell>
          <cell r="AW36">
            <v>2.9</v>
          </cell>
          <cell r="AY36">
            <v>53.1</v>
          </cell>
          <cell r="AZ36">
            <v>168.3</v>
          </cell>
          <cell r="BA36">
            <v>295.8</v>
          </cell>
          <cell r="BB36">
            <v>-26.9</v>
          </cell>
          <cell r="BC36">
            <v>85.800000000000011</v>
          </cell>
          <cell r="BD36">
            <v>60.900000000000006</v>
          </cell>
          <cell r="BE36">
            <v>119.80000000000001</v>
          </cell>
          <cell r="BF36">
            <v>2.1999999999999886</v>
          </cell>
          <cell r="BG36">
            <v>119.80000000000001</v>
          </cell>
        </row>
      </sheetData>
      <sheetData sheetId="5">
        <row r="33">
          <cell r="F33">
            <v>85</v>
          </cell>
          <cell r="G33"/>
          <cell r="H33">
            <v>12231</v>
          </cell>
          <cell r="I33" t="str">
            <v>ok</v>
          </cell>
          <cell r="K33">
            <v>0</v>
          </cell>
          <cell r="M33">
            <v>0</v>
          </cell>
          <cell r="N33">
            <v>250</v>
          </cell>
          <cell r="O33"/>
          <cell r="P33">
            <v>10873</v>
          </cell>
          <cell r="Q33" t="str">
            <v>ok</v>
          </cell>
          <cell r="S33">
            <v>0</v>
          </cell>
          <cell r="U33">
            <v>0</v>
          </cell>
          <cell r="V33">
            <v>250</v>
          </cell>
          <cell r="W33"/>
          <cell r="X33">
            <v>14593</v>
          </cell>
          <cell r="Y33" t="str">
            <v>ok</v>
          </cell>
          <cell r="Z33">
            <v>15</v>
          </cell>
          <cell r="AA33">
            <v>1275</v>
          </cell>
          <cell r="AB33">
            <v>585</v>
          </cell>
          <cell r="AC33">
            <v>85</v>
          </cell>
          <cell r="AD33">
            <v>4102.999999999156</v>
          </cell>
          <cell r="AE33">
            <v>273.53333333327708</v>
          </cell>
          <cell r="AF33">
            <v>0.17095833333329818</v>
          </cell>
          <cell r="AG33">
            <v>1.0684895833331137E-4</v>
          </cell>
          <cell r="AH33">
            <v>84.999893151041661</v>
          </cell>
          <cell r="AI33">
            <v>1056.0464135018926</v>
          </cell>
          <cell r="AJ33">
            <v>0.25738396624472576</v>
          </cell>
          <cell r="AK33">
            <v>70.403094233459512</v>
          </cell>
          <cell r="AL33">
            <v>1</v>
          </cell>
        </row>
      </sheetData>
      <sheetData sheetId="6">
        <row r="36">
          <cell r="C36">
            <v>4281.7096774193551</v>
          </cell>
          <cell r="D36">
            <v>199</v>
          </cell>
          <cell r="E36">
            <v>4281.7096774193551</v>
          </cell>
          <cell r="F36">
            <v>199</v>
          </cell>
          <cell r="G36">
            <v>4281.7096774193551</v>
          </cell>
          <cell r="H36">
            <v>199</v>
          </cell>
          <cell r="I36">
            <v>4281.7096774193551</v>
          </cell>
          <cell r="J36">
            <v>199</v>
          </cell>
          <cell r="K36">
            <v>4281.7096774193551</v>
          </cell>
          <cell r="L36">
            <v>199</v>
          </cell>
          <cell r="M36">
            <v>4281.7096774193551</v>
          </cell>
          <cell r="N36">
            <v>199</v>
          </cell>
          <cell r="O36">
            <v>4281.7096774193551</v>
          </cell>
          <cell r="P36">
            <v>199</v>
          </cell>
          <cell r="Q36">
            <v>4281.7096774193551</v>
          </cell>
          <cell r="R36">
            <v>199</v>
          </cell>
          <cell r="S36">
            <v>4281.7096774193551</v>
          </cell>
          <cell r="T36">
            <v>199</v>
          </cell>
          <cell r="U36">
            <v>4281.7096774193551</v>
          </cell>
          <cell r="V36">
            <v>199</v>
          </cell>
          <cell r="W36">
            <v>4281.7096774193551</v>
          </cell>
          <cell r="X36">
            <v>0.64193548387096777</v>
          </cell>
          <cell r="Y36">
            <v>47098.806451612909</v>
          </cell>
          <cell r="AA36">
            <v>2060</v>
          </cell>
          <cell r="AB36">
            <v>206</v>
          </cell>
          <cell r="AC36">
            <v>2060</v>
          </cell>
          <cell r="AD36">
            <v>206</v>
          </cell>
          <cell r="AE36">
            <v>2060</v>
          </cell>
          <cell r="AF36">
            <v>206</v>
          </cell>
          <cell r="AG36">
            <v>2060</v>
          </cell>
          <cell r="AH36">
            <v>206</v>
          </cell>
          <cell r="AI36">
            <v>2060</v>
          </cell>
          <cell r="AJ36">
            <v>206</v>
          </cell>
          <cell r="AK36">
            <v>2060</v>
          </cell>
          <cell r="AL36">
            <v>206</v>
          </cell>
          <cell r="AM36">
            <v>2060</v>
          </cell>
          <cell r="AN36">
            <v>0.73571428571428577</v>
          </cell>
          <cell r="AO36">
            <v>14420</v>
          </cell>
          <cell r="AQ36">
            <v>0.6617059960375703</v>
          </cell>
          <cell r="AR36">
            <v>61518.806451612909</v>
          </cell>
          <cell r="AS36">
            <v>-1533.3870967741823</v>
          </cell>
          <cell r="AT36"/>
          <cell r="AU36"/>
          <cell r="AV36">
            <v>0</v>
          </cell>
          <cell r="AW36">
            <v>-144</v>
          </cell>
          <cell r="AX36">
            <v>-1389.3870967741823</v>
          </cell>
          <cell r="AY36">
            <v>-1533.3870967741823</v>
          </cell>
          <cell r="AZ36">
            <v>0</v>
          </cell>
          <cell r="BA36">
            <v>29.5</v>
          </cell>
          <cell r="BB36">
            <v>0.8</v>
          </cell>
        </row>
      </sheetData>
      <sheetData sheetId="7">
        <row r="21">
          <cell r="W21">
            <v>44795</v>
          </cell>
        </row>
        <row r="26">
          <cell r="V26">
            <v>401847</v>
          </cell>
          <cell r="W26">
            <v>401903</v>
          </cell>
          <cell r="X26" t="str">
            <v>Night</v>
          </cell>
          <cell r="Y26">
            <v>80</v>
          </cell>
          <cell r="Z26">
            <v>1</v>
          </cell>
          <cell r="AA26">
            <v>56</v>
          </cell>
          <cell r="AB26">
            <v>4480</v>
          </cell>
          <cell r="AC26">
            <v>1033333</v>
          </cell>
          <cell r="AD26">
            <v>5.185185185185185E-2</v>
          </cell>
        </row>
        <row r="27">
          <cell r="V27">
            <v>560074</v>
          </cell>
          <cell r="W27">
            <v>561097</v>
          </cell>
          <cell r="X27" t="str">
            <v>day</v>
          </cell>
          <cell r="Y27">
            <v>112</v>
          </cell>
          <cell r="Z27">
            <v>1</v>
          </cell>
          <cell r="AA27">
            <v>1023</v>
          </cell>
          <cell r="AB27">
            <v>114576</v>
          </cell>
          <cell r="AC27">
            <v>6200000</v>
          </cell>
          <cell r="AD27">
            <v>0.94722222222222219</v>
          </cell>
        </row>
        <row r="28">
          <cell r="V28">
            <v>161410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0</v>
          </cell>
          <cell r="AB28">
            <v>0</v>
          </cell>
          <cell r="AC28">
            <v>1000</v>
          </cell>
          <cell r="AD28">
            <v>0</v>
          </cell>
          <cell r="AE28">
            <v>0</v>
          </cell>
          <cell r="AF28">
            <v>0</v>
          </cell>
        </row>
        <row r="29">
          <cell r="AA29">
            <v>1079</v>
          </cell>
          <cell r="AB29">
            <v>119056</v>
          </cell>
          <cell r="AC29">
            <v>7234333</v>
          </cell>
        </row>
        <row r="30">
          <cell r="W30">
            <v>0</v>
          </cell>
          <cell r="AA30"/>
          <cell r="AB30">
            <v>7353389</v>
          </cell>
          <cell r="AC30"/>
        </row>
        <row r="31">
          <cell r="AA31"/>
          <cell r="AB31"/>
          <cell r="AC31"/>
        </row>
        <row r="32">
          <cell r="W32">
            <v>219</v>
          </cell>
          <cell r="X32">
            <v>54.75</v>
          </cell>
          <cell r="Y32">
            <v>54.75</v>
          </cell>
          <cell r="AA32"/>
          <cell r="AB32"/>
          <cell r="AC32"/>
        </row>
        <row r="33">
          <cell r="AA33">
            <v>0.11</v>
          </cell>
          <cell r="AB33">
            <v>808872.79</v>
          </cell>
          <cell r="AC33">
            <v>7234333</v>
          </cell>
        </row>
        <row r="34">
          <cell r="C34">
            <v>0</v>
          </cell>
          <cell r="D34">
            <v>0</v>
          </cell>
          <cell r="E34">
            <v>1124410</v>
          </cell>
          <cell r="G34">
            <v>0</v>
          </cell>
          <cell r="I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1460.9405322580526</v>
          </cell>
          <cell r="R34">
            <v>1615.7435708286405</v>
          </cell>
          <cell r="S34">
            <v>4078.7999999998137</v>
          </cell>
          <cell r="T34">
            <v>0.39613209052385856</v>
          </cell>
          <cell r="AA34"/>
          <cell r="AB34">
            <v>8162261.79</v>
          </cell>
          <cell r="AC34">
            <v>0</v>
          </cell>
        </row>
        <row r="35">
          <cell r="AA35"/>
          <cell r="AB35"/>
          <cell r="AC35"/>
        </row>
        <row r="36">
          <cell r="AB36">
            <v>4877.8699834162517</v>
          </cell>
          <cell r="AC36"/>
        </row>
      </sheetData>
      <sheetData sheetId="8"/>
      <sheetData sheetId="9">
        <row r="5">
          <cell r="B5">
            <v>31</v>
          </cell>
          <cell r="C5">
            <v>26</v>
          </cell>
        </row>
        <row r="6">
          <cell r="B6">
            <v>31</v>
          </cell>
          <cell r="C6">
            <v>26</v>
          </cell>
        </row>
        <row r="7">
          <cell r="B7"/>
          <cell r="C7"/>
        </row>
        <row r="8">
          <cell r="B8">
            <v>30</v>
          </cell>
          <cell r="C8">
            <v>26</v>
          </cell>
        </row>
        <row r="9">
          <cell r="B9"/>
          <cell r="C9"/>
        </row>
        <row r="10">
          <cell r="B10"/>
          <cell r="C10"/>
        </row>
        <row r="11">
          <cell r="B11"/>
          <cell r="C11"/>
        </row>
        <row r="12">
          <cell r="B12">
            <v>30</v>
          </cell>
          <cell r="C12">
            <v>19</v>
          </cell>
        </row>
        <row r="13">
          <cell r="B13">
            <v>30</v>
          </cell>
          <cell r="C13">
            <v>26</v>
          </cell>
        </row>
        <row r="14">
          <cell r="B14"/>
          <cell r="C14"/>
        </row>
        <row r="15">
          <cell r="B15"/>
          <cell r="C15"/>
        </row>
        <row r="16">
          <cell r="B16"/>
          <cell r="C16"/>
        </row>
        <row r="17">
          <cell r="B17"/>
          <cell r="C17"/>
        </row>
        <row r="18">
          <cell r="B18"/>
          <cell r="C18"/>
        </row>
        <row r="19">
          <cell r="B19"/>
          <cell r="C19"/>
        </row>
        <row r="20">
          <cell r="B20">
            <v>30</v>
          </cell>
          <cell r="C20">
            <v>26</v>
          </cell>
        </row>
        <row r="21">
          <cell r="B21">
            <v>31</v>
          </cell>
          <cell r="C21">
            <v>26</v>
          </cell>
        </row>
        <row r="22">
          <cell r="B22">
            <v>30</v>
          </cell>
          <cell r="C22">
            <v>24</v>
          </cell>
        </row>
        <row r="23">
          <cell r="B23">
            <v>30</v>
          </cell>
          <cell r="C23">
            <v>24</v>
          </cell>
        </row>
        <row r="24">
          <cell r="B24">
            <v>29</v>
          </cell>
          <cell r="C24">
            <v>25</v>
          </cell>
        </row>
        <row r="25">
          <cell r="B25">
            <v>30</v>
          </cell>
          <cell r="C25">
            <v>24</v>
          </cell>
        </row>
        <row r="26">
          <cell r="B26">
            <v>30</v>
          </cell>
          <cell r="C26">
            <v>25</v>
          </cell>
        </row>
        <row r="27">
          <cell r="B27">
            <v>29</v>
          </cell>
          <cell r="C27">
            <v>26</v>
          </cell>
        </row>
        <row r="28">
          <cell r="B28">
            <v>29</v>
          </cell>
          <cell r="C28">
            <v>26</v>
          </cell>
        </row>
        <row r="29">
          <cell r="B29">
            <v>31</v>
          </cell>
          <cell r="C29">
            <v>27</v>
          </cell>
        </row>
        <row r="30">
          <cell r="B30">
            <v>31</v>
          </cell>
          <cell r="C30">
            <v>27</v>
          </cell>
        </row>
        <row r="31">
          <cell r="B31"/>
          <cell r="C31"/>
        </row>
        <row r="32">
          <cell r="B32">
            <v>32</v>
          </cell>
          <cell r="C32">
            <v>27</v>
          </cell>
        </row>
        <row r="33">
          <cell r="B33">
            <v>32</v>
          </cell>
          <cell r="C33">
            <v>27</v>
          </cell>
        </row>
        <row r="34">
          <cell r="B34">
            <v>31</v>
          </cell>
          <cell r="C34">
            <v>28</v>
          </cell>
        </row>
        <row r="35">
          <cell r="B35">
            <v>31</v>
          </cell>
          <cell r="C35">
            <v>28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H24">
            <v>0</v>
          </cell>
          <cell r="J24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>
        <row r="36">
          <cell r="BC36">
            <v>0</v>
          </cell>
          <cell r="BD36">
            <v>19225</v>
          </cell>
          <cell r="BE36" t="e">
            <v>#REF!</v>
          </cell>
          <cell r="BF36"/>
          <cell r="BG36" t="e">
            <v>#REF!</v>
          </cell>
          <cell r="BH36"/>
          <cell r="BI36">
            <v>23</v>
          </cell>
        </row>
      </sheetData>
      <sheetData sheetId="7"/>
      <sheetData sheetId="8"/>
      <sheetData sheetId="9">
        <row r="5">
          <cell r="B5"/>
          <cell r="C5"/>
        </row>
        <row r="6">
          <cell r="B6"/>
          <cell r="C6"/>
        </row>
        <row r="7">
          <cell r="B7">
            <v>29</v>
          </cell>
          <cell r="C7">
            <v>26</v>
          </cell>
        </row>
        <row r="8">
          <cell r="B8">
            <v>29</v>
          </cell>
          <cell r="C8">
            <v>25</v>
          </cell>
        </row>
        <row r="9">
          <cell r="B9">
            <v>30</v>
          </cell>
          <cell r="C9">
            <v>24</v>
          </cell>
        </row>
        <row r="10">
          <cell r="B10">
            <v>30</v>
          </cell>
          <cell r="C10">
            <v>24</v>
          </cell>
        </row>
        <row r="11">
          <cell r="B11"/>
          <cell r="C11"/>
        </row>
        <row r="12">
          <cell r="B12"/>
          <cell r="C12"/>
        </row>
        <row r="13">
          <cell r="B13"/>
          <cell r="C13"/>
        </row>
        <row r="14">
          <cell r="B14"/>
          <cell r="C14"/>
        </row>
        <row r="15">
          <cell r="B15">
            <v>30</v>
          </cell>
          <cell r="C15">
            <v>25</v>
          </cell>
        </row>
        <row r="16">
          <cell r="B16">
            <v>31</v>
          </cell>
          <cell r="C16">
            <v>24</v>
          </cell>
        </row>
        <row r="17">
          <cell r="B17">
            <v>30</v>
          </cell>
          <cell r="C17">
            <v>23</v>
          </cell>
        </row>
        <row r="18">
          <cell r="B18">
            <v>27</v>
          </cell>
          <cell r="C18">
            <v>26</v>
          </cell>
        </row>
        <row r="19">
          <cell r="B19"/>
          <cell r="C19"/>
        </row>
        <row r="20">
          <cell r="B20"/>
          <cell r="C20"/>
        </row>
        <row r="21">
          <cell r="B21">
            <v>28</v>
          </cell>
          <cell r="C21">
            <v>26</v>
          </cell>
        </row>
        <row r="22">
          <cell r="B22">
            <v>30</v>
          </cell>
          <cell r="C22">
            <v>25</v>
          </cell>
        </row>
        <row r="23">
          <cell r="B23"/>
          <cell r="C23"/>
        </row>
        <row r="24">
          <cell r="B24"/>
          <cell r="C24"/>
        </row>
        <row r="25">
          <cell r="B25"/>
          <cell r="C25"/>
        </row>
        <row r="26">
          <cell r="B26"/>
          <cell r="C26"/>
        </row>
        <row r="27">
          <cell r="B27"/>
          <cell r="C27"/>
        </row>
        <row r="28">
          <cell r="B28">
            <v>31</v>
          </cell>
          <cell r="C28">
            <v>26</v>
          </cell>
        </row>
        <row r="29">
          <cell r="B29">
            <v>31</v>
          </cell>
          <cell r="C29">
            <v>26</v>
          </cell>
        </row>
        <row r="30">
          <cell r="B30">
            <v>31</v>
          </cell>
          <cell r="C30">
            <v>27</v>
          </cell>
        </row>
        <row r="31">
          <cell r="B31">
            <v>30</v>
          </cell>
          <cell r="C31">
            <v>26</v>
          </cell>
        </row>
        <row r="32">
          <cell r="B32">
            <v>31</v>
          </cell>
          <cell r="C32">
            <v>27</v>
          </cell>
        </row>
        <row r="33">
          <cell r="B33"/>
          <cell r="C33"/>
        </row>
        <row r="34">
          <cell r="B34"/>
          <cell r="C34"/>
        </row>
        <row r="35">
          <cell r="B35">
            <v>31</v>
          </cell>
          <cell r="C35">
            <v>26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36">
          <cell r="AA36" t="str">
            <v>$ without VAT</v>
          </cell>
        </row>
      </sheetData>
      <sheetData sheetId="8"/>
      <sheetData sheetId="9"/>
      <sheetData sheetId="10"/>
      <sheetData sheetId="11"/>
      <sheetData sheetId="12"/>
      <sheetData sheetId="13"/>
      <sheetData sheetId="14">
        <row r="10">
          <cell r="V10">
            <v>25</v>
          </cell>
          <cell r="W10">
            <v>21</v>
          </cell>
        </row>
        <row r="11">
          <cell r="V11">
            <v>25</v>
          </cell>
          <cell r="W11">
            <v>22</v>
          </cell>
        </row>
        <row r="12">
          <cell r="V12">
            <v>0</v>
          </cell>
          <cell r="W12">
            <v>0</v>
          </cell>
        </row>
        <row r="13">
          <cell r="V13">
            <v>0</v>
          </cell>
          <cell r="W13">
            <v>0</v>
          </cell>
        </row>
        <row r="14">
          <cell r="V14">
            <v>27</v>
          </cell>
          <cell r="W14">
            <v>21</v>
          </cell>
        </row>
        <row r="15">
          <cell r="V15">
            <v>26</v>
          </cell>
          <cell r="W15">
            <v>21</v>
          </cell>
        </row>
        <row r="16">
          <cell r="V16">
            <v>27</v>
          </cell>
          <cell r="W16">
            <v>22</v>
          </cell>
        </row>
        <row r="17">
          <cell r="V17">
            <v>27</v>
          </cell>
          <cell r="W17">
            <v>23</v>
          </cell>
        </row>
        <row r="18">
          <cell r="V18">
            <v>0</v>
          </cell>
          <cell r="W18">
            <v>0</v>
          </cell>
        </row>
        <row r="19">
          <cell r="V19">
            <v>0</v>
          </cell>
          <cell r="W19">
            <v>0</v>
          </cell>
        </row>
        <row r="20">
          <cell r="V20">
            <v>0</v>
          </cell>
          <cell r="W20">
            <v>0</v>
          </cell>
        </row>
        <row r="21">
          <cell r="V21">
            <v>0</v>
          </cell>
          <cell r="W21">
            <v>0</v>
          </cell>
        </row>
        <row r="22">
          <cell r="V22">
            <v>0</v>
          </cell>
          <cell r="W22">
            <v>0</v>
          </cell>
        </row>
        <row r="23">
          <cell r="V23">
            <v>27</v>
          </cell>
          <cell r="W23">
            <v>23</v>
          </cell>
        </row>
        <row r="24">
          <cell r="V24">
            <v>28</v>
          </cell>
          <cell r="W24">
            <v>23</v>
          </cell>
        </row>
        <row r="25">
          <cell r="V25">
            <v>30</v>
          </cell>
          <cell r="W25">
            <v>23</v>
          </cell>
        </row>
        <row r="26">
          <cell r="V26">
            <v>0</v>
          </cell>
          <cell r="W26">
            <v>0</v>
          </cell>
        </row>
        <row r="27">
          <cell r="V27">
            <v>0</v>
          </cell>
          <cell r="W27">
            <v>0</v>
          </cell>
        </row>
        <row r="28">
          <cell r="V28">
            <v>0</v>
          </cell>
          <cell r="W28">
            <v>0</v>
          </cell>
        </row>
        <row r="29">
          <cell r="V29">
            <v>27</v>
          </cell>
          <cell r="W29">
            <v>23</v>
          </cell>
        </row>
        <row r="30">
          <cell r="V30">
            <v>28</v>
          </cell>
          <cell r="W30">
            <v>23</v>
          </cell>
        </row>
        <row r="31">
          <cell r="V31">
            <v>0</v>
          </cell>
          <cell r="W31">
            <v>0</v>
          </cell>
        </row>
        <row r="32">
          <cell r="V32">
            <v>0</v>
          </cell>
          <cell r="W32">
            <v>0</v>
          </cell>
        </row>
        <row r="33">
          <cell r="V33">
            <v>0</v>
          </cell>
          <cell r="W33">
            <v>0</v>
          </cell>
        </row>
        <row r="34">
          <cell r="V34">
            <v>0</v>
          </cell>
          <cell r="W34">
            <v>0</v>
          </cell>
        </row>
        <row r="35">
          <cell r="V35">
            <v>29</v>
          </cell>
          <cell r="W35">
            <v>24</v>
          </cell>
        </row>
        <row r="36">
          <cell r="V36">
            <v>29</v>
          </cell>
          <cell r="W36">
            <v>24</v>
          </cell>
        </row>
        <row r="37">
          <cell r="V37">
            <v>28</v>
          </cell>
          <cell r="W37">
            <v>24</v>
          </cell>
        </row>
        <row r="38">
          <cell r="V38">
            <v>29</v>
          </cell>
          <cell r="W38">
            <v>24</v>
          </cell>
        </row>
        <row r="39">
          <cell r="V39">
            <v>29</v>
          </cell>
          <cell r="W39">
            <v>23</v>
          </cell>
        </row>
      </sheetData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N10">
            <v>0</v>
          </cell>
          <cell r="O10">
            <v>0</v>
          </cell>
        </row>
        <row r="11">
          <cell r="N11">
            <v>0</v>
          </cell>
          <cell r="O11">
            <v>0</v>
          </cell>
        </row>
        <row r="12">
          <cell r="N12">
            <v>24</v>
          </cell>
          <cell r="O12">
            <v>17</v>
          </cell>
        </row>
        <row r="13">
          <cell r="N13">
            <v>24</v>
          </cell>
          <cell r="O13">
            <v>16</v>
          </cell>
        </row>
        <row r="14">
          <cell r="N14">
            <v>30</v>
          </cell>
          <cell r="O14">
            <v>16</v>
          </cell>
        </row>
        <row r="15">
          <cell r="N15">
            <v>34</v>
          </cell>
          <cell r="O15">
            <v>18</v>
          </cell>
        </row>
        <row r="16">
          <cell r="N16">
            <v>21</v>
          </cell>
          <cell r="O16">
            <v>16</v>
          </cell>
        </row>
        <row r="17">
          <cell r="N17">
            <v>0</v>
          </cell>
          <cell r="O17">
            <v>0</v>
          </cell>
        </row>
        <row r="18">
          <cell r="N18">
            <v>0</v>
          </cell>
          <cell r="O18">
            <v>0</v>
          </cell>
        </row>
        <row r="19">
          <cell r="N19">
            <v>22</v>
          </cell>
          <cell r="O19">
            <v>15</v>
          </cell>
        </row>
        <row r="20">
          <cell r="N20">
            <v>21</v>
          </cell>
          <cell r="O20">
            <v>16</v>
          </cell>
        </row>
        <row r="21">
          <cell r="N21">
            <v>20</v>
          </cell>
          <cell r="O21">
            <v>16</v>
          </cell>
        </row>
        <row r="22">
          <cell r="N22">
            <v>20</v>
          </cell>
          <cell r="O22">
            <v>17</v>
          </cell>
        </row>
        <row r="23">
          <cell r="N23">
            <v>0</v>
          </cell>
          <cell r="O23">
            <v>0</v>
          </cell>
        </row>
        <row r="24">
          <cell r="N24">
            <v>0</v>
          </cell>
          <cell r="O24">
            <v>0</v>
          </cell>
        </row>
        <row r="25">
          <cell r="N25">
            <v>0</v>
          </cell>
          <cell r="O25">
            <v>0</v>
          </cell>
        </row>
        <row r="26">
          <cell r="N26">
            <v>0</v>
          </cell>
          <cell r="O26">
            <v>0</v>
          </cell>
        </row>
        <row r="27">
          <cell r="N27">
            <v>35</v>
          </cell>
          <cell r="O27">
            <v>19</v>
          </cell>
        </row>
        <row r="28">
          <cell r="N28">
            <v>21</v>
          </cell>
          <cell r="O28">
            <v>16</v>
          </cell>
        </row>
        <row r="29">
          <cell r="N29">
            <v>20</v>
          </cell>
          <cell r="O29">
            <v>16</v>
          </cell>
        </row>
        <row r="30">
          <cell r="N30">
            <v>0</v>
          </cell>
          <cell r="O30">
            <v>0</v>
          </cell>
        </row>
        <row r="31">
          <cell r="N31">
            <v>0</v>
          </cell>
          <cell r="O31">
            <v>0</v>
          </cell>
        </row>
        <row r="32">
          <cell r="N32">
            <v>0</v>
          </cell>
          <cell r="O32">
            <v>0</v>
          </cell>
        </row>
        <row r="33">
          <cell r="N33">
            <v>0</v>
          </cell>
          <cell r="O33">
            <v>0</v>
          </cell>
        </row>
        <row r="34">
          <cell r="N34">
            <v>23</v>
          </cell>
          <cell r="O34">
            <v>18</v>
          </cell>
        </row>
        <row r="35">
          <cell r="N35">
            <v>25</v>
          </cell>
          <cell r="O35">
            <v>16</v>
          </cell>
        </row>
        <row r="36">
          <cell r="N36">
            <v>23</v>
          </cell>
          <cell r="O36">
            <v>17</v>
          </cell>
        </row>
        <row r="37">
          <cell r="N37">
            <v>22</v>
          </cell>
          <cell r="O37">
            <v>19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</sheetData>
      <sheetData sheetId="15"/>
      <sheetData sheetId="16"/>
      <sheetData sheetId="17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R10">
            <v>0</v>
          </cell>
          <cell r="S10">
            <v>0</v>
          </cell>
        </row>
        <row r="11">
          <cell r="R11">
            <v>0</v>
          </cell>
          <cell r="S11">
            <v>0</v>
          </cell>
        </row>
        <row r="12">
          <cell r="R12">
            <v>0</v>
          </cell>
          <cell r="S12">
            <v>0</v>
          </cell>
        </row>
        <row r="13">
          <cell r="R13">
            <v>23</v>
          </cell>
          <cell r="S13">
            <v>19</v>
          </cell>
        </row>
        <row r="14">
          <cell r="R14">
            <v>22</v>
          </cell>
          <cell r="S14">
            <v>18</v>
          </cell>
        </row>
        <row r="15">
          <cell r="R15">
            <v>0</v>
          </cell>
          <cell r="S15">
            <v>0</v>
          </cell>
        </row>
        <row r="16">
          <cell r="R16">
            <v>0</v>
          </cell>
          <cell r="S16">
            <v>0</v>
          </cell>
        </row>
        <row r="17">
          <cell r="R17">
            <v>22</v>
          </cell>
          <cell r="S17">
            <v>17</v>
          </cell>
        </row>
        <row r="18">
          <cell r="R18">
            <v>23</v>
          </cell>
          <cell r="S18">
            <v>18</v>
          </cell>
        </row>
        <row r="19">
          <cell r="R19">
            <v>23</v>
          </cell>
          <cell r="S19">
            <v>17</v>
          </cell>
        </row>
        <row r="20">
          <cell r="R20">
            <v>23</v>
          </cell>
          <cell r="S20">
            <v>17</v>
          </cell>
        </row>
        <row r="21">
          <cell r="R21">
            <v>22</v>
          </cell>
          <cell r="S21">
            <v>17</v>
          </cell>
        </row>
        <row r="22">
          <cell r="R22">
            <v>0</v>
          </cell>
          <cell r="S22">
            <v>0</v>
          </cell>
        </row>
        <row r="23">
          <cell r="R23">
            <v>0</v>
          </cell>
          <cell r="S23">
            <v>0</v>
          </cell>
        </row>
        <row r="24">
          <cell r="R24">
            <v>22</v>
          </cell>
          <cell r="S24">
            <v>18</v>
          </cell>
        </row>
        <row r="25">
          <cell r="R25">
            <v>22</v>
          </cell>
          <cell r="S25">
            <v>18</v>
          </cell>
        </row>
        <row r="26">
          <cell r="R26">
            <v>23</v>
          </cell>
          <cell r="S26">
            <v>18</v>
          </cell>
        </row>
        <row r="27">
          <cell r="R27">
            <v>23</v>
          </cell>
          <cell r="S27">
            <v>17</v>
          </cell>
        </row>
        <row r="28">
          <cell r="R28">
            <v>24</v>
          </cell>
          <cell r="S28">
            <v>19</v>
          </cell>
        </row>
        <row r="29">
          <cell r="R29">
            <v>0</v>
          </cell>
          <cell r="S29">
            <v>0</v>
          </cell>
        </row>
        <row r="30">
          <cell r="R30">
            <v>0</v>
          </cell>
          <cell r="S30">
            <v>0</v>
          </cell>
        </row>
        <row r="31">
          <cell r="R31">
            <v>24</v>
          </cell>
          <cell r="S31">
            <v>21</v>
          </cell>
        </row>
        <row r="32">
          <cell r="R32">
            <v>24</v>
          </cell>
          <cell r="S32">
            <v>20</v>
          </cell>
        </row>
        <row r="33">
          <cell r="R33">
            <v>24</v>
          </cell>
          <cell r="S33">
            <v>20</v>
          </cell>
        </row>
        <row r="34">
          <cell r="R34">
            <v>24</v>
          </cell>
          <cell r="S34">
            <v>20</v>
          </cell>
        </row>
        <row r="35">
          <cell r="R35">
            <v>28</v>
          </cell>
          <cell r="S35">
            <v>19</v>
          </cell>
        </row>
        <row r="36">
          <cell r="R36">
            <v>0</v>
          </cell>
          <cell r="S36">
            <v>0</v>
          </cell>
        </row>
        <row r="37">
          <cell r="R37">
            <v>0</v>
          </cell>
          <cell r="S37">
            <v>0</v>
          </cell>
        </row>
        <row r="38">
          <cell r="R38">
            <v>0</v>
          </cell>
          <cell r="S38">
            <v>0</v>
          </cell>
        </row>
        <row r="39">
          <cell r="R39">
            <v>27</v>
          </cell>
          <cell r="S39">
            <v>22</v>
          </cell>
        </row>
        <row r="40">
          <cell r="R40">
            <v>26</v>
          </cell>
          <cell r="S40">
            <v>22</v>
          </cell>
        </row>
      </sheetData>
      <sheetData sheetId="15"/>
      <sheetData sheetId="16"/>
      <sheetData sheetId="1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176.99999999999997</v>
          </cell>
        </row>
        <row r="15">
          <cell r="B15">
            <v>-183.00000000000003</v>
          </cell>
        </row>
        <row r="16">
          <cell r="B16">
            <v>36.200000000000003</v>
          </cell>
        </row>
        <row r="18">
          <cell r="B18">
            <v>325</v>
          </cell>
        </row>
        <row r="19">
          <cell r="B19">
            <v>21.666666666666668</v>
          </cell>
        </row>
      </sheetData>
      <sheetData sheetId="16"/>
      <sheetData sheetId="17"/>
      <sheetData sheetId="1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F14">
            <v>0</v>
          </cell>
        </row>
        <row r="15">
          <cell r="F15">
            <v>0</v>
          </cell>
        </row>
        <row r="16">
          <cell r="F16">
            <v>0</v>
          </cell>
        </row>
        <row r="17">
          <cell r="F17">
            <v>0</v>
          </cell>
        </row>
        <row r="18">
          <cell r="F18">
            <v>276.33333333333337</v>
          </cell>
        </row>
      </sheetData>
      <sheetData sheetId="16"/>
      <sheetData sheetId="1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7">
          <cell r="B17">
            <v>0</v>
          </cell>
        </row>
        <row r="19">
          <cell r="B19">
            <v>25.923076923076923</v>
          </cell>
        </row>
      </sheetData>
      <sheetData sheetId="16"/>
      <sheetData sheetId="1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zoomScale="70" zoomScaleNormal="70" workbookViewId="0">
      <selection activeCell="C3" sqref="C3:C32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0" bestFit="1" customWidth="1"/>
    <col min="13" max="13" width="12.28515625" style="280" customWidth="1"/>
    <col min="14" max="14" width="12.28515625" style="469" customWidth="1"/>
    <col min="15" max="15" width="11.7109375" bestFit="1" customWidth="1"/>
  </cols>
  <sheetData>
    <row r="1" spans="1:15" ht="45">
      <c r="A1" s="570" t="s">
        <v>338</v>
      </c>
      <c r="B1" s="570" t="s">
        <v>198</v>
      </c>
      <c r="C1" s="570" t="s">
        <v>339</v>
      </c>
      <c r="D1" s="570" t="s">
        <v>340</v>
      </c>
      <c r="E1" s="571" t="s">
        <v>350</v>
      </c>
      <c r="F1" s="571" t="s">
        <v>351</v>
      </c>
      <c r="G1" s="571" t="s">
        <v>411</v>
      </c>
      <c r="H1" s="571" t="s">
        <v>352</v>
      </c>
      <c r="I1" s="571" t="s">
        <v>353</v>
      </c>
      <c r="J1" s="571" t="s">
        <v>354</v>
      </c>
      <c r="K1" s="571" t="s">
        <v>355</v>
      </c>
      <c r="L1" s="571" t="s">
        <v>356</v>
      </c>
      <c r="M1" s="572" t="s">
        <v>397</v>
      </c>
      <c r="N1" s="467" t="s">
        <v>398</v>
      </c>
      <c r="O1" s="571" t="s">
        <v>341</v>
      </c>
    </row>
    <row r="2" spans="1:15">
      <c r="A2" t="s">
        <v>342</v>
      </c>
      <c r="B2">
        <v>1</v>
      </c>
      <c r="C2">
        <v>10</v>
      </c>
      <c r="D2">
        <v>2022</v>
      </c>
      <c r="E2" s="203">
        <f>ELEC!N4</f>
        <v>0</v>
      </c>
      <c r="F2" s="314">
        <f>SUM('EDl log'!T4)</f>
        <v>0</v>
      </c>
      <c r="G2" s="203">
        <f>-tanks!AW6</f>
        <v>0</v>
      </c>
      <c r="H2" s="314">
        <f>tanks!AV6</f>
        <v>0</v>
      </c>
      <c r="I2" s="10">
        <f>('B5'!AU5)*0.51</f>
        <v>-45.9</v>
      </c>
      <c r="J2" s="295">
        <f>'B5'!AX5/0.51</f>
        <v>1.5686274509803921</v>
      </c>
      <c r="K2" s="203">
        <f>WATER!I6</f>
        <v>0</v>
      </c>
      <c r="L2" s="315">
        <f>SUM(WATER!J6)</f>
        <v>0</v>
      </c>
      <c r="M2" s="315">
        <f>WATER!Q6</f>
        <v>0</v>
      </c>
      <c r="N2" s="468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10</v>
      </c>
      <c r="D3">
        <f>D2</f>
        <v>2022</v>
      </c>
      <c r="E3" s="203">
        <f>ELEC!N5</f>
        <v>2653</v>
      </c>
      <c r="F3" s="314">
        <f>SUM('EDl log'!T5)</f>
        <v>-1.3041009667000421</v>
      </c>
      <c r="G3" s="203">
        <f>-tanks!AW7</f>
        <v>294</v>
      </c>
      <c r="H3" s="314">
        <f>tanks!AV7</f>
        <v>0</v>
      </c>
      <c r="I3" s="10">
        <f>('B5'!AU6)*0.51</f>
        <v>0</v>
      </c>
      <c r="J3" s="295">
        <f>'B5'!AX6/0.51</f>
        <v>1.5686274509803921</v>
      </c>
      <c r="K3" s="203">
        <f>WATER!I7</f>
        <v>199</v>
      </c>
      <c r="L3" s="315">
        <f>SUM(WATER!J7)</f>
        <v>1.2157562003566218</v>
      </c>
      <c r="M3" s="315">
        <f>WATER!Q7</f>
        <v>0</v>
      </c>
      <c r="N3" s="468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10</v>
      </c>
      <c r="D4">
        <f t="shared" ref="D4:D32" si="1">D3</f>
        <v>2022</v>
      </c>
      <c r="E4" s="203">
        <f>ELEC!N6</f>
        <v>2747</v>
      </c>
      <c r="F4" s="314">
        <f>SUM('EDl log'!T6)</f>
        <v>0.35482390403241548</v>
      </c>
      <c r="G4" s="203">
        <f>-tanks!AW8</f>
        <v>47</v>
      </c>
      <c r="H4" s="314">
        <f>tanks!AV8</f>
        <v>0</v>
      </c>
      <c r="I4" s="10">
        <f>('B5'!AU7)*0.51</f>
        <v>0</v>
      </c>
      <c r="J4" s="295">
        <f>'B5'!AX7/0.51</f>
        <v>1.5686274509803921</v>
      </c>
      <c r="K4" s="203">
        <f>WATER!I8</f>
        <v>0</v>
      </c>
      <c r="L4" s="315">
        <f>SUM(WATER!J8)</f>
        <v>0</v>
      </c>
      <c r="M4" s="315">
        <f>WATER!Q8</f>
        <v>0</v>
      </c>
      <c r="N4" s="468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10</v>
      </c>
      <c r="D5">
        <f t="shared" si="1"/>
        <v>2022</v>
      </c>
      <c r="E5" s="203">
        <f>ELEC!N7</f>
        <v>2696</v>
      </c>
      <c r="F5" s="314">
        <f>SUM('EDl log'!T7)</f>
        <v>0.31848526126744631</v>
      </c>
      <c r="G5" s="203">
        <f>-tanks!AW9</f>
        <v>144</v>
      </c>
      <c r="H5" s="314">
        <f>tanks!AV9</f>
        <v>0</v>
      </c>
      <c r="I5" s="10">
        <f>('B5'!AU8)*0.51</f>
        <v>0</v>
      </c>
      <c r="J5" s="295">
        <f>'B5'!AX8/0.51</f>
        <v>1.5686274509803921</v>
      </c>
      <c r="K5" s="203">
        <f>WATER!I9</f>
        <v>0</v>
      </c>
      <c r="L5" s="315">
        <f>SUM(WATER!J9)</f>
        <v>0</v>
      </c>
      <c r="M5" s="315">
        <f>WATER!Q9</f>
        <v>0</v>
      </c>
      <c r="N5" s="468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10</v>
      </c>
      <c r="D6">
        <f t="shared" si="1"/>
        <v>2022</v>
      </c>
      <c r="E6" s="203">
        <f>ELEC!N8</f>
        <v>3300</v>
      </c>
      <c r="F6" s="314">
        <f>SUM('EDl log'!T8)</f>
        <v>0.29178371647788948</v>
      </c>
      <c r="G6" s="203">
        <f>-tanks!AW10</f>
        <v>64</v>
      </c>
      <c r="H6" s="314">
        <f>tanks!AV10</f>
        <v>0</v>
      </c>
      <c r="I6" s="10">
        <f>('B5'!AU9)*0.51</f>
        <v>0</v>
      </c>
      <c r="J6" s="295">
        <f>'B5'!AX9/0.51</f>
        <v>1.5686274509803921</v>
      </c>
      <c r="K6" s="203">
        <f>WATER!I10</f>
        <v>0</v>
      </c>
      <c r="L6" s="315">
        <f>SUM(WATER!J10)</f>
        <v>0</v>
      </c>
      <c r="M6" s="315">
        <f>WATER!Q10</f>
        <v>0</v>
      </c>
      <c r="N6" s="468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10</v>
      </c>
      <c r="D7">
        <f t="shared" si="1"/>
        <v>2022</v>
      </c>
      <c r="E7" s="203">
        <f>ELEC!N9</f>
        <v>2673</v>
      </c>
      <c r="F7" s="314">
        <f>SUM('EDl log'!T9)</f>
        <v>0.21973050934298785</v>
      </c>
      <c r="G7" s="203">
        <f>-tanks!AW11</f>
        <v>61</v>
      </c>
      <c r="H7" s="314">
        <f>tanks!AV11</f>
        <v>0</v>
      </c>
      <c r="I7" s="10">
        <f>('B5'!AU10)*0.51</f>
        <v>0</v>
      </c>
      <c r="J7" s="295">
        <f>'B5'!AX10/0.51</f>
        <v>1.5686274509803921</v>
      </c>
      <c r="K7" s="203">
        <f>WATER!I11</f>
        <v>0</v>
      </c>
      <c r="L7" s="315">
        <f>SUM(WATER!J11)</f>
        <v>0</v>
      </c>
      <c r="M7" s="315">
        <f>WATER!Q11</f>
        <v>0</v>
      </c>
      <c r="N7" s="468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10</v>
      </c>
      <c r="D8">
        <f t="shared" si="1"/>
        <v>2022</v>
      </c>
      <c r="E8" s="203">
        <f>ELEC!N10</f>
        <v>0</v>
      </c>
      <c r="F8" s="314">
        <f>SUM('EDl log'!T10)</f>
        <v>0</v>
      </c>
      <c r="G8" s="203">
        <f>-tanks!AW12</f>
        <v>-12</v>
      </c>
      <c r="H8" s="314">
        <f>tanks!AV12</f>
        <v>0</v>
      </c>
      <c r="I8" s="10">
        <f>('B5'!AU11)*0.51</f>
        <v>0</v>
      </c>
      <c r="J8" s="295">
        <f>'B5'!AX11/0.51</f>
        <v>1.5686274509803921</v>
      </c>
      <c r="K8" s="203">
        <f>WATER!I12</f>
        <v>0</v>
      </c>
      <c r="L8" s="315">
        <f>SUM(WATER!J12)</f>
        <v>0</v>
      </c>
      <c r="M8" s="315">
        <f>WATER!Q12</f>
        <v>0</v>
      </c>
      <c r="N8" s="468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10</v>
      </c>
      <c r="D9">
        <f t="shared" si="1"/>
        <v>2022</v>
      </c>
      <c r="E9" s="203">
        <f>ELEC!N11</f>
        <v>0</v>
      </c>
      <c r="F9" s="314">
        <f>SUM('EDl log'!T11)</f>
        <v>0</v>
      </c>
      <c r="G9" s="203">
        <f>-tanks!AW13</f>
        <v>0</v>
      </c>
      <c r="H9" s="314">
        <f>tanks!AV13</f>
        <v>0</v>
      </c>
      <c r="I9" s="10">
        <f>('B5'!AU12)*0.51</f>
        <v>0</v>
      </c>
      <c r="J9" s="295">
        <f>'B5'!AX12/0.51</f>
        <v>1.5686274509803921</v>
      </c>
      <c r="K9" s="203">
        <f>WATER!I13</f>
        <v>0</v>
      </c>
      <c r="L9" s="315">
        <f>SUM(WATER!J13)</f>
        <v>0</v>
      </c>
      <c r="M9" s="315">
        <f>WATER!Q13</f>
        <v>0</v>
      </c>
      <c r="N9" s="468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10</v>
      </c>
      <c r="D10">
        <f t="shared" si="1"/>
        <v>2022</v>
      </c>
      <c r="E10" s="203">
        <f>ELEC!N12</f>
        <v>0</v>
      </c>
      <c r="F10" s="314">
        <f>SUM('EDl log'!T12)</f>
        <v>0</v>
      </c>
      <c r="G10" s="203">
        <f>-tanks!AW14</f>
        <v>0</v>
      </c>
      <c r="H10" s="314">
        <f>tanks!AV14</f>
        <v>0</v>
      </c>
      <c r="I10" s="10">
        <f>('B5'!AU13)*0.51</f>
        <v>0</v>
      </c>
      <c r="J10" s="295">
        <f>'B5'!AX13/0.51</f>
        <v>1.5686274509803921</v>
      </c>
      <c r="K10" s="203">
        <f>WATER!I14</f>
        <v>0</v>
      </c>
      <c r="L10" s="315">
        <f>SUM(WATER!J14)</f>
        <v>0</v>
      </c>
      <c r="M10" s="315">
        <f>WATER!Q14</f>
        <v>0</v>
      </c>
      <c r="N10" s="468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10</v>
      </c>
      <c r="D11">
        <f t="shared" si="1"/>
        <v>2022</v>
      </c>
      <c r="E11" s="203">
        <f>ELEC!N13</f>
        <v>2752</v>
      </c>
      <c r="F11" s="314">
        <f>SUM('EDl log'!T13)</f>
        <v>0.33456637630918068</v>
      </c>
      <c r="G11" s="203">
        <f>-tanks!AW15</f>
        <v>173</v>
      </c>
      <c r="H11" s="314">
        <f>tanks!AV15</f>
        <v>0</v>
      </c>
      <c r="I11" s="10">
        <f>('B5'!AU14)*0.51</f>
        <v>0</v>
      </c>
      <c r="J11" s="295">
        <f>'B5'!AX14/0.51</f>
        <v>1.5686274509803921</v>
      </c>
      <c r="K11" s="203">
        <f>WATER!I15</f>
        <v>0</v>
      </c>
      <c r="L11" s="315">
        <f>SUM(WATER!J15)</f>
        <v>0</v>
      </c>
      <c r="M11" s="315">
        <f>WATER!Q15</f>
        <v>0</v>
      </c>
      <c r="N11" s="468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10</v>
      </c>
      <c r="D12">
        <f t="shared" si="1"/>
        <v>2022</v>
      </c>
      <c r="E12" s="203">
        <f>ELEC!N14</f>
        <v>2353</v>
      </c>
      <c r="F12" s="314">
        <f>SUM('EDl log'!T14)</f>
        <v>0.41384226993252254</v>
      </c>
      <c r="G12" s="203">
        <f>-tanks!AW16</f>
        <v>0</v>
      </c>
      <c r="H12" s="314">
        <f>tanks!AV16</f>
        <v>0</v>
      </c>
      <c r="I12" s="10">
        <f>('B5'!AU15)*0.51</f>
        <v>0</v>
      </c>
      <c r="J12" s="295">
        <f>'B5'!AX15/0.51</f>
        <v>1.5686274509803921</v>
      </c>
      <c r="K12" s="203">
        <f>WATER!I16</f>
        <v>20</v>
      </c>
      <c r="L12" s="315">
        <f>SUM(WATER!J16)</f>
        <v>12.096774193548388</v>
      </c>
      <c r="M12" s="315">
        <f>WATER!Q16</f>
        <v>0</v>
      </c>
      <c r="N12" s="468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10</v>
      </c>
      <c r="D13">
        <f t="shared" si="1"/>
        <v>2022</v>
      </c>
      <c r="E13" s="203">
        <f>ELEC!N15</f>
        <v>3292</v>
      </c>
      <c r="F13" s="314">
        <f>SUM('EDl log'!T15)</f>
        <v>1.2782054204604976E-2</v>
      </c>
      <c r="G13" s="203">
        <f>-tanks!AW17</f>
        <v>172</v>
      </c>
      <c r="H13" s="314">
        <f>tanks!AV17</f>
        <v>1.03</v>
      </c>
      <c r="I13" s="10">
        <f>('B5'!AU16)*0.51</f>
        <v>0</v>
      </c>
      <c r="J13" s="295">
        <f>'B5'!AX16/0.51</f>
        <v>1.5686274509803921</v>
      </c>
      <c r="K13" s="203">
        <f>WATER!I17</f>
        <v>0</v>
      </c>
      <c r="L13" s="315">
        <f>SUM(WATER!J17)</f>
        <v>0</v>
      </c>
      <c r="M13" s="315">
        <f>WATER!Q17</f>
        <v>0</v>
      </c>
      <c r="N13" s="468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10</v>
      </c>
      <c r="D14">
        <f t="shared" si="1"/>
        <v>2022</v>
      </c>
      <c r="E14" s="203">
        <f>ELEC!N16</f>
        <v>0</v>
      </c>
      <c r="F14" s="314">
        <f>SUM('EDl log'!T16)</f>
        <v>0</v>
      </c>
      <c r="G14" s="203">
        <f>-tanks!AW18</f>
        <v>0</v>
      </c>
      <c r="H14" s="314">
        <f>tanks!AV18</f>
        <v>1.03</v>
      </c>
      <c r="I14" s="10">
        <f>('B5'!AU17)*0.51</f>
        <v>0</v>
      </c>
      <c r="J14" s="295">
        <f>'B5'!AX17/0.51</f>
        <v>1.5686274509803921</v>
      </c>
      <c r="K14" s="203">
        <f>WATER!I18</f>
        <v>0</v>
      </c>
      <c r="L14" s="315">
        <f>SUM(WATER!J18)</f>
        <v>0</v>
      </c>
      <c r="M14" s="315">
        <f>WATER!Q18</f>
        <v>0</v>
      </c>
      <c r="N14" s="468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10</v>
      </c>
      <c r="D15">
        <f t="shared" si="1"/>
        <v>2022</v>
      </c>
      <c r="E15" s="203">
        <f>ELEC!N17</f>
        <v>0</v>
      </c>
      <c r="F15" s="314">
        <f>SUM('EDl log'!T17)</f>
        <v>0</v>
      </c>
      <c r="G15" s="203">
        <f>-tanks!AW19</f>
        <v>0</v>
      </c>
      <c r="H15" s="314">
        <f>tanks!AV19</f>
        <v>1.03</v>
      </c>
      <c r="I15" s="10">
        <f>('B5'!AU18)*0.51</f>
        <v>0</v>
      </c>
      <c r="J15" s="295">
        <f>'B5'!AX18/0.51</f>
        <v>1.5686274509803921</v>
      </c>
      <c r="K15" s="203">
        <f>WATER!I19</f>
        <v>0</v>
      </c>
      <c r="L15" s="315">
        <f>SUM(WATER!J19)</f>
        <v>0</v>
      </c>
      <c r="M15" s="315">
        <f>WATER!Q19</f>
        <v>0</v>
      </c>
      <c r="N15" s="468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10</v>
      </c>
      <c r="D16">
        <f t="shared" si="1"/>
        <v>2022</v>
      </c>
      <c r="E16" s="203">
        <f>ELEC!N18</f>
        <v>0</v>
      </c>
      <c r="F16" s="314">
        <f>SUM('EDl log'!T18)</f>
        <v>0</v>
      </c>
      <c r="G16" s="203">
        <f>-tanks!AW20</f>
        <v>0</v>
      </c>
      <c r="H16" s="314">
        <f>tanks!AV20</f>
        <v>1.03</v>
      </c>
      <c r="I16" s="10">
        <f>('B5'!AU19)*0.51</f>
        <v>0</v>
      </c>
      <c r="J16" s="295">
        <f>'B5'!AX19/0.51</f>
        <v>1.5686274509803921</v>
      </c>
      <c r="K16" s="203">
        <f>WATER!I20</f>
        <v>0</v>
      </c>
      <c r="L16" s="315">
        <f>SUM(WATER!J20)</f>
        <v>0</v>
      </c>
      <c r="M16" s="315">
        <f>WATER!Q20</f>
        <v>0</v>
      </c>
      <c r="N16" s="468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10</v>
      </c>
      <c r="D17">
        <f t="shared" si="1"/>
        <v>2022</v>
      </c>
      <c r="E17" s="203">
        <f>ELEC!N19</f>
        <v>4852</v>
      </c>
      <c r="F17" s="314">
        <f>SUM('EDl log'!T19)</f>
        <v>0.29571592822173809</v>
      </c>
      <c r="G17" s="203">
        <f>-tanks!AW21</f>
        <v>305</v>
      </c>
      <c r="H17" s="314">
        <f>tanks!AV21</f>
        <v>1.03</v>
      </c>
      <c r="I17" s="10">
        <f>('B5'!AU20)*0.51</f>
        <v>0</v>
      </c>
      <c r="J17" s="295">
        <f>'B5'!AX20/0.51</f>
        <v>1.5686274509803921</v>
      </c>
      <c r="K17" s="203">
        <f>WATER!I21</f>
        <v>0</v>
      </c>
      <c r="L17" s="315">
        <f>SUM(WATER!J21)</f>
        <v>0</v>
      </c>
      <c r="M17" s="315">
        <f>WATER!Q21</f>
        <v>0</v>
      </c>
      <c r="N17" s="468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10</v>
      </c>
      <c r="D18">
        <f t="shared" si="1"/>
        <v>2022</v>
      </c>
      <c r="E18" s="203">
        <f>ELEC!N20</f>
        <v>1979</v>
      </c>
      <c r="F18" s="314">
        <f>SUM('EDl log'!T20)</f>
        <v>0.33600578975513684</v>
      </c>
      <c r="G18" s="203">
        <f>-tanks!AW22</f>
        <v>116</v>
      </c>
      <c r="H18" s="314">
        <f>tanks!AV22</f>
        <v>1.03</v>
      </c>
      <c r="I18" s="10">
        <f>('B5'!AU21)*0.51</f>
        <v>0</v>
      </c>
      <c r="J18" s="295">
        <f>'B5'!AX21/0.51</f>
        <v>1.5686274509803921</v>
      </c>
      <c r="K18" s="203">
        <f>WATER!I22</f>
        <v>0</v>
      </c>
      <c r="L18" s="315">
        <f>SUM(WATER!J22)</f>
        <v>0</v>
      </c>
      <c r="M18" s="315">
        <f>WATER!Q22</f>
        <v>0</v>
      </c>
      <c r="N18" s="468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10</v>
      </c>
      <c r="D19">
        <f t="shared" si="1"/>
        <v>2022</v>
      </c>
      <c r="E19" s="203">
        <f>ELEC!N21</f>
        <v>2613</v>
      </c>
      <c r="F19" s="314">
        <f>SUM('EDl log'!T21)</f>
        <v>0.32257001834115812</v>
      </c>
      <c r="G19" s="203">
        <f>-tanks!AW23</f>
        <v>0</v>
      </c>
      <c r="H19" s="314">
        <f>tanks!AV23</f>
        <v>1.03</v>
      </c>
      <c r="I19" s="10">
        <f>('B5'!AU22)*0.51</f>
        <v>0</v>
      </c>
      <c r="J19" s="295">
        <f>'B5'!AX22/0.51</f>
        <v>1.5686274509803921</v>
      </c>
      <c r="K19" s="203">
        <f>WATER!I23</f>
        <v>0</v>
      </c>
      <c r="L19" s="315">
        <f>SUM(WATER!J23)</f>
        <v>0</v>
      </c>
      <c r="M19" s="315">
        <f>WATER!Q23</f>
        <v>0</v>
      </c>
      <c r="N19" s="468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10</v>
      </c>
      <c r="D20">
        <f t="shared" si="1"/>
        <v>2022</v>
      </c>
      <c r="E20" s="203">
        <f>ELEC!N22</f>
        <v>2436</v>
      </c>
      <c r="F20" s="314">
        <f>SUM('EDl log'!T22)</f>
        <v>0.3049987175024112</v>
      </c>
      <c r="G20" s="203">
        <f>-tanks!AW24</f>
        <v>107</v>
      </c>
      <c r="H20" s="314">
        <f>tanks!AV24</f>
        <v>1.03</v>
      </c>
      <c r="I20" s="10">
        <f>('B5'!AU23)*0.51</f>
        <v>0</v>
      </c>
      <c r="J20" s="295">
        <f>'B5'!AX23/0.51</f>
        <v>1.5686274509803921</v>
      </c>
      <c r="K20" s="203">
        <f>WATER!I24</f>
        <v>0</v>
      </c>
      <c r="L20" s="315">
        <f>SUM(WATER!J24)</f>
        <v>0</v>
      </c>
      <c r="M20" s="315">
        <f>WATER!Q24</f>
        <v>0</v>
      </c>
      <c r="N20" s="468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10</v>
      </c>
      <c r="D21">
        <f t="shared" si="1"/>
        <v>2022</v>
      </c>
      <c r="E21" s="203">
        <f>ELEC!N23</f>
        <v>2195</v>
      </c>
      <c r="F21" s="314">
        <f>SUM('EDl log'!T23)</f>
        <v>-0.17115432146832105</v>
      </c>
      <c r="G21" s="203">
        <f>-tanks!AW25</f>
        <v>38</v>
      </c>
      <c r="H21" s="314">
        <f>tanks!AV25</f>
        <v>1.0549999999999999</v>
      </c>
      <c r="I21" s="10">
        <f>('B5'!AU24)*0.51</f>
        <v>0</v>
      </c>
      <c r="J21" s="295">
        <f>'B5'!AX24/0.51</f>
        <v>1.5686274509803921</v>
      </c>
      <c r="K21" s="203">
        <f>WATER!I25</f>
        <v>0</v>
      </c>
      <c r="L21" s="315">
        <f>SUM(WATER!J25)</f>
        <v>0</v>
      </c>
      <c r="M21" s="315">
        <f>WATER!Q25</f>
        <v>0</v>
      </c>
      <c r="N21" s="468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10</v>
      </c>
      <c r="D22">
        <f t="shared" si="1"/>
        <v>2022</v>
      </c>
      <c r="E22" s="203">
        <f>ELEC!N24</f>
        <v>0</v>
      </c>
      <c r="F22" s="314">
        <f>SUM('EDl log'!T24)</f>
        <v>0</v>
      </c>
      <c r="G22" s="203">
        <f>-tanks!AW26</f>
        <v>0</v>
      </c>
      <c r="H22" s="314">
        <f>tanks!AV26</f>
        <v>1.0549999999999999</v>
      </c>
      <c r="I22" s="10">
        <f>('B5'!AU25)*0.51</f>
        <v>0</v>
      </c>
      <c r="J22" s="295">
        <f>'B5'!AX25/0.51</f>
        <v>1.5686274509803921</v>
      </c>
      <c r="K22" s="203">
        <f>WATER!I26</f>
        <v>0</v>
      </c>
      <c r="L22" s="315">
        <f>SUM(WATER!J26)</f>
        <v>0</v>
      </c>
      <c r="M22" s="315">
        <f>WATER!Q26</f>
        <v>0</v>
      </c>
      <c r="N22" s="468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10</v>
      </c>
      <c r="D23">
        <f t="shared" si="1"/>
        <v>2022</v>
      </c>
      <c r="E23" s="203">
        <f>ELEC!N25</f>
        <v>0</v>
      </c>
      <c r="F23" s="314">
        <f>SUM('EDl log'!T25)</f>
        <v>0</v>
      </c>
      <c r="G23" s="203">
        <f>-tanks!AW27</f>
        <v>0</v>
      </c>
      <c r="H23" s="314">
        <f>tanks!AV27</f>
        <v>1.0549999999999999</v>
      </c>
      <c r="I23" s="10">
        <f>('B5'!AU26)*0.51</f>
        <v>0</v>
      </c>
      <c r="J23" s="295">
        <f>'B5'!AX26/0.51</f>
        <v>1.5686274509803921</v>
      </c>
      <c r="K23" s="203">
        <f>WATER!I27</f>
        <v>0</v>
      </c>
      <c r="L23" s="315">
        <f>SUM(WATER!J27)</f>
        <v>0</v>
      </c>
      <c r="M23" s="315">
        <f>WATER!Q27</f>
        <v>0</v>
      </c>
      <c r="N23" s="468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10</v>
      </c>
      <c r="D24">
        <f t="shared" si="1"/>
        <v>2022</v>
      </c>
      <c r="E24" s="203">
        <f>ELEC!N26</f>
        <v>3654.2000000001863</v>
      </c>
      <c r="F24" s="314">
        <f>SUM('EDl log'!T26)</f>
        <v>0.29786466827994607</v>
      </c>
      <c r="G24" s="203">
        <f>-tanks!AW28</f>
        <v>190</v>
      </c>
      <c r="H24" s="314">
        <f>tanks!AV28</f>
        <v>1.0549999999999999</v>
      </c>
      <c r="I24" s="10">
        <f>('B5'!AU27)*0.51</f>
        <v>0</v>
      </c>
      <c r="J24" s="295">
        <f>'B5'!AX27/0.51</f>
        <v>1.5686274509803921</v>
      </c>
      <c r="K24" s="203">
        <f>WATER!I28</f>
        <v>0</v>
      </c>
      <c r="L24" s="315">
        <f>SUM(WATER!J28)</f>
        <v>0</v>
      </c>
      <c r="M24" s="315">
        <f>WATER!Q28</f>
        <v>0</v>
      </c>
      <c r="N24" s="468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10</v>
      </c>
      <c r="D25">
        <f t="shared" si="1"/>
        <v>2022</v>
      </c>
      <c r="E25" s="203">
        <f>ELEC!N27</f>
        <v>2879.7999999998137</v>
      </c>
      <c r="F25" s="314">
        <f>SUM('EDl log'!T27)</f>
        <v>0.29477959038026952</v>
      </c>
      <c r="G25" s="203">
        <f>-tanks!AW29</f>
        <v>158</v>
      </c>
      <c r="H25" s="314">
        <f>tanks!AV29</f>
        <v>1.0549999999999999</v>
      </c>
      <c r="I25" s="10">
        <f>('B5'!AU28)*0.51</f>
        <v>0</v>
      </c>
      <c r="J25" s="295">
        <f>'B5'!AX28/0.51</f>
        <v>1.5686274509803921</v>
      </c>
      <c r="K25" s="203">
        <f>WATER!I29</f>
        <v>0</v>
      </c>
      <c r="L25" s="315">
        <f>SUM(WATER!J29)</f>
        <v>0</v>
      </c>
      <c r="M25" s="315">
        <f>WATER!Q29</f>
        <v>0</v>
      </c>
      <c r="N25" s="468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10</v>
      </c>
      <c r="D26">
        <f t="shared" si="1"/>
        <v>2022</v>
      </c>
      <c r="E26" s="203">
        <f>ELEC!N28</f>
        <v>3149</v>
      </c>
      <c r="F26" s="314">
        <f>SUM('EDl log'!T28)</f>
        <v>0.24294552490487334</v>
      </c>
      <c r="G26" s="203">
        <f>-tanks!AW30</f>
        <v>112</v>
      </c>
      <c r="H26" s="314">
        <f>tanks!AV30</f>
        <v>1.0549999999999999</v>
      </c>
      <c r="I26" s="10">
        <f>('B5'!AU29)*0.51</f>
        <v>0</v>
      </c>
      <c r="J26" s="295">
        <f>'B5'!AX29/0.51</f>
        <v>1.5686274509803921</v>
      </c>
      <c r="K26" s="203">
        <f>WATER!I30</f>
        <v>73</v>
      </c>
      <c r="L26" s="315">
        <f>SUM(WATER!J30)</f>
        <v>3.3141847105612019</v>
      </c>
      <c r="M26" s="315">
        <f>WATER!Q30</f>
        <v>0</v>
      </c>
      <c r="N26" s="468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10</v>
      </c>
      <c r="D27">
        <f t="shared" si="1"/>
        <v>2022</v>
      </c>
      <c r="E27" s="203">
        <f>ELEC!N29</f>
        <v>0</v>
      </c>
      <c r="F27" s="314">
        <f>SUM('EDl log'!T29)</f>
        <v>0</v>
      </c>
      <c r="G27" s="203">
        <f>-tanks!AW31</f>
        <v>0</v>
      </c>
      <c r="H27" s="314">
        <f>tanks!AV31</f>
        <v>1.0549999999999999</v>
      </c>
      <c r="I27" s="10">
        <f>('B5'!AU30)*0.51</f>
        <v>0</v>
      </c>
      <c r="J27" s="295">
        <f>'B5'!AX30/0.51</f>
        <v>1.5686274509803921</v>
      </c>
      <c r="K27" s="203">
        <f>WATER!I31</f>
        <v>0</v>
      </c>
      <c r="L27" s="315">
        <f>SUM(WATER!J31)</f>
        <v>0</v>
      </c>
      <c r="M27" s="315">
        <f>WATER!Q31</f>
        <v>0</v>
      </c>
      <c r="N27" s="468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10</v>
      </c>
      <c r="D28">
        <f t="shared" si="1"/>
        <v>2022</v>
      </c>
      <c r="E28" s="203">
        <f>ELEC!N30</f>
        <v>0</v>
      </c>
      <c r="F28" s="314">
        <f>SUM('EDl log'!T30)</f>
        <v>0</v>
      </c>
      <c r="G28" s="203">
        <f>-tanks!AW32</f>
        <v>0</v>
      </c>
      <c r="H28" s="314">
        <f>tanks!AV32</f>
        <v>1.0549999999999999</v>
      </c>
      <c r="I28" s="10">
        <f>('B5'!AU31)*0.51</f>
        <v>0</v>
      </c>
      <c r="J28" s="295">
        <f>'B5'!AX31/0.51</f>
        <v>1.5686274509803921</v>
      </c>
      <c r="K28" s="203">
        <f>WATER!I32</f>
        <v>0</v>
      </c>
      <c r="L28" s="315">
        <f>SUM(WATER!J32)</f>
        <v>0</v>
      </c>
      <c r="M28" s="315">
        <f>WATER!Q32</f>
        <v>0</v>
      </c>
      <c r="N28" s="468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10</v>
      </c>
      <c r="D29">
        <f t="shared" si="1"/>
        <v>2022</v>
      </c>
      <c r="E29" s="203">
        <f>ELEC!N31</f>
        <v>0</v>
      </c>
      <c r="F29" s="314">
        <f>SUM('EDl log'!T31)</f>
        <v>0</v>
      </c>
      <c r="G29" s="203">
        <f>-tanks!AW33</f>
        <v>0</v>
      </c>
      <c r="H29" s="314">
        <f>tanks!AV33</f>
        <v>1.0549999999999999</v>
      </c>
      <c r="I29" s="10">
        <f>('B5'!AU32)*0.51</f>
        <v>0</v>
      </c>
      <c r="J29" s="295">
        <f>'B5'!AX32/0.51</f>
        <v>1.5686274509803921</v>
      </c>
      <c r="K29" s="203">
        <f>WATER!I33</f>
        <v>0</v>
      </c>
      <c r="L29" s="315">
        <f>SUM(WATER!J33)</f>
        <v>0</v>
      </c>
      <c r="M29" s="315">
        <f>WATER!Q33</f>
        <v>0</v>
      </c>
      <c r="N29" s="468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10</v>
      </c>
      <c r="D30">
        <f t="shared" si="1"/>
        <v>2022</v>
      </c>
      <c r="E30" s="203">
        <f>ELEC!N32</f>
        <v>0</v>
      </c>
      <c r="F30" s="314">
        <f>SUM('EDl log'!T32)</f>
        <v>0</v>
      </c>
      <c r="G30" s="203">
        <f>-tanks!AW34</f>
        <v>0</v>
      </c>
      <c r="H30" s="314">
        <f>tanks!AV34</f>
        <v>1.0549999999999999</v>
      </c>
      <c r="I30" s="10">
        <f>('B5'!AU33)*0.51</f>
        <v>0</v>
      </c>
      <c r="J30" s="295">
        <f>'B5'!AX33/0.51</f>
        <v>1.5686274509803921</v>
      </c>
      <c r="K30" s="203">
        <f>WATER!I34</f>
        <v>0</v>
      </c>
      <c r="L30" s="315">
        <f>SUM(WATER!J34)</f>
        <v>0</v>
      </c>
      <c r="M30" s="315">
        <f>WATER!Q34</f>
        <v>0</v>
      </c>
      <c r="N30" s="468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10</v>
      </c>
      <c r="D31">
        <f t="shared" si="1"/>
        <v>2022</v>
      </c>
      <c r="E31" s="203">
        <f>ELEC!N33</f>
        <v>0</v>
      </c>
      <c r="F31" s="314">
        <f>SUM('EDl log'!T33)</f>
        <v>0</v>
      </c>
      <c r="G31" s="203">
        <f>-tanks!AW35</f>
        <v>0</v>
      </c>
      <c r="H31" s="314">
        <f>tanks!AV35</f>
        <v>1.0549999999999999</v>
      </c>
      <c r="I31" s="10">
        <f>('B5'!AU34)*0.51</f>
        <v>0</v>
      </c>
      <c r="J31" s="295">
        <f>'B5'!AX34/0.51</f>
        <v>1.5686274509803921</v>
      </c>
      <c r="K31" s="203">
        <f>WATER!I35</f>
        <v>0</v>
      </c>
      <c r="L31" s="315">
        <f>SUM(WATER!J35)</f>
        <v>0</v>
      </c>
      <c r="M31" s="315">
        <f>WATER!Q35</f>
        <v>0</v>
      </c>
      <c r="N31" s="468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10</v>
      </c>
      <c r="D32">
        <f t="shared" si="1"/>
        <v>2022</v>
      </c>
      <c r="E32" s="203">
        <f>ELEC!N34</f>
        <v>0</v>
      </c>
      <c r="F32" s="314">
        <f>SUM('EDl log'!T34)</f>
        <v>0</v>
      </c>
      <c r="G32" s="203">
        <f>-tanks!AW36</f>
        <v>0</v>
      </c>
      <c r="H32" s="314">
        <f>tanks!AV36</f>
        <v>1.0549999999999999</v>
      </c>
      <c r="I32" s="10">
        <f>('B5'!AU35)*0.51</f>
        <v>0</v>
      </c>
      <c r="J32" s="295">
        <f>'B5'!AX35/0.51</f>
        <v>1.5686274509803921</v>
      </c>
      <c r="K32" s="203">
        <f>WATER!I36</f>
        <v>0</v>
      </c>
      <c r="L32" s="315">
        <f>SUM(WATER!J36)</f>
        <v>0</v>
      </c>
      <c r="M32" s="315">
        <f>WATER!Q36</f>
        <v>0</v>
      </c>
      <c r="N32" s="468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1"/>
  <sheetViews>
    <sheetView zoomScale="40" zoomScaleNormal="40" workbookViewId="0">
      <selection activeCell="C2" sqref="C2:C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10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10</v>
      </c>
      <c r="D3">
        <v>2022</v>
      </c>
      <c r="E3" s="203">
        <f>ELEC!M5</f>
        <v>740</v>
      </c>
      <c r="F3" s="203">
        <f>ELEC!K5</f>
        <v>366</v>
      </c>
      <c r="G3" s="203">
        <f>ELEC!I5</f>
        <v>410</v>
      </c>
      <c r="H3" s="203">
        <f>ELEC!E5</f>
        <v>770</v>
      </c>
      <c r="I3" s="203">
        <f>ELEC!G5</f>
        <v>367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2" si="0">B3+1</f>
        <v>3</v>
      </c>
      <c r="C4">
        <v>10</v>
      </c>
      <c r="D4">
        <v>2022</v>
      </c>
      <c r="E4" s="203">
        <f>ELEC!M6</f>
        <v>752</v>
      </c>
      <c r="F4" s="203">
        <f>ELEC!K6</f>
        <v>506</v>
      </c>
      <c r="G4" s="203">
        <f>ELEC!I6</f>
        <v>408</v>
      </c>
      <c r="H4" s="203">
        <f>ELEC!E6</f>
        <v>720</v>
      </c>
      <c r="I4" s="203">
        <f>ELEC!G6</f>
        <v>361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10</v>
      </c>
      <c r="D5">
        <v>2022</v>
      </c>
      <c r="E5" s="203">
        <f>ELEC!M7</f>
        <v>724</v>
      </c>
      <c r="F5" s="203">
        <f>ELEC!K7</f>
        <v>580</v>
      </c>
      <c r="G5" s="203">
        <f>ELEC!I7</f>
        <v>386</v>
      </c>
      <c r="H5" s="203">
        <f>ELEC!E7</f>
        <v>670</v>
      </c>
      <c r="I5" s="203">
        <f>ELEC!G7</f>
        <v>336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10</v>
      </c>
      <c r="D6">
        <v>2022</v>
      </c>
      <c r="E6" s="203">
        <f>ELEC!M8</f>
        <v>904</v>
      </c>
      <c r="F6" s="203">
        <f>ELEC!K8</f>
        <v>360</v>
      </c>
      <c r="G6" s="203">
        <f>ELEC!I8</f>
        <v>452</v>
      </c>
      <c r="H6" s="203">
        <f>ELEC!E8</f>
        <v>1180</v>
      </c>
      <c r="I6" s="203">
        <f>ELEC!G8</f>
        <v>404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10</v>
      </c>
      <c r="D7">
        <v>2022</v>
      </c>
      <c r="E7" s="203">
        <f>ELEC!M9</f>
        <v>796</v>
      </c>
      <c r="F7" s="203">
        <f>ELEC!K9</f>
        <v>378</v>
      </c>
      <c r="G7" s="203">
        <f>ELEC!I9</f>
        <v>414</v>
      </c>
      <c r="H7" s="203">
        <f>ELEC!E9</f>
        <v>730</v>
      </c>
      <c r="I7" s="203">
        <f>ELEC!G9</f>
        <v>355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10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10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10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10</v>
      </c>
      <c r="D11">
        <v>2022</v>
      </c>
      <c r="E11" s="203">
        <f>ELEC!M13</f>
        <v>940</v>
      </c>
      <c r="F11" s="203">
        <f>ELEC!K13</f>
        <v>204</v>
      </c>
      <c r="G11" s="203">
        <f>ELEC!I13</f>
        <v>450</v>
      </c>
      <c r="H11" s="203">
        <f>ELEC!E13</f>
        <v>760</v>
      </c>
      <c r="I11" s="203">
        <f>ELEC!G13</f>
        <v>398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10</v>
      </c>
      <c r="D12">
        <v>2022</v>
      </c>
      <c r="E12" s="203">
        <f>ELEC!M14</f>
        <v>776</v>
      </c>
      <c r="F12" s="203">
        <f>ELEC!K14</f>
        <v>228</v>
      </c>
      <c r="G12" s="203">
        <f>ELEC!I14</f>
        <v>344</v>
      </c>
      <c r="H12" s="203">
        <f>ELEC!E14</f>
        <v>650</v>
      </c>
      <c r="I12" s="203">
        <f>ELEC!G14</f>
        <v>355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10</v>
      </c>
      <c r="D13">
        <v>2022</v>
      </c>
      <c r="E13" s="203">
        <f>ELEC!M15</f>
        <v>1012</v>
      </c>
      <c r="F13" s="203">
        <f>ELEC!K15</f>
        <v>316</v>
      </c>
      <c r="G13" s="203">
        <f>ELEC!I15</f>
        <v>504</v>
      </c>
      <c r="H13" s="203">
        <f>ELEC!E15</f>
        <v>930</v>
      </c>
      <c r="I13" s="203">
        <f>ELEC!G15</f>
        <v>530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10</v>
      </c>
      <c r="D14">
        <v>2022</v>
      </c>
      <c r="E14" s="203">
        <f>ELEC!M16</f>
        <v>0</v>
      </c>
      <c r="F14" s="203">
        <f>ELEC!K16</f>
        <v>0</v>
      </c>
      <c r="G14" s="203">
        <f>ELEC!I16</f>
        <v>0</v>
      </c>
      <c r="H14" s="203">
        <f>ELEC!E16</f>
        <v>0</v>
      </c>
      <c r="I14" s="203">
        <f>ELEC!G16</f>
        <v>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10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10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10</v>
      </c>
      <c r="D17">
        <v>2022</v>
      </c>
      <c r="E17" s="203">
        <f>ELEC!M19</f>
        <v>1438</v>
      </c>
      <c r="F17" s="203">
        <f>ELEC!K19</f>
        <v>496</v>
      </c>
      <c r="G17" s="203">
        <f>ELEC!I19</f>
        <v>788</v>
      </c>
      <c r="H17" s="203">
        <f>ELEC!E19</f>
        <v>1350</v>
      </c>
      <c r="I17" s="203">
        <f>ELEC!G19</f>
        <v>780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10</v>
      </c>
      <c r="D18">
        <v>2022</v>
      </c>
      <c r="E18" s="203">
        <f>ELEC!M20</f>
        <v>624</v>
      </c>
      <c r="F18" s="203">
        <f>ELEC!K20</f>
        <v>204</v>
      </c>
      <c r="G18" s="203">
        <f>ELEC!I20</f>
        <v>300</v>
      </c>
      <c r="H18" s="203">
        <f>ELEC!E20</f>
        <v>540</v>
      </c>
      <c r="I18" s="203">
        <f>ELEC!G20</f>
        <v>311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10</v>
      </c>
      <c r="D19">
        <v>2022</v>
      </c>
      <c r="E19" s="203">
        <f>ELEC!M21</f>
        <v>794</v>
      </c>
      <c r="F19" s="203">
        <f>ELEC!K21</f>
        <v>124</v>
      </c>
      <c r="G19" s="203">
        <f>ELEC!I21</f>
        <v>422</v>
      </c>
      <c r="H19" s="203">
        <f>ELEC!E21</f>
        <v>820</v>
      </c>
      <c r="I19" s="203">
        <f>ELEC!G21</f>
        <v>453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10</v>
      </c>
      <c r="D20">
        <v>2022</v>
      </c>
      <c r="E20" s="203">
        <f>ELEC!M22</f>
        <v>704</v>
      </c>
      <c r="F20" s="203">
        <f>ELEC!K22</f>
        <v>216</v>
      </c>
      <c r="G20" s="203">
        <f>ELEC!I22</f>
        <v>386</v>
      </c>
      <c r="H20" s="203">
        <f>ELEC!E22</f>
        <v>710</v>
      </c>
      <c r="I20" s="203">
        <f>ELEC!G22</f>
        <v>420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10</v>
      </c>
      <c r="D21">
        <v>2022</v>
      </c>
      <c r="E21" s="203">
        <f>ELEC!M23</f>
        <v>696</v>
      </c>
      <c r="F21" s="203">
        <f>ELEC!K23</f>
        <v>210</v>
      </c>
      <c r="G21" s="203">
        <f>ELEC!I23</f>
        <v>336</v>
      </c>
      <c r="H21" s="203">
        <f>ELEC!E23</f>
        <v>560</v>
      </c>
      <c r="I21" s="203">
        <f>ELEC!G23</f>
        <v>393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10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10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10</v>
      </c>
      <c r="D24">
        <v>2022</v>
      </c>
      <c r="E24" s="203">
        <f>ELEC!M26</f>
        <v>952</v>
      </c>
      <c r="F24" s="203">
        <f>ELEC!K26</f>
        <v>746</v>
      </c>
      <c r="G24" s="203">
        <f>ELEC!I26</f>
        <v>432</v>
      </c>
      <c r="H24" s="203">
        <f>ELEC!E26</f>
        <v>1060</v>
      </c>
      <c r="I24" s="203">
        <f>ELEC!G26</f>
        <v>464.20000000018626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10</v>
      </c>
      <c r="D25">
        <v>2022</v>
      </c>
      <c r="E25" s="203">
        <f>ELEC!M27</f>
        <v>784</v>
      </c>
      <c r="F25" s="203">
        <f>ELEC!K27</f>
        <v>700</v>
      </c>
      <c r="G25" s="203">
        <f>ELEC!I27</f>
        <v>336</v>
      </c>
      <c r="H25" s="203">
        <f>ELEC!E27</f>
        <v>630</v>
      </c>
      <c r="I25" s="203">
        <f>ELEC!G27</f>
        <v>429.79999999981374</v>
      </c>
      <c r="J25" s="203">
        <f>WATER!Y29</f>
        <v>57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10</v>
      </c>
      <c r="D26">
        <v>2022</v>
      </c>
      <c r="E26" s="203">
        <f>ELEC!M28</f>
        <v>906</v>
      </c>
      <c r="F26" s="203">
        <f>ELEC!K28</f>
        <v>808</v>
      </c>
      <c r="G26" s="203">
        <f>ELEC!I28</f>
        <v>408</v>
      </c>
      <c r="H26" s="203">
        <f>ELEC!E28</f>
        <v>720</v>
      </c>
      <c r="I26" s="203">
        <f>ELEC!G28</f>
        <v>307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10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10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10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10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10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f t="shared" si="0"/>
        <v>31</v>
      </c>
      <c r="C32">
        <v>10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5"/>
  <sheetViews>
    <sheetView zoomScale="60" zoomScaleNormal="60" zoomScaleSheetLayoutView="100" workbookViewId="0">
      <pane ySplit="2" topLeftCell="A3" activePane="bottomLeft" state="frozen"/>
      <selection activeCell="C1" sqref="C1"/>
      <selection pane="bottomLeft" activeCell="P27" sqref="P27"/>
    </sheetView>
  </sheetViews>
  <sheetFormatPr defaultColWidth="9.28515625" defaultRowHeight="15"/>
  <cols>
    <col min="1" max="1" width="7.7109375" style="443" bestFit="1" customWidth="1"/>
    <col min="2" max="2" width="10.28515625" style="451" bestFit="1" customWidth="1"/>
    <col min="3" max="3" width="11.5703125" style="443" customWidth="1"/>
    <col min="4" max="4" width="18" style="452" bestFit="1" customWidth="1"/>
    <col min="5" max="5" width="14.85546875" style="452" bestFit="1" customWidth="1"/>
    <col min="6" max="6" width="15.28515625" style="452" bestFit="1" customWidth="1"/>
    <col min="7" max="7" width="24" style="452" customWidth="1"/>
    <col min="8" max="8" width="18" style="452" bestFit="1" customWidth="1"/>
    <col min="9" max="9" width="13.140625" style="452" bestFit="1" customWidth="1"/>
    <col min="10" max="10" width="18" style="452" bestFit="1" customWidth="1"/>
    <col min="11" max="11" width="11.7109375" style="452" customWidth="1"/>
    <col min="12" max="12" width="18" style="452" bestFit="1" customWidth="1"/>
    <col min="13" max="13" width="13.140625" style="452" bestFit="1" customWidth="1"/>
    <col min="14" max="14" width="15.42578125" style="443" bestFit="1" customWidth="1"/>
    <col min="15" max="15" width="13.28515625" style="453" bestFit="1" customWidth="1"/>
    <col min="16" max="16" width="22.140625" style="443" customWidth="1"/>
    <col min="17" max="17" width="13.7109375" style="443" bestFit="1" customWidth="1"/>
    <col min="18" max="18" width="12.42578125" style="443" bestFit="1" customWidth="1"/>
    <col min="19" max="21" width="11.5703125" style="443" bestFit="1" customWidth="1"/>
    <col min="22" max="22" width="13.28515625" style="443" bestFit="1" customWidth="1"/>
    <col min="23" max="25" width="11.5703125" style="443" bestFit="1" customWidth="1"/>
    <col min="26" max="26" width="13.28515625" style="443" bestFit="1" customWidth="1"/>
    <col min="27" max="29" width="11.5703125" style="443" bestFit="1" customWidth="1"/>
    <col min="30" max="30" width="13.28515625" style="443" bestFit="1" customWidth="1"/>
    <col min="31" max="32" width="11.5703125" style="443" bestFit="1" customWidth="1"/>
    <col min="33" max="33" width="15.7109375" style="443" customWidth="1"/>
    <col min="34" max="34" width="9.28515625" style="443"/>
    <col min="35" max="35" width="9.7109375" style="443" bestFit="1" customWidth="1"/>
    <col min="36" max="36" width="11.5703125" style="443" bestFit="1" customWidth="1"/>
    <col min="37" max="37" width="12.42578125" style="443" customWidth="1"/>
    <col min="38" max="38" width="11.42578125" style="443" customWidth="1"/>
    <col min="39" max="39" width="10" style="443" bestFit="1" customWidth="1"/>
    <col min="40" max="40" width="10.7109375" style="443" bestFit="1" customWidth="1"/>
    <col min="41" max="16384" width="9.28515625" style="443"/>
  </cols>
  <sheetData>
    <row r="2" spans="1:40" s="428" customFormat="1" ht="18.75" customHeight="1">
      <c r="A2" s="428" t="s">
        <v>19</v>
      </c>
      <c r="B2" s="429" t="s">
        <v>155</v>
      </c>
      <c r="C2" s="430"/>
      <c r="D2" s="431" t="s">
        <v>20</v>
      </c>
      <c r="E2" s="431" t="s">
        <v>21</v>
      </c>
      <c r="F2" s="431" t="s">
        <v>22</v>
      </c>
      <c r="G2" s="431" t="s">
        <v>23</v>
      </c>
      <c r="H2" s="431" t="s">
        <v>24</v>
      </c>
      <c r="I2" s="431" t="s">
        <v>25</v>
      </c>
      <c r="J2" s="431" t="s">
        <v>26</v>
      </c>
      <c r="K2" s="431" t="s">
        <v>27</v>
      </c>
      <c r="L2" s="431" t="s">
        <v>28</v>
      </c>
      <c r="M2" s="431" t="s">
        <v>29</v>
      </c>
      <c r="N2" s="432" t="s">
        <v>30</v>
      </c>
      <c r="O2" s="433" t="s">
        <v>156</v>
      </c>
      <c r="P2" s="434" t="s">
        <v>323</v>
      </c>
      <c r="Q2" s="432" t="s">
        <v>31</v>
      </c>
      <c r="R2" s="432" t="s">
        <v>32</v>
      </c>
      <c r="S2" s="432" t="s">
        <v>357</v>
      </c>
      <c r="T2" s="432" t="s">
        <v>33</v>
      </c>
      <c r="U2" s="432" t="s">
        <v>34</v>
      </c>
      <c r="V2" s="432" t="s">
        <v>35</v>
      </c>
      <c r="W2" s="432" t="s">
        <v>36</v>
      </c>
      <c r="X2" s="432" t="s">
        <v>33</v>
      </c>
      <c r="Y2" s="432" t="s">
        <v>37</v>
      </c>
      <c r="Z2" s="432" t="s">
        <v>38</v>
      </c>
      <c r="AA2" s="432" t="s">
        <v>39</v>
      </c>
      <c r="AB2" s="432" t="s">
        <v>33</v>
      </c>
      <c r="AC2" s="432" t="s">
        <v>77</v>
      </c>
      <c r="AD2" s="432" t="s">
        <v>40</v>
      </c>
      <c r="AE2" s="432" t="s">
        <v>41</v>
      </c>
      <c r="AF2" s="432" t="s">
        <v>42</v>
      </c>
      <c r="AG2" s="428" t="s">
        <v>132</v>
      </c>
    </row>
    <row r="3" spans="1:40">
      <c r="A3" s="435">
        <f>[1]ELEC!$A$34</f>
        <v>0</v>
      </c>
      <c r="B3" s="429">
        <f>[1]ELEC!$B$34</f>
        <v>0</v>
      </c>
      <c r="C3" s="436">
        <f>[2]ELEC!$C$33</f>
        <v>44834</v>
      </c>
      <c r="D3" s="584">
        <f>[2]ELEC!$D$34</f>
        <v>376630</v>
      </c>
      <c r="E3" s="584">
        <f>[3]ELEC!E34</f>
        <v>920</v>
      </c>
      <c r="F3" s="584">
        <f>[2]ELEC!$F$34</f>
        <v>4168766</v>
      </c>
      <c r="G3" s="584">
        <f>[3]ELEC!G34</f>
        <v>602.79999999981374</v>
      </c>
      <c r="H3" s="584">
        <f>[2]ELEC!$H$34</f>
        <v>18082090</v>
      </c>
      <c r="I3" s="584">
        <f>[3]ELEC!I34</f>
        <v>568</v>
      </c>
      <c r="J3" s="584">
        <f>[2]ELEC!$J$34</f>
        <v>29857148</v>
      </c>
      <c r="K3" s="584">
        <f>[3]ELEC!K34</f>
        <v>878</v>
      </c>
      <c r="L3" s="584">
        <f>[2]ELEC!$L$34</f>
        <v>24671166</v>
      </c>
      <c r="M3" s="584">
        <f>[3]ELEC!M34</f>
        <v>1110</v>
      </c>
      <c r="N3" s="584">
        <f>M3+K3+I3+G3+E3</f>
        <v>4078.7999999998137</v>
      </c>
      <c r="O3" s="584">
        <f>[3]ELEC!O34</f>
        <v>0</v>
      </c>
      <c r="P3" s="584">
        <f>[2]ELEC!$P$34</f>
        <v>19535.339</v>
      </c>
      <c r="Q3" s="584">
        <f>[3]ELEC!Q34</f>
        <v>4102.999999999156</v>
      </c>
      <c r="R3" s="584">
        <f>[3]ELEC!R34</f>
        <v>-24.199999999342253</v>
      </c>
      <c r="S3" s="584">
        <v>10175</v>
      </c>
      <c r="T3" s="584">
        <f>[3]ELEC!T34</f>
        <v>0</v>
      </c>
      <c r="U3" s="584">
        <f>[3]ELEC!U34</f>
        <v>429166</v>
      </c>
      <c r="V3" s="584">
        <f>[3]ELEC!V34</f>
        <v>0</v>
      </c>
      <c r="W3" s="584">
        <f>[2]ELEC!$W$34</f>
        <v>33498</v>
      </c>
      <c r="X3" s="584">
        <f>[3]ELEC!X34</f>
        <v>0</v>
      </c>
      <c r="Y3" s="584">
        <f>[2]ELEC!$Y$34</f>
        <v>999659</v>
      </c>
      <c r="Z3" s="584">
        <f>[3]ELEC!Z34</f>
        <v>0</v>
      </c>
      <c r="AA3" s="584">
        <f>[2]ELEC!$AA$34</f>
        <v>36801</v>
      </c>
      <c r="AB3" s="584">
        <f>[3]ELEC!AB34</f>
        <v>0</v>
      </c>
      <c r="AC3" s="584">
        <f>[2]ELEC!$AC$34</f>
        <v>1171535</v>
      </c>
      <c r="AD3" s="584">
        <f>[3]ELEC!AD34</f>
        <v>0</v>
      </c>
      <c r="AE3" s="584">
        <f>[3]ELEC!AE34</f>
        <v>0</v>
      </c>
      <c r="AF3" s="584">
        <f>[3]ELEC!AF34</f>
        <v>0</v>
      </c>
      <c r="AG3" s="584">
        <f>[3]ELEC!AG34</f>
        <v>0</v>
      </c>
      <c r="AJ3" s="542"/>
      <c r="AK3" s="543"/>
      <c r="AL3" s="543"/>
      <c r="AM3" s="543"/>
      <c r="AN3" s="543"/>
    </row>
    <row r="4" spans="1:40">
      <c r="A4" s="435">
        <f>'General information '!F5</f>
        <v>0</v>
      </c>
      <c r="B4" s="429">
        <f>SUM(230*A4)</f>
        <v>0</v>
      </c>
      <c r="C4" s="436">
        <v>44835</v>
      </c>
      <c r="D4" s="584">
        <f>[2]ELEC!$D$34</f>
        <v>376630</v>
      </c>
      <c r="E4" s="573">
        <f>D4-D3</f>
        <v>0</v>
      </c>
      <c r="F4" s="584">
        <f>[2]ELEC!$F$34</f>
        <v>4168766</v>
      </c>
      <c r="G4" s="574">
        <f>F4-F3</f>
        <v>0</v>
      </c>
      <c r="H4" s="584">
        <f>[2]ELEC!$H$34</f>
        <v>18082090</v>
      </c>
      <c r="I4" s="574">
        <f>H4-H3</f>
        <v>0</v>
      </c>
      <c r="J4" s="584">
        <f>[2]ELEC!$J$34</f>
        <v>29857148</v>
      </c>
      <c r="K4" s="574">
        <f>J4-J3</f>
        <v>0</v>
      </c>
      <c r="L4" s="584">
        <f>[2]ELEC!$L$34</f>
        <v>24671166</v>
      </c>
      <c r="M4" s="574">
        <f>L4-L3</f>
        <v>0</v>
      </c>
      <c r="N4" s="426">
        <f>M4+K4+I4+G4+E4</f>
        <v>0</v>
      </c>
      <c r="O4" s="437">
        <f t="shared" ref="O4:O10" si="0">IF(B4&gt;0,N4/B4,0)</f>
        <v>0</v>
      </c>
      <c r="P4" s="584">
        <f>[2]ELEC!$P$34</f>
        <v>19535.339</v>
      </c>
      <c r="Q4" s="445">
        <f t="shared" ref="Q4:Q31" si="1">(P4-P3)*1000</f>
        <v>0</v>
      </c>
      <c r="R4" s="544">
        <f>+N4-Q4</f>
        <v>0</v>
      </c>
      <c r="S4" s="425">
        <f>S3</f>
        <v>10175</v>
      </c>
      <c r="T4" s="439">
        <f t="shared" ref="T4:T34" si="2">S4-S3</f>
        <v>0</v>
      </c>
      <c r="U4" s="425">
        <f>U3</f>
        <v>429166</v>
      </c>
      <c r="V4" s="438">
        <f>U4-U3</f>
        <v>0</v>
      </c>
      <c r="W4" s="584">
        <f>[2]ELEC!$W$34</f>
        <v>33498</v>
      </c>
      <c r="X4" s="438">
        <f t="shared" ref="X4:X9" si="3">W4-W3</f>
        <v>0</v>
      </c>
      <c r="Y4" s="584">
        <f>[2]ELEC!$Y$34</f>
        <v>999659</v>
      </c>
      <c r="Z4" s="438">
        <f>Y4-Y3</f>
        <v>0</v>
      </c>
      <c r="AA4" s="584">
        <f>[2]ELEC!$AA$34</f>
        <v>36801</v>
      </c>
      <c r="AB4" s="438">
        <f>AA4-AA3</f>
        <v>0</v>
      </c>
      <c r="AC4" s="584">
        <f>[2]ELEC!$AC$34</f>
        <v>1171535</v>
      </c>
      <c r="AD4" s="440">
        <f>AC4-AC3</f>
        <v>0</v>
      </c>
      <c r="AE4" s="441">
        <f>AB4+X4+T4</f>
        <v>0</v>
      </c>
      <c r="AF4" s="450">
        <f t="shared" ref="AF4:AF31" si="4">V4+Z4+AD4</f>
        <v>0</v>
      </c>
      <c r="AG4" s="442">
        <f t="shared" ref="AG4:AG10" si="5">IF(AE4&gt;0,AF4/AE4,0)</f>
        <v>0</v>
      </c>
      <c r="AJ4" s="542"/>
      <c r="AK4" s="543"/>
      <c r="AL4" s="543"/>
      <c r="AM4" s="543"/>
      <c r="AN4" s="543"/>
    </row>
    <row r="5" spans="1:40">
      <c r="A5" s="435">
        <f>'General information '!F6</f>
        <v>0</v>
      </c>
      <c r="B5" s="429">
        <f t="shared" ref="B5:B31" si="6">SUM(230*A5)</f>
        <v>0</v>
      </c>
      <c r="C5" s="436">
        <v>44836</v>
      </c>
      <c r="D5" s="584">
        <v>377400</v>
      </c>
      <c r="E5" s="573">
        <f t="shared" ref="E5:E34" si="7">D5-D4</f>
        <v>770</v>
      </c>
      <c r="F5" s="565">
        <v>4169133</v>
      </c>
      <c r="G5" s="448">
        <f>F5-F4</f>
        <v>367</v>
      </c>
      <c r="H5" s="425">
        <v>18082500</v>
      </c>
      <c r="I5" s="448">
        <f>H5-H4</f>
        <v>410</v>
      </c>
      <c r="J5" s="425">
        <v>29857514</v>
      </c>
      <c r="K5" s="448">
        <f>J5-J4</f>
        <v>366</v>
      </c>
      <c r="L5" s="425">
        <v>24671906</v>
      </c>
      <c r="M5" s="448">
        <f>L5-L4</f>
        <v>740</v>
      </c>
      <c r="N5" s="296">
        <f>M5+K5+I5+G5+E5</f>
        <v>2653</v>
      </c>
      <c r="O5" s="444">
        <f t="shared" si="0"/>
        <v>0</v>
      </c>
      <c r="P5" s="559">
        <v>19537.923999999999</v>
      </c>
      <c r="Q5" s="445">
        <f t="shared" si="1"/>
        <v>2584.9999999991269</v>
      </c>
      <c r="R5" s="427">
        <f>N5-Q5</f>
        <v>68.000000000873115</v>
      </c>
      <c r="S5" s="425">
        <f t="shared" ref="S5:S34" si="8">S4</f>
        <v>10175</v>
      </c>
      <c r="T5" s="446">
        <f t="shared" si="2"/>
        <v>0</v>
      </c>
      <c r="U5" s="425">
        <f t="shared" ref="U5:U34" si="9">U4</f>
        <v>429166</v>
      </c>
      <c r="V5" s="427">
        <f>U5-U4</f>
        <v>0</v>
      </c>
      <c r="W5" s="584">
        <v>33498</v>
      </c>
      <c r="X5" s="427">
        <f t="shared" si="3"/>
        <v>0</v>
      </c>
      <c r="Y5" s="584">
        <f>[2]ELEC!$Y$34</f>
        <v>999659</v>
      </c>
      <c r="Z5" s="427">
        <f>Y5-Y4</f>
        <v>0</v>
      </c>
      <c r="AA5" s="584">
        <f>[2]ELEC!$AA$34</f>
        <v>36801</v>
      </c>
      <c r="AB5" s="447">
        <f>AA5-AA4</f>
        <v>0</v>
      </c>
      <c r="AC5" s="584">
        <f>[2]ELEC!$AC$34</f>
        <v>1171535</v>
      </c>
      <c r="AD5" s="448">
        <f>AC5-AC4</f>
        <v>0</v>
      </c>
      <c r="AE5" s="449">
        <f t="shared" ref="AE5:AE31" si="10">AB5+X5+T5</f>
        <v>0</v>
      </c>
      <c r="AF5" s="450">
        <f t="shared" si="4"/>
        <v>0</v>
      </c>
      <c r="AG5" s="442">
        <f t="shared" si="5"/>
        <v>0</v>
      </c>
      <c r="AJ5" s="542"/>
      <c r="AK5" s="543"/>
      <c r="AL5" s="543"/>
      <c r="AM5" s="543"/>
      <c r="AN5" s="543"/>
    </row>
    <row r="6" spans="1:40">
      <c r="A6" s="435">
        <f>'General information '!F7</f>
        <v>0</v>
      </c>
      <c r="B6" s="429">
        <f>SUM(230*A6)</f>
        <v>0</v>
      </c>
      <c r="C6" s="436">
        <v>44837</v>
      </c>
      <c r="D6" s="585">
        <v>378120</v>
      </c>
      <c r="E6" s="573">
        <f t="shared" ref="E6:E7" si="11">D6-D5</f>
        <v>720</v>
      </c>
      <c r="F6" s="565">
        <v>4169494</v>
      </c>
      <c r="G6" s="448">
        <f t="shared" ref="G6:G7" si="12">F6-F5</f>
        <v>361</v>
      </c>
      <c r="H6" s="425">
        <v>18082908</v>
      </c>
      <c r="I6" s="448">
        <f t="shared" ref="I6:I7" si="13">H6-H5</f>
        <v>408</v>
      </c>
      <c r="J6" s="425">
        <v>29858020</v>
      </c>
      <c r="K6" s="448">
        <f t="shared" ref="K6:K7" si="14">J6-J5</f>
        <v>506</v>
      </c>
      <c r="L6" s="425">
        <v>24672658</v>
      </c>
      <c r="M6" s="448">
        <f t="shared" ref="M6:M7" si="15">L6-L5</f>
        <v>752</v>
      </c>
      <c r="N6" s="296">
        <f t="shared" ref="N6:N7" si="16">M6+K6+I6+G6+E6</f>
        <v>2747</v>
      </c>
      <c r="O6" s="444">
        <f t="shared" ref="O6:O7" si="17">IF(B6&gt;0,N6/B6,0)</f>
        <v>0</v>
      </c>
      <c r="P6" s="559">
        <v>19540.732</v>
      </c>
      <c r="Q6" s="445">
        <f t="shared" ref="Q6:Q7" si="18">(P6-P5)*1000</f>
        <v>2808.0000000009022</v>
      </c>
      <c r="R6" s="427">
        <f>N6-Q6</f>
        <v>-61.000000000902219</v>
      </c>
      <c r="S6" s="425">
        <f t="shared" si="8"/>
        <v>10175</v>
      </c>
      <c r="T6" s="446">
        <f t="shared" si="2"/>
        <v>0</v>
      </c>
      <c r="U6" s="425">
        <f t="shared" si="9"/>
        <v>429166</v>
      </c>
      <c r="V6" s="427">
        <f t="shared" ref="V6:V30" si="19">U6-U5</f>
        <v>0</v>
      </c>
      <c r="W6" s="584">
        <f>[2]ELEC!$W$34</f>
        <v>33498</v>
      </c>
      <c r="X6" s="427">
        <f t="shared" si="3"/>
        <v>0</v>
      </c>
      <c r="Y6" s="584">
        <f>[2]ELEC!$Y$34</f>
        <v>999659</v>
      </c>
      <c r="Z6" s="427">
        <f>Y6-Y5</f>
        <v>0</v>
      </c>
      <c r="AA6" s="584">
        <f>[2]ELEC!$AA$34</f>
        <v>36801</v>
      </c>
      <c r="AB6" s="427">
        <f t="shared" ref="AB6:AB31" si="20">AA6-AA5</f>
        <v>0</v>
      </c>
      <c r="AC6" s="584">
        <f>[2]ELEC!$AC$34</f>
        <v>1171535</v>
      </c>
      <c r="AD6" s="427">
        <f t="shared" ref="AD6:AD17" si="21">AC6-AC5</f>
        <v>0</v>
      </c>
      <c r="AE6" s="449">
        <f t="shared" si="10"/>
        <v>0</v>
      </c>
      <c r="AF6" s="450">
        <f t="shared" si="4"/>
        <v>0</v>
      </c>
      <c r="AG6" s="442">
        <f t="shared" si="5"/>
        <v>0</v>
      </c>
      <c r="AJ6" s="542"/>
      <c r="AK6" s="543"/>
      <c r="AL6" s="543"/>
      <c r="AM6" s="543"/>
      <c r="AN6" s="543"/>
    </row>
    <row r="7" spans="1:40">
      <c r="A7" s="435">
        <f>'General information '!F8</f>
        <v>0</v>
      </c>
      <c r="B7" s="429">
        <f t="shared" si="6"/>
        <v>0</v>
      </c>
      <c r="C7" s="436">
        <v>44838</v>
      </c>
      <c r="D7" s="585">
        <v>378790</v>
      </c>
      <c r="E7" s="573">
        <f t="shared" si="11"/>
        <v>670</v>
      </c>
      <c r="F7" s="565">
        <v>4169830</v>
      </c>
      <c r="G7" s="448">
        <f t="shared" si="12"/>
        <v>336</v>
      </c>
      <c r="H7" s="425">
        <v>18083294</v>
      </c>
      <c r="I7" s="448">
        <f t="shared" si="13"/>
        <v>386</v>
      </c>
      <c r="J7" s="425">
        <v>29858600</v>
      </c>
      <c r="K7" s="448">
        <f t="shared" si="14"/>
        <v>580</v>
      </c>
      <c r="L7" s="425">
        <v>24673382</v>
      </c>
      <c r="M7" s="448">
        <f t="shared" si="15"/>
        <v>724</v>
      </c>
      <c r="N7" s="296">
        <f t="shared" si="16"/>
        <v>2696</v>
      </c>
      <c r="O7" s="444">
        <f t="shared" si="17"/>
        <v>0</v>
      </c>
      <c r="P7" s="559">
        <v>19543.491000000002</v>
      </c>
      <c r="Q7" s="445">
        <f t="shared" si="18"/>
        <v>2759.0000000018335</v>
      </c>
      <c r="R7" s="427">
        <f t="shared" ref="R7:R18" si="22">N7-Q7</f>
        <v>-63.000000001833541</v>
      </c>
      <c r="S7" s="425">
        <f t="shared" si="8"/>
        <v>10175</v>
      </c>
      <c r="T7" s="446">
        <f t="shared" si="2"/>
        <v>0</v>
      </c>
      <c r="U7" s="425">
        <f t="shared" si="9"/>
        <v>429166</v>
      </c>
      <c r="V7" s="427">
        <f t="shared" si="19"/>
        <v>0</v>
      </c>
      <c r="W7" s="584">
        <f>[2]ELEC!$W$34</f>
        <v>33498</v>
      </c>
      <c r="X7" s="427">
        <f t="shared" si="3"/>
        <v>0</v>
      </c>
      <c r="Y7" s="584">
        <f>[2]ELEC!$Y$34</f>
        <v>999659</v>
      </c>
      <c r="Z7" s="427">
        <f t="shared" ref="Z7:Z31" si="23">Y7-Y6</f>
        <v>0</v>
      </c>
      <c r="AA7" s="584">
        <f>[2]ELEC!$AA$34</f>
        <v>36801</v>
      </c>
      <c r="AB7" s="427">
        <f t="shared" si="20"/>
        <v>0</v>
      </c>
      <c r="AC7" s="584">
        <f>[2]ELEC!$AC$34</f>
        <v>1171535</v>
      </c>
      <c r="AD7" s="427">
        <f t="shared" si="21"/>
        <v>0</v>
      </c>
      <c r="AE7" s="449">
        <f t="shared" si="10"/>
        <v>0</v>
      </c>
      <c r="AF7" s="450">
        <f t="shared" si="4"/>
        <v>0</v>
      </c>
      <c r="AG7" s="442">
        <f t="shared" si="5"/>
        <v>0</v>
      </c>
      <c r="AJ7" s="542"/>
      <c r="AK7" s="543"/>
      <c r="AL7" s="543"/>
      <c r="AM7" s="543"/>
      <c r="AN7" s="543"/>
    </row>
    <row r="8" spans="1:40">
      <c r="A8" s="435">
        <f>'General information '!F9</f>
        <v>0</v>
      </c>
      <c r="B8" s="429">
        <f t="shared" si="6"/>
        <v>0</v>
      </c>
      <c r="C8" s="436">
        <v>44839</v>
      </c>
      <c r="D8" s="585">
        <v>379970</v>
      </c>
      <c r="E8" s="573">
        <f t="shared" si="7"/>
        <v>1180</v>
      </c>
      <c r="F8" s="565">
        <v>4170234</v>
      </c>
      <c r="G8" s="448">
        <f t="shared" ref="G8:G34" si="24">F8-F7</f>
        <v>404</v>
      </c>
      <c r="H8" s="425">
        <v>18083746</v>
      </c>
      <c r="I8" s="448">
        <f t="shared" ref="I8:I34" si="25">H8-H7</f>
        <v>452</v>
      </c>
      <c r="J8" s="425">
        <v>29858960</v>
      </c>
      <c r="K8" s="448">
        <f t="shared" ref="K8:K34" si="26">J8-J7</f>
        <v>360</v>
      </c>
      <c r="L8" s="425">
        <v>24674286</v>
      </c>
      <c r="M8" s="448">
        <f t="shared" ref="M8:M31" si="27">L8-L7</f>
        <v>904</v>
      </c>
      <c r="N8" s="296">
        <f t="shared" ref="N8:N31" si="28">M8+K8+I8+G8+E8</f>
        <v>3300</v>
      </c>
      <c r="O8" s="444">
        <f t="shared" si="0"/>
        <v>0</v>
      </c>
      <c r="P8" s="559">
        <v>19547.010999999999</v>
      </c>
      <c r="Q8" s="445">
        <f t="shared" si="1"/>
        <v>3519.9999999967986</v>
      </c>
      <c r="R8" s="427">
        <f t="shared" si="22"/>
        <v>-219.99999999679858</v>
      </c>
      <c r="S8" s="425">
        <f t="shared" si="8"/>
        <v>10175</v>
      </c>
      <c r="T8" s="446">
        <f t="shared" si="2"/>
        <v>0</v>
      </c>
      <c r="U8" s="425">
        <f t="shared" si="9"/>
        <v>429166</v>
      </c>
      <c r="V8" s="427">
        <f t="shared" si="19"/>
        <v>0</v>
      </c>
      <c r="W8" s="584">
        <v>33498</v>
      </c>
      <c r="X8" s="427">
        <f t="shared" si="3"/>
        <v>0</v>
      </c>
      <c r="Y8" s="584">
        <f>[2]ELEC!$Y$34</f>
        <v>999659</v>
      </c>
      <c r="Z8" s="427">
        <f t="shared" si="23"/>
        <v>0</v>
      </c>
      <c r="AA8" s="584">
        <f>[2]ELEC!$AA$34</f>
        <v>36801</v>
      </c>
      <c r="AB8" s="427">
        <f t="shared" si="20"/>
        <v>0</v>
      </c>
      <c r="AC8" s="584">
        <f>[2]ELEC!$AC$34</f>
        <v>1171535</v>
      </c>
      <c r="AD8" s="427">
        <f t="shared" si="21"/>
        <v>0</v>
      </c>
      <c r="AE8" s="449">
        <f t="shared" si="10"/>
        <v>0</v>
      </c>
      <c r="AF8" s="450">
        <f t="shared" si="4"/>
        <v>0</v>
      </c>
      <c r="AG8" s="442">
        <f t="shared" si="5"/>
        <v>0</v>
      </c>
      <c r="AJ8" s="542"/>
      <c r="AK8" s="543"/>
      <c r="AL8" s="543"/>
      <c r="AM8" s="543"/>
      <c r="AN8" s="543"/>
    </row>
    <row r="9" spans="1:40">
      <c r="A9" s="435">
        <f>'General information '!F10</f>
        <v>0</v>
      </c>
      <c r="B9" s="429">
        <f t="shared" si="6"/>
        <v>0</v>
      </c>
      <c r="C9" s="436">
        <v>44840</v>
      </c>
      <c r="D9" s="585">
        <v>380700</v>
      </c>
      <c r="E9" s="573">
        <f t="shared" si="7"/>
        <v>730</v>
      </c>
      <c r="F9" s="565">
        <v>4170589</v>
      </c>
      <c r="G9" s="448">
        <f t="shared" si="24"/>
        <v>355</v>
      </c>
      <c r="H9" s="425">
        <v>18084160</v>
      </c>
      <c r="I9" s="448">
        <f t="shared" si="25"/>
        <v>414</v>
      </c>
      <c r="J9" s="425">
        <v>29859338</v>
      </c>
      <c r="K9" s="448">
        <f t="shared" si="26"/>
        <v>378</v>
      </c>
      <c r="L9" s="425">
        <v>24675082</v>
      </c>
      <c r="M9" s="448">
        <f t="shared" si="27"/>
        <v>796</v>
      </c>
      <c r="N9" s="296">
        <f t="shared" si="28"/>
        <v>2673</v>
      </c>
      <c r="O9" s="444">
        <f t="shared" si="0"/>
        <v>0</v>
      </c>
      <c r="P9" s="559">
        <v>19549.607</v>
      </c>
      <c r="Q9" s="445">
        <f t="shared" si="1"/>
        <v>2596.0000000013679</v>
      </c>
      <c r="R9" s="427">
        <f t="shared" si="22"/>
        <v>76.99999999863212</v>
      </c>
      <c r="S9" s="425">
        <f t="shared" si="8"/>
        <v>10175</v>
      </c>
      <c r="T9" s="446">
        <f t="shared" si="2"/>
        <v>0</v>
      </c>
      <c r="U9" s="425">
        <f t="shared" si="9"/>
        <v>429166</v>
      </c>
      <c r="V9" s="427">
        <f t="shared" si="19"/>
        <v>0</v>
      </c>
      <c r="W9" s="584">
        <f>[2]ELEC!$W$34</f>
        <v>33498</v>
      </c>
      <c r="X9" s="427">
        <f t="shared" si="3"/>
        <v>0</v>
      </c>
      <c r="Y9" s="584">
        <f>[2]ELEC!$Y$34</f>
        <v>999659</v>
      </c>
      <c r="Z9" s="427">
        <f t="shared" si="23"/>
        <v>0</v>
      </c>
      <c r="AA9" s="584">
        <f>[2]ELEC!$AA$34</f>
        <v>36801</v>
      </c>
      <c r="AB9" s="427">
        <f t="shared" si="20"/>
        <v>0</v>
      </c>
      <c r="AC9" s="584">
        <f>[2]ELEC!$AC$34</f>
        <v>1171535</v>
      </c>
      <c r="AD9" s="427">
        <f t="shared" si="21"/>
        <v>0</v>
      </c>
      <c r="AE9" s="449">
        <f t="shared" si="10"/>
        <v>0</v>
      </c>
      <c r="AF9" s="450">
        <f t="shared" si="4"/>
        <v>0</v>
      </c>
      <c r="AG9" s="442">
        <f>IF(AE9&gt;0,AF9/AE9,0)</f>
        <v>0</v>
      </c>
      <c r="AJ9" s="542"/>
      <c r="AK9" s="543"/>
      <c r="AL9" s="543"/>
      <c r="AM9" s="543"/>
      <c r="AN9" s="543"/>
    </row>
    <row r="10" spans="1:40">
      <c r="A10" s="435">
        <f>'General information '!F11</f>
        <v>0</v>
      </c>
      <c r="B10" s="429">
        <f t="shared" si="6"/>
        <v>0</v>
      </c>
      <c r="C10" s="436">
        <v>44841</v>
      </c>
      <c r="D10" s="585">
        <f t="shared" ref="D10:D34" si="29">D9</f>
        <v>380700</v>
      </c>
      <c r="E10" s="573">
        <f t="shared" si="7"/>
        <v>0</v>
      </c>
      <c r="F10" s="565">
        <f t="shared" ref="F10:F34" si="30">F9</f>
        <v>4170589</v>
      </c>
      <c r="G10" s="448">
        <f t="shared" si="24"/>
        <v>0</v>
      </c>
      <c r="H10" s="425">
        <f t="shared" ref="H10:H34" si="31">H9</f>
        <v>18084160</v>
      </c>
      <c r="I10" s="448">
        <f t="shared" si="25"/>
        <v>0</v>
      </c>
      <c r="J10" s="425">
        <f t="shared" ref="J10:J34" si="32">J9</f>
        <v>29859338</v>
      </c>
      <c r="K10" s="448">
        <f t="shared" si="26"/>
        <v>0</v>
      </c>
      <c r="L10" s="425">
        <f t="shared" ref="L10:L34" si="33">L9</f>
        <v>24675082</v>
      </c>
      <c r="M10" s="448">
        <f t="shared" si="27"/>
        <v>0</v>
      </c>
      <c r="N10" s="296">
        <f t="shared" si="28"/>
        <v>0</v>
      </c>
      <c r="O10" s="444">
        <f t="shared" si="0"/>
        <v>0</v>
      </c>
      <c r="P10" s="559">
        <f t="shared" ref="P10:P34" si="34">P9</f>
        <v>19549.607</v>
      </c>
      <c r="Q10" s="445">
        <f t="shared" si="1"/>
        <v>0</v>
      </c>
      <c r="R10" s="427">
        <f t="shared" si="22"/>
        <v>0</v>
      </c>
      <c r="S10" s="425">
        <f t="shared" si="8"/>
        <v>10175</v>
      </c>
      <c r="T10" s="446">
        <f t="shared" si="2"/>
        <v>0</v>
      </c>
      <c r="U10" s="425">
        <f t="shared" si="9"/>
        <v>429166</v>
      </c>
      <c r="V10" s="427">
        <f t="shared" si="19"/>
        <v>0</v>
      </c>
      <c r="W10" s="584">
        <f>[2]ELEC!$W$34</f>
        <v>33498</v>
      </c>
      <c r="X10" s="427">
        <f t="shared" ref="X10:X31" si="35">W10-W9</f>
        <v>0</v>
      </c>
      <c r="Y10" s="584">
        <f>[2]ELEC!$Y$34</f>
        <v>999659</v>
      </c>
      <c r="Z10" s="427">
        <f t="shared" si="23"/>
        <v>0</v>
      </c>
      <c r="AA10" s="584">
        <f>[2]ELEC!$AA$34</f>
        <v>36801</v>
      </c>
      <c r="AB10" s="427">
        <f t="shared" si="20"/>
        <v>0</v>
      </c>
      <c r="AC10" s="584">
        <f>[2]ELEC!$AC$34</f>
        <v>1171535</v>
      </c>
      <c r="AD10" s="427">
        <f t="shared" si="21"/>
        <v>0</v>
      </c>
      <c r="AE10" s="449">
        <f t="shared" si="10"/>
        <v>0</v>
      </c>
      <c r="AF10" s="450">
        <f t="shared" si="4"/>
        <v>0</v>
      </c>
      <c r="AG10" s="442">
        <f t="shared" si="5"/>
        <v>0</v>
      </c>
      <c r="AJ10" s="542"/>
      <c r="AK10" s="543"/>
      <c r="AL10" s="543"/>
      <c r="AM10" s="543"/>
      <c r="AN10" s="543"/>
    </row>
    <row r="11" spans="1:40">
      <c r="A11" s="435">
        <f>'General information '!F12</f>
        <v>0</v>
      </c>
      <c r="B11" s="429">
        <f t="shared" si="6"/>
        <v>0</v>
      </c>
      <c r="C11" s="436">
        <v>44842</v>
      </c>
      <c r="D11" s="585">
        <f t="shared" si="29"/>
        <v>380700</v>
      </c>
      <c r="E11" s="573">
        <f t="shared" si="7"/>
        <v>0</v>
      </c>
      <c r="F11" s="565">
        <f t="shared" si="30"/>
        <v>4170589</v>
      </c>
      <c r="G11" s="448">
        <f t="shared" si="24"/>
        <v>0</v>
      </c>
      <c r="H11" s="425">
        <f t="shared" si="31"/>
        <v>18084160</v>
      </c>
      <c r="I11" s="448">
        <f t="shared" si="25"/>
        <v>0</v>
      </c>
      <c r="J11" s="425">
        <f t="shared" si="32"/>
        <v>29859338</v>
      </c>
      <c r="K11" s="448">
        <f t="shared" si="26"/>
        <v>0</v>
      </c>
      <c r="L11" s="425">
        <f t="shared" si="33"/>
        <v>24675082</v>
      </c>
      <c r="M11" s="448">
        <f t="shared" si="27"/>
        <v>0</v>
      </c>
      <c r="N11" s="296">
        <f t="shared" si="28"/>
        <v>0</v>
      </c>
      <c r="O11" s="444">
        <f t="shared" ref="O11:O31" si="36">IF(B11&gt;0,N11/B11,0)</f>
        <v>0</v>
      </c>
      <c r="P11" s="559">
        <f t="shared" si="34"/>
        <v>19549.607</v>
      </c>
      <c r="Q11" s="445">
        <f t="shared" si="1"/>
        <v>0</v>
      </c>
      <c r="R11" s="427">
        <f t="shared" si="22"/>
        <v>0</v>
      </c>
      <c r="S11" s="425">
        <f t="shared" si="8"/>
        <v>10175</v>
      </c>
      <c r="T11" s="446">
        <f t="shared" si="2"/>
        <v>0</v>
      </c>
      <c r="U11" s="425">
        <f t="shared" si="9"/>
        <v>429166</v>
      </c>
      <c r="V11" s="427">
        <f t="shared" si="19"/>
        <v>0</v>
      </c>
      <c r="W11" s="584">
        <f>[2]ELEC!$W$34</f>
        <v>33498</v>
      </c>
      <c r="X11" s="427">
        <f t="shared" si="35"/>
        <v>0</v>
      </c>
      <c r="Y11" s="584">
        <f>[2]ELEC!$Y$34</f>
        <v>999659</v>
      </c>
      <c r="Z11" s="427">
        <f t="shared" si="23"/>
        <v>0</v>
      </c>
      <c r="AA11" s="584">
        <f>[2]ELEC!$AA$34</f>
        <v>36801</v>
      </c>
      <c r="AB11" s="427">
        <f t="shared" si="20"/>
        <v>0</v>
      </c>
      <c r="AC11" s="584">
        <f>[2]ELEC!$AC$34</f>
        <v>1171535</v>
      </c>
      <c r="AD11" s="427">
        <f t="shared" si="21"/>
        <v>0</v>
      </c>
      <c r="AE11" s="449">
        <f t="shared" si="10"/>
        <v>0</v>
      </c>
      <c r="AF11" s="450">
        <f t="shared" si="4"/>
        <v>0</v>
      </c>
      <c r="AG11" s="442">
        <f t="shared" ref="AG11:AG32" si="37">IF(AE11&gt;0,AF11/AE11,0)</f>
        <v>0</v>
      </c>
      <c r="AJ11" s="542"/>
      <c r="AK11" s="543"/>
      <c r="AL11" s="543"/>
      <c r="AM11" s="543"/>
      <c r="AN11" s="543"/>
    </row>
    <row r="12" spans="1:40">
      <c r="A12" s="435">
        <f>'General information '!F13</f>
        <v>0</v>
      </c>
      <c r="B12" s="429">
        <f>SUM(230*A12)</f>
        <v>0</v>
      </c>
      <c r="C12" s="436">
        <v>44843</v>
      </c>
      <c r="D12" s="585">
        <f t="shared" si="29"/>
        <v>380700</v>
      </c>
      <c r="E12" s="573">
        <f>D12-D11</f>
        <v>0</v>
      </c>
      <c r="F12" s="565">
        <f t="shared" si="30"/>
        <v>4170589</v>
      </c>
      <c r="G12" s="448">
        <f t="shared" si="24"/>
        <v>0</v>
      </c>
      <c r="H12" s="425">
        <f t="shared" si="31"/>
        <v>18084160</v>
      </c>
      <c r="I12" s="448">
        <f t="shared" si="25"/>
        <v>0</v>
      </c>
      <c r="J12" s="425">
        <f t="shared" si="32"/>
        <v>29859338</v>
      </c>
      <c r="K12" s="448">
        <f t="shared" si="26"/>
        <v>0</v>
      </c>
      <c r="L12" s="425">
        <f t="shared" si="33"/>
        <v>24675082</v>
      </c>
      <c r="M12" s="448">
        <f t="shared" si="27"/>
        <v>0</v>
      </c>
      <c r="N12" s="296">
        <f>M12+K12+I12+G12+E12</f>
        <v>0</v>
      </c>
      <c r="O12" s="444">
        <f t="shared" si="36"/>
        <v>0</v>
      </c>
      <c r="P12" s="559">
        <f t="shared" si="34"/>
        <v>19549.607</v>
      </c>
      <c r="Q12" s="445">
        <f t="shared" si="1"/>
        <v>0</v>
      </c>
      <c r="R12" s="586">
        <f>N12-Q12</f>
        <v>0</v>
      </c>
      <c r="S12" s="425">
        <f t="shared" si="8"/>
        <v>10175</v>
      </c>
      <c r="T12" s="446">
        <f t="shared" si="2"/>
        <v>0</v>
      </c>
      <c r="U12" s="425">
        <f t="shared" si="9"/>
        <v>429166</v>
      </c>
      <c r="V12" s="427">
        <f t="shared" si="19"/>
        <v>0</v>
      </c>
      <c r="W12" s="584">
        <f>[2]ELEC!$W$34</f>
        <v>33498</v>
      </c>
      <c r="X12" s="427">
        <f t="shared" si="35"/>
        <v>0</v>
      </c>
      <c r="Y12" s="584">
        <f>[2]ELEC!$Y$34</f>
        <v>999659</v>
      </c>
      <c r="Z12" s="427">
        <f t="shared" si="23"/>
        <v>0</v>
      </c>
      <c r="AA12" s="584">
        <f>[2]ELEC!$AA$34</f>
        <v>36801</v>
      </c>
      <c r="AB12" s="427">
        <f t="shared" si="20"/>
        <v>0</v>
      </c>
      <c r="AC12" s="584">
        <f>[2]ELEC!$AC$34</f>
        <v>1171535</v>
      </c>
      <c r="AD12" s="427">
        <f t="shared" si="21"/>
        <v>0</v>
      </c>
      <c r="AE12" s="449">
        <f t="shared" si="10"/>
        <v>0</v>
      </c>
      <c r="AF12" s="450">
        <f t="shared" si="4"/>
        <v>0</v>
      </c>
      <c r="AG12" s="442">
        <f t="shared" si="37"/>
        <v>0</v>
      </c>
      <c r="AJ12" s="542"/>
      <c r="AK12" s="543"/>
      <c r="AL12" s="543"/>
      <c r="AM12" s="543"/>
      <c r="AN12" s="543"/>
    </row>
    <row r="13" spans="1:40">
      <c r="A13" s="435">
        <f>'General information '!F14</f>
        <v>0</v>
      </c>
      <c r="B13" s="429">
        <f t="shared" si="6"/>
        <v>0</v>
      </c>
      <c r="C13" s="436">
        <v>44844</v>
      </c>
      <c r="D13" s="585">
        <v>381460</v>
      </c>
      <c r="E13" s="573">
        <f t="shared" si="7"/>
        <v>760</v>
      </c>
      <c r="F13" s="565">
        <v>4170987</v>
      </c>
      <c r="G13" s="448">
        <f t="shared" si="24"/>
        <v>398</v>
      </c>
      <c r="H13" s="425">
        <v>18084610</v>
      </c>
      <c r="I13" s="448">
        <f t="shared" si="25"/>
        <v>450</v>
      </c>
      <c r="J13" s="425">
        <v>29859542</v>
      </c>
      <c r="K13" s="448">
        <f t="shared" si="26"/>
        <v>204</v>
      </c>
      <c r="L13" s="425">
        <v>24676022</v>
      </c>
      <c r="M13" s="448">
        <f t="shared" si="27"/>
        <v>940</v>
      </c>
      <c r="N13" s="296">
        <f>M13+K13+I13+G13+E13</f>
        <v>2752</v>
      </c>
      <c r="O13" s="444">
        <f t="shared" si="36"/>
        <v>0</v>
      </c>
      <c r="P13" s="559">
        <v>19552.552</v>
      </c>
      <c r="Q13" s="445">
        <f t="shared" si="1"/>
        <v>2944.999999999709</v>
      </c>
      <c r="R13" s="427">
        <f t="shared" si="22"/>
        <v>-192.99999999970896</v>
      </c>
      <c r="S13" s="425">
        <f t="shared" si="8"/>
        <v>10175</v>
      </c>
      <c r="T13" s="446">
        <f t="shared" si="2"/>
        <v>0</v>
      </c>
      <c r="U13" s="425">
        <f t="shared" si="9"/>
        <v>429166</v>
      </c>
      <c r="V13" s="427">
        <f t="shared" si="19"/>
        <v>0</v>
      </c>
      <c r="W13" s="584">
        <f>[2]ELEC!$W$34</f>
        <v>33498</v>
      </c>
      <c r="X13" s="427">
        <f t="shared" si="35"/>
        <v>0</v>
      </c>
      <c r="Y13" s="584">
        <f>[2]ELEC!$Y$34</f>
        <v>999659</v>
      </c>
      <c r="Z13" s="427">
        <f t="shared" si="23"/>
        <v>0</v>
      </c>
      <c r="AA13" s="584">
        <f>[2]ELEC!$AA$34</f>
        <v>36801</v>
      </c>
      <c r="AB13" s="427">
        <f t="shared" si="20"/>
        <v>0</v>
      </c>
      <c r="AC13" s="584">
        <f>[2]ELEC!$AC$34</f>
        <v>1171535</v>
      </c>
      <c r="AD13" s="427">
        <f t="shared" si="21"/>
        <v>0</v>
      </c>
      <c r="AE13" s="449">
        <f t="shared" si="10"/>
        <v>0</v>
      </c>
      <c r="AF13" s="450">
        <f t="shared" si="4"/>
        <v>0</v>
      </c>
      <c r="AG13" s="442">
        <f t="shared" si="37"/>
        <v>0</v>
      </c>
      <c r="AJ13" s="542"/>
      <c r="AK13" s="543"/>
      <c r="AL13" s="543"/>
      <c r="AM13" s="543"/>
      <c r="AN13" s="543"/>
    </row>
    <row r="14" spans="1:40">
      <c r="A14" s="435">
        <f>'General information '!F15</f>
        <v>0</v>
      </c>
      <c r="B14" s="429">
        <f t="shared" si="6"/>
        <v>0</v>
      </c>
      <c r="C14" s="436">
        <v>44845</v>
      </c>
      <c r="D14" s="585">
        <v>382110</v>
      </c>
      <c r="E14" s="573">
        <f t="shared" si="7"/>
        <v>650</v>
      </c>
      <c r="F14" s="565">
        <v>4171342</v>
      </c>
      <c r="G14" s="448">
        <f t="shared" si="24"/>
        <v>355</v>
      </c>
      <c r="H14" s="425">
        <v>18084954</v>
      </c>
      <c r="I14" s="448">
        <f t="shared" si="25"/>
        <v>344</v>
      </c>
      <c r="J14" s="425">
        <v>29859770</v>
      </c>
      <c r="K14" s="448">
        <f t="shared" si="26"/>
        <v>228</v>
      </c>
      <c r="L14" s="425">
        <v>24676798</v>
      </c>
      <c r="M14" s="448">
        <f t="shared" si="27"/>
        <v>776</v>
      </c>
      <c r="N14" s="296">
        <f>M14+K14+I14+G14+E14</f>
        <v>2353</v>
      </c>
      <c r="O14" s="444">
        <f t="shared" si="36"/>
        <v>0</v>
      </c>
      <c r="P14" s="559">
        <v>19554.852999999999</v>
      </c>
      <c r="Q14" s="445">
        <f t="shared" si="1"/>
        <v>2300.9999999994761</v>
      </c>
      <c r="R14" s="427">
        <f t="shared" si="22"/>
        <v>52.000000000523869</v>
      </c>
      <c r="S14" s="425">
        <f t="shared" si="8"/>
        <v>10175</v>
      </c>
      <c r="T14" s="446">
        <f t="shared" si="2"/>
        <v>0</v>
      </c>
      <c r="U14" s="425">
        <f t="shared" si="9"/>
        <v>429166</v>
      </c>
      <c r="V14" s="427">
        <f t="shared" si="19"/>
        <v>0</v>
      </c>
      <c r="W14" s="584">
        <f>[2]ELEC!$W$34</f>
        <v>33498</v>
      </c>
      <c r="X14" s="427">
        <f t="shared" si="35"/>
        <v>0</v>
      </c>
      <c r="Y14" s="584">
        <f>[2]ELEC!$Y$34</f>
        <v>999659</v>
      </c>
      <c r="Z14" s="427">
        <f t="shared" si="23"/>
        <v>0</v>
      </c>
      <c r="AA14" s="584">
        <f>[2]ELEC!$AA$34</f>
        <v>36801</v>
      </c>
      <c r="AB14" s="427">
        <f t="shared" si="20"/>
        <v>0</v>
      </c>
      <c r="AC14" s="584">
        <f>[2]ELEC!$AC$34</f>
        <v>1171535</v>
      </c>
      <c r="AD14" s="427">
        <f t="shared" si="21"/>
        <v>0</v>
      </c>
      <c r="AE14" s="449">
        <f t="shared" si="10"/>
        <v>0</v>
      </c>
      <c r="AF14" s="450">
        <f t="shared" si="4"/>
        <v>0</v>
      </c>
      <c r="AG14" s="442">
        <f t="shared" si="37"/>
        <v>0</v>
      </c>
      <c r="AJ14" s="542"/>
      <c r="AK14" s="543"/>
      <c r="AL14" s="543"/>
      <c r="AM14" s="543"/>
      <c r="AN14" s="543"/>
    </row>
    <row r="15" spans="1:40">
      <c r="A15" s="435">
        <f>'General information '!F16</f>
        <v>0</v>
      </c>
      <c r="B15" s="429">
        <f t="shared" si="6"/>
        <v>0</v>
      </c>
      <c r="C15" s="436">
        <v>44846</v>
      </c>
      <c r="D15" s="585">
        <v>383040</v>
      </c>
      <c r="E15" s="573">
        <f t="shared" si="7"/>
        <v>930</v>
      </c>
      <c r="F15" s="565">
        <v>4171872</v>
      </c>
      <c r="G15" s="448">
        <f t="shared" si="24"/>
        <v>530</v>
      </c>
      <c r="H15" s="425">
        <v>18085458</v>
      </c>
      <c r="I15" s="448">
        <f t="shared" si="25"/>
        <v>504</v>
      </c>
      <c r="J15" s="425">
        <v>29860086</v>
      </c>
      <c r="K15" s="448">
        <f t="shared" si="26"/>
        <v>316</v>
      </c>
      <c r="L15" s="425">
        <v>24677810</v>
      </c>
      <c r="M15" s="448">
        <f t="shared" si="27"/>
        <v>1012</v>
      </c>
      <c r="N15" s="296">
        <f t="shared" si="28"/>
        <v>3292</v>
      </c>
      <c r="O15" s="444">
        <f t="shared" si="36"/>
        <v>0</v>
      </c>
      <c r="P15" s="559">
        <v>19558.222000000002</v>
      </c>
      <c r="Q15" s="445">
        <f t="shared" si="1"/>
        <v>3369.0000000024156</v>
      </c>
      <c r="R15" s="586">
        <f>N15-Q15</f>
        <v>-77.000000002415618</v>
      </c>
      <c r="S15" s="425">
        <f t="shared" si="8"/>
        <v>10175</v>
      </c>
      <c r="T15" s="446">
        <f t="shared" si="2"/>
        <v>0</v>
      </c>
      <c r="U15" s="425">
        <f t="shared" si="9"/>
        <v>429166</v>
      </c>
      <c r="V15" s="427">
        <f t="shared" si="19"/>
        <v>0</v>
      </c>
      <c r="W15" s="584">
        <f>[2]ELEC!$W$34</f>
        <v>33498</v>
      </c>
      <c r="X15" s="427">
        <f t="shared" si="35"/>
        <v>0</v>
      </c>
      <c r="Y15" s="584">
        <f>[2]ELEC!$Y$34</f>
        <v>999659</v>
      </c>
      <c r="Z15" s="427">
        <f t="shared" si="23"/>
        <v>0</v>
      </c>
      <c r="AA15" s="584">
        <f>[2]ELEC!$AA$34</f>
        <v>36801</v>
      </c>
      <c r="AB15" s="427">
        <f t="shared" si="20"/>
        <v>0</v>
      </c>
      <c r="AC15" s="584">
        <f>[2]ELEC!$AC$34</f>
        <v>1171535</v>
      </c>
      <c r="AD15" s="427">
        <f t="shared" si="21"/>
        <v>0</v>
      </c>
      <c r="AE15" s="449">
        <f t="shared" si="10"/>
        <v>0</v>
      </c>
      <c r="AF15" s="450">
        <f t="shared" si="4"/>
        <v>0</v>
      </c>
      <c r="AG15" s="442">
        <f t="shared" si="37"/>
        <v>0</v>
      </c>
      <c r="AJ15" s="542"/>
      <c r="AK15" s="543"/>
      <c r="AL15" s="543"/>
      <c r="AM15" s="543"/>
      <c r="AN15" s="543"/>
    </row>
    <row r="16" spans="1:40">
      <c r="A16" s="435">
        <f>'General information '!F17</f>
        <v>0</v>
      </c>
      <c r="B16" s="429">
        <f t="shared" si="6"/>
        <v>0</v>
      </c>
      <c r="C16" s="436">
        <v>44847</v>
      </c>
      <c r="D16" s="585">
        <v>383040</v>
      </c>
      <c r="E16" s="573">
        <f t="shared" si="7"/>
        <v>0</v>
      </c>
      <c r="F16" s="565">
        <f t="shared" si="30"/>
        <v>4171872</v>
      </c>
      <c r="G16" s="448">
        <f t="shared" si="24"/>
        <v>0</v>
      </c>
      <c r="H16" s="425">
        <f t="shared" si="31"/>
        <v>18085458</v>
      </c>
      <c r="I16" s="448">
        <f t="shared" si="25"/>
        <v>0</v>
      </c>
      <c r="J16" s="425">
        <f t="shared" si="32"/>
        <v>29860086</v>
      </c>
      <c r="K16" s="448">
        <f t="shared" si="26"/>
        <v>0</v>
      </c>
      <c r="L16" s="425">
        <f t="shared" si="33"/>
        <v>24677810</v>
      </c>
      <c r="M16" s="448">
        <f t="shared" si="27"/>
        <v>0</v>
      </c>
      <c r="N16" s="296">
        <f t="shared" si="28"/>
        <v>0</v>
      </c>
      <c r="O16" s="444">
        <f t="shared" si="36"/>
        <v>0</v>
      </c>
      <c r="P16" s="559">
        <f t="shared" si="34"/>
        <v>19558.222000000002</v>
      </c>
      <c r="Q16" s="445">
        <f t="shared" si="1"/>
        <v>0</v>
      </c>
      <c r="R16" s="427">
        <f t="shared" si="22"/>
        <v>0</v>
      </c>
      <c r="S16" s="425">
        <f t="shared" si="8"/>
        <v>10175</v>
      </c>
      <c r="T16" s="446">
        <f t="shared" si="2"/>
        <v>0</v>
      </c>
      <c r="U16" s="425">
        <f t="shared" si="9"/>
        <v>429166</v>
      </c>
      <c r="V16" s="427">
        <f t="shared" si="19"/>
        <v>0</v>
      </c>
      <c r="W16" s="584">
        <f>[2]ELEC!$W$34</f>
        <v>33498</v>
      </c>
      <c r="X16" s="427">
        <f t="shared" si="35"/>
        <v>0</v>
      </c>
      <c r="Y16" s="584">
        <f>[2]ELEC!$Y$34</f>
        <v>999659</v>
      </c>
      <c r="Z16" s="427">
        <f t="shared" si="23"/>
        <v>0</v>
      </c>
      <c r="AA16" s="584">
        <f>[2]ELEC!$AA$34</f>
        <v>36801</v>
      </c>
      <c r="AB16" s="427">
        <f t="shared" si="20"/>
        <v>0</v>
      </c>
      <c r="AC16" s="584">
        <f>[2]ELEC!$AC$34</f>
        <v>1171535</v>
      </c>
      <c r="AD16" s="427">
        <f t="shared" si="21"/>
        <v>0</v>
      </c>
      <c r="AE16" s="449">
        <f t="shared" si="10"/>
        <v>0</v>
      </c>
      <c r="AF16" s="450">
        <f t="shared" si="4"/>
        <v>0</v>
      </c>
      <c r="AG16" s="442">
        <f t="shared" si="37"/>
        <v>0</v>
      </c>
      <c r="AJ16" s="542"/>
      <c r="AK16" s="543"/>
      <c r="AL16" s="543"/>
      <c r="AM16" s="543"/>
      <c r="AN16" s="543"/>
    </row>
    <row r="17" spans="1:40">
      <c r="A17" s="435">
        <f>'General information '!F18</f>
        <v>0</v>
      </c>
      <c r="B17" s="429">
        <f t="shared" si="6"/>
        <v>0</v>
      </c>
      <c r="C17" s="436">
        <v>44848</v>
      </c>
      <c r="D17" s="585">
        <f t="shared" si="29"/>
        <v>383040</v>
      </c>
      <c r="E17" s="573">
        <f t="shared" si="7"/>
        <v>0</v>
      </c>
      <c r="F17" s="565">
        <f t="shared" si="30"/>
        <v>4171872</v>
      </c>
      <c r="G17" s="448">
        <f t="shared" si="24"/>
        <v>0</v>
      </c>
      <c r="H17" s="425">
        <f t="shared" si="31"/>
        <v>18085458</v>
      </c>
      <c r="I17" s="448">
        <f t="shared" si="25"/>
        <v>0</v>
      </c>
      <c r="J17" s="425">
        <f t="shared" si="32"/>
        <v>29860086</v>
      </c>
      <c r="K17" s="448">
        <f t="shared" si="26"/>
        <v>0</v>
      </c>
      <c r="L17" s="425">
        <f t="shared" si="33"/>
        <v>24677810</v>
      </c>
      <c r="M17" s="448">
        <f t="shared" si="27"/>
        <v>0</v>
      </c>
      <c r="N17" s="296">
        <f t="shared" si="28"/>
        <v>0</v>
      </c>
      <c r="O17" s="444">
        <f t="shared" si="36"/>
        <v>0</v>
      </c>
      <c r="P17" s="559">
        <f t="shared" si="34"/>
        <v>19558.222000000002</v>
      </c>
      <c r="Q17" s="445">
        <f t="shared" si="1"/>
        <v>0</v>
      </c>
      <c r="R17" s="427">
        <f t="shared" si="22"/>
        <v>0</v>
      </c>
      <c r="S17" s="425">
        <f t="shared" si="8"/>
        <v>10175</v>
      </c>
      <c r="T17" s="446">
        <f t="shared" si="2"/>
        <v>0</v>
      </c>
      <c r="U17" s="425">
        <f t="shared" si="9"/>
        <v>429166</v>
      </c>
      <c r="V17" s="427">
        <f t="shared" si="19"/>
        <v>0</v>
      </c>
      <c r="W17" s="584">
        <f>[2]ELEC!$W$34</f>
        <v>33498</v>
      </c>
      <c r="X17" s="427">
        <f>W17-W16</f>
        <v>0</v>
      </c>
      <c r="Y17" s="584">
        <f>[2]ELEC!$Y$34</f>
        <v>999659</v>
      </c>
      <c r="Z17" s="427">
        <f>Y17-Y16</f>
        <v>0</v>
      </c>
      <c r="AA17" s="584">
        <f>[2]ELEC!$AA$34</f>
        <v>36801</v>
      </c>
      <c r="AB17" s="427">
        <f>AA17-AA16</f>
        <v>0</v>
      </c>
      <c r="AC17" s="584">
        <f>[2]ELEC!$AC$34</f>
        <v>1171535</v>
      </c>
      <c r="AD17" s="427">
        <f t="shared" si="21"/>
        <v>0</v>
      </c>
      <c r="AE17" s="449">
        <f t="shared" si="10"/>
        <v>0</v>
      </c>
      <c r="AF17" s="450">
        <f t="shared" si="4"/>
        <v>0</v>
      </c>
      <c r="AG17" s="442">
        <f t="shared" si="37"/>
        <v>0</v>
      </c>
      <c r="AJ17" s="542"/>
      <c r="AK17" s="543"/>
      <c r="AL17" s="543"/>
      <c r="AM17" s="543"/>
      <c r="AN17" s="543"/>
    </row>
    <row r="18" spans="1:40">
      <c r="A18" s="435">
        <f>'General information '!F19</f>
        <v>0</v>
      </c>
      <c r="B18" s="429">
        <f t="shared" si="6"/>
        <v>0</v>
      </c>
      <c r="C18" s="436">
        <v>44849</v>
      </c>
      <c r="D18" s="585">
        <f t="shared" si="29"/>
        <v>383040</v>
      </c>
      <c r="E18" s="573">
        <f t="shared" si="7"/>
        <v>0</v>
      </c>
      <c r="F18" s="565">
        <f t="shared" si="30"/>
        <v>4171872</v>
      </c>
      <c r="G18" s="448">
        <f t="shared" si="24"/>
        <v>0</v>
      </c>
      <c r="H18" s="425">
        <f t="shared" si="31"/>
        <v>18085458</v>
      </c>
      <c r="I18" s="448">
        <f t="shared" si="25"/>
        <v>0</v>
      </c>
      <c r="J18" s="425">
        <f t="shared" si="32"/>
        <v>29860086</v>
      </c>
      <c r="K18" s="448">
        <f t="shared" si="26"/>
        <v>0</v>
      </c>
      <c r="L18" s="425">
        <f t="shared" si="33"/>
        <v>24677810</v>
      </c>
      <c r="M18" s="448">
        <f t="shared" si="27"/>
        <v>0</v>
      </c>
      <c r="N18" s="296">
        <f>M18+K18+I18+G18+E18</f>
        <v>0</v>
      </c>
      <c r="O18" s="444">
        <f t="shared" si="36"/>
        <v>0</v>
      </c>
      <c r="P18" s="559">
        <f t="shared" si="34"/>
        <v>19558.222000000002</v>
      </c>
      <c r="Q18" s="445">
        <f t="shared" si="1"/>
        <v>0</v>
      </c>
      <c r="R18" s="427">
        <f t="shared" si="22"/>
        <v>0</v>
      </c>
      <c r="S18" s="425">
        <f t="shared" si="8"/>
        <v>10175</v>
      </c>
      <c r="T18" s="446">
        <f t="shared" si="2"/>
        <v>0</v>
      </c>
      <c r="U18" s="425">
        <f t="shared" si="9"/>
        <v>429166</v>
      </c>
      <c r="V18" s="427">
        <f t="shared" si="19"/>
        <v>0</v>
      </c>
      <c r="W18" s="584">
        <f>[2]ELEC!$W$34</f>
        <v>33498</v>
      </c>
      <c r="X18" s="427">
        <f t="shared" si="35"/>
        <v>0</v>
      </c>
      <c r="Y18" s="584">
        <f>[2]ELEC!$Y$34</f>
        <v>999659</v>
      </c>
      <c r="Z18" s="427">
        <f t="shared" si="23"/>
        <v>0</v>
      </c>
      <c r="AA18" s="584">
        <f>[2]ELEC!$AA$34</f>
        <v>36801</v>
      </c>
      <c r="AB18" s="427">
        <f t="shared" si="20"/>
        <v>0</v>
      </c>
      <c r="AC18" s="584">
        <f>[2]ELEC!$AC$34</f>
        <v>1171535</v>
      </c>
      <c r="AD18" s="427">
        <f t="shared" ref="AD18:AD31" si="38">AC18-AC17</f>
        <v>0</v>
      </c>
      <c r="AE18" s="449">
        <f t="shared" si="10"/>
        <v>0</v>
      </c>
      <c r="AF18" s="450">
        <f t="shared" si="4"/>
        <v>0</v>
      </c>
      <c r="AG18" s="442">
        <f t="shared" si="37"/>
        <v>0</v>
      </c>
      <c r="AJ18" s="542"/>
      <c r="AK18" s="543"/>
      <c r="AL18" s="543"/>
      <c r="AM18" s="543"/>
      <c r="AN18" s="543"/>
    </row>
    <row r="19" spans="1:40">
      <c r="A19" s="435">
        <f>'General information '!F20</f>
        <v>0</v>
      </c>
      <c r="B19" s="429">
        <f t="shared" si="6"/>
        <v>0</v>
      </c>
      <c r="C19" s="436">
        <v>44850</v>
      </c>
      <c r="D19" s="585">
        <v>384390</v>
      </c>
      <c r="E19" s="573">
        <f t="shared" si="7"/>
        <v>1350</v>
      </c>
      <c r="F19" s="565">
        <v>4172652</v>
      </c>
      <c r="G19" s="448">
        <f t="shared" si="24"/>
        <v>780</v>
      </c>
      <c r="H19" s="425">
        <v>18086246</v>
      </c>
      <c r="I19" s="448">
        <f t="shared" si="25"/>
        <v>788</v>
      </c>
      <c r="J19" s="425">
        <v>29860582</v>
      </c>
      <c r="K19" s="448">
        <f t="shared" si="26"/>
        <v>496</v>
      </c>
      <c r="L19" s="425">
        <v>24679248</v>
      </c>
      <c r="M19" s="448">
        <f t="shared" si="27"/>
        <v>1438</v>
      </c>
      <c r="N19" s="296">
        <f t="shared" si="28"/>
        <v>4852</v>
      </c>
      <c r="O19" s="444">
        <f t="shared" si="36"/>
        <v>0</v>
      </c>
      <c r="P19" s="559">
        <v>19563.221000000001</v>
      </c>
      <c r="Q19" s="445">
        <f>(P19-P18)*1000</f>
        <v>4998.9999999997963</v>
      </c>
      <c r="R19" s="586">
        <f>N19-Q19</f>
        <v>-146.99999999979627</v>
      </c>
      <c r="S19" s="425">
        <f t="shared" si="8"/>
        <v>10175</v>
      </c>
      <c r="T19" s="446">
        <f t="shared" si="2"/>
        <v>0</v>
      </c>
      <c r="U19" s="425">
        <f t="shared" si="9"/>
        <v>429166</v>
      </c>
      <c r="V19" s="427">
        <f t="shared" si="19"/>
        <v>0</v>
      </c>
      <c r="W19" s="584">
        <f>[2]ELEC!$W$34</f>
        <v>33498</v>
      </c>
      <c r="X19" s="427">
        <f t="shared" si="35"/>
        <v>0</v>
      </c>
      <c r="Y19" s="584">
        <f>[2]ELEC!$Y$34</f>
        <v>999659</v>
      </c>
      <c r="Z19" s="427">
        <f t="shared" si="23"/>
        <v>0</v>
      </c>
      <c r="AA19" s="584">
        <f>[2]ELEC!$AA$34</f>
        <v>36801</v>
      </c>
      <c r="AB19" s="427">
        <f t="shared" si="20"/>
        <v>0</v>
      </c>
      <c r="AC19" s="584">
        <f>[2]ELEC!$AC$34</f>
        <v>1171535</v>
      </c>
      <c r="AD19" s="427">
        <f t="shared" si="38"/>
        <v>0</v>
      </c>
      <c r="AE19" s="449">
        <f t="shared" si="10"/>
        <v>0</v>
      </c>
      <c r="AF19" s="450">
        <f t="shared" si="4"/>
        <v>0</v>
      </c>
      <c r="AG19" s="442">
        <f t="shared" si="37"/>
        <v>0</v>
      </c>
      <c r="AJ19" s="542"/>
      <c r="AK19" s="543"/>
      <c r="AL19" s="543"/>
      <c r="AM19" s="543"/>
      <c r="AN19" s="543"/>
    </row>
    <row r="20" spans="1:40">
      <c r="A20" s="435">
        <f>'General information '!F21</f>
        <v>0</v>
      </c>
      <c r="B20" s="429">
        <f t="shared" si="6"/>
        <v>0</v>
      </c>
      <c r="C20" s="436">
        <v>44851</v>
      </c>
      <c r="D20" s="585">
        <v>384930</v>
      </c>
      <c r="E20" s="573">
        <f t="shared" si="7"/>
        <v>540</v>
      </c>
      <c r="F20" s="565">
        <v>4172963</v>
      </c>
      <c r="G20" s="448">
        <f t="shared" si="24"/>
        <v>311</v>
      </c>
      <c r="H20" s="425">
        <v>18086546</v>
      </c>
      <c r="I20" s="448">
        <f t="shared" si="25"/>
        <v>300</v>
      </c>
      <c r="J20" s="425">
        <v>29860786</v>
      </c>
      <c r="K20" s="448">
        <f t="shared" si="26"/>
        <v>204</v>
      </c>
      <c r="L20" s="425">
        <v>24679872</v>
      </c>
      <c r="M20" s="448">
        <f t="shared" si="27"/>
        <v>624</v>
      </c>
      <c r="N20" s="296">
        <f t="shared" si="28"/>
        <v>1979</v>
      </c>
      <c r="O20" s="444">
        <f t="shared" si="36"/>
        <v>0</v>
      </c>
      <c r="P20" s="559">
        <v>19565.237000000001</v>
      </c>
      <c r="Q20" s="445">
        <f>(P20-P19)*1000</f>
        <v>2015.9999999996217</v>
      </c>
      <c r="R20" s="586">
        <f>N20-Q20</f>
        <v>-36.99999999962165</v>
      </c>
      <c r="S20" s="425">
        <f t="shared" si="8"/>
        <v>10175</v>
      </c>
      <c r="T20" s="446">
        <f t="shared" si="2"/>
        <v>0</v>
      </c>
      <c r="U20" s="425">
        <f t="shared" si="9"/>
        <v>429166</v>
      </c>
      <c r="V20" s="427">
        <f t="shared" si="19"/>
        <v>0</v>
      </c>
      <c r="W20" s="584">
        <f>[2]ELEC!$W$34</f>
        <v>33498</v>
      </c>
      <c r="X20" s="427">
        <f t="shared" si="35"/>
        <v>0</v>
      </c>
      <c r="Y20" s="584">
        <f>[2]ELEC!$Y$34</f>
        <v>999659</v>
      </c>
      <c r="Z20" s="427">
        <f t="shared" si="23"/>
        <v>0</v>
      </c>
      <c r="AA20" s="584">
        <f>[2]ELEC!$AA$34</f>
        <v>36801</v>
      </c>
      <c r="AB20" s="427">
        <f t="shared" si="20"/>
        <v>0</v>
      </c>
      <c r="AC20" s="584">
        <f>[2]ELEC!$AC$34</f>
        <v>1171535</v>
      </c>
      <c r="AD20" s="427">
        <f t="shared" si="38"/>
        <v>0</v>
      </c>
      <c r="AE20" s="449">
        <f t="shared" si="10"/>
        <v>0</v>
      </c>
      <c r="AF20" s="450">
        <f t="shared" si="4"/>
        <v>0</v>
      </c>
      <c r="AG20" s="442">
        <f t="shared" si="37"/>
        <v>0</v>
      </c>
      <c r="AJ20" s="542"/>
      <c r="AK20" s="543"/>
      <c r="AL20" s="543"/>
      <c r="AM20" s="543"/>
      <c r="AN20" s="543"/>
    </row>
    <row r="21" spans="1:40">
      <c r="A21" s="435">
        <f>'General information '!F22</f>
        <v>0</v>
      </c>
      <c r="B21" s="429">
        <f t="shared" si="6"/>
        <v>0</v>
      </c>
      <c r="C21" s="436">
        <v>44852</v>
      </c>
      <c r="D21" s="585">
        <v>385750</v>
      </c>
      <c r="E21" s="573">
        <f t="shared" si="7"/>
        <v>820</v>
      </c>
      <c r="F21" s="565">
        <v>4173416</v>
      </c>
      <c r="G21" s="448">
        <f t="shared" si="24"/>
        <v>453</v>
      </c>
      <c r="H21" s="425">
        <v>18086968</v>
      </c>
      <c r="I21" s="448">
        <f t="shared" si="25"/>
        <v>422</v>
      </c>
      <c r="J21" s="425">
        <v>29860910</v>
      </c>
      <c r="K21" s="448">
        <f t="shared" si="26"/>
        <v>124</v>
      </c>
      <c r="L21" s="425">
        <v>24680666</v>
      </c>
      <c r="M21" s="448">
        <f t="shared" si="27"/>
        <v>794</v>
      </c>
      <c r="N21" s="296">
        <f t="shared" si="28"/>
        <v>2613</v>
      </c>
      <c r="O21" s="444">
        <f t="shared" si="36"/>
        <v>0</v>
      </c>
      <c r="P21" s="559">
        <v>19567.909</v>
      </c>
      <c r="Q21" s="445">
        <f t="shared" si="1"/>
        <v>2671.9999999986612</v>
      </c>
      <c r="R21" s="586">
        <f t="shared" ref="R21:R31" si="39">N21-Q21</f>
        <v>-58.999999998661224</v>
      </c>
      <c r="S21" s="425">
        <f t="shared" si="8"/>
        <v>10175</v>
      </c>
      <c r="T21" s="446">
        <f t="shared" si="2"/>
        <v>0</v>
      </c>
      <c r="U21" s="425">
        <f t="shared" si="9"/>
        <v>429166</v>
      </c>
      <c r="V21" s="427">
        <f t="shared" si="19"/>
        <v>0</v>
      </c>
      <c r="W21" s="584">
        <f>[2]ELEC!$W$34</f>
        <v>33498</v>
      </c>
      <c r="X21" s="427">
        <f t="shared" si="35"/>
        <v>0</v>
      </c>
      <c r="Y21" s="584">
        <f>[2]ELEC!$Y$34</f>
        <v>999659</v>
      </c>
      <c r="Z21" s="427">
        <f t="shared" si="23"/>
        <v>0</v>
      </c>
      <c r="AA21" s="584">
        <f>[2]ELEC!$AA$34</f>
        <v>36801</v>
      </c>
      <c r="AB21" s="427">
        <f t="shared" si="20"/>
        <v>0</v>
      </c>
      <c r="AC21" s="584">
        <f>[2]ELEC!$AC$34</f>
        <v>1171535</v>
      </c>
      <c r="AD21" s="427">
        <f t="shared" si="38"/>
        <v>0</v>
      </c>
      <c r="AE21" s="449">
        <f t="shared" si="10"/>
        <v>0</v>
      </c>
      <c r="AF21" s="450">
        <f t="shared" si="4"/>
        <v>0</v>
      </c>
      <c r="AG21" s="442">
        <f t="shared" si="37"/>
        <v>0</v>
      </c>
      <c r="AJ21" s="542"/>
      <c r="AK21" s="543"/>
      <c r="AL21" s="543"/>
      <c r="AM21" s="543"/>
      <c r="AN21" s="543"/>
    </row>
    <row r="22" spans="1:40">
      <c r="A22" s="435">
        <f>'General information '!F23</f>
        <v>0</v>
      </c>
      <c r="B22" s="429">
        <f t="shared" si="6"/>
        <v>0</v>
      </c>
      <c r="C22" s="436">
        <v>44853</v>
      </c>
      <c r="D22" s="585">
        <v>386460</v>
      </c>
      <c r="E22" s="573">
        <f t="shared" ref="E22" si="40">D22-D21</f>
        <v>710</v>
      </c>
      <c r="F22" s="565">
        <v>4173836</v>
      </c>
      <c r="G22" s="448">
        <f t="shared" ref="G22" si="41">F22-F21</f>
        <v>420</v>
      </c>
      <c r="H22" s="425">
        <v>18087354</v>
      </c>
      <c r="I22" s="448">
        <f t="shared" si="25"/>
        <v>386</v>
      </c>
      <c r="J22" s="425">
        <v>29861126</v>
      </c>
      <c r="K22" s="448">
        <f t="shared" ref="K22" si="42">J22-J21</f>
        <v>216</v>
      </c>
      <c r="L22" s="425">
        <v>24681370</v>
      </c>
      <c r="M22" s="448">
        <f t="shared" ref="M22" si="43">L22-L21</f>
        <v>704</v>
      </c>
      <c r="N22" s="296">
        <f t="shared" ref="N22" si="44">M22+K22+I22+G22+E22</f>
        <v>2436</v>
      </c>
      <c r="O22" s="444">
        <f t="shared" ref="O22" si="45">IF(B22&gt;0,N22/B22,0)</f>
        <v>0</v>
      </c>
      <c r="P22" s="559">
        <v>19570.351999999999</v>
      </c>
      <c r="Q22" s="445">
        <f t="shared" ref="Q22" si="46">(P22-P21)*1000</f>
        <v>2442.9999999993015</v>
      </c>
      <c r="R22" s="586">
        <f t="shared" ref="R22" si="47">N22-Q22</f>
        <v>-6.9999999993015081</v>
      </c>
      <c r="S22" s="425">
        <f t="shared" si="8"/>
        <v>10175</v>
      </c>
      <c r="T22" s="446">
        <f t="shared" si="2"/>
        <v>0</v>
      </c>
      <c r="U22" s="425">
        <f t="shared" si="9"/>
        <v>429166</v>
      </c>
      <c r="V22" s="427">
        <f t="shared" si="19"/>
        <v>0</v>
      </c>
      <c r="W22" s="584">
        <f>[2]ELEC!$W$34</f>
        <v>33498</v>
      </c>
      <c r="X22" s="427">
        <f t="shared" si="35"/>
        <v>0</v>
      </c>
      <c r="Y22" s="584">
        <f>[2]ELEC!$Y$34</f>
        <v>999659</v>
      </c>
      <c r="Z22" s="427">
        <f t="shared" si="23"/>
        <v>0</v>
      </c>
      <c r="AA22" s="584">
        <f>[2]ELEC!$AA$34</f>
        <v>36801</v>
      </c>
      <c r="AB22" s="427">
        <f t="shared" si="20"/>
        <v>0</v>
      </c>
      <c r="AC22" s="584">
        <f>[2]ELEC!$AC$34</f>
        <v>1171535</v>
      </c>
      <c r="AD22" s="448">
        <f>AC22-AC21</f>
        <v>0</v>
      </c>
      <c r="AE22" s="449">
        <f t="shared" si="10"/>
        <v>0</v>
      </c>
      <c r="AF22" s="450">
        <f t="shared" si="4"/>
        <v>0</v>
      </c>
      <c r="AG22" s="442">
        <f t="shared" si="37"/>
        <v>0</v>
      </c>
      <c r="AJ22" s="542"/>
      <c r="AK22" s="543"/>
      <c r="AL22" s="543"/>
      <c r="AM22" s="543"/>
      <c r="AN22" s="543"/>
    </row>
    <row r="23" spans="1:40">
      <c r="A23" s="435">
        <f>'General information '!F24</f>
        <v>0</v>
      </c>
      <c r="B23" s="429">
        <f t="shared" si="6"/>
        <v>0</v>
      </c>
      <c r="C23" s="436">
        <v>44854</v>
      </c>
      <c r="D23" s="585">
        <v>387020</v>
      </c>
      <c r="E23" s="573">
        <f t="shared" si="7"/>
        <v>560</v>
      </c>
      <c r="F23" s="565">
        <v>4174229</v>
      </c>
      <c r="G23" s="448">
        <f t="shared" si="24"/>
        <v>393</v>
      </c>
      <c r="H23" s="425">
        <v>18087690</v>
      </c>
      <c r="I23" s="448">
        <f t="shared" si="25"/>
        <v>336</v>
      </c>
      <c r="J23" s="425">
        <v>29861336</v>
      </c>
      <c r="K23" s="448">
        <f t="shared" si="26"/>
        <v>210</v>
      </c>
      <c r="L23" s="425">
        <v>24682066</v>
      </c>
      <c r="M23" s="448">
        <f t="shared" si="27"/>
        <v>696</v>
      </c>
      <c r="N23" s="296">
        <f t="shared" si="28"/>
        <v>2195</v>
      </c>
      <c r="O23" s="444">
        <f t="shared" si="36"/>
        <v>0</v>
      </c>
      <c r="P23" s="559">
        <v>19572.436000000002</v>
      </c>
      <c r="Q23" s="445">
        <f t="shared" si="1"/>
        <v>2084.0000000025611</v>
      </c>
      <c r="R23" s="586">
        <f t="shared" si="39"/>
        <v>110.99999999743886</v>
      </c>
      <c r="S23" s="425">
        <f t="shared" si="8"/>
        <v>10175</v>
      </c>
      <c r="T23" s="446">
        <f t="shared" si="2"/>
        <v>0</v>
      </c>
      <c r="U23" s="425">
        <f t="shared" si="9"/>
        <v>429166</v>
      </c>
      <c r="V23" s="427">
        <f t="shared" si="19"/>
        <v>0</v>
      </c>
      <c r="W23" s="584">
        <f>[2]ELEC!$W$34</f>
        <v>33498</v>
      </c>
      <c r="X23" s="427">
        <f t="shared" si="35"/>
        <v>0</v>
      </c>
      <c r="Y23" s="584">
        <f>[2]ELEC!$Y$34</f>
        <v>999659</v>
      </c>
      <c r="Z23" s="427">
        <f t="shared" si="23"/>
        <v>0</v>
      </c>
      <c r="AA23" s="584">
        <f>[2]ELEC!$AA$34</f>
        <v>36801</v>
      </c>
      <c r="AB23" s="427">
        <f t="shared" si="20"/>
        <v>0</v>
      </c>
      <c r="AC23" s="584">
        <f>[2]ELEC!$AC$34</f>
        <v>1171535</v>
      </c>
      <c r="AD23" s="427">
        <f t="shared" si="38"/>
        <v>0</v>
      </c>
      <c r="AE23" s="449">
        <f t="shared" si="10"/>
        <v>0</v>
      </c>
      <c r="AF23" s="450">
        <f t="shared" si="4"/>
        <v>0</v>
      </c>
      <c r="AG23" s="442">
        <f t="shared" si="37"/>
        <v>0</v>
      </c>
      <c r="AJ23" s="542"/>
      <c r="AK23" s="543"/>
      <c r="AL23" s="543"/>
      <c r="AM23" s="543"/>
      <c r="AN23" s="543"/>
    </row>
    <row r="24" spans="1:40">
      <c r="A24" s="435">
        <f>'General information '!F25</f>
        <v>0</v>
      </c>
      <c r="B24" s="429">
        <f t="shared" si="6"/>
        <v>0</v>
      </c>
      <c r="C24" s="436">
        <v>44855</v>
      </c>
      <c r="D24" s="585">
        <f t="shared" si="29"/>
        <v>387020</v>
      </c>
      <c r="E24" s="573">
        <f t="shared" si="7"/>
        <v>0</v>
      </c>
      <c r="F24" s="565">
        <f t="shared" si="30"/>
        <v>4174229</v>
      </c>
      <c r="G24" s="448">
        <f t="shared" si="24"/>
        <v>0</v>
      </c>
      <c r="H24" s="425">
        <f t="shared" si="31"/>
        <v>18087690</v>
      </c>
      <c r="I24" s="589">
        <f t="shared" si="25"/>
        <v>0</v>
      </c>
      <c r="J24" s="425">
        <f t="shared" si="32"/>
        <v>29861336</v>
      </c>
      <c r="K24" s="448">
        <f t="shared" si="26"/>
        <v>0</v>
      </c>
      <c r="L24" s="425">
        <f t="shared" si="33"/>
        <v>24682066</v>
      </c>
      <c r="M24" s="448">
        <f t="shared" si="27"/>
        <v>0</v>
      </c>
      <c r="N24" s="296">
        <f t="shared" si="28"/>
        <v>0</v>
      </c>
      <c r="O24" s="444">
        <f t="shared" si="36"/>
        <v>0</v>
      </c>
      <c r="P24" s="559">
        <f t="shared" si="34"/>
        <v>19572.436000000002</v>
      </c>
      <c r="Q24" s="445">
        <f t="shared" si="1"/>
        <v>0</v>
      </c>
      <c r="R24" s="586">
        <f t="shared" si="39"/>
        <v>0</v>
      </c>
      <c r="S24" s="425">
        <f t="shared" si="8"/>
        <v>10175</v>
      </c>
      <c r="T24" s="446">
        <f t="shared" si="2"/>
        <v>0</v>
      </c>
      <c r="U24" s="425">
        <f t="shared" si="9"/>
        <v>429166</v>
      </c>
      <c r="V24" s="427">
        <f t="shared" si="19"/>
        <v>0</v>
      </c>
      <c r="W24" s="584">
        <f>[2]ELEC!$W$34</f>
        <v>33498</v>
      </c>
      <c r="X24" s="427">
        <f t="shared" si="35"/>
        <v>0</v>
      </c>
      <c r="Y24" s="584">
        <f>[2]ELEC!$Y$34</f>
        <v>999659</v>
      </c>
      <c r="Z24" s="427">
        <f t="shared" si="23"/>
        <v>0</v>
      </c>
      <c r="AA24" s="584">
        <f>[2]ELEC!$AA$34</f>
        <v>36801</v>
      </c>
      <c r="AB24" s="427">
        <f t="shared" si="20"/>
        <v>0</v>
      </c>
      <c r="AC24" s="584">
        <f>[2]ELEC!$AC$34</f>
        <v>1171535</v>
      </c>
      <c r="AD24" s="427">
        <f t="shared" si="38"/>
        <v>0</v>
      </c>
      <c r="AE24" s="449">
        <f t="shared" si="10"/>
        <v>0</v>
      </c>
      <c r="AF24" s="450">
        <f t="shared" si="4"/>
        <v>0</v>
      </c>
      <c r="AG24" s="442">
        <f t="shared" si="37"/>
        <v>0</v>
      </c>
      <c r="AJ24" s="542"/>
      <c r="AK24" s="543"/>
      <c r="AL24" s="543"/>
      <c r="AM24" s="543"/>
      <c r="AN24" s="543"/>
    </row>
    <row r="25" spans="1:40">
      <c r="A25" s="435">
        <f>'General information '!F26</f>
        <v>0</v>
      </c>
      <c r="B25" s="429">
        <f t="shared" si="6"/>
        <v>0</v>
      </c>
      <c r="C25" s="436">
        <v>44856</v>
      </c>
      <c r="D25" s="585">
        <f t="shared" si="29"/>
        <v>387020</v>
      </c>
      <c r="E25" s="573">
        <f t="shared" si="7"/>
        <v>0</v>
      </c>
      <c r="F25" s="565">
        <f t="shared" si="30"/>
        <v>4174229</v>
      </c>
      <c r="G25" s="448">
        <f t="shared" si="24"/>
        <v>0</v>
      </c>
      <c r="H25" s="425">
        <f t="shared" si="31"/>
        <v>18087690</v>
      </c>
      <c r="I25" s="448">
        <f t="shared" si="25"/>
        <v>0</v>
      </c>
      <c r="J25" s="425">
        <f t="shared" si="32"/>
        <v>29861336</v>
      </c>
      <c r="K25" s="448">
        <f t="shared" si="26"/>
        <v>0</v>
      </c>
      <c r="L25" s="425">
        <f t="shared" si="33"/>
        <v>24682066</v>
      </c>
      <c r="M25" s="448">
        <f t="shared" si="27"/>
        <v>0</v>
      </c>
      <c r="N25" s="296">
        <f t="shared" si="28"/>
        <v>0</v>
      </c>
      <c r="O25" s="444">
        <f t="shared" si="36"/>
        <v>0</v>
      </c>
      <c r="P25" s="559">
        <f t="shared" si="34"/>
        <v>19572.436000000002</v>
      </c>
      <c r="Q25" s="445">
        <f t="shared" si="1"/>
        <v>0</v>
      </c>
      <c r="R25" s="586">
        <f t="shared" si="39"/>
        <v>0</v>
      </c>
      <c r="S25" s="425">
        <f t="shared" si="8"/>
        <v>10175</v>
      </c>
      <c r="T25" s="446">
        <f t="shared" si="2"/>
        <v>0</v>
      </c>
      <c r="U25" s="425">
        <f t="shared" si="9"/>
        <v>429166</v>
      </c>
      <c r="V25" s="427">
        <f t="shared" si="19"/>
        <v>0</v>
      </c>
      <c r="W25" s="584">
        <f>[2]ELEC!$W$34</f>
        <v>33498</v>
      </c>
      <c r="X25" s="427">
        <f t="shared" si="35"/>
        <v>0</v>
      </c>
      <c r="Y25" s="584">
        <f>[2]ELEC!$Y$34</f>
        <v>999659</v>
      </c>
      <c r="Z25" s="427">
        <f t="shared" si="23"/>
        <v>0</v>
      </c>
      <c r="AA25" s="584">
        <f>[2]ELEC!$AA$34</f>
        <v>36801</v>
      </c>
      <c r="AB25" s="427">
        <f t="shared" si="20"/>
        <v>0</v>
      </c>
      <c r="AC25" s="584">
        <f>[2]ELEC!$AC$34</f>
        <v>1171535</v>
      </c>
      <c r="AD25" s="427">
        <f t="shared" si="38"/>
        <v>0</v>
      </c>
      <c r="AE25" s="449">
        <f t="shared" si="10"/>
        <v>0</v>
      </c>
      <c r="AF25" s="450">
        <f t="shared" si="4"/>
        <v>0</v>
      </c>
      <c r="AG25" s="442">
        <f t="shared" si="37"/>
        <v>0</v>
      </c>
      <c r="AJ25" s="542"/>
      <c r="AK25" s="543"/>
      <c r="AL25" s="543"/>
      <c r="AM25" s="543"/>
      <c r="AN25" s="543"/>
    </row>
    <row r="26" spans="1:40">
      <c r="A26" s="435">
        <f>'General information '!F27</f>
        <v>0</v>
      </c>
      <c r="B26" s="429">
        <f t="shared" si="6"/>
        <v>0</v>
      </c>
      <c r="C26" s="436">
        <v>44857</v>
      </c>
      <c r="D26" s="585">
        <v>388080</v>
      </c>
      <c r="E26" s="573">
        <f t="shared" si="7"/>
        <v>1060</v>
      </c>
      <c r="F26" s="565">
        <v>4174693.2</v>
      </c>
      <c r="G26" s="448">
        <f t="shared" si="24"/>
        <v>464.20000000018626</v>
      </c>
      <c r="H26" s="425">
        <v>18088122</v>
      </c>
      <c r="I26" s="448">
        <f t="shared" si="25"/>
        <v>432</v>
      </c>
      <c r="J26" s="425">
        <v>29862082</v>
      </c>
      <c r="K26" s="448">
        <f t="shared" si="26"/>
        <v>746</v>
      </c>
      <c r="L26" s="425">
        <v>24683018</v>
      </c>
      <c r="M26" s="448">
        <f t="shared" si="27"/>
        <v>952</v>
      </c>
      <c r="N26" s="296">
        <f t="shared" si="28"/>
        <v>3654.2000000001863</v>
      </c>
      <c r="O26" s="444">
        <f t="shared" si="36"/>
        <v>0</v>
      </c>
      <c r="P26" s="559">
        <v>19576.177</v>
      </c>
      <c r="Q26" s="445">
        <f t="shared" si="1"/>
        <v>3740.9999999981665</v>
      </c>
      <c r="R26" s="586">
        <f t="shared" si="39"/>
        <v>-86.799999997980194</v>
      </c>
      <c r="S26" s="425">
        <f t="shared" si="8"/>
        <v>10175</v>
      </c>
      <c r="T26" s="446">
        <f t="shared" si="2"/>
        <v>0</v>
      </c>
      <c r="U26" s="425">
        <f t="shared" si="9"/>
        <v>429166</v>
      </c>
      <c r="V26" s="427">
        <f t="shared" si="19"/>
        <v>0</v>
      </c>
      <c r="W26" s="584">
        <f>[2]ELEC!$W$34</f>
        <v>33498</v>
      </c>
      <c r="X26" s="427">
        <f t="shared" si="35"/>
        <v>0</v>
      </c>
      <c r="Y26" s="584">
        <f>[2]ELEC!$Y$34</f>
        <v>999659</v>
      </c>
      <c r="Z26" s="427">
        <f t="shared" si="23"/>
        <v>0</v>
      </c>
      <c r="AA26" s="584">
        <f>[2]ELEC!$AA$34</f>
        <v>36801</v>
      </c>
      <c r="AB26" s="427">
        <f t="shared" si="20"/>
        <v>0</v>
      </c>
      <c r="AC26" s="584">
        <f>[2]ELEC!$AC$34</f>
        <v>1171535</v>
      </c>
      <c r="AD26" s="427">
        <f t="shared" si="38"/>
        <v>0</v>
      </c>
      <c r="AE26" s="449">
        <f t="shared" si="10"/>
        <v>0</v>
      </c>
      <c r="AF26" s="450">
        <f t="shared" si="4"/>
        <v>0</v>
      </c>
      <c r="AG26" s="442">
        <f t="shared" si="37"/>
        <v>0</v>
      </c>
      <c r="AJ26" s="542"/>
      <c r="AK26" s="543"/>
      <c r="AL26" s="543"/>
      <c r="AM26" s="543"/>
      <c r="AN26" s="543"/>
    </row>
    <row r="27" spans="1:40">
      <c r="A27" s="435">
        <f>'General information '!F28</f>
        <v>0</v>
      </c>
      <c r="B27" s="429">
        <f t="shared" si="6"/>
        <v>0</v>
      </c>
      <c r="C27" s="436">
        <v>44858</v>
      </c>
      <c r="D27" s="585">
        <v>388710</v>
      </c>
      <c r="E27" s="573">
        <f t="shared" si="7"/>
        <v>630</v>
      </c>
      <c r="F27" s="565">
        <v>4175123</v>
      </c>
      <c r="G27" s="448">
        <f t="shared" si="24"/>
        <v>429.79999999981374</v>
      </c>
      <c r="H27" s="425">
        <v>18088458</v>
      </c>
      <c r="I27" s="448">
        <f t="shared" si="25"/>
        <v>336</v>
      </c>
      <c r="J27" s="425">
        <v>29862782</v>
      </c>
      <c r="K27" s="448">
        <f t="shared" si="26"/>
        <v>700</v>
      </c>
      <c r="L27" s="425">
        <v>24683802</v>
      </c>
      <c r="M27" s="448">
        <f t="shared" si="27"/>
        <v>784</v>
      </c>
      <c r="N27" s="296">
        <f t="shared" si="28"/>
        <v>2879.7999999998137</v>
      </c>
      <c r="O27" s="444">
        <f t="shared" si="36"/>
        <v>0</v>
      </c>
      <c r="P27" s="559">
        <v>19579.019</v>
      </c>
      <c r="Q27" s="445">
        <f t="shared" si="1"/>
        <v>2842.000000000553</v>
      </c>
      <c r="R27" s="586">
        <f t="shared" si="39"/>
        <v>37.799999999260763</v>
      </c>
      <c r="S27" s="425">
        <f t="shared" si="8"/>
        <v>10175</v>
      </c>
      <c r="T27" s="446">
        <f t="shared" si="2"/>
        <v>0</v>
      </c>
      <c r="U27" s="425">
        <f t="shared" si="9"/>
        <v>429166</v>
      </c>
      <c r="V27" s="427">
        <f t="shared" si="19"/>
        <v>0</v>
      </c>
      <c r="W27" s="584">
        <f>[2]ELEC!$W$34</f>
        <v>33498</v>
      </c>
      <c r="X27" s="427">
        <f t="shared" si="35"/>
        <v>0</v>
      </c>
      <c r="Y27" s="584">
        <f>[2]ELEC!$Y$34</f>
        <v>999659</v>
      </c>
      <c r="Z27" s="427">
        <f t="shared" si="23"/>
        <v>0</v>
      </c>
      <c r="AA27" s="584">
        <f>[2]ELEC!$AA$34</f>
        <v>36801</v>
      </c>
      <c r="AB27" s="427">
        <f t="shared" si="20"/>
        <v>0</v>
      </c>
      <c r="AC27" s="584">
        <f>[2]ELEC!$AC$34</f>
        <v>1171535</v>
      </c>
      <c r="AD27" s="427">
        <f t="shared" si="38"/>
        <v>0</v>
      </c>
      <c r="AE27" s="449">
        <f t="shared" si="10"/>
        <v>0</v>
      </c>
      <c r="AF27" s="450">
        <f t="shared" si="4"/>
        <v>0</v>
      </c>
      <c r="AG27" s="442">
        <f t="shared" si="37"/>
        <v>0</v>
      </c>
      <c r="AJ27" s="542"/>
      <c r="AK27" s="543"/>
      <c r="AL27" s="543"/>
      <c r="AM27" s="543"/>
      <c r="AN27" s="543"/>
    </row>
    <row r="28" spans="1:40">
      <c r="A28" s="435">
        <f>'General information '!F29</f>
        <v>0</v>
      </c>
      <c r="B28" s="429">
        <f t="shared" si="6"/>
        <v>0</v>
      </c>
      <c r="C28" s="436">
        <v>44859</v>
      </c>
      <c r="D28" s="585">
        <v>389430</v>
      </c>
      <c r="E28" s="573">
        <f t="shared" si="7"/>
        <v>720</v>
      </c>
      <c r="F28" s="565">
        <v>4175430</v>
      </c>
      <c r="G28" s="448">
        <f>F28-F27</f>
        <v>307</v>
      </c>
      <c r="H28" s="425">
        <v>18088866</v>
      </c>
      <c r="I28" s="448">
        <f t="shared" si="25"/>
        <v>408</v>
      </c>
      <c r="J28" s="425">
        <v>29863590</v>
      </c>
      <c r="K28" s="448">
        <f t="shared" si="26"/>
        <v>808</v>
      </c>
      <c r="L28" s="425">
        <v>24684708</v>
      </c>
      <c r="M28" s="448">
        <f t="shared" si="27"/>
        <v>906</v>
      </c>
      <c r="N28" s="296">
        <f t="shared" si="28"/>
        <v>3149</v>
      </c>
      <c r="O28" s="444">
        <f t="shared" si="36"/>
        <v>0</v>
      </c>
      <c r="P28" s="559">
        <v>19582.329000000002</v>
      </c>
      <c r="Q28" s="445">
        <f t="shared" si="1"/>
        <v>3310.0000000013097</v>
      </c>
      <c r="R28" s="586">
        <f>N28-Q28</f>
        <v>-161.00000000130967</v>
      </c>
      <c r="S28" s="425">
        <f t="shared" si="8"/>
        <v>10175</v>
      </c>
      <c r="T28" s="446">
        <f t="shared" si="2"/>
        <v>0</v>
      </c>
      <c r="U28" s="425">
        <f t="shared" si="9"/>
        <v>429166</v>
      </c>
      <c r="V28" s="427">
        <f t="shared" si="19"/>
        <v>0</v>
      </c>
      <c r="W28" s="584">
        <f>[2]ELEC!$W$34</f>
        <v>33498</v>
      </c>
      <c r="X28" s="427">
        <f t="shared" si="35"/>
        <v>0</v>
      </c>
      <c r="Y28" s="584">
        <f>[2]ELEC!$Y$34</f>
        <v>999659</v>
      </c>
      <c r="Z28" s="427">
        <f t="shared" si="23"/>
        <v>0</v>
      </c>
      <c r="AA28" s="584">
        <f>[2]ELEC!$AA$34</f>
        <v>36801</v>
      </c>
      <c r="AB28" s="427">
        <f t="shared" si="20"/>
        <v>0</v>
      </c>
      <c r="AC28" s="584">
        <f>[2]ELEC!$AC$34</f>
        <v>1171535</v>
      </c>
      <c r="AD28" s="427">
        <f t="shared" si="38"/>
        <v>0</v>
      </c>
      <c r="AE28" s="449">
        <f t="shared" si="10"/>
        <v>0</v>
      </c>
      <c r="AF28" s="450">
        <f t="shared" si="4"/>
        <v>0</v>
      </c>
      <c r="AG28" s="442">
        <f t="shared" si="37"/>
        <v>0</v>
      </c>
      <c r="AJ28" s="542"/>
      <c r="AK28" s="543"/>
      <c r="AL28" s="543"/>
      <c r="AM28" s="543"/>
      <c r="AN28" s="543"/>
    </row>
    <row r="29" spans="1:40">
      <c r="A29" s="435">
        <f>'General information '!F30</f>
        <v>0</v>
      </c>
      <c r="B29" s="429">
        <f t="shared" si="6"/>
        <v>0</v>
      </c>
      <c r="C29" s="436">
        <v>44860</v>
      </c>
      <c r="D29" s="585">
        <f t="shared" si="29"/>
        <v>389430</v>
      </c>
      <c r="E29" s="573">
        <f t="shared" si="7"/>
        <v>0</v>
      </c>
      <c r="F29" s="565">
        <f t="shared" si="30"/>
        <v>4175430</v>
      </c>
      <c r="G29" s="448">
        <f>F29-F28</f>
        <v>0</v>
      </c>
      <c r="H29" s="425">
        <f t="shared" si="31"/>
        <v>18088866</v>
      </c>
      <c r="I29" s="448">
        <f>H29-H28</f>
        <v>0</v>
      </c>
      <c r="J29" s="425">
        <f t="shared" si="32"/>
        <v>29863590</v>
      </c>
      <c r="K29" s="448">
        <f>J29-J28</f>
        <v>0</v>
      </c>
      <c r="L29" s="425">
        <f t="shared" si="33"/>
        <v>24684708</v>
      </c>
      <c r="M29" s="448">
        <f>L29-L28</f>
        <v>0</v>
      </c>
      <c r="N29" s="296">
        <f>M29+K29+I29+G29+E29</f>
        <v>0</v>
      </c>
      <c r="O29" s="444">
        <f>IF(B29&gt;0,N29/B29,0)</f>
        <v>0</v>
      </c>
      <c r="P29" s="559">
        <f t="shared" si="34"/>
        <v>19582.329000000002</v>
      </c>
      <c r="Q29" s="445">
        <f>(P29-P28)*1000</f>
        <v>0</v>
      </c>
      <c r="R29" s="586">
        <f t="shared" si="39"/>
        <v>0</v>
      </c>
      <c r="S29" s="425">
        <f t="shared" si="8"/>
        <v>10175</v>
      </c>
      <c r="T29" s="446">
        <f>S29-S28</f>
        <v>0</v>
      </c>
      <c r="U29" s="425">
        <f t="shared" si="9"/>
        <v>429166</v>
      </c>
      <c r="V29" s="427">
        <f>U29-U28</f>
        <v>0</v>
      </c>
      <c r="W29" s="584">
        <f>[2]ELEC!$W$34</f>
        <v>33498</v>
      </c>
      <c r="X29" s="427">
        <f>W29-W28</f>
        <v>0</v>
      </c>
      <c r="Y29" s="584">
        <f>[2]ELEC!$Y$34</f>
        <v>999659</v>
      </c>
      <c r="Z29" s="427">
        <f>Y29-Y28</f>
        <v>0</v>
      </c>
      <c r="AA29" s="584">
        <f>[2]ELEC!$AA$34</f>
        <v>36801</v>
      </c>
      <c r="AB29" s="427">
        <f>AA29-AA28</f>
        <v>0</v>
      </c>
      <c r="AC29" s="584">
        <f>[2]ELEC!$AC$34</f>
        <v>1171535</v>
      </c>
      <c r="AD29" s="427">
        <f>AC29-AC28</f>
        <v>0</v>
      </c>
      <c r="AE29" s="449">
        <f>AB29+X29+T29</f>
        <v>0</v>
      </c>
      <c r="AF29" s="450">
        <f>V29+Z29+AD29</f>
        <v>0</v>
      </c>
      <c r="AG29" s="442">
        <f t="shared" si="37"/>
        <v>0</v>
      </c>
      <c r="AJ29" s="542"/>
      <c r="AK29" s="543"/>
      <c r="AL29" s="543"/>
      <c r="AM29" s="543"/>
      <c r="AN29" s="543"/>
    </row>
    <row r="30" spans="1:40">
      <c r="A30" s="435">
        <f>'General information '!F31</f>
        <v>0</v>
      </c>
      <c r="B30" s="429">
        <f>SUM(230*A30)</f>
        <v>0</v>
      </c>
      <c r="C30" s="436">
        <v>44861</v>
      </c>
      <c r="D30" s="585">
        <f t="shared" si="29"/>
        <v>389430</v>
      </c>
      <c r="E30" s="573">
        <f t="shared" si="7"/>
        <v>0</v>
      </c>
      <c r="F30" s="565">
        <f t="shared" si="30"/>
        <v>4175430</v>
      </c>
      <c r="G30" s="448">
        <f t="shared" si="24"/>
        <v>0</v>
      </c>
      <c r="H30" s="425">
        <f t="shared" si="31"/>
        <v>18088866</v>
      </c>
      <c r="I30" s="448">
        <f t="shared" si="25"/>
        <v>0</v>
      </c>
      <c r="J30" s="425">
        <f t="shared" si="32"/>
        <v>29863590</v>
      </c>
      <c r="K30" s="448">
        <f t="shared" si="26"/>
        <v>0</v>
      </c>
      <c r="L30" s="425">
        <f t="shared" si="33"/>
        <v>24684708</v>
      </c>
      <c r="M30" s="448">
        <f t="shared" si="27"/>
        <v>0</v>
      </c>
      <c r="N30" s="296">
        <f>M30+K30+I30+G30+E30</f>
        <v>0</v>
      </c>
      <c r="O30" s="444">
        <f t="shared" si="36"/>
        <v>0</v>
      </c>
      <c r="P30" s="559">
        <f t="shared" si="34"/>
        <v>19582.329000000002</v>
      </c>
      <c r="Q30" s="445">
        <f t="shared" si="1"/>
        <v>0</v>
      </c>
      <c r="R30" s="586">
        <f>N30-Q30</f>
        <v>0</v>
      </c>
      <c r="S30" s="425">
        <f t="shared" si="8"/>
        <v>10175</v>
      </c>
      <c r="T30" s="446">
        <f t="shared" si="2"/>
        <v>0</v>
      </c>
      <c r="U30" s="425">
        <f t="shared" si="9"/>
        <v>429166</v>
      </c>
      <c r="V30" s="427">
        <f t="shared" si="19"/>
        <v>0</v>
      </c>
      <c r="W30" s="584">
        <f>[2]ELEC!$W$34</f>
        <v>33498</v>
      </c>
      <c r="X30" s="427">
        <f t="shared" si="35"/>
        <v>0</v>
      </c>
      <c r="Y30" s="584">
        <f>[2]ELEC!$Y$34</f>
        <v>999659</v>
      </c>
      <c r="Z30" s="427">
        <f t="shared" si="23"/>
        <v>0</v>
      </c>
      <c r="AA30" s="584">
        <f>[2]ELEC!$AA$34</f>
        <v>36801</v>
      </c>
      <c r="AB30" s="427">
        <f t="shared" si="20"/>
        <v>0</v>
      </c>
      <c r="AC30" s="584">
        <f>[2]ELEC!$AC$34</f>
        <v>1171535</v>
      </c>
      <c r="AD30" s="427">
        <f t="shared" si="38"/>
        <v>0</v>
      </c>
      <c r="AE30" s="449">
        <f t="shared" si="10"/>
        <v>0</v>
      </c>
      <c r="AF30" s="450">
        <f t="shared" si="4"/>
        <v>0</v>
      </c>
      <c r="AG30" s="442">
        <f t="shared" si="37"/>
        <v>0</v>
      </c>
      <c r="AJ30" s="542"/>
      <c r="AK30" s="543"/>
      <c r="AL30" s="543"/>
      <c r="AM30" s="543"/>
      <c r="AN30" s="543"/>
    </row>
    <row r="31" spans="1:40">
      <c r="A31" s="435">
        <f>'General information '!F32</f>
        <v>0</v>
      </c>
      <c r="B31" s="429">
        <f t="shared" si="6"/>
        <v>0</v>
      </c>
      <c r="C31" s="436">
        <v>44862</v>
      </c>
      <c r="D31" s="585">
        <f t="shared" si="29"/>
        <v>389430</v>
      </c>
      <c r="E31" s="573">
        <f t="shared" si="7"/>
        <v>0</v>
      </c>
      <c r="F31" s="565">
        <f t="shared" si="30"/>
        <v>4175430</v>
      </c>
      <c r="G31" s="448">
        <f t="shared" si="24"/>
        <v>0</v>
      </c>
      <c r="H31" s="425">
        <f t="shared" si="31"/>
        <v>18088866</v>
      </c>
      <c r="I31" s="448">
        <f t="shared" si="25"/>
        <v>0</v>
      </c>
      <c r="J31" s="425">
        <f t="shared" si="32"/>
        <v>29863590</v>
      </c>
      <c r="K31" s="448">
        <f t="shared" si="26"/>
        <v>0</v>
      </c>
      <c r="L31" s="425">
        <f t="shared" si="33"/>
        <v>24684708</v>
      </c>
      <c r="M31" s="448">
        <f t="shared" si="27"/>
        <v>0</v>
      </c>
      <c r="N31" s="296">
        <f t="shared" si="28"/>
        <v>0</v>
      </c>
      <c r="O31" s="444">
        <f t="shared" si="36"/>
        <v>0</v>
      </c>
      <c r="P31" s="559">
        <f t="shared" si="34"/>
        <v>19582.329000000002</v>
      </c>
      <c r="Q31" s="445">
        <f t="shared" si="1"/>
        <v>0</v>
      </c>
      <c r="R31" s="586">
        <f t="shared" si="39"/>
        <v>0</v>
      </c>
      <c r="S31" s="425">
        <f t="shared" si="8"/>
        <v>10175</v>
      </c>
      <c r="T31" s="446">
        <f t="shared" si="2"/>
        <v>0</v>
      </c>
      <c r="U31" s="425">
        <f t="shared" si="9"/>
        <v>429166</v>
      </c>
      <c r="V31" s="448">
        <f>U31-U30</f>
        <v>0</v>
      </c>
      <c r="W31" s="584">
        <f>[2]ELEC!$W$34</f>
        <v>33498</v>
      </c>
      <c r="X31" s="447">
        <f t="shared" si="35"/>
        <v>0</v>
      </c>
      <c r="Y31" s="584">
        <f>[2]ELEC!$Y$34</f>
        <v>999659</v>
      </c>
      <c r="Z31" s="427">
        <f t="shared" si="23"/>
        <v>0</v>
      </c>
      <c r="AA31" s="584">
        <f>[2]ELEC!$AA$34</f>
        <v>36801</v>
      </c>
      <c r="AB31" s="427">
        <f t="shared" si="20"/>
        <v>0</v>
      </c>
      <c r="AC31" s="584">
        <f>[2]ELEC!$AC$34</f>
        <v>1171535</v>
      </c>
      <c r="AD31" s="427">
        <f t="shared" si="38"/>
        <v>0</v>
      </c>
      <c r="AE31" s="449">
        <f t="shared" si="10"/>
        <v>0</v>
      </c>
      <c r="AF31" s="450">
        <f t="shared" si="4"/>
        <v>0</v>
      </c>
      <c r="AG31" s="442">
        <f t="shared" si="37"/>
        <v>0</v>
      </c>
      <c r="AJ31" s="542"/>
      <c r="AK31" s="543"/>
      <c r="AL31" s="543"/>
      <c r="AM31" s="543"/>
      <c r="AN31" s="543"/>
    </row>
    <row r="32" spans="1:40">
      <c r="A32" s="435">
        <f>'General information '!F33</f>
        <v>0</v>
      </c>
      <c r="B32" s="429">
        <f t="shared" ref="B32:B34" si="48">SUM(230*A32)</f>
        <v>0</v>
      </c>
      <c r="C32" s="436">
        <v>44863</v>
      </c>
      <c r="D32" s="585">
        <f t="shared" si="29"/>
        <v>389430</v>
      </c>
      <c r="E32" s="573">
        <f t="shared" si="7"/>
        <v>0</v>
      </c>
      <c r="F32" s="565">
        <f t="shared" si="30"/>
        <v>4175430</v>
      </c>
      <c r="G32" s="448">
        <f t="shared" si="24"/>
        <v>0</v>
      </c>
      <c r="H32" s="425">
        <f t="shared" si="31"/>
        <v>18088866</v>
      </c>
      <c r="I32" s="448">
        <f t="shared" si="25"/>
        <v>0</v>
      </c>
      <c r="J32" s="425">
        <f t="shared" si="32"/>
        <v>29863590</v>
      </c>
      <c r="K32" s="448">
        <f t="shared" si="26"/>
        <v>0</v>
      </c>
      <c r="L32" s="425">
        <f t="shared" si="33"/>
        <v>24684708</v>
      </c>
      <c r="M32" s="448">
        <f t="shared" ref="M32:M34" si="49">L32-L31</f>
        <v>0</v>
      </c>
      <c r="N32" s="296">
        <f t="shared" ref="N32:N34" si="50">M32+K32+I32+G32+E32</f>
        <v>0</v>
      </c>
      <c r="O32" s="444">
        <f t="shared" ref="O32:O34" si="51">IF(B32&gt;0,N32/B32,0)</f>
        <v>0</v>
      </c>
      <c r="P32" s="559">
        <f t="shared" si="34"/>
        <v>19582.329000000002</v>
      </c>
      <c r="Q32" s="445">
        <f t="shared" ref="Q32:Q34" si="52">(P32-P31)*1000</f>
        <v>0</v>
      </c>
      <c r="R32" s="586">
        <f t="shared" ref="R32:R34" si="53">N32-Q32</f>
        <v>0</v>
      </c>
      <c r="S32" s="425">
        <f t="shared" si="8"/>
        <v>10175</v>
      </c>
      <c r="T32" s="446">
        <f t="shared" si="2"/>
        <v>0</v>
      </c>
      <c r="U32" s="425">
        <f t="shared" si="9"/>
        <v>429166</v>
      </c>
      <c r="V32" s="448">
        <f>U32-U31</f>
        <v>0</v>
      </c>
      <c r="W32" s="584">
        <f>[2]ELEC!$W$34</f>
        <v>33498</v>
      </c>
      <c r="X32" s="447">
        <f t="shared" ref="X32:X34" si="54">W32-W31</f>
        <v>0</v>
      </c>
      <c r="Y32" s="584">
        <f>[2]ELEC!$Y$34</f>
        <v>999659</v>
      </c>
      <c r="Z32" s="427">
        <f t="shared" ref="Z32:Z34" si="55">Y32-Y31</f>
        <v>0</v>
      </c>
      <c r="AA32" s="584">
        <f>[2]ELEC!$AA$34</f>
        <v>36801</v>
      </c>
      <c r="AB32" s="427">
        <f t="shared" ref="AB32:AB34" si="56">AA32-AA31</f>
        <v>0</v>
      </c>
      <c r="AC32" s="584">
        <f>[2]ELEC!$AC$34</f>
        <v>1171535</v>
      </c>
      <c r="AD32" s="427">
        <f t="shared" ref="AD32:AD34" si="57">AC32-AC31</f>
        <v>0</v>
      </c>
      <c r="AE32" s="449">
        <f t="shared" ref="AE32:AE34" si="58">AB32+X32+T32</f>
        <v>0</v>
      </c>
      <c r="AF32" s="450">
        <f t="shared" ref="AF32:AF34" si="59">V32+Z32+AD32</f>
        <v>0</v>
      </c>
      <c r="AG32" s="442">
        <f t="shared" si="37"/>
        <v>0</v>
      </c>
      <c r="AJ32" s="542"/>
      <c r="AK32" s="543"/>
      <c r="AL32" s="543"/>
      <c r="AM32" s="543"/>
      <c r="AN32" s="543"/>
    </row>
    <row r="33" spans="1:40">
      <c r="A33" s="435">
        <f>'General information '!F34</f>
        <v>0</v>
      </c>
      <c r="B33" s="429">
        <f t="shared" si="48"/>
        <v>0</v>
      </c>
      <c r="C33" s="436">
        <v>44864</v>
      </c>
      <c r="D33" s="585">
        <f t="shared" si="29"/>
        <v>389430</v>
      </c>
      <c r="E33" s="573">
        <f t="shared" si="7"/>
        <v>0</v>
      </c>
      <c r="F33" s="565">
        <f t="shared" si="30"/>
        <v>4175430</v>
      </c>
      <c r="G33" s="448">
        <f t="shared" si="24"/>
        <v>0</v>
      </c>
      <c r="H33" s="425">
        <f t="shared" si="31"/>
        <v>18088866</v>
      </c>
      <c r="I33" s="448">
        <f t="shared" si="25"/>
        <v>0</v>
      </c>
      <c r="J33" s="425">
        <f t="shared" si="32"/>
        <v>29863590</v>
      </c>
      <c r="K33" s="448">
        <f t="shared" si="26"/>
        <v>0</v>
      </c>
      <c r="L33" s="425">
        <f t="shared" si="33"/>
        <v>24684708</v>
      </c>
      <c r="M33" s="448">
        <f t="shared" si="49"/>
        <v>0</v>
      </c>
      <c r="N33" s="296">
        <f t="shared" si="50"/>
        <v>0</v>
      </c>
      <c r="O33" s="444">
        <f t="shared" si="51"/>
        <v>0</v>
      </c>
      <c r="P33" s="559">
        <f t="shared" si="34"/>
        <v>19582.329000000002</v>
      </c>
      <c r="Q33" s="445">
        <f t="shared" si="52"/>
        <v>0</v>
      </c>
      <c r="R33" s="586">
        <f>N33-Q33</f>
        <v>0</v>
      </c>
      <c r="S33" s="425">
        <f t="shared" si="8"/>
        <v>10175</v>
      </c>
      <c r="T33" s="446">
        <f t="shared" si="2"/>
        <v>0</v>
      </c>
      <c r="U33" s="425">
        <f t="shared" si="9"/>
        <v>429166</v>
      </c>
      <c r="V33" s="427">
        <f t="shared" ref="V33" si="60">U33-U32</f>
        <v>0</v>
      </c>
      <c r="W33" s="584">
        <f>[2]ELEC!$W$34</f>
        <v>33498</v>
      </c>
      <c r="X33" s="447">
        <f t="shared" si="54"/>
        <v>0</v>
      </c>
      <c r="Y33" s="584">
        <f>[2]ELEC!$Y$34</f>
        <v>999659</v>
      </c>
      <c r="Z33" s="427">
        <f t="shared" si="55"/>
        <v>0</v>
      </c>
      <c r="AA33" s="584">
        <f>[2]ELEC!$AA$34</f>
        <v>36801</v>
      </c>
      <c r="AB33" s="427">
        <f t="shared" si="56"/>
        <v>0</v>
      </c>
      <c r="AC33" s="584">
        <f>[2]ELEC!$AC$34</f>
        <v>1171535</v>
      </c>
      <c r="AD33" s="427">
        <f t="shared" si="57"/>
        <v>0</v>
      </c>
      <c r="AE33" s="449">
        <f t="shared" si="58"/>
        <v>0</v>
      </c>
      <c r="AF33" s="450">
        <f t="shared" si="59"/>
        <v>0</v>
      </c>
      <c r="AG33" s="442">
        <f>IF(AE33&gt;0,AF33/AE33,0)</f>
        <v>0</v>
      </c>
      <c r="AJ33" s="542"/>
      <c r="AK33" s="543"/>
      <c r="AL33" s="543"/>
      <c r="AM33" s="543"/>
      <c r="AN33" s="543"/>
    </row>
    <row r="34" spans="1:40">
      <c r="A34" s="435">
        <f>'General information '!F35</f>
        <v>0</v>
      </c>
      <c r="B34" s="429">
        <f t="shared" si="48"/>
        <v>0</v>
      </c>
      <c r="C34" s="436">
        <v>44865</v>
      </c>
      <c r="D34" s="585">
        <f t="shared" si="29"/>
        <v>389430</v>
      </c>
      <c r="E34" s="573">
        <f t="shared" si="7"/>
        <v>0</v>
      </c>
      <c r="F34" s="565">
        <f t="shared" si="30"/>
        <v>4175430</v>
      </c>
      <c r="G34" s="448">
        <f t="shared" si="24"/>
        <v>0</v>
      </c>
      <c r="H34" s="425">
        <f t="shared" si="31"/>
        <v>18088866</v>
      </c>
      <c r="I34" s="448">
        <f t="shared" si="25"/>
        <v>0</v>
      </c>
      <c r="J34" s="425">
        <f t="shared" si="32"/>
        <v>29863590</v>
      </c>
      <c r="K34" s="448">
        <f t="shared" si="26"/>
        <v>0</v>
      </c>
      <c r="L34" s="425">
        <f t="shared" si="33"/>
        <v>24684708</v>
      </c>
      <c r="M34" s="448">
        <f t="shared" si="49"/>
        <v>0</v>
      </c>
      <c r="N34" s="296">
        <f t="shared" si="50"/>
        <v>0</v>
      </c>
      <c r="O34" s="444">
        <f t="shared" si="51"/>
        <v>0</v>
      </c>
      <c r="P34" s="559">
        <f t="shared" si="34"/>
        <v>19582.329000000002</v>
      </c>
      <c r="Q34" s="445">
        <f t="shared" si="52"/>
        <v>0</v>
      </c>
      <c r="R34" s="586">
        <f t="shared" si="53"/>
        <v>0</v>
      </c>
      <c r="S34" s="425">
        <f t="shared" si="8"/>
        <v>10175</v>
      </c>
      <c r="T34" s="446">
        <f t="shared" si="2"/>
        <v>0</v>
      </c>
      <c r="U34" s="425">
        <f t="shared" si="9"/>
        <v>429166</v>
      </c>
      <c r="V34" s="448">
        <f>U34-U33</f>
        <v>0</v>
      </c>
      <c r="W34" s="584">
        <f>[2]ELEC!$W$34</f>
        <v>33498</v>
      </c>
      <c r="X34" s="447">
        <f t="shared" si="54"/>
        <v>0</v>
      </c>
      <c r="Y34" s="584">
        <f>[2]ELEC!$Y$34</f>
        <v>999659</v>
      </c>
      <c r="Z34" s="427">
        <f t="shared" si="55"/>
        <v>0</v>
      </c>
      <c r="AA34" s="584">
        <f>[2]ELEC!$AA$34</f>
        <v>36801</v>
      </c>
      <c r="AB34" s="427">
        <f t="shared" si="56"/>
        <v>0</v>
      </c>
      <c r="AC34" s="584">
        <f>[2]ELEC!$AC$34</f>
        <v>1171535</v>
      </c>
      <c r="AD34" s="427">
        <f t="shared" si="57"/>
        <v>0</v>
      </c>
      <c r="AE34" s="449">
        <f t="shared" si="58"/>
        <v>0</v>
      </c>
      <c r="AF34" s="450">
        <f t="shared" si="59"/>
        <v>0</v>
      </c>
      <c r="AG34" s="442">
        <f>IF(AE34&gt;0,AF34/AE34,0)</f>
        <v>0</v>
      </c>
      <c r="AJ34" s="542"/>
      <c r="AK34" s="543"/>
      <c r="AL34" s="543"/>
      <c r="AM34" s="543"/>
      <c r="AN34" s="543"/>
    </row>
    <row r="35" spans="1:40" s="558" customFormat="1">
      <c r="A35" s="548"/>
      <c r="B35" s="549"/>
      <c r="C35" s="550"/>
      <c r="D35" s="551"/>
      <c r="E35" s="551"/>
      <c r="F35" s="551"/>
      <c r="G35" s="552"/>
      <c r="H35" s="551"/>
      <c r="I35" s="552"/>
      <c r="J35" s="551"/>
      <c r="K35" s="552"/>
      <c r="L35" s="551"/>
      <c r="M35" s="552"/>
      <c r="N35" s="553"/>
      <c r="O35" s="554"/>
      <c r="P35" s="555"/>
      <c r="Q35" s="547"/>
      <c r="R35" s="547"/>
      <c r="S35" s="551"/>
      <c r="T35" s="556"/>
      <c r="U35" s="551"/>
      <c r="V35" s="547"/>
      <c r="W35" s="551"/>
      <c r="X35" s="547"/>
      <c r="Y35" s="551"/>
      <c r="Z35" s="547"/>
      <c r="AA35" s="551"/>
      <c r="AB35" s="547"/>
      <c r="AC35" s="551"/>
      <c r="AD35" s="547"/>
      <c r="AE35" s="547"/>
      <c r="AF35" s="547"/>
      <c r="AG35" s="557"/>
      <c r="AK35" s="547"/>
      <c r="AL35" s="547"/>
      <c r="AM35" s="547"/>
      <c r="AN35" s="547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opLeftCell="B1" zoomScale="60" zoomScaleNormal="60" workbookViewId="0">
      <pane ySplit="1" topLeftCell="A2" activePane="bottomLeft" state="frozen"/>
      <selection activeCell="K1" sqref="K1"/>
      <selection pane="bottomLeft" activeCell="AS29" sqref="AS2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3" width="18.42578125" style="42" customWidth="1"/>
    <col min="14" max="14" width="8" style="42" customWidth="1"/>
    <col min="15" max="15" width="0.28515625" style="68" customWidth="1"/>
    <col min="16" max="16" width="8.28515625" style="42" bestFit="1" customWidth="1"/>
    <col min="17" max="17" width="13.85546875" style="42" customWidth="1"/>
    <col min="18" max="18" width="14.140625" style="42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13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5" customWidth="1"/>
    <col min="38" max="38" width="11.28515625" style="305" bestFit="1" customWidth="1"/>
    <col min="39" max="39" width="11.42578125" style="305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7"/>
    <col min="51" max="16384" width="9.28515625" style="42"/>
  </cols>
  <sheetData>
    <row r="1" spans="1:52" ht="30.75" thickBot="1">
      <c r="F1" s="617" t="s">
        <v>2</v>
      </c>
      <c r="G1" s="618"/>
      <c r="H1" s="618"/>
      <c r="I1" s="619"/>
      <c r="J1" s="270">
        <f>J36</f>
        <v>54.416666666666664</v>
      </c>
      <c r="K1" s="620" t="s">
        <v>4</v>
      </c>
      <c r="L1" s="621"/>
      <c r="M1" s="621"/>
      <c r="N1" s="621"/>
      <c r="O1" s="622"/>
      <c r="P1" s="611" t="s">
        <v>6</v>
      </c>
      <c r="Q1" s="612"/>
      <c r="R1" s="612"/>
      <c r="S1" s="612"/>
      <c r="T1" s="613"/>
      <c r="U1" s="380"/>
      <c r="V1" s="27" t="s">
        <v>104</v>
      </c>
      <c r="W1" s="381"/>
      <c r="X1" s="611" t="s">
        <v>8</v>
      </c>
      <c r="Y1" s="612"/>
      <c r="Z1" s="612"/>
      <c r="AA1" s="612"/>
      <c r="AB1" s="612"/>
      <c r="AC1" s="614" t="s">
        <v>10</v>
      </c>
      <c r="AD1" s="615"/>
      <c r="AE1" s="615"/>
      <c r="AF1" s="616"/>
      <c r="AG1" s="207"/>
      <c r="AH1" s="85" t="s">
        <v>105</v>
      </c>
      <c r="AI1" s="298" t="s">
        <v>128</v>
      </c>
      <c r="AJ1" s="298"/>
      <c r="AK1" s="298"/>
      <c r="AL1" s="298" t="s">
        <v>133</v>
      </c>
      <c r="AM1" s="298" t="s">
        <v>134</v>
      </c>
      <c r="AN1" s="300" t="s">
        <v>12</v>
      </c>
      <c r="AO1" s="300" t="s">
        <v>13</v>
      </c>
      <c r="AP1" s="300" t="s">
        <v>14</v>
      </c>
      <c r="AQ1" s="300" t="s">
        <v>15</v>
      </c>
      <c r="AR1" s="300" t="s">
        <v>16</v>
      </c>
      <c r="AS1" s="300" t="s">
        <v>17</v>
      </c>
      <c r="AT1" s="300"/>
      <c r="AU1" s="301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09"/>
      <c r="R2" s="610"/>
      <c r="S2" s="52" t="s">
        <v>7</v>
      </c>
      <c r="T2" s="53"/>
      <c r="U2" s="384" t="s">
        <v>377</v>
      </c>
      <c r="V2" s="54" t="s">
        <v>103</v>
      </c>
      <c r="W2" s="382"/>
      <c r="X2" s="55" t="s">
        <v>8</v>
      </c>
      <c r="Y2" s="46" t="s">
        <v>9</v>
      </c>
      <c r="Z2" s="373" t="s">
        <v>373</v>
      </c>
      <c r="AA2" s="374" t="s">
        <v>374</v>
      </c>
      <c r="AB2" s="269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299" t="s">
        <v>103</v>
      </c>
      <c r="AJ2" s="376"/>
      <c r="AK2" s="376"/>
      <c r="AL2" s="376"/>
      <c r="AM2" s="376"/>
      <c r="AN2" s="375"/>
      <c r="AO2" s="375"/>
      <c r="AP2" s="375"/>
      <c r="AQ2" s="375"/>
      <c r="AR2" s="375"/>
      <c r="AS2" s="375"/>
      <c r="AT2" s="375"/>
      <c r="AU2" s="375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4"/>
      <c r="V3" s="59"/>
      <c r="W3" s="382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2"/>
      <c r="AJ3" s="303"/>
      <c r="AK3" s="303"/>
      <c r="AL3" s="303"/>
      <c r="AM3" s="303"/>
    </row>
    <row r="4" spans="1:52" s="323" customFormat="1">
      <c r="A4" s="63">
        <v>44834</v>
      </c>
      <c r="B4" s="378">
        <f>[2]B5!$B$34</f>
        <v>226</v>
      </c>
      <c r="C4" s="378">
        <f>[2]B5!$C$34</f>
        <v>232</v>
      </c>
      <c r="D4" s="378">
        <f>[3]B5!D35</f>
        <v>5</v>
      </c>
      <c r="E4" s="378">
        <f>[3]B5!E35</f>
        <v>41.900000000000006</v>
      </c>
      <c r="F4" s="378">
        <f>[2]B5!$F$35</f>
        <v>2287</v>
      </c>
      <c r="G4" s="378">
        <f>[3]B5!G35</f>
        <v>0</v>
      </c>
      <c r="H4" s="378">
        <f>[2]B5!$H$35</f>
        <v>46848</v>
      </c>
      <c r="I4" s="378">
        <f>[3]B5!I35</f>
        <v>0</v>
      </c>
      <c r="J4" s="378">
        <f>[3]B5!J35</f>
        <v>0</v>
      </c>
      <c r="K4" s="378">
        <f>[2]B5!$K$35</f>
        <v>2459</v>
      </c>
      <c r="L4" s="378">
        <f>[3]B5!L35</f>
        <v>1</v>
      </c>
      <c r="M4" s="378">
        <f>[2]B5!$M$35</f>
        <v>182937</v>
      </c>
      <c r="N4" s="378">
        <f>[3]B5!N35</f>
        <v>79</v>
      </c>
      <c r="O4" s="378">
        <f>[3]B5!O35</f>
        <v>1869</v>
      </c>
      <c r="P4" s="378">
        <f>[2]B5!$P$35</f>
        <v>2231</v>
      </c>
      <c r="Q4" s="378">
        <f>[2]B5!$Q$35</f>
        <v>186441</v>
      </c>
      <c r="R4" s="378">
        <f>[3]B5!R35</f>
        <v>0</v>
      </c>
      <c r="S4" s="378">
        <f>[3]B5!S35</f>
        <v>0</v>
      </c>
      <c r="T4" s="378">
        <f>[3]B5!T35</f>
        <v>0</v>
      </c>
      <c r="U4" s="378">
        <f>[3]B5!U35</f>
        <v>1</v>
      </c>
      <c r="V4" s="378">
        <f>[3]B5!V35</f>
        <v>79</v>
      </c>
      <c r="W4" s="378">
        <f>[3]B5!W35</f>
        <v>0</v>
      </c>
      <c r="X4" s="378">
        <f>[2]B5!$X$35</f>
        <v>2494</v>
      </c>
      <c r="Y4" s="378">
        <f>[3]B5!Y35</f>
        <v>1</v>
      </c>
      <c r="Z4" s="378">
        <f>[2]B5!$Z$35</f>
        <v>141111</v>
      </c>
      <c r="AA4" s="378">
        <f>[3]B5!AA35</f>
        <v>65</v>
      </c>
      <c r="AB4" s="378">
        <f>[3]B5!AB35</f>
        <v>0</v>
      </c>
      <c r="AC4" s="378">
        <f>[2]B5!$AC$35</f>
        <v>1948</v>
      </c>
      <c r="AD4" s="378">
        <f>[3]B5!AD35</f>
        <v>0</v>
      </c>
      <c r="AE4" s="378">
        <f>[2]B5!$AE$35</f>
        <v>366639</v>
      </c>
      <c r="AF4" s="378">
        <f>[3]B5!AF35</f>
        <v>0</v>
      </c>
      <c r="AG4" s="378">
        <f>[3]B5!AG35</f>
        <v>0</v>
      </c>
      <c r="AH4" s="378">
        <f>[3]B5!AH35</f>
        <v>65</v>
      </c>
      <c r="AI4" s="378">
        <f>[3]B5!AI35</f>
        <v>144</v>
      </c>
      <c r="AJ4" s="378">
        <f>[3]B5!AJ35</f>
        <v>144</v>
      </c>
      <c r="AK4" s="378">
        <f>[3]B5!AK35</f>
        <v>0</v>
      </c>
      <c r="AL4" s="378">
        <f>[3]B5!AL35</f>
        <v>1</v>
      </c>
      <c r="AM4" s="378">
        <f>[3]B5!AM35</f>
        <v>1</v>
      </c>
      <c r="AN4" s="378">
        <f>[2]B5!$AN$35</f>
        <v>65</v>
      </c>
      <c r="AO4" s="378">
        <f>[3]B5!AO35</f>
        <v>1980</v>
      </c>
      <c r="AP4" s="378">
        <v>35</v>
      </c>
      <c r="AQ4" s="378">
        <f>[3]B5!AQ35</f>
        <v>930</v>
      </c>
      <c r="AR4" s="378">
        <f>[3]B5!AR35</f>
        <v>73</v>
      </c>
      <c r="AS4" s="378">
        <f>[3]B5!AS35</f>
        <v>2190</v>
      </c>
      <c r="AT4" s="378">
        <f>[3]B5!AT35</f>
        <v>5100</v>
      </c>
      <c r="AU4" s="378">
        <f>[3]B5!AU35</f>
        <v>0</v>
      </c>
      <c r="AV4" s="378">
        <f>[3]B5!AV35</f>
        <v>0</v>
      </c>
      <c r="AW4" s="378">
        <f>[3]B5!AW35</f>
        <v>0</v>
      </c>
      <c r="AX4" s="378">
        <f>[3]B5!AX35</f>
        <v>0.8</v>
      </c>
    </row>
    <row r="5" spans="1:52">
      <c r="A5" s="63">
        <f>ELEC!C4</f>
        <v>44835</v>
      </c>
      <c r="B5" s="378">
        <f>[2]B5!$B$34</f>
        <v>226</v>
      </c>
      <c r="C5" s="378">
        <v>232</v>
      </c>
      <c r="D5" s="45">
        <f>C4-C5</f>
        <v>0</v>
      </c>
      <c r="E5" s="45">
        <f>D5*8.38</f>
        <v>0</v>
      </c>
      <c r="F5" s="534">
        <f>F4</f>
        <v>2287</v>
      </c>
      <c r="G5" s="52">
        <f t="shared" ref="G5:G32" si="0">F5-F4</f>
        <v>0</v>
      </c>
      <c r="H5" s="534">
        <f>H4</f>
        <v>46848</v>
      </c>
      <c r="I5" s="379">
        <f t="shared" ref="I5:I32" si="1">SUM(H5-H4)</f>
        <v>0</v>
      </c>
      <c r="J5" s="66">
        <v>1</v>
      </c>
      <c r="K5" s="534">
        <f>K4</f>
        <v>2459</v>
      </c>
      <c r="L5" s="52">
        <f>K5-K4</f>
        <v>0</v>
      </c>
      <c r="M5" s="378">
        <f>[2]B5!$M$35</f>
        <v>182937</v>
      </c>
      <c r="N5" s="379">
        <f t="shared" ref="N5:N32" si="2">M5-M4</f>
        <v>0</v>
      </c>
      <c r="O5" s="64">
        <f t="shared" ref="O5:Q17" si="3">O4</f>
        <v>1869</v>
      </c>
      <c r="P5" s="534">
        <f>P4</f>
        <v>2231</v>
      </c>
      <c r="Q5" s="534">
        <f>Q4</f>
        <v>186441</v>
      </c>
      <c r="R5" s="378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5">
        <f>SUM(G5+L5+S5)</f>
        <v>0</v>
      </c>
      <c r="V5" s="62">
        <f>R5+N5+I5:I5</f>
        <v>0</v>
      </c>
      <c r="W5" s="383" t="e">
        <f>SUM(V5/U5)</f>
        <v>#DIV/0!</v>
      </c>
      <c r="X5" s="534">
        <f>X4</f>
        <v>2494</v>
      </c>
      <c r="Y5" s="52">
        <f>X5-X4</f>
        <v>0</v>
      </c>
      <c r="Z5" s="534">
        <f>Z4</f>
        <v>141111</v>
      </c>
      <c r="AA5" s="65">
        <f t="shared" ref="AA5:AA32" si="6">Z5-Z4</f>
        <v>0</v>
      </c>
      <c r="AB5" s="272">
        <f>SUM(Y5*$AB$2)</f>
        <v>0</v>
      </c>
      <c r="AC5" s="534">
        <f>AC4</f>
        <v>1948</v>
      </c>
      <c r="AD5" s="45">
        <f t="shared" ref="AD5:AD32" si="7">AC5-AC4</f>
        <v>0</v>
      </c>
      <c r="AE5" s="534">
        <f>AE4</f>
        <v>366639</v>
      </c>
      <c r="AF5" s="292">
        <f>AE5-AE4</f>
        <v>0</v>
      </c>
      <c r="AG5" s="209">
        <f>IF(AD5&gt;0,AF5/AD5,0)</f>
        <v>0</v>
      </c>
      <c r="AH5" s="62">
        <f>AF5+AA5</f>
        <v>0</v>
      </c>
      <c r="AI5" s="302">
        <f>SUM(AH5+V5)</f>
        <v>0</v>
      </c>
      <c r="AJ5" s="302">
        <f>-tanks!AW6</f>
        <v>0</v>
      </c>
      <c r="AK5" s="302">
        <f>SUM(AJ5-AI5)</f>
        <v>0</v>
      </c>
      <c r="AL5" s="302">
        <f t="shared" ref="AL5:AL32" si="8">S5+L5+G5</f>
        <v>0</v>
      </c>
      <c r="AM5" s="302">
        <f>Y5+AD5</f>
        <v>0</v>
      </c>
      <c r="AN5" s="534">
        <f>AN4</f>
        <v>65</v>
      </c>
      <c r="AO5" s="304">
        <f>(AN5/100)*3000</f>
        <v>1950</v>
      </c>
      <c r="AP5" s="534">
        <f>AP4</f>
        <v>35</v>
      </c>
      <c r="AQ5" s="304">
        <f>(AP5/100)*3000</f>
        <v>1050</v>
      </c>
      <c r="AR5" s="534">
        <f>AR4</f>
        <v>73</v>
      </c>
      <c r="AS5" s="304">
        <f>(AR5/100)*3000</f>
        <v>2190</v>
      </c>
      <c r="AT5" s="304">
        <f>SUM(AO5+AQ5+AS5)</f>
        <v>5190</v>
      </c>
      <c r="AU5" s="304">
        <f>AT4-AT5+AV5</f>
        <v>-90</v>
      </c>
      <c r="AV5" s="259"/>
      <c r="AW5" s="259"/>
      <c r="AX5" s="297">
        <f>IF(AV5&gt;0,AW5,AX4)</f>
        <v>0.8</v>
      </c>
    </row>
    <row r="6" spans="1:52">
      <c r="A6" s="63">
        <f>ELEC!C5</f>
        <v>44836</v>
      </c>
      <c r="B6" s="534">
        <v>242</v>
      </c>
      <c r="C6" s="534">
        <v>248</v>
      </c>
      <c r="D6" s="45">
        <f>C5-C6</f>
        <v>-16</v>
      </c>
      <c r="E6" s="45">
        <f t="shared" ref="E6:E32" si="9">D6*8.38</f>
        <v>-134.08000000000001</v>
      </c>
      <c r="F6" s="534">
        <v>2290</v>
      </c>
      <c r="G6" s="52">
        <f t="shared" si="0"/>
        <v>3</v>
      </c>
      <c r="H6" s="534">
        <v>47030</v>
      </c>
      <c r="I6" s="379">
        <f t="shared" si="1"/>
        <v>182</v>
      </c>
      <c r="J6" s="66">
        <f t="shared" ref="J6:J32" si="10">IF(G6&gt;0,I6/G6,0)</f>
        <v>60.666666666666664</v>
      </c>
      <c r="K6" s="534">
        <f t="shared" ref="K6:K35" si="11">K5</f>
        <v>2459</v>
      </c>
      <c r="L6" s="52">
        <f t="shared" ref="L6:L32" si="12">K6-K5</f>
        <v>0</v>
      </c>
      <c r="M6" s="534">
        <v>182937</v>
      </c>
      <c r="N6" s="379">
        <f t="shared" si="2"/>
        <v>0</v>
      </c>
      <c r="O6" s="64">
        <f t="shared" si="3"/>
        <v>1869</v>
      </c>
      <c r="P6" s="534">
        <f t="shared" si="3"/>
        <v>2231</v>
      </c>
      <c r="Q6" s="534">
        <v>186461</v>
      </c>
      <c r="R6" s="378">
        <f t="shared" si="4"/>
        <v>20</v>
      </c>
      <c r="S6" s="52">
        <f t="shared" si="5"/>
        <v>0</v>
      </c>
      <c r="T6" s="67">
        <f>SUM(S6*$T$2)</f>
        <v>0</v>
      </c>
      <c r="U6" s="385">
        <f t="shared" ref="U6:U32" si="13">SUM(G6+L6+S6)</f>
        <v>3</v>
      </c>
      <c r="V6" s="62">
        <f t="shared" ref="V6:V32" si="14">R6+N6+I6:I6</f>
        <v>202</v>
      </c>
      <c r="W6" s="383">
        <f t="shared" ref="W6:W16" si="15">SUM(V6/U6)</f>
        <v>67.333333333333329</v>
      </c>
      <c r="X6" s="534">
        <v>2495</v>
      </c>
      <c r="Y6" s="52">
        <f t="shared" ref="Y6:Y32" si="16">X6-X5</f>
        <v>1</v>
      </c>
      <c r="Z6" s="534">
        <v>141191</v>
      </c>
      <c r="AA6" s="65">
        <f t="shared" si="6"/>
        <v>80</v>
      </c>
      <c r="AB6" s="272">
        <f>SUM(Y6*$AB$2)</f>
        <v>0</v>
      </c>
      <c r="AC6" s="534">
        <f t="shared" ref="AC6:AC35" si="17">AC5</f>
        <v>1948</v>
      </c>
      <c r="AD6" s="45">
        <f t="shared" si="7"/>
        <v>0</v>
      </c>
      <c r="AE6" s="534">
        <v>366651</v>
      </c>
      <c r="AF6" s="292">
        <f t="shared" ref="AF6:AF32" si="18">AE6-AE5</f>
        <v>12</v>
      </c>
      <c r="AG6" s="209">
        <f>IF(AD6&gt;0,AF6/AD6,0)</f>
        <v>0</v>
      </c>
      <c r="AH6" s="62">
        <f>AF6+AA6</f>
        <v>92</v>
      </c>
      <c r="AI6" s="302">
        <f t="shared" ref="AI6:AI32" si="19">SUM(AH6+V6)</f>
        <v>294</v>
      </c>
      <c r="AJ6" s="302">
        <f>-tanks!AW7</f>
        <v>294</v>
      </c>
      <c r="AK6" s="302">
        <f t="shared" ref="AK6:AK32" si="20">SUM(AJ6-AI6)</f>
        <v>0</v>
      </c>
      <c r="AL6" s="302">
        <f t="shared" si="8"/>
        <v>3</v>
      </c>
      <c r="AM6" s="302">
        <f t="shared" ref="AM6:AM32" si="21">Y6+AD6</f>
        <v>1</v>
      </c>
      <c r="AN6" s="534">
        <f t="shared" ref="AN6:AN35" si="22">AN5</f>
        <v>65</v>
      </c>
      <c r="AO6" s="304">
        <f t="shared" ref="AO6:AO35" si="23">(AN6/100)*3000</f>
        <v>1950</v>
      </c>
      <c r="AP6" s="534">
        <f t="shared" ref="AP6:AP35" si="24">AP5</f>
        <v>35</v>
      </c>
      <c r="AQ6" s="304">
        <f t="shared" ref="AQ6:AQ24" si="25">(AP6/100)*3000</f>
        <v>1050</v>
      </c>
      <c r="AR6" s="534">
        <f t="shared" ref="AR6:AR35" si="26">AR5</f>
        <v>73</v>
      </c>
      <c r="AS6" s="304">
        <f>(AR6/100)*3000</f>
        <v>2190</v>
      </c>
      <c r="AT6" s="304">
        <f>SUM(AO6+AQ6+AS6)</f>
        <v>5190</v>
      </c>
      <c r="AU6" s="304">
        <f>AT5-AT6+AV6</f>
        <v>0</v>
      </c>
      <c r="AV6" s="259"/>
      <c r="AW6" s="259"/>
      <c r="AX6" s="297">
        <f t="shared" ref="AX6:AX32" si="27">IF(AV6&gt;0,AW6,AX5)</f>
        <v>0.8</v>
      </c>
    </row>
    <row r="7" spans="1:52">
      <c r="A7" s="63">
        <f>ELEC!C6</f>
        <v>44837</v>
      </c>
      <c r="B7" s="534">
        <v>238</v>
      </c>
      <c r="C7" s="534">
        <v>244</v>
      </c>
      <c r="D7" s="45">
        <f t="shared" ref="D7:D19" si="28">C6-C7</f>
        <v>4</v>
      </c>
      <c r="E7" s="45">
        <f t="shared" si="9"/>
        <v>33.520000000000003</v>
      </c>
      <c r="F7" s="534">
        <f t="shared" ref="F7:F35" si="29">F6</f>
        <v>2290</v>
      </c>
      <c r="G7" s="52">
        <f t="shared" si="0"/>
        <v>0</v>
      </c>
      <c r="H7" s="534">
        <v>47077</v>
      </c>
      <c r="I7" s="379">
        <f t="shared" si="1"/>
        <v>47</v>
      </c>
      <c r="J7" s="66">
        <f t="shared" si="10"/>
        <v>0</v>
      </c>
      <c r="K7" s="534">
        <f t="shared" si="11"/>
        <v>2459</v>
      </c>
      <c r="L7" s="52">
        <f t="shared" si="12"/>
        <v>0</v>
      </c>
      <c r="M7" s="534">
        <v>182937</v>
      </c>
      <c r="N7" s="379">
        <f t="shared" si="2"/>
        <v>0</v>
      </c>
      <c r="O7" s="64">
        <f t="shared" si="3"/>
        <v>1869</v>
      </c>
      <c r="P7" s="534">
        <f t="shared" si="3"/>
        <v>2231</v>
      </c>
      <c r="Q7" s="534">
        <f t="shared" si="3"/>
        <v>186461</v>
      </c>
      <c r="R7" s="378">
        <f t="shared" si="4"/>
        <v>0</v>
      </c>
      <c r="S7" s="52">
        <f t="shared" si="5"/>
        <v>0</v>
      </c>
      <c r="T7" s="67">
        <f t="shared" ref="T7:T32" si="30">SUM(S7*$T$2)</f>
        <v>0</v>
      </c>
      <c r="U7" s="385">
        <f t="shared" si="13"/>
        <v>0</v>
      </c>
      <c r="V7" s="62">
        <f>R7+N7+I7:I7</f>
        <v>47</v>
      </c>
      <c r="W7" s="383" t="e">
        <f t="shared" si="15"/>
        <v>#DIV/0!</v>
      </c>
      <c r="X7" s="534">
        <v>2495</v>
      </c>
      <c r="Y7" s="52">
        <f t="shared" si="16"/>
        <v>0</v>
      </c>
      <c r="Z7" s="534">
        <f t="shared" ref="Z7:Z35" si="31">Z6</f>
        <v>141191</v>
      </c>
      <c r="AA7" s="65">
        <f t="shared" si="6"/>
        <v>0</v>
      </c>
      <c r="AB7" s="272">
        <f t="shared" ref="AB7:AB17" si="32">SUM(Y7*$AB$2)</f>
        <v>0</v>
      </c>
      <c r="AC7" s="534">
        <f t="shared" si="17"/>
        <v>1948</v>
      </c>
      <c r="AD7" s="45">
        <f t="shared" si="7"/>
        <v>0</v>
      </c>
      <c r="AE7" s="534">
        <f t="shared" ref="AE7:AE10" si="33">AE6</f>
        <v>366651</v>
      </c>
      <c r="AF7" s="292">
        <f t="shared" si="18"/>
        <v>0</v>
      </c>
      <c r="AG7" s="209">
        <f t="shared" ref="AG7:AG32" si="34">IF(AD7&gt;0,AF7/AD7,0)</f>
        <v>0</v>
      </c>
      <c r="AH7" s="62">
        <f t="shared" ref="AH7:AH32" si="35">AF7+AA7</f>
        <v>0</v>
      </c>
      <c r="AI7" s="302">
        <f t="shared" si="19"/>
        <v>47</v>
      </c>
      <c r="AJ7" s="302">
        <f>-tanks!AW8</f>
        <v>47</v>
      </c>
      <c r="AK7" s="302">
        <f t="shared" si="20"/>
        <v>0</v>
      </c>
      <c r="AL7" s="302">
        <f t="shared" si="8"/>
        <v>0</v>
      </c>
      <c r="AM7" s="302">
        <f t="shared" si="21"/>
        <v>0</v>
      </c>
      <c r="AN7" s="534">
        <f t="shared" si="22"/>
        <v>65</v>
      </c>
      <c r="AO7" s="304">
        <f t="shared" si="23"/>
        <v>1950</v>
      </c>
      <c r="AP7" s="534">
        <f t="shared" si="24"/>
        <v>35</v>
      </c>
      <c r="AQ7" s="304">
        <f t="shared" si="25"/>
        <v>1050</v>
      </c>
      <c r="AR7" s="534">
        <f t="shared" si="26"/>
        <v>73</v>
      </c>
      <c r="AS7" s="304">
        <f t="shared" ref="AS7:AS35" si="36">(AR7/100)*3000</f>
        <v>2190</v>
      </c>
      <c r="AT7" s="304">
        <f t="shared" ref="AT7:AT23" si="37">SUM(AO7+AQ7+AS7)</f>
        <v>5190</v>
      </c>
      <c r="AU7" s="304">
        <f t="shared" ref="AU7:AU35" si="38">AT6-AT7+AV7</f>
        <v>0</v>
      </c>
      <c r="AV7" s="259"/>
      <c r="AW7" s="259"/>
      <c r="AX7" s="297">
        <f t="shared" si="27"/>
        <v>0.8</v>
      </c>
      <c r="AZ7" s="42" t="s">
        <v>407</v>
      </c>
    </row>
    <row r="8" spans="1:52">
      <c r="A8" s="63">
        <f>ELEC!C7</f>
        <v>44838</v>
      </c>
      <c r="B8" s="534">
        <v>234</v>
      </c>
      <c r="C8" s="534">
        <v>241</v>
      </c>
      <c r="D8" s="45">
        <f t="shared" si="28"/>
        <v>3</v>
      </c>
      <c r="E8" s="45">
        <f t="shared" si="9"/>
        <v>25.14</v>
      </c>
      <c r="F8" s="534">
        <f t="shared" si="29"/>
        <v>2290</v>
      </c>
      <c r="G8" s="52">
        <f t="shared" si="0"/>
        <v>0</v>
      </c>
      <c r="H8" s="534">
        <v>47085</v>
      </c>
      <c r="I8" s="379">
        <f t="shared" si="1"/>
        <v>8</v>
      </c>
      <c r="J8" s="66">
        <f t="shared" si="10"/>
        <v>0</v>
      </c>
      <c r="K8" s="534">
        <v>2460</v>
      </c>
      <c r="L8" s="52">
        <f t="shared" si="12"/>
        <v>1</v>
      </c>
      <c r="M8" s="534">
        <v>183073</v>
      </c>
      <c r="N8" s="379">
        <f t="shared" si="2"/>
        <v>136</v>
      </c>
      <c r="O8" s="64">
        <f t="shared" si="3"/>
        <v>1869</v>
      </c>
      <c r="P8" s="534">
        <f t="shared" si="3"/>
        <v>2231</v>
      </c>
      <c r="Q8" s="534">
        <f t="shared" si="3"/>
        <v>186461</v>
      </c>
      <c r="R8" s="378">
        <f t="shared" si="4"/>
        <v>0</v>
      </c>
      <c r="S8" s="52">
        <f t="shared" si="5"/>
        <v>0</v>
      </c>
      <c r="T8" s="67">
        <f t="shared" si="30"/>
        <v>0</v>
      </c>
      <c r="U8" s="385">
        <f t="shared" si="13"/>
        <v>1</v>
      </c>
      <c r="V8" s="62">
        <f>R8+N8+I8:I8</f>
        <v>144</v>
      </c>
      <c r="W8" s="383">
        <f t="shared" si="15"/>
        <v>144</v>
      </c>
      <c r="X8" s="534">
        <v>2495</v>
      </c>
      <c r="Y8" s="52">
        <f t="shared" si="16"/>
        <v>0</v>
      </c>
      <c r="Z8" s="534">
        <f t="shared" si="31"/>
        <v>141191</v>
      </c>
      <c r="AA8" s="65">
        <f t="shared" si="6"/>
        <v>0</v>
      </c>
      <c r="AB8" s="272">
        <f t="shared" si="32"/>
        <v>0</v>
      </c>
      <c r="AC8" s="534">
        <f t="shared" si="17"/>
        <v>1948</v>
      </c>
      <c r="AD8" s="45">
        <f t="shared" si="7"/>
        <v>0</v>
      </c>
      <c r="AE8" s="534">
        <f t="shared" si="33"/>
        <v>366651</v>
      </c>
      <c r="AF8" s="292">
        <f t="shared" si="18"/>
        <v>0</v>
      </c>
      <c r="AG8" s="209">
        <f t="shared" si="34"/>
        <v>0</v>
      </c>
      <c r="AH8" s="62">
        <f t="shared" si="35"/>
        <v>0</v>
      </c>
      <c r="AI8" s="302">
        <f t="shared" si="19"/>
        <v>144</v>
      </c>
      <c r="AJ8" s="302">
        <f>-tanks!AW9</f>
        <v>144</v>
      </c>
      <c r="AK8" s="302">
        <f t="shared" si="20"/>
        <v>0</v>
      </c>
      <c r="AL8" s="302">
        <f t="shared" si="8"/>
        <v>1</v>
      </c>
      <c r="AM8" s="302">
        <f t="shared" si="21"/>
        <v>0</v>
      </c>
      <c r="AN8" s="534">
        <f t="shared" si="22"/>
        <v>65</v>
      </c>
      <c r="AO8" s="304">
        <f t="shared" si="23"/>
        <v>1950</v>
      </c>
      <c r="AP8" s="534">
        <f t="shared" si="24"/>
        <v>35</v>
      </c>
      <c r="AQ8" s="304">
        <f t="shared" si="25"/>
        <v>1050</v>
      </c>
      <c r="AR8" s="534">
        <f t="shared" si="26"/>
        <v>73</v>
      </c>
      <c r="AS8" s="304">
        <f t="shared" si="36"/>
        <v>2190</v>
      </c>
      <c r="AT8" s="304">
        <f t="shared" si="37"/>
        <v>5190</v>
      </c>
      <c r="AU8" s="304">
        <f t="shared" si="38"/>
        <v>0</v>
      </c>
      <c r="AV8" s="259"/>
      <c r="AW8" s="259"/>
      <c r="AX8" s="297">
        <f t="shared" si="27"/>
        <v>0.8</v>
      </c>
    </row>
    <row r="9" spans="1:52" ht="15.75" customHeight="1">
      <c r="A9" s="63">
        <f>ELEC!C8</f>
        <v>44839</v>
      </c>
      <c r="B9" s="534">
        <v>230</v>
      </c>
      <c r="C9" s="534">
        <v>237</v>
      </c>
      <c r="D9" s="45">
        <f t="shared" si="28"/>
        <v>4</v>
      </c>
      <c r="E9" s="45">
        <f t="shared" si="9"/>
        <v>33.520000000000003</v>
      </c>
      <c r="F9" s="534">
        <f t="shared" si="29"/>
        <v>2290</v>
      </c>
      <c r="G9" s="52">
        <f t="shared" si="0"/>
        <v>0</v>
      </c>
      <c r="H9" s="534">
        <f t="shared" ref="H9:H35" si="39">H8</f>
        <v>47085</v>
      </c>
      <c r="I9" s="379">
        <f t="shared" si="1"/>
        <v>0</v>
      </c>
      <c r="J9" s="66">
        <f t="shared" si="10"/>
        <v>0</v>
      </c>
      <c r="K9" s="534">
        <f t="shared" si="11"/>
        <v>2460</v>
      </c>
      <c r="L9" s="52">
        <f t="shared" si="12"/>
        <v>0</v>
      </c>
      <c r="M9" s="534">
        <f>M8</f>
        <v>183073</v>
      </c>
      <c r="N9" s="379">
        <f t="shared" si="2"/>
        <v>0</v>
      </c>
      <c r="O9" s="64">
        <f t="shared" si="3"/>
        <v>1869</v>
      </c>
      <c r="P9" s="534">
        <f t="shared" si="3"/>
        <v>2231</v>
      </c>
      <c r="Q9" s="534">
        <f t="shared" si="3"/>
        <v>186461</v>
      </c>
      <c r="R9" s="378">
        <f t="shared" si="4"/>
        <v>0</v>
      </c>
      <c r="S9" s="52">
        <f t="shared" si="5"/>
        <v>0</v>
      </c>
      <c r="T9" s="67">
        <f t="shared" si="30"/>
        <v>0</v>
      </c>
      <c r="U9" s="385">
        <f t="shared" si="13"/>
        <v>0</v>
      </c>
      <c r="V9" s="62">
        <f t="shared" si="14"/>
        <v>0</v>
      </c>
      <c r="W9" s="383" t="e">
        <f t="shared" si="15"/>
        <v>#DIV/0!</v>
      </c>
      <c r="X9" s="534">
        <v>2495</v>
      </c>
      <c r="Y9" s="52">
        <f t="shared" si="16"/>
        <v>0</v>
      </c>
      <c r="Z9" s="534">
        <v>141255</v>
      </c>
      <c r="AA9" s="65">
        <f t="shared" si="6"/>
        <v>64</v>
      </c>
      <c r="AB9" s="272">
        <f t="shared" si="32"/>
        <v>0</v>
      </c>
      <c r="AC9" s="534">
        <f t="shared" si="17"/>
        <v>1948</v>
      </c>
      <c r="AD9" s="45">
        <f t="shared" si="7"/>
        <v>0</v>
      </c>
      <c r="AE9" s="534">
        <f t="shared" si="33"/>
        <v>366651</v>
      </c>
      <c r="AF9" s="292">
        <f t="shared" si="18"/>
        <v>0</v>
      </c>
      <c r="AG9" s="209">
        <f t="shared" si="34"/>
        <v>0</v>
      </c>
      <c r="AH9" s="62">
        <f t="shared" si="35"/>
        <v>64</v>
      </c>
      <c r="AI9" s="302">
        <f t="shared" si="19"/>
        <v>64</v>
      </c>
      <c r="AJ9" s="302">
        <f>-tanks!AW10</f>
        <v>64</v>
      </c>
      <c r="AK9" s="302">
        <f t="shared" si="20"/>
        <v>0</v>
      </c>
      <c r="AL9" s="302">
        <f t="shared" si="8"/>
        <v>0</v>
      </c>
      <c r="AM9" s="302">
        <f t="shared" si="21"/>
        <v>0</v>
      </c>
      <c r="AN9" s="534">
        <f t="shared" si="22"/>
        <v>65</v>
      </c>
      <c r="AO9" s="304">
        <f t="shared" si="23"/>
        <v>1950</v>
      </c>
      <c r="AP9" s="534">
        <f t="shared" si="24"/>
        <v>35</v>
      </c>
      <c r="AQ9" s="304">
        <f t="shared" si="25"/>
        <v>1050</v>
      </c>
      <c r="AR9" s="534">
        <f t="shared" si="26"/>
        <v>73</v>
      </c>
      <c r="AS9" s="304">
        <f>(AR9/100)*3000</f>
        <v>2190</v>
      </c>
      <c r="AT9" s="304">
        <f t="shared" si="37"/>
        <v>5190</v>
      </c>
      <c r="AU9" s="304">
        <f t="shared" si="38"/>
        <v>0</v>
      </c>
      <c r="AV9" s="259"/>
      <c r="AW9" s="259"/>
      <c r="AX9" s="297">
        <f t="shared" si="27"/>
        <v>0.8</v>
      </c>
    </row>
    <row r="10" spans="1:52">
      <c r="A10" s="63">
        <f>ELEC!C9</f>
        <v>44840</v>
      </c>
      <c r="B10" s="534">
        <v>228</v>
      </c>
      <c r="C10" s="534">
        <v>234</v>
      </c>
      <c r="D10" s="45">
        <f t="shared" si="28"/>
        <v>3</v>
      </c>
      <c r="E10" s="45">
        <f t="shared" si="9"/>
        <v>25.14</v>
      </c>
      <c r="F10" s="534">
        <f t="shared" si="29"/>
        <v>2290</v>
      </c>
      <c r="G10" s="52">
        <f t="shared" si="0"/>
        <v>0</v>
      </c>
      <c r="H10" s="534">
        <f t="shared" si="39"/>
        <v>47085</v>
      </c>
      <c r="I10" s="379">
        <f t="shared" si="1"/>
        <v>0</v>
      </c>
      <c r="J10" s="66">
        <f t="shared" si="10"/>
        <v>0</v>
      </c>
      <c r="K10" s="534">
        <v>2461</v>
      </c>
      <c r="L10" s="52">
        <f t="shared" si="12"/>
        <v>1</v>
      </c>
      <c r="M10" s="534">
        <v>183134</v>
      </c>
      <c r="N10" s="379">
        <f t="shared" si="2"/>
        <v>61</v>
      </c>
      <c r="O10" s="64">
        <f t="shared" si="3"/>
        <v>1869</v>
      </c>
      <c r="P10" s="534">
        <f t="shared" si="3"/>
        <v>2231</v>
      </c>
      <c r="Q10" s="534">
        <f t="shared" si="3"/>
        <v>186461</v>
      </c>
      <c r="R10" s="378">
        <f t="shared" si="4"/>
        <v>0</v>
      </c>
      <c r="S10" s="52">
        <f t="shared" si="5"/>
        <v>0</v>
      </c>
      <c r="T10" s="67">
        <f t="shared" si="30"/>
        <v>0</v>
      </c>
      <c r="U10" s="385">
        <f t="shared" si="13"/>
        <v>1</v>
      </c>
      <c r="V10" s="62">
        <f t="shared" si="14"/>
        <v>61</v>
      </c>
      <c r="W10" s="383">
        <f t="shared" si="15"/>
        <v>61</v>
      </c>
      <c r="X10" s="534">
        <v>2495</v>
      </c>
      <c r="Y10" s="52">
        <f t="shared" si="16"/>
        <v>0</v>
      </c>
      <c r="Z10" s="534">
        <f t="shared" si="31"/>
        <v>141255</v>
      </c>
      <c r="AA10" s="65">
        <f t="shared" si="6"/>
        <v>0</v>
      </c>
      <c r="AB10" s="272">
        <f t="shared" si="32"/>
        <v>0</v>
      </c>
      <c r="AC10" s="534">
        <f t="shared" si="17"/>
        <v>1948</v>
      </c>
      <c r="AD10" s="45">
        <f t="shared" si="7"/>
        <v>0</v>
      </c>
      <c r="AE10" s="534">
        <f t="shared" si="33"/>
        <v>366651</v>
      </c>
      <c r="AF10" s="292">
        <f t="shared" si="18"/>
        <v>0</v>
      </c>
      <c r="AG10" s="209">
        <f t="shared" si="34"/>
        <v>0</v>
      </c>
      <c r="AH10" s="62">
        <f t="shared" si="35"/>
        <v>0</v>
      </c>
      <c r="AI10" s="302">
        <f>SUM(AH10+V10)</f>
        <v>61</v>
      </c>
      <c r="AJ10" s="302">
        <f>-tanks!AW11</f>
        <v>61</v>
      </c>
      <c r="AK10" s="302">
        <f t="shared" si="20"/>
        <v>0</v>
      </c>
      <c r="AL10" s="302">
        <f t="shared" si="8"/>
        <v>1</v>
      </c>
      <c r="AM10" s="302">
        <f t="shared" si="21"/>
        <v>0</v>
      </c>
      <c r="AN10" s="534">
        <f t="shared" si="22"/>
        <v>65</v>
      </c>
      <c r="AO10" s="304">
        <f t="shared" si="23"/>
        <v>1950</v>
      </c>
      <c r="AP10" s="534">
        <f t="shared" si="24"/>
        <v>35</v>
      </c>
      <c r="AQ10" s="304">
        <f t="shared" si="25"/>
        <v>1050</v>
      </c>
      <c r="AR10" s="534">
        <f t="shared" si="26"/>
        <v>73</v>
      </c>
      <c r="AS10" s="304">
        <f t="shared" si="36"/>
        <v>2190</v>
      </c>
      <c r="AT10" s="304">
        <f t="shared" si="37"/>
        <v>5190</v>
      </c>
      <c r="AU10" s="304">
        <f t="shared" si="38"/>
        <v>0</v>
      </c>
      <c r="AV10" s="259"/>
      <c r="AW10" s="259"/>
      <c r="AX10" s="297">
        <f t="shared" si="27"/>
        <v>0.8</v>
      </c>
    </row>
    <row r="11" spans="1:52">
      <c r="A11" s="63">
        <f>ELEC!C10</f>
        <v>44841</v>
      </c>
      <c r="B11" s="534">
        <f t="shared" ref="B11:B35" si="40">B10</f>
        <v>228</v>
      </c>
      <c r="C11" s="534">
        <f t="shared" ref="C11:C35" si="41">C10</f>
        <v>234</v>
      </c>
      <c r="D11" s="45">
        <f t="shared" si="28"/>
        <v>0</v>
      </c>
      <c r="E11" s="45">
        <f t="shared" si="9"/>
        <v>0</v>
      </c>
      <c r="F11" s="534">
        <f t="shared" si="29"/>
        <v>2290</v>
      </c>
      <c r="G11" s="52">
        <f t="shared" si="0"/>
        <v>0</v>
      </c>
      <c r="H11" s="534">
        <f t="shared" si="39"/>
        <v>47085</v>
      </c>
      <c r="I11" s="379">
        <f t="shared" si="1"/>
        <v>0</v>
      </c>
      <c r="J11" s="66">
        <f t="shared" si="10"/>
        <v>0</v>
      </c>
      <c r="K11" s="534">
        <f t="shared" si="11"/>
        <v>2461</v>
      </c>
      <c r="L11" s="52">
        <f t="shared" si="12"/>
        <v>0</v>
      </c>
      <c r="M11" s="534">
        <f t="shared" ref="M11:M35" si="42">M10</f>
        <v>183134</v>
      </c>
      <c r="N11" s="379">
        <f t="shared" si="2"/>
        <v>0</v>
      </c>
      <c r="O11" s="64">
        <f t="shared" si="3"/>
        <v>1869</v>
      </c>
      <c r="P11" s="534">
        <f t="shared" si="3"/>
        <v>2231</v>
      </c>
      <c r="Q11" s="534">
        <f t="shared" si="3"/>
        <v>186461</v>
      </c>
      <c r="R11" s="378">
        <f t="shared" ref="R11:R32" si="43">Q11-Q10</f>
        <v>0</v>
      </c>
      <c r="S11" s="52">
        <f t="shared" si="5"/>
        <v>0</v>
      </c>
      <c r="T11" s="67">
        <f t="shared" si="30"/>
        <v>0</v>
      </c>
      <c r="U11" s="385">
        <f t="shared" si="13"/>
        <v>0</v>
      </c>
      <c r="V11" s="62">
        <f t="shared" si="14"/>
        <v>0</v>
      </c>
      <c r="W11" s="383" t="e">
        <f t="shared" si="15"/>
        <v>#DIV/0!</v>
      </c>
      <c r="X11" s="534">
        <v>2495</v>
      </c>
      <c r="Y11" s="52">
        <f t="shared" si="16"/>
        <v>0</v>
      </c>
      <c r="Z11" s="534">
        <f t="shared" si="31"/>
        <v>141255</v>
      </c>
      <c r="AA11" s="65">
        <f t="shared" si="6"/>
        <v>0</v>
      </c>
      <c r="AB11" s="272">
        <f t="shared" si="32"/>
        <v>0</v>
      </c>
      <c r="AC11" s="534">
        <f t="shared" si="17"/>
        <v>1948</v>
      </c>
      <c r="AD11" s="45">
        <f t="shared" si="7"/>
        <v>0</v>
      </c>
      <c r="AE11" s="534">
        <v>366639</v>
      </c>
      <c r="AF11" s="292">
        <f t="shared" si="18"/>
        <v>-12</v>
      </c>
      <c r="AG11" s="209">
        <f t="shared" si="34"/>
        <v>0</v>
      </c>
      <c r="AH11" s="62">
        <f>AF11+AA11</f>
        <v>-12</v>
      </c>
      <c r="AI11" s="302">
        <f>SUM(AH11+V11)</f>
        <v>-12</v>
      </c>
      <c r="AJ11" s="302">
        <f>-tanks!AW12</f>
        <v>-12</v>
      </c>
      <c r="AK11" s="302">
        <f t="shared" si="20"/>
        <v>0</v>
      </c>
      <c r="AL11" s="302">
        <f t="shared" si="8"/>
        <v>0</v>
      </c>
      <c r="AM11" s="302">
        <f t="shared" si="21"/>
        <v>0</v>
      </c>
      <c r="AN11" s="534">
        <v>65</v>
      </c>
      <c r="AO11" s="304">
        <f t="shared" si="23"/>
        <v>1950</v>
      </c>
      <c r="AP11" s="534">
        <v>35</v>
      </c>
      <c r="AQ11" s="304">
        <f t="shared" si="25"/>
        <v>1050</v>
      </c>
      <c r="AR11" s="534">
        <f t="shared" si="26"/>
        <v>73</v>
      </c>
      <c r="AS11" s="304">
        <f t="shared" si="36"/>
        <v>2190</v>
      </c>
      <c r="AT11" s="304">
        <f t="shared" si="37"/>
        <v>5190</v>
      </c>
      <c r="AU11" s="304">
        <f t="shared" si="38"/>
        <v>0</v>
      </c>
      <c r="AV11" s="259"/>
      <c r="AW11" s="259"/>
      <c r="AX11" s="297">
        <f t="shared" si="27"/>
        <v>0.8</v>
      </c>
    </row>
    <row r="12" spans="1:52">
      <c r="A12" s="63">
        <f>ELEC!C11</f>
        <v>44842</v>
      </c>
      <c r="B12" s="534">
        <f t="shared" si="40"/>
        <v>228</v>
      </c>
      <c r="C12" s="534">
        <f t="shared" si="41"/>
        <v>234</v>
      </c>
      <c r="D12" s="45">
        <f t="shared" si="28"/>
        <v>0</v>
      </c>
      <c r="E12" s="45">
        <f t="shared" si="9"/>
        <v>0</v>
      </c>
      <c r="F12" s="534">
        <f t="shared" si="29"/>
        <v>2290</v>
      </c>
      <c r="G12" s="52">
        <f t="shared" si="0"/>
        <v>0</v>
      </c>
      <c r="H12" s="534">
        <f t="shared" si="39"/>
        <v>47085</v>
      </c>
      <c r="I12" s="379">
        <f t="shared" si="1"/>
        <v>0</v>
      </c>
      <c r="J12" s="66">
        <f t="shared" si="10"/>
        <v>0</v>
      </c>
      <c r="K12" s="534">
        <f t="shared" si="11"/>
        <v>2461</v>
      </c>
      <c r="L12" s="52">
        <f t="shared" si="12"/>
        <v>0</v>
      </c>
      <c r="M12" s="534">
        <f t="shared" si="42"/>
        <v>183134</v>
      </c>
      <c r="N12" s="379">
        <f t="shared" si="2"/>
        <v>0</v>
      </c>
      <c r="O12" s="64">
        <f t="shared" si="3"/>
        <v>1869</v>
      </c>
      <c r="P12" s="534">
        <f t="shared" si="3"/>
        <v>2231</v>
      </c>
      <c r="Q12" s="534">
        <f t="shared" si="3"/>
        <v>186461</v>
      </c>
      <c r="R12" s="378">
        <f t="shared" si="43"/>
        <v>0</v>
      </c>
      <c r="S12" s="52">
        <f t="shared" si="5"/>
        <v>0</v>
      </c>
      <c r="T12" s="67">
        <f t="shared" si="30"/>
        <v>0</v>
      </c>
      <c r="U12" s="385">
        <f t="shared" si="13"/>
        <v>0</v>
      </c>
      <c r="V12" s="62">
        <f t="shared" si="14"/>
        <v>0</v>
      </c>
      <c r="W12" s="383" t="e">
        <f t="shared" si="15"/>
        <v>#DIV/0!</v>
      </c>
      <c r="X12" s="534">
        <v>2495</v>
      </c>
      <c r="Y12" s="52">
        <f t="shared" si="16"/>
        <v>0</v>
      </c>
      <c r="Z12" s="534">
        <f t="shared" si="31"/>
        <v>141255</v>
      </c>
      <c r="AA12" s="65">
        <f t="shared" si="6"/>
        <v>0</v>
      </c>
      <c r="AB12" s="272">
        <f t="shared" si="32"/>
        <v>0</v>
      </c>
      <c r="AC12" s="534">
        <f t="shared" si="17"/>
        <v>1948</v>
      </c>
      <c r="AD12" s="45">
        <f t="shared" si="7"/>
        <v>0</v>
      </c>
      <c r="AE12" s="534">
        <v>366639</v>
      </c>
      <c r="AF12" s="292">
        <f t="shared" si="18"/>
        <v>0</v>
      </c>
      <c r="AG12" s="209">
        <f t="shared" si="34"/>
        <v>0</v>
      </c>
      <c r="AH12" s="62">
        <f t="shared" si="35"/>
        <v>0</v>
      </c>
      <c r="AI12" s="302">
        <f t="shared" si="19"/>
        <v>0</v>
      </c>
      <c r="AJ12" s="302">
        <f>-tanks!AW13</f>
        <v>0</v>
      </c>
      <c r="AK12" s="302">
        <f t="shared" si="20"/>
        <v>0</v>
      </c>
      <c r="AL12" s="302">
        <f t="shared" si="8"/>
        <v>0</v>
      </c>
      <c r="AM12" s="302">
        <f t="shared" si="21"/>
        <v>0</v>
      </c>
      <c r="AN12" s="534">
        <f t="shared" si="22"/>
        <v>65</v>
      </c>
      <c r="AO12" s="304">
        <f t="shared" si="23"/>
        <v>1950</v>
      </c>
      <c r="AP12" s="534">
        <f t="shared" si="24"/>
        <v>35</v>
      </c>
      <c r="AQ12" s="304">
        <f t="shared" si="25"/>
        <v>1050</v>
      </c>
      <c r="AR12" s="534">
        <f t="shared" si="26"/>
        <v>73</v>
      </c>
      <c r="AS12" s="304">
        <f t="shared" si="36"/>
        <v>2190</v>
      </c>
      <c r="AT12" s="304">
        <f t="shared" si="37"/>
        <v>5190</v>
      </c>
      <c r="AU12" s="304">
        <f t="shared" si="38"/>
        <v>0</v>
      </c>
      <c r="AV12" s="259"/>
      <c r="AW12" s="259"/>
      <c r="AX12" s="297">
        <f t="shared" si="27"/>
        <v>0.8</v>
      </c>
    </row>
    <row r="13" spans="1:52">
      <c r="A13" s="63">
        <f>ELEC!C12</f>
        <v>44843</v>
      </c>
      <c r="B13" s="534">
        <f t="shared" si="40"/>
        <v>228</v>
      </c>
      <c r="C13" s="534">
        <f t="shared" si="41"/>
        <v>234</v>
      </c>
      <c r="D13" s="45">
        <f t="shared" si="28"/>
        <v>0</v>
      </c>
      <c r="E13" s="45">
        <f t="shared" si="9"/>
        <v>0</v>
      </c>
      <c r="F13" s="534">
        <f t="shared" si="29"/>
        <v>2290</v>
      </c>
      <c r="G13" s="52">
        <f t="shared" si="0"/>
        <v>0</v>
      </c>
      <c r="H13" s="534">
        <f t="shared" si="39"/>
        <v>47085</v>
      </c>
      <c r="I13" s="379">
        <f t="shared" si="1"/>
        <v>0</v>
      </c>
      <c r="J13" s="66">
        <f t="shared" si="10"/>
        <v>0</v>
      </c>
      <c r="K13" s="534">
        <f t="shared" si="11"/>
        <v>2461</v>
      </c>
      <c r="L13" s="52">
        <f t="shared" si="12"/>
        <v>0</v>
      </c>
      <c r="M13" s="534">
        <f t="shared" si="42"/>
        <v>183134</v>
      </c>
      <c r="N13" s="379">
        <f t="shared" si="2"/>
        <v>0</v>
      </c>
      <c r="O13" s="64">
        <f t="shared" si="3"/>
        <v>1869</v>
      </c>
      <c r="P13" s="534">
        <f t="shared" si="3"/>
        <v>2231</v>
      </c>
      <c r="Q13" s="534">
        <f t="shared" si="3"/>
        <v>186461</v>
      </c>
      <c r="R13" s="378">
        <f t="shared" si="43"/>
        <v>0</v>
      </c>
      <c r="S13" s="52">
        <f t="shared" si="5"/>
        <v>0</v>
      </c>
      <c r="T13" s="67">
        <f t="shared" si="30"/>
        <v>0</v>
      </c>
      <c r="U13" s="385">
        <f t="shared" si="13"/>
        <v>0</v>
      </c>
      <c r="V13" s="62">
        <f t="shared" si="14"/>
        <v>0</v>
      </c>
      <c r="W13" s="383" t="e">
        <f t="shared" si="15"/>
        <v>#DIV/0!</v>
      </c>
      <c r="X13" s="534">
        <v>2495</v>
      </c>
      <c r="Y13" s="52">
        <f t="shared" si="16"/>
        <v>0</v>
      </c>
      <c r="Z13" s="534">
        <f t="shared" si="31"/>
        <v>141255</v>
      </c>
      <c r="AA13" s="272">
        <f t="shared" si="6"/>
        <v>0</v>
      </c>
      <c r="AB13" s="272">
        <f t="shared" si="32"/>
        <v>0</v>
      </c>
      <c r="AC13" s="534">
        <f t="shared" si="17"/>
        <v>1948</v>
      </c>
      <c r="AD13" s="45">
        <f t="shared" si="7"/>
        <v>0</v>
      </c>
      <c r="AE13" s="534">
        <v>366639</v>
      </c>
      <c r="AF13" s="292">
        <f t="shared" si="18"/>
        <v>0</v>
      </c>
      <c r="AG13" s="209">
        <f t="shared" si="34"/>
        <v>0</v>
      </c>
      <c r="AH13" s="62">
        <f t="shared" si="35"/>
        <v>0</v>
      </c>
      <c r="AI13" s="302">
        <f t="shared" si="19"/>
        <v>0</v>
      </c>
      <c r="AJ13" s="302">
        <f>-tanks!AW14</f>
        <v>0</v>
      </c>
      <c r="AK13" s="302">
        <f t="shared" si="20"/>
        <v>0</v>
      </c>
      <c r="AL13" s="302">
        <f t="shared" si="8"/>
        <v>0</v>
      </c>
      <c r="AM13" s="302">
        <f t="shared" si="21"/>
        <v>0</v>
      </c>
      <c r="AN13" s="534">
        <f t="shared" si="22"/>
        <v>65</v>
      </c>
      <c r="AO13" s="304">
        <f t="shared" si="23"/>
        <v>1950</v>
      </c>
      <c r="AP13" s="534">
        <f t="shared" si="24"/>
        <v>35</v>
      </c>
      <c r="AQ13" s="304">
        <f t="shared" si="25"/>
        <v>1050</v>
      </c>
      <c r="AR13" s="534">
        <f t="shared" si="26"/>
        <v>73</v>
      </c>
      <c r="AS13" s="304">
        <f t="shared" si="36"/>
        <v>2190</v>
      </c>
      <c r="AT13" s="304">
        <f t="shared" si="37"/>
        <v>5190</v>
      </c>
      <c r="AU13" s="304">
        <f t="shared" si="38"/>
        <v>0</v>
      </c>
      <c r="AV13" s="259"/>
      <c r="AW13" s="259"/>
      <c r="AX13" s="297">
        <f t="shared" si="27"/>
        <v>0.8</v>
      </c>
    </row>
    <row r="14" spans="1:52">
      <c r="A14" s="63">
        <f>ELEC!C13</f>
        <v>44844</v>
      </c>
      <c r="B14" s="534">
        <v>223.5</v>
      </c>
      <c r="C14" s="534">
        <v>231</v>
      </c>
      <c r="D14" s="45">
        <f t="shared" si="28"/>
        <v>3</v>
      </c>
      <c r="E14" s="45">
        <f t="shared" si="9"/>
        <v>25.14</v>
      </c>
      <c r="F14" s="534">
        <f t="shared" si="29"/>
        <v>2290</v>
      </c>
      <c r="G14" s="52">
        <f t="shared" si="0"/>
        <v>0</v>
      </c>
      <c r="H14" s="534">
        <f t="shared" si="39"/>
        <v>47085</v>
      </c>
      <c r="I14" s="379">
        <f t="shared" si="1"/>
        <v>0</v>
      </c>
      <c r="J14" s="66">
        <f t="shared" si="10"/>
        <v>0</v>
      </c>
      <c r="K14" s="534">
        <v>2462</v>
      </c>
      <c r="L14" s="52">
        <f t="shared" si="12"/>
        <v>1</v>
      </c>
      <c r="M14" s="534">
        <v>183267</v>
      </c>
      <c r="N14" s="379">
        <f t="shared" si="2"/>
        <v>133</v>
      </c>
      <c r="O14" s="64">
        <f t="shared" si="3"/>
        <v>1869</v>
      </c>
      <c r="P14" s="534">
        <f t="shared" si="3"/>
        <v>2231</v>
      </c>
      <c r="Q14" s="534">
        <f t="shared" si="3"/>
        <v>186461</v>
      </c>
      <c r="R14" s="378">
        <f t="shared" si="43"/>
        <v>0</v>
      </c>
      <c r="S14" s="52">
        <f t="shared" si="5"/>
        <v>0</v>
      </c>
      <c r="T14" s="67">
        <f t="shared" si="30"/>
        <v>0</v>
      </c>
      <c r="U14" s="385">
        <f t="shared" si="13"/>
        <v>1</v>
      </c>
      <c r="V14" s="62">
        <f t="shared" si="14"/>
        <v>133</v>
      </c>
      <c r="W14" s="383">
        <f t="shared" si="15"/>
        <v>133</v>
      </c>
      <c r="X14" s="534">
        <v>2495</v>
      </c>
      <c r="Y14" s="52">
        <f t="shared" si="16"/>
        <v>0</v>
      </c>
      <c r="Z14" s="534">
        <v>141295</v>
      </c>
      <c r="AA14" s="65">
        <f t="shared" si="6"/>
        <v>40</v>
      </c>
      <c r="AB14" s="272">
        <f t="shared" si="32"/>
        <v>0</v>
      </c>
      <c r="AC14" s="534">
        <f t="shared" si="17"/>
        <v>1948</v>
      </c>
      <c r="AD14" s="45">
        <f t="shared" si="7"/>
        <v>0</v>
      </c>
      <c r="AE14" s="534">
        <v>366639</v>
      </c>
      <c r="AF14" s="292">
        <f t="shared" si="18"/>
        <v>0</v>
      </c>
      <c r="AG14" s="209">
        <f t="shared" si="34"/>
        <v>0</v>
      </c>
      <c r="AH14" s="62">
        <f>AF14+AA14</f>
        <v>40</v>
      </c>
      <c r="AI14" s="302">
        <f>SUM(AH14+V14)</f>
        <v>173</v>
      </c>
      <c r="AJ14" s="302">
        <f>-tanks!AW15</f>
        <v>173</v>
      </c>
      <c r="AK14" s="302">
        <f t="shared" si="20"/>
        <v>0</v>
      </c>
      <c r="AL14" s="302">
        <f t="shared" si="8"/>
        <v>1</v>
      </c>
      <c r="AM14" s="302">
        <f t="shared" si="21"/>
        <v>0</v>
      </c>
      <c r="AN14" s="534">
        <f t="shared" si="22"/>
        <v>65</v>
      </c>
      <c r="AO14" s="304">
        <f t="shared" si="23"/>
        <v>1950</v>
      </c>
      <c r="AP14" s="534">
        <f t="shared" si="24"/>
        <v>35</v>
      </c>
      <c r="AQ14" s="304">
        <f t="shared" si="25"/>
        <v>1050</v>
      </c>
      <c r="AR14" s="534">
        <f t="shared" si="26"/>
        <v>73</v>
      </c>
      <c r="AS14" s="304">
        <f t="shared" si="36"/>
        <v>2190</v>
      </c>
      <c r="AT14" s="304">
        <f t="shared" si="37"/>
        <v>5190</v>
      </c>
      <c r="AU14" s="304">
        <f t="shared" si="38"/>
        <v>0</v>
      </c>
      <c r="AV14" s="259"/>
      <c r="AW14" s="259"/>
      <c r="AX14" s="297">
        <f t="shared" si="27"/>
        <v>0.8</v>
      </c>
    </row>
    <row r="15" spans="1:52" ht="15" customHeight="1">
      <c r="A15" s="63">
        <f>ELEC!C14</f>
        <v>44845</v>
      </c>
      <c r="B15" s="534">
        <v>220</v>
      </c>
      <c r="C15" s="534">
        <v>226</v>
      </c>
      <c r="D15" s="45">
        <f t="shared" si="28"/>
        <v>5</v>
      </c>
      <c r="E15" s="45">
        <f t="shared" si="9"/>
        <v>41.900000000000006</v>
      </c>
      <c r="F15" s="534">
        <f t="shared" si="29"/>
        <v>2290</v>
      </c>
      <c r="G15" s="52">
        <f t="shared" si="0"/>
        <v>0</v>
      </c>
      <c r="H15" s="534">
        <f t="shared" si="39"/>
        <v>47085</v>
      </c>
      <c r="I15" s="379">
        <f t="shared" si="1"/>
        <v>0</v>
      </c>
      <c r="J15" s="66">
        <f t="shared" si="10"/>
        <v>0</v>
      </c>
      <c r="K15" s="534">
        <f t="shared" si="11"/>
        <v>2462</v>
      </c>
      <c r="L15" s="52">
        <f t="shared" si="12"/>
        <v>0</v>
      </c>
      <c r="M15" s="534">
        <f t="shared" si="42"/>
        <v>183267</v>
      </c>
      <c r="N15" s="379">
        <f t="shared" si="2"/>
        <v>0</v>
      </c>
      <c r="O15" s="64">
        <f t="shared" si="3"/>
        <v>1869</v>
      </c>
      <c r="P15" s="534">
        <f>P14</f>
        <v>2231</v>
      </c>
      <c r="Q15" s="534">
        <f t="shared" ref="Q15:Q35" si="44">Q14</f>
        <v>186461</v>
      </c>
      <c r="R15" s="378">
        <f t="shared" si="43"/>
        <v>0</v>
      </c>
      <c r="S15" s="52">
        <f t="shared" si="5"/>
        <v>0</v>
      </c>
      <c r="T15" s="67">
        <f t="shared" si="30"/>
        <v>0</v>
      </c>
      <c r="U15" s="385">
        <f t="shared" si="13"/>
        <v>0</v>
      </c>
      <c r="V15" s="62">
        <f t="shared" si="14"/>
        <v>0</v>
      </c>
      <c r="W15" s="383" t="e">
        <f t="shared" si="15"/>
        <v>#DIV/0!</v>
      </c>
      <c r="X15" s="534">
        <v>2495</v>
      </c>
      <c r="Y15" s="52">
        <f t="shared" si="16"/>
        <v>0</v>
      </c>
      <c r="Z15" s="534">
        <f t="shared" si="31"/>
        <v>141295</v>
      </c>
      <c r="AA15" s="65">
        <f t="shared" si="6"/>
        <v>0</v>
      </c>
      <c r="AB15" s="272">
        <f t="shared" si="32"/>
        <v>0</v>
      </c>
      <c r="AC15" s="534">
        <f t="shared" si="17"/>
        <v>1948</v>
      </c>
      <c r="AD15" s="45">
        <f t="shared" si="7"/>
        <v>0</v>
      </c>
      <c r="AE15" s="534">
        <v>366639</v>
      </c>
      <c r="AF15" s="292">
        <f t="shared" si="18"/>
        <v>0</v>
      </c>
      <c r="AG15" s="209">
        <f t="shared" si="34"/>
        <v>0</v>
      </c>
      <c r="AH15" s="62">
        <f t="shared" si="35"/>
        <v>0</v>
      </c>
      <c r="AI15" s="302">
        <f t="shared" si="19"/>
        <v>0</v>
      </c>
      <c r="AJ15" s="302">
        <f>-tanks!AW16</f>
        <v>0</v>
      </c>
      <c r="AK15" s="302">
        <f t="shared" si="20"/>
        <v>0</v>
      </c>
      <c r="AL15" s="302">
        <f t="shared" si="8"/>
        <v>0</v>
      </c>
      <c r="AM15" s="302">
        <f t="shared" si="21"/>
        <v>0</v>
      </c>
      <c r="AN15" s="534">
        <f t="shared" si="22"/>
        <v>65</v>
      </c>
      <c r="AO15" s="304">
        <f t="shared" si="23"/>
        <v>1950</v>
      </c>
      <c r="AP15" s="534">
        <f t="shared" si="24"/>
        <v>35</v>
      </c>
      <c r="AQ15" s="304">
        <f t="shared" si="25"/>
        <v>1050</v>
      </c>
      <c r="AR15" s="534">
        <f t="shared" si="26"/>
        <v>73</v>
      </c>
      <c r="AS15" s="304">
        <f t="shared" si="36"/>
        <v>2190</v>
      </c>
      <c r="AT15" s="304">
        <f t="shared" si="37"/>
        <v>5190</v>
      </c>
      <c r="AU15" s="304">
        <f t="shared" si="38"/>
        <v>0</v>
      </c>
      <c r="AV15" s="259"/>
      <c r="AW15" s="259"/>
      <c r="AX15" s="297">
        <f t="shared" si="27"/>
        <v>0.8</v>
      </c>
    </row>
    <row r="16" spans="1:52">
      <c r="A16" s="63">
        <f>ELEC!C15</f>
        <v>44846</v>
      </c>
      <c r="B16" s="534">
        <v>238</v>
      </c>
      <c r="C16" s="534">
        <v>244</v>
      </c>
      <c r="D16" s="45">
        <f t="shared" si="28"/>
        <v>-18</v>
      </c>
      <c r="E16" s="45">
        <f t="shared" si="9"/>
        <v>-150.84</v>
      </c>
      <c r="F16" s="534">
        <f t="shared" si="29"/>
        <v>2290</v>
      </c>
      <c r="G16" s="52">
        <f t="shared" si="0"/>
        <v>0</v>
      </c>
      <c r="H16" s="534">
        <f t="shared" si="39"/>
        <v>47085</v>
      </c>
      <c r="I16" s="379">
        <f t="shared" si="1"/>
        <v>0</v>
      </c>
      <c r="J16" s="66">
        <f t="shared" si="10"/>
        <v>0</v>
      </c>
      <c r="K16" s="534">
        <v>2464</v>
      </c>
      <c r="L16" s="52">
        <f t="shared" si="12"/>
        <v>2</v>
      </c>
      <c r="M16" s="534">
        <v>183439</v>
      </c>
      <c r="N16" s="379">
        <f t="shared" si="2"/>
        <v>172</v>
      </c>
      <c r="O16" s="64">
        <f t="shared" si="3"/>
        <v>1869</v>
      </c>
      <c r="P16" s="534">
        <f t="shared" si="3"/>
        <v>2231</v>
      </c>
      <c r="Q16" s="534">
        <f t="shared" si="44"/>
        <v>186461</v>
      </c>
      <c r="R16" s="378">
        <f t="shared" si="43"/>
        <v>0</v>
      </c>
      <c r="S16" s="52">
        <f t="shared" si="5"/>
        <v>0</v>
      </c>
      <c r="T16" s="67">
        <f t="shared" si="30"/>
        <v>0</v>
      </c>
      <c r="U16" s="385">
        <f t="shared" si="13"/>
        <v>2</v>
      </c>
      <c r="V16" s="62">
        <f t="shared" si="14"/>
        <v>172</v>
      </c>
      <c r="W16" s="383">
        <f t="shared" si="15"/>
        <v>86</v>
      </c>
      <c r="X16" s="534">
        <v>2495</v>
      </c>
      <c r="Y16" s="52">
        <f t="shared" si="16"/>
        <v>0</v>
      </c>
      <c r="Z16" s="534">
        <f t="shared" si="31"/>
        <v>141295</v>
      </c>
      <c r="AA16" s="65">
        <f t="shared" si="6"/>
        <v>0</v>
      </c>
      <c r="AB16" s="272">
        <f t="shared" si="32"/>
        <v>0</v>
      </c>
      <c r="AC16" s="534">
        <f t="shared" si="17"/>
        <v>1948</v>
      </c>
      <c r="AD16" s="45">
        <f t="shared" si="7"/>
        <v>0</v>
      </c>
      <c r="AE16" s="534">
        <v>366639</v>
      </c>
      <c r="AF16" s="292">
        <f t="shared" si="18"/>
        <v>0</v>
      </c>
      <c r="AG16" s="209">
        <f t="shared" si="34"/>
        <v>0</v>
      </c>
      <c r="AH16" s="62">
        <f t="shared" si="35"/>
        <v>0</v>
      </c>
      <c r="AI16" s="302">
        <f t="shared" si="19"/>
        <v>172</v>
      </c>
      <c r="AJ16" s="302">
        <f>-tanks!AW17</f>
        <v>172</v>
      </c>
      <c r="AK16" s="302">
        <f t="shared" si="20"/>
        <v>0</v>
      </c>
      <c r="AL16" s="302">
        <f t="shared" si="8"/>
        <v>2</v>
      </c>
      <c r="AM16" s="302">
        <f t="shared" si="21"/>
        <v>0</v>
      </c>
      <c r="AN16" s="534">
        <f t="shared" si="22"/>
        <v>65</v>
      </c>
      <c r="AO16" s="304">
        <f t="shared" si="23"/>
        <v>1950</v>
      </c>
      <c r="AP16" s="534">
        <f t="shared" si="24"/>
        <v>35</v>
      </c>
      <c r="AQ16" s="304">
        <f t="shared" si="25"/>
        <v>1050</v>
      </c>
      <c r="AR16" s="534">
        <f t="shared" si="26"/>
        <v>73</v>
      </c>
      <c r="AS16" s="304">
        <f t="shared" si="36"/>
        <v>2190</v>
      </c>
      <c r="AT16" s="304">
        <f t="shared" si="37"/>
        <v>5190</v>
      </c>
      <c r="AU16" s="304">
        <f t="shared" si="38"/>
        <v>0</v>
      </c>
      <c r="AV16" s="259"/>
      <c r="AW16" s="259"/>
      <c r="AX16" s="297">
        <f t="shared" si="27"/>
        <v>0.8</v>
      </c>
    </row>
    <row r="17" spans="1:50">
      <c r="A17" s="63">
        <f>ELEC!C16</f>
        <v>44847</v>
      </c>
      <c r="B17" s="534">
        <f t="shared" si="40"/>
        <v>238</v>
      </c>
      <c r="C17" s="534">
        <f t="shared" si="41"/>
        <v>244</v>
      </c>
      <c r="D17" s="45">
        <f t="shared" si="28"/>
        <v>0</v>
      </c>
      <c r="E17" s="45">
        <f t="shared" si="9"/>
        <v>0</v>
      </c>
      <c r="F17" s="534">
        <f t="shared" si="29"/>
        <v>2290</v>
      </c>
      <c r="G17" s="52">
        <f t="shared" si="0"/>
        <v>0</v>
      </c>
      <c r="H17" s="534">
        <f t="shared" si="39"/>
        <v>47085</v>
      </c>
      <c r="I17" s="379">
        <f t="shared" si="1"/>
        <v>0</v>
      </c>
      <c r="J17" s="66">
        <f t="shared" si="10"/>
        <v>0</v>
      </c>
      <c r="K17" s="534">
        <f t="shared" si="11"/>
        <v>2464</v>
      </c>
      <c r="L17" s="52">
        <f t="shared" si="12"/>
        <v>0</v>
      </c>
      <c r="M17" s="534">
        <f t="shared" si="42"/>
        <v>183439</v>
      </c>
      <c r="N17" s="379">
        <f t="shared" si="2"/>
        <v>0</v>
      </c>
      <c r="O17" s="64">
        <f t="shared" si="3"/>
        <v>1869</v>
      </c>
      <c r="P17" s="534">
        <f t="shared" si="3"/>
        <v>2231</v>
      </c>
      <c r="Q17" s="534">
        <f t="shared" si="44"/>
        <v>186461</v>
      </c>
      <c r="R17" s="378">
        <f t="shared" si="43"/>
        <v>0</v>
      </c>
      <c r="S17" s="52">
        <f t="shared" si="5"/>
        <v>0</v>
      </c>
      <c r="T17" s="67">
        <f t="shared" si="30"/>
        <v>0</v>
      </c>
      <c r="U17" s="385">
        <f t="shared" si="13"/>
        <v>0</v>
      </c>
      <c r="V17" s="62">
        <f t="shared" si="14"/>
        <v>0</v>
      </c>
      <c r="W17" s="383"/>
      <c r="X17" s="534">
        <v>2495</v>
      </c>
      <c r="Y17" s="52">
        <f t="shared" si="16"/>
        <v>0</v>
      </c>
      <c r="Z17" s="534">
        <f t="shared" si="31"/>
        <v>141295</v>
      </c>
      <c r="AA17" s="65">
        <f t="shared" si="6"/>
        <v>0</v>
      </c>
      <c r="AB17" s="272">
        <f t="shared" si="32"/>
        <v>0</v>
      </c>
      <c r="AC17" s="534">
        <f t="shared" si="17"/>
        <v>1948</v>
      </c>
      <c r="AD17" s="45">
        <f t="shared" si="7"/>
        <v>0</v>
      </c>
      <c r="AE17" s="534">
        <v>366639</v>
      </c>
      <c r="AF17" s="292">
        <f t="shared" si="18"/>
        <v>0</v>
      </c>
      <c r="AG17" s="209">
        <f t="shared" si="34"/>
        <v>0</v>
      </c>
      <c r="AH17" s="62">
        <f t="shared" si="35"/>
        <v>0</v>
      </c>
      <c r="AI17" s="302">
        <f t="shared" si="19"/>
        <v>0</v>
      </c>
      <c r="AJ17" s="302">
        <f>-tanks!AW18</f>
        <v>0</v>
      </c>
      <c r="AK17" s="302">
        <f t="shared" si="20"/>
        <v>0</v>
      </c>
      <c r="AL17" s="302">
        <f t="shared" si="8"/>
        <v>0</v>
      </c>
      <c r="AM17" s="302">
        <f t="shared" si="21"/>
        <v>0</v>
      </c>
      <c r="AN17" s="534">
        <f t="shared" si="22"/>
        <v>65</v>
      </c>
      <c r="AO17" s="304">
        <f t="shared" si="23"/>
        <v>1950</v>
      </c>
      <c r="AP17" s="534">
        <f t="shared" si="24"/>
        <v>35</v>
      </c>
      <c r="AQ17" s="304">
        <f t="shared" si="25"/>
        <v>1050</v>
      </c>
      <c r="AR17" s="534">
        <f t="shared" si="26"/>
        <v>73</v>
      </c>
      <c r="AS17" s="304">
        <f t="shared" si="36"/>
        <v>2190</v>
      </c>
      <c r="AT17" s="304">
        <f t="shared" si="37"/>
        <v>5190</v>
      </c>
      <c r="AU17" s="304">
        <f t="shared" si="38"/>
        <v>0</v>
      </c>
      <c r="AV17" s="259"/>
      <c r="AW17" s="259"/>
      <c r="AX17" s="297">
        <f t="shared" si="27"/>
        <v>0.8</v>
      </c>
    </row>
    <row r="18" spans="1:50">
      <c r="A18" s="63">
        <f>ELEC!C17</f>
        <v>44848</v>
      </c>
      <c r="B18" s="534">
        <f t="shared" si="40"/>
        <v>238</v>
      </c>
      <c r="C18" s="534">
        <f t="shared" si="41"/>
        <v>244</v>
      </c>
      <c r="D18" s="45">
        <f t="shared" si="28"/>
        <v>0</v>
      </c>
      <c r="E18" s="45">
        <f t="shared" si="9"/>
        <v>0</v>
      </c>
      <c r="F18" s="534">
        <f t="shared" si="29"/>
        <v>2290</v>
      </c>
      <c r="G18" s="52">
        <f t="shared" si="0"/>
        <v>0</v>
      </c>
      <c r="H18" s="534">
        <f t="shared" si="39"/>
        <v>47085</v>
      </c>
      <c r="I18" s="379">
        <f t="shared" si="1"/>
        <v>0</v>
      </c>
      <c r="J18" s="66">
        <f t="shared" si="10"/>
        <v>0</v>
      </c>
      <c r="K18" s="534">
        <f t="shared" si="11"/>
        <v>2464</v>
      </c>
      <c r="L18" s="52">
        <f t="shared" si="12"/>
        <v>0</v>
      </c>
      <c r="M18" s="534">
        <f t="shared" si="42"/>
        <v>183439</v>
      </c>
      <c r="N18" s="379">
        <f t="shared" si="2"/>
        <v>0</v>
      </c>
      <c r="O18" s="64">
        <v>1869</v>
      </c>
      <c r="P18" s="534">
        <f>P17</f>
        <v>2231</v>
      </c>
      <c r="Q18" s="534">
        <f t="shared" si="44"/>
        <v>186461</v>
      </c>
      <c r="R18" s="378">
        <f t="shared" si="43"/>
        <v>0</v>
      </c>
      <c r="S18" s="52">
        <f t="shared" si="5"/>
        <v>0</v>
      </c>
      <c r="T18" s="67">
        <f t="shared" si="30"/>
        <v>0</v>
      </c>
      <c r="U18" s="385">
        <f t="shared" si="13"/>
        <v>0</v>
      </c>
      <c r="V18" s="62">
        <f t="shared" si="14"/>
        <v>0</v>
      </c>
      <c r="W18" s="383"/>
      <c r="X18" s="534">
        <v>2495</v>
      </c>
      <c r="Y18" s="52">
        <f t="shared" si="16"/>
        <v>0</v>
      </c>
      <c r="Z18" s="534">
        <f t="shared" si="31"/>
        <v>141295</v>
      </c>
      <c r="AA18" s="65">
        <f t="shared" si="6"/>
        <v>0</v>
      </c>
      <c r="AB18" s="272">
        <f t="shared" ref="AB18:AB23" si="45">SUM(Y18*$AB$2)</f>
        <v>0</v>
      </c>
      <c r="AC18" s="534">
        <f t="shared" si="17"/>
        <v>1948</v>
      </c>
      <c r="AD18" s="45">
        <f t="shared" si="7"/>
        <v>0</v>
      </c>
      <c r="AE18" s="534">
        <v>366639</v>
      </c>
      <c r="AF18" s="292">
        <f t="shared" si="18"/>
        <v>0</v>
      </c>
      <c r="AG18" s="209">
        <f t="shared" si="34"/>
        <v>0</v>
      </c>
      <c r="AH18" s="62">
        <f t="shared" si="35"/>
        <v>0</v>
      </c>
      <c r="AI18" s="302">
        <f t="shared" si="19"/>
        <v>0</v>
      </c>
      <c r="AJ18" s="302">
        <f>-tanks!AW19</f>
        <v>0</v>
      </c>
      <c r="AK18" s="302">
        <f t="shared" si="20"/>
        <v>0</v>
      </c>
      <c r="AL18" s="302">
        <f t="shared" si="8"/>
        <v>0</v>
      </c>
      <c r="AM18" s="302">
        <f t="shared" si="21"/>
        <v>0</v>
      </c>
      <c r="AN18" s="534">
        <f t="shared" si="22"/>
        <v>65</v>
      </c>
      <c r="AO18" s="304">
        <f t="shared" si="23"/>
        <v>1950</v>
      </c>
      <c r="AP18" s="534">
        <f t="shared" si="24"/>
        <v>35</v>
      </c>
      <c r="AQ18" s="304">
        <f t="shared" si="25"/>
        <v>1050</v>
      </c>
      <c r="AR18" s="534">
        <f t="shared" si="26"/>
        <v>73</v>
      </c>
      <c r="AS18" s="304">
        <f t="shared" si="36"/>
        <v>2190</v>
      </c>
      <c r="AT18" s="304">
        <f t="shared" si="37"/>
        <v>5190</v>
      </c>
      <c r="AU18" s="304">
        <f t="shared" si="38"/>
        <v>0</v>
      </c>
      <c r="AV18" s="259"/>
      <c r="AW18" s="259"/>
      <c r="AX18" s="297">
        <f t="shared" si="27"/>
        <v>0.8</v>
      </c>
    </row>
    <row r="19" spans="1:50">
      <c r="A19" s="63">
        <f>ELEC!C18</f>
        <v>44849</v>
      </c>
      <c r="B19" s="534">
        <f t="shared" si="40"/>
        <v>238</v>
      </c>
      <c r="C19" s="534">
        <f t="shared" si="41"/>
        <v>244</v>
      </c>
      <c r="D19" s="45">
        <f t="shared" si="28"/>
        <v>0</v>
      </c>
      <c r="E19" s="45">
        <f t="shared" si="9"/>
        <v>0</v>
      </c>
      <c r="F19" s="534">
        <f t="shared" si="29"/>
        <v>2290</v>
      </c>
      <c r="G19" s="52">
        <f t="shared" si="0"/>
        <v>0</v>
      </c>
      <c r="H19" s="534">
        <f t="shared" si="39"/>
        <v>47085</v>
      </c>
      <c r="I19" s="379">
        <f t="shared" si="1"/>
        <v>0</v>
      </c>
      <c r="J19" s="66">
        <f t="shared" si="10"/>
        <v>0</v>
      </c>
      <c r="K19" s="534">
        <f t="shared" si="11"/>
        <v>2464</v>
      </c>
      <c r="L19" s="52">
        <f t="shared" si="12"/>
        <v>0</v>
      </c>
      <c r="M19" s="534">
        <f t="shared" si="42"/>
        <v>183439</v>
      </c>
      <c r="N19" s="379">
        <f t="shared" si="2"/>
        <v>0</v>
      </c>
      <c r="O19" s="64">
        <f t="shared" ref="O19:O35" si="46">O18</f>
        <v>1869</v>
      </c>
      <c r="P19" s="534">
        <f t="shared" ref="P19:P35" si="47">P18</f>
        <v>2231</v>
      </c>
      <c r="Q19" s="534">
        <f t="shared" si="44"/>
        <v>186461</v>
      </c>
      <c r="R19" s="378">
        <f t="shared" si="43"/>
        <v>0</v>
      </c>
      <c r="S19" s="52">
        <f t="shared" si="5"/>
        <v>0</v>
      </c>
      <c r="T19" s="67">
        <f t="shared" si="30"/>
        <v>0</v>
      </c>
      <c r="U19" s="385">
        <f t="shared" si="13"/>
        <v>0</v>
      </c>
      <c r="V19" s="62">
        <f t="shared" si="14"/>
        <v>0</v>
      </c>
      <c r="W19" s="383"/>
      <c r="X19" s="534">
        <v>2495</v>
      </c>
      <c r="Y19" s="52">
        <f t="shared" si="16"/>
        <v>0</v>
      </c>
      <c r="Z19" s="534">
        <f t="shared" si="31"/>
        <v>141295</v>
      </c>
      <c r="AA19" s="65">
        <f t="shared" si="6"/>
        <v>0</v>
      </c>
      <c r="AB19" s="272">
        <f t="shared" si="45"/>
        <v>0</v>
      </c>
      <c r="AC19" s="534">
        <f t="shared" si="17"/>
        <v>1948</v>
      </c>
      <c r="AD19" s="45">
        <f t="shared" si="7"/>
        <v>0</v>
      </c>
      <c r="AE19" s="534">
        <v>366639</v>
      </c>
      <c r="AF19" s="292">
        <f t="shared" si="18"/>
        <v>0</v>
      </c>
      <c r="AG19" s="209">
        <f t="shared" si="34"/>
        <v>0</v>
      </c>
      <c r="AH19" s="62">
        <f t="shared" si="35"/>
        <v>0</v>
      </c>
      <c r="AI19" s="302">
        <f t="shared" si="19"/>
        <v>0</v>
      </c>
      <c r="AJ19" s="302">
        <f>-tanks!AW20</f>
        <v>0</v>
      </c>
      <c r="AK19" s="302">
        <f t="shared" si="20"/>
        <v>0</v>
      </c>
      <c r="AL19" s="302">
        <f t="shared" si="8"/>
        <v>0</v>
      </c>
      <c r="AM19" s="302">
        <f t="shared" si="21"/>
        <v>0</v>
      </c>
      <c r="AN19" s="534">
        <f t="shared" si="22"/>
        <v>65</v>
      </c>
      <c r="AO19" s="304">
        <f t="shared" si="23"/>
        <v>1950</v>
      </c>
      <c r="AP19" s="534">
        <f t="shared" si="24"/>
        <v>35</v>
      </c>
      <c r="AQ19" s="304">
        <f t="shared" si="25"/>
        <v>1050</v>
      </c>
      <c r="AR19" s="534">
        <f t="shared" si="26"/>
        <v>73</v>
      </c>
      <c r="AS19" s="304">
        <f t="shared" si="36"/>
        <v>2190</v>
      </c>
      <c r="AT19" s="304">
        <f t="shared" si="37"/>
        <v>5190</v>
      </c>
      <c r="AU19" s="304">
        <f t="shared" si="38"/>
        <v>0</v>
      </c>
      <c r="AV19" s="259"/>
      <c r="AW19" s="259"/>
      <c r="AX19" s="297">
        <f t="shared" si="27"/>
        <v>0.8</v>
      </c>
    </row>
    <row r="20" spans="1:50">
      <c r="A20" s="63">
        <f>ELEC!C19</f>
        <v>44850</v>
      </c>
      <c r="B20" s="534">
        <v>231</v>
      </c>
      <c r="C20" s="534">
        <v>237</v>
      </c>
      <c r="D20" s="45">
        <f>C19-C20</f>
        <v>7</v>
      </c>
      <c r="E20" s="45">
        <f t="shared" si="9"/>
        <v>58.660000000000004</v>
      </c>
      <c r="F20" s="534">
        <f t="shared" si="29"/>
        <v>2290</v>
      </c>
      <c r="G20" s="52">
        <f t="shared" si="0"/>
        <v>0</v>
      </c>
      <c r="H20" s="534">
        <v>47100</v>
      </c>
      <c r="I20" s="379">
        <f t="shared" si="1"/>
        <v>15</v>
      </c>
      <c r="J20" s="66">
        <f t="shared" si="10"/>
        <v>0</v>
      </c>
      <c r="K20" s="534">
        <v>2467</v>
      </c>
      <c r="L20" s="52">
        <f t="shared" si="12"/>
        <v>3</v>
      </c>
      <c r="M20" s="534">
        <v>183675</v>
      </c>
      <c r="N20" s="379">
        <f t="shared" si="2"/>
        <v>236</v>
      </c>
      <c r="O20" s="64">
        <f t="shared" si="46"/>
        <v>1869</v>
      </c>
      <c r="P20" s="534">
        <f t="shared" si="47"/>
        <v>2231</v>
      </c>
      <c r="Q20" s="534">
        <f t="shared" si="44"/>
        <v>186461</v>
      </c>
      <c r="R20" s="378">
        <f t="shared" si="43"/>
        <v>0</v>
      </c>
      <c r="S20" s="52">
        <f t="shared" si="5"/>
        <v>0</v>
      </c>
      <c r="T20" s="67">
        <f t="shared" si="30"/>
        <v>0</v>
      </c>
      <c r="U20" s="385">
        <f t="shared" si="13"/>
        <v>3</v>
      </c>
      <c r="V20" s="62">
        <f t="shared" si="14"/>
        <v>251</v>
      </c>
      <c r="W20" s="383"/>
      <c r="X20" s="534">
        <v>2497</v>
      </c>
      <c r="Y20" s="52">
        <f t="shared" si="16"/>
        <v>2</v>
      </c>
      <c r="Z20" s="534">
        <v>141349</v>
      </c>
      <c r="AA20" s="65">
        <f t="shared" si="6"/>
        <v>54</v>
      </c>
      <c r="AB20" s="272">
        <f t="shared" si="45"/>
        <v>0</v>
      </c>
      <c r="AC20" s="534">
        <f t="shared" si="17"/>
        <v>1948</v>
      </c>
      <c r="AD20" s="45">
        <f t="shared" si="7"/>
        <v>0</v>
      </c>
      <c r="AE20" s="534">
        <v>366639</v>
      </c>
      <c r="AF20" s="292">
        <f t="shared" si="18"/>
        <v>0</v>
      </c>
      <c r="AG20" s="209">
        <f t="shared" si="34"/>
        <v>0</v>
      </c>
      <c r="AH20" s="62">
        <f t="shared" si="35"/>
        <v>54</v>
      </c>
      <c r="AI20" s="302">
        <f t="shared" si="19"/>
        <v>305</v>
      </c>
      <c r="AJ20" s="302">
        <f>-tanks!AW21</f>
        <v>305</v>
      </c>
      <c r="AK20" s="302">
        <f t="shared" si="20"/>
        <v>0</v>
      </c>
      <c r="AL20" s="302">
        <f t="shared" si="8"/>
        <v>3</v>
      </c>
      <c r="AM20" s="302">
        <f t="shared" si="21"/>
        <v>2</v>
      </c>
      <c r="AN20" s="534">
        <f t="shared" si="22"/>
        <v>65</v>
      </c>
      <c r="AO20" s="304">
        <f t="shared" si="23"/>
        <v>1950</v>
      </c>
      <c r="AP20" s="534">
        <f t="shared" si="24"/>
        <v>35</v>
      </c>
      <c r="AQ20" s="304">
        <f t="shared" si="25"/>
        <v>1050</v>
      </c>
      <c r="AR20" s="534">
        <f t="shared" si="26"/>
        <v>73</v>
      </c>
      <c r="AS20" s="304">
        <f t="shared" si="36"/>
        <v>2190</v>
      </c>
      <c r="AT20" s="304">
        <f t="shared" si="37"/>
        <v>5190</v>
      </c>
      <c r="AU20" s="304">
        <f t="shared" si="38"/>
        <v>0</v>
      </c>
      <c r="AV20" s="259"/>
      <c r="AW20" s="259"/>
      <c r="AX20" s="297">
        <f t="shared" si="27"/>
        <v>0.8</v>
      </c>
    </row>
    <row r="21" spans="1:50">
      <c r="A21" s="63">
        <f>ELEC!C20</f>
        <v>44851</v>
      </c>
      <c r="B21" s="534">
        <v>228</v>
      </c>
      <c r="C21" s="534">
        <v>235</v>
      </c>
      <c r="D21" s="45">
        <f t="shared" ref="D21:D32" si="48">C20-C21</f>
        <v>2</v>
      </c>
      <c r="E21" s="45">
        <f t="shared" si="9"/>
        <v>16.760000000000002</v>
      </c>
      <c r="F21" s="534">
        <f t="shared" si="29"/>
        <v>2290</v>
      </c>
      <c r="G21" s="52">
        <f t="shared" si="0"/>
        <v>0</v>
      </c>
      <c r="H21" s="534">
        <v>47100</v>
      </c>
      <c r="I21" s="379">
        <f t="shared" si="1"/>
        <v>0</v>
      </c>
      <c r="J21" s="66">
        <f t="shared" si="10"/>
        <v>0</v>
      </c>
      <c r="K21" s="534">
        <f t="shared" si="11"/>
        <v>2467</v>
      </c>
      <c r="L21" s="52">
        <f t="shared" si="12"/>
        <v>0</v>
      </c>
      <c r="M21" s="534">
        <v>183733</v>
      </c>
      <c r="N21" s="379">
        <f t="shared" si="2"/>
        <v>58</v>
      </c>
      <c r="O21" s="64">
        <f t="shared" si="46"/>
        <v>1869</v>
      </c>
      <c r="P21" s="534">
        <f t="shared" si="47"/>
        <v>2231</v>
      </c>
      <c r="Q21" s="534">
        <v>186471</v>
      </c>
      <c r="R21" s="378">
        <f t="shared" si="43"/>
        <v>10</v>
      </c>
      <c r="S21" s="52">
        <f t="shared" si="5"/>
        <v>0</v>
      </c>
      <c r="T21" s="67">
        <f t="shared" si="30"/>
        <v>0</v>
      </c>
      <c r="U21" s="385">
        <f t="shared" si="13"/>
        <v>0</v>
      </c>
      <c r="V21" s="62">
        <f t="shared" si="14"/>
        <v>68</v>
      </c>
      <c r="W21" s="383"/>
      <c r="X21" s="534">
        <v>2495</v>
      </c>
      <c r="Y21" s="52">
        <f t="shared" si="16"/>
        <v>-2</v>
      </c>
      <c r="Z21" s="534">
        <v>141349</v>
      </c>
      <c r="AA21" s="65">
        <f t="shared" si="6"/>
        <v>0</v>
      </c>
      <c r="AB21" s="272">
        <f t="shared" si="45"/>
        <v>0</v>
      </c>
      <c r="AC21" s="534">
        <f t="shared" si="17"/>
        <v>1948</v>
      </c>
      <c r="AD21" s="45">
        <f t="shared" si="7"/>
        <v>0</v>
      </c>
      <c r="AE21" s="534">
        <v>366687</v>
      </c>
      <c r="AF21" s="292">
        <f t="shared" si="18"/>
        <v>48</v>
      </c>
      <c r="AG21" s="209">
        <f t="shared" si="34"/>
        <v>0</v>
      </c>
      <c r="AH21" s="62">
        <f t="shared" si="35"/>
        <v>48</v>
      </c>
      <c r="AI21" s="302">
        <f t="shared" si="19"/>
        <v>116</v>
      </c>
      <c r="AJ21" s="302">
        <f>-tanks!AW22</f>
        <v>116</v>
      </c>
      <c r="AK21" s="302">
        <f t="shared" si="20"/>
        <v>0</v>
      </c>
      <c r="AL21" s="302">
        <f t="shared" si="8"/>
        <v>0</v>
      </c>
      <c r="AM21" s="302">
        <f t="shared" si="21"/>
        <v>-2</v>
      </c>
      <c r="AN21" s="534">
        <f t="shared" si="22"/>
        <v>65</v>
      </c>
      <c r="AO21" s="304">
        <f t="shared" si="23"/>
        <v>1950</v>
      </c>
      <c r="AP21" s="534">
        <f t="shared" si="24"/>
        <v>35</v>
      </c>
      <c r="AQ21" s="304">
        <f t="shared" si="25"/>
        <v>1050</v>
      </c>
      <c r="AR21" s="534">
        <f t="shared" si="26"/>
        <v>73</v>
      </c>
      <c r="AS21" s="304">
        <f t="shared" si="36"/>
        <v>2190</v>
      </c>
      <c r="AT21" s="304">
        <f t="shared" si="37"/>
        <v>5190</v>
      </c>
      <c r="AU21" s="304">
        <f t="shared" si="38"/>
        <v>0</v>
      </c>
      <c r="AV21" s="259"/>
      <c r="AW21" s="259"/>
      <c r="AX21" s="297">
        <f t="shared" si="27"/>
        <v>0.8</v>
      </c>
    </row>
    <row r="22" spans="1:50" ht="16.5" customHeight="1">
      <c r="A22" s="63">
        <f>ELEC!C21</f>
        <v>44852</v>
      </c>
      <c r="B22" s="534">
        <v>225</v>
      </c>
      <c r="C22" s="534">
        <v>231</v>
      </c>
      <c r="D22" s="45">
        <f t="shared" si="48"/>
        <v>4</v>
      </c>
      <c r="E22" s="45">
        <f t="shared" si="9"/>
        <v>33.520000000000003</v>
      </c>
      <c r="F22" s="534">
        <f t="shared" si="29"/>
        <v>2290</v>
      </c>
      <c r="G22" s="52">
        <f t="shared" si="0"/>
        <v>0</v>
      </c>
      <c r="H22" s="534">
        <f t="shared" si="39"/>
        <v>47100</v>
      </c>
      <c r="I22" s="379">
        <f t="shared" si="1"/>
        <v>0</v>
      </c>
      <c r="J22" s="66">
        <f t="shared" si="10"/>
        <v>0</v>
      </c>
      <c r="K22" s="534">
        <f t="shared" si="11"/>
        <v>2467</v>
      </c>
      <c r="L22" s="52">
        <f t="shared" si="12"/>
        <v>0</v>
      </c>
      <c r="M22" s="534">
        <f t="shared" si="42"/>
        <v>183733</v>
      </c>
      <c r="N22" s="379">
        <f t="shared" si="2"/>
        <v>0</v>
      </c>
      <c r="O22" s="64">
        <f t="shared" si="46"/>
        <v>1869</v>
      </c>
      <c r="P22" s="534">
        <v>2231</v>
      </c>
      <c r="Q22" s="534">
        <f t="shared" si="44"/>
        <v>186471</v>
      </c>
      <c r="R22" s="378">
        <f t="shared" si="43"/>
        <v>0</v>
      </c>
      <c r="S22" s="52">
        <f t="shared" si="5"/>
        <v>0</v>
      </c>
      <c r="T22" s="67">
        <f t="shared" si="30"/>
        <v>0</v>
      </c>
      <c r="U22" s="385">
        <f t="shared" si="13"/>
        <v>0</v>
      </c>
      <c r="V22" s="62">
        <f t="shared" si="14"/>
        <v>0</v>
      </c>
      <c r="W22" s="383"/>
      <c r="X22" s="534">
        <v>2495</v>
      </c>
      <c r="Y22" s="52">
        <f t="shared" si="16"/>
        <v>0</v>
      </c>
      <c r="Z22" s="534">
        <f t="shared" si="31"/>
        <v>141349</v>
      </c>
      <c r="AA22" s="65">
        <f t="shared" si="6"/>
        <v>0</v>
      </c>
      <c r="AB22" s="272">
        <f t="shared" si="45"/>
        <v>0</v>
      </c>
      <c r="AC22" s="534">
        <f t="shared" si="17"/>
        <v>1948</v>
      </c>
      <c r="AD22" s="45">
        <f t="shared" si="7"/>
        <v>0</v>
      </c>
      <c r="AE22" s="534">
        <v>366687</v>
      </c>
      <c r="AF22" s="292">
        <f t="shared" si="18"/>
        <v>0</v>
      </c>
      <c r="AG22" s="209">
        <f t="shared" si="34"/>
        <v>0</v>
      </c>
      <c r="AH22" s="62">
        <f t="shared" si="35"/>
        <v>0</v>
      </c>
      <c r="AI22" s="302">
        <f t="shared" si="19"/>
        <v>0</v>
      </c>
      <c r="AJ22" s="302">
        <f>-tanks!AW23</f>
        <v>0</v>
      </c>
      <c r="AK22" s="302">
        <f t="shared" si="20"/>
        <v>0</v>
      </c>
      <c r="AL22" s="302">
        <f t="shared" si="8"/>
        <v>0</v>
      </c>
      <c r="AM22" s="302">
        <f t="shared" si="21"/>
        <v>0</v>
      </c>
      <c r="AN22" s="534">
        <f t="shared" si="22"/>
        <v>65</v>
      </c>
      <c r="AO22" s="304">
        <f t="shared" si="23"/>
        <v>1950</v>
      </c>
      <c r="AP22" s="534">
        <f t="shared" si="24"/>
        <v>35</v>
      </c>
      <c r="AQ22" s="304">
        <f t="shared" si="25"/>
        <v>1050</v>
      </c>
      <c r="AR22" s="534">
        <f t="shared" si="26"/>
        <v>73</v>
      </c>
      <c r="AS22" s="304">
        <f t="shared" si="36"/>
        <v>2190</v>
      </c>
      <c r="AT22" s="304">
        <f t="shared" si="37"/>
        <v>5190</v>
      </c>
      <c r="AU22" s="304">
        <f t="shared" si="38"/>
        <v>0</v>
      </c>
      <c r="AV22" s="259"/>
      <c r="AW22" s="259"/>
      <c r="AX22" s="297">
        <f t="shared" si="27"/>
        <v>0.8</v>
      </c>
    </row>
    <row r="23" spans="1:50">
      <c r="A23" s="63">
        <f>ELEC!C22</f>
        <v>44853</v>
      </c>
      <c r="B23" s="534">
        <v>222</v>
      </c>
      <c r="C23" s="534">
        <v>228</v>
      </c>
      <c r="D23" s="45">
        <f t="shared" si="48"/>
        <v>3</v>
      </c>
      <c r="E23" s="45">
        <f t="shared" si="9"/>
        <v>25.14</v>
      </c>
      <c r="F23" s="534">
        <v>2292</v>
      </c>
      <c r="G23" s="52">
        <f t="shared" si="0"/>
        <v>2</v>
      </c>
      <c r="H23" s="534">
        <v>47207</v>
      </c>
      <c r="I23" s="379">
        <f t="shared" si="1"/>
        <v>107</v>
      </c>
      <c r="J23" s="66">
        <f t="shared" si="10"/>
        <v>53.5</v>
      </c>
      <c r="K23" s="534">
        <f t="shared" si="11"/>
        <v>2467</v>
      </c>
      <c r="L23" s="52">
        <f t="shared" si="12"/>
        <v>0</v>
      </c>
      <c r="M23" s="534">
        <f t="shared" si="42"/>
        <v>183733</v>
      </c>
      <c r="N23" s="379">
        <f t="shared" si="2"/>
        <v>0</v>
      </c>
      <c r="O23" s="64">
        <f t="shared" si="46"/>
        <v>1869</v>
      </c>
      <c r="P23" s="534">
        <f t="shared" si="47"/>
        <v>2231</v>
      </c>
      <c r="Q23" s="534">
        <f t="shared" si="44"/>
        <v>186471</v>
      </c>
      <c r="R23" s="378">
        <f t="shared" si="43"/>
        <v>0</v>
      </c>
      <c r="S23" s="52">
        <f t="shared" si="5"/>
        <v>0</v>
      </c>
      <c r="T23" s="67">
        <f t="shared" si="30"/>
        <v>0</v>
      </c>
      <c r="U23" s="385">
        <f t="shared" si="13"/>
        <v>2</v>
      </c>
      <c r="V23" s="62">
        <f t="shared" si="14"/>
        <v>107</v>
      </c>
      <c r="W23" s="383"/>
      <c r="X23" s="534">
        <v>2495</v>
      </c>
      <c r="Y23" s="52">
        <f t="shared" si="16"/>
        <v>0</v>
      </c>
      <c r="Z23" s="534">
        <f t="shared" si="31"/>
        <v>141349</v>
      </c>
      <c r="AA23" s="65">
        <f t="shared" si="6"/>
        <v>0</v>
      </c>
      <c r="AB23" s="272">
        <f t="shared" si="45"/>
        <v>0</v>
      </c>
      <c r="AC23" s="534">
        <f t="shared" si="17"/>
        <v>1948</v>
      </c>
      <c r="AD23" s="45">
        <f t="shared" si="7"/>
        <v>0</v>
      </c>
      <c r="AE23" s="534">
        <v>366687</v>
      </c>
      <c r="AF23" s="292">
        <f t="shared" si="18"/>
        <v>0</v>
      </c>
      <c r="AG23" s="209">
        <f t="shared" si="34"/>
        <v>0</v>
      </c>
      <c r="AH23" s="62">
        <f t="shared" si="35"/>
        <v>0</v>
      </c>
      <c r="AI23" s="302">
        <f>SUM(AH23+V23)</f>
        <v>107</v>
      </c>
      <c r="AJ23" s="302">
        <f>-tanks!AW24</f>
        <v>107</v>
      </c>
      <c r="AK23" s="302">
        <f>SUM(AJ23-AI23)</f>
        <v>0</v>
      </c>
      <c r="AL23" s="302">
        <f>S23+L23+G23</f>
        <v>2</v>
      </c>
      <c r="AM23" s="302">
        <f>Y23+AD23</f>
        <v>0</v>
      </c>
      <c r="AN23" s="534">
        <f t="shared" si="22"/>
        <v>65</v>
      </c>
      <c r="AO23" s="304">
        <f t="shared" si="23"/>
        <v>1950</v>
      </c>
      <c r="AP23" s="534">
        <f t="shared" si="24"/>
        <v>35</v>
      </c>
      <c r="AQ23" s="304">
        <f t="shared" si="25"/>
        <v>1050</v>
      </c>
      <c r="AR23" s="534">
        <f t="shared" si="26"/>
        <v>73</v>
      </c>
      <c r="AS23" s="304">
        <f t="shared" si="36"/>
        <v>2190</v>
      </c>
      <c r="AT23" s="304">
        <f t="shared" si="37"/>
        <v>5190</v>
      </c>
      <c r="AU23" s="304">
        <f t="shared" si="38"/>
        <v>0</v>
      </c>
      <c r="AV23" s="259"/>
      <c r="AW23" s="259"/>
      <c r="AX23" s="297">
        <f t="shared" si="27"/>
        <v>0.8</v>
      </c>
    </row>
    <row r="24" spans="1:50">
      <c r="A24" s="63">
        <f>ELEC!C23</f>
        <v>44854</v>
      </c>
      <c r="B24" s="534">
        <v>249</v>
      </c>
      <c r="C24" s="534">
        <v>255</v>
      </c>
      <c r="D24" s="45">
        <f t="shared" si="48"/>
        <v>-27</v>
      </c>
      <c r="E24" s="45">
        <f t="shared" si="9"/>
        <v>-226.26000000000002</v>
      </c>
      <c r="F24" s="534">
        <f t="shared" si="29"/>
        <v>2292</v>
      </c>
      <c r="G24" s="52">
        <f t="shared" si="0"/>
        <v>0</v>
      </c>
      <c r="H24" s="534">
        <v>47245</v>
      </c>
      <c r="I24" s="379">
        <f t="shared" si="1"/>
        <v>38</v>
      </c>
      <c r="J24" s="66">
        <f t="shared" si="10"/>
        <v>0</v>
      </c>
      <c r="K24" s="534">
        <f t="shared" si="11"/>
        <v>2467</v>
      </c>
      <c r="L24" s="52">
        <f t="shared" si="12"/>
        <v>0</v>
      </c>
      <c r="M24" s="534">
        <f t="shared" si="42"/>
        <v>183733</v>
      </c>
      <c r="N24" s="379">
        <f t="shared" si="2"/>
        <v>0</v>
      </c>
      <c r="O24" s="64">
        <f t="shared" si="46"/>
        <v>1869</v>
      </c>
      <c r="P24" s="534">
        <f t="shared" si="47"/>
        <v>2231</v>
      </c>
      <c r="Q24" s="534">
        <f t="shared" si="44"/>
        <v>186471</v>
      </c>
      <c r="R24" s="378">
        <f t="shared" si="43"/>
        <v>0</v>
      </c>
      <c r="S24" s="52">
        <f t="shared" si="5"/>
        <v>0</v>
      </c>
      <c r="T24" s="67">
        <f t="shared" si="30"/>
        <v>0</v>
      </c>
      <c r="U24" s="385">
        <f t="shared" si="13"/>
        <v>0</v>
      </c>
      <c r="V24" s="62">
        <f t="shared" si="14"/>
        <v>38</v>
      </c>
      <c r="W24" s="383"/>
      <c r="X24" s="534">
        <v>2495</v>
      </c>
      <c r="Y24" s="52">
        <f t="shared" si="16"/>
        <v>0</v>
      </c>
      <c r="Z24" s="534">
        <f t="shared" si="31"/>
        <v>141349</v>
      </c>
      <c r="AA24" s="65">
        <f t="shared" si="6"/>
        <v>0</v>
      </c>
      <c r="AB24" s="272">
        <f t="shared" ref="AB24:AB32" si="49">SUM(Y24*$AB$2)</f>
        <v>0</v>
      </c>
      <c r="AC24" s="534">
        <f t="shared" si="17"/>
        <v>1948</v>
      </c>
      <c r="AD24" s="45">
        <f t="shared" si="7"/>
        <v>0</v>
      </c>
      <c r="AE24" s="534">
        <v>366687</v>
      </c>
      <c r="AF24" s="292">
        <f t="shared" si="18"/>
        <v>0</v>
      </c>
      <c r="AG24" s="209">
        <f t="shared" si="34"/>
        <v>0</v>
      </c>
      <c r="AH24" s="62">
        <f t="shared" si="35"/>
        <v>0</v>
      </c>
      <c r="AI24" s="302">
        <f t="shared" si="19"/>
        <v>38</v>
      </c>
      <c r="AJ24" s="302">
        <f>-tanks!AW25</f>
        <v>38</v>
      </c>
      <c r="AK24" s="302">
        <f t="shared" si="20"/>
        <v>0</v>
      </c>
      <c r="AL24" s="302">
        <f t="shared" si="8"/>
        <v>0</v>
      </c>
      <c r="AM24" s="302">
        <f t="shared" si="21"/>
        <v>0</v>
      </c>
      <c r="AN24" s="534">
        <f t="shared" si="22"/>
        <v>65</v>
      </c>
      <c r="AO24" s="304">
        <f t="shared" si="23"/>
        <v>1950</v>
      </c>
      <c r="AP24" s="534">
        <f t="shared" si="24"/>
        <v>35</v>
      </c>
      <c r="AQ24" s="304">
        <f t="shared" si="25"/>
        <v>1050</v>
      </c>
      <c r="AR24" s="534">
        <f t="shared" si="26"/>
        <v>73</v>
      </c>
      <c r="AS24" s="304">
        <f t="shared" si="36"/>
        <v>2190</v>
      </c>
      <c r="AT24" s="304">
        <f t="shared" ref="AT24:AT35" si="50">SUM(AO24+AQ24+AS24)</f>
        <v>5190</v>
      </c>
      <c r="AU24" s="304">
        <f t="shared" si="38"/>
        <v>0</v>
      </c>
      <c r="AV24" s="259"/>
      <c r="AW24" s="259"/>
      <c r="AX24" s="297">
        <f t="shared" si="27"/>
        <v>0.8</v>
      </c>
    </row>
    <row r="25" spans="1:50" ht="13.5" customHeight="1">
      <c r="A25" s="63">
        <f>ELEC!C24</f>
        <v>44855</v>
      </c>
      <c r="B25" s="534">
        <f t="shared" si="40"/>
        <v>249</v>
      </c>
      <c r="C25" s="534">
        <f t="shared" si="41"/>
        <v>255</v>
      </c>
      <c r="D25" s="45">
        <f t="shared" si="48"/>
        <v>0</v>
      </c>
      <c r="E25" s="45">
        <f t="shared" si="9"/>
        <v>0</v>
      </c>
      <c r="F25" s="534">
        <f t="shared" si="29"/>
        <v>2292</v>
      </c>
      <c r="G25" s="52">
        <f t="shared" si="0"/>
        <v>0</v>
      </c>
      <c r="H25" s="534">
        <f t="shared" si="39"/>
        <v>47245</v>
      </c>
      <c r="I25" s="379">
        <f t="shared" si="1"/>
        <v>0</v>
      </c>
      <c r="J25" s="66">
        <f t="shared" si="10"/>
        <v>0</v>
      </c>
      <c r="K25" s="534">
        <f t="shared" si="11"/>
        <v>2467</v>
      </c>
      <c r="L25" s="52">
        <f t="shared" si="12"/>
        <v>0</v>
      </c>
      <c r="M25" s="534">
        <f t="shared" si="42"/>
        <v>183733</v>
      </c>
      <c r="N25" s="379">
        <f t="shared" si="2"/>
        <v>0</v>
      </c>
      <c r="O25" s="64">
        <f t="shared" si="46"/>
        <v>1869</v>
      </c>
      <c r="P25" s="534">
        <f t="shared" si="47"/>
        <v>2231</v>
      </c>
      <c r="Q25" s="534">
        <f t="shared" si="44"/>
        <v>186471</v>
      </c>
      <c r="R25" s="378">
        <f t="shared" si="43"/>
        <v>0</v>
      </c>
      <c r="S25" s="52">
        <f t="shared" si="5"/>
        <v>0</v>
      </c>
      <c r="T25" s="67">
        <f t="shared" si="30"/>
        <v>0</v>
      </c>
      <c r="U25" s="385">
        <f t="shared" si="13"/>
        <v>0</v>
      </c>
      <c r="V25" s="62">
        <f t="shared" si="14"/>
        <v>0</v>
      </c>
      <c r="W25" s="383"/>
      <c r="X25" s="534">
        <v>2495</v>
      </c>
      <c r="Y25" s="52">
        <f t="shared" si="16"/>
        <v>0</v>
      </c>
      <c r="Z25" s="534">
        <f t="shared" si="31"/>
        <v>141349</v>
      </c>
      <c r="AA25" s="65">
        <f t="shared" si="6"/>
        <v>0</v>
      </c>
      <c r="AB25" s="272">
        <f t="shared" si="49"/>
        <v>0</v>
      </c>
      <c r="AC25" s="534">
        <f t="shared" si="17"/>
        <v>1948</v>
      </c>
      <c r="AD25" s="45">
        <f t="shared" si="7"/>
        <v>0</v>
      </c>
      <c r="AE25" s="534">
        <v>366687</v>
      </c>
      <c r="AF25" s="292">
        <f t="shared" si="18"/>
        <v>0</v>
      </c>
      <c r="AG25" s="209">
        <f t="shared" si="34"/>
        <v>0</v>
      </c>
      <c r="AH25" s="62">
        <f t="shared" si="35"/>
        <v>0</v>
      </c>
      <c r="AI25" s="302">
        <f t="shared" si="19"/>
        <v>0</v>
      </c>
      <c r="AJ25" s="302">
        <f>-tanks!AW26</f>
        <v>0</v>
      </c>
      <c r="AK25" s="302">
        <f t="shared" si="20"/>
        <v>0</v>
      </c>
      <c r="AL25" s="302">
        <f t="shared" si="8"/>
        <v>0</v>
      </c>
      <c r="AM25" s="302">
        <f>Y25+AD25</f>
        <v>0</v>
      </c>
      <c r="AN25" s="534">
        <f t="shared" si="22"/>
        <v>65</v>
      </c>
      <c r="AO25" s="304">
        <f t="shared" si="23"/>
        <v>1950</v>
      </c>
      <c r="AP25" s="534">
        <f t="shared" si="24"/>
        <v>35</v>
      </c>
      <c r="AQ25" s="304">
        <f t="shared" ref="AQ25:AQ32" si="51">(AP25/100)*3000</f>
        <v>1050</v>
      </c>
      <c r="AR25" s="534">
        <f t="shared" si="26"/>
        <v>73</v>
      </c>
      <c r="AS25" s="304">
        <f t="shared" si="36"/>
        <v>2190</v>
      </c>
      <c r="AT25" s="304">
        <f t="shared" si="50"/>
        <v>5190</v>
      </c>
      <c r="AU25" s="304">
        <f t="shared" si="38"/>
        <v>0</v>
      </c>
      <c r="AV25" s="259"/>
      <c r="AW25" s="259"/>
      <c r="AX25" s="297">
        <f t="shared" si="27"/>
        <v>0.8</v>
      </c>
    </row>
    <row r="26" spans="1:50" ht="14.25" customHeight="1">
      <c r="A26" s="63">
        <f>ELEC!C25</f>
        <v>44856</v>
      </c>
      <c r="B26" s="534">
        <f t="shared" si="40"/>
        <v>249</v>
      </c>
      <c r="C26" s="534">
        <f t="shared" si="41"/>
        <v>255</v>
      </c>
      <c r="D26" s="45">
        <f t="shared" si="48"/>
        <v>0</v>
      </c>
      <c r="E26" s="45">
        <f t="shared" si="9"/>
        <v>0</v>
      </c>
      <c r="F26" s="534">
        <f t="shared" si="29"/>
        <v>2292</v>
      </c>
      <c r="G26" s="52">
        <f t="shared" si="0"/>
        <v>0</v>
      </c>
      <c r="H26" s="534">
        <f t="shared" si="39"/>
        <v>47245</v>
      </c>
      <c r="I26" s="379">
        <f t="shared" si="1"/>
        <v>0</v>
      </c>
      <c r="J26" s="66">
        <f t="shared" si="10"/>
        <v>0</v>
      </c>
      <c r="K26" s="534">
        <f t="shared" si="11"/>
        <v>2467</v>
      </c>
      <c r="L26" s="52">
        <f t="shared" si="12"/>
        <v>0</v>
      </c>
      <c r="M26" s="534">
        <f t="shared" si="42"/>
        <v>183733</v>
      </c>
      <c r="N26" s="379">
        <f t="shared" si="2"/>
        <v>0</v>
      </c>
      <c r="O26" s="64">
        <f t="shared" si="46"/>
        <v>1869</v>
      </c>
      <c r="P26" s="534">
        <f t="shared" si="47"/>
        <v>2231</v>
      </c>
      <c r="Q26" s="534">
        <f t="shared" si="44"/>
        <v>186471</v>
      </c>
      <c r="R26" s="378">
        <f t="shared" si="43"/>
        <v>0</v>
      </c>
      <c r="S26" s="52">
        <f t="shared" si="5"/>
        <v>0</v>
      </c>
      <c r="T26" s="67">
        <f t="shared" si="30"/>
        <v>0</v>
      </c>
      <c r="U26" s="385">
        <f t="shared" si="13"/>
        <v>0</v>
      </c>
      <c r="V26" s="62">
        <f t="shared" si="14"/>
        <v>0</v>
      </c>
      <c r="W26" s="383"/>
      <c r="X26" s="534">
        <v>2495</v>
      </c>
      <c r="Y26" s="52">
        <f t="shared" si="16"/>
        <v>0</v>
      </c>
      <c r="Z26" s="534">
        <f t="shared" si="31"/>
        <v>141349</v>
      </c>
      <c r="AA26" s="65">
        <f t="shared" si="6"/>
        <v>0</v>
      </c>
      <c r="AB26" s="272">
        <f t="shared" si="49"/>
        <v>0</v>
      </c>
      <c r="AC26" s="534">
        <f t="shared" si="17"/>
        <v>1948</v>
      </c>
      <c r="AD26" s="45">
        <f t="shared" si="7"/>
        <v>0</v>
      </c>
      <c r="AE26" s="534">
        <v>366687</v>
      </c>
      <c r="AF26" s="292">
        <f t="shared" si="18"/>
        <v>0</v>
      </c>
      <c r="AG26" s="209">
        <f t="shared" si="34"/>
        <v>0</v>
      </c>
      <c r="AH26" s="62">
        <f t="shared" si="35"/>
        <v>0</v>
      </c>
      <c r="AI26" s="302">
        <f t="shared" si="19"/>
        <v>0</v>
      </c>
      <c r="AJ26" s="302">
        <f>-tanks!AW27</f>
        <v>0</v>
      </c>
      <c r="AK26" s="302">
        <f t="shared" si="20"/>
        <v>0</v>
      </c>
      <c r="AL26" s="302">
        <f t="shared" si="8"/>
        <v>0</v>
      </c>
      <c r="AM26" s="302">
        <f t="shared" si="21"/>
        <v>0</v>
      </c>
      <c r="AN26" s="534">
        <f t="shared" si="22"/>
        <v>65</v>
      </c>
      <c r="AO26" s="304">
        <f>(AN26/100)*3000</f>
        <v>1950</v>
      </c>
      <c r="AP26" s="534">
        <f t="shared" si="24"/>
        <v>35</v>
      </c>
      <c r="AQ26" s="304">
        <f t="shared" si="51"/>
        <v>1050</v>
      </c>
      <c r="AR26" s="534">
        <f t="shared" si="26"/>
        <v>73</v>
      </c>
      <c r="AS26" s="304">
        <f t="shared" si="36"/>
        <v>2190</v>
      </c>
      <c r="AT26" s="304">
        <f>SUM(AO26+AQ26+AS26)</f>
        <v>5190</v>
      </c>
      <c r="AU26" s="304">
        <f>AT25-AT26+AV26</f>
        <v>0</v>
      </c>
      <c r="AV26" s="259"/>
      <c r="AW26" s="259"/>
      <c r="AX26" s="297">
        <f t="shared" si="27"/>
        <v>0.8</v>
      </c>
    </row>
    <row r="27" spans="1:50">
      <c r="A27" s="63">
        <f>ELEC!C26</f>
        <v>44857</v>
      </c>
      <c r="B27" s="534">
        <v>244</v>
      </c>
      <c r="C27" s="534">
        <v>250</v>
      </c>
      <c r="D27" s="45">
        <f t="shared" si="48"/>
        <v>5</v>
      </c>
      <c r="E27" s="45">
        <f t="shared" si="9"/>
        <v>41.900000000000006</v>
      </c>
      <c r="F27" s="534">
        <v>2295</v>
      </c>
      <c r="G27" s="52">
        <f t="shared" si="0"/>
        <v>3</v>
      </c>
      <c r="H27" s="534">
        <v>47435</v>
      </c>
      <c r="I27" s="379">
        <f t="shared" si="1"/>
        <v>190</v>
      </c>
      <c r="J27" s="66">
        <f t="shared" si="10"/>
        <v>63.333333333333336</v>
      </c>
      <c r="K27" s="534">
        <f t="shared" si="11"/>
        <v>2467</v>
      </c>
      <c r="L27" s="52">
        <f t="shared" si="12"/>
        <v>0</v>
      </c>
      <c r="M27" s="534">
        <f t="shared" si="42"/>
        <v>183733</v>
      </c>
      <c r="N27" s="379">
        <f t="shared" si="2"/>
        <v>0</v>
      </c>
      <c r="O27" s="64">
        <f t="shared" si="46"/>
        <v>1869</v>
      </c>
      <c r="P27" s="534">
        <f t="shared" si="47"/>
        <v>2231</v>
      </c>
      <c r="Q27" s="534">
        <f t="shared" si="44"/>
        <v>186471</v>
      </c>
      <c r="R27" s="378">
        <f t="shared" si="43"/>
        <v>0</v>
      </c>
      <c r="S27" s="52">
        <f t="shared" si="5"/>
        <v>0</v>
      </c>
      <c r="T27" s="67">
        <f t="shared" si="30"/>
        <v>0</v>
      </c>
      <c r="U27" s="385">
        <f t="shared" si="13"/>
        <v>3</v>
      </c>
      <c r="V27" s="62">
        <f t="shared" si="14"/>
        <v>190</v>
      </c>
      <c r="W27" s="383"/>
      <c r="X27" s="534">
        <v>2495</v>
      </c>
      <c r="Y27" s="52">
        <f t="shared" si="16"/>
        <v>0</v>
      </c>
      <c r="Z27" s="534">
        <f t="shared" si="31"/>
        <v>141349</v>
      </c>
      <c r="AA27" s="65">
        <f t="shared" si="6"/>
        <v>0</v>
      </c>
      <c r="AB27" s="272">
        <f t="shared" si="49"/>
        <v>0</v>
      </c>
      <c r="AC27" s="534">
        <f t="shared" si="17"/>
        <v>1948</v>
      </c>
      <c r="AD27" s="45">
        <f t="shared" si="7"/>
        <v>0</v>
      </c>
      <c r="AE27" s="534">
        <v>366687</v>
      </c>
      <c r="AF27" s="292">
        <f t="shared" si="18"/>
        <v>0</v>
      </c>
      <c r="AG27" s="209">
        <f t="shared" si="34"/>
        <v>0</v>
      </c>
      <c r="AH27" s="62">
        <f t="shared" si="35"/>
        <v>0</v>
      </c>
      <c r="AI27" s="302">
        <f t="shared" si="19"/>
        <v>190</v>
      </c>
      <c r="AJ27" s="302">
        <f>-tanks!AW28</f>
        <v>190</v>
      </c>
      <c r="AK27" s="302">
        <f t="shared" si="20"/>
        <v>0</v>
      </c>
      <c r="AL27" s="302">
        <f t="shared" si="8"/>
        <v>3</v>
      </c>
      <c r="AM27" s="302">
        <f t="shared" si="21"/>
        <v>0</v>
      </c>
      <c r="AN27" s="534">
        <f t="shared" si="22"/>
        <v>65</v>
      </c>
      <c r="AO27" s="304">
        <f t="shared" si="23"/>
        <v>1950</v>
      </c>
      <c r="AP27" s="534">
        <f t="shared" si="24"/>
        <v>35</v>
      </c>
      <c r="AQ27" s="304">
        <f t="shared" si="51"/>
        <v>1050</v>
      </c>
      <c r="AR27" s="534">
        <f t="shared" si="26"/>
        <v>73</v>
      </c>
      <c r="AS27" s="304">
        <f t="shared" si="36"/>
        <v>2190</v>
      </c>
      <c r="AT27" s="304">
        <f t="shared" si="50"/>
        <v>5190</v>
      </c>
      <c r="AU27" s="304">
        <f t="shared" si="38"/>
        <v>0</v>
      </c>
      <c r="AV27" s="259"/>
      <c r="AW27" s="472"/>
      <c r="AX27" s="297">
        <f t="shared" si="27"/>
        <v>0.8</v>
      </c>
    </row>
    <row r="28" spans="1:50">
      <c r="A28" s="63">
        <f>ELEC!C27</f>
        <v>44858</v>
      </c>
      <c r="B28" s="534">
        <v>240</v>
      </c>
      <c r="C28" s="534">
        <v>247</v>
      </c>
      <c r="D28" s="45">
        <f t="shared" si="48"/>
        <v>3</v>
      </c>
      <c r="E28" s="45">
        <f t="shared" si="9"/>
        <v>25.14</v>
      </c>
      <c r="F28" s="534">
        <v>2296</v>
      </c>
      <c r="G28" s="52">
        <f t="shared" si="0"/>
        <v>1</v>
      </c>
      <c r="H28" s="534">
        <v>47523</v>
      </c>
      <c r="I28" s="379">
        <f t="shared" si="1"/>
        <v>88</v>
      </c>
      <c r="J28" s="66">
        <f t="shared" si="10"/>
        <v>88</v>
      </c>
      <c r="K28" s="534">
        <f t="shared" si="11"/>
        <v>2467</v>
      </c>
      <c r="L28" s="52">
        <f t="shared" si="12"/>
        <v>0</v>
      </c>
      <c r="M28" s="534">
        <f t="shared" si="42"/>
        <v>183733</v>
      </c>
      <c r="N28" s="379">
        <f t="shared" si="2"/>
        <v>0</v>
      </c>
      <c r="O28" s="64">
        <f t="shared" si="46"/>
        <v>1869</v>
      </c>
      <c r="P28" s="534">
        <f t="shared" si="47"/>
        <v>2231</v>
      </c>
      <c r="Q28" s="534">
        <f t="shared" si="44"/>
        <v>186471</v>
      </c>
      <c r="R28" s="378">
        <f t="shared" si="43"/>
        <v>0</v>
      </c>
      <c r="S28" s="52">
        <f t="shared" si="5"/>
        <v>0</v>
      </c>
      <c r="T28" s="67">
        <f t="shared" si="30"/>
        <v>0</v>
      </c>
      <c r="U28" s="385">
        <f t="shared" si="13"/>
        <v>1</v>
      </c>
      <c r="V28" s="62">
        <f t="shared" si="14"/>
        <v>88</v>
      </c>
      <c r="W28" s="383"/>
      <c r="X28" s="534">
        <v>2498</v>
      </c>
      <c r="Y28" s="52">
        <f t="shared" si="16"/>
        <v>3</v>
      </c>
      <c r="Z28" s="534">
        <v>141419</v>
      </c>
      <c r="AA28" s="65">
        <f t="shared" si="6"/>
        <v>70</v>
      </c>
      <c r="AB28" s="272">
        <f t="shared" si="49"/>
        <v>0</v>
      </c>
      <c r="AC28" s="534">
        <f t="shared" si="17"/>
        <v>1948</v>
      </c>
      <c r="AD28" s="45">
        <f t="shared" si="7"/>
        <v>0</v>
      </c>
      <c r="AE28" s="534">
        <v>366687</v>
      </c>
      <c r="AF28" s="292">
        <f t="shared" si="18"/>
        <v>0</v>
      </c>
      <c r="AG28" s="209">
        <f t="shared" si="34"/>
        <v>0</v>
      </c>
      <c r="AH28" s="62">
        <f t="shared" si="35"/>
        <v>70</v>
      </c>
      <c r="AI28" s="302">
        <f t="shared" si="19"/>
        <v>158</v>
      </c>
      <c r="AJ28" s="302">
        <f>-tanks!AW29</f>
        <v>158</v>
      </c>
      <c r="AK28" s="302">
        <f t="shared" si="20"/>
        <v>0</v>
      </c>
      <c r="AL28" s="302">
        <f t="shared" si="8"/>
        <v>1</v>
      </c>
      <c r="AM28" s="302">
        <f t="shared" si="21"/>
        <v>3</v>
      </c>
      <c r="AN28" s="534">
        <f t="shared" si="22"/>
        <v>65</v>
      </c>
      <c r="AO28" s="304">
        <f t="shared" si="23"/>
        <v>1950</v>
      </c>
      <c r="AP28" s="534">
        <f t="shared" si="24"/>
        <v>35</v>
      </c>
      <c r="AQ28" s="304">
        <f t="shared" si="51"/>
        <v>1050</v>
      </c>
      <c r="AR28" s="534">
        <f t="shared" si="26"/>
        <v>73</v>
      </c>
      <c r="AS28" s="304">
        <f t="shared" si="36"/>
        <v>2190</v>
      </c>
      <c r="AT28" s="304">
        <f t="shared" si="50"/>
        <v>5190</v>
      </c>
      <c r="AU28" s="304">
        <f t="shared" si="38"/>
        <v>0</v>
      </c>
      <c r="AV28" s="259"/>
      <c r="AW28" s="259"/>
      <c r="AX28" s="297">
        <f t="shared" si="27"/>
        <v>0.8</v>
      </c>
    </row>
    <row r="29" spans="1:50">
      <c r="A29" s="63">
        <f>ELEC!C28</f>
        <v>44859</v>
      </c>
      <c r="B29" s="534">
        <v>237</v>
      </c>
      <c r="C29" s="534">
        <v>243</v>
      </c>
      <c r="D29" s="45">
        <f t="shared" si="48"/>
        <v>4</v>
      </c>
      <c r="E29" s="45">
        <f t="shared" si="9"/>
        <v>33.520000000000003</v>
      </c>
      <c r="F29" s="534">
        <v>2297</v>
      </c>
      <c r="G29" s="52">
        <f t="shared" si="0"/>
        <v>1</v>
      </c>
      <c r="H29" s="534">
        <v>47583</v>
      </c>
      <c r="I29" s="379">
        <f t="shared" si="1"/>
        <v>60</v>
      </c>
      <c r="J29" s="66">
        <f t="shared" si="10"/>
        <v>60</v>
      </c>
      <c r="K29" s="534">
        <v>2467</v>
      </c>
      <c r="L29" s="52">
        <f t="shared" si="12"/>
        <v>0</v>
      </c>
      <c r="M29" s="534">
        <f t="shared" si="42"/>
        <v>183733</v>
      </c>
      <c r="N29" s="379">
        <f t="shared" si="2"/>
        <v>0</v>
      </c>
      <c r="O29" s="64">
        <f t="shared" si="46"/>
        <v>1869</v>
      </c>
      <c r="P29" s="534">
        <v>2232</v>
      </c>
      <c r="Q29" s="534">
        <v>186523</v>
      </c>
      <c r="R29" s="378">
        <f t="shared" si="43"/>
        <v>52</v>
      </c>
      <c r="S29" s="52">
        <f t="shared" si="5"/>
        <v>1</v>
      </c>
      <c r="T29" s="67">
        <f t="shared" si="30"/>
        <v>0</v>
      </c>
      <c r="U29" s="385">
        <f t="shared" si="13"/>
        <v>2</v>
      </c>
      <c r="V29" s="62">
        <f t="shared" si="14"/>
        <v>112</v>
      </c>
      <c r="W29" s="383"/>
      <c r="X29" s="534">
        <v>2495</v>
      </c>
      <c r="Y29" s="52">
        <f t="shared" si="16"/>
        <v>-3</v>
      </c>
      <c r="Z29" s="534">
        <f t="shared" si="31"/>
        <v>141419</v>
      </c>
      <c r="AA29" s="65">
        <f t="shared" si="6"/>
        <v>0</v>
      </c>
      <c r="AB29" s="272">
        <f t="shared" si="49"/>
        <v>0</v>
      </c>
      <c r="AC29" s="534">
        <f t="shared" si="17"/>
        <v>1948</v>
      </c>
      <c r="AD29" s="45">
        <f t="shared" si="7"/>
        <v>0</v>
      </c>
      <c r="AE29" s="534">
        <v>366687</v>
      </c>
      <c r="AF29" s="292">
        <f t="shared" si="18"/>
        <v>0</v>
      </c>
      <c r="AG29" s="209">
        <f t="shared" si="34"/>
        <v>0</v>
      </c>
      <c r="AH29" s="62">
        <f t="shared" si="35"/>
        <v>0</v>
      </c>
      <c r="AI29" s="302">
        <f t="shared" si="19"/>
        <v>112</v>
      </c>
      <c r="AJ29" s="302">
        <f>-tanks!AW30</f>
        <v>112</v>
      </c>
      <c r="AK29" s="302">
        <f t="shared" si="20"/>
        <v>0</v>
      </c>
      <c r="AL29" s="302">
        <f t="shared" si="8"/>
        <v>2</v>
      </c>
      <c r="AM29" s="302">
        <f t="shared" si="21"/>
        <v>-3</v>
      </c>
      <c r="AN29" s="534">
        <f t="shared" si="22"/>
        <v>65</v>
      </c>
      <c r="AO29" s="304">
        <f t="shared" si="23"/>
        <v>1950</v>
      </c>
      <c r="AP29" s="534">
        <f t="shared" si="24"/>
        <v>35</v>
      </c>
      <c r="AQ29" s="304">
        <f t="shared" si="51"/>
        <v>1050</v>
      </c>
      <c r="AR29" s="534">
        <f t="shared" si="26"/>
        <v>73</v>
      </c>
      <c r="AS29" s="304">
        <f t="shared" si="36"/>
        <v>2190</v>
      </c>
      <c r="AT29" s="304">
        <f t="shared" si="50"/>
        <v>5190</v>
      </c>
      <c r="AU29" s="304">
        <f t="shared" si="38"/>
        <v>0</v>
      </c>
      <c r="AV29" s="259"/>
      <c r="AW29" s="259"/>
      <c r="AX29" s="297">
        <f t="shared" si="27"/>
        <v>0.8</v>
      </c>
    </row>
    <row r="30" spans="1:50">
      <c r="A30" s="63">
        <f>ELEC!C29</f>
        <v>44860</v>
      </c>
      <c r="B30" s="534">
        <f t="shared" si="40"/>
        <v>237</v>
      </c>
      <c r="C30" s="534">
        <f t="shared" si="41"/>
        <v>243</v>
      </c>
      <c r="D30" s="45">
        <f>C29-C30</f>
        <v>0</v>
      </c>
      <c r="E30" s="45">
        <f>D30*8.38</f>
        <v>0</v>
      </c>
      <c r="F30" s="534">
        <f t="shared" si="29"/>
        <v>2297</v>
      </c>
      <c r="G30" s="52">
        <f>F30-F29</f>
        <v>0</v>
      </c>
      <c r="H30" s="534">
        <f t="shared" si="39"/>
        <v>47583</v>
      </c>
      <c r="I30" s="379">
        <f>SUM(H30-H29)</f>
        <v>0</v>
      </c>
      <c r="J30" s="66">
        <f>IF(G30&gt;0,I30/G30,0)</f>
        <v>0</v>
      </c>
      <c r="K30" s="534">
        <f t="shared" si="11"/>
        <v>2467</v>
      </c>
      <c r="L30" s="52">
        <f>K30-K29</f>
        <v>0</v>
      </c>
      <c r="M30" s="534">
        <f t="shared" si="42"/>
        <v>183733</v>
      </c>
      <c r="N30" s="379">
        <f>M30-M29</f>
        <v>0</v>
      </c>
      <c r="O30" s="64">
        <f t="shared" si="46"/>
        <v>1869</v>
      </c>
      <c r="P30" s="534">
        <f t="shared" si="47"/>
        <v>2232</v>
      </c>
      <c r="Q30" s="534">
        <f t="shared" si="44"/>
        <v>186523</v>
      </c>
      <c r="R30" s="378">
        <f>Q30-Q29</f>
        <v>0</v>
      </c>
      <c r="S30" s="52">
        <f>SUM(P30-P29)</f>
        <v>0</v>
      </c>
      <c r="T30" s="67">
        <f>SUM(S30*$T$2)</f>
        <v>0</v>
      </c>
      <c r="U30" s="385">
        <f>SUM(G30+L30+S30)</f>
        <v>0</v>
      </c>
      <c r="V30" s="62">
        <f t="shared" si="14"/>
        <v>0</v>
      </c>
      <c r="W30" s="383"/>
      <c r="X30" s="534">
        <v>2495</v>
      </c>
      <c r="Y30" s="52">
        <f>X30-X29</f>
        <v>0</v>
      </c>
      <c r="Z30" s="534">
        <f t="shared" si="31"/>
        <v>141419</v>
      </c>
      <c r="AA30" s="65">
        <f>Z30-Z29</f>
        <v>0</v>
      </c>
      <c r="AB30" s="272">
        <f>SUM(Y30*$AB$2)</f>
        <v>0</v>
      </c>
      <c r="AC30" s="534">
        <f t="shared" si="17"/>
        <v>1948</v>
      </c>
      <c r="AD30" s="259">
        <f>AC30-AC29</f>
        <v>0</v>
      </c>
      <c r="AE30" s="534">
        <v>366687</v>
      </c>
      <c r="AF30" s="292">
        <f>AE30-AE29</f>
        <v>0</v>
      </c>
      <c r="AG30" s="209">
        <f t="shared" si="34"/>
        <v>0</v>
      </c>
      <c r="AH30" s="62">
        <f t="shared" si="35"/>
        <v>0</v>
      </c>
      <c r="AI30" s="302">
        <f t="shared" si="19"/>
        <v>0</v>
      </c>
      <c r="AJ30" s="302">
        <f>-tanks!AW31</f>
        <v>0</v>
      </c>
      <c r="AK30" s="302">
        <f t="shared" si="20"/>
        <v>0</v>
      </c>
      <c r="AL30" s="302">
        <f t="shared" si="8"/>
        <v>0</v>
      </c>
      <c r="AM30" s="302">
        <f t="shared" si="21"/>
        <v>0</v>
      </c>
      <c r="AN30" s="534">
        <f t="shared" si="22"/>
        <v>65</v>
      </c>
      <c r="AO30" s="304">
        <f t="shared" si="23"/>
        <v>1950</v>
      </c>
      <c r="AP30" s="534">
        <f t="shared" si="24"/>
        <v>35</v>
      </c>
      <c r="AQ30" s="304">
        <f t="shared" si="51"/>
        <v>1050</v>
      </c>
      <c r="AR30" s="534">
        <f t="shared" si="26"/>
        <v>73</v>
      </c>
      <c r="AS30" s="304">
        <f t="shared" si="36"/>
        <v>2190</v>
      </c>
      <c r="AT30" s="304">
        <f t="shared" si="50"/>
        <v>5190</v>
      </c>
      <c r="AU30" s="304">
        <f t="shared" si="38"/>
        <v>0</v>
      </c>
      <c r="AV30" s="259"/>
      <c r="AW30" s="259"/>
      <c r="AX30" s="297">
        <f t="shared" si="27"/>
        <v>0.8</v>
      </c>
    </row>
    <row r="31" spans="1:50">
      <c r="A31" s="63">
        <f>ELEC!C30</f>
        <v>44861</v>
      </c>
      <c r="B31" s="534">
        <f t="shared" si="40"/>
        <v>237</v>
      </c>
      <c r="C31" s="534">
        <f t="shared" si="41"/>
        <v>243</v>
      </c>
      <c r="D31" s="45">
        <f t="shared" si="48"/>
        <v>0</v>
      </c>
      <c r="E31" s="45">
        <f t="shared" si="9"/>
        <v>0</v>
      </c>
      <c r="F31" s="534">
        <f t="shared" si="29"/>
        <v>2297</v>
      </c>
      <c r="G31" s="52">
        <f t="shared" si="0"/>
        <v>0</v>
      </c>
      <c r="H31" s="534">
        <f t="shared" si="39"/>
        <v>47583</v>
      </c>
      <c r="I31" s="379">
        <f t="shared" si="1"/>
        <v>0</v>
      </c>
      <c r="J31" s="66">
        <f t="shared" si="10"/>
        <v>0</v>
      </c>
      <c r="K31" s="534">
        <f t="shared" si="11"/>
        <v>2467</v>
      </c>
      <c r="L31" s="52">
        <f t="shared" si="12"/>
        <v>0</v>
      </c>
      <c r="M31" s="534">
        <f t="shared" si="42"/>
        <v>183733</v>
      </c>
      <c r="N31" s="379">
        <f t="shared" si="2"/>
        <v>0</v>
      </c>
      <c r="O31" s="64">
        <f t="shared" si="46"/>
        <v>1869</v>
      </c>
      <c r="P31" s="534">
        <f t="shared" si="47"/>
        <v>2232</v>
      </c>
      <c r="Q31" s="534">
        <f t="shared" si="44"/>
        <v>186523</v>
      </c>
      <c r="R31" s="378">
        <f t="shared" si="43"/>
        <v>0</v>
      </c>
      <c r="S31" s="52">
        <f t="shared" si="5"/>
        <v>0</v>
      </c>
      <c r="T31" s="67">
        <f t="shared" si="30"/>
        <v>0</v>
      </c>
      <c r="U31" s="385">
        <f t="shared" si="13"/>
        <v>0</v>
      </c>
      <c r="V31" s="62">
        <f t="shared" si="14"/>
        <v>0</v>
      </c>
      <c r="W31" s="383"/>
      <c r="X31" s="534">
        <v>2495</v>
      </c>
      <c r="Y31" s="52">
        <f t="shared" si="16"/>
        <v>0</v>
      </c>
      <c r="Z31" s="534">
        <f t="shared" si="31"/>
        <v>141419</v>
      </c>
      <c r="AA31" s="65">
        <f t="shared" si="6"/>
        <v>0</v>
      </c>
      <c r="AB31" s="272">
        <f t="shared" si="49"/>
        <v>0</v>
      </c>
      <c r="AC31" s="534">
        <f t="shared" si="17"/>
        <v>1948</v>
      </c>
      <c r="AD31" s="259">
        <f t="shared" si="7"/>
        <v>0</v>
      </c>
      <c r="AE31" s="534">
        <v>366687</v>
      </c>
      <c r="AF31" s="292">
        <f t="shared" si="18"/>
        <v>0</v>
      </c>
      <c r="AG31" s="209">
        <f t="shared" si="34"/>
        <v>0</v>
      </c>
      <c r="AH31" s="62">
        <f t="shared" si="35"/>
        <v>0</v>
      </c>
      <c r="AI31" s="302">
        <f t="shared" si="19"/>
        <v>0</v>
      </c>
      <c r="AJ31" s="302">
        <f>-tanks!AW32</f>
        <v>0</v>
      </c>
      <c r="AK31" s="302">
        <f t="shared" si="20"/>
        <v>0</v>
      </c>
      <c r="AL31" s="302">
        <f t="shared" si="8"/>
        <v>0</v>
      </c>
      <c r="AM31" s="302">
        <f t="shared" si="21"/>
        <v>0</v>
      </c>
      <c r="AN31" s="534">
        <f t="shared" si="22"/>
        <v>65</v>
      </c>
      <c r="AO31" s="304">
        <f t="shared" si="23"/>
        <v>1950</v>
      </c>
      <c r="AP31" s="534">
        <f t="shared" si="24"/>
        <v>35</v>
      </c>
      <c r="AQ31" s="304">
        <f t="shared" si="51"/>
        <v>1050</v>
      </c>
      <c r="AR31" s="534">
        <f t="shared" si="26"/>
        <v>73</v>
      </c>
      <c r="AS31" s="304">
        <f t="shared" si="36"/>
        <v>2190</v>
      </c>
      <c r="AT31" s="304">
        <f t="shared" si="50"/>
        <v>5190</v>
      </c>
      <c r="AU31" s="304">
        <f t="shared" si="38"/>
        <v>0</v>
      </c>
      <c r="AV31" s="259"/>
      <c r="AW31" s="259"/>
      <c r="AX31" s="297">
        <f t="shared" si="27"/>
        <v>0.8</v>
      </c>
    </row>
    <row r="32" spans="1:50">
      <c r="A32" s="63">
        <f>ELEC!C31</f>
        <v>44862</v>
      </c>
      <c r="B32" s="534">
        <f t="shared" si="40"/>
        <v>237</v>
      </c>
      <c r="C32" s="534">
        <f t="shared" si="41"/>
        <v>243</v>
      </c>
      <c r="D32" s="45">
        <f t="shared" si="48"/>
        <v>0</v>
      </c>
      <c r="E32" s="45">
        <f t="shared" si="9"/>
        <v>0</v>
      </c>
      <c r="F32" s="534">
        <f t="shared" si="29"/>
        <v>2297</v>
      </c>
      <c r="G32" s="52">
        <f t="shared" si="0"/>
        <v>0</v>
      </c>
      <c r="H32" s="534">
        <f t="shared" si="39"/>
        <v>47583</v>
      </c>
      <c r="I32" s="379">
        <f t="shared" si="1"/>
        <v>0</v>
      </c>
      <c r="J32" s="66">
        <f t="shared" si="10"/>
        <v>0</v>
      </c>
      <c r="K32" s="534">
        <f t="shared" si="11"/>
        <v>2467</v>
      </c>
      <c r="L32" s="52">
        <f t="shared" si="12"/>
        <v>0</v>
      </c>
      <c r="M32" s="534">
        <f t="shared" si="42"/>
        <v>183733</v>
      </c>
      <c r="N32" s="379">
        <f t="shared" si="2"/>
        <v>0</v>
      </c>
      <c r="O32" s="64">
        <f t="shared" si="46"/>
        <v>1869</v>
      </c>
      <c r="P32" s="534">
        <f t="shared" si="47"/>
        <v>2232</v>
      </c>
      <c r="Q32" s="534">
        <f t="shared" si="44"/>
        <v>186523</v>
      </c>
      <c r="R32" s="378">
        <f t="shared" si="43"/>
        <v>0</v>
      </c>
      <c r="S32" s="52">
        <f t="shared" si="5"/>
        <v>0</v>
      </c>
      <c r="T32" s="67">
        <f t="shared" si="30"/>
        <v>0</v>
      </c>
      <c r="U32" s="385">
        <f t="shared" si="13"/>
        <v>0</v>
      </c>
      <c r="V32" s="62">
        <f t="shared" si="14"/>
        <v>0</v>
      </c>
      <c r="W32" s="383"/>
      <c r="X32" s="534">
        <v>2495</v>
      </c>
      <c r="Y32" s="52">
        <f t="shared" si="16"/>
        <v>0</v>
      </c>
      <c r="Z32" s="534">
        <f t="shared" si="31"/>
        <v>141419</v>
      </c>
      <c r="AA32" s="65">
        <f t="shared" si="6"/>
        <v>0</v>
      </c>
      <c r="AB32" s="272">
        <f t="shared" si="49"/>
        <v>0</v>
      </c>
      <c r="AC32" s="534">
        <f t="shared" si="17"/>
        <v>1948</v>
      </c>
      <c r="AD32" s="259">
        <f t="shared" si="7"/>
        <v>0</v>
      </c>
      <c r="AE32" s="534">
        <v>366687</v>
      </c>
      <c r="AF32" s="292">
        <f t="shared" si="18"/>
        <v>0</v>
      </c>
      <c r="AG32" s="209">
        <f t="shared" si="34"/>
        <v>0</v>
      </c>
      <c r="AH32" s="62">
        <f t="shared" si="35"/>
        <v>0</v>
      </c>
      <c r="AI32" s="302">
        <f t="shared" si="19"/>
        <v>0</v>
      </c>
      <c r="AJ32" s="302">
        <f>-tanks!AW33</f>
        <v>0</v>
      </c>
      <c r="AK32" s="302">
        <f t="shared" si="20"/>
        <v>0</v>
      </c>
      <c r="AL32" s="302">
        <f t="shared" si="8"/>
        <v>0</v>
      </c>
      <c r="AM32" s="302">
        <f t="shared" si="21"/>
        <v>0</v>
      </c>
      <c r="AN32" s="534">
        <f t="shared" si="22"/>
        <v>65</v>
      </c>
      <c r="AO32" s="304">
        <f t="shared" si="23"/>
        <v>1950</v>
      </c>
      <c r="AP32" s="534">
        <f t="shared" si="24"/>
        <v>35</v>
      </c>
      <c r="AQ32" s="304">
        <f t="shared" si="51"/>
        <v>1050</v>
      </c>
      <c r="AR32" s="534">
        <f t="shared" si="26"/>
        <v>73</v>
      </c>
      <c r="AS32" s="304">
        <f t="shared" si="36"/>
        <v>2190</v>
      </c>
      <c r="AT32" s="304">
        <f t="shared" si="50"/>
        <v>5190</v>
      </c>
      <c r="AU32" s="304">
        <f t="shared" si="38"/>
        <v>0</v>
      </c>
      <c r="AV32" s="259"/>
      <c r="AW32" s="259"/>
      <c r="AX32" s="297">
        <f t="shared" si="27"/>
        <v>0.8</v>
      </c>
    </row>
    <row r="33" spans="1:50">
      <c r="A33" s="63">
        <f>ELEC!C32</f>
        <v>44863</v>
      </c>
      <c r="B33" s="534">
        <f t="shared" si="40"/>
        <v>237</v>
      </c>
      <c r="C33" s="534">
        <f t="shared" si="41"/>
        <v>243</v>
      </c>
      <c r="D33" s="45">
        <f t="shared" ref="D33:D35" si="52">C32-C33</f>
        <v>0</v>
      </c>
      <c r="E33" s="45">
        <f t="shared" ref="E33:E35" si="53">D33*8.38</f>
        <v>0</v>
      </c>
      <c r="F33" s="534">
        <f t="shared" si="29"/>
        <v>2297</v>
      </c>
      <c r="G33" s="52">
        <f t="shared" ref="G33:G35" si="54">F33-F32</f>
        <v>0</v>
      </c>
      <c r="H33" s="534">
        <f t="shared" si="39"/>
        <v>47583</v>
      </c>
      <c r="I33" s="379">
        <f t="shared" ref="I33:I35" si="55">SUM(H33-H32)</f>
        <v>0</v>
      </c>
      <c r="J33" s="66">
        <f t="shared" ref="J33:J35" si="56">IF(G33&gt;0,I33/G33,0)</f>
        <v>0</v>
      </c>
      <c r="K33" s="534">
        <f t="shared" si="11"/>
        <v>2467</v>
      </c>
      <c r="L33" s="52">
        <f t="shared" ref="L33:L35" si="57">K33-K32</f>
        <v>0</v>
      </c>
      <c r="M33" s="534">
        <f t="shared" si="42"/>
        <v>183733</v>
      </c>
      <c r="N33" s="379">
        <f t="shared" ref="N33:N35" si="58">M33-M32</f>
        <v>0</v>
      </c>
      <c r="O33" s="64">
        <f t="shared" si="46"/>
        <v>1869</v>
      </c>
      <c r="P33" s="534">
        <f t="shared" si="47"/>
        <v>2232</v>
      </c>
      <c r="Q33" s="534">
        <f t="shared" si="44"/>
        <v>186523</v>
      </c>
      <c r="R33" s="378">
        <f t="shared" ref="R33:R35" si="59">Q33-Q32</f>
        <v>0</v>
      </c>
      <c r="S33" s="52">
        <f t="shared" ref="S33:S35" si="60">SUM(P33-P32)</f>
        <v>0</v>
      </c>
      <c r="T33" s="67">
        <f t="shared" ref="T33:T35" si="61">SUM(S33*$T$2)</f>
        <v>0</v>
      </c>
      <c r="U33" s="385">
        <f t="shared" ref="U33:U35" si="62">SUM(G33+L33+S33)</f>
        <v>0</v>
      </c>
      <c r="V33" s="62">
        <f t="shared" ref="V33:V35" si="63">R33+N33+I33:I33</f>
        <v>0</v>
      </c>
      <c r="W33" s="383"/>
      <c r="X33" s="534">
        <v>2495</v>
      </c>
      <c r="Y33" s="52">
        <f t="shared" ref="Y33:Y35" si="64">X33-X32</f>
        <v>0</v>
      </c>
      <c r="Z33" s="534">
        <f t="shared" si="31"/>
        <v>141419</v>
      </c>
      <c r="AA33" s="65">
        <f t="shared" ref="AA33:AA35" si="65">Z33-Z32</f>
        <v>0</v>
      </c>
      <c r="AB33" s="272">
        <f t="shared" ref="AB33:AB35" si="66">SUM(Y33*$AB$2)</f>
        <v>0</v>
      </c>
      <c r="AC33" s="534">
        <f t="shared" si="17"/>
        <v>1948</v>
      </c>
      <c r="AD33" s="259">
        <f t="shared" ref="AD33:AD35" si="67">AC33-AC32</f>
        <v>0</v>
      </c>
      <c r="AE33" s="534">
        <v>366687</v>
      </c>
      <c r="AF33" s="292">
        <f t="shared" ref="AF33:AF35" si="68">AE33-AE32</f>
        <v>0</v>
      </c>
      <c r="AG33" s="209">
        <f t="shared" ref="AG33:AG35" si="69">IF(AD33&gt;0,AF33/AD33,0)</f>
        <v>0</v>
      </c>
      <c r="AH33" s="62">
        <f t="shared" ref="AH33:AH35" si="70">AF33+AA33</f>
        <v>0</v>
      </c>
      <c r="AI33" s="302">
        <f t="shared" ref="AI33:AI35" si="71">SUM(AH33+V33)</f>
        <v>0</v>
      </c>
      <c r="AJ33" s="302">
        <f>-tanks!AW34</f>
        <v>0</v>
      </c>
      <c r="AK33" s="302">
        <f t="shared" ref="AK33:AK35" si="72">SUM(AJ33-AI33)</f>
        <v>0</v>
      </c>
      <c r="AL33" s="302">
        <f t="shared" ref="AL33:AL35" si="73">S33+L33+G33</f>
        <v>0</v>
      </c>
      <c r="AM33" s="302">
        <f t="shared" ref="AM33:AM35" si="74">Y33+AD33</f>
        <v>0</v>
      </c>
      <c r="AN33" s="534">
        <f t="shared" si="22"/>
        <v>65</v>
      </c>
      <c r="AO33" s="304">
        <f t="shared" si="23"/>
        <v>1950</v>
      </c>
      <c r="AP33" s="534">
        <f t="shared" si="24"/>
        <v>35</v>
      </c>
      <c r="AQ33" s="304">
        <f t="shared" ref="AQ33:AQ35" si="75">(AP33/100)*3000</f>
        <v>1050</v>
      </c>
      <c r="AR33" s="534">
        <f t="shared" si="26"/>
        <v>73</v>
      </c>
      <c r="AS33" s="304">
        <f t="shared" si="36"/>
        <v>2190</v>
      </c>
      <c r="AT33" s="304">
        <f t="shared" si="50"/>
        <v>5190</v>
      </c>
      <c r="AU33" s="304">
        <f t="shared" si="38"/>
        <v>0</v>
      </c>
      <c r="AV33" s="259"/>
      <c r="AW33" s="259"/>
      <c r="AX33" s="297">
        <f t="shared" ref="AX33:AX35" si="76">IF(AV33&gt;0,AW33,AX32)</f>
        <v>0.8</v>
      </c>
    </row>
    <row r="34" spans="1:50">
      <c r="A34" s="63">
        <f>ELEC!C33</f>
        <v>44864</v>
      </c>
      <c r="B34" s="534">
        <f t="shared" si="40"/>
        <v>237</v>
      </c>
      <c r="C34" s="534">
        <f t="shared" si="41"/>
        <v>243</v>
      </c>
      <c r="D34" s="45">
        <f t="shared" si="52"/>
        <v>0</v>
      </c>
      <c r="E34" s="45">
        <f t="shared" si="53"/>
        <v>0</v>
      </c>
      <c r="F34" s="534">
        <f t="shared" si="29"/>
        <v>2297</v>
      </c>
      <c r="G34" s="52">
        <f t="shared" si="54"/>
        <v>0</v>
      </c>
      <c r="H34" s="534">
        <f t="shared" si="39"/>
        <v>47583</v>
      </c>
      <c r="I34" s="379">
        <f t="shared" si="55"/>
        <v>0</v>
      </c>
      <c r="J34" s="66">
        <f t="shared" si="56"/>
        <v>0</v>
      </c>
      <c r="K34" s="534">
        <f t="shared" si="11"/>
        <v>2467</v>
      </c>
      <c r="L34" s="52">
        <f t="shared" si="57"/>
        <v>0</v>
      </c>
      <c r="M34" s="534">
        <f t="shared" si="42"/>
        <v>183733</v>
      </c>
      <c r="N34" s="379">
        <f t="shared" si="58"/>
        <v>0</v>
      </c>
      <c r="O34" s="64">
        <f t="shared" si="46"/>
        <v>1869</v>
      </c>
      <c r="P34" s="534">
        <f t="shared" si="47"/>
        <v>2232</v>
      </c>
      <c r="Q34" s="534">
        <f t="shared" si="44"/>
        <v>186523</v>
      </c>
      <c r="R34" s="378">
        <f t="shared" si="59"/>
        <v>0</v>
      </c>
      <c r="S34" s="52">
        <f t="shared" si="60"/>
        <v>0</v>
      </c>
      <c r="T34" s="67">
        <f t="shared" si="61"/>
        <v>0</v>
      </c>
      <c r="U34" s="385">
        <f t="shared" si="62"/>
        <v>0</v>
      </c>
      <c r="V34" s="62">
        <f t="shared" si="63"/>
        <v>0</v>
      </c>
      <c r="W34" s="383"/>
      <c r="X34" s="534">
        <v>2495</v>
      </c>
      <c r="Y34" s="52">
        <f t="shared" si="64"/>
        <v>0</v>
      </c>
      <c r="Z34" s="534">
        <f t="shared" si="31"/>
        <v>141419</v>
      </c>
      <c r="AA34" s="65">
        <f t="shared" si="65"/>
        <v>0</v>
      </c>
      <c r="AB34" s="272">
        <f t="shared" si="66"/>
        <v>0</v>
      </c>
      <c r="AC34" s="534">
        <f t="shared" si="17"/>
        <v>1948</v>
      </c>
      <c r="AD34" s="259">
        <f t="shared" si="67"/>
        <v>0</v>
      </c>
      <c r="AE34" s="534">
        <v>366687</v>
      </c>
      <c r="AF34" s="292">
        <f t="shared" si="68"/>
        <v>0</v>
      </c>
      <c r="AG34" s="209">
        <f t="shared" si="69"/>
        <v>0</v>
      </c>
      <c r="AH34" s="62">
        <f t="shared" si="70"/>
        <v>0</v>
      </c>
      <c r="AI34" s="302">
        <f t="shared" si="71"/>
        <v>0</v>
      </c>
      <c r="AJ34" s="302">
        <f>-tanks!AW35</f>
        <v>0</v>
      </c>
      <c r="AK34" s="302">
        <f t="shared" si="72"/>
        <v>0</v>
      </c>
      <c r="AL34" s="302">
        <f t="shared" si="73"/>
        <v>0</v>
      </c>
      <c r="AM34" s="302">
        <f t="shared" si="74"/>
        <v>0</v>
      </c>
      <c r="AN34" s="534">
        <f t="shared" si="22"/>
        <v>65</v>
      </c>
      <c r="AO34" s="304">
        <f t="shared" si="23"/>
        <v>1950</v>
      </c>
      <c r="AP34" s="534">
        <f t="shared" si="24"/>
        <v>35</v>
      </c>
      <c r="AQ34" s="304">
        <f t="shared" si="75"/>
        <v>1050</v>
      </c>
      <c r="AR34" s="534">
        <f t="shared" si="26"/>
        <v>73</v>
      </c>
      <c r="AS34" s="304">
        <f t="shared" si="36"/>
        <v>2190</v>
      </c>
      <c r="AT34" s="304">
        <f t="shared" si="50"/>
        <v>5190</v>
      </c>
      <c r="AU34" s="304">
        <f t="shared" si="38"/>
        <v>0</v>
      </c>
      <c r="AV34" s="259"/>
      <c r="AW34" s="259"/>
      <c r="AX34" s="297">
        <f t="shared" si="76"/>
        <v>0.8</v>
      </c>
    </row>
    <row r="35" spans="1:50">
      <c r="A35" s="63">
        <f>ELEC!C34</f>
        <v>44865</v>
      </c>
      <c r="B35" s="534">
        <f t="shared" si="40"/>
        <v>237</v>
      </c>
      <c r="C35" s="534">
        <f t="shared" si="41"/>
        <v>243</v>
      </c>
      <c r="D35" s="45">
        <f t="shared" si="52"/>
        <v>0</v>
      </c>
      <c r="E35" s="45">
        <f t="shared" si="53"/>
        <v>0</v>
      </c>
      <c r="F35" s="534">
        <f t="shared" si="29"/>
        <v>2297</v>
      </c>
      <c r="G35" s="52">
        <f t="shared" si="54"/>
        <v>0</v>
      </c>
      <c r="H35" s="534">
        <f t="shared" si="39"/>
        <v>47583</v>
      </c>
      <c r="I35" s="379">
        <f t="shared" si="55"/>
        <v>0</v>
      </c>
      <c r="J35" s="66">
        <f t="shared" si="56"/>
        <v>0</v>
      </c>
      <c r="K35" s="534">
        <f t="shared" si="11"/>
        <v>2467</v>
      </c>
      <c r="L35" s="52">
        <f t="shared" si="57"/>
        <v>0</v>
      </c>
      <c r="M35" s="534">
        <f t="shared" si="42"/>
        <v>183733</v>
      </c>
      <c r="N35" s="379">
        <f t="shared" si="58"/>
        <v>0</v>
      </c>
      <c r="O35" s="64">
        <f t="shared" si="46"/>
        <v>1869</v>
      </c>
      <c r="P35" s="534">
        <f t="shared" si="47"/>
        <v>2232</v>
      </c>
      <c r="Q35" s="534">
        <f t="shared" si="44"/>
        <v>186523</v>
      </c>
      <c r="R35" s="378">
        <f t="shared" si="59"/>
        <v>0</v>
      </c>
      <c r="S35" s="52">
        <f t="shared" si="60"/>
        <v>0</v>
      </c>
      <c r="T35" s="67">
        <f t="shared" si="61"/>
        <v>0</v>
      </c>
      <c r="U35" s="385">
        <f t="shared" si="62"/>
        <v>0</v>
      </c>
      <c r="V35" s="62">
        <f t="shared" si="63"/>
        <v>0</v>
      </c>
      <c r="W35" s="383"/>
      <c r="X35" s="534">
        <v>2495</v>
      </c>
      <c r="Y35" s="52">
        <f t="shared" si="64"/>
        <v>0</v>
      </c>
      <c r="Z35" s="534">
        <f t="shared" si="31"/>
        <v>141419</v>
      </c>
      <c r="AA35" s="65">
        <f t="shared" si="65"/>
        <v>0</v>
      </c>
      <c r="AB35" s="272">
        <f t="shared" si="66"/>
        <v>0</v>
      </c>
      <c r="AC35" s="534">
        <f t="shared" si="17"/>
        <v>1948</v>
      </c>
      <c r="AD35" s="259">
        <f t="shared" si="67"/>
        <v>0</v>
      </c>
      <c r="AE35" s="534">
        <v>366687</v>
      </c>
      <c r="AF35" s="292">
        <f t="shared" si="68"/>
        <v>0</v>
      </c>
      <c r="AG35" s="209">
        <f t="shared" si="69"/>
        <v>0</v>
      </c>
      <c r="AH35" s="62">
        <f t="shared" si="70"/>
        <v>0</v>
      </c>
      <c r="AI35" s="302">
        <f t="shared" si="71"/>
        <v>0</v>
      </c>
      <c r="AJ35" s="302">
        <f>-tanks!AW36</f>
        <v>0</v>
      </c>
      <c r="AK35" s="302">
        <f t="shared" si="72"/>
        <v>0</v>
      </c>
      <c r="AL35" s="302">
        <f t="shared" si="73"/>
        <v>0</v>
      </c>
      <c r="AM35" s="302">
        <f t="shared" si="74"/>
        <v>0</v>
      </c>
      <c r="AN35" s="534">
        <f t="shared" si="22"/>
        <v>65</v>
      </c>
      <c r="AO35" s="304">
        <f t="shared" si="23"/>
        <v>1950</v>
      </c>
      <c r="AP35" s="534">
        <f t="shared" si="24"/>
        <v>35</v>
      </c>
      <c r="AQ35" s="304">
        <f t="shared" si="75"/>
        <v>1050</v>
      </c>
      <c r="AR35" s="534">
        <f t="shared" si="26"/>
        <v>73</v>
      </c>
      <c r="AS35" s="304">
        <f t="shared" si="36"/>
        <v>2190</v>
      </c>
      <c r="AT35" s="304">
        <f t="shared" si="50"/>
        <v>5190</v>
      </c>
      <c r="AU35" s="304">
        <f t="shared" si="38"/>
        <v>0</v>
      </c>
      <c r="AV35" s="259"/>
      <c r="AW35" s="259"/>
      <c r="AX35" s="297">
        <f t="shared" si="76"/>
        <v>0.8</v>
      </c>
    </row>
    <row r="36" spans="1:50">
      <c r="J36" s="271">
        <f>SUM(J5:J32)/(COUNT(J5:J32)-COUNTIF(J5:J32,0))</f>
        <v>54.416666666666664</v>
      </c>
      <c r="U36" s="70">
        <f>SUM(U5:U35)</f>
        <v>19</v>
      </c>
      <c r="V36" s="62">
        <f>SUM(V5:V35)</f>
        <v>1613</v>
      </c>
      <c r="AE36" s="71" t="s">
        <v>379</v>
      </c>
      <c r="AG36" s="328"/>
      <c r="AH36" s="62">
        <f>SUM(AH5:AH35)</f>
        <v>356</v>
      </c>
      <c r="AL36" s="62">
        <f>SUM(AL5:AL35)</f>
        <v>19</v>
      </c>
      <c r="AM36" s="62">
        <f>SUM(AM5:AM35)</f>
        <v>1</v>
      </c>
      <c r="AP36" s="297"/>
      <c r="AQ36" s="297"/>
      <c r="AR36" s="297" t="s">
        <v>222</v>
      </c>
      <c r="AS36" s="297">
        <f>COUNT(AW5:AW35)</f>
        <v>0</v>
      </c>
      <c r="AT36" s="297"/>
      <c r="AU36" s="297">
        <f>SUM(AU5:AU35)</f>
        <v>-90</v>
      </c>
      <c r="AV36" s="71">
        <f>SUM(AV5:AV35)</f>
        <v>0</v>
      </c>
      <c r="AW36" s="297" t="e">
        <f>SUM(AW5:AW35)/AS36</f>
        <v>#DIV/0!</v>
      </c>
    </row>
    <row r="37" spans="1:50">
      <c r="V37" s="70">
        <f>V36/U36</f>
        <v>84.89473684210526</v>
      </c>
      <c r="AH37" s="62">
        <f>AF37+AA37</f>
        <v>0</v>
      </c>
      <c r="AI37" s="305">
        <f>SUM(AI5:AI35)</f>
        <v>1969</v>
      </c>
      <c r="AP37" s="297"/>
      <c r="AQ37" s="297"/>
      <c r="AR37" s="297"/>
      <c r="AS37" s="297"/>
      <c r="AT37" s="297"/>
      <c r="AU37" s="297"/>
      <c r="AV37" s="297"/>
      <c r="AW37" s="297"/>
    </row>
    <row r="38" spans="1:50">
      <c r="AH38" s="62">
        <f>AF38+AA38</f>
        <v>0</v>
      </c>
      <c r="AP38" s="297"/>
      <c r="AQ38" s="297"/>
      <c r="AR38" s="297"/>
      <c r="AS38" s="297"/>
      <c r="AT38" s="297"/>
      <c r="AU38" s="297">
        <f>AU36*0.51</f>
        <v>-45.9</v>
      </c>
      <c r="AV38" s="297">
        <f>AV36/0.51</f>
        <v>0</v>
      </c>
      <c r="AW38" s="297" t="e">
        <f>SUM(AW5:AW32)/AS36</f>
        <v>#DIV/0!</v>
      </c>
    </row>
    <row r="39" spans="1:50">
      <c r="AP39" s="297"/>
      <c r="AQ39" s="297"/>
      <c r="AR39" s="297"/>
      <c r="AS39" s="297"/>
      <c r="AT39" s="297"/>
      <c r="AU39" s="297"/>
      <c r="AV39" s="297">
        <f>AV36*0.51</f>
        <v>0</v>
      </c>
      <c r="AW39" s="297"/>
    </row>
    <row r="40" spans="1:50">
      <c r="AP40" s="297"/>
      <c r="AQ40" s="297"/>
      <c r="AR40" s="297"/>
      <c r="AS40" s="297"/>
      <c r="AT40" s="297"/>
      <c r="AU40" s="297"/>
      <c r="AV40" s="297"/>
      <c r="AW40" s="297"/>
    </row>
    <row r="41" spans="1:50">
      <c r="P41" s="69"/>
      <c r="Q41" s="69"/>
      <c r="R41" s="69"/>
      <c r="AP41" s="297"/>
      <c r="AQ41" s="297"/>
      <c r="AR41" s="297"/>
      <c r="AS41" s="297"/>
      <c r="AT41" s="297"/>
      <c r="AU41" s="297"/>
      <c r="AV41" s="297"/>
      <c r="AW41" s="297"/>
    </row>
    <row r="43" spans="1:50">
      <c r="AG43" s="340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75"/>
  <sheetViews>
    <sheetView topLeftCell="X1" zoomScale="85" zoomScaleNormal="85" workbookViewId="0">
      <pane ySplit="3" topLeftCell="A13" activePane="bottomLeft" state="frozen"/>
      <selection pane="bottomLeft" activeCell="BA30" sqref="BA30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6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6" customWidth="1"/>
    <col min="11" max="11" width="13.5703125" style="1" customWidth="1"/>
    <col min="12" max="12" width="13.28515625" style="1" customWidth="1"/>
    <col min="13" max="13" width="10.7109375" style="464" customWidth="1"/>
    <col min="14" max="14" width="10.7109375" style="466" customWidth="1"/>
    <col min="15" max="15" width="11.28515625" style="464" customWidth="1"/>
    <col min="16" max="16" width="11.28515625" style="466" customWidth="1"/>
    <col min="17" max="17" width="17.28515625" style="464" customWidth="1"/>
    <col min="18" max="19" width="10.7109375" style="464" customWidth="1"/>
    <col min="20" max="20" width="13.28515625" style="389" customWidth="1"/>
    <col min="21" max="21" width="8.7109375" style="391" customWidth="1"/>
    <col min="22" max="22" width="13.28515625" style="306" customWidth="1"/>
    <col min="23" max="23" width="9.7109375" style="306" bestFit="1" customWidth="1"/>
    <col min="24" max="27" width="9.7109375" style="306" customWidth="1"/>
    <col min="28" max="28" width="14.42578125" style="306" customWidth="1"/>
    <col min="29" max="32" width="9.7109375" style="306" customWidth="1"/>
    <col min="33" max="33" width="11.28515625" style="306" customWidth="1"/>
    <col min="34" max="36" width="9.7109375" style="306" customWidth="1"/>
    <col min="37" max="37" width="7.42578125" style="306" customWidth="1"/>
    <col min="38" max="39" width="8.7109375" style="306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2" customFormat="1" ht="15.75" thickBot="1">
      <c r="B1" s="343"/>
      <c r="C1" s="343"/>
      <c r="D1" s="398">
        <f>SUM(G21:G33)</f>
        <v>8200523</v>
      </c>
      <c r="E1" s="344"/>
      <c r="F1" s="344"/>
      <c r="G1" s="343"/>
      <c r="H1" s="343"/>
      <c r="I1" s="343"/>
      <c r="J1" s="344"/>
      <c r="K1" s="343"/>
      <c r="L1" s="343"/>
      <c r="M1" s="343"/>
      <c r="N1" s="343"/>
      <c r="O1" s="343"/>
      <c r="P1" s="343"/>
      <c r="Q1" s="343"/>
      <c r="R1" s="343"/>
      <c r="S1" s="343"/>
      <c r="T1" s="343"/>
      <c r="U1" s="343"/>
      <c r="V1" s="345"/>
      <c r="W1" s="345"/>
      <c r="X1" s="345"/>
      <c r="Y1" s="345"/>
      <c r="Z1" s="345"/>
      <c r="AA1" s="345"/>
      <c r="AB1" s="345"/>
      <c r="AC1" s="345"/>
      <c r="AD1" s="345"/>
      <c r="AE1" s="345"/>
      <c r="AF1" s="345"/>
      <c r="AG1" s="345"/>
      <c r="AH1" s="345"/>
      <c r="AI1" s="345"/>
      <c r="AJ1" s="345"/>
      <c r="AK1" s="345"/>
      <c r="AL1" s="345"/>
      <c r="AM1" s="345"/>
      <c r="AN1" s="343"/>
      <c r="AR1" s="346" t="s">
        <v>92</v>
      </c>
      <c r="AS1" s="347"/>
      <c r="AT1" s="347" t="s">
        <v>60</v>
      </c>
      <c r="AU1" s="347"/>
      <c r="AV1" s="348" t="s">
        <v>61</v>
      </c>
    </row>
    <row r="2" spans="1:65" s="342" customFormat="1" ht="15.75" customHeight="1" thickBot="1">
      <c r="B2" s="343"/>
      <c r="C2" s="343"/>
      <c r="D2" s="343"/>
      <c r="E2" s="344"/>
      <c r="F2" s="344"/>
      <c r="G2" s="343"/>
      <c r="H2" s="343"/>
      <c r="I2" s="343"/>
      <c r="J2" s="344"/>
      <c r="K2" s="343"/>
      <c r="L2" s="343"/>
      <c r="M2" s="343"/>
      <c r="N2" s="343"/>
      <c r="O2" s="343"/>
      <c r="P2" s="343"/>
      <c r="Q2" s="343"/>
      <c r="R2" s="343"/>
      <c r="S2" s="343"/>
      <c r="T2" s="343"/>
      <c r="U2" s="343"/>
      <c r="V2" s="345"/>
      <c r="W2" s="345"/>
      <c r="X2" s="345"/>
      <c r="Y2" s="345"/>
      <c r="Z2" s="345"/>
      <c r="AA2" s="345"/>
      <c r="AB2" s="345"/>
      <c r="AC2" s="345"/>
      <c r="AD2" s="345"/>
      <c r="AE2" s="345"/>
      <c r="AF2" s="345"/>
      <c r="AG2" s="345"/>
      <c r="AH2" s="345"/>
      <c r="AI2" s="345"/>
      <c r="AJ2" s="345"/>
      <c r="AK2" s="345"/>
      <c r="AL2" s="345"/>
      <c r="AM2" s="345"/>
      <c r="AN2" s="343"/>
      <c r="AR2" s="626" t="s">
        <v>95</v>
      </c>
      <c r="AS2" s="627"/>
      <c r="AT2" s="627"/>
      <c r="AU2" s="627"/>
      <c r="AV2" s="628"/>
      <c r="AW2" s="626" t="s">
        <v>96</v>
      </c>
      <c r="AX2" s="627"/>
      <c r="AY2" s="628"/>
      <c r="AZ2" s="626" t="s">
        <v>98</v>
      </c>
      <c r="BA2" s="627"/>
      <c r="BB2" s="628"/>
      <c r="BC2" s="349"/>
      <c r="BE2" s="350"/>
    </row>
    <row r="3" spans="1:65" s="342" customFormat="1" ht="48" customHeight="1" thickBot="1">
      <c r="A3" s="351" t="s">
        <v>51</v>
      </c>
      <c r="B3" s="352" t="s">
        <v>52</v>
      </c>
      <c r="C3" s="352" t="s">
        <v>53</v>
      </c>
      <c r="D3" s="352" t="s">
        <v>54</v>
      </c>
      <c r="E3" s="353"/>
      <c r="F3" s="354" t="s">
        <v>80</v>
      </c>
      <c r="G3" s="352" t="s">
        <v>55</v>
      </c>
      <c r="H3" s="352" t="s">
        <v>56</v>
      </c>
      <c r="I3" s="352" t="s">
        <v>100</v>
      </c>
      <c r="J3" s="353"/>
      <c r="K3" s="352" t="s">
        <v>388</v>
      </c>
      <c r="L3" s="355" t="s">
        <v>324</v>
      </c>
      <c r="M3" s="478" t="s">
        <v>395</v>
      </c>
      <c r="N3" s="479"/>
      <c r="O3" s="480" t="s">
        <v>396</v>
      </c>
      <c r="P3" s="480"/>
      <c r="Q3" s="480" t="s">
        <v>392</v>
      </c>
      <c r="R3" s="480" t="s">
        <v>394</v>
      </c>
      <c r="S3" s="480" t="s">
        <v>393</v>
      </c>
      <c r="T3" s="352" t="s">
        <v>376</v>
      </c>
      <c r="U3" s="352" t="s">
        <v>378</v>
      </c>
      <c r="V3" s="356" t="s">
        <v>328</v>
      </c>
      <c r="W3" s="357" t="s">
        <v>329</v>
      </c>
      <c r="X3" s="356" t="s">
        <v>332</v>
      </c>
      <c r="Y3" s="357" t="s">
        <v>333</v>
      </c>
      <c r="Z3" s="358" t="s">
        <v>334</v>
      </c>
      <c r="AA3" s="359" t="s">
        <v>391</v>
      </c>
      <c r="AB3" s="421" t="s">
        <v>390</v>
      </c>
      <c r="AC3" s="419" t="s">
        <v>389</v>
      </c>
      <c r="AD3" s="419"/>
      <c r="AE3" s="360" t="s">
        <v>399</v>
      </c>
      <c r="AF3" s="360" t="s">
        <v>400</v>
      </c>
      <c r="AG3" s="360" t="s">
        <v>401</v>
      </c>
      <c r="AH3" s="360" t="s">
        <v>402</v>
      </c>
      <c r="AI3" s="359" t="s">
        <v>403</v>
      </c>
      <c r="AJ3" s="359" t="s">
        <v>335</v>
      </c>
      <c r="AK3" s="360" t="s">
        <v>337</v>
      </c>
      <c r="AL3" s="360" t="s">
        <v>336</v>
      </c>
      <c r="AM3" s="361" t="s">
        <v>125</v>
      </c>
      <c r="AN3" s="623" t="s">
        <v>126</v>
      </c>
      <c r="AO3" s="624"/>
      <c r="AP3" s="625"/>
      <c r="AR3" s="362" t="s">
        <v>51</v>
      </c>
      <c r="AS3" s="363"/>
      <c r="AT3" s="362" t="s">
        <v>94</v>
      </c>
      <c r="AU3" s="363"/>
      <c r="AV3" s="364" t="s">
        <v>57</v>
      </c>
      <c r="AW3" s="365"/>
      <c r="AX3" s="363" t="s">
        <v>59</v>
      </c>
      <c r="AY3" s="366" t="s">
        <v>93</v>
      </c>
      <c r="AZ3" s="364" t="s">
        <v>57</v>
      </c>
      <c r="BA3" s="367" t="s">
        <v>59</v>
      </c>
      <c r="BB3" s="368" t="s">
        <v>57</v>
      </c>
      <c r="BC3" s="368" t="s">
        <v>58</v>
      </c>
      <c r="BD3" s="369" t="s">
        <v>59</v>
      </c>
      <c r="BE3" s="370" t="s">
        <v>99</v>
      </c>
      <c r="BF3" s="369" t="s">
        <v>97</v>
      </c>
      <c r="BG3" s="371"/>
      <c r="BI3" s="372"/>
      <c r="BJ3" s="372"/>
      <c r="BK3" s="372"/>
      <c r="BL3" s="372"/>
      <c r="BM3" s="372"/>
    </row>
    <row r="4" spans="1:65" ht="16.5" thickBot="1">
      <c r="A4" s="87"/>
      <c r="B4" s="5"/>
      <c r="C4" s="5"/>
      <c r="D4" s="256"/>
      <c r="E4" s="317">
        <v>1.66</v>
      </c>
      <c r="F4" s="317"/>
      <c r="G4" s="5"/>
      <c r="H4" s="5"/>
      <c r="I4" s="5"/>
      <c r="J4" s="318"/>
      <c r="K4" s="5"/>
      <c r="L4" s="83"/>
      <c r="M4" s="481"/>
      <c r="N4" s="481"/>
      <c r="O4" s="481"/>
      <c r="P4" s="481"/>
      <c r="Q4" s="481"/>
      <c r="R4" s="481"/>
      <c r="S4" s="481"/>
      <c r="T4" s="83"/>
      <c r="U4" s="83"/>
      <c r="V4" s="307"/>
      <c r="W4" s="308"/>
      <c r="X4" s="307"/>
      <c r="Y4" s="308"/>
      <c r="Z4" s="309"/>
      <c r="AA4" s="420"/>
      <c r="AB4" s="422"/>
      <c r="AC4" s="420"/>
      <c r="AD4" s="420"/>
      <c r="AE4" s="420"/>
      <c r="AF4" s="420"/>
      <c r="AG4" s="420"/>
      <c r="AH4" s="420"/>
      <c r="AI4" s="420"/>
      <c r="AJ4" s="310"/>
      <c r="AK4" s="311"/>
      <c r="AL4" s="311"/>
      <c r="AM4" s="312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[2]WATER!$A$35</f>
        <v>44834</v>
      </c>
      <c r="B5" s="392">
        <f>[3]WATER!B36</f>
        <v>109443</v>
      </c>
      <c r="C5" s="392">
        <f>[3]WATER!C36</f>
        <v>0</v>
      </c>
      <c r="D5" s="392">
        <f>[3]WATER!D36</f>
        <v>0</v>
      </c>
      <c r="E5" s="392">
        <f>[3]WATER!E36</f>
        <v>241.93548387096774</v>
      </c>
      <c r="F5" s="392">
        <f>[3]WATER!F36</f>
        <v>0</v>
      </c>
      <c r="G5" s="392">
        <f>[2]WATER!$G$36</f>
        <v>630568</v>
      </c>
      <c r="H5" s="392">
        <f>[3]WATER!H36</f>
        <v>122</v>
      </c>
      <c r="I5" s="392">
        <f>[3]WATER!I36</f>
        <v>122</v>
      </c>
      <c r="J5" s="392">
        <f>[3]WATER!J36</f>
        <v>1.9830777366472765</v>
      </c>
      <c r="K5" s="392">
        <f>[3]WATER!K36</f>
        <v>7089</v>
      </c>
      <c r="L5" s="392">
        <f>[3]WATER!L36</f>
        <v>0</v>
      </c>
      <c r="M5" s="392">
        <f>[3]WATER!M36</f>
        <v>457.44</v>
      </c>
      <c r="N5" s="392">
        <f>[3]WATER!N36</f>
        <v>0</v>
      </c>
      <c r="O5" s="392">
        <f>[3]WATER!O36</f>
        <v>529.52</v>
      </c>
      <c r="P5" s="392">
        <f>[3]WATER!P36</f>
        <v>0</v>
      </c>
      <c r="Q5" s="392">
        <f>[3]WATER!Q36</f>
        <v>0</v>
      </c>
      <c r="R5" s="392">
        <f>[3]WATER!R36</f>
        <v>0</v>
      </c>
      <c r="S5" s="392">
        <f>[3]WATER!S36</f>
        <v>0</v>
      </c>
      <c r="T5" s="392">
        <f>[2]WATER!$T$36</f>
        <v>5191</v>
      </c>
      <c r="U5" s="392">
        <f>[3]WATER!U36</f>
        <v>0</v>
      </c>
      <c r="V5" s="392">
        <f>[3]WATER!V36</f>
        <v>499</v>
      </c>
      <c r="W5" s="392">
        <f>[3]WATER!W36</f>
        <v>1</v>
      </c>
      <c r="X5" s="392">
        <f>[2]WATER!$X$36</f>
        <v>155960</v>
      </c>
      <c r="Y5" s="392">
        <v>0</v>
      </c>
      <c r="Z5" s="392">
        <f>[3]WATER!Z36</f>
        <v>99668</v>
      </c>
      <c r="AA5" s="392">
        <v>0</v>
      </c>
      <c r="AB5" s="392">
        <v>254</v>
      </c>
      <c r="AC5" s="392">
        <f>[3]WATER!AC36</f>
        <v>855</v>
      </c>
      <c r="AD5" s="392">
        <v>0</v>
      </c>
      <c r="AE5" s="392">
        <f>[3]WATER!AE36</f>
        <v>248.42</v>
      </c>
      <c r="AF5" s="392">
        <f>[3]WATER!AF36</f>
        <v>0</v>
      </c>
      <c r="AG5" s="392">
        <f>[3]WATER!AG36</f>
        <v>2247.41</v>
      </c>
      <c r="AH5" s="392">
        <f>[3]WATER!AH36</f>
        <v>0</v>
      </c>
      <c r="AI5" s="392">
        <f>[3]WATER!AI36</f>
        <v>0</v>
      </c>
      <c r="AJ5" s="392">
        <v>0</v>
      </c>
      <c r="AK5" s="392">
        <v>0</v>
      </c>
      <c r="AL5" s="392">
        <v>0</v>
      </c>
      <c r="AM5" s="392">
        <f>[3]WATER!AM36</f>
        <v>29.5</v>
      </c>
      <c r="AN5" s="392">
        <f>[3]WATER!AN36</f>
        <v>0</v>
      </c>
      <c r="AO5" s="392">
        <f>[3]WATER!AO36</f>
        <v>0</v>
      </c>
      <c r="AP5" s="392">
        <f>[3]WATER!AP36</f>
        <v>0</v>
      </c>
      <c r="AR5" s="540">
        <f>[2]WATER!$AR$35</f>
        <v>44834</v>
      </c>
      <c r="AS5" s="392">
        <f>[3]WATER!AS36</f>
        <v>0.9</v>
      </c>
      <c r="AT5" s="392">
        <v>164</v>
      </c>
      <c r="AU5" s="392">
        <f>[3]WATER!AU36</f>
        <v>1.1000000000000001</v>
      </c>
      <c r="AV5" s="392">
        <v>110</v>
      </c>
      <c r="AW5" s="392">
        <f>[3]WATER!AW36</f>
        <v>2.9</v>
      </c>
      <c r="AX5" s="392">
        <v>94</v>
      </c>
      <c r="AY5" s="392">
        <f>[3]WATER!AY36</f>
        <v>53.1</v>
      </c>
      <c r="AZ5" s="392">
        <f>[3]WATER!AZ36</f>
        <v>168.3</v>
      </c>
      <c r="BA5" s="392">
        <f>[3]WATER!BA36</f>
        <v>295.8</v>
      </c>
      <c r="BB5" s="392">
        <f>[3]WATER!BB36</f>
        <v>-26.9</v>
      </c>
      <c r="BC5" s="392">
        <f>[3]WATER!BC36</f>
        <v>85.800000000000011</v>
      </c>
      <c r="BD5" s="392">
        <f>[3]WATER!BD36</f>
        <v>60.900000000000006</v>
      </c>
      <c r="BE5" s="392">
        <f>[3]WATER!BE36</f>
        <v>119.80000000000001</v>
      </c>
      <c r="BF5" s="392">
        <f>[3]WATER!BF36</f>
        <v>2.1999999999999886</v>
      </c>
      <c r="BG5" s="392">
        <f>[3]WATER!BG36</f>
        <v>119.80000000000001</v>
      </c>
    </row>
    <row r="6" spans="1:65" ht="15.75" thickBot="1">
      <c r="A6" s="6">
        <f>ELEC!C4</f>
        <v>44835</v>
      </c>
      <c r="B6" s="5">
        <f>B5</f>
        <v>109443</v>
      </c>
      <c r="C6" s="5">
        <f>B6-B5</f>
        <v>0</v>
      </c>
      <c r="D6" s="401">
        <f>C6/27</f>
        <v>0</v>
      </c>
      <c r="E6" s="317">
        <f>SUM((C6*$E$4)+(7500/'EDl log'!$A$37))</f>
        <v>241.93548387096774</v>
      </c>
      <c r="F6" s="400"/>
      <c r="G6" s="5">
        <f>G5</f>
        <v>630568</v>
      </c>
      <c r="H6" s="5">
        <f>G6-G5</f>
        <v>0</v>
      </c>
      <c r="I6" s="5">
        <f>C6+H6</f>
        <v>0</v>
      </c>
      <c r="J6" s="318">
        <f t="shared" ref="J6:J33" si="0">IF(I6&gt;0,E6/I6,0)</f>
        <v>0</v>
      </c>
      <c r="K6" s="5">
        <f>K5</f>
        <v>7089</v>
      </c>
      <c r="L6" s="83">
        <v>0</v>
      </c>
      <c r="M6" s="392">
        <f>M5</f>
        <v>457.44</v>
      </c>
      <c r="N6" s="481">
        <f t="shared" ref="N6:N13" si="1">SUM(M6-M5)</f>
        <v>0</v>
      </c>
      <c r="O6" s="392">
        <f>O5</f>
        <v>529.52</v>
      </c>
      <c r="P6" s="481">
        <f t="shared" ref="P6:P13" si="2">SUM(O6-O5)</f>
        <v>0</v>
      </c>
      <c r="Q6" s="482">
        <f>P6+N6</f>
        <v>0</v>
      </c>
      <c r="R6" s="481"/>
      <c r="S6" s="481"/>
      <c r="T6" s="5">
        <f>T5</f>
        <v>5191</v>
      </c>
      <c r="U6" s="5">
        <f t="shared" ref="U6:U33" si="3">SUM(T6-T5)</f>
        <v>0</v>
      </c>
      <c r="V6" s="5">
        <f>V5</f>
        <v>499</v>
      </c>
      <c r="W6" s="308">
        <f>+V6-V5</f>
        <v>0</v>
      </c>
      <c r="X6" s="5">
        <f>X5</f>
        <v>155960</v>
      </c>
      <c r="Y6" s="308">
        <f>SUM(X6-X5)</f>
        <v>0</v>
      </c>
      <c r="Z6" s="5">
        <f>Z5</f>
        <v>99668</v>
      </c>
      <c r="AA6" s="83">
        <f>Z6-Z5</f>
        <v>0</v>
      </c>
      <c r="AB6" s="5">
        <f>AB5</f>
        <v>254</v>
      </c>
      <c r="AC6" s="5">
        <f>AC5</f>
        <v>855</v>
      </c>
      <c r="AD6" s="83">
        <v>0</v>
      </c>
      <c r="AE6" s="5">
        <f>AE5</f>
        <v>248.42</v>
      </c>
      <c r="AF6" s="83">
        <f>AE6-AE5</f>
        <v>0</v>
      </c>
      <c r="AG6" s="5">
        <f>AG5</f>
        <v>2247.41</v>
      </c>
      <c r="AH6" s="83">
        <f>AG6-AG5</f>
        <v>0</v>
      </c>
      <c r="AI6" s="83">
        <f>AF6+AH6</f>
        <v>0</v>
      </c>
      <c r="AJ6" s="310">
        <f>+Z6-Z5</f>
        <v>0</v>
      </c>
      <c r="AK6" s="311">
        <f>SUM(Y6-L6)</f>
        <v>0</v>
      </c>
      <c r="AL6" s="311">
        <f>SUM(AJ6-W6)</f>
        <v>0</v>
      </c>
      <c r="AM6" s="311">
        <f>'General information '!D5</f>
        <v>26.5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44835</v>
      </c>
      <c r="AS6" s="406">
        <f>AS5</f>
        <v>0.9</v>
      </c>
      <c r="AT6" s="201">
        <f>AT5</f>
        <v>164</v>
      </c>
      <c r="AU6" s="407">
        <f>AU5</f>
        <v>1.1000000000000001</v>
      </c>
      <c r="AV6" s="392">
        <v>110</v>
      </c>
      <c r="AW6" s="5">
        <v>2.9</v>
      </c>
      <c r="AX6" s="392">
        <v>94</v>
      </c>
      <c r="AY6" s="408">
        <f>AS6*AT6</f>
        <v>147.6</v>
      </c>
      <c r="AZ6" s="408">
        <f>AU6*AV6</f>
        <v>121.00000000000001</v>
      </c>
      <c r="BA6" s="408">
        <f>AW6*AX6</f>
        <v>272.59999999999997</v>
      </c>
      <c r="BB6" s="21">
        <f>AY6-AY5</f>
        <v>94.5</v>
      </c>
      <c r="BC6" s="21">
        <f>AZ6-AZ5</f>
        <v>-47.3</v>
      </c>
      <c r="BD6" s="21">
        <f>BA6-BA5</f>
        <v>-23.200000000000045</v>
      </c>
      <c r="BE6" s="24">
        <f>SUM(BB6:BD6)</f>
        <v>23.999999999999957</v>
      </c>
      <c r="BF6" s="96">
        <f>SUM(I6-BE6)</f>
        <v>-23.999999999999957</v>
      </c>
      <c r="BG6" s="82">
        <f t="shared" ref="BG6:BG33" si="4">SUM(I6-BF6)</f>
        <v>23.999999999999957</v>
      </c>
      <c r="BI6" s="17"/>
      <c r="BJ6" s="17"/>
      <c r="BK6" s="17"/>
      <c r="BL6" s="17"/>
      <c r="BM6" s="17"/>
    </row>
    <row r="7" spans="1:65" ht="15.75" thickBot="1">
      <c r="A7" s="6">
        <f>ELEC!C5</f>
        <v>44836</v>
      </c>
      <c r="B7" s="5">
        <f t="shared" ref="B7:B36" si="5">B6</f>
        <v>109443</v>
      </c>
      <c r="C7" s="5">
        <f t="shared" ref="C7:C33" si="6">B7-B6</f>
        <v>0</v>
      </c>
      <c r="D7" s="401">
        <f t="shared" ref="D7:D33" si="7">C7/27</f>
        <v>0</v>
      </c>
      <c r="E7" s="317">
        <f>SUM((C7*$E$4)+(7500/'EDl log'!$A$37))</f>
        <v>241.93548387096774</v>
      </c>
      <c r="F7" s="400"/>
      <c r="G7" s="5">
        <v>630767</v>
      </c>
      <c r="H7" s="5">
        <f t="shared" ref="H7:H33" si="8">G7-G6</f>
        <v>199</v>
      </c>
      <c r="I7" s="5">
        <f t="shared" ref="I7:I33" si="9">C7+H7</f>
        <v>199</v>
      </c>
      <c r="J7" s="318">
        <f t="shared" si="0"/>
        <v>1.2157562003566218</v>
      </c>
      <c r="K7" s="5">
        <f t="shared" ref="K7:K36" si="10">K6</f>
        <v>7089</v>
      </c>
      <c r="L7" s="83">
        <f>K7-K6</f>
        <v>0</v>
      </c>
      <c r="M7" s="392">
        <f t="shared" ref="M7:M36" si="11">M6</f>
        <v>457.44</v>
      </c>
      <c r="N7" s="481">
        <f t="shared" si="1"/>
        <v>0</v>
      </c>
      <c r="O7" s="392">
        <f t="shared" ref="O7:O36" si="12">O6</f>
        <v>529.52</v>
      </c>
      <c r="P7" s="481">
        <f t="shared" si="2"/>
        <v>0</v>
      </c>
      <c r="Q7" s="482">
        <f>P7+N7</f>
        <v>0</v>
      </c>
      <c r="R7" s="481"/>
      <c r="S7" s="481"/>
      <c r="T7" s="5">
        <v>5192</v>
      </c>
      <c r="U7" s="5">
        <f t="shared" si="3"/>
        <v>1</v>
      </c>
      <c r="V7" s="5">
        <v>500</v>
      </c>
      <c r="W7" s="308">
        <f t="shared" ref="W7:W33" si="13">+V7-V6</f>
        <v>1</v>
      </c>
      <c r="X7" s="5">
        <v>155960</v>
      </c>
      <c r="Y7" s="308">
        <f>SUM(X7-X6)</f>
        <v>0</v>
      </c>
      <c r="Z7" s="5">
        <f t="shared" ref="Z7:Z36" si="14">Z6</f>
        <v>99668</v>
      </c>
      <c r="AA7" s="83">
        <f t="shared" ref="AA7:AA33" si="15">Z7-Z6</f>
        <v>0</v>
      </c>
      <c r="AB7" s="5">
        <f t="shared" ref="AB7:AB36" si="16">AB6</f>
        <v>254</v>
      </c>
      <c r="AC7" s="5">
        <f t="shared" ref="AC7:AC36" si="17">AC6</f>
        <v>855</v>
      </c>
      <c r="AD7" s="83">
        <f>AC7-AC6</f>
        <v>0</v>
      </c>
      <c r="AE7" s="5">
        <f t="shared" ref="AE7:AE36" si="18">AE6</f>
        <v>248.42</v>
      </c>
      <c r="AF7" s="83">
        <f t="shared" ref="AF7:AF32" si="19">AE7-AE6</f>
        <v>0</v>
      </c>
      <c r="AG7" s="5">
        <f t="shared" ref="AG7:AG36" si="20">AG6</f>
        <v>2247.41</v>
      </c>
      <c r="AH7" s="83">
        <f t="shared" ref="AH7:AH33" si="21">AG7-AG6</f>
        <v>0</v>
      </c>
      <c r="AI7" s="83">
        <f t="shared" ref="AI7:AI33" si="22">AF7+AH7</f>
        <v>0</v>
      </c>
      <c r="AJ7" s="310">
        <f t="shared" ref="AJ7:AJ33" si="23">+Z7-Z6</f>
        <v>0</v>
      </c>
      <c r="AK7" s="311">
        <f>SUM(Y7-L7)</f>
        <v>0</v>
      </c>
      <c r="AL7" s="311">
        <f t="shared" ref="AL7:AL33" si="24">SUM(AJ7-W7)</f>
        <v>-1</v>
      </c>
      <c r="AM7" s="311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5">A7</f>
        <v>44836</v>
      </c>
      <c r="AS7" s="406">
        <f t="shared" ref="AS7:AT21" si="26">AS6</f>
        <v>0.9</v>
      </c>
      <c r="AT7" s="201">
        <f t="shared" si="26"/>
        <v>164</v>
      </c>
      <c r="AU7" s="407">
        <f>AU6</f>
        <v>1.1000000000000001</v>
      </c>
      <c r="AV7" s="201">
        <v>108</v>
      </c>
      <c r="AW7" s="5">
        <v>2.9</v>
      </c>
      <c r="AX7" s="201">
        <v>92</v>
      </c>
      <c r="AY7" s="408">
        <f>AS7*AT7</f>
        <v>147.6</v>
      </c>
      <c r="AZ7" s="408">
        <f>AU7*AV7</f>
        <v>118.80000000000001</v>
      </c>
      <c r="BA7" s="408">
        <f>AW7*AX7</f>
        <v>266.8</v>
      </c>
      <c r="BB7" s="21">
        <f>AY7-AY6</f>
        <v>0</v>
      </c>
      <c r="BC7" s="21">
        <f t="shared" ref="BC7:BD21" si="27">AZ7-AZ6</f>
        <v>-2.2000000000000028</v>
      </c>
      <c r="BD7" s="21">
        <f t="shared" si="27"/>
        <v>-5.7999999999999545</v>
      </c>
      <c r="BE7" s="24">
        <f t="shared" ref="BE7:BE33" si="28">SUM(BB7:BD7)</f>
        <v>-7.9999999999999574</v>
      </c>
      <c r="BF7" s="96">
        <f t="shared" ref="BF7:BF33" si="29">SUM(I7-BE7)</f>
        <v>206.99999999999994</v>
      </c>
      <c r="BG7" s="82">
        <f t="shared" si="4"/>
        <v>-7.9999999999999432</v>
      </c>
      <c r="BI7" s="86"/>
      <c r="BJ7" s="17"/>
      <c r="BK7" s="17"/>
      <c r="BL7" s="17"/>
      <c r="BM7" s="17"/>
    </row>
    <row r="8" spans="1:65" ht="15.75" thickBot="1">
      <c r="A8" s="6">
        <f>ELEC!C6</f>
        <v>44837</v>
      </c>
      <c r="B8" s="5">
        <f t="shared" si="5"/>
        <v>109443</v>
      </c>
      <c r="C8" s="5">
        <f>B8-B7</f>
        <v>0</v>
      </c>
      <c r="D8" s="401">
        <f t="shared" si="7"/>
        <v>0</v>
      </c>
      <c r="E8" s="317">
        <f>SUM((C8*$E$4)+(7500/'EDl log'!$A$37))</f>
        <v>241.93548387096774</v>
      </c>
      <c r="F8" s="400"/>
      <c r="G8" s="5">
        <f t="shared" ref="G8:G36" si="30">G7</f>
        <v>630767</v>
      </c>
      <c r="H8" s="5">
        <f t="shared" si="8"/>
        <v>0</v>
      </c>
      <c r="I8" s="5">
        <f t="shared" si="9"/>
        <v>0</v>
      </c>
      <c r="J8" s="318">
        <f t="shared" si="0"/>
        <v>0</v>
      </c>
      <c r="K8" s="5">
        <f t="shared" si="10"/>
        <v>7089</v>
      </c>
      <c r="L8" s="83">
        <f>K8-K7</f>
        <v>0</v>
      </c>
      <c r="M8" s="392">
        <f t="shared" si="11"/>
        <v>457.44</v>
      </c>
      <c r="N8" s="481">
        <f t="shared" si="1"/>
        <v>0</v>
      </c>
      <c r="O8" s="392">
        <f t="shared" si="12"/>
        <v>529.52</v>
      </c>
      <c r="P8" s="481">
        <f t="shared" si="2"/>
        <v>0</v>
      </c>
      <c r="Q8" s="482">
        <f>P8+N8</f>
        <v>0</v>
      </c>
      <c r="R8" s="481"/>
      <c r="S8" s="481"/>
      <c r="T8" s="5">
        <f t="shared" ref="T8:T36" si="31">T7</f>
        <v>5192</v>
      </c>
      <c r="U8" s="5">
        <f t="shared" si="3"/>
        <v>0</v>
      </c>
      <c r="V8" s="5">
        <f t="shared" ref="V8:V36" si="32">V7</f>
        <v>500</v>
      </c>
      <c r="W8" s="308">
        <f t="shared" si="13"/>
        <v>0</v>
      </c>
      <c r="X8" s="5">
        <f t="shared" ref="X8:X36" si="33">X7</f>
        <v>155960</v>
      </c>
      <c r="Y8" s="308">
        <f>SUM(X8-X7)</f>
        <v>0</v>
      </c>
      <c r="Z8" s="5">
        <f t="shared" si="14"/>
        <v>99668</v>
      </c>
      <c r="AA8" s="83">
        <f t="shared" si="15"/>
        <v>0</v>
      </c>
      <c r="AB8" s="5">
        <f t="shared" si="16"/>
        <v>254</v>
      </c>
      <c r="AC8" s="5">
        <f t="shared" si="17"/>
        <v>855</v>
      </c>
      <c r="AD8" s="83">
        <f t="shared" ref="AD8:AD33" si="34">AC8-AC7</f>
        <v>0</v>
      </c>
      <c r="AE8" s="5">
        <f t="shared" si="18"/>
        <v>248.42</v>
      </c>
      <c r="AF8" s="83">
        <f t="shared" si="19"/>
        <v>0</v>
      </c>
      <c r="AG8" s="5">
        <f t="shared" si="20"/>
        <v>2247.41</v>
      </c>
      <c r="AH8" s="83">
        <f t="shared" si="21"/>
        <v>0</v>
      </c>
      <c r="AI8" s="83">
        <f t="shared" si="22"/>
        <v>0</v>
      </c>
      <c r="AJ8" s="310">
        <f t="shared" si="23"/>
        <v>0</v>
      </c>
      <c r="AK8" s="311">
        <f t="shared" ref="AK8:AK33" si="35">SUM(Y8-L8)</f>
        <v>0</v>
      </c>
      <c r="AL8" s="311">
        <f>SUM(AJ8-W8)</f>
        <v>0</v>
      </c>
      <c r="AM8" s="311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5"/>
        <v>44837</v>
      </c>
      <c r="AS8" s="406">
        <f t="shared" si="26"/>
        <v>0.9</v>
      </c>
      <c r="AT8" s="201">
        <f t="shared" si="26"/>
        <v>164</v>
      </c>
      <c r="AU8" s="407">
        <v>1.1000000000000001</v>
      </c>
      <c r="AV8" s="201">
        <v>104</v>
      </c>
      <c r="AW8" s="5">
        <v>2.9</v>
      </c>
      <c r="AX8" s="201">
        <v>90</v>
      </c>
      <c r="AY8" s="408">
        <f t="shared" ref="AY8:AY33" si="36">AS8*AT8</f>
        <v>147.6</v>
      </c>
      <c r="AZ8" s="408">
        <f t="shared" ref="AZ8:AZ33" si="37">AU8*AV8</f>
        <v>114.4</v>
      </c>
      <c r="BA8" s="408">
        <f t="shared" ref="BA8:BA33" si="38">AW8*AX8</f>
        <v>261</v>
      </c>
      <c r="BB8" s="21">
        <f t="shared" ref="BB8:BB36" si="39">AY8-AY7</f>
        <v>0</v>
      </c>
      <c r="BC8" s="21">
        <f t="shared" si="27"/>
        <v>-4.4000000000000057</v>
      </c>
      <c r="BD8" s="21">
        <f t="shared" si="27"/>
        <v>-5.8000000000000114</v>
      </c>
      <c r="BE8" s="24">
        <f t="shared" si="28"/>
        <v>-10.200000000000017</v>
      </c>
      <c r="BF8" s="96">
        <f t="shared" si="29"/>
        <v>10.200000000000017</v>
      </c>
      <c r="BG8" s="82">
        <f t="shared" si="4"/>
        <v>-10.200000000000017</v>
      </c>
      <c r="BI8" s="86"/>
      <c r="BJ8" s="17"/>
      <c r="BK8" s="17"/>
    </row>
    <row r="9" spans="1:65" ht="15.75" thickBot="1">
      <c r="A9" s="6">
        <f>ELEC!C7</f>
        <v>44838</v>
      </c>
      <c r="B9" s="5">
        <f t="shared" si="5"/>
        <v>109443</v>
      </c>
      <c r="C9" s="5">
        <f t="shared" si="6"/>
        <v>0</v>
      </c>
      <c r="D9" s="401">
        <f t="shared" si="7"/>
        <v>0</v>
      </c>
      <c r="E9" s="317">
        <f>SUM((C9*$E$4)+(7500/'EDl log'!$A$37))</f>
        <v>241.93548387096774</v>
      </c>
      <c r="F9" s="400"/>
      <c r="G9" s="5">
        <f t="shared" si="30"/>
        <v>630767</v>
      </c>
      <c r="H9" s="5">
        <f t="shared" si="8"/>
        <v>0</v>
      </c>
      <c r="I9" s="5">
        <f t="shared" si="9"/>
        <v>0</v>
      </c>
      <c r="J9" s="318">
        <f t="shared" si="0"/>
        <v>0</v>
      </c>
      <c r="K9" s="5">
        <f t="shared" si="10"/>
        <v>7089</v>
      </c>
      <c r="L9" s="83">
        <f t="shared" ref="L9:L33" si="40">K9-K8</f>
        <v>0</v>
      </c>
      <c r="M9" s="392">
        <f t="shared" si="11"/>
        <v>457.44</v>
      </c>
      <c r="N9" s="481">
        <f t="shared" si="1"/>
        <v>0</v>
      </c>
      <c r="O9" s="392">
        <f t="shared" si="12"/>
        <v>529.52</v>
      </c>
      <c r="P9" s="481">
        <f t="shared" si="2"/>
        <v>0</v>
      </c>
      <c r="Q9" s="482">
        <f>P9+N9</f>
        <v>0</v>
      </c>
      <c r="R9" s="481"/>
      <c r="S9" s="481"/>
      <c r="T9" s="5">
        <f t="shared" si="31"/>
        <v>5192</v>
      </c>
      <c r="U9" s="5">
        <f t="shared" si="3"/>
        <v>0</v>
      </c>
      <c r="V9" s="5">
        <f t="shared" si="32"/>
        <v>500</v>
      </c>
      <c r="W9" s="308">
        <f t="shared" si="13"/>
        <v>0</v>
      </c>
      <c r="X9" s="5">
        <f t="shared" si="33"/>
        <v>155960</v>
      </c>
      <c r="Y9" s="308">
        <f t="shared" ref="Y9:Y33" si="41">SUM(X9-X8)</f>
        <v>0</v>
      </c>
      <c r="Z9" s="5">
        <f t="shared" si="14"/>
        <v>99668</v>
      </c>
      <c r="AA9" s="83">
        <f t="shared" si="15"/>
        <v>0</v>
      </c>
      <c r="AB9" s="5">
        <f t="shared" si="16"/>
        <v>254</v>
      </c>
      <c r="AC9" s="5">
        <f t="shared" si="17"/>
        <v>855</v>
      </c>
      <c r="AD9" s="83">
        <f t="shared" si="34"/>
        <v>0</v>
      </c>
      <c r="AE9" s="5">
        <f t="shared" si="18"/>
        <v>248.42</v>
      </c>
      <c r="AF9" s="83">
        <f t="shared" si="19"/>
        <v>0</v>
      </c>
      <c r="AG9" s="5">
        <f t="shared" si="20"/>
        <v>2247.41</v>
      </c>
      <c r="AH9" s="83">
        <f t="shared" si="21"/>
        <v>0</v>
      </c>
      <c r="AI9" s="83">
        <f t="shared" si="22"/>
        <v>0</v>
      </c>
      <c r="AJ9" s="310">
        <f t="shared" si="23"/>
        <v>0</v>
      </c>
      <c r="AK9" s="311">
        <f t="shared" si="35"/>
        <v>0</v>
      </c>
      <c r="AL9" s="311">
        <f t="shared" si="24"/>
        <v>0</v>
      </c>
      <c r="AM9" s="311">
        <f>'General information '!D8</f>
        <v>26.5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5"/>
        <v>44838</v>
      </c>
      <c r="AS9" s="406">
        <f t="shared" si="26"/>
        <v>0.9</v>
      </c>
      <c r="AT9" s="201">
        <v>141</v>
      </c>
      <c r="AU9" s="407">
        <f t="shared" ref="AU9:AU36" si="42">AU8</f>
        <v>1.1000000000000001</v>
      </c>
      <c r="AV9" s="201">
        <v>102</v>
      </c>
      <c r="AW9" s="5">
        <v>2.9</v>
      </c>
      <c r="AX9" s="201">
        <v>88</v>
      </c>
      <c r="AY9" s="408">
        <f t="shared" si="36"/>
        <v>126.9</v>
      </c>
      <c r="AZ9" s="408">
        <f t="shared" si="37"/>
        <v>112.2</v>
      </c>
      <c r="BA9" s="408">
        <f t="shared" si="38"/>
        <v>255.2</v>
      </c>
      <c r="BB9" s="21">
        <f t="shared" si="39"/>
        <v>-20.699999999999989</v>
      </c>
      <c r="BC9" s="21">
        <f t="shared" si="27"/>
        <v>-2.2000000000000028</v>
      </c>
      <c r="BD9" s="21">
        <f t="shared" si="27"/>
        <v>-5.8000000000000114</v>
      </c>
      <c r="BE9" s="24">
        <f t="shared" si="28"/>
        <v>-28.700000000000003</v>
      </c>
      <c r="BF9" s="329">
        <f t="shared" si="29"/>
        <v>28.700000000000003</v>
      </c>
      <c r="BG9" s="82">
        <f t="shared" si="4"/>
        <v>-28.700000000000003</v>
      </c>
    </row>
    <row r="10" spans="1:65" ht="15.75" thickBot="1">
      <c r="A10" s="6">
        <f>ELEC!C8</f>
        <v>44839</v>
      </c>
      <c r="B10" s="5">
        <f t="shared" si="5"/>
        <v>109443</v>
      </c>
      <c r="C10" s="5">
        <f t="shared" si="6"/>
        <v>0</v>
      </c>
      <c r="D10" s="401">
        <f t="shared" si="7"/>
        <v>0</v>
      </c>
      <c r="E10" s="317">
        <f>SUM((C10*$E$4)+(7500/'EDl log'!$A$37))</f>
        <v>241.93548387096774</v>
      </c>
      <c r="F10" s="400"/>
      <c r="G10" s="5">
        <f t="shared" si="30"/>
        <v>630767</v>
      </c>
      <c r="H10" s="5">
        <f t="shared" si="8"/>
        <v>0</v>
      </c>
      <c r="I10" s="5">
        <f t="shared" si="9"/>
        <v>0</v>
      </c>
      <c r="J10" s="318">
        <f t="shared" si="0"/>
        <v>0</v>
      </c>
      <c r="K10" s="5">
        <f t="shared" si="10"/>
        <v>7089</v>
      </c>
      <c r="L10" s="83">
        <f>K10-K9</f>
        <v>0</v>
      </c>
      <c r="M10" s="392">
        <f t="shared" si="11"/>
        <v>457.44</v>
      </c>
      <c r="N10" s="481">
        <f t="shared" si="1"/>
        <v>0</v>
      </c>
      <c r="O10" s="392">
        <f t="shared" si="12"/>
        <v>529.52</v>
      </c>
      <c r="P10" s="481">
        <f t="shared" si="2"/>
        <v>0</v>
      </c>
      <c r="Q10" s="482">
        <f>P10+N10</f>
        <v>0</v>
      </c>
      <c r="R10" s="481"/>
      <c r="S10" s="481"/>
      <c r="T10" s="5">
        <f t="shared" si="31"/>
        <v>5192</v>
      </c>
      <c r="U10" s="5">
        <f t="shared" si="3"/>
        <v>0</v>
      </c>
      <c r="V10" s="5">
        <f t="shared" si="32"/>
        <v>500</v>
      </c>
      <c r="W10" s="308">
        <f t="shared" si="13"/>
        <v>0</v>
      </c>
      <c r="X10" s="5">
        <f t="shared" si="33"/>
        <v>155960</v>
      </c>
      <c r="Y10" s="308">
        <f t="shared" si="41"/>
        <v>0</v>
      </c>
      <c r="Z10" s="5">
        <f t="shared" si="14"/>
        <v>99668</v>
      </c>
      <c r="AA10" s="83">
        <f t="shared" si="15"/>
        <v>0</v>
      </c>
      <c r="AB10" s="5">
        <f t="shared" si="16"/>
        <v>254</v>
      </c>
      <c r="AC10" s="5">
        <f t="shared" si="17"/>
        <v>855</v>
      </c>
      <c r="AD10" s="83">
        <f t="shared" si="34"/>
        <v>0</v>
      </c>
      <c r="AE10" s="5">
        <f t="shared" si="18"/>
        <v>248.42</v>
      </c>
      <c r="AF10" s="83">
        <f t="shared" si="19"/>
        <v>0</v>
      </c>
      <c r="AG10" s="5">
        <f t="shared" si="20"/>
        <v>2247.41</v>
      </c>
      <c r="AH10" s="83">
        <f t="shared" si="21"/>
        <v>0</v>
      </c>
      <c r="AI10" s="83">
        <f t="shared" si="22"/>
        <v>0</v>
      </c>
      <c r="AJ10" s="310">
        <f t="shared" si="23"/>
        <v>0</v>
      </c>
      <c r="AK10" s="311">
        <f>SUM(Y10-L10)</f>
        <v>0</v>
      </c>
      <c r="AL10" s="311">
        <f t="shared" si="24"/>
        <v>0</v>
      </c>
      <c r="AM10" s="311">
        <f>'General information '!D9</f>
        <v>26.5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5"/>
        <v>44839</v>
      </c>
      <c r="AS10" s="406">
        <f t="shared" si="26"/>
        <v>0.9</v>
      </c>
      <c r="AT10" s="201">
        <v>141</v>
      </c>
      <c r="AU10" s="407">
        <f t="shared" si="42"/>
        <v>1.1000000000000001</v>
      </c>
      <c r="AV10" s="201">
        <v>100</v>
      </c>
      <c r="AW10" s="5">
        <v>2.9</v>
      </c>
      <c r="AX10" s="201">
        <v>86</v>
      </c>
      <c r="AY10" s="408">
        <f t="shared" si="36"/>
        <v>126.9</v>
      </c>
      <c r="AZ10" s="408">
        <f t="shared" si="37"/>
        <v>110.00000000000001</v>
      </c>
      <c r="BA10" s="408">
        <f t="shared" si="38"/>
        <v>249.4</v>
      </c>
      <c r="BB10" s="21">
        <f t="shared" si="39"/>
        <v>0</v>
      </c>
      <c r="BC10" s="21">
        <f t="shared" si="27"/>
        <v>-2.1999999999999886</v>
      </c>
      <c r="BD10" s="21">
        <f t="shared" si="27"/>
        <v>-5.7999999999999829</v>
      </c>
      <c r="BE10" s="24">
        <f t="shared" si="28"/>
        <v>-7.9999999999999716</v>
      </c>
      <c r="BF10" s="96">
        <f t="shared" si="29"/>
        <v>7.9999999999999716</v>
      </c>
      <c r="BG10" s="82">
        <f t="shared" si="4"/>
        <v>-7.9999999999999716</v>
      </c>
    </row>
    <row r="11" spans="1:65" ht="15.75" thickBot="1">
      <c r="A11" s="6">
        <f>ELEC!C9</f>
        <v>44840</v>
      </c>
      <c r="B11" s="5">
        <f t="shared" si="5"/>
        <v>109443</v>
      </c>
      <c r="C11" s="5">
        <f t="shared" si="6"/>
        <v>0</v>
      </c>
      <c r="D11" s="401">
        <f t="shared" si="7"/>
        <v>0</v>
      </c>
      <c r="E11" s="317">
        <f>SUM((C11*$E$4)+(7500/'EDl log'!$A$37))</f>
        <v>241.93548387096774</v>
      </c>
      <c r="F11" s="400"/>
      <c r="G11" s="5">
        <f t="shared" si="30"/>
        <v>630767</v>
      </c>
      <c r="H11" s="5">
        <f t="shared" si="8"/>
        <v>0</v>
      </c>
      <c r="I11" s="5">
        <f t="shared" si="9"/>
        <v>0</v>
      </c>
      <c r="J11" s="318">
        <f t="shared" si="0"/>
        <v>0</v>
      </c>
      <c r="K11" s="5">
        <f t="shared" si="10"/>
        <v>7089</v>
      </c>
      <c r="L11" s="83">
        <f t="shared" si="40"/>
        <v>0</v>
      </c>
      <c r="M11" s="392">
        <f t="shared" si="11"/>
        <v>457.44</v>
      </c>
      <c r="N11" s="481">
        <f t="shared" si="1"/>
        <v>0</v>
      </c>
      <c r="O11" s="392">
        <f t="shared" si="12"/>
        <v>529.52</v>
      </c>
      <c r="P11" s="481">
        <f t="shared" si="2"/>
        <v>0</v>
      </c>
      <c r="Q11" s="481">
        <f>SUM(P11+N11)</f>
        <v>0</v>
      </c>
      <c r="R11" s="481"/>
      <c r="S11" s="481"/>
      <c r="T11" s="5">
        <v>5193</v>
      </c>
      <c r="U11" s="5">
        <f t="shared" si="3"/>
        <v>1</v>
      </c>
      <c r="V11" s="5">
        <f t="shared" si="32"/>
        <v>500</v>
      </c>
      <c r="W11" s="308">
        <f t="shared" si="13"/>
        <v>0</v>
      </c>
      <c r="X11" s="5">
        <f t="shared" si="33"/>
        <v>155960</v>
      </c>
      <c r="Y11" s="308">
        <f t="shared" si="41"/>
        <v>0</v>
      </c>
      <c r="Z11" s="5">
        <f t="shared" si="14"/>
        <v>99668</v>
      </c>
      <c r="AA11" s="83">
        <f t="shared" si="15"/>
        <v>0</v>
      </c>
      <c r="AB11" s="5">
        <f t="shared" si="16"/>
        <v>254</v>
      </c>
      <c r="AC11" s="5">
        <f t="shared" si="17"/>
        <v>855</v>
      </c>
      <c r="AD11" s="83">
        <f t="shared" si="34"/>
        <v>0</v>
      </c>
      <c r="AE11" s="5">
        <f t="shared" si="18"/>
        <v>248.42</v>
      </c>
      <c r="AF11" s="83">
        <f t="shared" si="19"/>
        <v>0</v>
      </c>
      <c r="AG11" s="5">
        <f t="shared" si="20"/>
        <v>2247.41</v>
      </c>
      <c r="AH11" s="83">
        <f t="shared" si="21"/>
        <v>0</v>
      </c>
      <c r="AI11" s="83">
        <f t="shared" si="22"/>
        <v>0</v>
      </c>
      <c r="AJ11" s="310">
        <f t="shared" si="23"/>
        <v>0</v>
      </c>
      <c r="AK11" s="311">
        <f t="shared" si="35"/>
        <v>0</v>
      </c>
      <c r="AL11" s="311">
        <f t="shared" si="24"/>
        <v>0</v>
      </c>
      <c r="AM11" s="311">
        <f>'General information '!D10</f>
        <v>24.5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5"/>
        <v>44840</v>
      </c>
      <c r="AS11" s="406">
        <f t="shared" si="26"/>
        <v>0.9</v>
      </c>
      <c r="AT11" s="201">
        <v>141</v>
      </c>
      <c r="AU11" s="407">
        <f t="shared" si="42"/>
        <v>1.1000000000000001</v>
      </c>
      <c r="AV11" s="201">
        <v>98</v>
      </c>
      <c r="AW11" s="5">
        <v>2.9</v>
      </c>
      <c r="AX11" s="201">
        <v>85</v>
      </c>
      <c r="AY11" s="408">
        <f t="shared" si="36"/>
        <v>126.9</v>
      </c>
      <c r="AZ11" s="408">
        <f t="shared" si="37"/>
        <v>107.80000000000001</v>
      </c>
      <c r="BA11" s="408">
        <f t="shared" si="38"/>
        <v>246.5</v>
      </c>
      <c r="BB11" s="21">
        <f t="shared" si="39"/>
        <v>0</v>
      </c>
      <c r="BC11" s="21">
        <f t="shared" si="27"/>
        <v>-2.2000000000000028</v>
      </c>
      <c r="BD11" s="21">
        <f t="shared" si="27"/>
        <v>-2.9000000000000057</v>
      </c>
      <c r="BE11" s="24">
        <f t="shared" si="28"/>
        <v>-5.1000000000000085</v>
      </c>
      <c r="BF11" s="96">
        <f t="shared" si="29"/>
        <v>5.1000000000000085</v>
      </c>
      <c r="BG11" s="82">
        <f t="shared" si="4"/>
        <v>-5.1000000000000085</v>
      </c>
    </row>
    <row r="12" spans="1:65" ht="15.75" thickBot="1">
      <c r="A12" s="6">
        <f>ELEC!C10</f>
        <v>44841</v>
      </c>
      <c r="B12" s="5">
        <f t="shared" si="5"/>
        <v>109443</v>
      </c>
      <c r="C12" s="5">
        <f>B12-B11</f>
        <v>0</v>
      </c>
      <c r="D12" s="401">
        <f t="shared" si="7"/>
        <v>0</v>
      </c>
      <c r="E12" s="317">
        <f>SUM((C12*$E$4)+(7500/'EDl log'!$A$37))</f>
        <v>241.93548387096774</v>
      </c>
      <c r="F12" s="400"/>
      <c r="G12" s="5">
        <f t="shared" si="30"/>
        <v>630767</v>
      </c>
      <c r="H12" s="5">
        <f t="shared" si="8"/>
        <v>0</v>
      </c>
      <c r="I12" s="5">
        <f t="shared" si="9"/>
        <v>0</v>
      </c>
      <c r="J12" s="318">
        <f t="shared" si="0"/>
        <v>0</v>
      </c>
      <c r="K12" s="5">
        <f t="shared" si="10"/>
        <v>7089</v>
      </c>
      <c r="L12" s="83">
        <f t="shared" si="40"/>
        <v>0</v>
      </c>
      <c r="M12" s="392">
        <f t="shared" si="11"/>
        <v>457.44</v>
      </c>
      <c r="N12" s="481">
        <f t="shared" si="1"/>
        <v>0</v>
      </c>
      <c r="O12" s="392">
        <f t="shared" si="12"/>
        <v>529.52</v>
      </c>
      <c r="P12" s="481">
        <f t="shared" si="2"/>
        <v>0</v>
      </c>
      <c r="Q12" s="481">
        <f>SUM(P12+N12)</f>
        <v>0</v>
      </c>
      <c r="R12" s="481"/>
      <c r="S12" s="481"/>
      <c r="T12" s="5">
        <f t="shared" si="31"/>
        <v>5193</v>
      </c>
      <c r="U12" s="5">
        <f t="shared" si="3"/>
        <v>0</v>
      </c>
      <c r="V12" s="5">
        <f t="shared" si="32"/>
        <v>500</v>
      </c>
      <c r="W12" s="308">
        <f t="shared" si="13"/>
        <v>0</v>
      </c>
      <c r="X12" s="5">
        <f t="shared" si="33"/>
        <v>155960</v>
      </c>
      <c r="Y12" s="308">
        <f t="shared" si="41"/>
        <v>0</v>
      </c>
      <c r="Z12" s="5">
        <f t="shared" si="14"/>
        <v>99668</v>
      </c>
      <c r="AA12" s="83">
        <f t="shared" si="15"/>
        <v>0</v>
      </c>
      <c r="AB12" s="5">
        <f t="shared" si="16"/>
        <v>254</v>
      </c>
      <c r="AC12" s="5">
        <f t="shared" si="17"/>
        <v>855</v>
      </c>
      <c r="AD12" s="83">
        <f t="shared" si="34"/>
        <v>0</v>
      </c>
      <c r="AE12" s="5">
        <v>248.9</v>
      </c>
      <c r="AF12" s="83">
        <f t="shared" si="19"/>
        <v>0.48000000000001819</v>
      </c>
      <c r="AG12" s="5">
        <f t="shared" si="20"/>
        <v>2247.41</v>
      </c>
      <c r="AH12" s="83">
        <f t="shared" si="21"/>
        <v>0</v>
      </c>
      <c r="AI12" s="83">
        <f t="shared" si="22"/>
        <v>0.48000000000001819</v>
      </c>
      <c r="AJ12" s="310">
        <f t="shared" si="23"/>
        <v>0</v>
      </c>
      <c r="AK12" s="311">
        <f t="shared" si="35"/>
        <v>0</v>
      </c>
      <c r="AL12" s="311">
        <f t="shared" si="24"/>
        <v>0</v>
      </c>
      <c r="AM12" s="311">
        <f>'General information '!D11</f>
        <v>25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5"/>
        <v>44841</v>
      </c>
      <c r="AS12" s="406">
        <f t="shared" si="26"/>
        <v>0.9</v>
      </c>
      <c r="AT12" s="201">
        <v>0</v>
      </c>
      <c r="AU12" s="407">
        <f t="shared" si="42"/>
        <v>1.1000000000000001</v>
      </c>
      <c r="AV12" s="201">
        <v>0</v>
      </c>
      <c r="AW12" s="5">
        <v>2.9</v>
      </c>
      <c r="AX12" s="201">
        <v>0</v>
      </c>
      <c r="AY12" s="408">
        <f t="shared" si="36"/>
        <v>0</v>
      </c>
      <c r="AZ12" s="408">
        <f t="shared" si="37"/>
        <v>0</v>
      </c>
      <c r="BA12" s="408">
        <f t="shared" si="38"/>
        <v>0</v>
      </c>
      <c r="BB12" s="21">
        <f>AY12-AY11</f>
        <v>-126.9</v>
      </c>
      <c r="BC12" s="21">
        <f t="shared" si="27"/>
        <v>-107.80000000000001</v>
      </c>
      <c r="BD12" s="21">
        <f t="shared" si="27"/>
        <v>-246.5</v>
      </c>
      <c r="BE12" s="24">
        <f t="shared" si="28"/>
        <v>-481.20000000000005</v>
      </c>
      <c r="BF12" s="96">
        <f t="shared" si="29"/>
        <v>481.20000000000005</v>
      </c>
      <c r="BG12" s="82">
        <f t="shared" si="4"/>
        <v>-481.20000000000005</v>
      </c>
    </row>
    <row r="13" spans="1:65" ht="15.75" thickBot="1">
      <c r="A13" s="6">
        <f>ELEC!C11</f>
        <v>44842</v>
      </c>
      <c r="B13" s="5">
        <f t="shared" si="5"/>
        <v>109443</v>
      </c>
      <c r="C13" s="5">
        <f t="shared" si="6"/>
        <v>0</v>
      </c>
      <c r="D13" s="401">
        <f t="shared" si="7"/>
        <v>0</v>
      </c>
      <c r="E13" s="317">
        <f>SUM((C13*$E$4)+(7500/'EDl log'!$A$37))</f>
        <v>241.93548387096774</v>
      </c>
      <c r="F13" s="400"/>
      <c r="G13" s="5">
        <f t="shared" si="30"/>
        <v>630767</v>
      </c>
      <c r="H13" s="5">
        <f t="shared" si="8"/>
        <v>0</v>
      </c>
      <c r="I13" s="5">
        <f t="shared" si="9"/>
        <v>0</v>
      </c>
      <c r="J13" s="318">
        <f t="shared" si="0"/>
        <v>0</v>
      </c>
      <c r="K13" s="5">
        <f t="shared" si="10"/>
        <v>7089</v>
      </c>
      <c r="L13" s="83">
        <f t="shared" si="40"/>
        <v>0</v>
      </c>
      <c r="M13" s="392">
        <f t="shared" si="11"/>
        <v>457.44</v>
      </c>
      <c r="N13" s="481">
        <f t="shared" si="1"/>
        <v>0</v>
      </c>
      <c r="O13" s="392">
        <f t="shared" si="12"/>
        <v>529.52</v>
      </c>
      <c r="P13" s="481">
        <f t="shared" si="2"/>
        <v>0</v>
      </c>
      <c r="Q13" s="481">
        <f>SUM(P13+N13)</f>
        <v>0</v>
      </c>
      <c r="R13" s="481"/>
      <c r="S13" s="481"/>
      <c r="T13" s="5">
        <f>T12</f>
        <v>5193</v>
      </c>
      <c r="U13" s="5">
        <f t="shared" si="3"/>
        <v>0</v>
      </c>
      <c r="V13" s="5">
        <f t="shared" si="32"/>
        <v>500</v>
      </c>
      <c r="W13" s="308">
        <f t="shared" si="13"/>
        <v>0</v>
      </c>
      <c r="X13" s="5">
        <f t="shared" si="33"/>
        <v>155960</v>
      </c>
      <c r="Y13" s="308">
        <f t="shared" si="41"/>
        <v>0</v>
      </c>
      <c r="Z13" s="5">
        <f t="shared" si="14"/>
        <v>99668</v>
      </c>
      <c r="AA13" s="83">
        <f t="shared" si="15"/>
        <v>0</v>
      </c>
      <c r="AB13" s="5">
        <f t="shared" si="16"/>
        <v>254</v>
      </c>
      <c r="AC13" s="5">
        <f t="shared" si="17"/>
        <v>855</v>
      </c>
      <c r="AD13" s="83">
        <f t="shared" si="34"/>
        <v>0</v>
      </c>
      <c r="AE13" s="5">
        <f t="shared" si="18"/>
        <v>248.9</v>
      </c>
      <c r="AF13" s="83">
        <f t="shared" si="19"/>
        <v>0</v>
      </c>
      <c r="AG13" s="5">
        <f t="shared" si="20"/>
        <v>2247.41</v>
      </c>
      <c r="AH13" s="83">
        <f t="shared" si="21"/>
        <v>0</v>
      </c>
      <c r="AI13" s="83">
        <f t="shared" si="22"/>
        <v>0</v>
      </c>
      <c r="AJ13" s="310">
        <f t="shared" si="23"/>
        <v>0</v>
      </c>
      <c r="AK13" s="311">
        <f t="shared" si="35"/>
        <v>0</v>
      </c>
      <c r="AL13" s="311">
        <f t="shared" si="24"/>
        <v>0</v>
      </c>
      <c r="AM13" s="311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5"/>
        <v>44842</v>
      </c>
      <c r="AS13" s="406">
        <f t="shared" si="26"/>
        <v>0.9</v>
      </c>
      <c r="AT13" s="201">
        <v>0</v>
      </c>
      <c r="AU13" s="407">
        <f t="shared" si="42"/>
        <v>1.1000000000000001</v>
      </c>
      <c r="AV13" s="201">
        <v>0</v>
      </c>
      <c r="AW13" s="5">
        <v>2.9</v>
      </c>
      <c r="AX13" s="201">
        <v>0</v>
      </c>
      <c r="AY13" s="408">
        <f t="shared" si="36"/>
        <v>0</v>
      </c>
      <c r="AZ13" s="408">
        <f t="shared" si="37"/>
        <v>0</v>
      </c>
      <c r="BA13" s="408">
        <f t="shared" si="38"/>
        <v>0</v>
      </c>
      <c r="BB13" s="21">
        <f t="shared" si="39"/>
        <v>0</v>
      </c>
      <c r="BC13" s="21">
        <f t="shared" si="27"/>
        <v>0</v>
      </c>
      <c r="BD13" s="21">
        <f t="shared" si="27"/>
        <v>0</v>
      </c>
      <c r="BE13" s="24">
        <f t="shared" si="28"/>
        <v>0</v>
      </c>
      <c r="BF13" s="96">
        <f t="shared" si="29"/>
        <v>0</v>
      </c>
      <c r="BG13" s="82">
        <f t="shared" si="4"/>
        <v>0</v>
      </c>
    </row>
    <row r="14" spans="1:65" ht="15.75" thickBot="1">
      <c r="A14" s="6">
        <f>ELEC!C12</f>
        <v>44843</v>
      </c>
      <c r="B14" s="5">
        <f t="shared" si="5"/>
        <v>109443</v>
      </c>
      <c r="C14" s="5">
        <f t="shared" si="6"/>
        <v>0</v>
      </c>
      <c r="D14" s="401">
        <f t="shared" si="7"/>
        <v>0</v>
      </c>
      <c r="E14" s="317">
        <f>SUM((C14*$E$4)+(7500/'EDl log'!$A$37))</f>
        <v>241.93548387096774</v>
      </c>
      <c r="F14" s="400"/>
      <c r="G14" s="5">
        <f t="shared" si="30"/>
        <v>630767</v>
      </c>
      <c r="H14" s="5">
        <f t="shared" si="8"/>
        <v>0</v>
      </c>
      <c r="I14" s="5">
        <f t="shared" si="9"/>
        <v>0</v>
      </c>
      <c r="J14" s="318">
        <f t="shared" si="0"/>
        <v>0</v>
      </c>
      <c r="K14" s="5">
        <f t="shared" si="10"/>
        <v>7089</v>
      </c>
      <c r="L14" s="83">
        <f t="shared" si="40"/>
        <v>0</v>
      </c>
      <c r="M14" s="392">
        <f t="shared" si="11"/>
        <v>457.44</v>
      </c>
      <c r="N14" s="481">
        <f t="shared" ref="N14:N33" si="43">SUM(M14-M13)</f>
        <v>0</v>
      </c>
      <c r="O14" s="392">
        <f t="shared" si="12"/>
        <v>529.52</v>
      </c>
      <c r="P14" s="481">
        <f t="shared" ref="P14:P33" si="44">SUM(O14-O13)</f>
        <v>0</v>
      </c>
      <c r="Q14" s="481">
        <f t="shared" ref="Q14:Q33" si="45">SUM(P14+N14)</f>
        <v>0</v>
      </c>
      <c r="R14" s="481"/>
      <c r="S14" s="481"/>
      <c r="T14" s="5">
        <f t="shared" si="31"/>
        <v>5193</v>
      </c>
      <c r="U14" s="5">
        <f t="shared" si="3"/>
        <v>0</v>
      </c>
      <c r="V14" s="5">
        <f t="shared" si="32"/>
        <v>500</v>
      </c>
      <c r="W14" s="308">
        <f t="shared" si="13"/>
        <v>0</v>
      </c>
      <c r="X14" s="5">
        <f t="shared" si="33"/>
        <v>155960</v>
      </c>
      <c r="Y14" s="308">
        <f t="shared" si="41"/>
        <v>0</v>
      </c>
      <c r="Z14" s="5">
        <f t="shared" si="14"/>
        <v>99668</v>
      </c>
      <c r="AA14" s="83">
        <f t="shared" si="15"/>
        <v>0</v>
      </c>
      <c r="AB14" s="5">
        <f t="shared" si="16"/>
        <v>254</v>
      </c>
      <c r="AC14" s="5">
        <f t="shared" si="17"/>
        <v>855</v>
      </c>
      <c r="AD14" s="83">
        <f t="shared" si="34"/>
        <v>0</v>
      </c>
      <c r="AE14" s="5">
        <f t="shared" si="18"/>
        <v>248.9</v>
      </c>
      <c r="AF14" s="83">
        <f t="shared" si="19"/>
        <v>0</v>
      </c>
      <c r="AG14" s="5">
        <v>2247.41</v>
      </c>
      <c r="AH14" s="83">
        <f t="shared" si="21"/>
        <v>0</v>
      </c>
      <c r="AI14" s="83">
        <f t="shared" si="22"/>
        <v>0</v>
      </c>
      <c r="AJ14" s="310">
        <f t="shared" si="23"/>
        <v>0</v>
      </c>
      <c r="AK14" s="311">
        <f t="shared" si="35"/>
        <v>0</v>
      </c>
      <c r="AL14" s="311">
        <f t="shared" si="24"/>
        <v>0</v>
      </c>
      <c r="AM14" s="311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5"/>
        <v>44843</v>
      </c>
      <c r="AS14" s="406">
        <f t="shared" si="26"/>
        <v>0.9</v>
      </c>
      <c r="AT14" s="201">
        <v>0</v>
      </c>
      <c r="AU14" s="407">
        <f t="shared" si="42"/>
        <v>1.1000000000000001</v>
      </c>
      <c r="AV14" s="201">
        <v>0</v>
      </c>
      <c r="AW14" s="5">
        <v>2.9</v>
      </c>
      <c r="AX14" s="201">
        <v>0</v>
      </c>
      <c r="AY14" s="408">
        <f t="shared" si="36"/>
        <v>0</v>
      </c>
      <c r="AZ14" s="408">
        <f t="shared" si="37"/>
        <v>0</v>
      </c>
      <c r="BA14" s="408">
        <f t="shared" si="38"/>
        <v>0</v>
      </c>
      <c r="BB14" s="21">
        <f t="shared" si="39"/>
        <v>0</v>
      </c>
      <c r="BC14" s="21">
        <f t="shared" si="27"/>
        <v>0</v>
      </c>
      <c r="BD14" s="21">
        <f t="shared" si="27"/>
        <v>0</v>
      </c>
      <c r="BE14" s="24">
        <f t="shared" si="28"/>
        <v>0</v>
      </c>
      <c r="BF14" s="96">
        <f t="shared" si="29"/>
        <v>0</v>
      </c>
      <c r="BG14" s="82">
        <f t="shared" si="4"/>
        <v>0</v>
      </c>
    </row>
    <row r="15" spans="1:65" ht="16.5" customHeight="1" thickBot="1">
      <c r="A15" s="6">
        <f>ELEC!C13</f>
        <v>44844</v>
      </c>
      <c r="B15" s="5">
        <f t="shared" si="5"/>
        <v>109443</v>
      </c>
      <c r="C15" s="5">
        <f t="shared" si="6"/>
        <v>0</v>
      </c>
      <c r="D15" s="401">
        <f t="shared" si="7"/>
        <v>0</v>
      </c>
      <c r="E15" s="317">
        <f>SUM((C15*$E$4)+(7500/'EDl log'!$A$37))</f>
        <v>241.93548387096774</v>
      </c>
      <c r="F15" s="400"/>
      <c r="G15" s="5">
        <f t="shared" si="30"/>
        <v>630767</v>
      </c>
      <c r="H15" s="5">
        <f t="shared" si="8"/>
        <v>0</v>
      </c>
      <c r="I15" s="5">
        <f t="shared" si="9"/>
        <v>0</v>
      </c>
      <c r="J15" s="318">
        <f t="shared" si="0"/>
        <v>0</v>
      </c>
      <c r="K15" s="5">
        <f t="shared" si="10"/>
        <v>7089</v>
      </c>
      <c r="L15" s="83">
        <f t="shared" si="40"/>
        <v>0</v>
      </c>
      <c r="M15" s="392">
        <f t="shared" si="11"/>
        <v>457.44</v>
      </c>
      <c r="N15" s="481">
        <f t="shared" si="43"/>
        <v>0</v>
      </c>
      <c r="O15" s="392">
        <f t="shared" si="12"/>
        <v>529.52</v>
      </c>
      <c r="P15" s="481">
        <f t="shared" si="44"/>
        <v>0</v>
      </c>
      <c r="Q15" s="481">
        <f t="shared" si="45"/>
        <v>0</v>
      </c>
      <c r="R15" s="481"/>
      <c r="S15" s="481"/>
      <c r="T15" s="5">
        <f t="shared" si="31"/>
        <v>5193</v>
      </c>
      <c r="U15" s="5">
        <f t="shared" si="3"/>
        <v>0</v>
      </c>
      <c r="V15" s="5">
        <f t="shared" si="32"/>
        <v>500</v>
      </c>
      <c r="W15" s="308">
        <f t="shared" si="13"/>
        <v>0</v>
      </c>
      <c r="X15" s="5">
        <f t="shared" si="33"/>
        <v>155960</v>
      </c>
      <c r="Y15" s="308">
        <f t="shared" si="41"/>
        <v>0</v>
      </c>
      <c r="Z15" s="5">
        <f t="shared" si="14"/>
        <v>99668</v>
      </c>
      <c r="AA15" s="83">
        <f t="shared" si="15"/>
        <v>0</v>
      </c>
      <c r="AB15" s="5">
        <f t="shared" si="16"/>
        <v>254</v>
      </c>
      <c r="AC15" s="5">
        <f t="shared" si="17"/>
        <v>855</v>
      </c>
      <c r="AD15" s="83">
        <f t="shared" si="34"/>
        <v>0</v>
      </c>
      <c r="AE15" s="5">
        <f t="shared" si="18"/>
        <v>248.9</v>
      </c>
      <c r="AF15" s="83">
        <f t="shared" si="19"/>
        <v>0</v>
      </c>
      <c r="AG15" s="5">
        <f t="shared" si="20"/>
        <v>2247.41</v>
      </c>
      <c r="AH15" s="83">
        <f t="shared" si="21"/>
        <v>0</v>
      </c>
      <c r="AI15" s="83">
        <f t="shared" si="22"/>
        <v>0</v>
      </c>
      <c r="AJ15" s="310">
        <f t="shared" si="23"/>
        <v>0</v>
      </c>
      <c r="AK15" s="311">
        <f>SUM(Y15-L15)</f>
        <v>0</v>
      </c>
      <c r="AL15" s="311">
        <f t="shared" si="24"/>
        <v>0</v>
      </c>
      <c r="AM15" s="311">
        <f>'General information '!D14</f>
        <v>0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5"/>
        <v>44844</v>
      </c>
      <c r="AS15" s="406">
        <f t="shared" si="26"/>
        <v>0.9</v>
      </c>
      <c r="AT15" s="201">
        <v>143</v>
      </c>
      <c r="AU15" s="407">
        <f t="shared" si="42"/>
        <v>1.1000000000000001</v>
      </c>
      <c r="AV15" s="201">
        <v>97</v>
      </c>
      <c r="AW15" s="5">
        <v>2.9</v>
      </c>
      <c r="AX15" s="201">
        <v>130</v>
      </c>
      <c r="AY15" s="408">
        <f t="shared" si="36"/>
        <v>128.70000000000002</v>
      </c>
      <c r="AZ15" s="408">
        <f t="shared" si="37"/>
        <v>106.7</v>
      </c>
      <c r="BA15" s="408">
        <f t="shared" si="38"/>
        <v>377</v>
      </c>
      <c r="BB15" s="21">
        <f t="shared" si="39"/>
        <v>128.70000000000002</v>
      </c>
      <c r="BC15" s="21">
        <f t="shared" si="27"/>
        <v>106.7</v>
      </c>
      <c r="BD15" s="21">
        <f t="shared" si="27"/>
        <v>377</v>
      </c>
      <c r="BE15" s="24">
        <f t="shared" si="28"/>
        <v>612.40000000000009</v>
      </c>
      <c r="BF15" s="96">
        <f t="shared" si="29"/>
        <v>-612.40000000000009</v>
      </c>
      <c r="BG15" s="82">
        <f t="shared" si="4"/>
        <v>612.40000000000009</v>
      </c>
    </row>
    <row r="16" spans="1:65" ht="15.75" thickBot="1">
      <c r="A16" s="6">
        <f>ELEC!C14</f>
        <v>44845</v>
      </c>
      <c r="B16" s="5">
        <f t="shared" si="5"/>
        <v>109443</v>
      </c>
      <c r="C16" s="5">
        <f t="shared" si="6"/>
        <v>0</v>
      </c>
      <c r="D16" s="401">
        <f t="shared" si="7"/>
        <v>0</v>
      </c>
      <c r="E16" s="317">
        <f>SUM((C16*$E$4)+(7500/'EDl log'!$A$37))</f>
        <v>241.93548387096774</v>
      </c>
      <c r="F16" s="400"/>
      <c r="G16" s="5">
        <v>630787</v>
      </c>
      <c r="H16" s="5">
        <f t="shared" si="8"/>
        <v>20</v>
      </c>
      <c r="I16" s="5">
        <f t="shared" si="9"/>
        <v>20</v>
      </c>
      <c r="J16" s="318">
        <f t="shared" si="0"/>
        <v>12.096774193548388</v>
      </c>
      <c r="K16" s="5">
        <f t="shared" si="10"/>
        <v>7089</v>
      </c>
      <c r="L16" s="263">
        <f t="shared" si="40"/>
        <v>0</v>
      </c>
      <c r="M16" s="392">
        <f t="shared" si="11"/>
        <v>457.44</v>
      </c>
      <c r="N16" s="481">
        <f t="shared" si="43"/>
        <v>0</v>
      </c>
      <c r="O16" s="392">
        <f t="shared" si="12"/>
        <v>529.52</v>
      </c>
      <c r="P16" s="481">
        <f t="shared" si="44"/>
        <v>0</v>
      </c>
      <c r="Q16" s="481">
        <f t="shared" si="45"/>
        <v>0</v>
      </c>
      <c r="R16" s="483"/>
      <c r="S16" s="483"/>
      <c r="T16" s="5">
        <f t="shared" si="31"/>
        <v>5193</v>
      </c>
      <c r="U16" s="5">
        <f t="shared" si="3"/>
        <v>0</v>
      </c>
      <c r="V16" s="5">
        <f t="shared" si="32"/>
        <v>500</v>
      </c>
      <c r="W16" s="308">
        <f t="shared" si="13"/>
        <v>0</v>
      </c>
      <c r="X16" s="5">
        <f t="shared" si="33"/>
        <v>155960</v>
      </c>
      <c r="Y16" s="308">
        <f t="shared" si="41"/>
        <v>0</v>
      </c>
      <c r="Z16" s="5">
        <f t="shared" si="14"/>
        <v>99668</v>
      </c>
      <c r="AA16" s="83">
        <f t="shared" si="15"/>
        <v>0</v>
      </c>
      <c r="AB16" s="5">
        <f t="shared" si="16"/>
        <v>254</v>
      </c>
      <c r="AC16" s="5">
        <f t="shared" si="17"/>
        <v>855</v>
      </c>
      <c r="AD16" s="83">
        <f t="shared" si="34"/>
        <v>0</v>
      </c>
      <c r="AE16" s="5">
        <f t="shared" si="18"/>
        <v>248.9</v>
      </c>
      <c r="AF16" s="83">
        <f t="shared" si="19"/>
        <v>0</v>
      </c>
      <c r="AG16" s="5">
        <f t="shared" si="20"/>
        <v>2247.41</v>
      </c>
      <c r="AH16" s="83">
        <f t="shared" si="21"/>
        <v>0</v>
      </c>
      <c r="AI16" s="83">
        <f t="shared" si="22"/>
        <v>0</v>
      </c>
      <c r="AJ16" s="310">
        <f t="shared" si="23"/>
        <v>0</v>
      </c>
      <c r="AK16" s="311">
        <f t="shared" si="35"/>
        <v>0</v>
      </c>
      <c r="AL16" s="311">
        <f t="shared" si="24"/>
        <v>0</v>
      </c>
      <c r="AM16" s="311">
        <f>'General information '!D15</f>
        <v>25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5"/>
        <v>44845</v>
      </c>
      <c r="AS16" s="406">
        <f t="shared" si="26"/>
        <v>0.9</v>
      </c>
      <c r="AT16" s="201">
        <v>142</v>
      </c>
      <c r="AU16" s="407">
        <f t="shared" si="42"/>
        <v>1.1000000000000001</v>
      </c>
      <c r="AV16" s="201">
        <v>96</v>
      </c>
      <c r="AW16" s="5">
        <v>2.9</v>
      </c>
      <c r="AX16" s="201">
        <v>130</v>
      </c>
      <c r="AY16" s="408">
        <f t="shared" si="36"/>
        <v>127.8</v>
      </c>
      <c r="AZ16" s="408">
        <f t="shared" si="37"/>
        <v>105.60000000000001</v>
      </c>
      <c r="BA16" s="408">
        <f t="shared" si="38"/>
        <v>377</v>
      </c>
      <c r="BB16" s="21">
        <f t="shared" si="39"/>
        <v>-0.9000000000000199</v>
      </c>
      <c r="BC16" s="21">
        <f t="shared" si="27"/>
        <v>-1.0999999999999943</v>
      </c>
      <c r="BD16" s="21">
        <f t="shared" si="27"/>
        <v>0</v>
      </c>
      <c r="BE16" s="24">
        <f t="shared" si="28"/>
        <v>-2.0000000000000142</v>
      </c>
      <c r="BF16" s="96">
        <f t="shared" si="29"/>
        <v>22.000000000000014</v>
      </c>
      <c r="BG16" s="82">
        <f t="shared" si="4"/>
        <v>-2.0000000000000142</v>
      </c>
    </row>
    <row r="17" spans="1:61" ht="15.75" thickBot="1">
      <c r="A17" s="6">
        <f>ELEC!C15</f>
        <v>44846</v>
      </c>
      <c r="B17" s="5">
        <f t="shared" si="5"/>
        <v>109443</v>
      </c>
      <c r="C17" s="5">
        <f t="shared" si="6"/>
        <v>0</v>
      </c>
      <c r="D17" s="401">
        <f t="shared" si="7"/>
        <v>0</v>
      </c>
      <c r="E17" s="317">
        <f>SUM((C17*$E$4)+(7500/'EDl log'!$A$37))</f>
        <v>241.93548387096774</v>
      </c>
      <c r="F17" s="400"/>
      <c r="G17" s="5">
        <f t="shared" si="30"/>
        <v>630787</v>
      </c>
      <c r="H17" s="5">
        <f t="shared" si="8"/>
        <v>0</v>
      </c>
      <c r="I17" s="5">
        <f t="shared" si="9"/>
        <v>0</v>
      </c>
      <c r="J17" s="318">
        <f t="shared" si="0"/>
        <v>0</v>
      </c>
      <c r="K17" s="5">
        <f t="shared" si="10"/>
        <v>7089</v>
      </c>
      <c r="L17" s="83">
        <f t="shared" si="40"/>
        <v>0</v>
      </c>
      <c r="M17" s="392">
        <f t="shared" si="11"/>
        <v>457.44</v>
      </c>
      <c r="N17" s="481">
        <f t="shared" si="43"/>
        <v>0</v>
      </c>
      <c r="O17" s="392">
        <f t="shared" si="12"/>
        <v>529.52</v>
      </c>
      <c r="P17" s="481">
        <f t="shared" si="44"/>
        <v>0</v>
      </c>
      <c r="Q17" s="481">
        <f t="shared" si="45"/>
        <v>0</v>
      </c>
      <c r="R17" s="481"/>
      <c r="S17" s="481"/>
      <c r="T17" s="5">
        <f t="shared" si="31"/>
        <v>5193</v>
      </c>
      <c r="U17" s="5">
        <f t="shared" si="3"/>
        <v>0</v>
      </c>
      <c r="V17" s="5">
        <f t="shared" si="32"/>
        <v>500</v>
      </c>
      <c r="W17" s="308">
        <f t="shared" si="13"/>
        <v>0</v>
      </c>
      <c r="X17" s="5">
        <v>155960</v>
      </c>
      <c r="Y17" s="308">
        <f t="shared" si="41"/>
        <v>0</v>
      </c>
      <c r="Z17" s="5">
        <f t="shared" si="14"/>
        <v>99668</v>
      </c>
      <c r="AA17" s="83">
        <f t="shared" si="15"/>
        <v>0</v>
      </c>
      <c r="AB17" s="5">
        <f t="shared" si="16"/>
        <v>254</v>
      </c>
      <c r="AC17" s="5">
        <f t="shared" si="17"/>
        <v>855</v>
      </c>
      <c r="AD17" s="83">
        <f t="shared" si="34"/>
        <v>0</v>
      </c>
      <c r="AE17" s="5">
        <f t="shared" si="18"/>
        <v>248.9</v>
      </c>
      <c r="AF17" s="83">
        <f t="shared" si="19"/>
        <v>0</v>
      </c>
      <c r="AG17" s="5">
        <f t="shared" si="20"/>
        <v>2247.41</v>
      </c>
      <c r="AH17" s="83">
        <f t="shared" si="21"/>
        <v>0</v>
      </c>
      <c r="AI17" s="83">
        <f t="shared" si="22"/>
        <v>0</v>
      </c>
      <c r="AJ17" s="310">
        <f t="shared" si="23"/>
        <v>0</v>
      </c>
      <c r="AK17" s="311">
        <f>SUM(Y17-L17)</f>
        <v>0</v>
      </c>
      <c r="AL17" s="311">
        <f t="shared" si="24"/>
        <v>0</v>
      </c>
      <c r="AM17" s="311">
        <f>'General information '!D16</f>
        <v>24.5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5"/>
        <v>44846</v>
      </c>
      <c r="AS17" s="406">
        <f t="shared" si="26"/>
        <v>0.9</v>
      </c>
      <c r="AT17" s="201">
        <v>128</v>
      </c>
      <c r="AU17" s="407">
        <f t="shared" si="42"/>
        <v>1.1000000000000001</v>
      </c>
      <c r="AV17" s="201">
        <v>95</v>
      </c>
      <c r="AW17" s="5">
        <v>2.9</v>
      </c>
      <c r="AX17" s="201">
        <v>78</v>
      </c>
      <c r="AY17" s="408">
        <f t="shared" si="36"/>
        <v>115.2</v>
      </c>
      <c r="AZ17" s="408">
        <f t="shared" si="37"/>
        <v>104.50000000000001</v>
      </c>
      <c r="BA17" s="408">
        <f t="shared" si="38"/>
        <v>226.2</v>
      </c>
      <c r="BB17" s="21">
        <f t="shared" si="39"/>
        <v>-12.599999999999994</v>
      </c>
      <c r="BC17" s="21">
        <f t="shared" si="27"/>
        <v>-1.0999999999999943</v>
      </c>
      <c r="BD17" s="21">
        <f t="shared" si="27"/>
        <v>-150.80000000000001</v>
      </c>
      <c r="BE17" s="24">
        <f t="shared" si="28"/>
        <v>-164.5</v>
      </c>
      <c r="BF17" s="96">
        <f t="shared" si="29"/>
        <v>164.5</v>
      </c>
      <c r="BG17" s="82">
        <f t="shared" si="4"/>
        <v>-164.5</v>
      </c>
    </row>
    <row r="18" spans="1:61" ht="15.75" thickBot="1">
      <c r="A18" s="6">
        <f>ELEC!C16</f>
        <v>44847</v>
      </c>
      <c r="B18" s="5">
        <f t="shared" si="5"/>
        <v>109443</v>
      </c>
      <c r="C18" s="5">
        <f t="shared" si="6"/>
        <v>0</v>
      </c>
      <c r="D18" s="401">
        <f t="shared" si="7"/>
        <v>0</v>
      </c>
      <c r="E18" s="317">
        <f>SUM((C18*$E$4)+(7500/'EDl log'!$A$37))</f>
        <v>241.93548387096774</v>
      </c>
      <c r="F18" s="400"/>
      <c r="G18" s="5">
        <f t="shared" si="30"/>
        <v>630787</v>
      </c>
      <c r="H18" s="5">
        <f t="shared" si="8"/>
        <v>0</v>
      </c>
      <c r="I18" s="5">
        <f t="shared" si="9"/>
        <v>0</v>
      </c>
      <c r="J18" s="318">
        <f t="shared" si="0"/>
        <v>0</v>
      </c>
      <c r="K18" s="5">
        <f t="shared" si="10"/>
        <v>7089</v>
      </c>
      <c r="L18" s="83">
        <f t="shared" si="40"/>
        <v>0</v>
      </c>
      <c r="M18" s="392">
        <f t="shared" si="11"/>
        <v>457.44</v>
      </c>
      <c r="N18" s="481">
        <f t="shared" si="43"/>
        <v>0</v>
      </c>
      <c r="O18" s="392">
        <f t="shared" si="12"/>
        <v>529.52</v>
      </c>
      <c r="P18" s="481">
        <f t="shared" si="44"/>
        <v>0</v>
      </c>
      <c r="Q18" s="481">
        <f t="shared" si="45"/>
        <v>0</v>
      </c>
      <c r="R18" s="481"/>
      <c r="S18" s="481"/>
      <c r="T18" s="5">
        <f t="shared" si="31"/>
        <v>5193</v>
      </c>
      <c r="U18" s="5">
        <f t="shared" si="3"/>
        <v>0</v>
      </c>
      <c r="V18" s="5">
        <f t="shared" si="32"/>
        <v>500</v>
      </c>
      <c r="W18" s="308">
        <f t="shared" si="13"/>
        <v>0</v>
      </c>
      <c r="X18" s="5">
        <f t="shared" si="33"/>
        <v>155960</v>
      </c>
      <c r="Y18" s="308">
        <f t="shared" si="41"/>
        <v>0</v>
      </c>
      <c r="Z18" s="5">
        <f t="shared" si="14"/>
        <v>99668</v>
      </c>
      <c r="AA18" s="83">
        <f t="shared" si="15"/>
        <v>0</v>
      </c>
      <c r="AB18" s="5">
        <f t="shared" si="16"/>
        <v>254</v>
      </c>
      <c r="AC18" s="5">
        <f t="shared" si="17"/>
        <v>855</v>
      </c>
      <c r="AD18" s="83">
        <f t="shared" si="34"/>
        <v>0</v>
      </c>
      <c r="AE18" s="5">
        <f t="shared" si="18"/>
        <v>248.9</v>
      </c>
      <c r="AF18" s="83">
        <f t="shared" si="19"/>
        <v>0</v>
      </c>
      <c r="AG18" s="5">
        <f t="shared" si="20"/>
        <v>2247.41</v>
      </c>
      <c r="AH18" s="83">
        <f t="shared" si="21"/>
        <v>0</v>
      </c>
      <c r="AI18" s="83">
        <f t="shared" si="22"/>
        <v>0</v>
      </c>
      <c r="AJ18" s="310">
        <f t="shared" si="23"/>
        <v>0</v>
      </c>
      <c r="AK18" s="311">
        <f>SUM(Y18-L18)</f>
        <v>0</v>
      </c>
      <c r="AL18" s="311">
        <f t="shared" si="24"/>
        <v>0</v>
      </c>
      <c r="AM18" s="311">
        <f>'General information '!D17</f>
        <v>0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5"/>
        <v>44847</v>
      </c>
      <c r="AS18" s="406">
        <f t="shared" si="26"/>
        <v>0.9</v>
      </c>
      <c r="AT18" s="201">
        <v>0</v>
      </c>
      <c r="AU18" s="407">
        <f t="shared" si="42"/>
        <v>1.1000000000000001</v>
      </c>
      <c r="AV18" s="201">
        <v>0</v>
      </c>
      <c r="AW18" s="5">
        <v>2.9</v>
      </c>
      <c r="AX18" s="201">
        <v>0</v>
      </c>
      <c r="AY18" s="408">
        <f t="shared" si="36"/>
        <v>0</v>
      </c>
      <c r="AZ18" s="408">
        <f t="shared" si="37"/>
        <v>0</v>
      </c>
      <c r="BA18" s="408">
        <f t="shared" si="38"/>
        <v>0</v>
      </c>
      <c r="BB18" s="21">
        <f t="shared" si="39"/>
        <v>-115.2</v>
      </c>
      <c r="BC18" s="21">
        <f t="shared" si="27"/>
        <v>-104.50000000000001</v>
      </c>
      <c r="BD18" s="21">
        <f t="shared" si="27"/>
        <v>-226.2</v>
      </c>
      <c r="BE18" s="24">
        <f t="shared" si="28"/>
        <v>-445.9</v>
      </c>
      <c r="BF18" s="96">
        <f t="shared" si="29"/>
        <v>445.9</v>
      </c>
      <c r="BG18" s="82">
        <f t="shared" si="4"/>
        <v>-445.9</v>
      </c>
    </row>
    <row r="19" spans="1:61" ht="15.75" thickBot="1">
      <c r="A19" s="6">
        <f>ELEC!C17</f>
        <v>44848</v>
      </c>
      <c r="B19" s="5">
        <f t="shared" si="5"/>
        <v>109443</v>
      </c>
      <c r="C19" s="5">
        <f t="shared" si="6"/>
        <v>0</v>
      </c>
      <c r="D19" s="401">
        <f t="shared" si="7"/>
        <v>0</v>
      </c>
      <c r="E19" s="317">
        <f>SUM((C19*$E$4)+(7500/'EDl log'!$A$37))</f>
        <v>241.93548387096774</v>
      </c>
      <c r="F19" s="400"/>
      <c r="G19" s="5">
        <f t="shared" si="30"/>
        <v>630787</v>
      </c>
      <c r="H19" s="5">
        <f t="shared" si="8"/>
        <v>0</v>
      </c>
      <c r="I19" s="5">
        <f t="shared" si="9"/>
        <v>0</v>
      </c>
      <c r="J19" s="318">
        <f t="shared" si="0"/>
        <v>0</v>
      </c>
      <c r="K19" s="5">
        <f t="shared" si="10"/>
        <v>7089</v>
      </c>
      <c r="L19" s="83">
        <f t="shared" si="40"/>
        <v>0</v>
      </c>
      <c r="M19" s="392">
        <f t="shared" si="11"/>
        <v>457.44</v>
      </c>
      <c r="N19" s="481">
        <f t="shared" si="43"/>
        <v>0</v>
      </c>
      <c r="O19" s="392">
        <f t="shared" si="12"/>
        <v>529.52</v>
      </c>
      <c r="P19" s="481">
        <f t="shared" si="44"/>
        <v>0</v>
      </c>
      <c r="Q19" s="481">
        <f t="shared" si="45"/>
        <v>0</v>
      </c>
      <c r="R19" s="481"/>
      <c r="S19" s="481"/>
      <c r="T19" s="5">
        <f t="shared" si="31"/>
        <v>5193</v>
      </c>
      <c r="U19" s="5">
        <f t="shared" si="3"/>
        <v>0</v>
      </c>
      <c r="V19" s="5">
        <f t="shared" si="32"/>
        <v>500</v>
      </c>
      <c r="W19" s="308">
        <f t="shared" si="13"/>
        <v>0</v>
      </c>
      <c r="X19" s="5">
        <f t="shared" si="33"/>
        <v>155960</v>
      </c>
      <c r="Y19" s="308">
        <f t="shared" si="41"/>
        <v>0</v>
      </c>
      <c r="Z19" s="5">
        <f t="shared" si="14"/>
        <v>99668</v>
      </c>
      <c r="AA19" s="83">
        <f t="shared" si="15"/>
        <v>0</v>
      </c>
      <c r="AB19" s="5">
        <f t="shared" si="16"/>
        <v>254</v>
      </c>
      <c r="AC19" s="5">
        <f t="shared" si="17"/>
        <v>855</v>
      </c>
      <c r="AD19" s="83">
        <f t="shared" si="34"/>
        <v>0</v>
      </c>
      <c r="AE19" s="5">
        <f t="shared" si="18"/>
        <v>248.9</v>
      </c>
      <c r="AF19" s="83">
        <f t="shared" si="19"/>
        <v>0</v>
      </c>
      <c r="AG19" s="5">
        <f t="shared" si="20"/>
        <v>2247.41</v>
      </c>
      <c r="AH19" s="83">
        <f t="shared" si="21"/>
        <v>0</v>
      </c>
      <c r="AI19" s="83">
        <f t="shared" si="22"/>
        <v>0</v>
      </c>
      <c r="AJ19" s="310">
        <f t="shared" si="23"/>
        <v>0</v>
      </c>
      <c r="AK19" s="311">
        <f t="shared" si="35"/>
        <v>0</v>
      </c>
      <c r="AL19" s="311">
        <f t="shared" si="24"/>
        <v>0</v>
      </c>
      <c r="AM19" s="311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5"/>
        <v>44848</v>
      </c>
      <c r="AS19" s="406">
        <f t="shared" si="26"/>
        <v>0.9</v>
      </c>
      <c r="AT19" s="201">
        <v>0</v>
      </c>
      <c r="AU19" s="407">
        <f t="shared" si="42"/>
        <v>1.1000000000000001</v>
      </c>
      <c r="AV19" s="201">
        <v>0</v>
      </c>
      <c r="AW19" s="5">
        <v>2.9</v>
      </c>
      <c r="AX19" s="201">
        <v>0</v>
      </c>
      <c r="AY19" s="408">
        <f>AS19*AT19</f>
        <v>0</v>
      </c>
      <c r="AZ19" s="408">
        <f>AU19*AV19</f>
        <v>0</v>
      </c>
      <c r="BA19" s="408">
        <f>AW19*AX19</f>
        <v>0</v>
      </c>
      <c r="BB19" s="21">
        <f t="shared" si="39"/>
        <v>0</v>
      </c>
      <c r="BC19" s="21">
        <f t="shared" ref="BC19:BD20" si="46">AZ19-AZ18</f>
        <v>0</v>
      </c>
      <c r="BD19" s="21">
        <f t="shared" si="46"/>
        <v>0</v>
      </c>
      <c r="BE19" s="24">
        <f>SUM(BB19:BD19)</f>
        <v>0</v>
      </c>
      <c r="BF19" s="96">
        <f t="shared" si="29"/>
        <v>0</v>
      </c>
      <c r="BG19" s="82">
        <f t="shared" si="4"/>
        <v>0</v>
      </c>
    </row>
    <row r="20" spans="1:61" ht="15.75" thickBot="1">
      <c r="A20" s="6">
        <f>ELEC!C18</f>
        <v>44849</v>
      </c>
      <c r="B20" s="5">
        <f t="shared" si="5"/>
        <v>109443</v>
      </c>
      <c r="C20" s="5">
        <f t="shared" si="6"/>
        <v>0</v>
      </c>
      <c r="D20" s="401">
        <f t="shared" si="7"/>
        <v>0</v>
      </c>
      <c r="E20" s="317">
        <f>SUM((C20*$E$4)+(7500/'EDl log'!$A$37))</f>
        <v>241.93548387096774</v>
      </c>
      <c r="F20" s="400"/>
      <c r="G20" s="5">
        <f t="shared" si="30"/>
        <v>630787</v>
      </c>
      <c r="H20" s="5">
        <f t="shared" si="8"/>
        <v>0</v>
      </c>
      <c r="I20" s="5">
        <f t="shared" si="9"/>
        <v>0</v>
      </c>
      <c r="J20" s="318">
        <f t="shared" si="0"/>
        <v>0</v>
      </c>
      <c r="K20" s="5">
        <f t="shared" si="10"/>
        <v>7089</v>
      </c>
      <c r="L20" s="83">
        <f t="shared" si="40"/>
        <v>0</v>
      </c>
      <c r="M20" s="392">
        <f t="shared" si="11"/>
        <v>457.44</v>
      </c>
      <c r="N20" s="481">
        <f t="shared" si="43"/>
        <v>0</v>
      </c>
      <c r="O20" s="392">
        <f t="shared" si="12"/>
        <v>529.52</v>
      </c>
      <c r="P20" s="481">
        <f t="shared" si="44"/>
        <v>0</v>
      </c>
      <c r="Q20" s="481">
        <f t="shared" si="45"/>
        <v>0</v>
      </c>
      <c r="R20" s="481"/>
      <c r="S20" s="481"/>
      <c r="T20" s="5">
        <f t="shared" si="31"/>
        <v>5193</v>
      </c>
      <c r="U20" s="5">
        <f t="shared" si="3"/>
        <v>0</v>
      </c>
      <c r="V20" s="5">
        <f t="shared" si="32"/>
        <v>500</v>
      </c>
      <c r="W20" s="308">
        <f t="shared" si="13"/>
        <v>0</v>
      </c>
      <c r="X20" s="5">
        <f t="shared" si="33"/>
        <v>155960</v>
      </c>
      <c r="Y20" s="308">
        <f t="shared" si="41"/>
        <v>0</v>
      </c>
      <c r="Z20" s="5">
        <f t="shared" si="14"/>
        <v>99668</v>
      </c>
      <c r="AA20" s="83">
        <f t="shared" si="15"/>
        <v>0</v>
      </c>
      <c r="AB20" s="5">
        <f t="shared" si="16"/>
        <v>254</v>
      </c>
      <c r="AC20" s="5">
        <f t="shared" si="17"/>
        <v>855</v>
      </c>
      <c r="AD20" s="83">
        <f t="shared" si="34"/>
        <v>0</v>
      </c>
      <c r="AE20" s="5">
        <f t="shared" si="18"/>
        <v>248.9</v>
      </c>
      <c r="AF20" s="83">
        <f t="shared" si="19"/>
        <v>0</v>
      </c>
      <c r="AG20" s="5">
        <f t="shared" si="20"/>
        <v>2247.41</v>
      </c>
      <c r="AH20" s="83">
        <f t="shared" si="21"/>
        <v>0</v>
      </c>
      <c r="AI20" s="83">
        <f t="shared" si="22"/>
        <v>0</v>
      </c>
      <c r="AJ20" s="310">
        <f t="shared" si="23"/>
        <v>0</v>
      </c>
      <c r="AK20" s="311">
        <f t="shared" si="35"/>
        <v>0</v>
      </c>
      <c r="AL20" s="311">
        <f t="shared" si="24"/>
        <v>0</v>
      </c>
      <c r="AM20" s="311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5"/>
        <v>44849</v>
      </c>
      <c r="AS20" s="406">
        <f t="shared" si="26"/>
        <v>0.9</v>
      </c>
      <c r="AT20" s="201">
        <v>0</v>
      </c>
      <c r="AU20" s="407">
        <f t="shared" si="42"/>
        <v>1.1000000000000001</v>
      </c>
      <c r="AV20" s="201">
        <v>0</v>
      </c>
      <c r="AW20" s="5">
        <v>2.9</v>
      </c>
      <c r="AX20" s="201">
        <v>0</v>
      </c>
      <c r="AY20" s="408">
        <f>AS20*AT20</f>
        <v>0</v>
      </c>
      <c r="AZ20" s="408">
        <f>AU20*AV20</f>
        <v>0</v>
      </c>
      <c r="BA20" s="408">
        <f>AW20*AX20</f>
        <v>0</v>
      </c>
      <c r="BB20" s="21">
        <f t="shared" si="39"/>
        <v>0</v>
      </c>
      <c r="BC20" s="21">
        <f t="shared" si="46"/>
        <v>0</v>
      </c>
      <c r="BD20" s="21">
        <f t="shared" si="46"/>
        <v>0</v>
      </c>
      <c r="BE20" s="24">
        <f>SUM(BB20:BD20)</f>
        <v>0</v>
      </c>
      <c r="BF20" s="96">
        <f t="shared" si="29"/>
        <v>0</v>
      </c>
      <c r="BG20" s="82">
        <f t="shared" si="4"/>
        <v>0</v>
      </c>
    </row>
    <row r="21" spans="1:61" ht="15.75" thickBot="1">
      <c r="A21" s="6">
        <f>ELEC!C19</f>
        <v>44850</v>
      </c>
      <c r="B21" s="5">
        <f t="shared" si="5"/>
        <v>109443</v>
      </c>
      <c r="C21" s="5">
        <f t="shared" si="6"/>
        <v>0</v>
      </c>
      <c r="D21" s="401">
        <f t="shared" si="7"/>
        <v>0</v>
      </c>
      <c r="E21" s="317">
        <f>SUM((C21*$E$4)+(7500/'EDl log'!$A$37))</f>
        <v>241.93548387096774</v>
      </c>
      <c r="F21" s="311"/>
      <c r="G21" s="5">
        <f t="shared" si="30"/>
        <v>630787</v>
      </c>
      <c r="H21" s="5">
        <f t="shared" si="8"/>
        <v>0</v>
      </c>
      <c r="I21" s="5">
        <f t="shared" si="9"/>
        <v>0</v>
      </c>
      <c r="J21" s="318">
        <f t="shared" si="0"/>
        <v>0</v>
      </c>
      <c r="K21" s="5">
        <f t="shared" si="10"/>
        <v>7089</v>
      </c>
      <c r="L21" s="83">
        <f t="shared" si="40"/>
        <v>0</v>
      </c>
      <c r="M21" s="392">
        <f t="shared" si="11"/>
        <v>457.44</v>
      </c>
      <c r="N21" s="481">
        <f t="shared" si="43"/>
        <v>0</v>
      </c>
      <c r="O21" s="392">
        <f t="shared" si="12"/>
        <v>529.52</v>
      </c>
      <c r="P21" s="481">
        <f t="shared" si="44"/>
        <v>0</v>
      </c>
      <c r="Q21" s="481">
        <f t="shared" si="45"/>
        <v>0</v>
      </c>
      <c r="R21" s="481"/>
      <c r="S21" s="481"/>
      <c r="T21" s="5">
        <f t="shared" si="31"/>
        <v>5193</v>
      </c>
      <c r="U21" s="5">
        <f t="shared" si="3"/>
        <v>0</v>
      </c>
      <c r="V21" s="5">
        <f t="shared" si="32"/>
        <v>500</v>
      </c>
      <c r="W21" s="308">
        <f t="shared" si="13"/>
        <v>0</v>
      </c>
      <c r="X21" s="5">
        <f t="shared" si="33"/>
        <v>155960</v>
      </c>
      <c r="Y21" s="308">
        <f>SUM(X21-X20)</f>
        <v>0</v>
      </c>
      <c r="Z21" s="5">
        <f t="shared" si="14"/>
        <v>99668</v>
      </c>
      <c r="AA21" s="83">
        <f t="shared" si="15"/>
        <v>0</v>
      </c>
      <c r="AB21" s="5">
        <f t="shared" si="16"/>
        <v>254</v>
      </c>
      <c r="AC21" s="5">
        <f t="shared" si="17"/>
        <v>855</v>
      </c>
      <c r="AD21" s="83">
        <f t="shared" si="34"/>
        <v>0</v>
      </c>
      <c r="AE21" s="5">
        <f t="shared" si="18"/>
        <v>248.9</v>
      </c>
      <c r="AF21" s="83">
        <f t="shared" si="19"/>
        <v>0</v>
      </c>
      <c r="AG21" s="5">
        <f t="shared" si="20"/>
        <v>2247.41</v>
      </c>
      <c r="AH21" s="83">
        <f t="shared" si="21"/>
        <v>0</v>
      </c>
      <c r="AI21" s="83">
        <f t="shared" si="22"/>
        <v>0</v>
      </c>
      <c r="AJ21" s="310">
        <f t="shared" si="23"/>
        <v>0</v>
      </c>
      <c r="AK21" s="311">
        <f>SUM(Y21-L21)</f>
        <v>0</v>
      </c>
      <c r="AL21" s="311">
        <f t="shared" si="24"/>
        <v>0</v>
      </c>
      <c r="AM21" s="311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5"/>
        <v>44850</v>
      </c>
      <c r="AS21" s="406">
        <f t="shared" si="26"/>
        <v>0.9</v>
      </c>
      <c r="AT21" s="201">
        <v>128</v>
      </c>
      <c r="AU21" s="407">
        <f t="shared" si="42"/>
        <v>1.1000000000000001</v>
      </c>
      <c r="AV21" s="201">
        <v>95</v>
      </c>
      <c r="AW21" s="5">
        <v>2.9</v>
      </c>
      <c r="AX21" s="201">
        <v>78</v>
      </c>
      <c r="AY21" s="408">
        <f>AS21*AT21</f>
        <v>115.2</v>
      </c>
      <c r="AZ21" s="408">
        <f>AU21*AV21</f>
        <v>104.50000000000001</v>
      </c>
      <c r="BA21" s="408">
        <f>AW21*AX21</f>
        <v>226.2</v>
      </c>
      <c r="BB21" s="21">
        <f t="shared" si="39"/>
        <v>115.2</v>
      </c>
      <c r="BC21" s="21">
        <f t="shared" si="27"/>
        <v>104.50000000000001</v>
      </c>
      <c r="BD21" s="21">
        <f t="shared" si="27"/>
        <v>226.2</v>
      </c>
      <c r="BE21" s="24">
        <f t="shared" si="28"/>
        <v>445.9</v>
      </c>
      <c r="BF21" s="96">
        <f t="shared" si="29"/>
        <v>-445.9</v>
      </c>
      <c r="BG21" s="82">
        <f t="shared" si="4"/>
        <v>445.9</v>
      </c>
    </row>
    <row r="22" spans="1:61" ht="15.75" thickBot="1">
      <c r="A22" s="6">
        <f>ELEC!C20</f>
        <v>44851</v>
      </c>
      <c r="B22" s="5">
        <v>109443</v>
      </c>
      <c r="C22" s="5">
        <f t="shared" si="6"/>
        <v>0</v>
      </c>
      <c r="D22" s="401">
        <f t="shared" si="7"/>
        <v>0</v>
      </c>
      <c r="E22" s="317">
        <f>SUM((C22*$E$4)+(7500/'EDl log'!$A$37))</f>
        <v>241.93548387096774</v>
      </c>
      <c r="F22" s="311"/>
      <c r="G22" s="5">
        <f t="shared" si="30"/>
        <v>630787</v>
      </c>
      <c r="H22" s="5">
        <f t="shared" si="8"/>
        <v>0</v>
      </c>
      <c r="I22" s="5">
        <f t="shared" si="9"/>
        <v>0</v>
      </c>
      <c r="J22" s="318">
        <f t="shared" si="0"/>
        <v>0</v>
      </c>
      <c r="K22" s="5">
        <f t="shared" si="10"/>
        <v>7089</v>
      </c>
      <c r="L22" s="83">
        <f t="shared" si="40"/>
        <v>0</v>
      </c>
      <c r="M22" s="392">
        <f t="shared" si="11"/>
        <v>457.44</v>
      </c>
      <c r="N22" s="481">
        <f t="shared" si="43"/>
        <v>0</v>
      </c>
      <c r="O22" s="392">
        <f t="shared" si="12"/>
        <v>529.52</v>
      </c>
      <c r="P22" s="481">
        <f t="shared" si="44"/>
        <v>0</v>
      </c>
      <c r="Q22" s="481">
        <f t="shared" si="45"/>
        <v>0</v>
      </c>
      <c r="R22" s="481"/>
      <c r="S22" s="481"/>
      <c r="T22" s="5">
        <f t="shared" si="31"/>
        <v>5193</v>
      </c>
      <c r="U22" s="5">
        <f t="shared" si="3"/>
        <v>0</v>
      </c>
      <c r="V22" s="5">
        <f t="shared" si="32"/>
        <v>500</v>
      </c>
      <c r="W22" s="308">
        <f t="shared" si="13"/>
        <v>0</v>
      </c>
      <c r="X22" s="5">
        <f t="shared" si="33"/>
        <v>155960</v>
      </c>
      <c r="Y22" s="308">
        <f t="shared" si="41"/>
        <v>0</v>
      </c>
      <c r="Z22" s="5">
        <f t="shared" si="14"/>
        <v>99668</v>
      </c>
      <c r="AA22" s="83">
        <f t="shared" si="15"/>
        <v>0</v>
      </c>
      <c r="AB22" s="5">
        <v>244</v>
      </c>
      <c r="AC22" s="5">
        <f t="shared" si="17"/>
        <v>855</v>
      </c>
      <c r="AD22" s="83">
        <f t="shared" si="34"/>
        <v>0</v>
      </c>
      <c r="AE22" s="5">
        <f t="shared" si="18"/>
        <v>248.9</v>
      </c>
      <c r="AF22" s="83">
        <f t="shared" si="19"/>
        <v>0</v>
      </c>
      <c r="AG22" s="5">
        <f t="shared" si="20"/>
        <v>2247.41</v>
      </c>
      <c r="AH22" s="83">
        <f t="shared" si="21"/>
        <v>0</v>
      </c>
      <c r="AI22" s="83">
        <f t="shared" si="22"/>
        <v>0</v>
      </c>
      <c r="AJ22" s="310">
        <f t="shared" si="23"/>
        <v>0</v>
      </c>
      <c r="AK22" s="311">
        <f t="shared" si="35"/>
        <v>0</v>
      </c>
      <c r="AL22" s="311">
        <f t="shared" si="24"/>
        <v>0</v>
      </c>
      <c r="AM22" s="311">
        <f>'General information '!D21</f>
        <v>23.5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5"/>
        <v>44851</v>
      </c>
      <c r="AS22" s="406">
        <f t="shared" ref="AS22:AS33" si="47">AS21</f>
        <v>0.9</v>
      </c>
      <c r="AT22" s="201">
        <v>129</v>
      </c>
      <c r="AU22" s="407">
        <f t="shared" si="42"/>
        <v>1.1000000000000001</v>
      </c>
      <c r="AV22" s="201">
        <v>86</v>
      </c>
      <c r="AW22" s="5">
        <v>2.9</v>
      </c>
      <c r="AX22" s="201">
        <v>73</v>
      </c>
      <c r="AY22" s="408">
        <f t="shared" si="36"/>
        <v>116.10000000000001</v>
      </c>
      <c r="AZ22" s="408">
        <f t="shared" si="37"/>
        <v>94.600000000000009</v>
      </c>
      <c r="BA22" s="408">
        <f t="shared" si="38"/>
        <v>211.7</v>
      </c>
      <c r="BB22" s="21">
        <f t="shared" si="39"/>
        <v>0.90000000000000568</v>
      </c>
      <c r="BC22" s="21">
        <f t="shared" ref="BC22:BD33" si="48">AZ22-AZ21</f>
        <v>-9.9000000000000057</v>
      </c>
      <c r="BD22" s="21">
        <f t="shared" si="48"/>
        <v>-14.5</v>
      </c>
      <c r="BE22" s="24">
        <f t="shared" si="28"/>
        <v>-23.5</v>
      </c>
      <c r="BF22" s="96">
        <f t="shared" si="29"/>
        <v>23.5</v>
      </c>
      <c r="BG22" s="82">
        <f t="shared" si="4"/>
        <v>-23.5</v>
      </c>
    </row>
    <row r="23" spans="1:61" ht="15.75" thickBot="1">
      <c r="A23" s="6">
        <f>ELEC!C21</f>
        <v>44852</v>
      </c>
      <c r="B23" s="5">
        <f t="shared" si="5"/>
        <v>109443</v>
      </c>
      <c r="C23" s="5">
        <f t="shared" si="6"/>
        <v>0</v>
      </c>
      <c r="D23" s="401">
        <f t="shared" si="7"/>
        <v>0</v>
      </c>
      <c r="E23" s="317">
        <f>SUM((C23*$E$4)+(7500/'EDl log'!$A$37))</f>
        <v>241.93548387096774</v>
      </c>
      <c r="F23" s="311"/>
      <c r="G23" s="5">
        <f t="shared" si="30"/>
        <v>630787</v>
      </c>
      <c r="H23" s="5">
        <f t="shared" si="8"/>
        <v>0</v>
      </c>
      <c r="I23" s="5">
        <f t="shared" si="9"/>
        <v>0</v>
      </c>
      <c r="J23" s="318">
        <f t="shared" si="0"/>
        <v>0</v>
      </c>
      <c r="K23" s="5">
        <f t="shared" si="10"/>
        <v>7089</v>
      </c>
      <c r="L23" s="263">
        <f t="shared" si="40"/>
        <v>0</v>
      </c>
      <c r="M23" s="392">
        <f t="shared" si="11"/>
        <v>457.44</v>
      </c>
      <c r="N23" s="481">
        <f t="shared" si="43"/>
        <v>0</v>
      </c>
      <c r="O23" s="392">
        <f t="shared" si="12"/>
        <v>529.52</v>
      </c>
      <c r="P23" s="481">
        <f t="shared" si="44"/>
        <v>0</v>
      </c>
      <c r="Q23" s="481">
        <f t="shared" si="45"/>
        <v>0</v>
      </c>
      <c r="R23" s="483"/>
      <c r="S23" s="483"/>
      <c r="T23" s="5">
        <f t="shared" si="31"/>
        <v>5193</v>
      </c>
      <c r="U23" s="5">
        <f t="shared" si="3"/>
        <v>0</v>
      </c>
      <c r="V23" s="5">
        <f t="shared" si="32"/>
        <v>500</v>
      </c>
      <c r="W23" s="308">
        <f t="shared" si="13"/>
        <v>0</v>
      </c>
      <c r="X23" s="5">
        <f t="shared" si="33"/>
        <v>155960</v>
      </c>
      <c r="Y23" s="308">
        <f t="shared" si="41"/>
        <v>0</v>
      </c>
      <c r="Z23" s="5">
        <f t="shared" si="14"/>
        <v>99668</v>
      </c>
      <c r="AA23" s="83">
        <f t="shared" si="15"/>
        <v>0</v>
      </c>
      <c r="AB23" s="5">
        <f t="shared" si="16"/>
        <v>244</v>
      </c>
      <c r="AC23" s="5">
        <f t="shared" si="17"/>
        <v>855</v>
      </c>
      <c r="AD23" s="83">
        <f t="shared" si="34"/>
        <v>0</v>
      </c>
      <c r="AE23" s="5">
        <f t="shared" si="18"/>
        <v>248.9</v>
      </c>
      <c r="AF23" s="83">
        <f t="shared" si="19"/>
        <v>0</v>
      </c>
      <c r="AG23" s="5">
        <f t="shared" si="20"/>
        <v>2247.41</v>
      </c>
      <c r="AH23" s="83">
        <f t="shared" si="21"/>
        <v>0</v>
      </c>
      <c r="AI23" s="83">
        <f t="shared" si="22"/>
        <v>0</v>
      </c>
      <c r="AJ23" s="310">
        <f t="shared" si="23"/>
        <v>0</v>
      </c>
      <c r="AK23" s="311">
        <f t="shared" si="35"/>
        <v>0</v>
      </c>
      <c r="AL23" s="311">
        <f t="shared" si="24"/>
        <v>0</v>
      </c>
      <c r="AM23" s="311">
        <f>'General information '!D22</f>
        <v>24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5"/>
        <v>44852</v>
      </c>
      <c r="AS23" s="406">
        <f t="shared" si="47"/>
        <v>0.9</v>
      </c>
      <c r="AT23" s="201">
        <v>111</v>
      </c>
      <c r="AU23" s="407">
        <f t="shared" si="42"/>
        <v>1.1000000000000001</v>
      </c>
      <c r="AV23" s="201">
        <v>87.5</v>
      </c>
      <c r="AW23" s="5">
        <v>2.9</v>
      </c>
      <c r="AX23" s="201">
        <v>70</v>
      </c>
      <c r="AY23" s="408">
        <f t="shared" si="36"/>
        <v>99.9</v>
      </c>
      <c r="AZ23" s="408">
        <f t="shared" si="37"/>
        <v>96.250000000000014</v>
      </c>
      <c r="BA23" s="408">
        <f t="shared" si="38"/>
        <v>203</v>
      </c>
      <c r="BB23" s="21">
        <f t="shared" si="39"/>
        <v>-16.200000000000003</v>
      </c>
      <c r="BC23" s="21">
        <f t="shared" si="48"/>
        <v>1.6500000000000057</v>
      </c>
      <c r="BD23" s="21">
        <f t="shared" si="48"/>
        <v>-8.6999999999999886</v>
      </c>
      <c r="BE23" s="24">
        <f t="shared" si="28"/>
        <v>-23.249999999999986</v>
      </c>
      <c r="BF23" s="96">
        <f t="shared" si="29"/>
        <v>23.249999999999986</v>
      </c>
      <c r="BG23" s="82">
        <f t="shared" si="4"/>
        <v>-23.249999999999986</v>
      </c>
    </row>
    <row r="24" spans="1:61" ht="15.75" thickBot="1">
      <c r="A24" s="6">
        <f>ELEC!C22</f>
        <v>44853</v>
      </c>
      <c r="B24" s="5">
        <f t="shared" si="5"/>
        <v>109443</v>
      </c>
      <c r="C24" s="5">
        <f t="shared" si="6"/>
        <v>0</v>
      </c>
      <c r="D24" s="401">
        <f t="shared" si="7"/>
        <v>0</v>
      </c>
      <c r="E24" s="317">
        <f>SUM((C24*$E$4)+(7500/'EDl log'!$A$37))</f>
        <v>241.93548387096774</v>
      </c>
      <c r="F24" s="311"/>
      <c r="G24" s="5">
        <f t="shared" si="30"/>
        <v>630787</v>
      </c>
      <c r="H24" s="5">
        <f t="shared" si="8"/>
        <v>0</v>
      </c>
      <c r="I24" s="5">
        <f t="shared" si="9"/>
        <v>0</v>
      </c>
      <c r="J24" s="318">
        <f t="shared" si="0"/>
        <v>0</v>
      </c>
      <c r="K24" s="5">
        <f t="shared" si="10"/>
        <v>7089</v>
      </c>
      <c r="L24" s="263">
        <f t="shared" si="40"/>
        <v>0</v>
      </c>
      <c r="M24" s="392">
        <f t="shared" si="11"/>
        <v>457.44</v>
      </c>
      <c r="N24" s="481">
        <f t="shared" si="43"/>
        <v>0</v>
      </c>
      <c r="O24" s="392">
        <f t="shared" si="12"/>
        <v>529.52</v>
      </c>
      <c r="P24" s="481">
        <f t="shared" si="44"/>
        <v>0</v>
      </c>
      <c r="Q24" s="481">
        <f t="shared" si="45"/>
        <v>0</v>
      </c>
      <c r="R24" s="483"/>
      <c r="S24" s="483"/>
      <c r="T24" s="5">
        <f t="shared" si="31"/>
        <v>5193</v>
      </c>
      <c r="U24" s="5">
        <f t="shared" si="3"/>
        <v>0</v>
      </c>
      <c r="V24" s="5">
        <f t="shared" si="32"/>
        <v>500</v>
      </c>
      <c r="W24" s="308">
        <f t="shared" si="13"/>
        <v>0</v>
      </c>
      <c r="X24" s="5">
        <f t="shared" si="33"/>
        <v>155960</v>
      </c>
      <c r="Y24" s="308">
        <f t="shared" si="41"/>
        <v>0</v>
      </c>
      <c r="Z24" s="5">
        <f t="shared" si="14"/>
        <v>99668</v>
      </c>
      <c r="AA24" s="83">
        <f t="shared" si="15"/>
        <v>0</v>
      </c>
      <c r="AB24" s="5">
        <f t="shared" si="16"/>
        <v>244</v>
      </c>
      <c r="AC24" s="5">
        <f t="shared" si="17"/>
        <v>855</v>
      </c>
      <c r="AD24" s="83">
        <f t="shared" si="34"/>
        <v>0</v>
      </c>
      <c r="AE24" s="5">
        <f t="shared" si="18"/>
        <v>248.9</v>
      </c>
      <c r="AF24" s="83">
        <f t="shared" si="19"/>
        <v>0</v>
      </c>
      <c r="AG24" s="5">
        <f t="shared" si="20"/>
        <v>2247.41</v>
      </c>
      <c r="AH24" s="83">
        <f t="shared" si="21"/>
        <v>0</v>
      </c>
      <c r="AI24" s="83">
        <f t="shared" si="22"/>
        <v>0</v>
      </c>
      <c r="AJ24" s="310">
        <f t="shared" si="23"/>
        <v>0</v>
      </c>
      <c r="AK24" s="311">
        <f t="shared" si="35"/>
        <v>0</v>
      </c>
      <c r="AL24" s="311">
        <f t="shared" si="24"/>
        <v>0</v>
      </c>
      <c r="AM24" s="311">
        <f>'General information '!D23</f>
        <v>23.5</v>
      </c>
      <c r="AN24" s="84">
        <f>'[4]General information '!H24</f>
        <v>0</v>
      </c>
      <c r="AO24" s="84"/>
      <c r="AP24" s="84">
        <f>'[4]General information '!J24</f>
        <v>0</v>
      </c>
      <c r="AR24" s="266">
        <f t="shared" si="25"/>
        <v>44853</v>
      </c>
      <c r="AS24" s="406">
        <f t="shared" si="47"/>
        <v>0.9</v>
      </c>
      <c r="AT24" s="201">
        <v>112</v>
      </c>
      <c r="AU24" s="407">
        <f t="shared" si="42"/>
        <v>1.1000000000000001</v>
      </c>
      <c r="AV24" s="201">
        <v>85</v>
      </c>
      <c r="AW24" s="5">
        <v>2.9</v>
      </c>
      <c r="AX24" s="201">
        <v>67</v>
      </c>
      <c r="AY24" s="408">
        <f t="shared" si="36"/>
        <v>100.8</v>
      </c>
      <c r="AZ24" s="408">
        <f t="shared" si="37"/>
        <v>93.500000000000014</v>
      </c>
      <c r="BA24" s="408">
        <f t="shared" si="38"/>
        <v>194.29999999999998</v>
      </c>
      <c r="BB24" s="21">
        <f t="shared" si="39"/>
        <v>0.89999999999999147</v>
      </c>
      <c r="BC24" s="21">
        <f t="shared" si="48"/>
        <v>-2.75</v>
      </c>
      <c r="BD24" s="21">
        <f t="shared" si="48"/>
        <v>-8.7000000000000171</v>
      </c>
      <c r="BE24" s="24">
        <f t="shared" si="28"/>
        <v>-10.550000000000026</v>
      </c>
      <c r="BF24" s="96">
        <f t="shared" si="29"/>
        <v>10.550000000000026</v>
      </c>
      <c r="BG24" s="82">
        <f t="shared" si="4"/>
        <v>-10.550000000000026</v>
      </c>
      <c r="BI24" s="82"/>
    </row>
    <row r="25" spans="1:61" ht="15.75" thickBot="1">
      <c r="A25" s="6">
        <f>ELEC!C23</f>
        <v>44854</v>
      </c>
      <c r="B25" s="5">
        <f t="shared" si="5"/>
        <v>109443</v>
      </c>
      <c r="C25" s="5">
        <f t="shared" si="6"/>
        <v>0</v>
      </c>
      <c r="D25" s="401">
        <f t="shared" si="7"/>
        <v>0</v>
      </c>
      <c r="E25" s="317">
        <f>SUM((C25*$E$4)+(7500/'EDl log'!$A$37))</f>
        <v>241.93548387096774</v>
      </c>
      <c r="F25" s="311"/>
      <c r="G25" s="5">
        <f t="shared" si="30"/>
        <v>630787</v>
      </c>
      <c r="H25" s="5">
        <f t="shared" si="8"/>
        <v>0</v>
      </c>
      <c r="I25" s="5">
        <f t="shared" si="9"/>
        <v>0</v>
      </c>
      <c r="J25" s="318">
        <f t="shared" si="0"/>
        <v>0</v>
      </c>
      <c r="K25" s="5">
        <f t="shared" si="10"/>
        <v>7089</v>
      </c>
      <c r="L25" s="263">
        <f t="shared" si="40"/>
        <v>0</v>
      </c>
      <c r="M25" s="392">
        <f t="shared" si="11"/>
        <v>457.44</v>
      </c>
      <c r="N25" s="481">
        <f t="shared" si="43"/>
        <v>0</v>
      </c>
      <c r="O25" s="392">
        <f t="shared" si="12"/>
        <v>529.52</v>
      </c>
      <c r="P25" s="481">
        <f t="shared" si="44"/>
        <v>0</v>
      </c>
      <c r="Q25" s="481">
        <f t="shared" si="45"/>
        <v>0</v>
      </c>
      <c r="R25" s="483"/>
      <c r="S25" s="483"/>
      <c r="T25" s="5">
        <f t="shared" si="31"/>
        <v>5193</v>
      </c>
      <c r="U25" s="5">
        <f t="shared" si="3"/>
        <v>0</v>
      </c>
      <c r="V25" s="5">
        <f t="shared" si="32"/>
        <v>500</v>
      </c>
      <c r="W25" s="308">
        <f t="shared" si="13"/>
        <v>0</v>
      </c>
      <c r="X25" s="5">
        <f t="shared" si="33"/>
        <v>155960</v>
      </c>
      <c r="Y25" s="308">
        <f t="shared" si="41"/>
        <v>0</v>
      </c>
      <c r="Z25" s="5">
        <f t="shared" si="14"/>
        <v>99668</v>
      </c>
      <c r="AA25" s="83">
        <f t="shared" si="15"/>
        <v>0</v>
      </c>
      <c r="AB25" s="5">
        <f t="shared" si="16"/>
        <v>244</v>
      </c>
      <c r="AC25" s="5">
        <f t="shared" si="17"/>
        <v>855</v>
      </c>
      <c r="AD25" s="83">
        <f t="shared" si="34"/>
        <v>0</v>
      </c>
      <c r="AE25" s="5">
        <f t="shared" si="18"/>
        <v>248.9</v>
      </c>
      <c r="AF25" s="83">
        <f t="shared" si="19"/>
        <v>0</v>
      </c>
      <c r="AG25" s="5">
        <f t="shared" si="20"/>
        <v>2247.41</v>
      </c>
      <c r="AH25" s="83">
        <f t="shared" si="21"/>
        <v>0</v>
      </c>
      <c r="AI25" s="83">
        <f t="shared" si="22"/>
        <v>0</v>
      </c>
      <c r="AJ25" s="310">
        <f t="shared" si="23"/>
        <v>0</v>
      </c>
      <c r="AK25" s="311">
        <f t="shared" si="35"/>
        <v>0</v>
      </c>
      <c r="AL25" s="311">
        <f t="shared" si="24"/>
        <v>0</v>
      </c>
      <c r="AM25" s="311">
        <f>'General information '!D24</f>
        <v>23.5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5"/>
        <v>44854</v>
      </c>
      <c r="AS25" s="406">
        <f t="shared" si="47"/>
        <v>0.9</v>
      </c>
      <c r="AT25" s="201">
        <v>111</v>
      </c>
      <c r="AU25" s="407">
        <f t="shared" si="42"/>
        <v>1.1000000000000001</v>
      </c>
      <c r="AV25" s="201">
        <v>84</v>
      </c>
      <c r="AW25" s="5">
        <v>2.9</v>
      </c>
      <c r="AX25" s="201">
        <v>65</v>
      </c>
      <c r="AY25" s="408">
        <f t="shared" si="36"/>
        <v>99.9</v>
      </c>
      <c r="AZ25" s="408">
        <f t="shared" si="37"/>
        <v>92.4</v>
      </c>
      <c r="BA25" s="408">
        <f t="shared" si="38"/>
        <v>188.5</v>
      </c>
      <c r="BB25" s="21">
        <f t="shared" si="39"/>
        <v>-0.89999999999999147</v>
      </c>
      <c r="BC25" s="21">
        <f t="shared" si="48"/>
        <v>-1.1000000000000085</v>
      </c>
      <c r="BD25" s="21">
        <f t="shared" si="48"/>
        <v>-5.7999999999999829</v>
      </c>
      <c r="BE25" s="24">
        <f t="shared" si="28"/>
        <v>-7.7999999999999829</v>
      </c>
      <c r="BF25" s="96">
        <f t="shared" si="29"/>
        <v>7.7999999999999829</v>
      </c>
      <c r="BG25" s="82">
        <f t="shared" si="4"/>
        <v>-7.7999999999999829</v>
      </c>
    </row>
    <row r="26" spans="1:61" ht="15.75" thickBot="1">
      <c r="A26" s="6">
        <f>ELEC!C24</f>
        <v>44855</v>
      </c>
      <c r="B26" s="5">
        <f t="shared" si="5"/>
        <v>109443</v>
      </c>
      <c r="C26" s="5">
        <f t="shared" si="6"/>
        <v>0</v>
      </c>
      <c r="D26" s="401">
        <f t="shared" si="7"/>
        <v>0</v>
      </c>
      <c r="E26" s="317">
        <f>SUM((C26*$E$4)+(7500/'EDl log'!$A$37))</f>
        <v>241.93548387096774</v>
      </c>
      <c r="F26" s="311"/>
      <c r="G26" s="5">
        <f t="shared" si="30"/>
        <v>630787</v>
      </c>
      <c r="H26" s="5">
        <f>G26-G25</f>
        <v>0</v>
      </c>
      <c r="I26" s="5">
        <f t="shared" si="9"/>
        <v>0</v>
      </c>
      <c r="J26" s="318">
        <f t="shared" si="0"/>
        <v>0</v>
      </c>
      <c r="K26" s="5">
        <f t="shared" si="10"/>
        <v>7089</v>
      </c>
      <c r="L26" s="263">
        <f t="shared" si="40"/>
        <v>0</v>
      </c>
      <c r="M26" s="392">
        <f t="shared" si="11"/>
        <v>457.44</v>
      </c>
      <c r="N26" s="481">
        <f t="shared" si="43"/>
        <v>0</v>
      </c>
      <c r="O26" s="392">
        <f t="shared" si="12"/>
        <v>529.52</v>
      </c>
      <c r="P26" s="481">
        <f t="shared" si="44"/>
        <v>0</v>
      </c>
      <c r="Q26" s="481">
        <f t="shared" si="45"/>
        <v>0</v>
      </c>
      <c r="R26" s="483"/>
      <c r="S26" s="483"/>
      <c r="T26" s="5">
        <f t="shared" si="31"/>
        <v>5193</v>
      </c>
      <c r="U26" s="5">
        <f t="shared" si="3"/>
        <v>0</v>
      </c>
      <c r="V26" s="5">
        <f t="shared" si="32"/>
        <v>500</v>
      </c>
      <c r="W26" s="308">
        <f t="shared" si="13"/>
        <v>0</v>
      </c>
      <c r="X26" s="5">
        <f t="shared" si="33"/>
        <v>155960</v>
      </c>
      <c r="Y26" s="308">
        <f t="shared" si="41"/>
        <v>0</v>
      </c>
      <c r="Z26" s="5">
        <f t="shared" si="14"/>
        <v>99668</v>
      </c>
      <c r="AA26" s="83">
        <f t="shared" si="15"/>
        <v>0</v>
      </c>
      <c r="AB26" s="5">
        <f t="shared" si="16"/>
        <v>244</v>
      </c>
      <c r="AC26" s="5">
        <f t="shared" si="17"/>
        <v>855</v>
      </c>
      <c r="AD26" s="83">
        <f t="shared" si="34"/>
        <v>0</v>
      </c>
      <c r="AE26" s="5">
        <f t="shared" si="18"/>
        <v>248.9</v>
      </c>
      <c r="AF26" s="83">
        <f t="shared" si="19"/>
        <v>0</v>
      </c>
      <c r="AG26" s="5">
        <f t="shared" si="20"/>
        <v>2247.41</v>
      </c>
      <c r="AH26" s="83">
        <f t="shared" si="21"/>
        <v>0</v>
      </c>
      <c r="AI26" s="83">
        <f t="shared" si="22"/>
        <v>0</v>
      </c>
      <c r="AJ26" s="310">
        <f t="shared" si="23"/>
        <v>0</v>
      </c>
      <c r="AK26" s="311">
        <f>SUM(Y26-L26)</f>
        <v>0</v>
      </c>
      <c r="AL26" s="311">
        <f>SUM(AJ26-W26)</f>
        <v>0</v>
      </c>
      <c r="AM26" s="311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5"/>
        <v>44855</v>
      </c>
      <c r="AS26" s="406">
        <f t="shared" si="47"/>
        <v>0.9</v>
      </c>
      <c r="AT26" s="201">
        <v>0</v>
      </c>
      <c r="AU26" s="407">
        <f t="shared" si="42"/>
        <v>1.1000000000000001</v>
      </c>
      <c r="AV26" s="201">
        <v>0</v>
      </c>
      <c r="AW26" s="5">
        <v>2.9</v>
      </c>
      <c r="AX26" s="201">
        <v>0</v>
      </c>
      <c r="AY26" s="408">
        <f t="shared" si="36"/>
        <v>0</v>
      </c>
      <c r="AZ26" s="408">
        <f t="shared" si="37"/>
        <v>0</v>
      </c>
      <c r="BA26" s="408">
        <f t="shared" si="38"/>
        <v>0</v>
      </c>
      <c r="BB26" s="21">
        <f t="shared" si="39"/>
        <v>-99.9</v>
      </c>
      <c r="BC26" s="21">
        <f t="shared" si="48"/>
        <v>-92.4</v>
      </c>
      <c r="BD26" s="21">
        <f t="shared" si="48"/>
        <v>-188.5</v>
      </c>
      <c r="BE26" s="24">
        <f t="shared" si="28"/>
        <v>-380.8</v>
      </c>
      <c r="BF26" s="96">
        <f t="shared" si="29"/>
        <v>380.8</v>
      </c>
      <c r="BG26" s="82">
        <f t="shared" si="4"/>
        <v>-380.8</v>
      </c>
    </row>
    <row r="27" spans="1:61" ht="15.75" thickBot="1">
      <c r="A27" s="6">
        <f>ELEC!C25</f>
        <v>44856</v>
      </c>
      <c r="B27" s="5">
        <f t="shared" si="5"/>
        <v>109443</v>
      </c>
      <c r="C27" s="5">
        <f t="shared" si="6"/>
        <v>0</v>
      </c>
      <c r="D27" s="401">
        <f t="shared" si="7"/>
        <v>0</v>
      </c>
      <c r="E27" s="317">
        <f>SUM((C27*$E$4)+(7500/'EDl log'!$A$37))</f>
        <v>241.93548387096774</v>
      </c>
      <c r="F27" s="311"/>
      <c r="G27" s="5">
        <f t="shared" si="30"/>
        <v>630787</v>
      </c>
      <c r="H27" s="5">
        <f t="shared" si="8"/>
        <v>0</v>
      </c>
      <c r="I27" s="5">
        <f t="shared" si="9"/>
        <v>0</v>
      </c>
      <c r="J27" s="318">
        <f t="shared" si="0"/>
        <v>0</v>
      </c>
      <c r="K27" s="5">
        <f t="shared" si="10"/>
        <v>7089</v>
      </c>
      <c r="L27" s="263">
        <f t="shared" si="40"/>
        <v>0</v>
      </c>
      <c r="M27" s="392">
        <f t="shared" si="11"/>
        <v>457.44</v>
      </c>
      <c r="N27" s="481">
        <f t="shared" si="43"/>
        <v>0</v>
      </c>
      <c r="O27" s="392">
        <f t="shared" si="12"/>
        <v>529.52</v>
      </c>
      <c r="P27" s="481">
        <f t="shared" si="44"/>
        <v>0</v>
      </c>
      <c r="Q27" s="481">
        <f t="shared" si="45"/>
        <v>0</v>
      </c>
      <c r="R27" s="483"/>
      <c r="S27" s="483"/>
      <c r="T27" s="5">
        <f t="shared" si="31"/>
        <v>5193</v>
      </c>
      <c r="U27" s="5">
        <f t="shared" si="3"/>
        <v>0</v>
      </c>
      <c r="V27" s="5">
        <f t="shared" si="32"/>
        <v>500</v>
      </c>
      <c r="W27" s="308">
        <f t="shared" si="13"/>
        <v>0</v>
      </c>
      <c r="X27" s="5">
        <f t="shared" si="33"/>
        <v>155960</v>
      </c>
      <c r="Y27" s="308">
        <f t="shared" si="41"/>
        <v>0</v>
      </c>
      <c r="Z27" s="5">
        <f t="shared" si="14"/>
        <v>99668</v>
      </c>
      <c r="AA27" s="83">
        <f t="shared" si="15"/>
        <v>0</v>
      </c>
      <c r="AB27" s="5">
        <f t="shared" si="16"/>
        <v>244</v>
      </c>
      <c r="AC27" s="5">
        <f t="shared" si="17"/>
        <v>855</v>
      </c>
      <c r="AD27" s="83">
        <f t="shared" si="34"/>
        <v>0</v>
      </c>
      <c r="AE27" s="5">
        <f t="shared" si="18"/>
        <v>248.9</v>
      </c>
      <c r="AF27" s="83">
        <f t="shared" si="19"/>
        <v>0</v>
      </c>
      <c r="AG27" s="5">
        <f t="shared" si="20"/>
        <v>2247.41</v>
      </c>
      <c r="AH27" s="83">
        <f t="shared" si="21"/>
        <v>0</v>
      </c>
      <c r="AI27" s="83">
        <f t="shared" si="22"/>
        <v>0</v>
      </c>
      <c r="AJ27" s="310">
        <f t="shared" si="23"/>
        <v>0</v>
      </c>
      <c r="AK27" s="311">
        <f t="shared" si="35"/>
        <v>0</v>
      </c>
      <c r="AL27" s="311">
        <f t="shared" si="24"/>
        <v>0</v>
      </c>
      <c r="AM27" s="311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5"/>
        <v>44856</v>
      </c>
      <c r="AS27" s="406">
        <f t="shared" si="47"/>
        <v>0.9</v>
      </c>
      <c r="AT27" s="201">
        <v>0</v>
      </c>
      <c r="AU27" s="407">
        <f t="shared" si="42"/>
        <v>1.1000000000000001</v>
      </c>
      <c r="AV27" s="201">
        <v>0</v>
      </c>
      <c r="AW27" s="5">
        <v>2.9</v>
      </c>
      <c r="AX27" s="201">
        <v>0</v>
      </c>
      <c r="AY27" s="408">
        <f t="shared" si="36"/>
        <v>0</v>
      </c>
      <c r="AZ27" s="408">
        <f t="shared" si="37"/>
        <v>0</v>
      </c>
      <c r="BA27" s="408">
        <f t="shared" si="38"/>
        <v>0</v>
      </c>
      <c r="BB27" s="21">
        <f t="shared" si="39"/>
        <v>0</v>
      </c>
      <c r="BC27" s="21">
        <f t="shared" si="48"/>
        <v>0</v>
      </c>
      <c r="BD27" s="21">
        <f t="shared" si="48"/>
        <v>0</v>
      </c>
      <c r="BE27" s="24">
        <f t="shared" si="28"/>
        <v>0</v>
      </c>
      <c r="BF27" s="96">
        <f t="shared" si="29"/>
        <v>0</v>
      </c>
      <c r="BG27" s="82">
        <f t="shared" si="4"/>
        <v>0</v>
      </c>
    </row>
    <row r="28" spans="1:61" ht="15.75" thickBot="1">
      <c r="A28" s="6">
        <f>ELEC!C26</f>
        <v>44857</v>
      </c>
      <c r="B28" s="5">
        <f t="shared" si="5"/>
        <v>109443</v>
      </c>
      <c r="C28" s="5">
        <f t="shared" si="6"/>
        <v>0</v>
      </c>
      <c r="D28" s="401">
        <f t="shared" si="7"/>
        <v>0</v>
      </c>
      <c r="E28" s="317">
        <f>SUM((C28*$E$4)+(7500/'EDl log'!$A$37))</f>
        <v>241.93548387096774</v>
      </c>
      <c r="F28" s="311"/>
      <c r="G28" s="5">
        <f t="shared" si="30"/>
        <v>630787</v>
      </c>
      <c r="H28" s="5">
        <f t="shared" si="8"/>
        <v>0</v>
      </c>
      <c r="I28" s="5">
        <f t="shared" si="9"/>
        <v>0</v>
      </c>
      <c r="J28" s="318">
        <f t="shared" si="0"/>
        <v>0</v>
      </c>
      <c r="K28" s="5">
        <f t="shared" si="10"/>
        <v>7089</v>
      </c>
      <c r="L28" s="263">
        <f t="shared" si="40"/>
        <v>0</v>
      </c>
      <c r="M28" s="392">
        <f t="shared" si="11"/>
        <v>457.44</v>
      </c>
      <c r="N28" s="481">
        <f t="shared" si="43"/>
        <v>0</v>
      </c>
      <c r="O28" s="392">
        <f t="shared" si="12"/>
        <v>529.52</v>
      </c>
      <c r="P28" s="481">
        <f t="shared" si="44"/>
        <v>0</v>
      </c>
      <c r="Q28" s="481">
        <f t="shared" si="45"/>
        <v>0</v>
      </c>
      <c r="R28" s="483"/>
      <c r="S28" s="483"/>
      <c r="T28" s="5">
        <f t="shared" si="31"/>
        <v>5193</v>
      </c>
      <c r="U28" s="5">
        <f t="shared" si="3"/>
        <v>0</v>
      </c>
      <c r="V28" s="5">
        <f t="shared" si="32"/>
        <v>500</v>
      </c>
      <c r="W28" s="308">
        <f t="shared" si="13"/>
        <v>0</v>
      </c>
      <c r="X28" s="5">
        <f t="shared" si="33"/>
        <v>155960</v>
      </c>
      <c r="Y28" s="308">
        <f t="shared" si="41"/>
        <v>0</v>
      </c>
      <c r="Z28" s="5">
        <f t="shared" si="14"/>
        <v>99668</v>
      </c>
      <c r="AA28" s="83">
        <f t="shared" si="15"/>
        <v>0</v>
      </c>
      <c r="AB28" s="5">
        <f t="shared" si="16"/>
        <v>244</v>
      </c>
      <c r="AC28" s="5">
        <f t="shared" si="17"/>
        <v>855</v>
      </c>
      <c r="AD28" s="83">
        <f t="shared" si="34"/>
        <v>0</v>
      </c>
      <c r="AE28" s="5">
        <f t="shared" si="18"/>
        <v>248.9</v>
      </c>
      <c r="AF28" s="83">
        <f t="shared" si="19"/>
        <v>0</v>
      </c>
      <c r="AG28" s="5">
        <f t="shared" si="20"/>
        <v>2247.41</v>
      </c>
      <c r="AH28" s="83">
        <f t="shared" si="21"/>
        <v>0</v>
      </c>
      <c r="AI28" s="83">
        <f t="shared" si="22"/>
        <v>0</v>
      </c>
      <c r="AJ28" s="310">
        <f t="shared" si="23"/>
        <v>0</v>
      </c>
      <c r="AK28" s="311">
        <f t="shared" si="35"/>
        <v>0</v>
      </c>
      <c r="AL28" s="311">
        <f t="shared" si="24"/>
        <v>0</v>
      </c>
      <c r="AM28" s="311">
        <f>'General information '!D27</f>
        <v>24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5"/>
        <v>44857</v>
      </c>
      <c r="AS28" s="406">
        <f t="shared" si="47"/>
        <v>0.9</v>
      </c>
      <c r="AT28" s="201">
        <v>52</v>
      </c>
      <c r="AU28" s="407">
        <f t="shared" si="42"/>
        <v>1.1000000000000001</v>
      </c>
      <c r="AV28" s="201">
        <v>78</v>
      </c>
      <c r="AW28" s="5">
        <v>2.9</v>
      </c>
      <c r="AX28" s="201">
        <v>78</v>
      </c>
      <c r="AY28" s="408">
        <f t="shared" si="36"/>
        <v>46.800000000000004</v>
      </c>
      <c r="AZ28" s="408">
        <f t="shared" si="37"/>
        <v>85.800000000000011</v>
      </c>
      <c r="BA28" s="408">
        <f t="shared" si="38"/>
        <v>226.2</v>
      </c>
      <c r="BB28" s="21">
        <f t="shared" si="39"/>
        <v>46.800000000000004</v>
      </c>
      <c r="BC28" s="21">
        <f t="shared" si="48"/>
        <v>85.800000000000011</v>
      </c>
      <c r="BD28" s="21">
        <f t="shared" si="48"/>
        <v>226.2</v>
      </c>
      <c r="BE28" s="24">
        <f t="shared" si="28"/>
        <v>358.8</v>
      </c>
      <c r="BF28" s="96">
        <f t="shared" si="29"/>
        <v>-358.8</v>
      </c>
      <c r="BG28" s="82">
        <f t="shared" si="4"/>
        <v>358.8</v>
      </c>
    </row>
    <row r="29" spans="1:61" ht="15.75" thickBot="1">
      <c r="A29" s="6">
        <f>ELEC!C27</f>
        <v>44858</v>
      </c>
      <c r="B29" s="5">
        <f t="shared" si="5"/>
        <v>109443</v>
      </c>
      <c r="C29" s="5">
        <f t="shared" si="6"/>
        <v>0</v>
      </c>
      <c r="D29" s="401">
        <f t="shared" si="7"/>
        <v>0</v>
      </c>
      <c r="E29" s="317">
        <f>SUM((C29*$E$4)+(7500/'EDl log'!$A$37))</f>
        <v>241.93548387096774</v>
      </c>
      <c r="F29" s="311"/>
      <c r="G29" s="5">
        <f t="shared" si="30"/>
        <v>630787</v>
      </c>
      <c r="H29" s="5">
        <f t="shared" si="8"/>
        <v>0</v>
      </c>
      <c r="I29" s="5">
        <f t="shared" si="9"/>
        <v>0</v>
      </c>
      <c r="J29" s="318">
        <f t="shared" si="0"/>
        <v>0</v>
      </c>
      <c r="K29" s="5">
        <f t="shared" si="10"/>
        <v>7089</v>
      </c>
      <c r="L29" s="263">
        <f t="shared" si="40"/>
        <v>0</v>
      </c>
      <c r="M29" s="392">
        <f t="shared" si="11"/>
        <v>457.44</v>
      </c>
      <c r="N29" s="481">
        <f t="shared" si="43"/>
        <v>0</v>
      </c>
      <c r="O29" s="392">
        <f t="shared" si="12"/>
        <v>529.52</v>
      </c>
      <c r="P29" s="481">
        <f t="shared" si="44"/>
        <v>0</v>
      </c>
      <c r="Q29" s="481">
        <f t="shared" si="45"/>
        <v>0</v>
      </c>
      <c r="R29" s="483"/>
      <c r="S29" s="483"/>
      <c r="T29" s="5">
        <f t="shared" si="31"/>
        <v>5193</v>
      </c>
      <c r="U29" s="5">
        <f t="shared" si="3"/>
        <v>0</v>
      </c>
      <c r="V29" s="5">
        <f t="shared" si="32"/>
        <v>500</v>
      </c>
      <c r="W29" s="308">
        <f t="shared" si="13"/>
        <v>0</v>
      </c>
      <c r="X29" s="5">
        <v>156017</v>
      </c>
      <c r="Y29" s="308">
        <f t="shared" si="41"/>
        <v>57</v>
      </c>
      <c r="Z29" s="5">
        <f t="shared" si="14"/>
        <v>99668</v>
      </c>
      <c r="AA29" s="83">
        <f t="shared" si="15"/>
        <v>0</v>
      </c>
      <c r="AB29" s="5">
        <v>251</v>
      </c>
      <c r="AC29" s="5">
        <f t="shared" si="17"/>
        <v>855</v>
      </c>
      <c r="AD29" s="83">
        <f t="shared" si="34"/>
        <v>0</v>
      </c>
      <c r="AE29" s="5">
        <f t="shared" si="18"/>
        <v>248.9</v>
      </c>
      <c r="AF29" s="83">
        <f t="shared" si="19"/>
        <v>0</v>
      </c>
      <c r="AG29" s="5">
        <f t="shared" si="20"/>
        <v>2247.41</v>
      </c>
      <c r="AH29" s="83">
        <f t="shared" si="21"/>
        <v>0</v>
      </c>
      <c r="AI29" s="83">
        <f t="shared" si="22"/>
        <v>0</v>
      </c>
      <c r="AJ29" s="310">
        <f t="shared" si="23"/>
        <v>0</v>
      </c>
      <c r="AK29" s="311">
        <f t="shared" si="35"/>
        <v>57</v>
      </c>
      <c r="AL29" s="311">
        <f t="shared" si="24"/>
        <v>0</v>
      </c>
      <c r="AM29" s="311">
        <f>'General information '!D28</f>
        <v>24.5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5"/>
        <v>44858</v>
      </c>
      <c r="AS29" s="406">
        <f t="shared" si="47"/>
        <v>0.9</v>
      </c>
      <c r="AT29" s="201">
        <v>51</v>
      </c>
      <c r="AU29" s="407">
        <f t="shared" si="42"/>
        <v>1.1000000000000001</v>
      </c>
      <c r="AV29" s="201">
        <v>77</v>
      </c>
      <c r="AW29" s="5">
        <v>2.9</v>
      </c>
      <c r="AX29" s="201">
        <v>77</v>
      </c>
      <c r="AY29" s="408">
        <f t="shared" si="36"/>
        <v>45.9</v>
      </c>
      <c r="AZ29" s="408">
        <f t="shared" si="37"/>
        <v>84.7</v>
      </c>
      <c r="BA29" s="408">
        <f t="shared" si="38"/>
        <v>223.29999999999998</v>
      </c>
      <c r="BB29" s="21">
        <f t="shared" si="39"/>
        <v>-0.90000000000000568</v>
      </c>
      <c r="BC29" s="21">
        <f t="shared" si="48"/>
        <v>-1.1000000000000085</v>
      </c>
      <c r="BD29" s="21">
        <f t="shared" si="48"/>
        <v>-2.9000000000000057</v>
      </c>
      <c r="BE29" s="24">
        <f t="shared" si="28"/>
        <v>-4.9000000000000199</v>
      </c>
      <c r="BF29" s="96">
        <f t="shared" si="29"/>
        <v>4.9000000000000199</v>
      </c>
      <c r="BG29" s="82">
        <f t="shared" si="4"/>
        <v>-4.9000000000000199</v>
      </c>
    </row>
    <row r="30" spans="1:61" ht="15.75" thickBot="1">
      <c r="A30" s="6">
        <f>ELEC!C28</f>
        <v>44859</v>
      </c>
      <c r="B30" s="5">
        <f t="shared" si="5"/>
        <v>109443</v>
      </c>
      <c r="C30" s="5">
        <f t="shared" si="6"/>
        <v>0</v>
      </c>
      <c r="D30" s="401">
        <f t="shared" si="7"/>
        <v>0</v>
      </c>
      <c r="E30" s="317">
        <f>SUM((C30*$E$4)+(7500/'EDl log'!$A$37))</f>
        <v>241.93548387096774</v>
      </c>
      <c r="F30" s="311"/>
      <c r="G30" s="5">
        <v>630860</v>
      </c>
      <c r="H30" s="5">
        <f t="shared" si="8"/>
        <v>73</v>
      </c>
      <c r="I30" s="5">
        <f t="shared" si="9"/>
        <v>73</v>
      </c>
      <c r="J30" s="318">
        <f t="shared" si="0"/>
        <v>3.3141847105612019</v>
      </c>
      <c r="K30" s="5">
        <f t="shared" si="10"/>
        <v>7089</v>
      </c>
      <c r="L30" s="263">
        <f t="shared" si="40"/>
        <v>0</v>
      </c>
      <c r="M30" s="392">
        <f t="shared" si="11"/>
        <v>457.44</v>
      </c>
      <c r="N30" s="481">
        <f t="shared" si="43"/>
        <v>0</v>
      </c>
      <c r="O30" s="392">
        <f t="shared" si="12"/>
        <v>529.52</v>
      </c>
      <c r="P30" s="481">
        <f t="shared" si="44"/>
        <v>0</v>
      </c>
      <c r="Q30" s="481">
        <f t="shared" si="45"/>
        <v>0</v>
      </c>
      <c r="R30" s="483"/>
      <c r="S30" s="483"/>
      <c r="T30" s="5">
        <v>5194</v>
      </c>
      <c r="U30" s="5">
        <f t="shared" si="3"/>
        <v>1</v>
      </c>
      <c r="V30" s="5">
        <f t="shared" si="32"/>
        <v>500</v>
      </c>
      <c r="W30" s="308">
        <f t="shared" si="13"/>
        <v>0</v>
      </c>
      <c r="X30" s="5">
        <f t="shared" si="33"/>
        <v>156017</v>
      </c>
      <c r="Y30" s="308">
        <f t="shared" si="41"/>
        <v>0</v>
      </c>
      <c r="Z30" s="5">
        <f t="shared" si="14"/>
        <v>99668</v>
      </c>
      <c r="AA30" s="83">
        <f t="shared" si="15"/>
        <v>0</v>
      </c>
      <c r="AB30" s="5">
        <f t="shared" si="16"/>
        <v>251</v>
      </c>
      <c r="AC30" s="5">
        <f t="shared" si="17"/>
        <v>855</v>
      </c>
      <c r="AD30" s="83">
        <f t="shared" si="34"/>
        <v>0</v>
      </c>
      <c r="AE30" s="5">
        <f t="shared" si="18"/>
        <v>248.9</v>
      </c>
      <c r="AF30" s="83">
        <f t="shared" si="19"/>
        <v>0</v>
      </c>
      <c r="AG30" s="5">
        <f t="shared" si="20"/>
        <v>2247.41</v>
      </c>
      <c r="AH30" s="83">
        <f t="shared" si="21"/>
        <v>0</v>
      </c>
      <c r="AI30" s="83">
        <f t="shared" si="22"/>
        <v>0</v>
      </c>
      <c r="AJ30" s="310">
        <f t="shared" si="23"/>
        <v>0</v>
      </c>
      <c r="AK30" s="311">
        <f t="shared" si="35"/>
        <v>0</v>
      </c>
      <c r="AL30" s="311">
        <f t="shared" si="24"/>
        <v>0</v>
      </c>
      <c r="AM30" s="311">
        <f>'General information '!D29</f>
        <v>24.5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5"/>
        <v>44859</v>
      </c>
      <c r="AS30" s="406">
        <f t="shared" si="47"/>
        <v>0.9</v>
      </c>
      <c r="AT30" s="201">
        <v>97</v>
      </c>
      <c r="AU30" s="407">
        <f t="shared" si="42"/>
        <v>1.1000000000000001</v>
      </c>
      <c r="AV30" s="201">
        <v>75</v>
      </c>
      <c r="AW30" s="5">
        <v>2.9</v>
      </c>
      <c r="AX30" s="201">
        <v>70</v>
      </c>
      <c r="AY30" s="408">
        <f t="shared" si="36"/>
        <v>87.3</v>
      </c>
      <c r="AZ30" s="408">
        <f t="shared" si="37"/>
        <v>82.5</v>
      </c>
      <c r="BA30" s="408">
        <f t="shared" si="38"/>
        <v>203</v>
      </c>
      <c r="BB30" s="21">
        <f t="shared" si="39"/>
        <v>41.4</v>
      </c>
      <c r="BC30" s="21">
        <f t="shared" si="48"/>
        <v>-2.2000000000000028</v>
      </c>
      <c r="BD30" s="21">
        <f t="shared" si="48"/>
        <v>-20.299999999999983</v>
      </c>
      <c r="BE30" s="24">
        <f t="shared" si="28"/>
        <v>18.900000000000013</v>
      </c>
      <c r="BF30" s="96">
        <f t="shared" si="29"/>
        <v>54.099999999999987</v>
      </c>
      <c r="BG30" s="82">
        <f t="shared" si="4"/>
        <v>18.900000000000013</v>
      </c>
    </row>
    <row r="31" spans="1:61" ht="15.75" thickBot="1">
      <c r="A31" s="6">
        <f>ELEC!C29</f>
        <v>44860</v>
      </c>
      <c r="B31" s="5">
        <f t="shared" si="5"/>
        <v>109443</v>
      </c>
      <c r="C31" s="5">
        <f t="shared" si="6"/>
        <v>0</v>
      </c>
      <c r="D31" s="401">
        <f t="shared" si="7"/>
        <v>0</v>
      </c>
      <c r="E31" s="317">
        <f>SUM((C31*$E$4)+(7500/'EDl log'!$A$37))</f>
        <v>241.93548387096774</v>
      </c>
      <c r="F31" s="311"/>
      <c r="G31" s="5">
        <v>630860</v>
      </c>
      <c r="H31" s="5">
        <f t="shared" si="8"/>
        <v>0</v>
      </c>
      <c r="I31" s="5">
        <f t="shared" si="9"/>
        <v>0</v>
      </c>
      <c r="J31" s="318">
        <f t="shared" si="0"/>
        <v>0</v>
      </c>
      <c r="K31" s="5">
        <f t="shared" si="10"/>
        <v>7089</v>
      </c>
      <c r="L31" s="263">
        <f t="shared" si="40"/>
        <v>0</v>
      </c>
      <c r="M31" s="392">
        <f t="shared" si="11"/>
        <v>457.44</v>
      </c>
      <c r="N31" s="481">
        <f t="shared" si="43"/>
        <v>0</v>
      </c>
      <c r="O31" s="392">
        <f t="shared" si="12"/>
        <v>529.52</v>
      </c>
      <c r="P31" s="481">
        <f t="shared" si="44"/>
        <v>0</v>
      </c>
      <c r="Q31" s="481">
        <f t="shared" si="45"/>
        <v>0</v>
      </c>
      <c r="R31" s="483"/>
      <c r="S31" s="483"/>
      <c r="T31" s="5">
        <v>5194</v>
      </c>
      <c r="U31" s="5">
        <f t="shared" si="3"/>
        <v>0</v>
      </c>
      <c r="V31" s="5">
        <f t="shared" si="32"/>
        <v>500</v>
      </c>
      <c r="W31" s="308">
        <f t="shared" si="13"/>
        <v>0</v>
      </c>
      <c r="X31" s="5">
        <f t="shared" si="33"/>
        <v>156017</v>
      </c>
      <c r="Y31" s="308">
        <f t="shared" si="41"/>
        <v>0</v>
      </c>
      <c r="Z31" s="5">
        <f t="shared" si="14"/>
        <v>99668</v>
      </c>
      <c r="AA31" s="83">
        <f t="shared" si="15"/>
        <v>0</v>
      </c>
      <c r="AB31" s="5">
        <f t="shared" si="16"/>
        <v>251</v>
      </c>
      <c r="AC31" s="5">
        <f t="shared" si="17"/>
        <v>855</v>
      </c>
      <c r="AD31" s="83">
        <f t="shared" si="34"/>
        <v>0</v>
      </c>
      <c r="AE31" s="5">
        <f t="shared" si="18"/>
        <v>248.9</v>
      </c>
      <c r="AF31" s="83">
        <f t="shared" si="19"/>
        <v>0</v>
      </c>
      <c r="AG31" s="5">
        <f t="shared" si="20"/>
        <v>2247.41</v>
      </c>
      <c r="AH31" s="83">
        <f>AG31-AG30</f>
        <v>0</v>
      </c>
      <c r="AI31" s="83">
        <f>AF31+AH31</f>
        <v>0</v>
      </c>
      <c r="AJ31" s="310">
        <f t="shared" si="23"/>
        <v>0</v>
      </c>
      <c r="AK31" s="311">
        <f t="shared" si="35"/>
        <v>0</v>
      </c>
      <c r="AL31" s="311">
        <f t="shared" si="24"/>
        <v>0</v>
      </c>
      <c r="AM31" s="311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5"/>
        <v>44860</v>
      </c>
      <c r="AS31" s="406">
        <f t="shared" si="47"/>
        <v>0.9</v>
      </c>
      <c r="AT31" s="201">
        <v>0</v>
      </c>
      <c r="AU31" s="407">
        <f t="shared" si="42"/>
        <v>1.1000000000000001</v>
      </c>
      <c r="AV31" s="201">
        <v>0</v>
      </c>
      <c r="AW31" s="5">
        <v>2.9</v>
      </c>
      <c r="AX31" s="201">
        <v>0</v>
      </c>
      <c r="AY31" s="408">
        <f t="shared" si="36"/>
        <v>0</v>
      </c>
      <c r="AZ31" s="408">
        <f>AU31*AV31</f>
        <v>0</v>
      </c>
      <c r="BA31" s="408">
        <f t="shared" si="38"/>
        <v>0</v>
      </c>
      <c r="BB31" s="21">
        <f t="shared" si="39"/>
        <v>-87.3</v>
      </c>
      <c r="BC31" s="21">
        <f t="shared" si="48"/>
        <v>-82.5</v>
      </c>
      <c r="BD31" s="21">
        <f t="shared" si="48"/>
        <v>-203</v>
      </c>
      <c r="BE31" s="24">
        <f t="shared" si="28"/>
        <v>-372.8</v>
      </c>
      <c r="BF31" s="96">
        <f t="shared" si="29"/>
        <v>372.8</v>
      </c>
      <c r="BG31" s="82">
        <f t="shared" si="4"/>
        <v>-372.8</v>
      </c>
    </row>
    <row r="32" spans="1:61" ht="15.75" thickBot="1">
      <c r="A32" s="6">
        <f>ELEC!C30</f>
        <v>44861</v>
      </c>
      <c r="B32" s="5">
        <f t="shared" si="5"/>
        <v>109443</v>
      </c>
      <c r="C32" s="5">
        <f t="shared" si="6"/>
        <v>0</v>
      </c>
      <c r="D32" s="401">
        <f t="shared" si="7"/>
        <v>0</v>
      </c>
      <c r="E32" s="317">
        <f>SUM((C32*$E$4)+(7500/'EDl log'!$A$37))</f>
        <v>241.93548387096774</v>
      </c>
      <c r="F32" s="311"/>
      <c r="G32" s="5">
        <f t="shared" si="30"/>
        <v>630860</v>
      </c>
      <c r="H32" s="5">
        <f t="shared" si="8"/>
        <v>0</v>
      </c>
      <c r="I32" s="5">
        <f t="shared" si="9"/>
        <v>0</v>
      </c>
      <c r="J32" s="318">
        <f t="shared" si="0"/>
        <v>0</v>
      </c>
      <c r="K32" s="5">
        <f t="shared" si="10"/>
        <v>7089</v>
      </c>
      <c r="L32" s="263">
        <f t="shared" si="40"/>
        <v>0</v>
      </c>
      <c r="M32" s="392">
        <f t="shared" si="11"/>
        <v>457.44</v>
      </c>
      <c r="N32" s="481">
        <f t="shared" si="43"/>
        <v>0</v>
      </c>
      <c r="O32" s="392">
        <f t="shared" si="12"/>
        <v>529.52</v>
      </c>
      <c r="P32" s="481">
        <f t="shared" si="44"/>
        <v>0</v>
      </c>
      <c r="Q32" s="481">
        <f t="shared" si="45"/>
        <v>0</v>
      </c>
      <c r="R32" s="483"/>
      <c r="S32" s="483"/>
      <c r="T32" s="5">
        <f t="shared" si="31"/>
        <v>5194</v>
      </c>
      <c r="U32" s="5">
        <f t="shared" si="3"/>
        <v>0</v>
      </c>
      <c r="V32" s="5">
        <f t="shared" si="32"/>
        <v>500</v>
      </c>
      <c r="W32" s="308">
        <f t="shared" si="13"/>
        <v>0</v>
      </c>
      <c r="X32" s="5">
        <f t="shared" si="33"/>
        <v>156017</v>
      </c>
      <c r="Y32" s="308">
        <f t="shared" si="41"/>
        <v>0</v>
      </c>
      <c r="Z32" s="5">
        <f t="shared" si="14"/>
        <v>99668</v>
      </c>
      <c r="AA32" s="83">
        <f t="shared" si="15"/>
        <v>0</v>
      </c>
      <c r="AB32" s="5">
        <f t="shared" si="16"/>
        <v>251</v>
      </c>
      <c r="AC32" s="5">
        <f t="shared" si="17"/>
        <v>855</v>
      </c>
      <c r="AD32" s="83">
        <f t="shared" si="34"/>
        <v>0</v>
      </c>
      <c r="AE32" s="5">
        <f t="shared" si="18"/>
        <v>248.9</v>
      </c>
      <c r="AF32" s="83">
        <f t="shared" si="19"/>
        <v>0</v>
      </c>
      <c r="AG32" s="5">
        <f t="shared" si="20"/>
        <v>2247.41</v>
      </c>
      <c r="AH32" s="83">
        <f t="shared" si="21"/>
        <v>0</v>
      </c>
      <c r="AI32" s="83">
        <f t="shared" si="22"/>
        <v>0</v>
      </c>
      <c r="AJ32" s="310">
        <f t="shared" si="23"/>
        <v>0</v>
      </c>
      <c r="AK32" s="311">
        <f t="shared" si="35"/>
        <v>0</v>
      </c>
      <c r="AL32" s="311">
        <f t="shared" si="24"/>
        <v>0</v>
      </c>
      <c r="AM32" s="311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5"/>
        <v>44861</v>
      </c>
      <c r="AS32" s="406">
        <f t="shared" si="47"/>
        <v>0.9</v>
      </c>
      <c r="AT32" s="201">
        <v>0</v>
      </c>
      <c r="AU32" s="407">
        <f t="shared" si="42"/>
        <v>1.1000000000000001</v>
      </c>
      <c r="AV32" s="201">
        <v>0</v>
      </c>
      <c r="AW32" s="5">
        <v>2.9</v>
      </c>
      <c r="AX32" s="201">
        <v>0</v>
      </c>
      <c r="AY32" s="408">
        <f t="shared" si="36"/>
        <v>0</v>
      </c>
      <c r="AZ32" s="408">
        <f t="shared" si="37"/>
        <v>0</v>
      </c>
      <c r="BA32" s="408">
        <f t="shared" si="38"/>
        <v>0</v>
      </c>
      <c r="BB32" s="21">
        <f t="shared" si="39"/>
        <v>0</v>
      </c>
      <c r="BC32" s="21">
        <f t="shared" si="48"/>
        <v>0</v>
      </c>
      <c r="BD32" s="21">
        <f t="shared" si="48"/>
        <v>0</v>
      </c>
      <c r="BE32" s="24">
        <f t="shared" si="28"/>
        <v>0</v>
      </c>
      <c r="BF32" s="96">
        <f t="shared" si="29"/>
        <v>0</v>
      </c>
      <c r="BG32" s="82">
        <f t="shared" si="4"/>
        <v>0</v>
      </c>
    </row>
    <row r="33" spans="1:59" ht="15.75" thickBot="1">
      <c r="A33" s="6">
        <f>ELEC!C31</f>
        <v>44862</v>
      </c>
      <c r="B33" s="5">
        <f t="shared" si="5"/>
        <v>109443</v>
      </c>
      <c r="C33" s="5">
        <f t="shared" si="6"/>
        <v>0</v>
      </c>
      <c r="D33" s="401">
        <f t="shared" si="7"/>
        <v>0</v>
      </c>
      <c r="E33" s="317">
        <f>SUM((C33*$E$4)+(7500/'EDl log'!$A$37))</f>
        <v>241.93548387096774</v>
      </c>
      <c r="F33" s="311"/>
      <c r="G33" s="5">
        <f t="shared" si="30"/>
        <v>630860</v>
      </c>
      <c r="H33" s="5">
        <f t="shared" si="8"/>
        <v>0</v>
      </c>
      <c r="I33" s="5">
        <f t="shared" si="9"/>
        <v>0</v>
      </c>
      <c r="J33" s="318">
        <f t="shared" si="0"/>
        <v>0</v>
      </c>
      <c r="K33" s="5">
        <f t="shared" si="10"/>
        <v>7089</v>
      </c>
      <c r="L33" s="263">
        <f t="shared" si="40"/>
        <v>0</v>
      </c>
      <c r="M33" s="392">
        <f t="shared" si="11"/>
        <v>457.44</v>
      </c>
      <c r="N33" s="481">
        <f t="shared" si="43"/>
        <v>0</v>
      </c>
      <c r="O33" s="392">
        <f t="shared" si="12"/>
        <v>529.52</v>
      </c>
      <c r="P33" s="481">
        <f t="shared" si="44"/>
        <v>0</v>
      </c>
      <c r="Q33" s="481">
        <f t="shared" si="45"/>
        <v>0</v>
      </c>
      <c r="R33" s="483"/>
      <c r="S33" s="483"/>
      <c r="T33" s="5">
        <f t="shared" si="31"/>
        <v>5194</v>
      </c>
      <c r="U33" s="5">
        <f t="shared" si="3"/>
        <v>0</v>
      </c>
      <c r="V33" s="5">
        <f t="shared" si="32"/>
        <v>500</v>
      </c>
      <c r="W33" s="308">
        <f t="shared" si="13"/>
        <v>0</v>
      </c>
      <c r="X33" s="5">
        <f t="shared" si="33"/>
        <v>156017</v>
      </c>
      <c r="Y33" s="308">
        <f t="shared" si="41"/>
        <v>0</v>
      </c>
      <c r="Z33" s="5">
        <f t="shared" si="14"/>
        <v>99668</v>
      </c>
      <c r="AA33" s="83">
        <f t="shared" si="15"/>
        <v>0</v>
      </c>
      <c r="AB33" s="5">
        <f t="shared" si="16"/>
        <v>251</v>
      </c>
      <c r="AC33" s="5">
        <f t="shared" si="17"/>
        <v>855</v>
      </c>
      <c r="AD33" s="83">
        <f t="shared" si="34"/>
        <v>0</v>
      </c>
      <c r="AE33" s="5">
        <f t="shared" si="18"/>
        <v>248.9</v>
      </c>
      <c r="AF33" s="83">
        <f>AE33-AE32</f>
        <v>0</v>
      </c>
      <c r="AG33" s="5">
        <f t="shared" si="20"/>
        <v>2247.41</v>
      </c>
      <c r="AH33" s="83">
        <f t="shared" si="21"/>
        <v>0</v>
      </c>
      <c r="AI33" s="83">
        <f t="shared" si="22"/>
        <v>0</v>
      </c>
      <c r="AJ33" s="310">
        <f t="shared" si="23"/>
        <v>0</v>
      </c>
      <c r="AK33" s="311">
        <f t="shared" si="35"/>
        <v>0</v>
      </c>
      <c r="AL33" s="311">
        <f t="shared" si="24"/>
        <v>0</v>
      </c>
      <c r="AM33" s="311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5"/>
        <v>44862</v>
      </c>
      <c r="AS33" s="406">
        <f t="shared" si="47"/>
        <v>0.9</v>
      </c>
      <c r="AT33" s="201">
        <v>0</v>
      </c>
      <c r="AU33" s="407">
        <f t="shared" si="42"/>
        <v>1.1000000000000001</v>
      </c>
      <c r="AV33" s="201">
        <v>0</v>
      </c>
      <c r="AW33" s="5">
        <v>2.9</v>
      </c>
      <c r="AX33" s="201">
        <v>0</v>
      </c>
      <c r="AY33" s="408">
        <f t="shared" si="36"/>
        <v>0</v>
      </c>
      <c r="AZ33" s="408">
        <f t="shared" si="37"/>
        <v>0</v>
      </c>
      <c r="BA33" s="408">
        <f t="shared" si="38"/>
        <v>0</v>
      </c>
      <c r="BB33" s="21">
        <f t="shared" si="39"/>
        <v>0</v>
      </c>
      <c r="BC33" s="21">
        <f t="shared" si="48"/>
        <v>0</v>
      </c>
      <c r="BD33" s="21">
        <f t="shared" si="48"/>
        <v>0</v>
      </c>
      <c r="BE33" s="24">
        <f t="shared" si="28"/>
        <v>0</v>
      </c>
      <c r="BF33" s="96">
        <f t="shared" si="29"/>
        <v>0</v>
      </c>
      <c r="BG33" s="82">
        <f t="shared" si="4"/>
        <v>0</v>
      </c>
    </row>
    <row r="34" spans="1:59" ht="15.75" thickBot="1">
      <c r="A34" s="6">
        <f>ELEC!C32</f>
        <v>44863</v>
      </c>
      <c r="B34" s="5">
        <f t="shared" si="5"/>
        <v>109443</v>
      </c>
      <c r="C34" s="5">
        <f t="shared" ref="C34:C36" si="49">B34-B33</f>
        <v>0</v>
      </c>
      <c r="D34" s="401">
        <f t="shared" ref="D34:D36" si="50">C34/27</f>
        <v>0</v>
      </c>
      <c r="E34" s="317">
        <f>SUM((C34*$E$4)+(7500/'EDl log'!$A$37))</f>
        <v>241.93548387096774</v>
      </c>
      <c r="F34" s="311"/>
      <c r="G34" s="5">
        <f t="shared" si="30"/>
        <v>630860</v>
      </c>
      <c r="H34" s="5">
        <f t="shared" ref="H34:H36" si="51">G34-G33</f>
        <v>0</v>
      </c>
      <c r="I34" s="5">
        <f t="shared" ref="I34:I36" si="52">C34+H34</f>
        <v>0</v>
      </c>
      <c r="J34" s="318">
        <f t="shared" ref="J34:J36" si="53">IF(I34&gt;0,E34/I34,0)</f>
        <v>0</v>
      </c>
      <c r="K34" s="5">
        <f t="shared" si="10"/>
        <v>7089</v>
      </c>
      <c r="L34" s="263">
        <f t="shared" ref="L34:L36" si="54">K34-K33</f>
        <v>0</v>
      </c>
      <c r="M34" s="392">
        <f t="shared" si="11"/>
        <v>457.44</v>
      </c>
      <c r="N34" s="481">
        <f t="shared" ref="N34:N36" si="55">SUM(M34-M33)</f>
        <v>0</v>
      </c>
      <c r="O34" s="392">
        <f t="shared" si="12"/>
        <v>529.52</v>
      </c>
      <c r="P34" s="481">
        <f t="shared" ref="P34:P36" si="56">SUM(O34-O33)</f>
        <v>0</v>
      </c>
      <c r="Q34" s="481">
        <f t="shared" ref="Q34:Q36" si="57">SUM(P34+N34)</f>
        <v>0</v>
      </c>
      <c r="R34" s="483"/>
      <c r="S34" s="483"/>
      <c r="T34" s="5">
        <f t="shared" si="31"/>
        <v>5194</v>
      </c>
      <c r="U34" s="5">
        <f t="shared" ref="U34:U36" si="58">SUM(T34-T33)</f>
        <v>0</v>
      </c>
      <c r="V34" s="5">
        <f t="shared" si="32"/>
        <v>500</v>
      </c>
      <c r="W34" s="308">
        <f t="shared" ref="W34:W36" si="59">+V34-V33</f>
        <v>0</v>
      </c>
      <c r="X34" s="5">
        <f t="shared" si="33"/>
        <v>156017</v>
      </c>
      <c r="Y34" s="308">
        <f t="shared" ref="Y34:Y36" si="60">SUM(X34-X33)</f>
        <v>0</v>
      </c>
      <c r="Z34" s="5">
        <f t="shared" si="14"/>
        <v>99668</v>
      </c>
      <c r="AA34" s="83">
        <f t="shared" ref="AA34:AA36" si="61">Z34-Z33</f>
        <v>0</v>
      </c>
      <c r="AB34" s="5">
        <f t="shared" si="16"/>
        <v>251</v>
      </c>
      <c r="AC34" s="5">
        <f t="shared" si="17"/>
        <v>855</v>
      </c>
      <c r="AD34" s="83">
        <f t="shared" ref="AD34:AD36" si="62">AC34-AC33</f>
        <v>0</v>
      </c>
      <c r="AE34" s="5">
        <f t="shared" si="18"/>
        <v>248.9</v>
      </c>
      <c r="AF34" s="83">
        <f t="shared" ref="AF34:AF36" si="63">AE34-AE33</f>
        <v>0</v>
      </c>
      <c r="AG34" s="5">
        <f t="shared" si="20"/>
        <v>2247.41</v>
      </c>
      <c r="AH34" s="83">
        <f t="shared" ref="AH34:AH36" si="64">AG34-AG33</f>
        <v>0</v>
      </c>
      <c r="AI34" s="83">
        <f t="shared" ref="AI34:AI36" si="65">AF34+AH34</f>
        <v>0</v>
      </c>
      <c r="AJ34" s="310">
        <f t="shared" ref="AJ34:AJ36" si="66">+Z34-Z33</f>
        <v>0</v>
      </c>
      <c r="AK34" s="311">
        <f>SUM(Y34-L34)</f>
        <v>0</v>
      </c>
      <c r="AL34" s="311">
        <f t="shared" ref="AL34:AL36" si="67">SUM(AJ34-W34)</f>
        <v>0</v>
      </c>
      <c r="AM34" s="311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8">A34</f>
        <v>44863</v>
      </c>
      <c r="AS34" s="406">
        <f t="shared" ref="AS34" si="69">AS33</f>
        <v>0.9</v>
      </c>
      <c r="AT34" s="201">
        <v>0</v>
      </c>
      <c r="AU34" s="407">
        <f t="shared" si="42"/>
        <v>1.1000000000000001</v>
      </c>
      <c r="AV34" s="201">
        <v>0</v>
      </c>
      <c r="AW34" s="5">
        <v>2.9</v>
      </c>
      <c r="AX34" s="201">
        <v>0</v>
      </c>
      <c r="AY34" s="408">
        <f t="shared" ref="AY34:AY36" si="70">AS34*AT34</f>
        <v>0</v>
      </c>
      <c r="AZ34" s="408">
        <f t="shared" ref="AZ34:AZ36" si="71">AU34*AV34</f>
        <v>0</v>
      </c>
      <c r="BA34" s="408">
        <f t="shared" ref="BA34:BA36" si="72">AW34*AX34</f>
        <v>0</v>
      </c>
      <c r="BB34" s="21">
        <f t="shared" si="39"/>
        <v>0</v>
      </c>
      <c r="BC34" s="21">
        <f t="shared" ref="BC34:BC36" si="73">AZ34-AZ33</f>
        <v>0</v>
      </c>
      <c r="BD34" s="21">
        <f t="shared" ref="BD34:BD36" si="74">BA34-BA33</f>
        <v>0</v>
      </c>
      <c r="BE34" s="24">
        <f t="shared" ref="BE34:BE36" si="75">SUM(BB34:BD34)</f>
        <v>0</v>
      </c>
      <c r="BF34" s="96">
        <f t="shared" ref="BF34:BF36" si="76">SUM(I34-BE34)</f>
        <v>0</v>
      </c>
      <c r="BG34" s="82">
        <f t="shared" ref="BG34:BG36" si="77">SUM(I34-BF34)</f>
        <v>0</v>
      </c>
    </row>
    <row r="35" spans="1:59" ht="15.75" thickBot="1">
      <c r="A35" s="6">
        <f>ELEC!C33</f>
        <v>44864</v>
      </c>
      <c r="B35" s="5">
        <f t="shared" si="5"/>
        <v>109443</v>
      </c>
      <c r="C35" s="5">
        <f t="shared" si="49"/>
        <v>0</v>
      </c>
      <c r="D35" s="401">
        <f t="shared" si="50"/>
        <v>0</v>
      </c>
      <c r="E35" s="317">
        <f>SUM((C35*$E$4)+(7500/'EDl log'!$A$37))</f>
        <v>241.93548387096774</v>
      </c>
      <c r="F35" s="311"/>
      <c r="G35" s="5">
        <f t="shared" si="30"/>
        <v>630860</v>
      </c>
      <c r="H35" s="5">
        <f t="shared" si="51"/>
        <v>0</v>
      </c>
      <c r="I35" s="5">
        <f t="shared" si="52"/>
        <v>0</v>
      </c>
      <c r="J35" s="318">
        <f t="shared" si="53"/>
        <v>0</v>
      </c>
      <c r="K35" s="5">
        <f t="shared" si="10"/>
        <v>7089</v>
      </c>
      <c r="L35" s="263">
        <f t="shared" si="54"/>
        <v>0</v>
      </c>
      <c r="M35" s="392">
        <f t="shared" si="11"/>
        <v>457.44</v>
      </c>
      <c r="N35" s="481">
        <f t="shared" si="55"/>
        <v>0</v>
      </c>
      <c r="O35" s="392">
        <f t="shared" si="12"/>
        <v>529.52</v>
      </c>
      <c r="P35" s="481">
        <f t="shared" si="56"/>
        <v>0</v>
      </c>
      <c r="Q35" s="481">
        <f t="shared" si="57"/>
        <v>0</v>
      </c>
      <c r="R35" s="483"/>
      <c r="S35" s="483"/>
      <c r="T35" s="5">
        <f t="shared" si="31"/>
        <v>5194</v>
      </c>
      <c r="U35" s="5">
        <f t="shared" si="58"/>
        <v>0</v>
      </c>
      <c r="V35" s="5">
        <f t="shared" si="32"/>
        <v>500</v>
      </c>
      <c r="W35" s="308">
        <f t="shared" si="59"/>
        <v>0</v>
      </c>
      <c r="X35" s="5">
        <f t="shared" si="33"/>
        <v>156017</v>
      </c>
      <c r="Y35" s="308">
        <f t="shared" si="60"/>
        <v>0</v>
      </c>
      <c r="Z35" s="5">
        <f t="shared" si="14"/>
        <v>99668</v>
      </c>
      <c r="AA35" s="83">
        <f t="shared" si="61"/>
        <v>0</v>
      </c>
      <c r="AB35" s="5">
        <f t="shared" si="16"/>
        <v>251</v>
      </c>
      <c r="AC35" s="5">
        <f t="shared" si="17"/>
        <v>855</v>
      </c>
      <c r="AD35" s="83">
        <f t="shared" si="62"/>
        <v>0</v>
      </c>
      <c r="AE35" s="5">
        <f t="shared" si="18"/>
        <v>248.9</v>
      </c>
      <c r="AF35" s="83">
        <f t="shared" si="63"/>
        <v>0</v>
      </c>
      <c r="AG35" s="5">
        <f t="shared" si="20"/>
        <v>2247.41</v>
      </c>
      <c r="AH35" s="83">
        <f t="shared" si="64"/>
        <v>0</v>
      </c>
      <c r="AI35" s="83">
        <f t="shared" si="65"/>
        <v>0</v>
      </c>
      <c r="AJ35" s="310">
        <f t="shared" si="66"/>
        <v>0</v>
      </c>
      <c r="AK35" s="311">
        <f t="shared" ref="AK35:AK36" si="78">SUM(Y35-L35)</f>
        <v>0</v>
      </c>
      <c r="AL35" s="311">
        <f t="shared" si="67"/>
        <v>0</v>
      </c>
      <c r="AM35" s="311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8"/>
        <v>44864</v>
      </c>
      <c r="AS35" s="406">
        <f t="shared" ref="AS35" si="79">AS34</f>
        <v>0.9</v>
      </c>
      <c r="AT35" s="201">
        <v>0</v>
      </c>
      <c r="AU35" s="407">
        <f t="shared" si="42"/>
        <v>1.1000000000000001</v>
      </c>
      <c r="AV35" s="201">
        <v>0</v>
      </c>
      <c r="AW35" s="5">
        <v>2.9</v>
      </c>
      <c r="AX35" s="201">
        <v>0</v>
      </c>
      <c r="AY35" s="408">
        <f t="shared" si="70"/>
        <v>0</v>
      </c>
      <c r="AZ35" s="408">
        <f t="shared" si="71"/>
        <v>0</v>
      </c>
      <c r="BA35" s="408">
        <f t="shared" si="72"/>
        <v>0</v>
      </c>
      <c r="BB35" s="21">
        <f t="shared" si="39"/>
        <v>0</v>
      </c>
      <c r="BC35" s="21">
        <f t="shared" si="73"/>
        <v>0</v>
      </c>
      <c r="BD35" s="21">
        <f t="shared" si="74"/>
        <v>0</v>
      </c>
      <c r="BE35" s="24">
        <f t="shared" si="75"/>
        <v>0</v>
      </c>
      <c r="BF35" s="96">
        <f t="shared" si="76"/>
        <v>0</v>
      </c>
      <c r="BG35" s="82">
        <f t="shared" si="77"/>
        <v>0</v>
      </c>
    </row>
    <row r="36" spans="1:59" ht="15.75" thickBot="1">
      <c r="A36" s="6">
        <f>ELEC!C34</f>
        <v>44865</v>
      </c>
      <c r="B36" s="5">
        <f t="shared" si="5"/>
        <v>109443</v>
      </c>
      <c r="C36" s="5">
        <f t="shared" si="49"/>
        <v>0</v>
      </c>
      <c r="D36" s="401">
        <f t="shared" si="50"/>
        <v>0</v>
      </c>
      <c r="E36" s="317">
        <f>SUM((C36*$E$4)+(7500/'EDl log'!$A$37))</f>
        <v>241.93548387096774</v>
      </c>
      <c r="F36" s="311"/>
      <c r="G36" s="5">
        <f t="shared" si="30"/>
        <v>630860</v>
      </c>
      <c r="H36" s="5">
        <f t="shared" si="51"/>
        <v>0</v>
      </c>
      <c r="I36" s="5">
        <f t="shared" si="52"/>
        <v>0</v>
      </c>
      <c r="J36" s="318">
        <f t="shared" si="53"/>
        <v>0</v>
      </c>
      <c r="K36" s="5">
        <f t="shared" si="10"/>
        <v>7089</v>
      </c>
      <c r="L36" s="263">
        <f t="shared" si="54"/>
        <v>0</v>
      </c>
      <c r="M36" s="392">
        <f t="shared" si="11"/>
        <v>457.44</v>
      </c>
      <c r="N36" s="481">
        <f t="shared" si="55"/>
        <v>0</v>
      </c>
      <c r="O36" s="392">
        <f t="shared" si="12"/>
        <v>529.52</v>
      </c>
      <c r="P36" s="481">
        <f t="shared" si="56"/>
        <v>0</v>
      </c>
      <c r="Q36" s="481">
        <f t="shared" si="57"/>
        <v>0</v>
      </c>
      <c r="R36" s="483"/>
      <c r="S36" s="483"/>
      <c r="T36" s="5">
        <f t="shared" si="31"/>
        <v>5194</v>
      </c>
      <c r="U36" s="5">
        <f t="shared" si="58"/>
        <v>0</v>
      </c>
      <c r="V36" s="5">
        <f t="shared" si="32"/>
        <v>500</v>
      </c>
      <c r="W36" s="308">
        <f t="shared" si="59"/>
        <v>0</v>
      </c>
      <c r="X36" s="5">
        <f t="shared" si="33"/>
        <v>156017</v>
      </c>
      <c r="Y36" s="308">
        <f t="shared" si="60"/>
        <v>0</v>
      </c>
      <c r="Z36" s="5">
        <f t="shared" si="14"/>
        <v>99668</v>
      </c>
      <c r="AA36" s="83">
        <f t="shared" si="61"/>
        <v>0</v>
      </c>
      <c r="AB36" s="5">
        <f t="shared" si="16"/>
        <v>251</v>
      </c>
      <c r="AC36" s="5">
        <f t="shared" si="17"/>
        <v>855</v>
      </c>
      <c r="AD36" s="83">
        <f t="shared" si="62"/>
        <v>0</v>
      </c>
      <c r="AE36" s="5">
        <f t="shared" si="18"/>
        <v>248.9</v>
      </c>
      <c r="AF36" s="83">
        <f t="shared" si="63"/>
        <v>0</v>
      </c>
      <c r="AG36" s="5">
        <f t="shared" si="20"/>
        <v>2247.41</v>
      </c>
      <c r="AH36" s="83">
        <f t="shared" si="64"/>
        <v>0</v>
      </c>
      <c r="AI36" s="83">
        <f t="shared" si="65"/>
        <v>0</v>
      </c>
      <c r="AJ36" s="310">
        <f t="shared" si="66"/>
        <v>0</v>
      </c>
      <c r="AK36" s="311">
        <f t="shared" si="78"/>
        <v>0</v>
      </c>
      <c r="AL36" s="311">
        <f t="shared" si="67"/>
        <v>0</v>
      </c>
      <c r="AM36" s="311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8"/>
        <v>44865</v>
      </c>
      <c r="AS36" s="406">
        <f t="shared" ref="AS36" si="80">AS35</f>
        <v>0.9</v>
      </c>
      <c r="AT36" s="201">
        <v>0</v>
      </c>
      <c r="AU36" s="407">
        <f t="shared" si="42"/>
        <v>1.1000000000000001</v>
      </c>
      <c r="AV36" s="201">
        <f t="shared" ref="AV36" si="81">AV35</f>
        <v>0</v>
      </c>
      <c r="AW36" s="5">
        <v>2.9</v>
      </c>
      <c r="AX36" s="201">
        <f t="shared" ref="AX36" si="82">AX35</f>
        <v>0</v>
      </c>
      <c r="AY36" s="408">
        <f t="shared" si="70"/>
        <v>0</v>
      </c>
      <c r="AZ36" s="408">
        <f t="shared" si="71"/>
        <v>0</v>
      </c>
      <c r="BA36" s="408">
        <f t="shared" si="72"/>
        <v>0</v>
      </c>
      <c r="BB36" s="21">
        <f t="shared" si="39"/>
        <v>0</v>
      </c>
      <c r="BC36" s="21">
        <f t="shared" si="73"/>
        <v>0</v>
      </c>
      <c r="BD36" s="21">
        <f t="shared" si="74"/>
        <v>0</v>
      </c>
      <c r="BE36" s="24">
        <f t="shared" si="75"/>
        <v>0</v>
      </c>
      <c r="BF36" s="96">
        <f t="shared" si="76"/>
        <v>0</v>
      </c>
      <c r="BG36" s="82">
        <f t="shared" si="77"/>
        <v>0</v>
      </c>
    </row>
    <row r="37" spans="1:59">
      <c r="C37" s="394">
        <f>SUM(C6:C36)</f>
        <v>0</v>
      </c>
      <c r="D37" s="306">
        <f>SUM(D6:D36)</f>
        <v>0</v>
      </c>
      <c r="F37" s="396">
        <f>SUM(F6:F36)</f>
        <v>0</v>
      </c>
      <c r="H37" s="394">
        <f>SUM(H6:H36)</f>
        <v>292</v>
      </c>
      <c r="I37" s="394">
        <f>SUM(I6:I36)</f>
        <v>292</v>
      </c>
      <c r="L37" s="258">
        <f>SUM(L7:L36)</f>
        <v>0</v>
      </c>
      <c r="M37" s="546"/>
      <c r="N37" s="546"/>
      <c r="O37" s="546"/>
      <c r="P37" s="546"/>
      <c r="Q37" s="396">
        <f>SUM(Q6:Q36)</f>
        <v>0</v>
      </c>
      <c r="R37" s="546"/>
      <c r="S37" s="546"/>
      <c r="T37" s="546"/>
      <c r="U37" s="546">
        <f>SUM(U6:U36)</f>
        <v>3</v>
      </c>
      <c r="X37" s="307"/>
      <c r="Y37" s="306">
        <f>SUM(Y6,Y33,Y31,Y29,Y27,Y25,Y23,Y21,Y19,Y17,Y15,Y13,Y11,Y9,Y7,Y34,Y35,Y36)</f>
        <v>57</v>
      </c>
      <c r="AJ37" s="306">
        <f>SUM(AJ6:AJ36)</f>
        <v>0</v>
      </c>
      <c r="AK37" s="311">
        <f>SUM(Y37-L37)</f>
        <v>57</v>
      </c>
      <c r="AL37" s="306">
        <f>SUM(AL6:AL36)</f>
        <v>-1</v>
      </c>
      <c r="AP37" s="17"/>
      <c r="AQ37" s="17"/>
      <c r="AR37" s="17"/>
      <c r="AS37" s="561"/>
      <c r="AT37" s="201"/>
      <c r="AU37" s="561"/>
      <c r="AV37" s="563"/>
      <c r="AW37" s="562"/>
      <c r="AX37" s="562"/>
      <c r="AY37" s="562"/>
      <c r="AZ37" s="563"/>
      <c r="BA37" s="563"/>
      <c r="BB37" s="563"/>
      <c r="BC37" s="563"/>
      <c r="BD37" s="563"/>
      <c r="BE37" s="564"/>
    </row>
    <row r="38" spans="1:59">
      <c r="C38" s="1">
        <f>+C37*1.66</f>
        <v>0</v>
      </c>
      <c r="E38" s="316">
        <f>SUM(E6:E33)</f>
        <v>6774.1935483870975</v>
      </c>
      <c r="F38" s="399">
        <f>SUM(F6:F35)</f>
        <v>0</v>
      </c>
      <c r="H38" s="157">
        <v>7500</v>
      </c>
      <c r="I38" s="395">
        <f>SUM('General information '!G36/WATER!I37)</f>
        <v>0</v>
      </c>
      <c r="L38" s="157"/>
      <c r="O38" s="464">
        <f>SUM(Q37+I37)</f>
        <v>292</v>
      </c>
      <c r="Z38" s="306">
        <f>SUM(Y37:AJ37)</f>
        <v>57</v>
      </c>
      <c r="AK38" s="311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6">
        <f>SUM(D6:D35)</f>
        <v>0</v>
      </c>
      <c r="F39" s="397">
        <f>SUM(F6:F36)</f>
        <v>0</v>
      </c>
      <c r="G39" s="1">
        <f>SUM(I37)</f>
        <v>292</v>
      </c>
      <c r="H39" s="1">
        <f>SUM(H38+C38)</f>
        <v>7500</v>
      </c>
      <c r="K39" s="1">
        <f>SUM(H39/G39)</f>
        <v>25.684931506849313</v>
      </c>
      <c r="AJ39" s="306">
        <f>SUM(C38-AK38)</f>
        <v>0</v>
      </c>
      <c r="AM39" s="330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0"/>
  <sheetViews>
    <sheetView zoomScale="60" zoomScaleNormal="60" workbookViewId="0">
      <pane ySplit="1" topLeftCell="A2" activePane="bottomLeft" state="frozen"/>
      <selection pane="bottomLeft" activeCell="T27" sqref="T27"/>
    </sheetView>
  </sheetViews>
  <sheetFormatPr defaultRowHeight="15"/>
  <cols>
    <col min="1" max="1" width="10.28515625" customWidth="1"/>
    <col min="2" max="2" width="10.5703125" bestFit="1" customWidth="1"/>
    <col min="3" max="3" width="17.42578125" customWidth="1"/>
    <col min="4" max="4" width="10.7109375" customWidth="1"/>
    <col min="5" max="5" width="10.7109375" bestFit="1" customWidth="1"/>
    <col min="6" max="6" width="8.7109375" customWidth="1"/>
    <col min="7" max="7" width="3.42578125" bestFit="1" customWidth="1"/>
    <col min="8" max="8" width="8.8554687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0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0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4"/>
      <c r="P1" s="25" t="s">
        <v>46</v>
      </c>
      <c r="Q1" s="25" t="s">
        <v>49</v>
      </c>
      <c r="R1" s="390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4" t="s">
        <v>368</v>
      </c>
      <c r="AC1" s="274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[2]GEN!$A$32</f>
        <v>44834</v>
      </c>
      <c r="B2" s="260">
        <f>[2]GEN!$B$32</f>
        <v>1058</v>
      </c>
      <c r="C2" s="260">
        <f>[2]GEN!$C$32</f>
        <v>0</v>
      </c>
      <c r="D2" s="260">
        <f>[2]GEN!$D$32</f>
        <v>765376</v>
      </c>
      <c r="E2" s="260" t="b">
        <f>[2]GEN!$E$32=[2]GEN!$E$32</f>
        <v>1</v>
      </c>
      <c r="F2" s="260">
        <f>[3]GEN!F33</f>
        <v>85</v>
      </c>
      <c r="G2" s="260">
        <f>[3]GEN!G33</f>
        <v>0</v>
      </c>
      <c r="H2" s="260">
        <f>[3]GEN!H33</f>
        <v>12231</v>
      </c>
      <c r="I2" s="260" t="str">
        <f>[3]GEN!I33</f>
        <v>ok</v>
      </c>
      <c r="J2" s="260">
        <f>[2]GEN!$J$32</f>
        <v>133</v>
      </c>
      <c r="K2" s="260">
        <f>[3]GEN!K33</f>
        <v>0</v>
      </c>
      <c r="L2" s="260">
        <f>[2]GEN!$L$33</f>
        <v>390191</v>
      </c>
      <c r="M2" s="260">
        <f>[3]GEN!M33</f>
        <v>0</v>
      </c>
      <c r="N2" s="260">
        <f>[3]GEN!N33</f>
        <v>250</v>
      </c>
      <c r="O2" s="260">
        <f>[3]GEN!O33</f>
        <v>0</v>
      </c>
      <c r="P2" s="260">
        <f>[3]GEN!P33</f>
        <v>10873</v>
      </c>
      <c r="Q2" s="260" t="str">
        <f>[3]GEN!Q33</f>
        <v>ok</v>
      </c>
      <c r="R2" s="260">
        <f>[2]GEN!$R$33</f>
        <v>13912</v>
      </c>
      <c r="S2" s="260">
        <f>[3]GEN!S33</f>
        <v>0</v>
      </c>
      <c r="T2" s="260">
        <f>[2]GEN!$T$32</f>
        <v>417512</v>
      </c>
      <c r="U2" s="260">
        <f>[3]GEN!U33</f>
        <v>0</v>
      </c>
      <c r="V2" s="260">
        <f>[3]GEN!V33</f>
        <v>250</v>
      </c>
      <c r="W2" s="260">
        <f>[3]GEN!W33</f>
        <v>0</v>
      </c>
      <c r="X2" s="260">
        <f>[3]GEN!X33</f>
        <v>14593</v>
      </c>
      <c r="Y2" s="260" t="str">
        <f>[3]GEN!Y33</f>
        <v>ok</v>
      </c>
      <c r="Z2" s="260">
        <f>[3]GEN!Z33</f>
        <v>15</v>
      </c>
      <c r="AA2" s="260">
        <f>[3]GEN!AA33</f>
        <v>1275</v>
      </c>
      <c r="AB2" s="260">
        <f>[3]GEN!AB33</f>
        <v>585</v>
      </c>
      <c r="AC2" s="260">
        <f>[3]GEN!AC33</f>
        <v>85</v>
      </c>
      <c r="AD2" s="260">
        <f>[3]GEN!AD33</f>
        <v>4102.999999999156</v>
      </c>
      <c r="AE2" s="260">
        <f>[3]GEN!AE33</f>
        <v>273.53333333327708</v>
      </c>
      <c r="AF2" s="260">
        <f>[3]GEN!AF33</f>
        <v>0.17095833333329818</v>
      </c>
      <c r="AG2" s="260">
        <f>[3]GEN!AG33</f>
        <v>1.0684895833331137E-4</v>
      </c>
      <c r="AH2" s="260">
        <f>[3]GEN!AH33</f>
        <v>84.999893151041661</v>
      </c>
      <c r="AI2" s="260">
        <f>[3]GEN!AI33</f>
        <v>1056.0464135018926</v>
      </c>
      <c r="AJ2" s="260">
        <f>[3]GEN!AJ33</f>
        <v>0.25738396624472576</v>
      </c>
      <c r="AK2" s="260">
        <f>[3]GEN!AK33</f>
        <v>70.403094233459512</v>
      </c>
      <c r="AL2" s="260">
        <f>[3]GEN!AL33</f>
        <v>1</v>
      </c>
    </row>
    <row r="3" spans="1:38" ht="15.75" thickBot="1">
      <c r="A3" s="4">
        <f>ELEC!C4</f>
        <v>44835</v>
      </c>
      <c r="B3" s="260">
        <f>[2]GEN!$B$32</f>
        <v>1058</v>
      </c>
      <c r="C3" s="275">
        <f>B3-B2</f>
        <v>0</v>
      </c>
      <c r="D3" s="500">
        <f>D2+C3*250</f>
        <v>765376</v>
      </c>
      <c r="E3" s="275">
        <f>SUM(D3-D2)</f>
        <v>0</v>
      </c>
      <c r="F3" s="275">
        <f t="shared" ref="F3:F30" si="0">IF(C3&gt;0,E3/C3,0)</f>
        <v>0</v>
      </c>
      <c r="G3" s="260">
        <f>[5]GEN!G32</f>
        <v>0</v>
      </c>
      <c r="H3" s="260">
        <f>H2</f>
        <v>12231</v>
      </c>
      <c r="I3" s="275" t="str">
        <f t="shared" ref="I3:I30" si="1">IF(B3-H3&lt;=0,"ok","oil change")</f>
        <v>ok</v>
      </c>
      <c r="J3" s="499">
        <f>J2</f>
        <v>133</v>
      </c>
      <c r="K3" s="275">
        <f t="shared" ref="K3:K33" si="2">J3-J2</f>
        <v>0</v>
      </c>
      <c r="L3" s="500">
        <f>L2</f>
        <v>390191</v>
      </c>
      <c r="M3" s="275">
        <f t="shared" ref="M3:M33" si="3">SUM(L3-L2)</f>
        <v>0</v>
      </c>
      <c r="N3" s="275">
        <v>250</v>
      </c>
      <c r="O3" s="260">
        <f>[5]GEN!O32</f>
        <v>0</v>
      </c>
      <c r="P3" s="276">
        <f>P2</f>
        <v>10873</v>
      </c>
      <c r="Q3" s="275" t="str">
        <f t="shared" ref="Q3:Q17" si="4">IF(J3-P3&lt;=0,"ok","oil change")</f>
        <v>ok</v>
      </c>
      <c r="R3" s="499">
        <f>R2</f>
        <v>13912</v>
      </c>
      <c r="S3" s="275">
        <f t="shared" ref="S3:S30" si="5">R3-R2</f>
        <v>0</v>
      </c>
      <c r="T3" s="500">
        <f t="shared" ref="T3:T8" si="6">T2+U3</f>
        <v>417512</v>
      </c>
      <c r="U3" s="275">
        <f t="shared" ref="U3:U8" si="7">V3*S3</f>
        <v>0</v>
      </c>
      <c r="V3" s="275">
        <v>250</v>
      </c>
      <c r="W3" s="260">
        <f>[5]GEN!W32</f>
        <v>0</v>
      </c>
      <c r="X3" s="260">
        <f>X2</f>
        <v>14593</v>
      </c>
      <c r="Y3" s="275" t="str">
        <f>IF(R3-X3&lt;=0,"ok","oil change")</f>
        <v>ok</v>
      </c>
      <c r="Z3" s="275">
        <f t="shared" ref="Z3:Z30" si="8">C3+K3+S3</f>
        <v>0</v>
      </c>
      <c r="AA3" s="275">
        <f>U3+M3+E3</f>
        <v>0</v>
      </c>
      <c r="AB3" s="275">
        <f>V3+N3+F3</f>
        <v>500</v>
      </c>
      <c r="AC3" s="275">
        <f>IF(Z3&gt;0,AA3/Z3,0)</f>
        <v>0</v>
      </c>
      <c r="AD3" s="73">
        <f>ELEC!Q4</f>
        <v>0</v>
      </c>
      <c r="AE3" s="73" t="e">
        <f>SUM(AD3/Z3)</f>
        <v>#DIV/0!</v>
      </c>
      <c r="AF3" s="386" t="e">
        <f>SUM(AE3/1600)</f>
        <v>#DIV/0!</v>
      </c>
      <c r="AG3" s="387" t="e">
        <f>SUM(360*AF3)</f>
        <v>#DIV/0!</v>
      </c>
      <c r="AH3" s="387" t="e">
        <f>SUM(AC3-AG3)</f>
        <v>#DIV/0!</v>
      </c>
      <c r="AI3" s="73">
        <f>AD3*AJ3</f>
        <v>0</v>
      </c>
      <c r="AJ3" s="277">
        <f t="shared" ref="AJ3:AJ33" si="9">305/1185</f>
        <v>0.25738396624472576</v>
      </c>
      <c r="AK3" s="277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44836</v>
      </c>
      <c r="B4" s="499">
        <v>1068</v>
      </c>
      <c r="C4" s="275">
        <f t="shared" ref="C4:C30" si="11">B4-B3</f>
        <v>10</v>
      </c>
      <c r="D4" s="500">
        <f>D3+C4*85</f>
        <v>766226</v>
      </c>
      <c r="E4" s="275">
        <f t="shared" ref="E4:E33" si="12">SUM(D4-D3)</f>
        <v>850</v>
      </c>
      <c r="F4" s="275">
        <f t="shared" si="0"/>
        <v>85</v>
      </c>
      <c r="G4" s="196"/>
      <c r="H4" s="260">
        <f t="shared" ref="H4:H33" si="13">H3</f>
        <v>12231</v>
      </c>
      <c r="I4" s="275" t="str">
        <f t="shared" si="1"/>
        <v>ok</v>
      </c>
      <c r="J4" s="499">
        <v>134</v>
      </c>
      <c r="K4" s="275">
        <f t="shared" si="2"/>
        <v>1</v>
      </c>
      <c r="L4" s="500">
        <f t="shared" ref="L4:L5" si="14">L3</f>
        <v>390191</v>
      </c>
      <c r="M4" s="275">
        <f t="shared" si="3"/>
        <v>0</v>
      </c>
      <c r="N4" s="275">
        <v>250</v>
      </c>
      <c r="O4" s="196"/>
      <c r="P4" s="276">
        <f t="shared" ref="P4:P33" si="15">P3</f>
        <v>10873</v>
      </c>
      <c r="Q4" s="275" t="str">
        <f t="shared" si="4"/>
        <v>ok</v>
      </c>
      <c r="R4" s="499">
        <f t="shared" ref="R4:R33" si="16">R3</f>
        <v>13912</v>
      </c>
      <c r="S4" s="275">
        <f t="shared" si="5"/>
        <v>0</v>
      </c>
      <c r="T4" s="500">
        <f t="shared" si="6"/>
        <v>417512</v>
      </c>
      <c r="U4" s="275">
        <f t="shared" si="7"/>
        <v>0</v>
      </c>
      <c r="V4" s="275">
        <v>250</v>
      </c>
      <c r="W4" s="196"/>
      <c r="X4" s="260">
        <f t="shared" ref="X4:X33" si="17">X3</f>
        <v>14593</v>
      </c>
      <c r="Y4" s="275" t="str">
        <f t="shared" ref="Y4:Y33" si="18">IF(R4-X4&lt;=0,"ok","oil change")</f>
        <v>ok</v>
      </c>
      <c r="Z4" s="275">
        <f t="shared" si="8"/>
        <v>11</v>
      </c>
      <c r="AA4" s="275">
        <f t="shared" ref="AA4:AA30" si="19">U4+M4+E4</f>
        <v>850</v>
      </c>
      <c r="AB4" s="275">
        <f t="shared" ref="AB4:AB30" si="20">V4+N4+F4</f>
        <v>585</v>
      </c>
      <c r="AC4" s="275">
        <f t="shared" ref="AC4:AC30" si="21">IF(Z4&gt;0,AA4/Z4,0)</f>
        <v>77.272727272727266</v>
      </c>
      <c r="AD4" s="73">
        <f>ELEC!Q5</f>
        <v>2584.9999999991269</v>
      </c>
      <c r="AE4" s="73">
        <f>SUM(AD4/Z4)</f>
        <v>234.99999999992062</v>
      </c>
      <c r="AF4" s="386">
        <f>SUM(AE4/1600)</f>
        <v>0.14687499999995038</v>
      </c>
      <c r="AG4" s="387">
        <f>SUM(360*AF4)</f>
        <v>52.874999999982137</v>
      </c>
      <c r="AH4" s="387">
        <f t="shared" ref="AH4:AH30" si="22">SUM(AC4-AG4)</f>
        <v>24.397727272745129</v>
      </c>
      <c r="AI4" s="73">
        <f>AD4*AJ4</f>
        <v>665.33755274239138</v>
      </c>
      <c r="AJ4" s="277">
        <f t="shared" si="9"/>
        <v>0.25738396624472576</v>
      </c>
      <c r="AK4" s="277">
        <f t="shared" si="10"/>
        <v>60.485232067490124</v>
      </c>
      <c r="AL4">
        <f t="shared" ref="AL4:AL30" si="23">IF(Z4=0,0,1)</f>
        <v>1</v>
      </c>
    </row>
    <row r="5" spans="1:38" ht="15.75" thickBot="1">
      <c r="A5" s="4">
        <f>ELEC!C6</f>
        <v>44837</v>
      </c>
      <c r="B5" s="499">
        <v>1079</v>
      </c>
      <c r="C5" s="275">
        <f t="shared" si="11"/>
        <v>11</v>
      </c>
      <c r="D5" s="500">
        <f t="shared" ref="D5:D33" si="24">D4+C5*85</f>
        <v>767161</v>
      </c>
      <c r="E5" s="275">
        <f t="shared" si="12"/>
        <v>935</v>
      </c>
      <c r="F5" s="275">
        <f t="shared" si="0"/>
        <v>85</v>
      </c>
      <c r="G5" s="273"/>
      <c r="H5" s="260">
        <f t="shared" si="13"/>
        <v>12231</v>
      </c>
      <c r="I5" s="275" t="str">
        <f t="shared" si="1"/>
        <v>ok</v>
      </c>
      <c r="J5" s="499">
        <f t="shared" ref="J5" si="25">J4</f>
        <v>134</v>
      </c>
      <c r="K5" s="275">
        <f t="shared" si="2"/>
        <v>0</v>
      </c>
      <c r="L5" s="500">
        <f t="shared" si="14"/>
        <v>390191</v>
      </c>
      <c r="M5" s="275">
        <f>SUM(L5-L4)</f>
        <v>0</v>
      </c>
      <c r="N5" s="275">
        <v>250</v>
      </c>
      <c r="O5" s="196"/>
      <c r="P5" s="276">
        <f t="shared" si="15"/>
        <v>10873</v>
      </c>
      <c r="Q5" s="275" t="str">
        <f t="shared" si="4"/>
        <v>ok</v>
      </c>
      <c r="R5" s="499">
        <f t="shared" si="16"/>
        <v>13912</v>
      </c>
      <c r="S5" s="275">
        <f t="shared" si="5"/>
        <v>0</v>
      </c>
      <c r="T5" s="500">
        <f t="shared" si="6"/>
        <v>417512</v>
      </c>
      <c r="U5" s="275">
        <f t="shared" si="7"/>
        <v>0</v>
      </c>
      <c r="V5" s="275">
        <v>250</v>
      </c>
      <c r="W5" s="196"/>
      <c r="X5" s="260">
        <f t="shared" si="17"/>
        <v>14593</v>
      </c>
      <c r="Y5" s="275" t="str">
        <f t="shared" si="18"/>
        <v>ok</v>
      </c>
      <c r="Z5" s="275">
        <f t="shared" si="8"/>
        <v>11</v>
      </c>
      <c r="AA5" s="275">
        <f t="shared" si="19"/>
        <v>935</v>
      </c>
      <c r="AB5" s="275">
        <f t="shared" si="20"/>
        <v>585</v>
      </c>
      <c r="AC5" s="275">
        <f t="shared" si="21"/>
        <v>85</v>
      </c>
      <c r="AD5" s="73">
        <f>ELEC!Q6</f>
        <v>2808.0000000009022</v>
      </c>
      <c r="AE5" s="73">
        <f t="shared" ref="AE5:AE30" si="26">SUM(AD5/Z5)</f>
        <v>255.27272727280931</v>
      </c>
      <c r="AF5" s="386">
        <f t="shared" ref="AF5:AG30" si="27">SUM(AE5/1600)</f>
        <v>0.15954545454550581</v>
      </c>
      <c r="AG5" s="387">
        <f>SUM(320*AF5)</f>
        <v>51.054545454561861</v>
      </c>
      <c r="AH5" s="387">
        <f t="shared" si="22"/>
        <v>33.945454545438139</v>
      </c>
      <c r="AI5" s="73">
        <f t="shared" ref="AI5:AI30" si="28">AD5*AJ5</f>
        <v>722.73417721542216</v>
      </c>
      <c r="AJ5" s="277">
        <f t="shared" si="9"/>
        <v>0.25738396624472576</v>
      </c>
      <c r="AK5" s="277">
        <f t="shared" si="10"/>
        <v>65.70310701958384</v>
      </c>
      <c r="AL5">
        <f t="shared" si="23"/>
        <v>1</v>
      </c>
    </row>
    <row r="6" spans="1:38" ht="15.75" thickBot="1">
      <c r="A6" s="4">
        <f>ELEC!C7</f>
        <v>44838</v>
      </c>
      <c r="B6" s="499">
        <v>1088</v>
      </c>
      <c r="C6" s="275">
        <f>B6-B5</f>
        <v>9</v>
      </c>
      <c r="D6" s="500">
        <f t="shared" si="24"/>
        <v>767926</v>
      </c>
      <c r="E6" s="275">
        <f t="shared" si="12"/>
        <v>765</v>
      </c>
      <c r="F6" s="275">
        <f t="shared" si="0"/>
        <v>85</v>
      </c>
      <c r="G6" s="196"/>
      <c r="H6" s="260">
        <f t="shared" si="13"/>
        <v>12231</v>
      </c>
      <c r="I6" s="275" t="str">
        <f t="shared" si="1"/>
        <v>ok</v>
      </c>
      <c r="J6" s="499">
        <f>J5</f>
        <v>134</v>
      </c>
      <c r="K6" s="275">
        <f t="shared" si="2"/>
        <v>0</v>
      </c>
      <c r="L6" s="500">
        <f>(K6*N5)+L5</f>
        <v>390191</v>
      </c>
      <c r="M6" s="275">
        <f t="shared" si="3"/>
        <v>0</v>
      </c>
      <c r="N6" s="275">
        <v>250</v>
      </c>
      <c r="O6" s="293"/>
      <c r="P6" s="276">
        <f t="shared" si="15"/>
        <v>10873</v>
      </c>
      <c r="Q6" s="275" t="str">
        <f t="shared" si="4"/>
        <v>ok</v>
      </c>
      <c r="R6" s="499">
        <f t="shared" si="16"/>
        <v>13912</v>
      </c>
      <c r="S6" s="275">
        <f t="shared" si="5"/>
        <v>0</v>
      </c>
      <c r="T6" s="500">
        <f t="shared" si="6"/>
        <v>417512</v>
      </c>
      <c r="U6" s="275">
        <f t="shared" si="7"/>
        <v>0</v>
      </c>
      <c r="V6" s="275">
        <v>250</v>
      </c>
      <c r="W6" s="293"/>
      <c r="X6" s="260">
        <f>X5+180</f>
        <v>14773</v>
      </c>
      <c r="Y6" s="275" t="str">
        <f t="shared" si="18"/>
        <v>ok</v>
      </c>
      <c r="Z6" s="275">
        <f t="shared" si="8"/>
        <v>9</v>
      </c>
      <c r="AA6" s="275">
        <f t="shared" si="19"/>
        <v>765</v>
      </c>
      <c r="AB6" s="275">
        <f t="shared" si="20"/>
        <v>585</v>
      </c>
      <c r="AC6" s="275">
        <f t="shared" si="21"/>
        <v>85</v>
      </c>
      <c r="AD6" s="73">
        <f>ELEC!Q7</f>
        <v>2759.0000000018335</v>
      </c>
      <c r="AE6" s="73">
        <f>SUM(AD6/Z6)</f>
        <v>306.55555555575927</v>
      </c>
      <c r="AF6" s="386">
        <f t="shared" si="27"/>
        <v>0.19159722222234954</v>
      </c>
      <c r="AG6" s="387">
        <f>SUM(320*AF6)</f>
        <v>61.311111111151853</v>
      </c>
      <c r="AH6" s="387">
        <f t="shared" si="22"/>
        <v>23.688888888848147</v>
      </c>
      <c r="AI6" s="73">
        <f t="shared" si="28"/>
        <v>710.12236286967027</v>
      </c>
      <c r="AJ6" s="277">
        <f t="shared" si="9"/>
        <v>0.25738396624472576</v>
      </c>
      <c r="AK6" s="277">
        <f t="shared" si="10"/>
        <v>78.902484763296698</v>
      </c>
      <c r="AL6">
        <f t="shared" si="23"/>
        <v>1</v>
      </c>
    </row>
    <row r="7" spans="1:38" ht="15.75" thickBot="1">
      <c r="A7" s="4">
        <f>ELEC!C8</f>
        <v>44839</v>
      </c>
      <c r="B7" s="499">
        <v>1099</v>
      </c>
      <c r="C7" s="275">
        <f t="shared" si="11"/>
        <v>11</v>
      </c>
      <c r="D7" s="500">
        <f t="shared" si="24"/>
        <v>768861</v>
      </c>
      <c r="E7" s="275">
        <f t="shared" si="12"/>
        <v>935</v>
      </c>
      <c r="F7" s="275">
        <f t="shared" si="0"/>
        <v>85</v>
      </c>
      <c r="G7" s="196"/>
      <c r="H7" s="260">
        <f t="shared" si="13"/>
        <v>12231</v>
      </c>
      <c r="I7" s="275" t="str">
        <f t="shared" si="1"/>
        <v>ok</v>
      </c>
      <c r="J7" s="499">
        <v>135</v>
      </c>
      <c r="K7" s="275"/>
      <c r="L7" s="500">
        <f t="shared" ref="L7:L33" si="29">(K7*N6)+L6</f>
        <v>390191</v>
      </c>
      <c r="M7" s="275">
        <f t="shared" si="3"/>
        <v>0</v>
      </c>
      <c r="N7" s="275">
        <v>250</v>
      </c>
      <c r="O7" s="293"/>
      <c r="P7" s="276">
        <f t="shared" si="15"/>
        <v>10873</v>
      </c>
      <c r="Q7" s="275" t="str">
        <f>IF(J7-P7&lt;=0,"ok","oil change")</f>
        <v>ok</v>
      </c>
      <c r="R7" s="499">
        <f t="shared" si="16"/>
        <v>13912</v>
      </c>
      <c r="S7" s="275">
        <f t="shared" si="5"/>
        <v>0</v>
      </c>
      <c r="T7" s="500">
        <f t="shared" si="6"/>
        <v>417512</v>
      </c>
      <c r="U7" s="275">
        <f>V7*S7</f>
        <v>0</v>
      </c>
      <c r="V7" s="275">
        <v>250</v>
      </c>
      <c r="W7" s="196"/>
      <c r="X7" s="260">
        <f t="shared" si="17"/>
        <v>14773</v>
      </c>
      <c r="Y7" s="275" t="str">
        <f>IF(R7-X7&lt;=0,"ok","oil change")</f>
        <v>ok</v>
      </c>
      <c r="Z7" s="275">
        <f t="shared" si="8"/>
        <v>11</v>
      </c>
      <c r="AA7" s="275">
        <f>U7+M7+E7</f>
        <v>935</v>
      </c>
      <c r="AB7" s="275">
        <f t="shared" si="20"/>
        <v>585</v>
      </c>
      <c r="AC7" s="275">
        <f t="shared" si="21"/>
        <v>85</v>
      </c>
      <c r="AD7" s="73">
        <f>ELEC!Q8</f>
        <v>3519.9999999967986</v>
      </c>
      <c r="AE7" s="73">
        <f t="shared" si="26"/>
        <v>319.99999999970896</v>
      </c>
      <c r="AF7" s="386">
        <f t="shared" si="27"/>
        <v>0.1999999999998181</v>
      </c>
      <c r="AG7" s="386">
        <f t="shared" si="27"/>
        <v>1.2499999999988632E-4</v>
      </c>
      <c r="AH7" s="387">
        <f t="shared" si="22"/>
        <v>84.999875000000003</v>
      </c>
      <c r="AI7" s="73">
        <f t="shared" si="28"/>
        <v>905.99156118061069</v>
      </c>
      <c r="AJ7" s="277">
        <f t="shared" si="9"/>
        <v>0.25738396624472576</v>
      </c>
      <c r="AK7" s="277">
        <f t="shared" si="10"/>
        <v>82.362869198237334</v>
      </c>
      <c r="AL7">
        <f t="shared" si="23"/>
        <v>1</v>
      </c>
    </row>
    <row r="8" spans="1:38" ht="15.75" thickBot="1">
      <c r="A8" s="4">
        <f>ELEC!C9</f>
        <v>44840</v>
      </c>
      <c r="B8" s="499">
        <v>1109</v>
      </c>
      <c r="C8" s="275">
        <f t="shared" si="11"/>
        <v>10</v>
      </c>
      <c r="D8" s="500">
        <f t="shared" si="24"/>
        <v>769711</v>
      </c>
      <c r="E8" s="275">
        <f t="shared" si="12"/>
        <v>850</v>
      </c>
      <c r="F8" s="275">
        <f t="shared" si="0"/>
        <v>85</v>
      </c>
      <c r="G8" s="196"/>
      <c r="H8" s="260">
        <f t="shared" si="13"/>
        <v>12231</v>
      </c>
      <c r="I8" s="275" t="str">
        <f>IF(B8-H8&lt;=0,"ok","oil change")</f>
        <v>ok</v>
      </c>
      <c r="J8" s="499">
        <f t="shared" ref="J8:J33" si="30">J7</f>
        <v>135</v>
      </c>
      <c r="K8" s="275">
        <f t="shared" si="2"/>
        <v>0</v>
      </c>
      <c r="L8" s="500">
        <f t="shared" si="29"/>
        <v>390191</v>
      </c>
      <c r="M8" s="275">
        <f t="shared" si="3"/>
        <v>0</v>
      </c>
      <c r="N8" s="275">
        <v>250</v>
      </c>
      <c r="O8" s="196"/>
      <c r="P8" s="276">
        <f t="shared" si="15"/>
        <v>10873</v>
      </c>
      <c r="Q8" s="275" t="str">
        <f t="shared" si="4"/>
        <v>ok</v>
      </c>
      <c r="R8" s="499">
        <f t="shared" si="16"/>
        <v>13912</v>
      </c>
      <c r="S8" s="275">
        <f t="shared" si="5"/>
        <v>0</v>
      </c>
      <c r="T8" s="500">
        <f t="shared" si="6"/>
        <v>417512</v>
      </c>
      <c r="U8" s="275">
        <f t="shared" si="7"/>
        <v>0</v>
      </c>
      <c r="V8" s="275">
        <v>250</v>
      </c>
      <c r="W8" s="196"/>
      <c r="X8" s="260">
        <f>X7</f>
        <v>14773</v>
      </c>
      <c r="Y8" s="275" t="str">
        <f t="shared" si="18"/>
        <v>ok</v>
      </c>
      <c r="Z8" s="275">
        <f t="shared" si="8"/>
        <v>10</v>
      </c>
      <c r="AA8" s="275">
        <f t="shared" si="19"/>
        <v>850</v>
      </c>
      <c r="AB8" s="275">
        <f t="shared" si="20"/>
        <v>585</v>
      </c>
      <c r="AC8" s="275">
        <f t="shared" si="21"/>
        <v>85</v>
      </c>
      <c r="AD8" s="73">
        <f>ELEC!Q9</f>
        <v>2596.0000000013679</v>
      </c>
      <c r="AE8" s="73">
        <f>SUM(AD8/Z8)</f>
        <v>259.60000000013679</v>
      </c>
      <c r="AF8" s="386">
        <f t="shared" si="27"/>
        <v>0.16225000000008549</v>
      </c>
      <c r="AG8" s="386">
        <f t="shared" si="27"/>
        <v>1.0140625000005344E-4</v>
      </c>
      <c r="AH8" s="387">
        <f t="shared" si="22"/>
        <v>84.999898593750004</v>
      </c>
      <c r="AI8" s="73">
        <f t="shared" si="28"/>
        <v>668.1687763716601</v>
      </c>
      <c r="AJ8" s="277">
        <f t="shared" si="9"/>
        <v>0.25738396624472576</v>
      </c>
      <c r="AK8" s="277">
        <f t="shared" si="10"/>
        <v>66.816877637166016</v>
      </c>
      <c r="AL8">
        <f t="shared" si="23"/>
        <v>1</v>
      </c>
    </row>
    <row r="9" spans="1:38" ht="15.75" thickBot="1">
      <c r="A9" s="4">
        <f>ELEC!C10</f>
        <v>44841</v>
      </c>
      <c r="B9" s="499">
        <f t="shared" ref="B9:B33" si="31">B8</f>
        <v>1109</v>
      </c>
      <c r="C9" s="275">
        <f t="shared" si="11"/>
        <v>0</v>
      </c>
      <c r="D9" s="500">
        <f t="shared" si="24"/>
        <v>769711</v>
      </c>
      <c r="E9" s="275">
        <f t="shared" si="12"/>
        <v>0</v>
      </c>
      <c r="F9" s="275">
        <f t="shared" si="0"/>
        <v>0</v>
      </c>
      <c r="G9" s="196"/>
      <c r="H9" s="260">
        <f t="shared" si="13"/>
        <v>12231</v>
      </c>
      <c r="I9" s="275" t="str">
        <f t="shared" si="1"/>
        <v>ok</v>
      </c>
      <c r="J9" s="499">
        <f t="shared" si="30"/>
        <v>135</v>
      </c>
      <c r="K9" s="275">
        <f t="shared" si="2"/>
        <v>0</v>
      </c>
      <c r="L9" s="500">
        <f t="shared" si="29"/>
        <v>390191</v>
      </c>
      <c r="M9" s="275">
        <f t="shared" si="3"/>
        <v>0</v>
      </c>
      <c r="N9" s="275">
        <v>250</v>
      </c>
      <c r="O9" s="196"/>
      <c r="P9" s="276">
        <f t="shared" si="15"/>
        <v>10873</v>
      </c>
      <c r="Q9" s="275" t="str">
        <f t="shared" si="4"/>
        <v>ok</v>
      </c>
      <c r="R9" s="499">
        <f t="shared" si="16"/>
        <v>13912</v>
      </c>
      <c r="S9" s="275">
        <f t="shared" si="5"/>
        <v>0</v>
      </c>
      <c r="T9" s="500">
        <f t="shared" ref="T9:T33" si="32">T8+U9</f>
        <v>417512</v>
      </c>
      <c r="U9" s="275">
        <f t="shared" ref="U9:U30" si="33">V9*S9</f>
        <v>0</v>
      </c>
      <c r="V9" s="275">
        <v>250</v>
      </c>
      <c r="W9" s="196"/>
      <c r="X9" s="260">
        <f t="shared" si="17"/>
        <v>14773</v>
      </c>
      <c r="Y9" s="275" t="str">
        <f t="shared" si="18"/>
        <v>ok</v>
      </c>
      <c r="Z9" s="275">
        <f t="shared" si="8"/>
        <v>0</v>
      </c>
      <c r="AA9" s="275">
        <f t="shared" si="19"/>
        <v>0</v>
      </c>
      <c r="AB9" s="275">
        <f t="shared" si="20"/>
        <v>500</v>
      </c>
      <c r="AC9" s="275">
        <f t="shared" si="21"/>
        <v>0</v>
      </c>
      <c r="AD9" s="73">
        <f>ELEC!Q10</f>
        <v>0</v>
      </c>
      <c r="AE9" s="73" t="e">
        <f t="shared" si="26"/>
        <v>#DIV/0!</v>
      </c>
      <c r="AF9" s="386" t="e">
        <f t="shared" si="27"/>
        <v>#DIV/0!</v>
      </c>
      <c r="AG9" s="386" t="e">
        <f t="shared" si="27"/>
        <v>#DIV/0!</v>
      </c>
      <c r="AH9" s="387" t="e">
        <f t="shared" si="22"/>
        <v>#DIV/0!</v>
      </c>
      <c r="AI9" s="73">
        <f t="shared" si="28"/>
        <v>0</v>
      </c>
      <c r="AJ9" s="277">
        <f t="shared" si="9"/>
        <v>0.25738396624472576</v>
      </c>
      <c r="AK9" s="277" t="e">
        <f t="shared" si="10"/>
        <v>#DIV/0!</v>
      </c>
      <c r="AL9">
        <f t="shared" si="23"/>
        <v>0</v>
      </c>
    </row>
    <row r="10" spans="1:38" ht="15.75" thickBot="1">
      <c r="A10" s="4">
        <f>ELEC!C11</f>
        <v>44842</v>
      </c>
      <c r="B10" s="499">
        <f t="shared" si="31"/>
        <v>1109</v>
      </c>
      <c r="C10" s="275">
        <f t="shared" si="11"/>
        <v>0</v>
      </c>
      <c r="D10" s="500">
        <f t="shared" si="24"/>
        <v>769711</v>
      </c>
      <c r="E10" s="275">
        <f>SUM(D10-D9)</f>
        <v>0</v>
      </c>
      <c r="F10" s="275">
        <f t="shared" si="0"/>
        <v>0</v>
      </c>
      <c r="G10" s="196"/>
      <c r="H10" s="260">
        <f t="shared" si="13"/>
        <v>12231</v>
      </c>
      <c r="I10" s="275" t="str">
        <f>IF(B10-H10&lt;=0,"ok","oil change")</f>
        <v>ok</v>
      </c>
      <c r="J10" s="499">
        <f t="shared" si="30"/>
        <v>135</v>
      </c>
      <c r="K10" s="275">
        <f t="shared" si="2"/>
        <v>0</v>
      </c>
      <c r="L10" s="500">
        <f t="shared" si="29"/>
        <v>390191</v>
      </c>
      <c r="M10" s="275">
        <f t="shared" si="3"/>
        <v>0</v>
      </c>
      <c r="N10" s="275">
        <v>250</v>
      </c>
      <c r="O10" s="196"/>
      <c r="P10" s="276">
        <f t="shared" si="15"/>
        <v>10873</v>
      </c>
      <c r="Q10" s="275" t="str">
        <f t="shared" si="4"/>
        <v>ok</v>
      </c>
      <c r="R10" s="499">
        <f t="shared" si="16"/>
        <v>13912</v>
      </c>
      <c r="S10" s="275">
        <f t="shared" si="5"/>
        <v>0</v>
      </c>
      <c r="T10" s="500">
        <f t="shared" si="32"/>
        <v>417512</v>
      </c>
      <c r="U10" s="275">
        <f t="shared" si="33"/>
        <v>0</v>
      </c>
      <c r="V10" s="275">
        <v>250</v>
      </c>
      <c r="W10" s="322"/>
      <c r="X10" s="260">
        <f t="shared" si="17"/>
        <v>14773</v>
      </c>
      <c r="Y10" s="275" t="str">
        <f t="shared" si="18"/>
        <v>ok</v>
      </c>
      <c r="Z10" s="275">
        <f t="shared" si="8"/>
        <v>0</v>
      </c>
      <c r="AA10" s="275">
        <f t="shared" si="19"/>
        <v>0</v>
      </c>
      <c r="AB10" s="275">
        <f t="shared" si="20"/>
        <v>500</v>
      </c>
      <c r="AC10" s="275">
        <f t="shared" si="21"/>
        <v>0</v>
      </c>
      <c r="AD10" s="73">
        <f>ELEC!Q11</f>
        <v>0</v>
      </c>
      <c r="AE10" s="73" t="e">
        <f t="shared" si="26"/>
        <v>#DIV/0!</v>
      </c>
      <c r="AF10" s="386" t="e">
        <f t="shared" si="27"/>
        <v>#DIV/0!</v>
      </c>
      <c r="AG10" s="386" t="e">
        <f t="shared" si="27"/>
        <v>#DIV/0!</v>
      </c>
      <c r="AH10" s="387" t="e">
        <f t="shared" si="22"/>
        <v>#DIV/0!</v>
      </c>
      <c r="AI10" s="73">
        <f t="shared" si="28"/>
        <v>0</v>
      </c>
      <c r="AJ10" s="277">
        <f t="shared" si="9"/>
        <v>0.25738396624472576</v>
      </c>
      <c r="AK10" s="277" t="e">
        <f t="shared" si="10"/>
        <v>#DIV/0!</v>
      </c>
      <c r="AL10">
        <f t="shared" si="23"/>
        <v>0</v>
      </c>
    </row>
    <row r="11" spans="1:38" ht="15.75" thickBot="1">
      <c r="A11" s="4">
        <f>ELEC!C12</f>
        <v>44843</v>
      </c>
      <c r="B11" s="499">
        <f t="shared" si="31"/>
        <v>1109</v>
      </c>
      <c r="C11" s="275">
        <f t="shared" si="11"/>
        <v>0</v>
      </c>
      <c r="D11" s="500">
        <f t="shared" si="24"/>
        <v>769711</v>
      </c>
      <c r="E11" s="275">
        <f t="shared" si="12"/>
        <v>0</v>
      </c>
      <c r="F11" s="275">
        <f>IF(C11&gt;0,E11/C11,0)</f>
        <v>0</v>
      </c>
      <c r="G11" s="196"/>
      <c r="H11" s="260">
        <f t="shared" si="13"/>
        <v>12231</v>
      </c>
      <c r="I11" s="275" t="str">
        <f t="shared" si="1"/>
        <v>ok</v>
      </c>
      <c r="J11" s="499">
        <f t="shared" si="30"/>
        <v>135</v>
      </c>
      <c r="K11" s="275">
        <f t="shared" si="2"/>
        <v>0</v>
      </c>
      <c r="L11" s="500">
        <f t="shared" si="29"/>
        <v>390191</v>
      </c>
      <c r="M11" s="275">
        <f t="shared" si="3"/>
        <v>0</v>
      </c>
      <c r="N11" s="275">
        <v>250</v>
      </c>
      <c r="O11" s="196"/>
      <c r="P11" s="276">
        <f t="shared" si="15"/>
        <v>10873</v>
      </c>
      <c r="Q11" s="275" t="str">
        <f t="shared" si="4"/>
        <v>ok</v>
      </c>
      <c r="R11" s="499">
        <f t="shared" si="16"/>
        <v>13912</v>
      </c>
      <c r="S11" s="275">
        <f t="shared" si="5"/>
        <v>0</v>
      </c>
      <c r="T11" s="500">
        <f t="shared" si="32"/>
        <v>417512</v>
      </c>
      <c r="U11" s="275">
        <f t="shared" si="33"/>
        <v>0</v>
      </c>
      <c r="V11" s="275">
        <v>250</v>
      </c>
      <c r="W11" s="322"/>
      <c r="X11" s="260">
        <f t="shared" si="17"/>
        <v>14773</v>
      </c>
      <c r="Y11" s="275" t="str">
        <f t="shared" si="18"/>
        <v>ok</v>
      </c>
      <c r="Z11" s="275">
        <f t="shared" si="8"/>
        <v>0</v>
      </c>
      <c r="AA11" s="275">
        <f t="shared" si="19"/>
        <v>0</v>
      </c>
      <c r="AB11" s="275">
        <f t="shared" si="20"/>
        <v>500</v>
      </c>
      <c r="AC11" s="275">
        <f t="shared" si="21"/>
        <v>0</v>
      </c>
      <c r="AD11" s="73">
        <f>ELEC!Q12</f>
        <v>0</v>
      </c>
      <c r="AE11" s="73" t="e">
        <f t="shared" si="26"/>
        <v>#DIV/0!</v>
      </c>
      <c r="AF11" s="386" t="e">
        <f t="shared" si="27"/>
        <v>#DIV/0!</v>
      </c>
      <c r="AG11" s="386" t="e">
        <f t="shared" si="27"/>
        <v>#DIV/0!</v>
      </c>
      <c r="AH11" s="387" t="e">
        <f t="shared" si="22"/>
        <v>#DIV/0!</v>
      </c>
      <c r="AI11" s="73">
        <f t="shared" si="28"/>
        <v>0</v>
      </c>
      <c r="AJ11" s="277">
        <f t="shared" si="9"/>
        <v>0.25738396624472576</v>
      </c>
      <c r="AK11" s="277" t="e">
        <f t="shared" si="10"/>
        <v>#DIV/0!</v>
      </c>
      <c r="AL11">
        <f t="shared" si="23"/>
        <v>0</v>
      </c>
    </row>
    <row r="12" spans="1:38" ht="15.75" thickBot="1">
      <c r="A12" s="4">
        <f>ELEC!C13</f>
        <v>44844</v>
      </c>
      <c r="B12" s="499">
        <v>1121</v>
      </c>
      <c r="C12" s="275">
        <f t="shared" si="11"/>
        <v>12</v>
      </c>
      <c r="D12" s="500">
        <f t="shared" si="24"/>
        <v>770731</v>
      </c>
      <c r="E12" s="275">
        <f t="shared" si="12"/>
        <v>1020</v>
      </c>
      <c r="F12" s="275">
        <f t="shared" si="0"/>
        <v>85</v>
      </c>
      <c r="G12" s="196"/>
      <c r="H12" s="260">
        <f t="shared" si="13"/>
        <v>12231</v>
      </c>
      <c r="I12" s="275" t="str">
        <f t="shared" si="1"/>
        <v>ok</v>
      </c>
      <c r="J12" s="499">
        <f t="shared" si="30"/>
        <v>135</v>
      </c>
      <c r="K12" s="275">
        <f t="shared" si="2"/>
        <v>0</v>
      </c>
      <c r="L12" s="500">
        <f t="shared" si="29"/>
        <v>390191</v>
      </c>
      <c r="M12" s="275">
        <f t="shared" si="3"/>
        <v>0</v>
      </c>
      <c r="N12" s="275">
        <v>250</v>
      </c>
      <c r="O12" s="196"/>
      <c r="P12" s="276">
        <f t="shared" si="15"/>
        <v>10873</v>
      </c>
      <c r="Q12" s="275" t="str">
        <f t="shared" si="4"/>
        <v>ok</v>
      </c>
      <c r="R12" s="499">
        <f t="shared" si="16"/>
        <v>13912</v>
      </c>
      <c r="S12" s="275">
        <f t="shared" si="5"/>
        <v>0</v>
      </c>
      <c r="T12" s="500">
        <f>T11+U12</f>
        <v>417512</v>
      </c>
      <c r="U12" s="275">
        <f>V12*S12</f>
        <v>0</v>
      </c>
      <c r="V12" s="275">
        <v>250</v>
      </c>
      <c r="W12" s="322"/>
      <c r="X12" s="260">
        <f t="shared" si="17"/>
        <v>14773</v>
      </c>
      <c r="Y12" s="275" t="str">
        <f t="shared" si="18"/>
        <v>ok</v>
      </c>
      <c r="Z12" s="275">
        <f t="shared" si="8"/>
        <v>12</v>
      </c>
      <c r="AA12" s="275">
        <f t="shared" si="19"/>
        <v>1020</v>
      </c>
      <c r="AB12" s="275">
        <f t="shared" si="20"/>
        <v>585</v>
      </c>
      <c r="AC12" s="275">
        <f t="shared" si="21"/>
        <v>85</v>
      </c>
      <c r="AD12" s="73">
        <f>ELEC!Q13</f>
        <v>2944.999999999709</v>
      </c>
      <c r="AE12" s="73">
        <f t="shared" si="26"/>
        <v>245.41666666664241</v>
      </c>
      <c r="AF12" s="386">
        <f t="shared" si="27"/>
        <v>0.15338541666665151</v>
      </c>
      <c r="AG12" s="386">
        <f t="shared" si="27"/>
        <v>9.5865885416657193E-5</v>
      </c>
      <c r="AH12" s="387">
        <f t="shared" si="22"/>
        <v>84.999904134114587</v>
      </c>
      <c r="AI12" s="73">
        <f t="shared" si="28"/>
        <v>757.99578059064243</v>
      </c>
      <c r="AJ12" s="277">
        <f t="shared" si="9"/>
        <v>0.25738396624472576</v>
      </c>
      <c r="AK12" s="277">
        <f t="shared" si="10"/>
        <v>63.166315049220202</v>
      </c>
      <c r="AL12">
        <f t="shared" si="23"/>
        <v>1</v>
      </c>
    </row>
    <row r="13" spans="1:38" ht="15.75" thickBot="1">
      <c r="A13" s="4">
        <f>ELEC!C14</f>
        <v>44845</v>
      </c>
      <c r="B13" s="499">
        <v>1131</v>
      </c>
      <c r="C13" s="275">
        <f t="shared" si="11"/>
        <v>10</v>
      </c>
      <c r="D13" s="500">
        <f t="shared" si="24"/>
        <v>771581</v>
      </c>
      <c r="E13" s="275">
        <f t="shared" si="12"/>
        <v>850</v>
      </c>
      <c r="F13" s="275">
        <f t="shared" si="0"/>
        <v>85</v>
      </c>
      <c r="G13" s="196"/>
      <c r="H13" s="260">
        <f t="shared" si="13"/>
        <v>12231</v>
      </c>
      <c r="I13" s="275" t="str">
        <f t="shared" si="1"/>
        <v>ok</v>
      </c>
      <c r="J13" s="499">
        <f t="shared" si="30"/>
        <v>135</v>
      </c>
      <c r="K13" s="275">
        <f t="shared" si="2"/>
        <v>0</v>
      </c>
      <c r="L13" s="500">
        <f t="shared" si="29"/>
        <v>390191</v>
      </c>
      <c r="M13" s="275">
        <f t="shared" si="3"/>
        <v>0</v>
      </c>
      <c r="N13" s="275">
        <v>250</v>
      </c>
      <c r="O13" s="196"/>
      <c r="P13" s="276">
        <f t="shared" si="15"/>
        <v>10873</v>
      </c>
      <c r="Q13" s="275" t="str">
        <f t="shared" si="4"/>
        <v>ok</v>
      </c>
      <c r="R13" s="499">
        <f t="shared" si="16"/>
        <v>13912</v>
      </c>
      <c r="S13" s="275">
        <f t="shared" si="5"/>
        <v>0</v>
      </c>
      <c r="T13" s="500">
        <f t="shared" si="32"/>
        <v>417512</v>
      </c>
      <c r="U13" s="275">
        <f t="shared" si="33"/>
        <v>0</v>
      </c>
      <c r="V13" s="275">
        <v>250</v>
      </c>
      <c r="W13" s="322"/>
      <c r="X13" s="260">
        <f t="shared" si="17"/>
        <v>14773</v>
      </c>
      <c r="Y13" s="275" t="str">
        <f t="shared" si="18"/>
        <v>ok</v>
      </c>
      <c r="Z13" s="275">
        <f t="shared" si="8"/>
        <v>10</v>
      </c>
      <c r="AA13" s="275">
        <f t="shared" si="19"/>
        <v>850</v>
      </c>
      <c r="AB13" s="275">
        <f t="shared" si="20"/>
        <v>585</v>
      </c>
      <c r="AC13" s="275">
        <f t="shared" si="21"/>
        <v>85</v>
      </c>
      <c r="AD13" s="73">
        <f>ELEC!Q14</f>
        <v>2300.9999999994761</v>
      </c>
      <c r="AE13" s="73">
        <f t="shared" si="26"/>
        <v>230.09999999994761</v>
      </c>
      <c r="AF13" s="386">
        <f t="shared" si="27"/>
        <v>0.14381249999996726</v>
      </c>
      <c r="AG13" s="386">
        <f t="shared" si="27"/>
        <v>8.9882812499979533E-5</v>
      </c>
      <c r="AH13" s="387">
        <f t="shared" si="22"/>
        <v>84.999910117187497</v>
      </c>
      <c r="AI13" s="73">
        <f t="shared" si="28"/>
        <v>592.24050632897911</v>
      </c>
      <c r="AJ13" s="277">
        <f t="shared" si="9"/>
        <v>0.25738396624472576</v>
      </c>
      <c r="AK13" s="277">
        <f t="shared" si="10"/>
        <v>59.224050632897914</v>
      </c>
      <c r="AL13">
        <f t="shared" si="23"/>
        <v>1</v>
      </c>
    </row>
    <row r="14" spans="1:38" ht="15.75" thickBot="1">
      <c r="A14" s="4">
        <f>ELEC!C15</f>
        <v>44846</v>
      </c>
      <c r="B14" s="499">
        <v>1145</v>
      </c>
      <c r="C14" s="275">
        <f t="shared" si="11"/>
        <v>14</v>
      </c>
      <c r="D14" s="500">
        <f t="shared" si="24"/>
        <v>772771</v>
      </c>
      <c r="E14" s="275">
        <f t="shared" si="12"/>
        <v>1190</v>
      </c>
      <c r="F14" s="275">
        <f t="shared" si="0"/>
        <v>85</v>
      </c>
      <c r="G14" s="196"/>
      <c r="H14" s="260">
        <f t="shared" si="13"/>
        <v>12231</v>
      </c>
      <c r="I14" s="275" t="str">
        <f t="shared" si="1"/>
        <v>ok</v>
      </c>
      <c r="J14" s="499">
        <f t="shared" si="30"/>
        <v>135</v>
      </c>
      <c r="K14" s="275">
        <f t="shared" si="2"/>
        <v>0</v>
      </c>
      <c r="L14" s="500">
        <f t="shared" si="29"/>
        <v>390191</v>
      </c>
      <c r="M14" s="275">
        <f t="shared" si="3"/>
        <v>0</v>
      </c>
      <c r="N14" s="275">
        <v>250</v>
      </c>
      <c r="O14" s="196"/>
      <c r="P14" s="276">
        <f t="shared" si="15"/>
        <v>10873</v>
      </c>
      <c r="Q14" s="275" t="str">
        <f t="shared" si="4"/>
        <v>ok</v>
      </c>
      <c r="R14" s="499">
        <f t="shared" si="16"/>
        <v>13912</v>
      </c>
      <c r="S14" s="275">
        <f t="shared" si="5"/>
        <v>0</v>
      </c>
      <c r="T14" s="500">
        <f t="shared" si="32"/>
        <v>417512</v>
      </c>
      <c r="U14" s="275">
        <f t="shared" si="33"/>
        <v>0</v>
      </c>
      <c r="V14" s="275">
        <v>250</v>
      </c>
      <c r="W14" s="322"/>
      <c r="X14" s="260">
        <f t="shared" si="17"/>
        <v>14773</v>
      </c>
      <c r="Y14" s="275" t="str">
        <f t="shared" si="18"/>
        <v>ok</v>
      </c>
      <c r="Z14" s="275">
        <f t="shared" si="8"/>
        <v>14</v>
      </c>
      <c r="AA14" s="275">
        <f t="shared" si="19"/>
        <v>1190</v>
      </c>
      <c r="AB14" s="275">
        <f t="shared" si="20"/>
        <v>585</v>
      </c>
      <c r="AC14" s="275">
        <f t="shared" si="21"/>
        <v>85</v>
      </c>
      <c r="AD14" s="73">
        <f>ELEC!Q15</f>
        <v>3369.0000000024156</v>
      </c>
      <c r="AE14" s="73">
        <f t="shared" si="26"/>
        <v>240.64285714302969</v>
      </c>
      <c r="AF14" s="386">
        <f t="shared" si="27"/>
        <v>0.15040178571439355</v>
      </c>
      <c r="AG14" s="386">
        <f t="shared" si="27"/>
        <v>9.4001116071495971E-5</v>
      </c>
      <c r="AH14" s="387">
        <f t="shared" si="22"/>
        <v>84.999905998883932</v>
      </c>
      <c r="AI14" s="73">
        <f t="shared" si="28"/>
        <v>867.12658227910288</v>
      </c>
      <c r="AJ14" s="277">
        <f t="shared" si="9"/>
        <v>0.25738396624472576</v>
      </c>
      <c r="AK14" s="277">
        <f t="shared" si="10"/>
        <v>61.937613019935917</v>
      </c>
      <c r="AL14">
        <f t="shared" si="23"/>
        <v>1</v>
      </c>
    </row>
    <row r="15" spans="1:38" ht="15.75" thickBot="1">
      <c r="A15" s="4">
        <f>ELEC!C16</f>
        <v>44847</v>
      </c>
      <c r="B15" s="499">
        <f t="shared" si="31"/>
        <v>1145</v>
      </c>
      <c r="C15" s="275">
        <f t="shared" si="11"/>
        <v>0</v>
      </c>
      <c r="D15" s="500">
        <f t="shared" si="24"/>
        <v>772771</v>
      </c>
      <c r="E15" s="275">
        <f t="shared" si="12"/>
        <v>0</v>
      </c>
      <c r="F15" s="275">
        <f t="shared" si="0"/>
        <v>0</v>
      </c>
      <c r="G15" s="196"/>
      <c r="H15" s="260">
        <f t="shared" si="13"/>
        <v>12231</v>
      </c>
      <c r="I15" s="275" t="str">
        <f t="shared" si="1"/>
        <v>ok</v>
      </c>
      <c r="J15" s="499">
        <f t="shared" si="30"/>
        <v>135</v>
      </c>
      <c r="K15" s="275">
        <f t="shared" si="2"/>
        <v>0</v>
      </c>
      <c r="L15" s="500">
        <f t="shared" si="29"/>
        <v>390191</v>
      </c>
      <c r="M15" s="275">
        <f t="shared" si="3"/>
        <v>0</v>
      </c>
      <c r="N15" s="275">
        <v>250</v>
      </c>
      <c r="O15" s="196"/>
      <c r="P15" s="276">
        <f t="shared" si="15"/>
        <v>10873</v>
      </c>
      <c r="Q15" s="275" t="str">
        <f t="shared" si="4"/>
        <v>ok</v>
      </c>
      <c r="R15" s="499">
        <f t="shared" si="16"/>
        <v>13912</v>
      </c>
      <c r="S15" s="275">
        <f t="shared" si="5"/>
        <v>0</v>
      </c>
      <c r="T15" s="500">
        <f t="shared" si="32"/>
        <v>417512</v>
      </c>
      <c r="U15" s="275">
        <f t="shared" si="33"/>
        <v>0</v>
      </c>
      <c r="V15" s="275">
        <v>250</v>
      </c>
      <c r="W15" s="322"/>
      <c r="X15" s="260">
        <f t="shared" si="17"/>
        <v>14773</v>
      </c>
      <c r="Y15" s="275" t="str">
        <f t="shared" si="18"/>
        <v>ok</v>
      </c>
      <c r="Z15" s="275">
        <f t="shared" si="8"/>
        <v>0</v>
      </c>
      <c r="AA15" s="275">
        <f t="shared" si="19"/>
        <v>0</v>
      </c>
      <c r="AB15" s="275">
        <f t="shared" si="20"/>
        <v>500</v>
      </c>
      <c r="AC15" s="275">
        <f t="shared" si="21"/>
        <v>0</v>
      </c>
      <c r="AD15" s="73">
        <f>ELEC!Q16</f>
        <v>0</v>
      </c>
      <c r="AE15" s="73" t="e">
        <f t="shared" si="26"/>
        <v>#DIV/0!</v>
      </c>
      <c r="AF15" s="386" t="e">
        <f t="shared" si="27"/>
        <v>#DIV/0!</v>
      </c>
      <c r="AG15" s="386" t="e">
        <f t="shared" si="27"/>
        <v>#DIV/0!</v>
      </c>
      <c r="AH15" s="387" t="e">
        <f t="shared" si="22"/>
        <v>#DIV/0!</v>
      </c>
      <c r="AI15" s="73">
        <f t="shared" si="28"/>
        <v>0</v>
      </c>
      <c r="AJ15" s="277">
        <f t="shared" si="9"/>
        <v>0.25738396624472576</v>
      </c>
      <c r="AK15" s="277" t="e">
        <f t="shared" si="10"/>
        <v>#DIV/0!</v>
      </c>
      <c r="AL15">
        <f t="shared" si="23"/>
        <v>0</v>
      </c>
    </row>
    <row r="16" spans="1:38" ht="15.75" thickBot="1">
      <c r="A16" s="4">
        <f>ELEC!C17</f>
        <v>44848</v>
      </c>
      <c r="B16" s="499">
        <f t="shared" si="31"/>
        <v>1145</v>
      </c>
      <c r="C16" s="275">
        <f t="shared" si="11"/>
        <v>0</v>
      </c>
      <c r="D16" s="500">
        <f t="shared" si="24"/>
        <v>772771</v>
      </c>
      <c r="E16" s="275">
        <f t="shared" si="12"/>
        <v>0</v>
      </c>
      <c r="F16" s="275">
        <f t="shared" si="0"/>
        <v>0</v>
      </c>
      <c r="G16" s="196"/>
      <c r="H16" s="260">
        <f t="shared" si="13"/>
        <v>12231</v>
      </c>
      <c r="I16" s="275" t="str">
        <f t="shared" si="1"/>
        <v>ok</v>
      </c>
      <c r="J16" s="499">
        <f t="shared" si="30"/>
        <v>135</v>
      </c>
      <c r="K16" s="275">
        <f t="shared" si="2"/>
        <v>0</v>
      </c>
      <c r="L16" s="500">
        <f t="shared" si="29"/>
        <v>390191</v>
      </c>
      <c r="M16" s="275">
        <f t="shared" si="3"/>
        <v>0</v>
      </c>
      <c r="N16" s="275">
        <v>250</v>
      </c>
      <c r="O16" s="196"/>
      <c r="P16" s="276">
        <f t="shared" si="15"/>
        <v>10873</v>
      </c>
      <c r="Q16" s="275" t="str">
        <f t="shared" si="4"/>
        <v>ok</v>
      </c>
      <c r="R16" s="499">
        <f t="shared" si="16"/>
        <v>13912</v>
      </c>
      <c r="S16" s="275">
        <f t="shared" si="5"/>
        <v>0</v>
      </c>
      <c r="T16" s="500">
        <f t="shared" si="32"/>
        <v>417512</v>
      </c>
      <c r="U16" s="275">
        <f t="shared" si="33"/>
        <v>0</v>
      </c>
      <c r="V16" s="275">
        <v>250</v>
      </c>
      <c r="W16" s="322"/>
      <c r="X16" s="260">
        <f t="shared" si="17"/>
        <v>14773</v>
      </c>
      <c r="Y16" s="275" t="str">
        <f t="shared" si="18"/>
        <v>ok</v>
      </c>
      <c r="Z16" s="275">
        <f t="shared" si="8"/>
        <v>0</v>
      </c>
      <c r="AA16" s="275">
        <f t="shared" si="19"/>
        <v>0</v>
      </c>
      <c r="AB16" s="275">
        <f t="shared" si="20"/>
        <v>500</v>
      </c>
      <c r="AC16" s="275">
        <f t="shared" si="21"/>
        <v>0</v>
      </c>
      <c r="AD16" s="73">
        <f>ELEC!Q17</f>
        <v>0</v>
      </c>
      <c r="AE16" s="73" t="e">
        <f t="shared" si="26"/>
        <v>#DIV/0!</v>
      </c>
      <c r="AF16" s="386" t="e">
        <f t="shared" si="27"/>
        <v>#DIV/0!</v>
      </c>
      <c r="AG16" s="386" t="e">
        <f t="shared" si="27"/>
        <v>#DIV/0!</v>
      </c>
      <c r="AH16" s="387" t="e">
        <f t="shared" si="22"/>
        <v>#DIV/0!</v>
      </c>
      <c r="AI16" s="73">
        <f t="shared" si="28"/>
        <v>0</v>
      </c>
      <c r="AJ16" s="277">
        <f t="shared" si="9"/>
        <v>0.25738396624472576</v>
      </c>
      <c r="AK16" s="277" t="e">
        <f t="shared" si="10"/>
        <v>#DIV/0!</v>
      </c>
      <c r="AL16">
        <f t="shared" si="23"/>
        <v>0</v>
      </c>
    </row>
    <row r="17" spans="1:38" ht="15.75" thickBot="1">
      <c r="A17" s="4">
        <f>ELEC!C18</f>
        <v>44849</v>
      </c>
      <c r="B17" s="499">
        <v>1155</v>
      </c>
      <c r="C17" s="275">
        <f t="shared" si="11"/>
        <v>10</v>
      </c>
      <c r="D17" s="500">
        <f t="shared" si="24"/>
        <v>773621</v>
      </c>
      <c r="E17" s="275">
        <f t="shared" si="12"/>
        <v>850</v>
      </c>
      <c r="F17" s="275">
        <f t="shared" si="0"/>
        <v>85</v>
      </c>
      <c r="G17" s="196"/>
      <c r="H17" s="260">
        <f t="shared" si="13"/>
        <v>12231</v>
      </c>
      <c r="I17" s="275" t="str">
        <f t="shared" si="1"/>
        <v>ok</v>
      </c>
      <c r="J17" s="499">
        <f t="shared" si="30"/>
        <v>135</v>
      </c>
      <c r="K17" s="275">
        <f t="shared" si="2"/>
        <v>0</v>
      </c>
      <c r="L17" s="500">
        <f t="shared" si="29"/>
        <v>390191</v>
      </c>
      <c r="M17" s="275">
        <f t="shared" si="3"/>
        <v>0</v>
      </c>
      <c r="N17" s="275">
        <v>250</v>
      </c>
      <c r="O17" s="196"/>
      <c r="P17" s="276">
        <f t="shared" si="15"/>
        <v>10873</v>
      </c>
      <c r="Q17" s="275" t="str">
        <f t="shared" si="4"/>
        <v>ok</v>
      </c>
      <c r="R17" s="499">
        <f t="shared" si="16"/>
        <v>13912</v>
      </c>
      <c r="S17" s="275">
        <f t="shared" si="5"/>
        <v>0</v>
      </c>
      <c r="T17" s="500">
        <f t="shared" si="32"/>
        <v>417512</v>
      </c>
      <c r="U17" s="275">
        <f t="shared" si="33"/>
        <v>0</v>
      </c>
      <c r="V17" s="275">
        <v>250</v>
      </c>
      <c r="W17" s="322"/>
      <c r="X17" s="260">
        <f t="shared" si="17"/>
        <v>14773</v>
      </c>
      <c r="Y17" s="275" t="str">
        <f t="shared" si="18"/>
        <v>ok</v>
      </c>
      <c r="Z17" s="275">
        <f t="shared" si="8"/>
        <v>10</v>
      </c>
      <c r="AA17" s="275">
        <f t="shared" si="19"/>
        <v>850</v>
      </c>
      <c r="AB17" s="275">
        <f t="shared" si="20"/>
        <v>585</v>
      </c>
      <c r="AC17" s="275">
        <f t="shared" si="21"/>
        <v>85</v>
      </c>
      <c r="AD17" s="73">
        <f>ELEC!Q18</f>
        <v>0</v>
      </c>
      <c r="AE17" s="73">
        <f t="shared" si="26"/>
        <v>0</v>
      </c>
      <c r="AF17" s="386">
        <f t="shared" si="27"/>
        <v>0</v>
      </c>
      <c r="AG17" s="386">
        <f t="shared" si="27"/>
        <v>0</v>
      </c>
      <c r="AH17" s="387">
        <f t="shared" si="22"/>
        <v>85</v>
      </c>
      <c r="AI17" s="73">
        <f t="shared" si="28"/>
        <v>0</v>
      </c>
      <c r="AJ17" s="277">
        <f t="shared" si="9"/>
        <v>0.25738396624472576</v>
      </c>
      <c r="AK17" s="277">
        <f t="shared" si="10"/>
        <v>0</v>
      </c>
      <c r="AL17">
        <f t="shared" si="23"/>
        <v>1</v>
      </c>
    </row>
    <row r="18" spans="1:38" ht="15.75" thickBot="1">
      <c r="A18" s="4">
        <f>ELEC!C19</f>
        <v>44850</v>
      </c>
      <c r="B18" s="499">
        <v>1166</v>
      </c>
      <c r="C18" s="275">
        <f t="shared" si="11"/>
        <v>11</v>
      </c>
      <c r="D18" s="500">
        <f t="shared" si="24"/>
        <v>774556</v>
      </c>
      <c r="E18" s="275">
        <f t="shared" si="12"/>
        <v>935</v>
      </c>
      <c r="F18" s="275">
        <f t="shared" si="0"/>
        <v>85</v>
      </c>
      <c r="G18" s="196"/>
      <c r="H18" s="260">
        <f t="shared" si="13"/>
        <v>12231</v>
      </c>
      <c r="I18" s="275" t="str">
        <f t="shared" si="1"/>
        <v>ok</v>
      </c>
      <c r="J18" s="499">
        <f t="shared" si="30"/>
        <v>135</v>
      </c>
      <c r="K18" s="275">
        <f t="shared" si="2"/>
        <v>0</v>
      </c>
      <c r="L18" s="500">
        <f t="shared" si="29"/>
        <v>390191</v>
      </c>
      <c r="M18" s="275">
        <f t="shared" si="3"/>
        <v>0</v>
      </c>
      <c r="N18" s="275">
        <v>250</v>
      </c>
      <c r="O18" s="196"/>
      <c r="P18" s="276">
        <f t="shared" si="15"/>
        <v>10873</v>
      </c>
      <c r="Q18" s="275" t="str">
        <f>IF(J18-P14&lt;=0,"ok","oil change")</f>
        <v>ok</v>
      </c>
      <c r="R18" s="499">
        <f t="shared" si="16"/>
        <v>13912</v>
      </c>
      <c r="S18" s="275">
        <f t="shared" si="5"/>
        <v>0</v>
      </c>
      <c r="T18" s="500">
        <f t="shared" si="32"/>
        <v>417512</v>
      </c>
      <c r="U18" s="275">
        <f t="shared" si="33"/>
        <v>0</v>
      </c>
      <c r="V18" s="275">
        <v>250</v>
      </c>
      <c r="W18" s="322"/>
      <c r="X18" s="260">
        <f t="shared" si="17"/>
        <v>14773</v>
      </c>
      <c r="Y18" s="275" t="str">
        <f t="shared" si="18"/>
        <v>ok</v>
      </c>
      <c r="Z18" s="275">
        <f t="shared" si="8"/>
        <v>11</v>
      </c>
      <c r="AA18" s="275">
        <f t="shared" si="19"/>
        <v>935</v>
      </c>
      <c r="AB18" s="275">
        <f t="shared" si="20"/>
        <v>585</v>
      </c>
      <c r="AC18" s="275">
        <f t="shared" si="21"/>
        <v>85</v>
      </c>
      <c r="AD18" s="73">
        <f>ELEC!Q19</f>
        <v>4998.9999999997963</v>
      </c>
      <c r="AE18" s="73">
        <f t="shared" si="26"/>
        <v>454.45454545452691</v>
      </c>
      <c r="AF18" s="386">
        <f t="shared" si="27"/>
        <v>0.28403409090907933</v>
      </c>
      <c r="AG18" s="386">
        <f t="shared" si="27"/>
        <v>1.7752130681817458E-4</v>
      </c>
      <c r="AH18" s="387">
        <f t="shared" si="22"/>
        <v>84.999822478693176</v>
      </c>
      <c r="AI18" s="73">
        <f t="shared" si="28"/>
        <v>1286.6624472573317</v>
      </c>
      <c r="AJ18" s="277">
        <f t="shared" si="9"/>
        <v>0.25738396624472576</v>
      </c>
      <c r="AK18" s="277">
        <f t="shared" si="10"/>
        <v>116.96931338703016</v>
      </c>
      <c r="AL18">
        <f t="shared" si="23"/>
        <v>1</v>
      </c>
    </row>
    <row r="19" spans="1:38" ht="15.75" thickBot="1">
      <c r="A19" s="4">
        <f>ELEC!C20</f>
        <v>44851</v>
      </c>
      <c r="B19" s="499">
        <v>1175</v>
      </c>
      <c r="C19" s="275">
        <f t="shared" si="11"/>
        <v>9</v>
      </c>
      <c r="D19" s="500">
        <f t="shared" si="24"/>
        <v>775321</v>
      </c>
      <c r="E19" s="275">
        <f t="shared" si="12"/>
        <v>765</v>
      </c>
      <c r="F19" s="275">
        <f t="shared" si="0"/>
        <v>85</v>
      </c>
      <c r="G19" s="196"/>
      <c r="H19" s="260">
        <f t="shared" si="13"/>
        <v>12231</v>
      </c>
      <c r="I19" s="275" t="str">
        <f t="shared" si="1"/>
        <v>ok</v>
      </c>
      <c r="J19" s="499">
        <v>136</v>
      </c>
      <c r="K19" s="275">
        <f t="shared" si="2"/>
        <v>1</v>
      </c>
      <c r="L19" s="500">
        <f t="shared" si="29"/>
        <v>390441</v>
      </c>
      <c r="M19" s="275">
        <f t="shared" si="3"/>
        <v>250</v>
      </c>
      <c r="N19" s="275">
        <v>250</v>
      </c>
      <c r="O19" s="196"/>
      <c r="P19" s="276">
        <f t="shared" si="15"/>
        <v>10873</v>
      </c>
      <c r="Q19" s="275" t="str">
        <f t="shared" ref="Q19:Q30" si="34">IF(J19-P19&lt;=0,"ok","oil change")</f>
        <v>ok</v>
      </c>
      <c r="R19" s="499">
        <f t="shared" si="16"/>
        <v>13912</v>
      </c>
      <c r="S19" s="275">
        <f t="shared" si="5"/>
        <v>0</v>
      </c>
      <c r="T19" s="500">
        <f t="shared" si="32"/>
        <v>417512</v>
      </c>
      <c r="U19" s="275">
        <f t="shared" si="33"/>
        <v>0</v>
      </c>
      <c r="V19" s="275">
        <v>250</v>
      </c>
      <c r="W19" s="322"/>
      <c r="X19" s="260">
        <f t="shared" si="17"/>
        <v>14773</v>
      </c>
      <c r="Y19" s="275" t="str">
        <f t="shared" si="18"/>
        <v>ok</v>
      </c>
      <c r="Z19" s="275">
        <f t="shared" si="8"/>
        <v>10</v>
      </c>
      <c r="AA19" s="275">
        <f t="shared" si="19"/>
        <v>1015</v>
      </c>
      <c r="AB19" s="275">
        <f t="shared" si="20"/>
        <v>585</v>
      </c>
      <c r="AC19" s="275">
        <f t="shared" si="21"/>
        <v>101.5</v>
      </c>
      <c r="AD19" s="73">
        <f>ELEC!Q20</f>
        <v>2015.9999999996217</v>
      </c>
      <c r="AE19" s="73">
        <f t="shared" si="26"/>
        <v>201.59999999996217</v>
      </c>
      <c r="AF19" s="386">
        <f t="shared" si="27"/>
        <v>0.12599999999997635</v>
      </c>
      <c r="AG19" s="386">
        <f t="shared" si="27"/>
        <v>7.8749999999985217E-5</v>
      </c>
      <c r="AH19" s="387">
        <f t="shared" si="22"/>
        <v>101.49992125</v>
      </c>
      <c r="AI19" s="73">
        <f t="shared" si="28"/>
        <v>518.88607594926975</v>
      </c>
      <c r="AJ19" s="277">
        <f t="shared" si="9"/>
        <v>0.25738396624472576</v>
      </c>
      <c r="AK19" s="277">
        <f t="shared" si="10"/>
        <v>51.888607594926974</v>
      </c>
      <c r="AL19">
        <f t="shared" si="23"/>
        <v>1</v>
      </c>
    </row>
    <row r="20" spans="1:38" ht="15.75" thickBot="1">
      <c r="A20" s="4">
        <f>ELEC!C21</f>
        <v>44852</v>
      </c>
      <c r="B20" s="499">
        <v>1187</v>
      </c>
      <c r="C20" s="275">
        <f>B20-B19</f>
        <v>12</v>
      </c>
      <c r="D20" s="500">
        <f t="shared" si="24"/>
        <v>776341</v>
      </c>
      <c r="E20" s="275">
        <f t="shared" si="12"/>
        <v>1020</v>
      </c>
      <c r="F20" s="275">
        <f t="shared" si="0"/>
        <v>85</v>
      </c>
      <c r="G20" s="196"/>
      <c r="H20" s="260">
        <f t="shared" si="13"/>
        <v>12231</v>
      </c>
      <c r="I20" s="275" t="str">
        <f t="shared" si="1"/>
        <v>ok</v>
      </c>
      <c r="J20" s="499">
        <f t="shared" si="30"/>
        <v>136</v>
      </c>
      <c r="K20" s="275">
        <f t="shared" si="2"/>
        <v>0</v>
      </c>
      <c r="L20" s="500">
        <f t="shared" si="29"/>
        <v>390441</v>
      </c>
      <c r="M20" s="275">
        <f t="shared" si="3"/>
        <v>0</v>
      </c>
      <c r="N20" s="275">
        <v>250</v>
      </c>
      <c r="O20" s="196"/>
      <c r="P20" s="276">
        <f t="shared" si="15"/>
        <v>10873</v>
      </c>
      <c r="Q20" s="275" t="str">
        <f t="shared" si="34"/>
        <v>ok</v>
      </c>
      <c r="R20" s="499">
        <f t="shared" si="16"/>
        <v>13912</v>
      </c>
      <c r="S20" s="275">
        <f t="shared" si="5"/>
        <v>0</v>
      </c>
      <c r="T20" s="500">
        <f t="shared" si="32"/>
        <v>417512</v>
      </c>
      <c r="U20" s="275">
        <f t="shared" si="33"/>
        <v>0</v>
      </c>
      <c r="V20" s="275">
        <v>250</v>
      </c>
      <c r="W20" s="322"/>
      <c r="X20" s="260">
        <f t="shared" si="17"/>
        <v>14773</v>
      </c>
      <c r="Y20" s="275" t="str">
        <f t="shared" si="18"/>
        <v>ok</v>
      </c>
      <c r="Z20" s="275">
        <f t="shared" si="8"/>
        <v>12</v>
      </c>
      <c r="AA20" s="275">
        <f t="shared" si="19"/>
        <v>1020</v>
      </c>
      <c r="AB20" s="275">
        <f t="shared" si="20"/>
        <v>585</v>
      </c>
      <c r="AC20" s="275">
        <f t="shared" si="21"/>
        <v>85</v>
      </c>
      <c r="AD20" s="73">
        <f>ELEC!Q21</f>
        <v>2671.9999999986612</v>
      </c>
      <c r="AE20" s="73">
        <f t="shared" si="26"/>
        <v>222.6666666665551</v>
      </c>
      <c r="AF20" s="386">
        <f t="shared" si="27"/>
        <v>0.13916666666659694</v>
      </c>
      <c r="AG20" s="386">
        <f t="shared" si="27"/>
        <v>8.6979166666623084E-5</v>
      </c>
      <c r="AH20" s="387">
        <f t="shared" si="22"/>
        <v>84.999913020833333</v>
      </c>
      <c r="AI20" s="73">
        <f>AD20*AJ20</f>
        <v>687.72995780556266</v>
      </c>
      <c r="AJ20" s="277">
        <f t="shared" si="9"/>
        <v>0.25738396624472576</v>
      </c>
      <c r="AK20" s="277">
        <f t="shared" si="10"/>
        <v>57.31082981713022</v>
      </c>
      <c r="AL20">
        <f t="shared" si="23"/>
        <v>1</v>
      </c>
    </row>
    <row r="21" spans="1:38" ht="15.75" thickBot="1">
      <c r="A21" s="4">
        <f>ELEC!C22</f>
        <v>44853</v>
      </c>
      <c r="B21" s="499">
        <v>1198</v>
      </c>
      <c r="C21" s="275">
        <f>B21-B20</f>
        <v>11</v>
      </c>
      <c r="D21" s="500">
        <f t="shared" si="24"/>
        <v>777276</v>
      </c>
      <c r="E21" s="275">
        <f t="shared" si="12"/>
        <v>935</v>
      </c>
      <c r="F21" s="275">
        <f t="shared" si="0"/>
        <v>85</v>
      </c>
      <c r="G21" s="196"/>
      <c r="H21" s="260">
        <f t="shared" si="13"/>
        <v>12231</v>
      </c>
      <c r="I21" s="275" t="str">
        <f t="shared" si="1"/>
        <v>ok</v>
      </c>
      <c r="J21" s="499">
        <f t="shared" si="30"/>
        <v>136</v>
      </c>
      <c r="K21" s="275">
        <f t="shared" si="2"/>
        <v>0</v>
      </c>
      <c r="L21" s="500">
        <f t="shared" si="29"/>
        <v>390441</v>
      </c>
      <c r="M21" s="275">
        <f t="shared" si="3"/>
        <v>0</v>
      </c>
      <c r="N21" s="275">
        <v>250</v>
      </c>
      <c r="O21" s="196"/>
      <c r="P21" s="276">
        <f t="shared" si="15"/>
        <v>10873</v>
      </c>
      <c r="Q21" s="275" t="str">
        <f t="shared" si="34"/>
        <v>ok</v>
      </c>
      <c r="R21" s="499">
        <f t="shared" si="16"/>
        <v>13912</v>
      </c>
      <c r="S21" s="275">
        <f t="shared" si="5"/>
        <v>0</v>
      </c>
      <c r="T21" s="500">
        <f t="shared" si="32"/>
        <v>417512</v>
      </c>
      <c r="U21" s="275">
        <f t="shared" si="33"/>
        <v>0</v>
      </c>
      <c r="V21" s="275">
        <v>250</v>
      </c>
      <c r="W21" s="196"/>
      <c r="X21" s="260">
        <f t="shared" si="17"/>
        <v>14773</v>
      </c>
      <c r="Y21" s="275" t="str">
        <f t="shared" si="18"/>
        <v>ok</v>
      </c>
      <c r="Z21" s="275">
        <f t="shared" si="8"/>
        <v>11</v>
      </c>
      <c r="AA21" s="275">
        <f t="shared" si="19"/>
        <v>935</v>
      </c>
      <c r="AB21" s="275">
        <f t="shared" si="20"/>
        <v>585</v>
      </c>
      <c r="AC21" s="275">
        <f t="shared" si="21"/>
        <v>85</v>
      </c>
      <c r="AD21" s="73">
        <f>ELEC!Q22</f>
        <v>2442.9999999993015</v>
      </c>
      <c r="AE21" s="73">
        <f t="shared" si="26"/>
        <v>222.0909090908456</v>
      </c>
      <c r="AF21" s="386">
        <f t="shared" si="27"/>
        <v>0.13880681818177851</v>
      </c>
      <c r="AG21" s="386">
        <f t="shared" si="27"/>
        <v>8.675426136361157E-5</v>
      </c>
      <c r="AH21" s="387">
        <f t="shared" si="22"/>
        <v>84.999913245738639</v>
      </c>
      <c r="AI21" s="73">
        <f t="shared" si="28"/>
        <v>628.78902953568524</v>
      </c>
      <c r="AJ21" s="277">
        <f t="shared" si="9"/>
        <v>0.25738396624472576</v>
      </c>
      <c r="AK21" s="277">
        <f t="shared" si="10"/>
        <v>57.162639048698658</v>
      </c>
      <c r="AL21">
        <f t="shared" si="23"/>
        <v>1</v>
      </c>
    </row>
    <row r="22" spans="1:38" ht="15.75" thickBot="1">
      <c r="A22" s="4">
        <f>ELEC!C23</f>
        <v>44854</v>
      </c>
      <c r="B22" s="499">
        <v>1207</v>
      </c>
      <c r="C22" s="275">
        <f t="shared" si="11"/>
        <v>9</v>
      </c>
      <c r="D22" s="500">
        <f t="shared" si="24"/>
        <v>778041</v>
      </c>
      <c r="E22" s="275">
        <f t="shared" si="12"/>
        <v>765</v>
      </c>
      <c r="F22" s="275">
        <f t="shared" si="0"/>
        <v>85</v>
      </c>
      <c r="G22" s="196"/>
      <c r="H22" s="260">
        <f t="shared" si="13"/>
        <v>12231</v>
      </c>
      <c r="I22" s="275" t="str">
        <f t="shared" si="1"/>
        <v>ok</v>
      </c>
      <c r="J22" s="499">
        <f t="shared" si="30"/>
        <v>136</v>
      </c>
      <c r="K22" s="275">
        <f t="shared" si="2"/>
        <v>0</v>
      </c>
      <c r="L22" s="500">
        <f t="shared" si="29"/>
        <v>390441</v>
      </c>
      <c r="M22" s="275">
        <f t="shared" si="3"/>
        <v>0</v>
      </c>
      <c r="N22" s="275">
        <v>250</v>
      </c>
      <c r="O22" s="196"/>
      <c r="P22" s="276">
        <f t="shared" si="15"/>
        <v>10873</v>
      </c>
      <c r="Q22" s="275" t="str">
        <f t="shared" si="34"/>
        <v>ok</v>
      </c>
      <c r="R22" s="499">
        <f t="shared" si="16"/>
        <v>13912</v>
      </c>
      <c r="S22" s="275">
        <f t="shared" si="5"/>
        <v>0</v>
      </c>
      <c r="T22" s="500">
        <f t="shared" si="32"/>
        <v>417512</v>
      </c>
      <c r="U22" s="275">
        <f t="shared" si="33"/>
        <v>0</v>
      </c>
      <c r="V22" s="275">
        <v>250</v>
      </c>
      <c r="W22" s="196"/>
      <c r="X22" s="260">
        <f t="shared" si="17"/>
        <v>14773</v>
      </c>
      <c r="Y22" s="275" t="str">
        <f t="shared" si="18"/>
        <v>ok</v>
      </c>
      <c r="Z22" s="275">
        <f t="shared" si="8"/>
        <v>9</v>
      </c>
      <c r="AA22" s="275">
        <f t="shared" si="19"/>
        <v>765</v>
      </c>
      <c r="AB22" s="275">
        <f t="shared" si="20"/>
        <v>585</v>
      </c>
      <c r="AC22" s="275">
        <f t="shared" si="21"/>
        <v>85</v>
      </c>
      <c r="AD22" s="73">
        <f>ELEC!Q23</f>
        <v>2084.0000000025611</v>
      </c>
      <c r="AE22" s="73">
        <f t="shared" si="26"/>
        <v>231.55555555584013</v>
      </c>
      <c r="AF22" s="386">
        <f t="shared" si="27"/>
        <v>0.14472222222240008</v>
      </c>
      <c r="AG22" s="386">
        <f t="shared" si="27"/>
        <v>9.0451388889000055E-5</v>
      </c>
      <c r="AH22" s="387">
        <f t="shared" si="22"/>
        <v>84.999909548611114</v>
      </c>
      <c r="AI22" s="73">
        <f t="shared" si="28"/>
        <v>536.38818565466772</v>
      </c>
      <c r="AJ22" s="277">
        <f t="shared" si="9"/>
        <v>0.25738396624472576</v>
      </c>
      <c r="AK22" s="277">
        <f t="shared" si="10"/>
        <v>59.598687294963078</v>
      </c>
      <c r="AL22">
        <f t="shared" si="23"/>
        <v>1</v>
      </c>
    </row>
    <row r="23" spans="1:38" ht="15.75" thickBot="1">
      <c r="A23" s="4">
        <f>ELEC!C24</f>
        <v>44855</v>
      </c>
      <c r="B23" s="499">
        <f t="shared" si="31"/>
        <v>1207</v>
      </c>
      <c r="C23" s="275">
        <f t="shared" si="11"/>
        <v>0</v>
      </c>
      <c r="D23" s="500">
        <f t="shared" si="24"/>
        <v>778041</v>
      </c>
      <c r="E23" s="275">
        <f t="shared" si="12"/>
        <v>0</v>
      </c>
      <c r="F23" s="275">
        <f t="shared" si="0"/>
        <v>0</v>
      </c>
      <c r="G23" s="196"/>
      <c r="H23" s="260">
        <f t="shared" si="13"/>
        <v>12231</v>
      </c>
      <c r="I23" s="275" t="str">
        <f t="shared" si="1"/>
        <v>ok</v>
      </c>
      <c r="J23" s="499">
        <f t="shared" si="30"/>
        <v>136</v>
      </c>
      <c r="K23" s="275">
        <f t="shared" si="2"/>
        <v>0</v>
      </c>
      <c r="L23" s="500">
        <f t="shared" si="29"/>
        <v>390441</v>
      </c>
      <c r="M23" s="275">
        <f t="shared" si="3"/>
        <v>0</v>
      </c>
      <c r="N23" s="275">
        <v>250</v>
      </c>
      <c r="O23" s="196"/>
      <c r="P23" s="276">
        <f t="shared" si="15"/>
        <v>10873</v>
      </c>
      <c r="Q23" s="275" t="str">
        <f t="shared" si="34"/>
        <v>ok</v>
      </c>
      <c r="R23" s="499">
        <f t="shared" si="16"/>
        <v>13912</v>
      </c>
      <c r="S23" s="275">
        <f>R23-R22</f>
        <v>0</v>
      </c>
      <c r="T23" s="500">
        <f t="shared" si="32"/>
        <v>417512</v>
      </c>
      <c r="U23" s="275">
        <f>V23*S23</f>
        <v>0</v>
      </c>
      <c r="V23" s="275">
        <v>250</v>
      </c>
      <c r="W23" s="196"/>
      <c r="X23" s="260">
        <f t="shared" si="17"/>
        <v>14773</v>
      </c>
      <c r="Y23" s="275" t="str">
        <f t="shared" si="18"/>
        <v>ok</v>
      </c>
      <c r="Z23" s="275">
        <f t="shared" si="8"/>
        <v>0</v>
      </c>
      <c r="AA23" s="275">
        <f t="shared" si="19"/>
        <v>0</v>
      </c>
      <c r="AB23" s="275">
        <f t="shared" si="20"/>
        <v>500</v>
      </c>
      <c r="AC23" s="275">
        <f t="shared" si="21"/>
        <v>0</v>
      </c>
      <c r="AD23" s="73">
        <f>ELEC!Q24</f>
        <v>0</v>
      </c>
      <c r="AE23" s="73" t="e">
        <f t="shared" si="26"/>
        <v>#DIV/0!</v>
      </c>
      <c r="AF23" s="386" t="e">
        <f t="shared" si="27"/>
        <v>#DIV/0!</v>
      </c>
      <c r="AG23" s="386" t="e">
        <f t="shared" si="27"/>
        <v>#DIV/0!</v>
      </c>
      <c r="AH23" s="387" t="e">
        <f t="shared" si="22"/>
        <v>#DIV/0!</v>
      </c>
      <c r="AI23" s="73">
        <f t="shared" si="28"/>
        <v>0</v>
      </c>
      <c r="AJ23" s="277">
        <f t="shared" si="9"/>
        <v>0.25738396624472576</v>
      </c>
      <c r="AK23" s="277" t="e">
        <f t="shared" si="10"/>
        <v>#DIV/0!</v>
      </c>
      <c r="AL23">
        <f t="shared" si="23"/>
        <v>0</v>
      </c>
    </row>
    <row r="24" spans="1:38" ht="15.75" thickBot="1">
      <c r="A24" s="4">
        <f>ELEC!C25</f>
        <v>44856</v>
      </c>
      <c r="B24" s="499">
        <f t="shared" si="31"/>
        <v>1207</v>
      </c>
      <c r="C24" s="275">
        <f t="shared" si="11"/>
        <v>0</v>
      </c>
      <c r="D24" s="500">
        <f t="shared" si="24"/>
        <v>778041</v>
      </c>
      <c r="E24" s="275">
        <f t="shared" si="12"/>
        <v>0</v>
      </c>
      <c r="F24" s="275">
        <f t="shared" si="0"/>
        <v>0</v>
      </c>
      <c r="G24" s="196"/>
      <c r="H24" s="260">
        <f t="shared" si="13"/>
        <v>12231</v>
      </c>
      <c r="I24" s="275" t="str">
        <f t="shared" si="1"/>
        <v>ok</v>
      </c>
      <c r="J24" s="499">
        <f t="shared" si="30"/>
        <v>136</v>
      </c>
      <c r="K24" s="275">
        <f t="shared" si="2"/>
        <v>0</v>
      </c>
      <c r="L24" s="500">
        <f t="shared" si="29"/>
        <v>390441</v>
      </c>
      <c r="M24" s="275">
        <f t="shared" si="3"/>
        <v>0</v>
      </c>
      <c r="N24" s="275">
        <v>250</v>
      </c>
      <c r="O24" s="196"/>
      <c r="P24" s="276">
        <f t="shared" si="15"/>
        <v>10873</v>
      </c>
      <c r="Q24" s="275" t="str">
        <f t="shared" si="34"/>
        <v>ok</v>
      </c>
      <c r="R24" s="499">
        <f t="shared" si="16"/>
        <v>13912</v>
      </c>
      <c r="S24" s="275">
        <f t="shared" si="5"/>
        <v>0</v>
      </c>
      <c r="T24" s="500">
        <f t="shared" si="32"/>
        <v>417512</v>
      </c>
      <c r="U24" s="275">
        <f t="shared" si="33"/>
        <v>0</v>
      </c>
      <c r="V24" s="275">
        <v>250</v>
      </c>
      <c r="W24" s="196"/>
      <c r="X24" s="260">
        <f t="shared" si="17"/>
        <v>14773</v>
      </c>
      <c r="Y24" s="275" t="str">
        <f t="shared" si="18"/>
        <v>ok</v>
      </c>
      <c r="Z24" s="275">
        <f t="shared" si="8"/>
        <v>0</v>
      </c>
      <c r="AA24" s="275">
        <f t="shared" si="19"/>
        <v>0</v>
      </c>
      <c r="AB24" s="275">
        <f t="shared" si="20"/>
        <v>500</v>
      </c>
      <c r="AC24" s="275">
        <f t="shared" si="21"/>
        <v>0</v>
      </c>
      <c r="AD24" s="73">
        <f>ELEC!Q25</f>
        <v>0</v>
      </c>
      <c r="AE24" s="73" t="e">
        <f t="shared" si="26"/>
        <v>#DIV/0!</v>
      </c>
      <c r="AF24" s="386" t="e">
        <f t="shared" si="27"/>
        <v>#DIV/0!</v>
      </c>
      <c r="AG24" s="386" t="e">
        <f t="shared" si="27"/>
        <v>#DIV/0!</v>
      </c>
      <c r="AH24" s="387" t="e">
        <f t="shared" si="22"/>
        <v>#DIV/0!</v>
      </c>
      <c r="AI24" s="73">
        <f t="shared" si="28"/>
        <v>0</v>
      </c>
      <c r="AJ24" s="277">
        <f t="shared" si="9"/>
        <v>0.25738396624472576</v>
      </c>
      <c r="AK24" s="277" t="e">
        <f t="shared" si="10"/>
        <v>#DIV/0!</v>
      </c>
      <c r="AL24">
        <f t="shared" si="23"/>
        <v>0</v>
      </c>
    </row>
    <row r="25" spans="1:38" ht="15.75" thickBot="1">
      <c r="A25" s="4">
        <f>ELEC!C26</f>
        <v>44857</v>
      </c>
      <c r="B25" s="499">
        <v>1217</v>
      </c>
      <c r="C25" s="275">
        <f t="shared" si="11"/>
        <v>10</v>
      </c>
      <c r="D25" s="500">
        <f t="shared" si="24"/>
        <v>778891</v>
      </c>
      <c r="E25" s="275">
        <f t="shared" si="12"/>
        <v>850</v>
      </c>
      <c r="F25" s="275">
        <f t="shared" si="0"/>
        <v>85</v>
      </c>
      <c r="G25" s="196"/>
      <c r="H25" s="260">
        <f t="shared" si="13"/>
        <v>12231</v>
      </c>
      <c r="I25" s="275" t="str">
        <f t="shared" si="1"/>
        <v>ok</v>
      </c>
      <c r="J25" s="499">
        <v>138</v>
      </c>
      <c r="K25" s="275">
        <f t="shared" si="2"/>
        <v>2</v>
      </c>
      <c r="L25" s="500">
        <f t="shared" si="29"/>
        <v>390941</v>
      </c>
      <c r="M25" s="275">
        <f t="shared" si="3"/>
        <v>500</v>
      </c>
      <c r="N25" s="275">
        <v>250</v>
      </c>
      <c r="O25" s="196"/>
      <c r="P25" s="276">
        <f t="shared" si="15"/>
        <v>10873</v>
      </c>
      <c r="Q25" s="275" t="str">
        <f t="shared" si="34"/>
        <v>ok</v>
      </c>
      <c r="R25" s="499">
        <f t="shared" si="16"/>
        <v>13912</v>
      </c>
      <c r="S25" s="275">
        <f t="shared" si="5"/>
        <v>0</v>
      </c>
      <c r="T25" s="500">
        <f t="shared" si="32"/>
        <v>417512</v>
      </c>
      <c r="U25" s="275">
        <f t="shared" si="33"/>
        <v>0</v>
      </c>
      <c r="V25" s="275">
        <v>250</v>
      </c>
      <c r="W25" s="196"/>
      <c r="X25" s="260">
        <f t="shared" si="17"/>
        <v>14773</v>
      </c>
      <c r="Y25" s="275" t="str">
        <f t="shared" si="18"/>
        <v>ok</v>
      </c>
      <c r="Z25" s="275">
        <f t="shared" si="8"/>
        <v>12</v>
      </c>
      <c r="AA25" s="275">
        <f t="shared" si="19"/>
        <v>1350</v>
      </c>
      <c r="AB25" s="275">
        <f t="shared" si="20"/>
        <v>585</v>
      </c>
      <c r="AC25" s="275">
        <f t="shared" si="21"/>
        <v>112.5</v>
      </c>
      <c r="AD25" s="73">
        <f>ELEC!Q26</f>
        <v>3740.9999999981665</v>
      </c>
      <c r="AE25" s="73">
        <f t="shared" si="26"/>
        <v>311.7499999998472</v>
      </c>
      <c r="AF25" s="386">
        <f t="shared" si="27"/>
        <v>0.1948437499999045</v>
      </c>
      <c r="AG25" s="386">
        <f t="shared" si="27"/>
        <v>1.2177734374994032E-4</v>
      </c>
      <c r="AH25" s="387">
        <f t="shared" si="22"/>
        <v>112.49987822265625</v>
      </c>
      <c r="AI25" s="73">
        <f t="shared" si="28"/>
        <v>962.87341772104719</v>
      </c>
      <c r="AJ25" s="277">
        <f t="shared" si="9"/>
        <v>0.25738396624472576</v>
      </c>
      <c r="AK25" s="277">
        <f t="shared" si="10"/>
        <v>80.239451476753928</v>
      </c>
      <c r="AL25">
        <f t="shared" si="23"/>
        <v>1</v>
      </c>
    </row>
    <row r="26" spans="1:38" ht="15.75" thickBot="1">
      <c r="A26" s="4">
        <f>ELEC!C27</f>
        <v>44858</v>
      </c>
      <c r="B26" s="499">
        <v>1227</v>
      </c>
      <c r="C26" s="275">
        <f>B26-B25</f>
        <v>10</v>
      </c>
      <c r="D26" s="500">
        <f t="shared" si="24"/>
        <v>779741</v>
      </c>
      <c r="E26" s="275">
        <f t="shared" si="12"/>
        <v>850</v>
      </c>
      <c r="F26" s="275">
        <f t="shared" si="0"/>
        <v>85</v>
      </c>
      <c r="G26" s="196"/>
      <c r="H26" s="260">
        <f t="shared" si="13"/>
        <v>12231</v>
      </c>
      <c r="I26" s="275" t="str">
        <f t="shared" si="1"/>
        <v>ok</v>
      </c>
      <c r="J26" s="499">
        <v>138</v>
      </c>
      <c r="K26" s="275">
        <f t="shared" si="2"/>
        <v>0</v>
      </c>
      <c r="L26" s="500">
        <f t="shared" si="29"/>
        <v>390941</v>
      </c>
      <c r="M26" s="275">
        <f t="shared" si="3"/>
        <v>0</v>
      </c>
      <c r="N26" s="275">
        <v>250</v>
      </c>
      <c r="O26" s="196"/>
      <c r="P26" s="276">
        <f t="shared" si="15"/>
        <v>10873</v>
      </c>
      <c r="Q26" s="275" t="str">
        <f t="shared" si="34"/>
        <v>ok</v>
      </c>
      <c r="R26" s="499">
        <f t="shared" si="16"/>
        <v>13912</v>
      </c>
      <c r="S26" s="275">
        <f>R26-R25</f>
        <v>0</v>
      </c>
      <c r="T26" s="500">
        <f t="shared" si="32"/>
        <v>417512</v>
      </c>
      <c r="U26" s="275">
        <f t="shared" si="33"/>
        <v>0</v>
      </c>
      <c r="V26" s="275">
        <v>250</v>
      </c>
      <c r="W26" s="196"/>
      <c r="X26" s="260">
        <f>X25</f>
        <v>14773</v>
      </c>
      <c r="Y26" s="275" t="str">
        <f t="shared" si="18"/>
        <v>ok</v>
      </c>
      <c r="Z26" s="275">
        <f t="shared" si="8"/>
        <v>10</v>
      </c>
      <c r="AA26" s="275">
        <f t="shared" si="19"/>
        <v>850</v>
      </c>
      <c r="AB26" s="275">
        <f t="shared" si="20"/>
        <v>585</v>
      </c>
      <c r="AC26" s="275">
        <f t="shared" si="21"/>
        <v>85</v>
      </c>
      <c r="AD26" s="73">
        <f>ELEC!Q27</f>
        <v>2842.000000000553</v>
      </c>
      <c r="AE26" s="73">
        <f t="shared" si="26"/>
        <v>284.2000000000553</v>
      </c>
      <c r="AF26" s="386">
        <f t="shared" si="27"/>
        <v>0.17762500000003456</v>
      </c>
      <c r="AG26" s="386">
        <f t="shared" si="27"/>
        <v>1.1101562500002161E-4</v>
      </c>
      <c r="AH26" s="387">
        <f t="shared" si="22"/>
        <v>84.999888984375005</v>
      </c>
      <c r="AI26" s="73">
        <f t="shared" si="28"/>
        <v>731.48523206765299</v>
      </c>
      <c r="AJ26" s="277">
        <f t="shared" si="9"/>
        <v>0.25738396624472576</v>
      </c>
      <c r="AK26" s="277">
        <f t="shared" si="10"/>
        <v>73.148523206765304</v>
      </c>
      <c r="AL26">
        <f t="shared" si="23"/>
        <v>1</v>
      </c>
    </row>
    <row r="27" spans="1:38" ht="15.75" thickBot="1">
      <c r="A27" s="4">
        <f>ELEC!C28</f>
        <v>44859</v>
      </c>
      <c r="B27" s="499">
        <v>1238</v>
      </c>
      <c r="C27" s="275">
        <f>B27-B26</f>
        <v>11</v>
      </c>
      <c r="D27" s="500">
        <f t="shared" si="24"/>
        <v>780676</v>
      </c>
      <c r="E27" s="275">
        <f t="shared" si="12"/>
        <v>935</v>
      </c>
      <c r="F27" s="275">
        <f t="shared" si="0"/>
        <v>85</v>
      </c>
      <c r="G27" s="196"/>
      <c r="H27" s="260">
        <f t="shared" si="13"/>
        <v>12231</v>
      </c>
      <c r="I27" s="275" t="str">
        <f>IF(B27-H27&lt;=0,"ok","oil change")</f>
        <v>ok</v>
      </c>
      <c r="J27" s="499">
        <f t="shared" si="30"/>
        <v>138</v>
      </c>
      <c r="K27" s="275">
        <f t="shared" si="2"/>
        <v>0</v>
      </c>
      <c r="L27" s="500">
        <f t="shared" si="29"/>
        <v>390941</v>
      </c>
      <c r="M27" s="275">
        <f t="shared" si="3"/>
        <v>0</v>
      </c>
      <c r="N27" s="275">
        <v>250</v>
      </c>
      <c r="O27" s="196"/>
      <c r="P27" s="276">
        <f t="shared" si="15"/>
        <v>10873</v>
      </c>
      <c r="Q27" s="275" t="str">
        <f t="shared" si="34"/>
        <v>ok</v>
      </c>
      <c r="R27" s="499">
        <f t="shared" si="16"/>
        <v>13912</v>
      </c>
      <c r="S27" s="275">
        <f t="shared" si="5"/>
        <v>0</v>
      </c>
      <c r="T27" s="500">
        <f t="shared" si="32"/>
        <v>417512</v>
      </c>
      <c r="U27" s="275">
        <f t="shared" si="33"/>
        <v>0</v>
      </c>
      <c r="V27" s="275">
        <v>250</v>
      </c>
      <c r="W27" s="196"/>
      <c r="X27" s="260">
        <f t="shared" si="17"/>
        <v>14773</v>
      </c>
      <c r="Y27" s="275" t="str">
        <f t="shared" si="18"/>
        <v>ok</v>
      </c>
      <c r="Z27" s="275">
        <f t="shared" si="8"/>
        <v>11</v>
      </c>
      <c r="AA27" s="275">
        <f t="shared" si="19"/>
        <v>935</v>
      </c>
      <c r="AB27" s="275">
        <f t="shared" si="20"/>
        <v>585</v>
      </c>
      <c r="AC27" s="275">
        <f t="shared" si="21"/>
        <v>85</v>
      </c>
      <c r="AD27" s="73">
        <f>ELEC!Q28</f>
        <v>3310.0000000013097</v>
      </c>
      <c r="AE27" s="73">
        <f t="shared" si="26"/>
        <v>300.90909090920997</v>
      </c>
      <c r="AF27" s="386">
        <f t="shared" si="27"/>
        <v>0.18806818181825624</v>
      </c>
      <c r="AG27" s="386">
        <f t="shared" si="27"/>
        <v>1.1754261363641015E-4</v>
      </c>
      <c r="AH27" s="387">
        <f t="shared" si="22"/>
        <v>84.999882457386363</v>
      </c>
      <c r="AI27" s="73">
        <f t="shared" si="28"/>
        <v>851.94092827037935</v>
      </c>
      <c r="AJ27" s="277">
        <f t="shared" si="9"/>
        <v>0.25738396624472576</v>
      </c>
      <c r="AK27" s="277">
        <f t="shared" si="10"/>
        <v>77.449175297307207</v>
      </c>
      <c r="AL27">
        <f t="shared" si="23"/>
        <v>1</v>
      </c>
    </row>
    <row r="28" spans="1:38" ht="15.75" thickBot="1">
      <c r="A28" s="4">
        <f>ELEC!C29</f>
        <v>44860</v>
      </c>
      <c r="B28" s="499">
        <f t="shared" si="31"/>
        <v>1238</v>
      </c>
      <c r="C28" s="275">
        <f t="shared" si="11"/>
        <v>0</v>
      </c>
      <c r="D28" s="500">
        <f t="shared" si="24"/>
        <v>780676</v>
      </c>
      <c r="E28" s="275">
        <f t="shared" si="12"/>
        <v>0</v>
      </c>
      <c r="F28" s="275">
        <f t="shared" si="0"/>
        <v>0</v>
      </c>
      <c r="G28" s="273"/>
      <c r="H28" s="260">
        <f t="shared" si="13"/>
        <v>12231</v>
      </c>
      <c r="I28" s="275" t="str">
        <f t="shared" si="1"/>
        <v>ok</v>
      </c>
      <c r="J28" s="499">
        <f t="shared" si="30"/>
        <v>138</v>
      </c>
      <c r="K28" s="275">
        <f t="shared" si="2"/>
        <v>0</v>
      </c>
      <c r="L28" s="500">
        <f t="shared" si="29"/>
        <v>390941</v>
      </c>
      <c r="M28" s="275">
        <f t="shared" si="3"/>
        <v>0</v>
      </c>
      <c r="N28" s="275">
        <v>250</v>
      </c>
      <c r="O28" s="196"/>
      <c r="P28" s="276">
        <f t="shared" si="15"/>
        <v>10873</v>
      </c>
      <c r="Q28" s="275" t="str">
        <f t="shared" si="34"/>
        <v>ok</v>
      </c>
      <c r="R28" s="499">
        <f t="shared" si="16"/>
        <v>13912</v>
      </c>
      <c r="S28" s="275">
        <f t="shared" si="5"/>
        <v>0</v>
      </c>
      <c r="T28" s="500">
        <f t="shared" si="32"/>
        <v>417512</v>
      </c>
      <c r="U28" s="275">
        <f t="shared" si="33"/>
        <v>0</v>
      </c>
      <c r="V28" s="275">
        <v>250</v>
      </c>
      <c r="W28" s="196"/>
      <c r="X28" s="260">
        <f t="shared" si="17"/>
        <v>14773</v>
      </c>
      <c r="Y28" s="275" t="str">
        <f t="shared" si="18"/>
        <v>ok</v>
      </c>
      <c r="Z28" s="275">
        <f t="shared" si="8"/>
        <v>0</v>
      </c>
      <c r="AA28" s="275">
        <f t="shared" si="19"/>
        <v>0</v>
      </c>
      <c r="AB28" s="275">
        <f t="shared" si="20"/>
        <v>500</v>
      </c>
      <c r="AC28" s="275">
        <f t="shared" si="21"/>
        <v>0</v>
      </c>
      <c r="AD28" s="73">
        <f>ELEC!Q29</f>
        <v>0</v>
      </c>
      <c r="AE28" s="73" t="e">
        <f t="shared" si="26"/>
        <v>#DIV/0!</v>
      </c>
      <c r="AF28" s="386" t="e">
        <f t="shared" si="27"/>
        <v>#DIV/0!</v>
      </c>
      <c r="AG28" s="386" t="e">
        <f t="shared" si="27"/>
        <v>#DIV/0!</v>
      </c>
      <c r="AH28" s="387" t="e">
        <f t="shared" si="22"/>
        <v>#DIV/0!</v>
      </c>
      <c r="AI28" s="73">
        <f t="shared" si="28"/>
        <v>0</v>
      </c>
      <c r="AJ28" s="277">
        <f t="shared" si="9"/>
        <v>0.25738396624472576</v>
      </c>
      <c r="AK28" s="277" t="e">
        <f t="shared" si="10"/>
        <v>#DIV/0!</v>
      </c>
      <c r="AL28">
        <f t="shared" si="23"/>
        <v>0</v>
      </c>
    </row>
    <row r="29" spans="1:38" ht="15.75" thickBot="1">
      <c r="A29" s="4">
        <f>ELEC!C30</f>
        <v>44861</v>
      </c>
      <c r="B29" s="499">
        <f t="shared" si="31"/>
        <v>1238</v>
      </c>
      <c r="C29" s="275">
        <f t="shared" si="11"/>
        <v>0</v>
      </c>
      <c r="D29" s="500">
        <f t="shared" si="24"/>
        <v>780676</v>
      </c>
      <c r="E29" s="275">
        <f t="shared" si="12"/>
        <v>0</v>
      </c>
      <c r="F29" s="275">
        <f t="shared" si="0"/>
        <v>0</v>
      </c>
      <c r="G29" s="196"/>
      <c r="H29" s="260">
        <f t="shared" si="13"/>
        <v>12231</v>
      </c>
      <c r="I29" s="275" t="str">
        <f t="shared" si="1"/>
        <v>ok</v>
      </c>
      <c r="J29" s="499">
        <f t="shared" si="30"/>
        <v>138</v>
      </c>
      <c r="K29" s="275">
        <f t="shared" si="2"/>
        <v>0</v>
      </c>
      <c r="L29" s="500">
        <f t="shared" si="29"/>
        <v>390941</v>
      </c>
      <c r="M29" s="275">
        <f t="shared" si="3"/>
        <v>0</v>
      </c>
      <c r="N29" s="275">
        <v>250</v>
      </c>
      <c r="O29" s="196"/>
      <c r="P29" s="276">
        <f t="shared" si="15"/>
        <v>10873</v>
      </c>
      <c r="Q29" s="275" t="str">
        <f t="shared" si="34"/>
        <v>ok</v>
      </c>
      <c r="R29" s="499">
        <f t="shared" si="16"/>
        <v>13912</v>
      </c>
      <c r="S29" s="275">
        <f t="shared" si="5"/>
        <v>0</v>
      </c>
      <c r="T29" s="500">
        <f t="shared" si="32"/>
        <v>417512</v>
      </c>
      <c r="U29" s="275">
        <f>V29*S29</f>
        <v>0</v>
      </c>
      <c r="V29" s="275">
        <v>250</v>
      </c>
      <c r="W29" s="196"/>
      <c r="X29" s="260">
        <f t="shared" si="17"/>
        <v>14773</v>
      </c>
      <c r="Y29" s="275" t="str">
        <f t="shared" si="18"/>
        <v>ok</v>
      </c>
      <c r="Z29" s="275">
        <f t="shared" si="8"/>
        <v>0</v>
      </c>
      <c r="AA29" s="275">
        <f t="shared" si="19"/>
        <v>0</v>
      </c>
      <c r="AB29" s="275">
        <f t="shared" si="20"/>
        <v>500</v>
      </c>
      <c r="AC29" s="275">
        <f t="shared" si="21"/>
        <v>0</v>
      </c>
      <c r="AD29" s="73">
        <f>ELEC!Q30</f>
        <v>0</v>
      </c>
      <c r="AE29" s="73" t="e">
        <f t="shared" si="26"/>
        <v>#DIV/0!</v>
      </c>
      <c r="AF29" s="386" t="e">
        <f t="shared" si="27"/>
        <v>#DIV/0!</v>
      </c>
      <c r="AG29" s="386" t="e">
        <f t="shared" si="27"/>
        <v>#DIV/0!</v>
      </c>
      <c r="AH29" s="387" t="e">
        <f t="shared" si="22"/>
        <v>#DIV/0!</v>
      </c>
      <c r="AI29" s="73">
        <f t="shared" si="28"/>
        <v>0</v>
      </c>
      <c r="AJ29" s="277">
        <f t="shared" si="9"/>
        <v>0.25738396624472576</v>
      </c>
      <c r="AK29" s="277" t="e">
        <f t="shared" si="10"/>
        <v>#DIV/0!</v>
      </c>
      <c r="AL29">
        <f t="shared" si="23"/>
        <v>0</v>
      </c>
    </row>
    <row r="30" spans="1:38" ht="15.75" thickBot="1">
      <c r="A30" s="4">
        <f>ELEC!C31</f>
        <v>44862</v>
      </c>
      <c r="B30" s="499">
        <f t="shared" si="31"/>
        <v>1238</v>
      </c>
      <c r="C30" s="275">
        <f t="shared" si="11"/>
        <v>0</v>
      </c>
      <c r="D30" s="500">
        <f t="shared" si="24"/>
        <v>780676</v>
      </c>
      <c r="E30" s="275">
        <f t="shared" si="12"/>
        <v>0</v>
      </c>
      <c r="F30" s="275">
        <f t="shared" si="0"/>
        <v>0</v>
      </c>
      <c r="G30" s="196"/>
      <c r="H30" s="260">
        <f t="shared" si="13"/>
        <v>12231</v>
      </c>
      <c r="I30" s="275" t="str">
        <f t="shared" si="1"/>
        <v>ok</v>
      </c>
      <c r="J30" s="499">
        <f t="shared" si="30"/>
        <v>138</v>
      </c>
      <c r="K30" s="275">
        <f t="shared" si="2"/>
        <v>0</v>
      </c>
      <c r="L30" s="500">
        <f t="shared" si="29"/>
        <v>390941</v>
      </c>
      <c r="M30" s="275">
        <f t="shared" si="3"/>
        <v>0</v>
      </c>
      <c r="N30" s="275">
        <v>250</v>
      </c>
      <c r="O30" s="196"/>
      <c r="P30" s="276">
        <f t="shared" si="15"/>
        <v>10873</v>
      </c>
      <c r="Q30" s="275" t="str">
        <f t="shared" si="34"/>
        <v>ok</v>
      </c>
      <c r="R30" s="499">
        <f t="shared" si="16"/>
        <v>13912</v>
      </c>
      <c r="S30" s="275">
        <f t="shared" si="5"/>
        <v>0</v>
      </c>
      <c r="T30" s="500">
        <f t="shared" si="32"/>
        <v>417512</v>
      </c>
      <c r="U30" s="275">
        <f t="shared" si="33"/>
        <v>0</v>
      </c>
      <c r="V30" s="275">
        <v>250</v>
      </c>
      <c r="W30" s="273"/>
      <c r="X30" s="260">
        <f>X29</f>
        <v>14773</v>
      </c>
      <c r="Y30" s="275" t="str">
        <f t="shared" si="18"/>
        <v>ok</v>
      </c>
      <c r="Z30" s="275">
        <f t="shared" si="8"/>
        <v>0</v>
      </c>
      <c r="AA30" s="275">
        <f t="shared" si="19"/>
        <v>0</v>
      </c>
      <c r="AB30" s="275">
        <f t="shared" si="20"/>
        <v>500</v>
      </c>
      <c r="AC30" s="275">
        <f t="shared" si="21"/>
        <v>0</v>
      </c>
      <c r="AD30" s="73">
        <f>ELEC!Q31</f>
        <v>0</v>
      </c>
      <c r="AE30" s="73" t="e">
        <f t="shared" si="26"/>
        <v>#DIV/0!</v>
      </c>
      <c r="AF30" s="386" t="e">
        <f t="shared" si="27"/>
        <v>#DIV/0!</v>
      </c>
      <c r="AG30" s="386" t="e">
        <f t="shared" si="27"/>
        <v>#DIV/0!</v>
      </c>
      <c r="AH30" s="387" t="e">
        <f t="shared" si="22"/>
        <v>#DIV/0!</v>
      </c>
      <c r="AI30" s="73">
        <f t="shared" si="28"/>
        <v>0</v>
      </c>
      <c r="AJ30" s="277">
        <f t="shared" si="9"/>
        <v>0.25738396624472576</v>
      </c>
      <c r="AK30" s="277" t="e">
        <f t="shared" si="10"/>
        <v>#DIV/0!</v>
      </c>
      <c r="AL30">
        <f t="shared" si="23"/>
        <v>0</v>
      </c>
    </row>
    <row r="31" spans="1:38" ht="15.75" thickBot="1">
      <c r="A31" s="4">
        <f>ELEC!C32</f>
        <v>44863</v>
      </c>
      <c r="B31" s="499">
        <f t="shared" si="31"/>
        <v>1238</v>
      </c>
      <c r="C31" s="275">
        <f t="shared" ref="C31:C33" si="35">B31-B30</f>
        <v>0</v>
      </c>
      <c r="D31" s="500">
        <f t="shared" si="24"/>
        <v>780676</v>
      </c>
      <c r="E31" s="275">
        <f t="shared" si="12"/>
        <v>0</v>
      </c>
      <c r="F31" s="275">
        <f t="shared" ref="F31:F33" si="36">IF(C31&gt;0,E31/C31,0)</f>
        <v>0</v>
      </c>
      <c r="G31" s="322"/>
      <c r="H31" s="260">
        <f t="shared" si="13"/>
        <v>12231</v>
      </c>
      <c r="I31" s="275" t="str">
        <f t="shared" ref="I31:I33" si="37">IF(B31-H31&lt;=0,"ok","oil change")</f>
        <v>ok</v>
      </c>
      <c r="J31" s="499">
        <f t="shared" si="30"/>
        <v>138</v>
      </c>
      <c r="K31" s="275">
        <f t="shared" si="2"/>
        <v>0</v>
      </c>
      <c r="L31" s="500">
        <f t="shared" si="29"/>
        <v>390941</v>
      </c>
      <c r="M31" s="275">
        <f t="shared" si="3"/>
        <v>0</v>
      </c>
      <c r="N31" s="275">
        <v>250</v>
      </c>
      <c r="O31" s="322"/>
      <c r="P31" s="276">
        <f t="shared" si="15"/>
        <v>10873</v>
      </c>
      <c r="Q31" s="275" t="str">
        <f t="shared" ref="Q31:Q33" si="38">IF(J31-P31&lt;=0,"ok","oil change")</f>
        <v>ok</v>
      </c>
      <c r="R31" s="499">
        <f t="shared" si="16"/>
        <v>13912</v>
      </c>
      <c r="S31" s="275">
        <f t="shared" ref="S31:S33" si="39">R31-R30</f>
        <v>0</v>
      </c>
      <c r="T31" s="500">
        <f t="shared" si="32"/>
        <v>417512</v>
      </c>
      <c r="U31" s="275">
        <f t="shared" ref="U31:U33" si="40">V31*S31</f>
        <v>0</v>
      </c>
      <c r="V31" s="275">
        <v>250</v>
      </c>
      <c r="W31" s="322"/>
      <c r="X31" s="260">
        <f t="shared" si="17"/>
        <v>14773</v>
      </c>
      <c r="Y31" s="275" t="str">
        <f t="shared" si="18"/>
        <v>ok</v>
      </c>
      <c r="Z31" s="275">
        <f t="shared" ref="Z31:Z33" si="41">C31+K31+S31</f>
        <v>0</v>
      </c>
      <c r="AA31" s="275">
        <f t="shared" ref="AA31:AA33" si="42">U31+M31+E31</f>
        <v>0</v>
      </c>
      <c r="AB31" s="275">
        <f t="shared" ref="AB31:AB33" si="43">V31+N31+F31</f>
        <v>500</v>
      </c>
      <c r="AC31" s="275">
        <f t="shared" ref="AC31:AC33" si="44">IF(Z31&gt;0,AA31/Z31,0)</f>
        <v>0</v>
      </c>
      <c r="AD31" s="73">
        <f>ELEC!Q32</f>
        <v>0</v>
      </c>
      <c r="AE31" s="73" t="e">
        <f t="shared" ref="AE31:AE33" si="45">SUM(AD31/Z31)</f>
        <v>#DIV/0!</v>
      </c>
      <c r="AF31" s="386" t="e">
        <f t="shared" ref="AF31:AF33" si="46">SUM(AE31/1600)</f>
        <v>#DIV/0!</v>
      </c>
      <c r="AG31" s="386" t="e">
        <f t="shared" ref="AG31:AG33" si="47">SUM(AF31/1600)</f>
        <v>#DIV/0!</v>
      </c>
      <c r="AH31" s="474" t="e">
        <f t="shared" ref="AH31:AH33" si="48">SUM(AC31-AG31)</f>
        <v>#DIV/0!</v>
      </c>
      <c r="AI31" s="73">
        <f t="shared" ref="AI31:AI33" si="49">AD31*AJ31</f>
        <v>0</v>
      </c>
      <c r="AJ31" s="277">
        <f t="shared" si="9"/>
        <v>0.25738396624472576</v>
      </c>
      <c r="AK31" s="277" t="e">
        <f t="shared" ref="AK31:AK33" si="50">AI31/Z31</f>
        <v>#DIV/0!</v>
      </c>
      <c r="AL31">
        <f t="shared" ref="AL31:AL33" si="51">IF(Z31=0,0,1)</f>
        <v>0</v>
      </c>
    </row>
    <row r="32" spans="1:38" ht="15.75" thickBot="1">
      <c r="A32" s="4">
        <f>ELEC!C33</f>
        <v>44864</v>
      </c>
      <c r="B32" s="499">
        <f t="shared" si="31"/>
        <v>1238</v>
      </c>
      <c r="C32" s="275">
        <f t="shared" si="35"/>
        <v>0</v>
      </c>
      <c r="D32" s="500">
        <f t="shared" si="24"/>
        <v>780676</v>
      </c>
      <c r="E32" s="275">
        <f t="shared" si="12"/>
        <v>0</v>
      </c>
      <c r="F32" s="275">
        <f t="shared" si="36"/>
        <v>0</v>
      </c>
      <c r="G32" s="322"/>
      <c r="H32" s="260">
        <f t="shared" si="13"/>
        <v>12231</v>
      </c>
      <c r="I32" s="275" t="str">
        <f t="shared" si="37"/>
        <v>ok</v>
      </c>
      <c r="J32" s="499">
        <f t="shared" si="30"/>
        <v>138</v>
      </c>
      <c r="K32" s="275">
        <f t="shared" si="2"/>
        <v>0</v>
      </c>
      <c r="L32" s="500">
        <f t="shared" si="29"/>
        <v>390941</v>
      </c>
      <c r="M32" s="275">
        <f t="shared" si="3"/>
        <v>0</v>
      </c>
      <c r="N32" s="275">
        <v>250</v>
      </c>
      <c r="O32" s="322"/>
      <c r="P32" s="276">
        <f t="shared" si="15"/>
        <v>10873</v>
      </c>
      <c r="Q32" s="275" t="str">
        <f t="shared" si="38"/>
        <v>ok</v>
      </c>
      <c r="R32" s="499">
        <f t="shared" si="16"/>
        <v>13912</v>
      </c>
      <c r="S32" s="275">
        <f t="shared" si="39"/>
        <v>0</v>
      </c>
      <c r="T32" s="500">
        <f t="shared" si="32"/>
        <v>417512</v>
      </c>
      <c r="U32" s="275">
        <f t="shared" si="40"/>
        <v>0</v>
      </c>
      <c r="V32" s="275">
        <v>250</v>
      </c>
      <c r="W32" s="322"/>
      <c r="X32" s="260">
        <f t="shared" si="17"/>
        <v>14773</v>
      </c>
      <c r="Y32" s="275" t="str">
        <f t="shared" si="18"/>
        <v>ok</v>
      </c>
      <c r="Z32" s="275">
        <f t="shared" si="41"/>
        <v>0</v>
      </c>
      <c r="AA32" s="275">
        <f t="shared" si="42"/>
        <v>0</v>
      </c>
      <c r="AB32" s="275">
        <f t="shared" si="43"/>
        <v>500</v>
      </c>
      <c r="AC32" s="275">
        <f t="shared" si="44"/>
        <v>0</v>
      </c>
      <c r="AD32" s="73">
        <f>ELEC!Q33</f>
        <v>0</v>
      </c>
      <c r="AE32" s="73" t="e">
        <f t="shared" si="45"/>
        <v>#DIV/0!</v>
      </c>
      <c r="AF32" s="386" t="e">
        <f t="shared" si="46"/>
        <v>#DIV/0!</v>
      </c>
      <c r="AG32" s="386" t="e">
        <f t="shared" si="47"/>
        <v>#DIV/0!</v>
      </c>
      <c r="AH32" s="474" t="e">
        <f t="shared" si="48"/>
        <v>#DIV/0!</v>
      </c>
      <c r="AI32" s="73">
        <f t="shared" si="49"/>
        <v>0</v>
      </c>
      <c r="AJ32" s="277">
        <f t="shared" si="9"/>
        <v>0.25738396624472576</v>
      </c>
      <c r="AK32" s="277" t="e">
        <f t="shared" si="50"/>
        <v>#DIV/0!</v>
      </c>
      <c r="AL32">
        <f t="shared" si="51"/>
        <v>0</v>
      </c>
    </row>
    <row r="33" spans="1:38">
      <c r="A33" s="4">
        <f>ELEC!C34</f>
        <v>44865</v>
      </c>
      <c r="B33" s="499">
        <f t="shared" si="31"/>
        <v>1238</v>
      </c>
      <c r="C33" s="275">
        <f t="shared" si="35"/>
        <v>0</v>
      </c>
      <c r="D33" s="500">
        <f t="shared" si="24"/>
        <v>780676</v>
      </c>
      <c r="E33" s="275">
        <f t="shared" si="12"/>
        <v>0</v>
      </c>
      <c r="F33" s="275">
        <f t="shared" si="36"/>
        <v>0</v>
      </c>
      <c r="G33" s="322"/>
      <c r="H33" s="260">
        <f t="shared" si="13"/>
        <v>12231</v>
      </c>
      <c r="I33" s="275" t="str">
        <f t="shared" si="37"/>
        <v>ok</v>
      </c>
      <c r="J33" s="499">
        <f t="shared" si="30"/>
        <v>138</v>
      </c>
      <c r="K33" s="275">
        <f t="shared" si="2"/>
        <v>0</v>
      </c>
      <c r="L33" s="500">
        <f t="shared" si="29"/>
        <v>390941</v>
      </c>
      <c r="M33" s="275">
        <f t="shared" si="3"/>
        <v>0</v>
      </c>
      <c r="N33" s="275">
        <v>250</v>
      </c>
      <c r="O33" s="322"/>
      <c r="P33" s="276">
        <f t="shared" si="15"/>
        <v>10873</v>
      </c>
      <c r="Q33" s="275" t="str">
        <f t="shared" si="38"/>
        <v>ok</v>
      </c>
      <c r="R33" s="499">
        <f t="shared" si="16"/>
        <v>13912</v>
      </c>
      <c r="S33" s="275">
        <f t="shared" si="39"/>
        <v>0</v>
      </c>
      <c r="T33" s="500">
        <f t="shared" si="32"/>
        <v>417512</v>
      </c>
      <c r="U33" s="275">
        <f t="shared" si="40"/>
        <v>0</v>
      </c>
      <c r="V33" s="275">
        <v>250</v>
      </c>
      <c r="W33" s="322"/>
      <c r="X33" s="260">
        <f t="shared" si="17"/>
        <v>14773</v>
      </c>
      <c r="Y33" s="275" t="str">
        <f t="shared" si="18"/>
        <v>ok</v>
      </c>
      <c r="Z33" s="275">
        <f t="shared" si="41"/>
        <v>0</v>
      </c>
      <c r="AA33" s="275">
        <f t="shared" si="42"/>
        <v>0</v>
      </c>
      <c r="AB33" s="275">
        <f t="shared" si="43"/>
        <v>500</v>
      </c>
      <c r="AC33" s="275">
        <f t="shared" si="44"/>
        <v>0</v>
      </c>
      <c r="AD33" s="73">
        <f>ELEC!Q34</f>
        <v>0</v>
      </c>
      <c r="AE33" s="73" t="e">
        <f t="shared" si="45"/>
        <v>#DIV/0!</v>
      </c>
      <c r="AF33" s="386" t="e">
        <f t="shared" si="46"/>
        <v>#DIV/0!</v>
      </c>
      <c r="AG33" s="386" t="e">
        <f t="shared" si="47"/>
        <v>#DIV/0!</v>
      </c>
      <c r="AH33" s="474" t="e">
        <f t="shared" si="48"/>
        <v>#DIV/0!</v>
      </c>
      <c r="AI33" s="73">
        <f t="shared" si="49"/>
        <v>0</v>
      </c>
      <c r="AJ33" s="277">
        <f t="shared" si="9"/>
        <v>0.25738396624472576</v>
      </c>
      <c r="AK33" s="277" t="e">
        <f t="shared" si="50"/>
        <v>#DIV/0!</v>
      </c>
      <c r="AL33">
        <f t="shared" si="51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184</v>
      </c>
      <c r="V34" s="40"/>
      <c r="X34">
        <v>341</v>
      </c>
      <c r="Z34" s="403">
        <f>SUM(Z3:Z33)</f>
        <v>184</v>
      </c>
      <c r="AF34" s="386">
        <f>SUM(AE34/1600)</f>
        <v>0</v>
      </c>
      <c r="AL34">
        <f>SUM(AL3:AL33)</f>
        <v>17</v>
      </c>
    </row>
    <row r="35" spans="1:38">
      <c r="C35" s="40">
        <f>SUM(C3:C33)</f>
        <v>180</v>
      </c>
      <c r="K35" s="40">
        <f>SUM(K3:K33)</f>
        <v>4</v>
      </c>
      <c r="S35" s="40">
        <f>SUM(S3:S33)</f>
        <v>0</v>
      </c>
      <c r="U35" s="40"/>
      <c r="V35" s="40"/>
      <c r="X35" s="40"/>
    </row>
    <row r="38" spans="1:38">
      <c r="T38">
        <v>14</v>
      </c>
    </row>
    <row r="39" spans="1:38">
      <c r="T39">
        <v>10</v>
      </c>
    </row>
    <row r="40" spans="1:38" ht="15.75" thickBot="1">
      <c r="D40" s="260">
        <v>193</v>
      </c>
      <c r="T40">
        <v>10</v>
      </c>
    </row>
    <row r="41" spans="1:38" ht="15.75" thickBot="1">
      <c r="D41" s="499">
        <f>193+10</f>
        <v>203</v>
      </c>
      <c r="T41">
        <v>0</v>
      </c>
    </row>
    <row r="42" spans="1:38" ht="15.75" thickBot="1">
      <c r="D42" s="499">
        <f>203+10</f>
        <v>213</v>
      </c>
      <c r="I42">
        <f>266-79</f>
        <v>187</v>
      </c>
      <c r="T42">
        <v>0</v>
      </c>
    </row>
    <row r="43" spans="1:38" ht="15.75" thickBot="1">
      <c r="B43">
        <f>187+6</f>
        <v>193</v>
      </c>
      <c r="D43" s="499">
        <f t="shared" ref="D43:D44" si="52">D42</f>
        <v>213</v>
      </c>
      <c r="T43">
        <v>8</v>
      </c>
    </row>
    <row r="44" spans="1:38" ht="15.75" thickBot="1">
      <c r="D44" s="499">
        <f t="shared" si="52"/>
        <v>213</v>
      </c>
      <c r="T44">
        <v>9</v>
      </c>
    </row>
    <row r="45" spans="1:38" ht="15.75" thickBot="1">
      <c r="D45" s="499">
        <f>213+8</f>
        <v>221</v>
      </c>
      <c r="T45">
        <v>10</v>
      </c>
    </row>
    <row r="46" spans="1:38" ht="15.75" thickBot="1">
      <c r="D46" s="499">
        <f>221+9</f>
        <v>230</v>
      </c>
      <c r="T46">
        <v>9</v>
      </c>
    </row>
    <row r="47" spans="1:38" ht="15.75" thickBot="1">
      <c r="D47" s="499">
        <f>230+10</f>
        <v>240</v>
      </c>
      <c r="T47">
        <v>9</v>
      </c>
    </row>
    <row r="48" spans="1:38" ht="15.75" thickBot="1">
      <c r="D48" s="499">
        <f>240+9</f>
        <v>249</v>
      </c>
    </row>
    <row r="49" spans="4:4" ht="15.75" thickBot="1">
      <c r="D49" s="499">
        <f>249+9</f>
        <v>258</v>
      </c>
    </row>
    <row r="50" spans="4:4">
      <c r="D50" s="499">
        <v>266</v>
      </c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46"/>
  <sheetViews>
    <sheetView topLeftCell="A4" zoomScale="60" zoomScaleNormal="60" workbookViewId="0">
      <pane xSplit="1" topLeftCell="AB1" activePane="topRight" state="frozen"/>
      <selection pane="topRight" activeCell="AV17" sqref="AV17:AV36"/>
    </sheetView>
  </sheetViews>
  <sheetFormatPr defaultRowHeight="15"/>
  <cols>
    <col min="1" max="1" width="35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6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10.85546875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8.5703125" style="471" customWidth="1"/>
    <col min="41" max="41" width="11.425781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89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0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0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31" t="s">
        <v>108</v>
      </c>
      <c r="AS3" s="631" t="s">
        <v>231</v>
      </c>
      <c r="AT3" s="629" t="s">
        <v>299</v>
      </c>
      <c r="AU3" s="630"/>
      <c r="AV3" s="29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32"/>
      <c r="AS4" s="632"/>
      <c r="AT4" s="3" t="s">
        <v>71</v>
      </c>
      <c r="AU4" s="3" t="s">
        <v>219</v>
      </c>
      <c r="AV4" s="291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4">
        <f>[2]tanks!$A$35</f>
        <v>44834</v>
      </c>
      <c r="B5" s="496">
        <f>'B5'!B4</f>
        <v>226</v>
      </c>
      <c r="C5" s="496">
        <f>[3]tanks!C36</f>
        <v>4281.7096774193551</v>
      </c>
      <c r="D5" s="496">
        <f>[3]tanks!D36</f>
        <v>199</v>
      </c>
      <c r="E5" s="496">
        <f>[3]tanks!E36</f>
        <v>4281.7096774193551</v>
      </c>
      <c r="F5" s="496">
        <f>[3]tanks!F36</f>
        <v>199</v>
      </c>
      <c r="G5" s="496">
        <f>[3]tanks!G36</f>
        <v>4281.7096774193551</v>
      </c>
      <c r="H5" s="496">
        <f>[3]tanks!H36</f>
        <v>199</v>
      </c>
      <c r="I5" s="496">
        <f>[3]tanks!I36</f>
        <v>4281.7096774193551</v>
      </c>
      <c r="J5" s="496">
        <f>[3]tanks!J36</f>
        <v>199</v>
      </c>
      <c r="K5" s="496">
        <f>[3]tanks!K36</f>
        <v>4281.7096774193551</v>
      </c>
      <c r="L5" s="496">
        <f>[3]tanks!L36</f>
        <v>199</v>
      </c>
      <c r="M5" s="496">
        <f>[3]tanks!M36</f>
        <v>4281.7096774193551</v>
      </c>
      <c r="N5" s="496">
        <f>[3]tanks!N36</f>
        <v>199</v>
      </c>
      <c r="O5" s="496">
        <f>[3]tanks!O36</f>
        <v>4281.7096774193551</v>
      </c>
      <c r="P5" s="496">
        <f>[3]tanks!P36</f>
        <v>199</v>
      </c>
      <c r="Q5" s="496">
        <f>[3]tanks!Q36</f>
        <v>4281.7096774193551</v>
      </c>
      <c r="R5" s="496">
        <f>[3]tanks!R36</f>
        <v>199</v>
      </c>
      <c r="S5" s="496">
        <f>[3]tanks!S36</f>
        <v>4281.7096774193551</v>
      </c>
      <c r="T5" s="496">
        <f>[3]tanks!T36</f>
        <v>199</v>
      </c>
      <c r="U5" s="496">
        <f>[3]tanks!U36</f>
        <v>4281.7096774193551</v>
      </c>
      <c r="V5" s="496">
        <f>[3]tanks!V36</f>
        <v>199</v>
      </c>
      <c r="W5" s="496">
        <f>[3]tanks!W36</f>
        <v>4281.7096774193551</v>
      </c>
      <c r="X5" s="475">
        <f>[3]tanks!X36</f>
        <v>0.64193548387096777</v>
      </c>
      <c r="Y5" s="496">
        <f>[3]tanks!Y36</f>
        <v>47098.806451612909</v>
      </c>
      <c r="Z5" s="496">
        <f>'B5'!C4</f>
        <v>232</v>
      </c>
      <c r="AA5" s="496">
        <f>[3]tanks!AA36</f>
        <v>2060</v>
      </c>
      <c r="AB5" s="496">
        <f>[3]tanks!AB36</f>
        <v>206</v>
      </c>
      <c r="AC5" s="496">
        <f>[3]tanks!AC36</f>
        <v>2060</v>
      </c>
      <c r="AD5" s="496">
        <f>[3]tanks!AD36</f>
        <v>206</v>
      </c>
      <c r="AE5" s="496">
        <f>[3]tanks!AE36</f>
        <v>2060</v>
      </c>
      <c r="AF5" s="496">
        <f>[3]tanks!AF36</f>
        <v>206</v>
      </c>
      <c r="AG5" s="496">
        <f>[3]tanks!AG36</f>
        <v>2060</v>
      </c>
      <c r="AH5" s="496">
        <f>[3]tanks!AH36</f>
        <v>206</v>
      </c>
      <c r="AI5" s="496">
        <f>[3]tanks!AI36</f>
        <v>2060</v>
      </c>
      <c r="AJ5" s="496">
        <f>[3]tanks!AJ36</f>
        <v>206</v>
      </c>
      <c r="AK5" s="496">
        <f>[3]tanks!AK36</f>
        <v>2060</v>
      </c>
      <c r="AL5" s="496">
        <f>[3]tanks!AL36</f>
        <v>206</v>
      </c>
      <c r="AM5" s="496">
        <f>[3]tanks!AM36</f>
        <v>2060</v>
      </c>
      <c r="AN5" s="475">
        <f>[3]tanks!AN36</f>
        <v>0.73571428571428577</v>
      </c>
      <c r="AO5" s="496">
        <f>[3]tanks!AO36</f>
        <v>14420</v>
      </c>
      <c r="AP5" s="496"/>
      <c r="AQ5" s="475">
        <f>[3]tanks!AQ36</f>
        <v>0.6617059960375703</v>
      </c>
      <c r="AR5" s="603">
        <f>[3]tanks!AR36</f>
        <v>61518.806451612909</v>
      </c>
      <c r="AS5" s="603">
        <f>[3]tanks!AS36</f>
        <v>-1533.3870967741823</v>
      </c>
      <c r="AT5" s="603">
        <f>[3]tanks!AT36</f>
        <v>0</v>
      </c>
      <c r="AU5" s="603">
        <f>[3]tanks!AU36</f>
        <v>0</v>
      </c>
      <c r="AV5" s="603">
        <f>[3]tanks!AV36</f>
        <v>0</v>
      </c>
      <c r="AW5" s="603">
        <f>[3]tanks!AW36</f>
        <v>-144</v>
      </c>
      <c r="AX5" s="603">
        <f>[3]tanks!AX36</f>
        <v>-1389.3870967741823</v>
      </c>
      <c r="AY5" s="603">
        <f>[3]tanks!AY36</f>
        <v>-1533.3870967741823</v>
      </c>
      <c r="AZ5" s="475">
        <f>[3]tanks!AZ36</f>
        <v>0</v>
      </c>
      <c r="BA5" s="603">
        <f>[3]tanks!BA36</f>
        <v>29.5</v>
      </c>
      <c r="BB5" s="475">
        <f>[3]tanks!BB36</f>
        <v>0.8</v>
      </c>
      <c r="BC5" s="603">
        <f>[6]tanks!BC36</f>
        <v>0</v>
      </c>
      <c r="BD5" s="603">
        <f>[6]tanks!BD36</f>
        <v>19225</v>
      </c>
      <c r="BE5" s="603" t="e">
        <f>[6]tanks!BE36</f>
        <v>#REF!</v>
      </c>
      <c r="BF5" s="603">
        <f>[6]tanks!BF36</f>
        <v>0</v>
      </c>
      <c r="BG5" s="603" t="e">
        <f>[6]tanks!BG36</f>
        <v>#REF!</v>
      </c>
      <c r="BH5" s="603">
        <f>[6]tanks!BH36</f>
        <v>0</v>
      </c>
      <c r="BI5" s="603">
        <f>[6]tanks!BI36</f>
        <v>23</v>
      </c>
    </row>
    <row r="6" spans="1:63">
      <c r="A6" s="424">
        <f>ELEC!C4</f>
        <v>44835</v>
      </c>
      <c r="B6" s="496">
        <f>'B5'!B5</f>
        <v>226</v>
      </c>
      <c r="C6" s="203">
        <f>B6*$B$4</f>
        <v>4862.6451612903229</v>
      </c>
      <c r="D6">
        <f>SUM(B6)</f>
        <v>226</v>
      </c>
      <c r="E6" s="203">
        <f>D6*$B$4</f>
        <v>4862.6451612903229</v>
      </c>
      <c r="F6">
        <f>SUM(D6)</f>
        <v>226</v>
      </c>
      <c r="G6" s="203">
        <f t="shared" ref="G6:G33" si="1">F6*$B$4</f>
        <v>4862.6451612903229</v>
      </c>
      <c r="H6" s="203">
        <f>SUM(F6)</f>
        <v>226</v>
      </c>
      <c r="I6" s="203">
        <f t="shared" ref="I6:I33" si="2">H6*$B$4</f>
        <v>4862.6451612903229</v>
      </c>
      <c r="J6" s="203">
        <f>SUM(H6)</f>
        <v>226</v>
      </c>
      <c r="K6" s="203">
        <f t="shared" ref="K6:K33" si="3">J6*$B$4</f>
        <v>4862.6451612903229</v>
      </c>
      <c r="L6" s="203">
        <f>SUM(J6)</f>
        <v>226</v>
      </c>
      <c r="M6" s="203">
        <f t="shared" ref="M6:M33" si="4">L6*$B$4</f>
        <v>4862.6451612903229</v>
      </c>
      <c r="N6" s="203">
        <f>SUM(L6)</f>
        <v>226</v>
      </c>
      <c r="O6" s="203">
        <f t="shared" ref="O6:O33" si="5">N6*$B$4</f>
        <v>4862.6451612903229</v>
      </c>
      <c r="P6" s="203">
        <f>SUM(N6)</f>
        <v>226</v>
      </c>
      <c r="Q6" s="203">
        <f t="shared" ref="Q6:Q33" si="6">P6*$B$4</f>
        <v>4862.6451612903229</v>
      </c>
      <c r="R6" s="203">
        <f>SUM(P6)</f>
        <v>226</v>
      </c>
      <c r="S6" s="203">
        <f t="shared" ref="S6:S33" si="7">R6*$B$4</f>
        <v>4862.6451612903229</v>
      </c>
      <c r="T6" s="203">
        <f>SUM(R6)</f>
        <v>226</v>
      </c>
      <c r="U6" s="203">
        <f t="shared" ref="U6:U33" si="8">T6*$B$4</f>
        <v>4862.6451612903229</v>
      </c>
      <c r="V6" s="203">
        <f>SUM(T6)</f>
        <v>226</v>
      </c>
      <c r="W6" s="203">
        <f t="shared" ref="W6:W33" si="9">V6*$B$4</f>
        <v>4862.6451612903229</v>
      </c>
      <c r="X6" s="35">
        <f t="shared" ref="X6:X29" si="10">SUM(Y6/73370)</f>
        <v>0.72903225806451633</v>
      </c>
      <c r="Y6" s="36">
        <f>SUM(C6+E6+G6+I6+K6+M6+O6+Q6+S6+U6+W6)</f>
        <v>53489.09677419356</v>
      </c>
      <c r="Z6" s="496">
        <f>'B5'!C5</f>
        <v>232</v>
      </c>
      <c r="AA6" s="203">
        <f>SUM(Z6*$Z$4)</f>
        <v>2320</v>
      </c>
      <c r="AB6" s="203">
        <f>SUM(Z6)</f>
        <v>232</v>
      </c>
      <c r="AC6" s="203">
        <f>SUM(AB6*$Z$4)</f>
        <v>2320</v>
      </c>
      <c r="AD6" s="203">
        <f>SUM(AB6)</f>
        <v>232</v>
      </c>
      <c r="AE6" s="203">
        <f t="shared" ref="AE6:AE33" si="11">SUM(AD6*$Z$4)</f>
        <v>2320</v>
      </c>
      <c r="AF6" s="203">
        <f>SUM(AD6)</f>
        <v>232</v>
      </c>
      <c r="AG6" s="203">
        <f t="shared" ref="AG6:AG33" si="12">SUM(AF6*$Z$4)</f>
        <v>2320</v>
      </c>
      <c r="AH6" s="203">
        <f>SUM(AF6)</f>
        <v>232</v>
      </c>
      <c r="AI6" s="203">
        <f t="shared" ref="AI6:AI33" si="13">SUM(AH6*$Z$4)</f>
        <v>2320</v>
      </c>
      <c r="AJ6" s="203">
        <f>SUM(AH6)</f>
        <v>232</v>
      </c>
      <c r="AK6" s="203">
        <f t="shared" ref="AK6:AK33" si="14">SUM(AJ6*$Z$4)</f>
        <v>2320</v>
      </c>
      <c r="AL6" s="203">
        <f>SUM(AJ6)</f>
        <v>232</v>
      </c>
      <c r="AM6" s="203">
        <f t="shared" ref="AM6:AM33" si="15">SUM(AL6*$Z$4)</f>
        <v>2320</v>
      </c>
      <c r="AN6" s="35">
        <f t="shared" ref="AN6:AN29" si="16">SUM(AO6/19600)</f>
        <v>0.82857142857142863</v>
      </c>
      <c r="AO6" s="36">
        <f>SUM(AA6+AC6+AE6+AG6+AI6+AK6+AM6)</f>
        <v>16240</v>
      </c>
      <c r="AQ6" s="223">
        <f>SUM(AR6/92970)</f>
        <v>0.75001717515535726</v>
      </c>
      <c r="AR6" s="38">
        <f>Y6+AO6</f>
        <v>69729.09677419356</v>
      </c>
      <c r="AS6" s="197">
        <f>SUM(AR6-AR5-AT6)</f>
        <v>3080.2903225806513</v>
      </c>
      <c r="AT6" s="339">
        <v>5130</v>
      </c>
      <c r="AU6" s="545"/>
      <c r="AV6" s="484">
        <f>IF(AT6&gt;0,AU6,AV5)</f>
        <v>0</v>
      </c>
      <c r="AW6" s="278">
        <f>-SUM('B5'!AI5)</f>
        <v>0</v>
      </c>
      <c r="AX6" s="278">
        <f t="shared" ref="AX6:AX33" si="17">-SUM(AW6-AS6)</f>
        <v>3080.2903225806513</v>
      </c>
      <c r="AY6" s="37">
        <f>SUM(AX6+AW6)</f>
        <v>3080.2903225806513</v>
      </c>
      <c r="AZ6" s="100">
        <f>ELEC!A4</f>
        <v>0</v>
      </c>
      <c r="BA6" s="118">
        <f>'General information '!D5</f>
        <v>26.5</v>
      </c>
      <c r="BB6" s="268">
        <f>SUM('General information '!E5)</f>
        <v>0.72</v>
      </c>
      <c r="BC6" s="3">
        <f>IF(AR3&gt;=AR6,0,1)</f>
        <v>0</v>
      </c>
      <c r="BD6" s="102">
        <v>19222</v>
      </c>
      <c r="BE6" s="14">
        <f>(305/1185)*ELEC!Q5</f>
        <v>665.33755274239138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256.69086021505427</v>
      </c>
      <c r="BK6" s="535"/>
    </row>
    <row r="7" spans="1:63">
      <c r="A7" s="424">
        <f>ELEC!C5</f>
        <v>44836</v>
      </c>
      <c r="B7" s="496">
        <f>'B5'!B6</f>
        <v>242</v>
      </c>
      <c r="C7" s="203">
        <f t="shared" ref="C7:E33" si="18">B7*$B$4</f>
        <v>5206.9032258064517</v>
      </c>
      <c r="D7">
        <f t="shared" ref="D7:D29" si="19">SUM(B7)</f>
        <v>242</v>
      </c>
      <c r="E7" s="203">
        <f t="shared" si="18"/>
        <v>5206.9032258064517</v>
      </c>
      <c r="F7">
        <f t="shared" ref="F7:F29" si="20">SUM(D7)</f>
        <v>242</v>
      </c>
      <c r="G7" s="203">
        <f t="shared" si="1"/>
        <v>5206.9032258064517</v>
      </c>
      <c r="H7" s="203">
        <f t="shared" ref="H7:H29" si="21">SUM(F7)</f>
        <v>242</v>
      </c>
      <c r="I7" s="203">
        <f t="shared" si="2"/>
        <v>5206.9032258064517</v>
      </c>
      <c r="J7" s="203">
        <f t="shared" ref="J7:J29" si="22">SUM(H7)</f>
        <v>242</v>
      </c>
      <c r="K7" s="203">
        <f t="shared" si="3"/>
        <v>5206.9032258064517</v>
      </c>
      <c r="L7" s="203">
        <f t="shared" ref="L7:L29" si="23">SUM(J7)</f>
        <v>242</v>
      </c>
      <c r="M7" s="203">
        <f t="shared" si="4"/>
        <v>5206.9032258064517</v>
      </c>
      <c r="N7" s="203">
        <f t="shared" ref="N7:N29" si="24">SUM(L7)</f>
        <v>242</v>
      </c>
      <c r="O7" s="203">
        <f t="shared" si="5"/>
        <v>5206.9032258064517</v>
      </c>
      <c r="P7" s="203">
        <f t="shared" ref="P7:P29" si="25">SUM(N7)</f>
        <v>242</v>
      </c>
      <c r="Q7" s="203">
        <f t="shared" si="6"/>
        <v>5206.9032258064517</v>
      </c>
      <c r="R7" s="203">
        <f t="shared" ref="R7:R29" si="26">SUM(P7)</f>
        <v>242</v>
      </c>
      <c r="S7" s="203">
        <f t="shared" si="7"/>
        <v>5206.9032258064517</v>
      </c>
      <c r="T7" s="203">
        <f t="shared" ref="T7:T29" si="27">SUM(R7)</f>
        <v>242</v>
      </c>
      <c r="U7" s="203">
        <f t="shared" si="8"/>
        <v>5206.9032258064517</v>
      </c>
      <c r="V7" s="203">
        <f t="shared" ref="V7:V29" si="28">SUM(T7)</f>
        <v>242</v>
      </c>
      <c r="W7" s="203">
        <f t="shared" si="9"/>
        <v>5206.9032258064517</v>
      </c>
      <c r="X7" s="35">
        <f t="shared" si="10"/>
        <v>0.78064516129032269</v>
      </c>
      <c r="Y7" s="36">
        <f t="shared" ref="Y7:Y29" si="29">SUM(C7+E7+G7+I7+K7+M7+O7+Q7+S7+U7+W7)</f>
        <v>57275.935483870977</v>
      </c>
      <c r="Z7" s="496">
        <f>'B5'!C6</f>
        <v>248</v>
      </c>
      <c r="AA7" s="203">
        <f t="shared" ref="AA7:AC33" si="30">SUM(Z7*$Z$4)</f>
        <v>2480</v>
      </c>
      <c r="AB7" s="203">
        <f t="shared" ref="AB7:AB29" si="31">SUM(Z7)</f>
        <v>248</v>
      </c>
      <c r="AC7" s="203">
        <f t="shared" si="30"/>
        <v>2480</v>
      </c>
      <c r="AD7" s="203">
        <f t="shared" ref="AD7:AD29" si="32">SUM(AB7)</f>
        <v>248</v>
      </c>
      <c r="AE7" s="203">
        <f t="shared" si="11"/>
        <v>2480</v>
      </c>
      <c r="AF7" s="203">
        <f t="shared" ref="AF7:AF29" si="33">SUM(AD7)</f>
        <v>248</v>
      </c>
      <c r="AG7" s="203">
        <f t="shared" si="12"/>
        <v>2480</v>
      </c>
      <c r="AH7" s="203">
        <f t="shared" ref="AH7:AH29" si="34">SUM(AF7)</f>
        <v>248</v>
      </c>
      <c r="AI7" s="203">
        <f t="shared" si="13"/>
        <v>2480</v>
      </c>
      <c r="AJ7" s="203">
        <f t="shared" ref="AJ7:AJ29" si="35">SUM(AH7)</f>
        <v>248</v>
      </c>
      <c r="AK7" s="203">
        <f t="shared" si="14"/>
        <v>2480</v>
      </c>
      <c r="AL7" s="203">
        <f t="shared" ref="AL7:AL29" si="36">SUM(AJ7)</f>
        <v>248</v>
      </c>
      <c r="AM7" s="203">
        <f t="shared" si="15"/>
        <v>2480</v>
      </c>
      <c r="AN7" s="35">
        <f>SUM(AO7/19600)</f>
        <v>0.88571428571428568</v>
      </c>
      <c r="AO7" s="36">
        <f>SUM(AA7+AC7+AE7+AG7+AI7+AK7+AM7)</f>
        <v>17360</v>
      </c>
      <c r="AQ7" s="223">
        <f>SUM(AR7/92970)</f>
        <v>0.80279590710843252</v>
      </c>
      <c r="AR7" s="38">
        <f>Y7+AO7</f>
        <v>74635.93548387097</v>
      </c>
      <c r="AS7" s="197">
        <f>SUM(AR7-AR6-AT7)</f>
        <v>4906.8387096774095</v>
      </c>
      <c r="AT7" s="339"/>
      <c r="AU7" s="545"/>
      <c r="AV7" s="484">
        <f>IF(AT7&gt;0,AU7,AV6)</f>
        <v>0</v>
      </c>
      <c r="AW7" s="278">
        <f>-SUM('B5'!AI6)</f>
        <v>-294</v>
      </c>
      <c r="AX7" s="278">
        <f t="shared" si="17"/>
        <v>5200.8387096774095</v>
      </c>
      <c r="AY7" s="37">
        <f t="shared" ref="AY7:AY33" si="37">SUM(AX7+AW7)</f>
        <v>4906.8387096774095</v>
      </c>
      <c r="AZ7" s="100">
        <f>ELEC!A5</f>
        <v>0</v>
      </c>
      <c r="BA7" s="118">
        <f>'General information '!D6</f>
        <v>0</v>
      </c>
      <c r="BB7" s="377">
        <f>SUM('General information '!E6)</f>
        <v>0</v>
      </c>
      <c r="BC7" s="3">
        <v>0</v>
      </c>
      <c r="BD7" s="102">
        <v>19222</v>
      </c>
      <c r="BE7" s="14">
        <f>(305/1185)*ELEC!Q6</f>
        <v>722.73417721542216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346.72258064516063</v>
      </c>
      <c r="BK7" s="535"/>
    </row>
    <row r="8" spans="1:63">
      <c r="A8" s="424">
        <f>ELEC!C6</f>
        <v>44837</v>
      </c>
      <c r="B8" s="496">
        <f>'B5'!B7</f>
        <v>238</v>
      </c>
      <c r="C8" s="203">
        <f t="shared" si="18"/>
        <v>5120.8387096774195</v>
      </c>
      <c r="D8">
        <f t="shared" si="19"/>
        <v>238</v>
      </c>
      <c r="E8" s="203">
        <f t="shared" si="18"/>
        <v>5120.8387096774195</v>
      </c>
      <c r="F8">
        <f t="shared" si="20"/>
        <v>238</v>
      </c>
      <c r="G8" s="203">
        <f t="shared" si="1"/>
        <v>5120.8387096774195</v>
      </c>
      <c r="H8" s="203">
        <f t="shared" si="21"/>
        <v>238</v>
      </c>
      <c r="I8" s="203">
        <f t="shared" si="2"/>
        <v>5120.8387096774195</v>
      </c>
      <c r="J8" s="203">
        <f t="shared" si="22"/>
        <v>238</v>
      </c>
      <c r="K8" s="203">
        <f t="shared" si="3"/>
        <v>5120.8387096774195</v>
      </c>
      <c r="L8" s="203">
        <f t="shared" si="23"/>
        <v>238</v>
      </c>
      <c r="M8" s="203">
        <f t="shared" si="4"/>
        <v>5120.8387096774195</v>
      </c>
      <c r="N8" s="203">
        <f t="shared" si="24"/>
        <v>238</v>
      </c>
      <c r="O8" s="203">
        <f t="shared" si="5"/>
        <v>5120.8387096774195</v>
      </c>
      <c r="P8" s="203">
        <f t="shared" si="25"/>
        <v>238</v>
      </c>
      <c r="Q8" s="203">
        <f t="shared" si="6"/>
        <v>5120.8387096774195</v>
      </c>
      <c r="R8" s="203">
        <f t="shared" si="26"/>
        <v>238</v>
      </c>
      <c r="S8" s="203">
        <f t="shared" si="7"/>
        <v>5120.8387096774195</v>
      </c>
      <c r="T8" s="203">
        <f t="shared" si="27"/>
        <v>238</v>
      </c>
      <c r="U8" s="203">
        <f t="shared" si="8"/>
        <v>5120.8387096774195</v>
      </c>
      <c r="V8" s="203">
        <f t="shared" si="28"/>
        <v>238</v>
      </c>
      <c r="W8" s="203">
        <f t="shared" si="9"/>
        <v>5120.8387096774195</v>
      </c>
      <c r="X8" s="35">
        <f t="shared" si="10"/>
        <v>0.76774193548387093</v>
      </c>
      <c r="Y8" s="36">
        <f t="shared" si="29"/>
        <v>56329.225806451606</v>
      </c>
      <c r="Z8" s="496">
        <f>'B5'!C7</f>
        <v>244</v>
      </c>
      <c r="AA8" s="203">
        <f t="shared" si="30"/>
        <v>2440</v>
      </c>
      <c r="AB8" s="203">
        <f t="shared" si="31"/>
        <v>244</v>
      </c>
      <c r="AC8" s="203">
        <f t="shared" si="30"/>
        <v>2440</v>
      </c>
      <c r="AD8" s="203">
        <f t="shared" si="32"/>
        <v>244</v>
      </c>
      <c r="AE8" s="203">
        <f t="shared" si="11"/>
        <v>2440</v>
      </c>
      <c r="AF8" s="203">
        <f t="shared" si="33"/>
        <v>244</v>
      </c>
      <c r="AG8" s="203">
        <f t="shared" si="12"/>
        <v>2440</v>
      </c>
      <c r="AH8" s="203">
        <f t="shared" si="34"/>
        <v>244</v>
      </c>
      <c r="AI8" s="203">
        <f t="shared" si="13"/>
        <v>2440</v>
      </c>
      <c r="AJ8" s="203">
        <f t="shared" si="35"/>
        <v>244</v>
      </c>
      <c r="AK8" s="203">
        <f t="shared" si="14"/>
        <v>2440</v>
      </c>
      <c r="AL8" s="203">
        <f t="shared" si="36"/>
        <v>244</v>
      </c>
      <c r="AM8" s="203">
        <f t="shared" si="15"/>
        <v>2440</v>
      </c>
      <c r="AN8" s="35">
        <f t="shared" si="16"/>
        <v>0.87142857142857144</v>
      </c>
      <c r="AO8" s="36">
        <f t="shared" ref="AO8:AO29" si="39">SUM(AA8+AC8+AE8+AG8+AI8+AK8+AM8)</f>
        <v>17080</v>
      </c>
      <c r="AQ8" s="223">
        <f t="shared" ref="AQ8:AQ33" si="40">SUM(AR8/92970)</f>
        <v>0.78960122412016354</v>
      </c>
      <c r="AR8" s="38">
        <f t="shared" ref="AR8:AR36" si="41">Y8+AO8</f>
        <v>73409.225806451606</v>
      </c>
      <c r="AS8" s="197">
        <f t="shared" ref="AS8:AS20" si="42">SUM(AR8-AR7-AT8)</f>
        <v>-1226.7096774193633</v>
      </c>
      <c r="AT8" s="339"/>
      <c r="AU8" s="545"/>
      <c r="AV8" s="484">
        <f t="shared" ref="AV8:AV14" si="43">IF(AT8&gt;0,AU8,AV7)</f>
        <v>0</v>
      </c>
      <c r="AW8" s="278">
        <f>-SUM('B5'!AI7)</f>
        <v>-47</v>
      </c>
      <c r="AX8" s="278">
        <f t="shared" si="17"/>
        <v>-1179.7096774193633</v>
      </c>
      <c r="AY8" s="37">
        <f t="shared" si="37"/>
        <v>-1226.7096774193633</v>
      </c>
      <c r="AZ8" s="100">
        <f>ELEC!A6</f>
        <v>0</v>
      </c>
      <c r="BA8" s="118">
        <f>'General information '!D7</f>
        <v>0</v>
      </c>
      <c r="BB8" s="377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710.12236286967027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-131.07885304659592</v>
      </c>
      <c r="BK8" s="535">
        <f>GEN!AF5</f>
        <v>0.15954545454550581</v>
      </c>
    </row>
    <row r="9" spans="1:63">
      <c r="A9" s="424">
        <f>ELEC!C7</f>
        <v>44838</v>
      </c>
      <c r="B9" s="496">
        <f>'B5'!B8</f>
        <v>234</v>
      </c>
      <c r="C9" s="203">
        <f t="shared" si="18"/>
        <v>5034.7741935483873</v>
      </c>
      <c r="D9">
        <f t="shared" si="19"/>
        <v>234</v>
      </c>
      <c r="E9" s="203">
        <f t="shared" si="18"/>
        <v>5034.7741935483873</v>
      </c>
      <c r="F9">
        <f t="shared" si="20"/>
        <v>234</v>
      </c>
      <c r="G9" s="203">
        <f t="shared" si="1"/>
        <v>5034.7741935483873</v>
      </c>
      <c r="H9" s="203">
        <f t="shared" si="21"/>
        <v>234</v>
      </c>
      <c r="I9" s="203">
        <f t="shared" si="2"/>
        <v>5034.7741935483873</v>
      </c>
      <c r="J9" s="203">
        <f t="shared" si="22"/>
        <v>234</v>
      </c>
      <c r="K9" s="203">
        <f t="shared" si="3"/>
        <v>5034.7741935483873</v>
      </c>
      <c r="L9" s="203">
        <f t="shared" si="23"/>
        <v>234</v>
      </c>
      <c r="M9" s="203">
        <f t="shared" si="4"/>
        <v>5034.7741935483873</v>
      </c>
      <c r="N9" s="203">
        <f t="shared" si="24"/>
        <v>234</v>
      </c>
      <c r="O9" s="203">
        <f t="shared" si="5"/>
        <v>5034.7741935483873</v>
      </c>
      <c r="P9" s="203">
        <f t="shared" si="25"/>
        <v>234</v>
      </c>
      <c r="Q9" s="203">
        <f t="shared" si="6"/>
        <v>5034.7741935483873</v>
      </c>
      <c r="R9" s="203">
        <f t="shared" si="26"/>
        <v>234</v>
      </c>
      <c r="S9" s="203">
        <f t="shared" si="7"/>
        <v>5034.7741935483873</v>
      </c>
      <c r="T9" s="203">
        <f t="shared" si="27"/>
        <v>234</v>
      </c>
      <c r="U9" s="203">
        <f t="shared" si="8"/>
        <v>5034.7741935483873</v>
      </c>
      <c r="V9" s="203">
        <f t="shared" si="28"/>
        <v>234</v>
      </c>
      <c r="W9" s="203">
        <f t="shared" si="9"/>
        <v>5034.7741935483873</v>
      </c>
      <c r="X9" s="35">
        <f t="shared" si="10"/>
        <v>0.75483870967741939</v>
      </c>
      <c r="Y9" s="36">
        <f t="shared" si="29"/>
        <v>55382.516129032258</v>
      </c>
      <c r="Z9" s="496">
        <f>'B5'!C8</f>
        <v>241</v>
      </c>
      <c r="AA9" s="203">
        <f t="shared" si="30"/>
        <v>2410</v>
      </c>
      <c r="AB9" s="203">
        <f t="shared" si="31"/>
        <v>241</v>
      </c>
      <c r="AC9" s="203">
        <f t="shared" si="30"/>
        <v>2410</v>
      </c>
      <c r="AD9" s="203">
        <f t="shared" si="32"/>
        <v>241</v>
      </c>
      <c r="AE9" s="203">
        <f t="shared" si="11"/>
        <v>2410</v>
      </c>
      <c r="AF9" s="203">
        <f t="shared" si="33"/>
        <v>241</v>
      </c>
      <c r="AG9" s="203">
        <f t="shared" si="12"/>
        <v>2410</v>
      </c>
      <c r="AH9" s="203">
        <f t="shared" si="34"/>
        <v>241</v>
      </c>
      <c r="AI9" s="203">
        <f t="shared" si="13"/>
        <v>2410</v>
      </c>
      <c r="AJ9" s="203">
        <f t="shared" si="35"/>
        <v>241</v>
      </c>
      <c r="AK9" s="203">
        <f t="shared" si="14"/>
        <v>2410</v>
      </c>
      <c r="AL9" s="203">
        <f t="shared" si="36"/>
        <v>241</v>
      </c>
      <c r="AM9" s="203">
        <f t="shared" si="15"/>
        <v>2410</v>
      </c>
      <c r="AN9" s="35">
        <f t="shared" si="16"/>
        <v>0.86071428571428577</v>
      </c>
      <c r="AO9" s="36">
        <f>SUM(AA9+AC9+AE9+AG9+AI9+AK9+AM9)</f>
        <v>16870</v>
      </c>
      <c r="AQ9" s="223">
        <f t="shared" si="40"/>
        <v>0.77715947218492265</v>
      </c>
      <c r="AR9" s="38">
        <f t="shared" si="41"/>
        <v>72252.516129032258</v>
      </c>
      <c r="AS9" s="197">
        <f>SUM(AR9-AR8-AT9)</f>
        <v>-1156.7096774193487</v>
      </c>
      <c r="AT9" s="339"/>
      <c r="AU9" s="545"/>
      <c r="AV9" s="484">
        <f t="shared" si="43"/>
        <v>0</v>
      </c>
      <c r="AW9" s="278">
        <f>-SUM('B5'!AI8)</f>
        <v>-144</v>
      </c>
      <c r="AX9" s="278">
        <f t="shared" si="17"/>
        <v>-1012.7096774193487</v>
      </c>
      <c r="AY9" s="37">
        <f t="shared" si="37"/>
        <v>-1156.7096774193487</v>
      </c>
      <c r="AZ9" s="100">
        <f>ELEC!A7</f>
        <v>0</v>
      </c>
      <c r="BA9" s="118">
        <f>'General information '!D8</f>
        <v>26.5</v>
      </c>
      <c r="BB9" s="377">
        <f>SUM('General information '!E8)</f>
        <v>0.69</v>
      </c>
      <c r="BC9" s="3">
        <f t="shared" si="44"/>
        <v>0</v>
      </c>
      <c r="BD9" s="102">
        <v>19222</v>
      </c>
      <c r="BE9" s="14">
        <f>(305/1185)*ELEC!Q8</f>
        <v>905.99156118061069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-168.78494623655811</v>
      </c>
      <c r="BK9" s="535">
        <f>GEN!AF6</f>
        <v>0.19159722222234954</v>
      </c>
    </row>
    <row r="10" spans="1:63">
      <c r="A10" s="424">
        <f>ELEC!C8</f>
        <v>44839</v>
      </c>
      <c r="B10" s="496">
        <f>'B5'!B9</f>
        <v>230</v>
      </c>
      <c r="C10" s="203">
        <f t="shared" si="18"/>
        <v>4948.7096774193551</v>
      </c>
      <c r="D10">
        <f t="shared" si="19"/>
        <v>230</v>
      </c>
      <c r="E10" s="203">
        <f t="shared" si="18"/>
        <v>4948.7096774193551</v>
      </c>
      <c r="F10">
        <f t="shared" si="20"/>
        <v>230</v>
      </c>
      <c r="G10" s="203">
        <f t="shared" si="1"/>
        <v>4948.7096774193551</v>
      </c>
      <c r="H10" s="203">
        <f t="shared" si="21"/>
        <v>230</v>
      </c>
      <c r="I10" s="203">
        <f t="shared" si="2"/>
        <v>4948.7096774193551</v>
      </c>
      <c r="J10" s="203">
        <f t="shared" si="22"/>
        <v>230</v>
      </c>
      <c r="K10" s="203">
        <f t="shared" si="3"/>
        <v>4948.7096774193551</v>
      </c>
      <c r="L10" s="203">
        <f t="shared" si="23"/>
        <v>230</v>
      </c>
      <c r="M10" s="203">
        <f t="shared" si="4"/>
        <v>4948.7096774193551</v>
      </c>
      <c r="N10" s="203">
        <f t="shared" si="24"/>
        <v>230</v>
      </c>
      <c r="O10" s="203">
        <f t="shared" si="5"/>
        <v>4948.7096774193551</v>
      </c>
      <c r="P10" s="203">
        <f t="shared" si="25"/>
        <v>230</v>
      </c>
      <c r="Q10" s="203">
        <f t="shared" si="6"/>
        <v>4948.7096774193551</v>
      </c>
      <c r="R10" s="203">
        <f t="shared" si="26"/>
        <v>230</v>
      </c>
      <c r="S10" s="203">
        <f t="shared" si="7"/>
        <v>4948.7096774193551</v>
      </c>
      <c r="T10" s="203">
        <f t="shared" si="27"/>
        <v>230</v>
      </c>
      <c r="U10" s="203">
        <f t="shared" si="8"/>
        <v>4948.7096774193551</v>
      </c>
      <c r="V10" s="203">
        <f t="shared" si="28"/>
        <v>230</v>
      </c>
      <c r="W10" s="203">
        <f t="shared" si="9"/>
        <v>4948.7096774193551</v>
      </c>
      <c r="X10" s="35">
        <f t="shared" si="10"/>
        <v>0.74193548387096786</v>
      </c>
      <c r="Y10" s="36">
        <f t="shared" si="29"/>
        <v>54435.806451612909</v>
      </c>
      <c r="Z10" s="496">
        <f>'B5'!C9</f>
        <v>237</v>
      </c>
      <c r="AA10" s="203">
        <f t="shared" si="30"/>
        <v>2370</v>
      </c>
      <c r="AB10" s="203">
        <f t="shared" si="31"/>
        <v>237</v>
      </c>
      <c r="AC10" s="203">
        <f t="shared" si="30"/>
        <v>2370</v>
      </c>
      <c r="AD10" s="203">
        <f t="shared" si="32"/>
        <v>237</v>
      </c>
      <c r="AE10" s="203">
        <f t="shared" si="11"/>
        <v>2370</v>
      </c>
      <c r="AF10" s="203">
        <f t="shared" si="33"/>
        <v>237</v>
      </c>
      <c r="AG10" s="203">
        <f t="shared" si="12"/>
        <v>2370</v>
      </c>
      <c r="AH10" s="203">
        <f t="shared" si="34"/>
        <v>237</v>
      </c>
      <c r="AI10" s="203">
        <f t="shared" si="13"/>
        <v>2370</v>
      </c>
      <c r="AJ10" s="203">
        <f t="shared" si="35"/>
        <v>237</v>
      </c>
      <c r="AK10" s="203">
        <f t="shared" si="14"/>
        <v>2370</v>
      </c>
      <c r="AL10" s="203">
        <f t="shared" si="36"/>
        <v>237</v>
      </c>
      <c r="AM10" s="203">
        <f t="shared" si="15"/>
        <v>2370</v>
      </c>
      <c r="AN10" s="35">
        <f t="shared" si="16"/>
        <v>0.84642857142857142</v>
      </c>
      <c r="AO10" s="36">
        <f t="shared" si="39"/>
        <v>16590</v>
      </c>
      <c r="AQ10" s="223">
        <f t="shared" si="40"/>
        <v>0.76396478919665389</v>
      </c>
      <c r="AR10" s="38">
        <f t="shared" si="41"/>
        <v>71025.806451612909</v>
      </c>
      <c r="AS10" s="197">
        <f>SUM(AR10-AR9-AT10)</f>
        <v>-1226.7096774193487</v>
      </c>
      <c r="AT10" s="339"/>
      <c r="AU10" s="545"/>
      <c r="AV10" s="484">
        <f>IF(AT10&gt;0,AU10,AV9)</f>
        <v>0</v>
      </c>
      <c r="AW10" s="278">
        <f>-SUM('B5'!AI9)</f>
        <v>-64</v>
      </c>
      <c r="AX10" s="278">
        <f t="shared" si="17"/>
        <v>-1162.7096774193487</v>
      </c>
      <c r="AY10" s="37">
        <f t="shared" si="37"/>
        <v>-1226.7096774193487</v>
      </c>
      <c r="AZ10" s="100">
        <f>ELEC!A8</f>
        <v>0</v>
      </c>
      <c r="BA10" s="118">
        <f>'General information '!D9</f>
        <v>26.5</v>
      </c>
      <c r="BB10" s="377">
        <f>SUM('General information '!E9)</f>
        <v>0.7</v>
      </c>
      <c r="BC10" s="3">
        <f t="shared" si="44"/>
        <v>0</v>
      </c>
      <c r="BD10" s="102">
        <v>19222</v>
      </c>
      <c r="BE10" s="14">
        <f>(305/1185)*ELEC!Q9</f>
        <v>668.1687763716601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-166.10138248847838</v>
      </c>
      <c r="BK10" s="535">
        <f>GEN!AF7</f>
        <v>0.1999999999998181</v>
      </c>
    </row>
    <row r="11" spans="1:63">
      <c r="A11" s="424">
        <f>ELEC!C9</f>
        <v>44840</v>
      </c>
      <c r="B11" s="496">
        <f>'B5'!B10</f>
        <v>228</v>
      </c>
      <c r="C11" s="203">
        <f t="shared" si="18"/>
        <v>4905.677419354839</v>
      </c>
      <c r="D11">
        <f>SUM(B11)</f>
        <v>228</v>
      </c>
      <c r="E11" s="203">
        <f t="shared" si="18"/>
        <v>4905.677419354839</v>
      </c>
      <c r="F11">
        <f>SUM(D11)</f>
        <v>228</v>
      </c>
      <c r="G11" s="203">
        <f t="shared" si="1"/>
        <v>4905.677419354839</v>
      </c>
      <c r="H11" s="203">
        <f>SUM(F11)</f>
        <v>228</v>
      </c>
      <c r="I11" s="203">
        <f t="shared" si="2"/>
        <v>4905.677419354839</v>
      </c>
      <c r="J11" s="203">
        <f>SUM(H11)</f>
        <v>228</v>
      </c>
      <c r="K11" s="203">
        <f t="shared" si="3"/>
        <v>4905.677419354839</v>
      </c>
      <c r="L11" s="203">
        <f>SUM(J11)</f>
        <v>228</v>
      </c>
      <c r="M11" s="203">
        <f t="shared" si="4"/>
        <v>4905.677419354839</v>
      </c>
      <c r="N11" s="203">
        <f>SUM(L11)</f>
        <v>228</v>
      </c>
      <c r="O11" s="203">
        <f t="shared" si="5"/>
        <v>4905.677419354839</v>
      </c>
      <c r="P11" s="203">
        <f>SUM(N11)</f>
        <v>228</v>
      </c>
      <c r="Q11" s="203">
        <f t="shared" si="6"/>
        <v>4905.677419354839</v>
      </c>
      <c r="R11" s="203">
        <f>SUM(P11)</f>
        <v>228</v>
      </c>
      <c r="S11" s="203">
        <f t="shared" si="7"/>
        <v>4905.677419354839</v>
      </c>
      <c r="T11" s="203">
        <f>SUM(R11)</f>
        <v>228</v>
      </c>
      <c r="U11" s="203">
        <f t="shared" si="8"/>
        <v>4905.677419354839</v>
      </c>
      <c r="V11" s="203">
        <f>SUM(T11)</f>
        <v>228</v>
      </c>
      <c r="W11" s="203">
        <f t="shared" si="9"/>
        <v>4905.677419354839</v>
      </c>
      <c r="X11" s="35">
        <f>SUM(Y11/73370)</f>
        <v>0.73548387096774215</v>
      </c>
      <c r="Y11" s="36">
        <f>SUM(C11+E11+G11+I11+K11+M11+O11+Q11+S11+U11+W11)</f>
        <v>53962.451612903242</v>
      </c>
      <c r="Z11" s="496">
        <f>'B5'!C10</f>
        <v>234</v>
      </c>
      <c r="AA11" s="203">
        <f t="shared" si="30"/>
        <v>2340</v>
      </c>
      <c r="AB11" s="203">
        <f>SUM(Z11)</f>
        <v>234</v>
      </c>
      <c r="AC11" s="203">
        <f t="shared" si="30"/>
        <v>2340</v>
      </c>
      <c r="AD11" s="203">
        <f>SUM(AB11)</f>
        <v>234</v>
      </c>
      <c r="AE11" s="203">
        <f t="shared" si="11"/>
        <v>2340</v>
      </c>
      <c r="AF11" s="203">
        <f>SUM(AD11)</f>
        <v>234</v>
      </c>
      <c r="AG11" s="203">
        <f t="shared" si="12"/>
        <v>2340</v>
      </c>
      <c r="AH11" s="203">
        <f>SUM(AF11)</f>
        <v>234</v>
      </c>
      <c r="AI11" s="203">
        <f t="shared" si="13"/>
        <v>2340</v>
      </c>
      <c r="AJ11" s="203">
        <f>SUM(AH11)</f>
        <v>234</v>
      </c>
      <c r="AK11" s="203">
        <f t="shared" si="14"/>
        <v>2340</v>
      </c>
      <c r="AL11" s="203">
        <f>SUM(AJ11)</f>
        <v>234</v>
      </c>
      <c r="AM11" s="203">
        <f t="shared" si="15"/>
        <v>2340</v>
      </c>
      <c r="AN11" s="35">
        <f>SUM(AO11/19600)</f>
        <v>0.83571428571428574</v>
      </c>
      <c r="AO11" s="36">
        <f t="shared" si="39"/>
        <v>16380</v>
      </c>
      <c r="AP11" s="522"/>
      <c r="AQ11" s="223">
        <f t="shared" si="40"/>
        <v>0.75661451664949164</v>
      </c>
      <c r="AR11" s="38">
        <f>Y11+AO11</f>
        <v>70342.451612903242</v>
      </c>
      <c r="AS11" s="197">
        <f t="shared" si="42"/>
        <v>-683.35483870966709</v>
      </c>
      <c r="AT11" s="339"/>
      <c r="AU11" s="545"/>
      <c r="AV11" s="484">
        <f>IF(AT11&gt;0,AU11,AV10)</f>
        <v>0</v>
      </c>
      <c r="AW11" s="278">
        <f>-SUM('B5'!AI10)</f>
        <v>-61</v>
      </c>
      <c r="AX11" s="278">
        <f t="shared" si="17"/>
        <v>-622.35483870966709</v>
      </c>
      <c r="AY11" s="37">
        <f t="shared" si="37"/>
        <v>-683.35483870966709</v>
      </c>
      <c r="AZ11" s="100">
        <f>ELEC!A9</f>
        <v>0</v>
      </c>
      <c r="BA11" s="118">
        <f>'General information '!D10</f>
        <v>24.5</v>
      </c>
      <c r="BB11" s="377">
        <f>SUM('General information '!E10)</f>
        <v>0.66</v>
      </c>
      <c r="BC11" s="3">
        <f t="shared" si="44"/>
        <v>0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-66.91987513007696</v>
      </c>
      <c r="BK11" s="535"/>
    </row>
    <row r="12" spans="1:63">
      <c r="A12" s="424">
        <f>ELEC!C10</f>
        <v>44841</v>
      </c>
      <c r="B12" s="496">
        <f>'B5'!B11</f>
        <v>228</v>
      </c>
      <c r="C12" s="203">
        <f t="shared" si="18"/>
        <v>4905.677419354839</v>
      </c>
      <c r="D12">
        <f t="shared" si="19"/>
        <v>228</v>
      </c>
      <c r="E12" s="203">
        <f t="shared" si="18"/>
        <v>4905.677419354839</v>
      </c>
      <c r="F12">
        <f t="shared" si="20"/>
        <v>228</v>
      </c>
      <c r="G12" s="203">
        <f t="shared" si="1"/>
        <v>4905.677419354839</v>
      </c>
      <c r="H12" s="203">
        <f t="shared" si="21"/>
        <v>228</v>
      </c>
      <c r="I12" s="203">
        <f t="shared" si="2"/>
        <v>4905.677419354839</v>
      </c>
      <c r="J12" s="203">
        <f t="shared" si="22"/>
        <v>228</v>
      </c>
      <c r="K12" s="203">
        <f t="shared" si="3"/>
        <v>4905.677419354839</v>
      </c>
      <c r="L12" s="203">
        <f t="shared" si="23"/>
        <v>228</v>
      </c>
      <c r="M12" s="203">
        <f t="shared" si="4"/>
        <v>4905.677419354839</v>
      </c>
      <c r="N12" s="203">
        <f t="shared" si="24"/>
        <v>228</v>
      </c>
      <c r="O12" s="203">
        <f t="shared" si="5"/>
        <v>4905.677419354839</v>
      </c>
      <c r="P12" s="203">
        <f t="shared" si="25"/>
        <v>228</v>
      </c>
      <c r="Q12" s="203">
        <f t="shared" si="6"/>
        <v>4905.677419354839</v>
      </c>
      <c r="R12" s="203">
        <f t="shared" si="26"/>
        <v>228</v>
      </c>
      <c r="S12" s="203">
        <f t="shared" si="7"/>
        <v>4905.677419354839</v>
      </c>
      <c r="T12" s="203">
        <f t="shared" si="27"/>
        <v>228</v>
      </c>
      <c r="U12" s="203">
        <f t="shared" si="8"/>
        <v>4905.677419354839</v>
      </c>
      <c r="V12" s="203">
        <f t="shared" si="28"/>
        <v>228</v>
      </c>
      <c r="W12" s="203">
        <f t="shared" si="9"/>
        <v>4905.677419354839</v>
      </c>
      <c r="X12" s="35">
        <f t="shared" si="10"/>
        <v>0.73548387096774215</v>
      </c>
      <c r="Y12" s="36">
        <f t="shared" si="29"/>
        <v>53962.451612903242</v>
      </c>
      <c r="Z12" s="496">
        <f>'B5'!C11</f>
        <v>234</v>
      </c>
      <c r="AA12" s="203">
        <f t="shared" si="30"/>
        <v>2340</v>
      </c>
      <c r="AB12" s="203">
        <f t="shared" si="31"/>
        <v>234</v>
      </c>
      <c r="AC12" s="203">
        <f t="shared" si="30"/>
        <v>2340</v>
      </c>
      <c r="AD12" s="203">
        <f t="shared" si="32"/>
        <v>234</v>
      </c>
      <c r="AE12" s="203">
        <f t="shared" si="11"/>
        <v>2340</v>
      </c>
      <c r="AF12" s="203">
        <f t="shared" si="33"/>
        <v>234</v>
      </c>
      <c r="AG12" s="203">
        <f t="shared" si="12"/>
        <v>2340</v>
      </c>
      <c r="AH12" s="203">
        <f t="shared" si="34"/>
        <v>234</v>
      </c>
      <c r="AI12" s="203">
        <f t="shared" si="13"/>
        <v>2340</v>
      </c>
      <c r="AJ12" s="203">
        <f t="shared" si="35"/>
        <v>234</v>
      </c>
      <c r="AK12" s="203">
        <f t="shared" si="14"/>
        <v>2340</v>
      </c>
      <c r="AL12" s="203">
        <f t="shared" si="36"/>
        <v>234</v>
      </c>
      <c r="AM12" s="203">
        <f t="shared" si="15"/>
        <v>2340</v>
      </c>
      <c r="AN12" s="35">
        <f t="shared" si="16"/>
        <v>0.83571428571428574</v>
      </c>
      <c r="AO12" s="36">
        <f t="shared" si="39"/>
        <v>16380</v>
      </c>
      <c r="AP12" s="522"/>
      <c r="AQ12" s="223">
        <f t="shared" si="40"/>
        <v>0.75661451664949164</v>
      </c>
      <c r="AR12" s="38">
        <f t="shared" si="41"/>
        <v>70342.451612903242</v>
      </c>
      <c r="AS12" s="197">
        <f>SUM(AR12-AR11-AT12)</f>
        <v>0</v>
      </c>
      <c r="AT12" s="339"/>
      <c r="AU12" s="545"/>
      <c r="AV12" s="484">
        <f t="shared" si="43"/>
        <v>0</v>
      </c>
      <c r="AW12" s="278">
        <f>-SUM('B5'!AI11)</f>
        <v>12</v>
      </c>
      <c r="AX12" s="278">
        <f t="shared" si="17"/>
        <v>-12</v>
      </c>
      <c r="AY12" s="37">
        <f t="shared" si="37"/>
        <v>0</v>
      </c>
      <c r="AZ12" s="100">
        <f>ELEC!A10</f>
        <v>0</v>
      </c>
      <c r="BA12" s="118">
        <f>'General information '!D11</f>
        <v>25</v>
      </c>
      <c r="BB12" s="377">
        <f>SUM('General information '!E11)</f>
        <v>0.64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-3.2432432432426053</v>
      </c>
      <c r="BK12" s="535"/>
    </row>
    <row r="13" spans="1:63">
      <c r="A13" s="424">
        <f>ELEC!C11</f>
        <v>44842</v>
      </c>
      <c r="B13" s="496">
        <f>'B5'!B12</f>
        <v>228</v>
      </c>
      <c r="C13" s="203">
        <f t="shared" si="18"/>
        <v>4905.677419354839</v>
      </c>
      <c r="D13">
        <f t="shared" si="19"/>
        <v>228</v>
      </c>
      <c r="E13" s="203">
        <f t="shared" si="18"/>
        <v>4905.677419354839</v>
      </c>
      <c r="F13">
        <f t="shared" si="20"/>
        <v>228</v>
      </c>
      <c r="G13" s="203">
        <f t="shared" si="1"/>
        <v>4905.677419354839</v>
      </c>
      <c r="H13" s="203">
        <f t="shared" si="21"/>
        <v>228</v>
      </c>
      <c r="I13" s="203">
        <f t="shared" si="2"/>
        <v>4905.677419354839</v>
      </c>
      <c r="J13" s="203">
        <f t="shared" si="22"/>
        <v>228</v>
      </c>
      <c r="K13" s="203">
        <f t="shared" si="3"/>
        <v>4905.677419354839</v>
      </c>
      <c r="L13" s="203">
        <f t="shared" si="23"/>
        <v>228</v>
      </c>
      <c r="M13" s="203">
        <f t="shared" si="4"/>
        <v>4905.677419354839</v>
      </c>
      <c r="N13" s="203">
        <f t="shared" si="24"/>
        <v>228</v>
      </c>
      <c r="O13" s="203">
        <f t="shared" si="5"/>
        <v>4905.677419354839</v>
      </c>
      <c r="P13" s="203">
        <f t="shared" si="25"/>
        <v>228</v>
      </c>
      <c r="Q13" s="203">
        <f t="shared" si="6"/>
        <v>4905.677419354839</v>
      </c>
      <c r="R13" s="203">
        <f t="shared" si="26"/>
        <v>228</v>
      </c>
      <c r="S13" s="203">
        <f t="shared" si="7"/>
        <v>4905.677419354839</v>
      </c>
      <c r="T13" s="203">
        <f t="shared" si="27"/>
        <v>228</v>
      </c>
      <c r="U13" s="203">
        <f t="shared" si="8"/>
        <v>4905.677419354839</v>
      </c>
      <c r="V13" s="203">
        <f t="shared" si="28"/>
        <v>228</v>
      </c>
      <c r="W13" s="203">
        <f t="shared" si="9"/>
        <v>4905.677419354839</v>
      </c>
      <c r="X13" s="35">
        <f t="shared" si="10"/>
        <v>0.73548387096774215</v>
      </c>
      <c r="Y13" s="36">
        <f t="shared" si="29"/>
        <v>53962.451612903242</v>
      </c>
      <c r="Z13" s="496">
        <f>'B5'!C12</f>
        <v>234</v>
      </c>
      <c r="AA13" s="203">
        <f t="shared" si="30"/>
        <v>2340</v>
      </c>
      <c r="AB13" s="203">
        <f t="shared" si="31"/>
        <v>234</v>
      </c>
      <c r="AC13" s="203">
        <f t="shared" si="30"/>
        <v>2340</v>
      </c>
      <c r="AD13" s="203">
        <f t="shared" si="32"/>
        <v>234</v>
      </c>
      <c r="AE13" s="203">
        <f t="shared" si="11"/>
        <v>2340</v>
      </c>
      <c r="AF13" s="203">
        <f t="shared" si="33"/>
        <v>234</v>
      </c>
      <c r="AG13" s="203">
        <f t="shared" si="12"/>
        <v>2340</v>
      </c>
      <c r="AH13" s="203">
        <f t="shared" si="34"/>
        <v>234</v>
      </c>
      <c r="AI13" s="203">
        <f t="shared" si="13"/>
        <v>2340</v>
      </c>
      <c r="AJ13" s="203">
        <f t="shared" si="35"/>
        <v>234</v>
      </c>
      <c r="AK13" s="203">
        <f t="shared" si="14"/>
        <v>2340</v>
      </c>
      <c r="AL13" s="203">
        <f t="shared" si="36"/>
        <v>234</v>
      </c>
      <c r="AM13" s="203">
        <f t="shared" si="15"/>
        <v>2340</v>
      </c>
      <c r="AN13" s="35">
        <f t="shared" si="16"/>
        <v>0.83571428571428574</v>
      </c>
      <c r="AO13" s="36">
        <f t="shared" si="39"/>
        <v>16380</v>
      </c>
      <c r="AP13" s="522"/>
      <c r="AQ13" s="223">
        <f t="shared" si="40"/>
        <v>0.75661451664949164</v>
      </c>
      <c r="AR13" s="38">
        <f>Y13+AO13</f>
        <v>70342.451612903242</v>
      </c>
      <c r="AS13" s="197">
        <f>SUM(AR13-AR12-AT13)</f>
        <v>0</v>
      </c>
      <c r="AT13" s="339"/>
      <c r="AU13" s="545"/>
      <c r="AV13" s="484">
        <f t="shared" si="43"/>
        <v>0</v>
      </c>
      <c r="AW13" s="278">
        <f>-SUM('B5'!AI12)</f>
        <v>0</v>
      </c>
      <c r="AX13" s="278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7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5" t="e">
        <f>GEN!AF10</f>
        <v>#DIV/0!</v>
      </c>
    </row>
    <row r="14" spans="1:63">
      <c r="A14" s="424">
        <f>ELEC!C12</f>
        <v>44843</v>
      </c>
      <c r="B14" s="496">
        <f>'B5'!B13</f>
        <v>228</v>
      </c>
      <c r="C14" s="203">
        <f t="shared" si="18"/>
        <v>4905.677419354839</v>
      </c>
      <c r="D14">
        <f t="shared" si="19"/>
        <v>228</v>
      </c>
      <c r="E14" s="203">
        <f t="shared" si="18"/>
        <v>4905.677419354839</v>
      </c>
      <c r="F14">
        <f t="shared" si="20"/>
        <v>228</v>
      </c>
      <c r="G14" s="203">
        <f t="shared" si="1"/>
        <v>4905.677419354839</v>
      </c>
      <c r="H14" s="203">
        <f t="shared" si="21"/>
        <v>228</v>
      </c>
      <c r="I14" s="203">
        <f t="shared" si="2"/>
        <v>4905.677419354839</v>
      </c>
      <c r="J14" s="203">
        <f t="shared" si="22"/>
        <v>228</v>
      </c>
      <c r="K14" s="203">
        <f t="shared" si="3"/>
        <v>4905.677419354839</v>
      </c>
      <c r="L14" s="203">
        <f t="shared" si="23"/>
        <v>228</v>
      </c>
      <c r="M14" s="203">
        <f t="shared" si="4"/>
        <v>4905.677419354839</v>
      </c>
      <c r="N14" s="203">
        <f t="shared" si="24"/>
        <v>228</v>
      </c>
      <c r="O14" s="203">
        <f t="shared" si="5"/>
        <v>4905.677419354839</v>
      </c>
      <c r="P14" s="203">
        <f t="shared" si="25"/>
        <v>228</v>
      </c>
      <c r="Q14" s="203">
        <f t="shared" si="6"/>
        <v>4905.677419354839</v>
      </c>
      <c r="R14" s="203">
        <f t="shared" si="26"/>
        <v>228</v>
      </c>
      <c r="S14" s="203">
        <f t="shared" si="7"/>
        <v>4905.677419354839</v>
      </c>
      <c r="T14" s="203">
        <f t="shared" si="27"/>
        <v>228</v>
      </c>
      <c r="U14" s="203">
        <f t="shared" si="8"/>
        <v>4905.677419354839</v>
      </c>
      <c r="V14" s="203">
        <f t="shared" si="28"/>
        <v>228</v>
      </c>
      <c r="W14" s="203">
        <f t="shared" si="9"/>
        <v>4905.677419354839</v>
      </c>
      <c r="X14" s="35">
        <f t="shared" si="10"/>
        <v>0.73548387096774215</v>
      </c>
      <c r="Y14" s="36">
        <f t="shared" si="29"/>
        <v>53962.451612903242</v>
      </c>
      <c r="Z14" s="496">
        <f>'B5'!C13</f>
        <v>234</v>
      </c>
      <c r="AA14" s="203">
        <f t="shared" si="30"/>
        <v>2340</v>
      </c>
      <c r="AB14" s="203">
        <f t="shared" si="31"/>
        <v>234</v>
      </c>
      <c r="AC14" s="203">
        <f t="shared" si="30"/>
        <v>2340</v>
      </c>
      <c r="AD14" s="203">
        <f t="shared" si="32"/>
        <v>234</v>
      </c>
      <c r="AE14" s="203">
        <f t="shared" si="11"/>
        <v>2340</v>
      </c>
      <c r="AF14" s="203">
        <f t="shared" si="33"/>
        <v>234</v>
      </c>
      <c r="AG14" s="203">
        <f t="shared" si="12"/>
        <v>2340</v>
      </c>
      <c r="AH14" s="203">
        <f t="shared" si="34"/>
        <v>234</v>
      </c>
      <c r="AI14" s="203">
        <f t="shared" si="13"/>
        <v>2340</v>
      </c>
      <c r="AJ14" s="203">
        <f t="shared" si="35"/>
        <v>234</v>
      </c>
      <c r="AK14" s="203">
        <f t="shared" si="14"/>
        <v>2340</v>
      </c>
      <c r="AL14" s="203">
        <f t="shared" si="36"/>
        <v>234</v>
      </c>
      <c r="AM14" s="203">
        <f t="shared" si="15"/>
        <v>2340</v>
      </c>
      <c r="AN14" s="35">
        <f t="shared" si="16"/>
        <v>0.83571428571428574</v>
      </c>
      <c r="AO14" s="36">
        <f t="shared" si="39"/>
        <v>16380</v>
      </c>
      <c r="AQ14" s="223">
        <f t="shared" si="40"/>
        <v>0.75661451664949164</v>
      </c>
      <c r="AR14" s="38">
        <f t="shared" si="41"/>
        <v>70342.451612903242</v>
      </c>
      <c r="AS14" s="197">
        <f>SUM(AR14-AR13-AT14)</f>
        <v>0</v>
      </c>
      <c r="AT14" s="339"/>
      <c r="AU14" s="545"/>
      <c r="AV14" s="484">
        <f t="shared" si="43"/>
        <v>0</v>
      </c>
      <c r="AW14" s="278">
        <f>-SUM('B5'!AI13)</f>
        <v>0</v>
      </c>
      <c r="AX14" s="278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7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757.99578059064243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5" t="e">
        <f>GEN!AF11</f>
        <v>#DIV/0!</v>
      </c>
    </row>
    <row r="15" spans="1:63" ht="13.5" customHeight="1">
      <c r="A15" s="424">
        <f>ELEC!C13</f>
        <v>44844</v>
      </c>
      <c r="B15" s="496">
        <f>'B5'!B14</f>
        <v>223.5</v>
      </c>
      <c r="C15" s="203">
        <f>B15*$B$4</f>
        <v>4808.8548387096771</v>
      </c>
      <c r="D15">
        <f t="shared" si="19"/>
        <v>223.5</v>
      </c>
      <c r="E15" s="203">
        <f t="shared" si="18"/>
        <v>4808.8548387096771</v>
      </c>
      <c r="F15">
        <f t="shared" si="20"/>
        <v>223.5</v>
      </c>
      <c r="G15" s="203">
        <f t="shared" si="1"/>
        <v>4808.8548387096771</v>
      </c>
      <c r="H15" s="203">
        <f t="shared" si="21"/>
        <v>223.5</v>
      </c>
      <c r="I15" s="203">
        <f t="shared" si="2"/>
        <v>4808.8548387096771</v>
      </c>
      <c r="J15" s="203">
        <f t="shared" si="22"/>
        <v>223.5</v>
      </c>
      <c r="K15" s="203">
        <f t="shared" si="3"/>
        <v>4808.8548387096771</v>
      </c>
      <c r="L15" s="203">
        <f t="shared" si="23"/>
        <v>223.5</v>
      </c>
      <c r="M15" s="203">
        <f t="shared" si="4"/>
        <v>4808.8548387096771</v>
      </c>
      <c r="N15" s="203">
        <f t="shared" si="24"/>
        <v>223.5</v>
      </c>
      <c r="O15" s="203">
        <f t="shared" si="5"/>
        <v>4808.8548387096771</v>
      </c>
      <c r="P15" s="203">
        <f t="shared" si="25"/>
        <v>223.5</v>
      </c>
      <c r="Q15" s="203">
        <f t="shared" si="6"/>
        <v>4808.8548387096771</v>
      </c>
      <c r="R15" s="203">
        <f t="shared" si="26"/>
        <v>223.5</v>
      </c>
      <c r="S15" s="203">
        <f t="shared" si="7"/>
        <v>4808.8548387096771</v>
      </c>
      <c r="T15" s="203">
        <f t="shared" si="27"/>
        <v>223.5</v>
      </c>
      <c r="U15" s="203">
        <f t="shared" si="8"/>
        <v>4808.8548387096771</v>
      </c>
      <c r="V15" s="203">
        <f t="shared" si="28"/>
        <v>223.5</v>
      </c>
      <c r="W15" s="203">
        <f t="shared" si="9"/>
        <v>4808.8548387096771</v>
      </c>
      <c r="X15" s="35">
        <f t="shared" si="10"/>
        <v>0.72096774193548374</v>
      </c>
      <c r="Y15" s="36">
        <f t="shared" si="29"/>
        <v>52897.40322580644</v>
      </c>
      <c r="Z15" s="496">
        <f>'B5'!C14</f>
        <v>231</v>
      </c>
      <c r="AA15" s="203">
        <f t="shared" si="30"/>
        <v>2310</v>
      </c>
      <c r="AB15" s="203">
        <f t="shared" si="31"/>
        <v>231</v>
      </c>
      <c r="AC15" s="203">
        <f t="shared" si="30"/>
        <v>2310</v>
      </c>
      <c r="AD15" s="203">
        <f t="shared" si="32"/>
        <v>231</v>
      </c>
      <c r="AE15" s="203">
        <f t="shared" si="11"/>
        <v>2310</v>
      </c>
      <c r="AF15" s="203">
        <f t="shared" si="33"/>
        <v>231</v>
      </c>
      <c r="AG15" s="203">
        <f t="shared" si="12"/>
        <v>2310</v>
      </c>
      <c r="AH15" s="203">
        <f t="shared" si="34"/>
        <v>231</v>
      </c>
      <c r="AI15" s="203">
        <f t="shared" si="13"/>
        <v>2310</v>
      </c>
      <c r="AJ15" s="203">
        <f t="shared" si="35"/>
        <v>231</v>
      </c>
      <c r="AK15" s="203">
        <f t="shared" si="14"/>
        <v>2310</v>
      </c>
      <c r="AL15" s="203">
        <f t="shared" si="36"/>
        <v>231</v>
      </c>
      <c r="AM15" s="203">
        <f t="shared" si="15"/>
        <v>2310</v>
      </c>
      <c r="AN15" s="35">
        <f t="shared" si="16"/>
        <v>0.82499999999999996</v>
      </c>
      <c r="AO15" s="36">
        <f t="shared" si="39"/>
        <v>16170</v>
      </c>
      <c r="AQ15" s="223">
        <f t="shared" si="40"/>
        <v>0.74289989486723074</v>
      </c>
      <c r="AR15" s="38">
        <f t="shared" si="41"/>
        <v>69067.40322580644</v>
      </c>
      <c r="AS15" s="197">
        <f t="shared" si="42"/>
        <v>-1275.0483870968019</v>
      </c>
      <c r="AT15" s="339"/>
      <c r="AU15" s="545"/>
      <c r="AV15" s="484">
        <f>IF(AT15&gt;0,AU15,AV14)</f>
        <v>0</v>
      </c>
      <c r="AW15" s="278">
        <f>-SUM('B5'!AI14)</f>
        <v>-173</v>
      </c>
      <c r="AX15" s="278">
        <f t="shared" si="17"/>
        <v>-1102.0483870968019</v>
      </c>
      <c r="AY15" s="37">
        <f t="shared" si="37"/>
        <v>-1275.0483870968019</v>
      </c>
      <c r="AZ15" s="100">
        <f>ELEC!A13</f>
        <v>0</v>
      </c>
      <c r="BA15" s="118">
        <f>'General information '!D14</f>
        <v>0</v>
      </c>
      <c r="BB15" s="377">
        <f>SUM('General information '!E14)</f>
        <v>0</v>
      </c>
      <c r="BC15" s="3">
        <f t="shared" si="44"/>
        <v>0</v>
      </c>
      <c r="BD15" s="102">
        <v>19222</v>
      </c>
      <c r="BE15" s="14">
        <f>(305/1185)*ELEC!Q14</f>
        <v>592.24050632897911</v>
      </c>
      <c r="BF15" s="14"/>
      <c r="BG15" s="14" t="e">
        <f>#REF!-BE15</f>
        <v>#REF!</v>
      </c>
      <c r="BH15" s="11"/>
      <c r="BI15">
        <v>4</v>
      </c>
      <c r="BJ15">
        <f t="shared" si="38"/>
        <v>-275.51209677420047</v>
      </c>
      <c r="BK15" s="535">
        <f>GEN!AF12</f>
        <v>0.15338541666665151</v>
      </c>
    </row>
    <row r="16" spans="1:63">
      <c r="A16" s="424">
        <f>ELEC!C14</f>
        <v>44845</v>
      </c>
      <c r="B16" s="496">
        <f>'B5'!B15</f>
        <v>220</v>
      </c>
      <c r="C16" s="203">
        <f t="shared" si="18"/>
        <v>4733.5483870967737</v>
      </c>
      <c r="D16">
        <f t="shared" si="19"/>
        <v>220</v>
      </c>
      <c r="E16" s="203">
        <f t="shared" si="18"/>
        <v>4733.5483870967737</v>
      </c>
      <c r="F16">
        <f t="shared" si="20"/>
        <v>220</v>
      </c>
      <c r="G16" s="203">
        <f t="shared" si="1"/>
        <v>4733.5483870967737</v>
      </c>
      <c r="H16" s="203">
        <f t="shared" si="21"/>
        <v>220</v>
      </c>
      <c r="I16" s="203">
        <f t="shared" si="2"/>
        <v>4733.5483870967737</v>
      </c>
      <c r="J16" s="203">
        <f t="shared" si="22"/>
        <v>220</v>
      </c>
      <c r="K16" s="203">
        <f t="shared" si="3"/>
        <v>4733.5483870967737</v>
      </c>
      <c r="L16" s="203">
        <f t="shared" si="23"/>
        <v>220</v>
      </c>
      <c r="M16" s="203">
        <f t="shared" si="4"/>
        <v>4733.5483870967737</v>
      </c>
      <c r="N16" s="203">
        <f t="shared" si="24"/>
        <v>220</v>
      </c>
      <c r="O16" s="203">
        <f t="shared" si="5"/>
        <v>4733.5483870967737</v>
      </c>
      <c r="P16" s="203">
        <f t="shared" si="25"/>
        <v>220</v>
      </c>
      <c r="Q16" s="203">
        <f t="shared" si="6"/>
        <v>4733.5483870967737</v>
      </c>
      <c r="R16" s="203">
        <f t="shared" si="26"/>
        <v>220</v>
      </c>
      <c r="S16" s="203">
        <f t="shared" si="7"/>
        <v>4733.5483870967737</v>
      </c>
      <c r="T16" s="203">
        <f t="shared" si="27"/>
        <v>220</v>
      </c>
      <c r="U16" s="203">
        <f t="shared" si="8"/>
        <v>4733.5483870967737</v>
      </c>
      <c r="V16" s="203">
        <f t="shared" si="28"/>
        <v>220</v>
      </c>
      <c r="W16" s="203">
        <f t="shared" si="9"/>
        <v>4733.5483870967737</v>
      </c>
      <c r="X16" s="35">
        <f t="shared" si="10"/>
        <v>0.70967741935483863</v>
      </c>
      <c r="Y16" s="36">
        <f t="shared" si="29"/>
        <v>52069.032258064508</v>
      </c>
      <c r="Z16" s="496">
        <f>'B5'!C15</f>
        <v>226</v>
      </c>
      <c r="AA16" s="203">
        <f t="shared" si="30"/>
        <v>2260</v>
      </c>
      <c r="AB16" s="203">
        <f t="shared" si="31"/>
        <v>226</v>
      </c>
      <c r="AC16" s="203">
        <f t="shared" si="30"/>
        <v>2260</v>
      </c>
      <c r="AD16" s="203">
        <f t="shared" si="32"/>
        <v>226</v>
      </c>
      <c r="AE16" s="203">
        <f t="shared" si="11"/>
        <v>2260</v>
      </c>
      <c r="AF16" s="203">
        <f t="shared" si="33"/>
        <v>226</v>
      </c>
      <c r="AG16" s="203">
        <f t="shared" si="12"/>
        <v>2260</v>
      </c>
      <c r="AH16" s="203">
        <f t="shared" si="34"/>
        <v>226</v>
      </c>
      <c r="AI16" s="203">
        <f t="shared" si="13"/>
        <v>2260</v>
      </c>
      <c r="AJ16" s="203">
        <f t="shared" si="35"/>
        <v>226</v>
      </c>
      <c r="AK16" s="203">
        <f t="shared" si="14"/>
        <v>2260</v>
      </c>
      <c r="AL16" s="203">
        <f t="shared" si="36"/>
        <v>226</v>
      </c>
      <c r="AM16" s="203">
        <f t="shared" si="15"/>
        <v>2260</v>
      </c>
      <c r="AN16" s="35">
        <f t="shared" si="16"/>
        <v>0.80714285714285716</v>
      </c>
      <c r="AO16" s="36">
        <f t="shared" si="39"/>
        <v>15820</v>
      </c>
      <c r="AQ16" s="223">
        <f t="shared" si="40"/>
        <v>0.73022515067295379</v>
      </c>
      <c r="AR16" s="38">
        <f>Y16+AO16</f>
        <v>67889.032258064515</v>
      </c>
      <c r="AS16" s="197">
        <f>SUM(AR16-AR15-AT16)</f>
        <v>-1178.3709677419247</v>
      </c>
      <c r="AT16" s="339"/>
      <c r="AU16" s="545"/>
      <c r="AV16" s="484">
        <f t="shared" ref="AV16" si="45">IF(AT16&gt;0,AU16,AV15)</f>
        <v>0</v>
      </c>
      <c r="AW16" s="278">
        <f>-SUM('B5'!AI15)</f>
        <v>0</v>
      </c>
      <c r="AX16" s="278">
        <f t="shared" si="17"/>
        <v>-1178.3709677419247</v>
      </c>
      <c r="AY16" s="37">
        <f t="shared" si="37"/>
        <v>-1178.3709677419247</v>
      </c>
      <c r="AZ16" s="100">
        <f>ELEC!A14</f>
        <v>0</v>
      </c>
      <c r="BA16" s="118">
        <f>'General information '!D15</f>
        <v>25</v>
      </c>
      <c r="BB16" s="377">
        <f>SUM('General information '!E15)</f>
        <v>0.52</v>
      </c>
      <c r="BC16" s="3">
        <f t="shared" si="44"/>
        <v>0</v>
      </c>
      <c r="BD16" s="102">
        <v>19222</v>
      </c>
      <c r="BE16" s="14">
        <f>(305/1185)*ELEC!Q15</f>
        <v>867.12658227910288</v>
      </c>
      <c r="BF16" s="14"/>
      <c r="BG16" s="14" t="e">
        <f>#REF!-BE16</f>
        <v>#REF!</v>
      </c>
      <c r="BH16" s="11"/>
      <c r="BI16">
        <v>3</v>
      </c>
      <c r="BJ16">
        <f t="shared" si="38"/>
        <v>-392.79032258064154</v>
      </c>
      <c r="BK16" s="535">
        <f>GEN!AF13</f>
        <v>0.14381249999996726</v>
      </c>
    </row>
    <row r="17" spans="1:64">
      <c r="A17" s="424">
        <f>ELEC!C15</f>
        <v>44846</v>
      </c>
      <c r="B17" s="496">
        <f>'B5'!B16</f>
        <v>238</v>
      </c>
      <c r="C17" s="203">
        <f t="shared" si="18"/>
        <v>5120.8387096774195</v>
      </c>
      <c r="D17">
        <f t="shared" si="19"/>
        <v>238</v>
      </c>
      <c r="E17" s="203">
        <f t="shared" si="18"/>
        <v>5120.8387096774195</v>
      </c>
      <c r="F17">
        <f t="shared" si="20"/>
        <v>238</v>
      </c>
      <c r="G17" s="203">
        <f t="shared" si="1"/>
        <v>5120.8387096774195</v>
      </c>
      <c r="H17" s="203">
        <f t="shared" si="21"/>
        <v>238</v>
      </c>
      <c r="I17" s="203">
        <f t="shared" si="2"/>
        <v>5120.8387096774195</v>
      </c>
      <c r="J17" s="203">
        <f t="shared" si="22"/>
        <v>238</v>
      </c>
      <c r="K17" s="203">
        <f t="shared" si="3"/>
        <v>5120.8387096774195</v>
      </c>
      <c r="L17" s="203">
        <f t="shared" si="23"/>
        <v>238</v>
      </c>
      <c r="M17" s="203">
        <f t="shared" si="4"/>
        <v>5120.8387096774195</v>
      </c>
      <c r="N17" s="203">
        <f t="shared" si="24"/>
        <v>238</v>
      </c>
      <c r="O17" s="203">
        <f t="shared" si="5"/>
        <v>5120.8387096774195</v>
      </c>
      <c r="P17" s="203">
        <f t="shared" si="25"/>
        <v>238</v>
      </c>
      <c r="Q17" s="203">
        <f t="shared" si="6"/>
        <v>5120.8387096774195</v>
      </c>
      <c r="R17" s="203">
        <f t="shared" si="26"/>
        <v>238</v>
      </c>
      <c r="S17" s="203">
        <f t="shared" si="7"/>
        <v>5120.8387096774195</v>
      </c>
      <c r="T17" s="203">
        <f t="shared" si="27"/>
        <v>238</v>
      </c>
      <c r="U17" s="203">
        <f t="shared" si="8"/>
        <v>5120.8387096774195</v>
      </c>
      <c r="V17" s="203">
        <f t="shared" si="28"/>
        <v>238</v>
      </c>
      <c r="W17" s="203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496">
        <f>'B5'!C16</f>
        <v>244</v>
      </c>
      <c r="AA17" s="203">
        <f t="shared" si="30"/>
        <v>2440</v>
      </c>
      <c r="AB17" s="203">
        <f t="shared" si="31"/>
        <v>244</v>
      </c>
      <c r="AC17" s="203">
        <f t="shared" si="30"/>
        <v>2440</v>
      </c>
      <c r="AD17" s="203">
        <f t="shared" si="32"/>
        <v>244</v>
      </c>
      <c r="AE17" s="203">
        <f t="shared" si="11"/>
        <v>2440</v>
      </c>
      <c r="AF17" s="203">
        <f t="shared" si="33"/>
        <v>244</v>
      </c>
      <c r="AG17" s="203">
        <f t="shared" si="12"/>
        <v>2440</v>
      </c>
      <c r="AH17" s="203">
        <f t="shared" si="34"/>
        <v>244</v>
      </c>
      <c r="AI17" s="203">
        <f t="shared" si="13"/>
        <v>2440</v>
      </c>
      <c r="AJ17" s="203">
        <f t="shared" si="35"/>
        <v>244</v>
      </c>
      <c r="AK17" s="203">
        <f t="shared" si="14"/>
        <v>2440</v>
      </c>
      <c r="AL17" s="203">
        <f t="shared" si="36"/>
        <v>244</v>
      </c>
      <c r="AM17" s="203">
        <f t="shared" si="15"/>
        <v>2440</v>
      </c>
      <c r="AN17" s="35">
        <f t="shared" si="16"/>
        <v>0.87142857142857144</v>
      </c>
      <c r="AO17" s="36">
        <f>SUM(AA17+AC17+AE17+AG17+AI17+AK17+AM17)</f>
        <v>17080</v>
      </c>
      <c r="AQ17" s="223">
        <f t="shared" si="40"/>
        <v>0.78960122412016354</v>
      </c>
      <c r="AR17" s="38">
        <f t="shared" si="41"/>
        <v>73409.225806451606</v>
      </c>
      <c r="AS17" s="197">
        <f t="shared" si="42"/>
        <v>-9.8064516129088588</v>
      </c>
      <c r="AT17" s="339">
        <v>5530</v>
      </c>
      <c r="AU17" s="545">
        <v>1.03</v>
      </c>
      <c r="AV17" s="484">
        <f>IF(AT17&gt;0,AU17,AV16)</f>
        <v>1.03</v>
      </c>
      <c r="AW17" s="278">
        <f>-SUM('B5'!AI16)</f>
        <v>-172</v>
      </c>
      <c r="AX17" s="278">
        <f t="shared" si="17"/>
        <v>162.19354838709114</v>
      </c>
      <c r="AY17" s="37">
        <f t="shared" si="37"/>
        <v>-9.8064516129088588</v>
      </c>
      <c r="AZ17" s="100">
        <f>ELEC!A15</f>
        <v>0</v>
      </c>
      <c r="BA17" s="118">
        <f>'General information '!D16</f>
        <v>24.5</v>
      </c>
      <c r="BB17" s="377">
        <f>SUM('General information '!E16)</f>
        <v>0.6</v>
      </c>
      <c r="BC17" s="3">
        <f t="shared" si="44"/>
        <v>1</v>
      </c>
      <c r="BD17" s="102">
        <v>19222</v>
      </c>
      <c r="BE17" s="14">
        <f>(305/1185)*ELEC!Q16</f>
        <v>0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40.548387096772785</v>
      </c>
      <c r="BK17" s="535">
        <f>GEN!AF14</f>
        <v>0.15040178571439355</v>
      </c>
    </row>
    <row r="18" spans="1:64">
      <c r="A18" s="424">
        <f>ELEC!C16</f>
        <v>44847</v>
      </c>
      <c r="B18" s="496">
        <f>'B5'!B17</f>
        <v>238</v>
      </c>
      <c r="C18" s="203">
        <f t="shared" si="18"/>
        <v>5120.8387096774195</v>
      </c>
      <c r="D18">
        <f t="shared" si="19"/>
        <v>238</v>
      </c>
      <c r="E18" s="203">
        <f t="shared" si="18"/>
        <v>5120.8387096774195</v>
      </c>
      <c r="F18">
        <f t="shared" si="20"/>
        <v>238</v>
      </c>
      <c r="G18" s="203">
        <f t="shared" si="1"/>
        <v>5120.8387096774195</v>
      </c>
      <c r="H18" s="203">
        <f t="shared" si="21"/>
        <v>238</v>
      </c>
      <c r="I18" s="203">
        <f t="shared" si="2"/>
        <v>5120.8387096774195</v>
      </c>
      <c r="J18" s="203">
        <f t="shared" si="22"/>
        <v>238</v>
      </c>
      <c r="K18" s="203">
        <f t="shared" si="3"/>
        <v>5120.8387096774195</v>
      </c>
      <c r="L18" s="203">
        <f t="shared" si="23"/>
        <v>238</v>
      </c>
      <c r="M18" s="203">
        <f t="shared" si="4"/>
        <v>5120.8387096774195</v>
      </c>
      <c r="N18" s="203">
        <f t="shared" si="24"/>
        <v>238</v>
      </c>
      <c r="O18" s="203">
        <f t="shared" si="5"/>
        <v>5120.8387096774195</v>
      </c>
      <c r="P18" s="203">
        <f t="shared" si="25"/>
        <v>238</v>
      </c>
      <c r="Q18" s="203">
        <f t="shared" si="6"/>
        <v>5120.8387096774195</v>
      </c>
      <c r="R18" s="203">
        <f t="shared" si="26"/>
        <v>238</v>
      </c>
      <c r="S18" s="203">
        <f t="shared" si="7"/>
        <v>5120.8387096774195</v>
      </c>
      <c r="T18" s="203">
        <f t="shared" si="27"/>
        <v>238</v>
      </c>
      <c r="U18" s="203">
        <f t="shared" si="8"/>
        <v>5120.8387096774195</v>
      </c>
      <c r="V18" s="203">
        <f t="shared" si="28"/>
        <v>238</v>
      </c>
      <c r="W18" s="203">
        <f t="shared" si="9"/>
        <v>5120.8387096774195</v>
      </c>
      <c r="X18" s="35">
        <f t="shared" si="10"/>
        <v>0.76774193548387093</v>
      </c>
      <c r="Y18" s="36">
        <f t="shared" si="29"/>
        <v>56329.225806451606</v>
      </c>
      <c r="Z18" s="496">
        <f>'B5'!C17</f>
        <v>244</v>
      </c>
      <c r="AA18" s="203">
        <f t="shared" si="30"/>
        <v>2440</v>
      </c>
      <c r="AB18" s="203">
        <f t="shared" si="31"/>
        <v>244</v>
      </c>
      <c r="AC18" s="203">
        <f t="shared" si="30"/>
        <v>2440</v>
      </c>
      <c r="AD18" s="203">
        <f t="shared" si="32"/>
        <v>244</v>
      </c>
      <c r="AE18" s="203">
        <f t="shared" si="11"/>
        <v>2440</v>
      </c>
      <c r="AF18" s="203">
        <f t="shared" si="33"/>
        <v>244</v>
      </c>
      <c r="AG18" s="203">
        <f t="shared" si="12"/>
        <v>2440</v>
      </c>
      <c r="AH18" s="203">
        <f t="shared" si="34"/>
        <v>244</v>
      </c>
      <c r="AI18" s="203">
        <f t="shared" si="13"/>
        <v>2440</v>
      </c>
      <c r="AJ18" s="203">
        <f t="shared" si="35"/>
        <v>244</v>
      </c>
      <c r="AK18" s="203">
        <f t="shared" si="14"/>
        <v>2440</v>
      </c>
      <c r="AL18" s="203">
        <f t="shared" si="36"/>
        <v>244</v>
      </c>
      <c r="AM18" s="203">
        <f t="shared" si="15"/>
        <v>2440</v>
      </c>
      <c r="AN18" s="35">
        <f t="shared" si="16"/>
        <v>0.87142857142857144</v>
      </c>
      <c r="AO18" s="36">
        <f t="shared" si="39"/>
        <v>17080</v>
      </c>
      <c r="AQ18" s="223">
        <f t="shared" si="40"/>
        <v>0.78960122412016354</v>
      </c>
      <c r="AR18" s="38">
        <f t="shared" si="41"/>
        <v>73409.225806451606</v>
      </c>
      <c r="AS18" s="197">
        <f>SUM(AR18-AR17-AT18)</f>
        <v>0</v>
      </c>
      <c r="AT18" s="339"/>
      <c r="AU18" s="545"/>
      <c r="AV18" s="484">
        <f t="shared" ref="AV18:AV36" si="47">IF(AT18&gt;0,AU18,AV17)</f>
        <v>1.03</v>
      </c>
      <c r="AW18" s="278">
        <f>-SUM('B5'!AI17)</f>
        <v>0</v>
      </c>
      <c r="AX18" s="278">
        <f t="shared" si="17"/>
        <v>0</v>
      </c>
      <c r="AY18" s="37">
        <f t="shared" si="37"/>
        <v>0</v>
      </c>
      <c r="AZ18" s="100">
        <f>ELEC!A16</f>
        <v>0</v>
      </c>
      <c r="BA18" s="118">
        <f>'General information '!D17</f>
        <v>0</v>
      </c>
      <c r="BB18" s="377">
        <f>SUM('General information '!E17)</f>
        <v>0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0</v>
      </c>
      <c r="BK18" s="535"/>
    </row>
    <row r="19" spans="1:64">
      <c r="A19" s="424">
        <f>ELEC!C17</f>
        <v>44848</v>
      </c>
      <c r="B19" s="496">
        <f>'B5'!B18</f>
        <v>238</v>
      </c>
      <c r="C19" s="203">
        <f t="shared" si="18"/>
        <v>5120.8387096774195</v>
      </c>
      <c r="D19">
        <f t="shared" si="19"/>
        <v>238</v>
      </c>
      <c r="E19" s="203">
        <f t="shared" si="18"/>
        <v>5120.8387096774195</v>
      </c>
      <c r="F19">
        <f t="shared" si="20"/>
        <v>238</v>
      </c>
      <c r="G19" s="203">
        <f t="shared" si="1"/>
        <v>5120.8387096774195</v>
      </c>
      <c r="H19" s="203">
        <f t="shared" si="21"/>
        <v>238</v>
      </c>
      <c r="I19" s="203">
        <f t="shared" si="2"/>
        <v>5120.8387096774195</v>
      </c>
      <c r="J19" s="203">
        <f t="shared" si="22"/>
        <v>238</v>
      </c>
      <c r="K19" s="203">
        <f t="shared" si="3"/>
        <v>5120.8387096774195</v>
      </c>
      <c r="L19" s="203">
        <f t="shared" si="23"/>
        <v>238</v>
      </c>
      <c r="M19" s="203">
        <f t="shared" si="4"/>
        <v>5120.8387096774195</v>
      </c>
      <c r="N19" s="203">
        <f t="shared" si="24"/>
        <v>238</v>
      </c>
      <c r="O19" s="203">
        <f t="shared" si="5"/>
        <v>5120.8387096774195</v>
      </c>
      <c r="P19" s="203">
        <f t="shared" si="25"/>
        <v>238</v>
      </c>
      <c r="Q19" s="203">
        <f t="shared" si="6"/>
        <v>5120.8387096774195</v>
      </c>
      <c r="R19" s="203">
        <f t="shared" si="26"/>
        <v>238</v>
      </c>
      <c r="S19" s="203">
        <f t="shared" si="7"/>
        <v>5120.8387096774195</v>
      </c>
      <c r="T19" s="203">
        <f t="shared" si="27"/>
        <v>238</v>
      </c>
      <c r="U19" s="203">
        <f t="shared" si="8"/>
        <v>5120.8387096774195</v>
      </c>
      <c r="V19" s="203">
        <f t="shared" si="28"/>
        <v>238</v>
      </c>
      <c r="W19" s="203">
        <f t="shared" si="9"/>
        <v>5120.8387096774195</v>
      </c>
      <c r="X19" s="35">
        <f t="shared" si="10"/>
        <v>0.76774193548387093</v>
      </c>
      <c r="Y19" s="36">
        <f t="shared" si="29"/>
        <v>56329.225806451606</v>
      </c>
      <c r="Z19" s="496">
        <f>'B5'!C18</f>
        <v>244</v>
      </c>
      <c r="AA19" s="203">
        <f t="shared" si="30"/>
        <v>2440</v>
      </c>
      <c r="AB19" s="203">
        <f t="shared" si="31"/>
        <v>244</v>
      </c>
      <c r="AC19" s="203">
        <f t="shared" si="30"/>
        <v>2440</v>
      </c>
      <c r="AD19" s="203">
        <f t="shared" si="32"/>
        <v>244</v>
      </c>
      <c r="AE19" s="203">
        <f t="shared" si="11"/>
        <v>2440</v>
      </c>
      <c r="AF19" s="203">
        <f t="shared" si="33"/>
        <v>244</v>
      </c>
      <c r="AG19" s="203">
        <f t="shared" si="12"/>
        <v>2440</v>
      </c>
      <c r="AH19" s="203">
        <f t="shared" si="34"/>
        <v>244</v>
      </c>
      <c r="AI19" s="203">
        <f t="shared" si="13"/>
        <v>2440</v>
      </c>
      <c r="AJ19" s="203">
        <f t="shared" si="35"/>
        <v>244</v>
      </c>
      <c r="AK19" s="203">
        <f t="shared" si="14"/>
        <v>2440</v>
      </c>
      <c r="AL19" s="203">
        <f t="shared" si="36"/>
        <v>244</v>
      </c>
      <c r="AM19" s="203">
        <f t="shared" si="15"/>
        <v>2440</v>
      </c>
      <c r="AN19" s="35">
        <f t="shared" si="16"/>
        <v>0.87142857142857144</v>
      </c>
      <c r="AO19" s="36">
        <f t="shared" si="39"/>
        <v>17080</v>
      </c>
      <c r="AQ19" s="223">
        <f t="shared" si="40"/>
        <v>0.78960122412016354</v>
      </c>
      <c r="AR19" s="38">
        <f t="shared" si="41"/>
        <v>73409.225806451606</v>
      </c>
      <c r="AS19" s="197">
        <f t="shared" si="42"/>
        <v>0</v>
      </c>
      <c r="AT19" s="339"/>
      <c r="AU19" s="545"/>
      <c r="AV19" s="484">
        <f t="shared" si="47"/>
        <v>1.03</v>
      </c>
      <c r="AW19" s="278">
        <f>-SUM('B5'!AI18)</f>
        <v>0</v>
      </c>
      <c r="AX19" s="278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7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5"/>
    </row>
    <row r="20" spans="1:64">
      <c r="A20" s="424">
        <f>ELEC!C18</f>
        <v>44849</v>
      </c>
      <c r="B20" s="496">
        <f>'B5'!B19</f>
        <v>238</v>
      </c>
      <c r="C20" s="203">
        <f t="shared" si="18"/>
        <v>5120.8387096774195</v>
      </c>
      <c r="D20">
        <f t="shared" si="19"/>
        <v>238</v>
      </c>
      <c r="E20" s="203">
        <f t="shared" si="18"/>
        <v>5120.8387096774195</v>
      </c>
      <c r="F20">
        <f t="shared" si="20"/>
        <v>238</v>
      </c>
      <c r="G20" s="203">
        <f t="shared" si="1"/>
        <v>5120.8387096774195</v>
      </c>
      <c r="H20" s="203">
        <f t="shared" si="21"/>
        <v>238</v>
      </c>
      <c r="I20" s="203">
        <f t="shared" si="2"/>
        <v>5120.8387096774195</v>
      </c>
      <c r="J20" s="203">
        <f t="shared" si="22"/>
        <v>238</v>
      </c>
      <c r="K20" s="203">
        <f t="shared" si="3"/>
        <v>5120.8387096774195</v>
      </c>
      <c r="L20" s="203">
        <f t="shared" si="23"/>
        <v>238</v>
      </c>
      <c r="M20" s="203">
        <f t="shared" si="4"/>
        <v>5120.8387096774195</v>
      </c>
      <c r="N20" s="203">
        <f t="shared" si="24"/>
        <v>238</v>
      </c>
      <c r="O20" s="203">
        <f t="shared" si="5"/>
        <v>5120.8387096774195</v>
      </c>
      <c r="P20" s="203">
        <f t="shared" si="25"/>
        <v>238</v>
      </c>
      <c r="Q20" s="203">
        <f t="shared" si="6"/>
        <v>5120.8387096774195</v>
      </c>
      <c r="R20" s="203">
        <f t="shared" si="26"/>
        <v>238</v>
      </c>
      <c r="S20" s="203">
        <f t="shared" si="7"/>
        <v>5120.8387096774195</v>
      </c>
      <c r="T20" s="203">
        <f t="shared" si="27"/>
        <v>238</v>
      </c>
      <c r="U20" s="203">
        <f t="shared" si="8"/>
        <v>5120.8387096774195</v>
      </c>
      <c r="V20" s="203">
        <f t="shared" si="28"/>
        <v>238</v>
      </c>
      <c r="W20" s="203">
        <f t="shared" si="9"/>
        <v>5120.8387096774195</v>
      </c>
      <c r="X20" s="35">
        <f t="shared" si="10"/>
        <v>0.76774193548387093</v>
      </c>
      <c r="Y20" s="36">
        <f t="shared" si="29"/>
        <v>56329.225806451606</v>
      </c>
      <c r="Z20" s="496">
        <f>'B5'!C19</f>
        <v>244</v>
      </c>
      <c r="AA20" s="203">
        <f t="shared" si="30"/>
        <v>2440</v>
      </c>
      <c r="AB20" s="203">
        <f t="shared" si="31"/>
        <v>244</v>
      </c>
      <c r="AC20" s="203">
        <f t="shared" si="30"/>
        <v>2440</v>
      </c>
      <c r="AD20" s="203">
        <f t="shared" si="32"/>
        <v>244</v>
      </c>
      <c r="AE20" s="203">
        <f t="shared" si="11"/>
        <v>2440</v>
      </c>
      <c r="AF20" s="203">
        <f t="shared" si="33"/>
        <v>244</v>
      </c>
      <c r="AG20" s="203">
        <f t="shared" si="12"/>
        <v>2440</v>
      </c>
      <c r="AH20" s="203">
        <f t="shared" si="34"/>
        <v>244</v>
      </c>
      <c r="AI20" s="203">
        <f t="shared" si="13"/>
        <v>2440</v>
      </c>
      <c r="AJ20" s="203">
        <f t="shared" si="35"/>
        <v>244</v>
      </c>
      <c r="AK20" s="203">
        <f t="shared" si="14"/>
        <v>2440</v>
      </c>
      <c r="AL20" s="203">
        <f t="shared" si="36"/>
        <v>244</v>
      </c>
      <c r="AM20" s="203">
        <f t="shared" si="15"/>
        <v>2440</v>
      </c>
      <c r="AN20" s="35">
        <f t="shared" si="16"/>
        <v>0.87142857142857144</v>
      </c>
      <c r="AO20" s="36">
        <f t="shared" si="39"/>
        <v>17080</v>
      </c>
      <c r="AQ20" s="223">
        <f t="shared" si="40"/>
        <v>0.78960122412016354</v>
      </c>
      <c r="AR20" s="38">
        <f t="shared" si="41"/>
        <v>73409.225806451606</v>
      </c>
      <c r="AS20" s="197">
        <f t="shared" si="42"/>
        <v>0</v>
      </c>
      <c r="AT20" s="339"/>
      <c r="AU20" s="545"/>
      <c r="AV20" s="484">
        <f t="shared" si="47"/>
        <v>1.03</v>
      </c>
      <c r="AW20" s="278">
        <f>-SUM('B5'!AI19)</f>
        <v>0</v>
      </c>
      <c r="AX20" s="278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7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1286.6624472573317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5">
        <f>GEN!AF17</f>
        <v>0</v>
      </c>
      <c r="BL20" s="203"/>
    </row>
    <row r="21" spans="1:64">
      <c r="A21" s="424">
        <f>ELEC!C19</f>
        <v>44850</v>
      </c>
      <c r="B21" s="496">
        <f>'B5'!B20</f>
        <v>231</v>
      </c>
      <c r="C21" s="203">
        <f t="shared" si="18"/>
        <v>4970.2258064516127</v>
      </c>
      <c r="D21">
        <f t="shared" si="19"/>
        <v>231</v>
      </c>
      <c r="E21" s="203">
        <f t="shared" si="18"/>
        <v>4970.2258064516127</v>
      </c>
      <c r="F21">
        <f t="shared" si="20"/>
        <v>231</v>
      </c>
      <c r="G21" s="203">
        <f t="shared" si="1"/>
        <v>4970.2258064516127</v>
      </c>
      <c r="H21" s="203">
        <f t="shared" si="21"/>
        <v>231</v>
      </c>
      <c r="I21" s="203">
        <f t="shared" si="2"/>
        <v>4970.2258064516127</v>
      </c>
      <c r="J21" s="203">
        <f t="shared" si="22"/>
        <v>231</v>
      </c>
      <c r="K21" s="203">
        <f t="shared" si="3"/>
        <v>4970.2258064516127</v>
      </c>
      <c r="L21" s="203">
        <f t="shared" si="23"/>
        <v>231</v>
      </c>
      <c r="M21" s="203">
        <f t="shared" si="4"/>
        <v>4970.2258064516127</v>
      </c>
      <c r="N21" s="203">
        <f t="shared" si="24"/>
        <v>231</v>
      </c>
      <c r="O21" s="203">
        <f t="shared" si="5"/>
        <v>4970.2258064516127</v>
      </c>
      <c r="P21" s="203">
        <f t="shared" si="25"/>
        <v>231</v>
      </c>
      <c r="Q21" s="203">
        <f t="shared" si="6"/>
        <v>4970.2258064516127</v>
      </c>
      <c r="R21" s="203">
        <f t="shared" si="26"/>
        <v>231</v>
      </c>
      <c r="S21" s="203">
        <f t="shared" si="7"/>
        <v>4970.2258064516127</v>
      </c>
      <c r="T21" s="203">
        <f t="shared" si="27"/>
        <v>231</v>
      </c>
      <c r="U21" s="203">
        <f t="shared" si="8"/>
        <v>4970.2258064516127</v>
      </c>
      <c r="V21" s="203">
        <f t="shared" si="28"/>
        <v>231</v>
      </c>
      <c r="W21" s="203">
        <f t="shared" si="9"/>
        <v>4970.2258064516127</v>
      </c>
      <c r="X21" s="35">
        <f t="shared" si="10"/>
        <v>0.74516129032258061</v>
      </c>
      <c r="Y21" s="36">
        <f t="shared" si="29"/>
        <v>54672.483870967742</v>
      </c>
      <c r="Z21" s="496">
        <f>'B5'!C20</f>
        <v>237</v>
      </c>
      <c r="AA21" s="203">
        <f t="shared" si="30"/>
        <v>2370</v>
      </c>
      <c r="AB21" s="203">
        <f t="shared" si="31"/>
        <v>237</v>
      </c>
      <c r="AC21" s="203">
        <f t="shared" si="30"/>
        <v>2370</v>
      </c>
      <c r="AD21" s="203">
        <f t="shared" si="32"/>
        <v>237</v>
      </c>
      <c r="AE21" s="203">
        <f t="shared" si="11"/>
        <v>2370</v>
      </c>
      <c r="AF21" s="203">
        <f t="shared" si="33"/>
        <v>237</v>
      </c>
      <c r="AG21" s="203">
        <f t="shared" si="12"/>
        <v>2370</v>
      </c>
      <c r="AH21" s="203">
        <f t="shared" si="34"/>
        <v>237</v>
      </c>
      <c r="AI21" s="203">
        <f t="shared" si="13"/>
        <v>2370</v>
      </c>
      <c r="AJ21" s="203">
        <f t="shared" si="35"/>
        <v>237</v>
      </c>
      <c r="AK21" s="203">
        <f t="shared" si="14"/>
        <v>2370</v>
      </c>
      <c r="AL21" s="203">
        <f t="shared" si="36"/>
        <v>237</v>
      </c>
      <c r="AM21" s="203">
        <f t="shared" si="15"/>
        <v>2370</v>
      </c>
      <c r="AN21" s="35">
        <f t="shared" si="16"/>
        <v>0.84642857142857142</v>
      </c>
      <c r="AO21" s="36">
        <f t="shared" si="39"/>
        <v>16590</v>
      </c>
      <c r="AQ21" s="223">
        <f t="shared" si="40"/>
        <v>0.76651052889069315</v>
      </c>
      <c r="AR21" s="38">
        <f t="shared" si="41"/>
        <v>71262.483870967742</v>
      </c>
      <c r="AS21" s="197">
        <f>SUM(AR21-AR20-AT21)</f>
        <v>-2146.7419354838639</v>
      </c>
      <c r="AT21" s="339"/>
      <c r="AU21" s="545"/>
      <c r="AV21" s="484">
        <f t="shared" si="47"/>
        <v>1.03</v>
      </c>
      <c r="AW21" s="278">
        <f>-SUM('B5'!AI20)</f>
        <v>-305</v>
      </c>
      <c r="AX21" s="278">
        <f t="shared" si="17"/>
        <v>-1841.7419354838639</v>
      </c>
      <c r="AY21" s="37">
        <f t="shared" si="37"/>
        <v>-2146.7419354838639</v>
      </c>
      <c r="AZ21" s="100">
        <f>ELEC!A19</f>
        <v>0</v>
      </c>
      <c r="BA21" s="118">
        <f>'General information '!D20</f>
        <v>0</v>
      </c>
      <c r="BB21" s="377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518.88607594926975</v>
      </c>
      <c r="BF21" s="14"/>
      <c r="BG21" s="14" t="e">
        <f>#REF!-BE21</f>
        <v>#REF!</v>
      </c>
      <c r="BH21" s="11"/>
      <c r="BI21">
        <v>8</v>
      </c>
      <c r="BJ21">
        <f t="shared" si="46"/>
        <v>-230.21774193548299</v>
      </c>
      <c r="BK21" s="535">
        <f>GEN!AF18</f>
        <v>0.28403409090907933</v>
      </c>
    </row>
    <row r="22" spans="1:64">
      <c r="A22" s="424">
        <f>ELEC!C20</f>
        <v>44851</v>
      </c>
      <c r="B22" s="496">
        <f>'B5'!B21</f>
        <v>228</v>
      </c>
      <c r="C22" s="203">
        <f t="shared" si="18"/>
        <v>4905.677419354839</v>
      </c>
      <c r="D22">
        <f t="shared" si="19"/>
        <v>228</v>
      </c>
      <c r="E22" s="203">
        <f t="shared" si="18"/>
        <v>4905.677419354839</v>
      </c>
      <c r="F22">
        <f t="shared" si="20"/>
        <v>228</v>
      </c>
      <c r="G22" s="203">
        <f t="shared" si="1"/>
        <v>4905.677419354839</v>
      </c>
      <c r="H22" s="203">
        <f t="shared" si="21"/>
        <v>228</v>
      </c>
      <c r="I22" s="203">
        <f t="shared" si="2"/>
        <v>4905.677419354839</v>
      </c>
      <c r="J22" s="203">
        <f t="shared" si="22"/>
        <v>228</v>
      </c>
      <c r="K22" s="203">
        <f t="shared" si="3"/>
        <v>4905.677419354839</v>
      </c>
      <c r="L22" s="203">
        <f t="shared" si="23"/>
        <v>228</v>
      </c>
      <c r="M22" s="203">
        <f t="shared" si="4"/>
        <v>4905.677419354839</v>
      </c>
      <c r="N22" s="203">
        <f t="shared" si="24"/>
        <v>228</v>
      </c>
      <c r="O22" s="203">
        <f t="shared" si="5"/>
        <v>4905.677419354839</v>
      </c>
      <c r="P22" s="203">
        <f t="shared" si="25"/>
        <v>228</v>
      </c>
      <c r="Q22" s="203">
        <f t="shared" si="6"/>
        <v>4905.677419354839</v>
      </c>
      <c r="R22" s="203">
        <f t="shared" si="26"/>
        <v>228</v>
      </c>
      <c r="S22" s="203">
        <f t="shared" si="7"/>
        <v>4905.677419354839</v>
      </c>
      <c r="T22" s="203">
        <f t="shared" si="27"/>
        <v>228</v>
      </c>
      <c r="U22" s="203">
        <f t="shared" si="8"/>
        <v>4905.677419354839</v>
      </c>
      <c r="V22" s="203">
        <f t="shared" si="28"/>
        <v>228</v>
      </c>
      <c r="W22" s="203">
        <f t="shared" si="9"/>
        <v>4905.677419354839</v>
      </c>
      <c r="X22" s="35">
        <f t="shared" si="10"/>
        <v>0.73548387096774215</v>
      </c>
      <c r="Y22" s="36">
        <f t="shared" si="29"/>
        <v>53962.451612903242</v>
      </c>
      <c r="Z22" s="496">
        <f>'B5'!C21</f>
        <v>235</v>
      </c>
      <c r="AA22" s="203">
        <f t="shared" si="30"/>
        <v>2350</v>
      </c>
      <c r="AB22" s="203">
        <f t="shared" si="31"/>
        <v>235</v>
      </c>
      <c r="AC22" s="203">
        <f t="shared" si="30"/>
        <v>2350</v>
      </c>
      <c r="AD22" s="203">
        <f t="shared" si="32"/>
        <v>235</v>
      </c>
      <c r="AE22" s="203">
        <f t="shared" si="11"/>
        <v>2350</v>
      </c>
      <c r="AF22" s="203">
        <f t="shared" si="33"/>
        <v>235</v>
      </c>
      <c r="AG22" s="203">
        <f t="shared" si="12"/>
        <v>2350</v>
      </c>
      <c r="AH22" s="203">
        <f t="shared" si="34"/>
        <v>235</v>
      </c>
      <c r="AI22" s="203">
        <f t="shared" si="13"/>
        <v>2350</v>
      </c>
      <c r="AJ22" s="203">
        <f t="shared" si="35"/>
        <v>235</v>
      </c>
      <c r="AK22" s="203">
        <f t="shared" si="14"/>
        <v>2350</v>
      </c>
      <c r="AL22" s="203">
        <f t="shared" si="36"/>
        <v>235</v>
      </c>
      <c r="AM22" s="203">
        <f t="shared" si="15"/>
        <v>2350</v>
      </c>
      <c r="AN22" s="35">
        <f t="shared" si="16"/>
        <v>0.8392857142857143</v>
      </c>
      <c r="AO22" s="36">
        <f t="shared" si="39"/>
        <v>16450</v>
      </c>
      <c r="AQ22" s="223">
        <f t="shared" si="40"/>
        <v>0.75736744770251951</v>
      </c>
      <c r="AR22" s="38">
        <f t="shared" si="41"/>
        <v>70412.451612903242</v>
      </c>
      <c r="AS22" s="197">
        <f t="shared" ref="AS22:AS32" si="48">SUM(AR22-AR21-AT22)</f>
        <v>-850.03225806450064</v>
      </c>
      <c r="AT22" s="339"/>
      <c r="AU22" s="545"/>
      <c r="AV22" s="484">
        <f t="shared" si="47"/>
        <v>1.03</v>
      </c>
      <c r="AW22" s="278">
        <f>-SUM('B5'!AI21)</f>
        <v>-116</v>
      </c>
      <c r="AX22" s="278">
        <f>-SUM(AW22-AS22)</f>
        <v>-734.03225806450064</v>
      </c>
      <c r="AY22" s="37">
        <f t="shared" si="37"/>
        <v>-850.03225806450064</v>
      </c>
      <c r="AZ22" s="100">
        <f>ELEC!A20</f>
        <v>0</v>
      </c>
      <c r="BA22" s="118">
        <f>'General information '!D21</f>
        <v>23.5</v>
      </c>
      <c r="BB22" s="377">
        <f>SUM('General information '!E21)</f>
        <v>0.65</v>
      </c>
      <c r="BC22" s="3">
        <f t="shared" si="44"/>
        <v>0</v>
      </c>
      <c r="BD22" s="102">
        <v>19222</v>
      </c>
      <c r="BE22" s="14">
        <f>(305/1185)*ELEC!Q21</f>
        <v>687.72995780556266</v>
      </c>
      <c r="BF22" s="14"/>
      <c r="BG22" s="14" t="e">
        <f>#REF!-BE22</f>
        <v>#REF!</v>
      </c>
      <c r="BH22" s="11"/>
      <c r="BI22">
        <v>9</v>
      </c>
      <c r="BJ22">
        <f t="shared" si="46"/>
        <v>-81.55913978494452</v>
      </c>
      <c r="BK22" s="535">
        <f>GEN!AF19</f>
        <v>0.12599999999997635</v>
      </c>
    </row>
    <row r="23" spans="1:64">
      <c r="A23" s="424">
        <f>ELEC!C21</f>
        <v>44852</v>
      </c>
      <c r="B23" s="496">
        <f>'B5'!B22</f>
        <v>225</v>
      </c>
      <c r="C23" s="203">
        <f t="shared" si="18"/>
        <v>4841.1290322580644</v>
      </c>
      <c r="D23">
        <f t="shared" si="19"/>
        <v>225</v>
      </c>
      <c r="E23" s="203">
        <f t="shared" si="18"/>
        <v>4841.1290322580644</v>
      </c>
      <c r="F23">
        <f t="shared" si="20"/>
        <v>225</v>
      </c>
      <c r="G23" s="203">
        <f t="shared" si="1"/>
        <v>4841.1290322580644</v>
      </c>
      <c r="H23" s="203">
        <f t="shared" si="21"/>
        <v>225</v>
      </c>
      <c r="I23" s="203">
        <f t="shared" si="2"/>
        <v>4841.1290322580644</v>
      </c>
      <c r="J23" s="203">
        <f t="shared" si="22"/>
        <v>225</v>
      </c>
      <c r="K23" s="203">
        <f t="shared" si="3"/>
        <v>4841.1290322580644</v>
      </c>
      <c r="L23" s="203">
        <f t="shared" si="23"/>
        <v>225</v>
      </c>
      <c r="M23" s="203">
        <f t="shared" si="4"/>
        <v>4841.1290322580644</v>
      </c>
      <c r="N23" s="203">
        <f t="shared" si="24"/>
        <v>225</v>
      </c>
      <c r="O23" s="203">
        <f t="shared" si="5"/>
        <v>4841.1290322580644</v>
      </c>
      <c r="P23" s="203">
        <f t="shared" si="25"/>
        <v>225</v>
      </c>
      <c r="Q23" s="203">
        <f t="shared" si="6"/>
        <v>4841.1290322580644</v>
      </c>
      <c r="R23" s="203">
        <f t="shared" si="26"/>
        <v>225</v>
      </c>
      <c r="S23" s="203">
        <f t="shared" si="7"/>
        <v>4841.1290322580644</v>
      </c>
      <c r="T23" s="203">
        <f t="shared" si="27"/>
        <v>225</v>
      </c>
      <c r="U23" s="203">
        <f t="shared" si="8"/>
        <v>4841.1290322580644</v>
      </c>
      <c r="V23" s="203">
        <f t="shared" si="28"/>
        <v>225</v>
      </c>
      <c r="W23" s="203">
        <f t="shared" si="9"/>
        <v>4841.1290322580644</v>
      </c>
      <c r="X23" s="35">
        <f t="shared" si="10"/>
        <v>0.72580645161290303</v>
      </c>
      <c r="Y23" s="36">
        <f t="shared" si="29"/>
        <v>53252.419354838697</v>
      </c>
      <c r="Z23" s="496">
        <f>'B5'!C22</f>
        <v>231</v>
      </c>
      <c r="AA23" s="203">
        <f t="shared" si="30"/>
        <v>2310</v>
      </c>
      <c r="AB23" s="203">
        <f t="shared" si="31"/>
        <v>231</v>
      </c>
      <c r="AC23" s="203">
        <f t="shared" si="30"/>
        <v>2310</v>
      </c>
      <c r="AD23" s="203">
        <f t="shared" si="32"/>
        <v>231</v>
      </c>
      <c r="AE23" s="203">
        <f t="shared" si="11"/>
        <v>2310</v>
      </c>
      <c r="AF23" s="203">
        <f t="shared" si="33"/>
        <v>231</v>
      </c>
      <c r="AG23" s="203">
        <f t="shared" si="12"/>
        <v>2310</v>
      </c>
      <c r="AH23" s="203">
        <f t="shared" si="34"/>
        <v>231</v>
      </c>
      <c r="AI23" s="203">
        <f t="shared" si="13"/>
        <v>2310</v>
      </c>
      <c r="AJ23" s="203">
        <f t="shared" si="35"/>
        <v>231</v>
      </c>
      <c r="AK23" s="203">
        <f t="shared" si="14"/>
        <v>2310</v>
      </c>
      <c r="AL23" s="203">
        <f t="shared" si="36"/>
        <v>231</v>
      </c>
      <c r="AM23" s="203">
        <f t="shared" si="15"/>
        <v>2310</v>
      </c>
      <c r="AN23" s="35">
        <f t="shared" si="16"/>
        <v>0.82499999999999996</v>
      </c>
      <c r="AO23" s="36">
        <f t="shared" si="39"/>
        <v>16170</v>
      </c>
      <c r="AQ23" s="223">
        <f t="shared" si="40"/>
        <v>0.7467185044082898</v>
      </c>
      <c r="AR23" s="38">
        <f t="shared" si="41"/>
        <v>69422.419354838697</v>
      </c>
      <c r="AS23" s="197">
        <f t="shared" si="48"/>
        <v>-990.03225806454429</v>
      </c>
      <c r="AT23" s="339"/>
      <c r="AU23" s="545"/>
      <c r="AV23" s="484">
        <f t="shared" si="47"/>
        <v>1.03</v>
      </c>
      <c r="AW23" s="278">
        <f>-SUM('B5'!AI22)</f>
        <v>0</v>
      </c>
      <c r="AX23" s="278">
        <f t="shared" si="17"/>
        <v>-990.03225806454429</v>
      </c>
      <c r="AY23" s="37">
        <f t="shared" si="37"/>
        <v>-990.03225806454429</v>
      </c>
      <c r="AZ23" s="100">
        <f>ELEC!A21</f>
        <v>0</v>
      </c>
      <c r="BA23" s="118">
        <f>'General information '!D22</f>
        <v>24</v>
      </c>
      <c r="BB23" s="377">
        <f>SUM('General information '!E22)</f>
        <v>0.56000000000000005</v>
      </c>
      <c r="BC23" s="3">
        <f t="shared" si="44"/>
        <v>0</v>
      </c>
      <c r="BD23" s="102">
        <v>19222</v>
      </c>
      <c r="BE23" s="14">
        <f>(305/1185)*ELEC!Q22</f>
        <v>628.78902953568524</v>
      </c>
      <c r="BF23" s="14"/>
      <c r="BG23" s="14" t="e">
        <f>#REF!-BE23</f>
        <v>#REF!</v>
      </c>
      <c r="BH23" s="11"/>
      <c r="BI23">
        <v>10</v>
      </c>
      <c r="BJ23">
        <f t="shared" si="46"/>
        <v>-99.003225806454424</v>
      </c>
      <c r="BK23" s="535">
        <f>GEN!AF20</f>
        <v>0.13916666666659694</v>
      </c>
    </row>
    <row r="24" spans="1:64">
      <c r="A24" s="424">
        <f>ELEC!C22</f>
        <v>44853</v>
      </c>
      <c r="B24" s="496">
        <f>'B5'!B23</f>
        <v>222</v>
      </c>
      <c r="C24" s="203">
        <f t="shared" si="18"/>
        <v>4776.5806451612898</v>
      </c>
      <c r="D24">
        <f t="shared" si="19"/>
        <v>222</v>
      </c>
      <c r="E24" s="203">
        <f t="shared" si="18"/>
        <v>4776.5806451612898</v>
      </c>
      <c r="F24">
        <f t="shared" si="20"/>
        <v>222</v>
      </c>
      <c r="G24" s="203">
        <f t="shared" si="1"/>
        <v>4776.5806451612898</v>
      </c>
      <c r="H24" s="203">
        <f t="shared" si="21"/>
        <v>222</v>
      </c>
      <c r="I24" s="203">
        <f t="shared" si="2"/>
        <v>4776.5806451612898</v>
      </c>
      <c r="J24" s="203">
        <f t="shared" si="22"/>
        <v>222</v>
      </c>
      <c r="K24" s="203">
        <f t="shared" si="3"/>
        <v>4776.5806451612898</v>
      </c>
      <c r="L24" s="203">
        <f t="shared" si="23"/>
        <v>222</v>
      </c>
      <c r="M24" s="203">
        <f t="shared" si="4"/>
        <v>4776.5806451612898</v>
      </c>
      <c r="N24" s="203">
        <f t="shared" si="24"/>
        <v>222</v>
      </c>
      <c r="O24" s="203">
        <f t="shared" si="5"/>
        <v>4776.5806451612898</v>
      </c>
      <c r="P24" s="203">
        <f t="shared" si="25"/>
        <v>222</v>
      </c>
      <c r="Q24" s="203">
        <f t="shared" si="6"/>
        <v>4776.5806451612898</v>
      </c>
      <c r="R24" s="203">
        <f t="shared" si="26"/>
        <v>222</v>
      </c>
      <c r="S24" s="203">
        <f t="shared" si="7"/>
        <v>4776.5806451612898</v>
      </c>
      <c r="T24" s="203">
        <f t="shared" si="27"/>
        <v>222</v>
      </c>
      <c r="U24" s="203">
        <f t="shared" si="8"/>
        <v>4776.5806451612898</v>
      </c>
      <c r="V24" s="203">
        <f t="shared" si="28"/>
        <v>222</v>
      </c>
      <c r="W24" s="203">
        <f t="shared" si="9"/>
        <v>4776.5806451612898</v>
      </c>
      <c r="X24" s="35">
        <f t="shared" si="10"/>
        <v>0.71612903225806424</v>
      </c>
      <c r="Y24" s="36">
        <f t="shared" si="29"/>
        <v>52542.387096774175</v>
      </c>
      <c r="Z24" s="496">
        <f>'B5'!C23</f>
        <v>228</v>
      </c>
      <c r="AA24" s="203">
        <f t="shared" si="30"/>
        <v>2280</v>
      </c>
      <c r="AB24" s="203">
        <f t="shared" si="31"/>
        <v>228</v>
      </c>
      <c r="AC24" s="203">
        <f t="shared" si="30"/>
        <v>2280</v>
      </c>
      <c r="AD24" s="203">
        <f t="shared" si="32"/>
        <v>228</v>
      </c>
      <c r="AE24" s="203">
        <f t="shared" si="11"/>
        <v>2280</v>
      </c>
      <c r="AF24" s="203">
        <f t="shared" si="33"/>
        <v>228</v>
      </c>
      <c r="AG24" s="203">
        <f t="shared" si="12"/>
        <v>2280</v>
      </c>
      <c r="AH24" s="203">
        <f t="shared" si="34"/>
        <v>228</v>
      </c>
      <c r="AI24" s="203">
        <f t="shared" si="13"/>
        <v>2280</v>
      </c>
      <c r="AJ24" s="203">
        <f t="shared" si="35"/>
        <v>228</v>
      </c>
      <c r="AK24" s="203">
        <f t="shared" si="14"/>
        <v>2280</v>
      </c>
      <c r="AL24" s="203">
        <f t="shared" si="36"/>
        <v>228</v>
      </c>
      <c r="AM24" s="203">
        <f t="shared" si="15"/>
        <v>2280</v>
      </c>
      <c r="AN24" s="35">
        <f t="shared" si="16"/>
        <v>0.81428571428571428</v>
      </c>
      <c r="AO24" s="36">
        <f t="shared" si="39"/>
        <v>15960</v>
      </c>
      <c r="AQ24" s="223">
        <f t="shared" si="40"/>
        <v>0.73682249216708817</v>
      </c>
      <c r="AR24" s="38">
        <f t="shared" si="41"/>
        <v>68502.387096774182</v>
      </c>
      <c r="AS24" s="197">
        <f t="shared" si="48"/>
        <v>-920.03225806451519</v>
      </c>
      <c r="AT24" s="339"/>
      <c r="AU24" s="545"/>
      <c r="AV24" s="484">
        <f t="shared" si="47"/>
        <v>1.03</v>
      </c>
      <c r="AW24" s="278">
        <f>-SUM('B5'!AI23)</f>
        <v>-107</v>
      </c>
      <c r="AX24" s="278">
        <f t="shared" si="17"/>
        <v>-813.03225806451519</v>
      </c>
      <c r="AY24" s="37">
        <f t="shared" si="37"/>
        <v>-920.03225806451519</v>
      </c>
      <c r="AZ24" s="100">
        <f>ELEC!A22</f>
        <v>0</v>
      </c>
      <c r="BA24" s="118">
        <f>'General information '!D23</f>
        <v>23.5</v>
      </c>
      <c r="BB24" s="377">
        <f>SUM('General information '!E23)</f>
        <v>0.61</v>
      </c>
      <c r="BC24" s="3">
        <f t="shared" si="44"/>
        <v>0</v>
      </c>
      <c r="BD24" s="102">
        <v>19222</v>
      </c>
      <c r="BE24" s="14">
        <f>(305/1185)*ELEC!Q23</f>
        <v>536.38818565466772</v>
      </c>
      <c r="BF24" s="14"/>
      <c r="BG24" s="14" t="e">
        <f>#REF!-BE24</f>
        <v>#REF!</v>
      </c>
      <c r="BH24" s="11"/>
      <c r="BI24">
        <v>11</v>
      </c>
      <c r="BJ24">
        <f t="shared" si="46"/>
        <v>-73.912023460410467</v>
      </c>
      <c r="BK24" s="535">
        <f>GEN!AF21</f>
        <v>0.13880681818177851</v>
      </c>
    </row>
    <row r="25" spans="1:64">
      <c r="A25" s="424">
        <f>ELEC!C23</f>
        <v>44854</v>
      </c>
      <c r="B25" s="496">
        <f>'B5'!B24</f>
        <v>249</v>
      </c>
      <c r="C25" s="203">
        <f t="shared" si="18"/>
        <v>5357.5161290322576</v>
      </c>
      <c r="D25">
        <f t="shared" si="19"/>
        <v>249</v>
      </c>
      <c r="E25" s="203">
        <f t="shared" si="18"/>
        <v>5357.5161290322576</v>
      </c>
      <c r="F25">
        <f t="shared" si="20"/>
        <v>249</v>
      </c>
      <c r="G25" s="203">
        <f t="shared" si="1"/>
        <v>5357.5161290322576</v>
      </c>
      <c r="H25" s="203">
        <f t="shared" si="21"/>
        <v>249</v>
      </c>
      <c r="I25" s="203">
        <f t="shared" si="2"/>
        <v>5357.5161290322576</v>
      </c>
      <c r="J25" s="203">
        <f t="shared" si="22"/>
        <v>249</v>
      </c>
      <c r="K25" s="203">
        <f t="shared" si="3"/>
        <v>5357.5161290322576</v>
      </c>
      <c r="L25" s="203">
        <f t="shared" si="23"/>
        <v>249</v>
      </c>
      <c r="M25" s="203">
        <f t="shared" si="4"/>
        <v>5357.5161290322576</v>
      </c>
      <c r="N25" s="203">
        <f t="shared" si="24"/>
        <v>249</v>
      </c>
      <c r="O25" s="203">
        <f t="shared" si="5"/>
        <v>5357.5161290322576</v>
      </c>
      <c r="P25" s="203">
        <f t="shared" si="25"/>
        <v>249</v>
      </c>
      <c r="Q25" s="203">
        <f t="shared" si="6"/>
        <v>5357.5161290322576</v>
      </c>
      <c r="R25" s="203">
        <f t="shared" si="26"/>
        <v>249</v>
      </c>
      <c r="S25" s="203">
        <f t="shared" si="7"/>
        <v>5357.5161290322576</v>
      </c>
      <c r="T25" s="203">
        <f t="shared" si="27"/>
        <v>249</v>
      </c>
      <c r="U25" s="203">
        <f t="shared" si="8"/>
        <v>5357.5161290322576</v>
      </c>
      <c r="V25" s="203">
        <f t="shared" si="28"/>
        <v>249</v>
      </c>
      <c r="W25" s="203">
        <f t="shared" si="9"/>
        <v>5357.5161290322576</v>
      </c>
      <c r="X25" s="35">
        <f t="shared" si="10"/>
        <v>0.80322580645161279</v>
      </c>
      <c r="Y25" s="36">
        <f t="shared" si="29"/>
        <v>58932.677419354834</v>
      </c>
      <c r="Z25" s="496">
        <f>'B5'!C24</f>
        <v>255</v>
      </c>
      <c r="AA25" s="203">
        <f t="shared" si="30"/>
        <v>2550</v>
      </c>
      <c r="AB25" s="203">
        <f t="shared" si="31"/>
        <v>255</v>
      </c>
      <c r="AC25" s="203">
        <f t="shared" si="30"/>
        <v>2550</v>
      </c>
      <c r="AD25" s="203">
        <f t="shared" si="32"/>
        <v>255</v>
      </c>
      <c r="AE25" s="203">
        <f t="shared" si="11"/>
        <v>2550</v>
      </c>
      <c r="AF25" s="203">
        <f t="shared" si="33"/>
        <v>255</v>
      </c>
      <c r="AG25" s="203">
        <f t="shared" si="12"/>
        <v>2550</v>
      </c>
      <c r="AH25" s="203">
        <f t="shared" si="34"/>
        <v>255</v>
      </c>
      <c r="AI25" s="203">
        <f t="shared" si="13"/>
        <v>2550</v>
      </c>
      <c r="AJ25" s="203">
        <f t="shared" si="35"/>
        <v>255</v>
      </c>
      <c r="AK25" s="203">
        <f t="shared" si="14"/>
        <v>2550</v>
      </c>
      <c r="AL25" s="203">
        <f t="shared" si="36"/>
        <v>255</v>
      </c>
      <c r="AM25" s="203">
        <f t="shared" si="15"/>
        <v>2550</v>
      </c>
      <c r="AN25" s="35">
        <f t="shared" si="16"/>
        <v>0.9107142857142857</v>
      </c>
      <c r="AO25" s="36">
        <f t="shared" si="39"/>
        <v>17850</v>
      </c>
      <c r="AQ25" s="223">
        <f t="shared" si="40"/>
        <v>0.8258866023379029</v>
      </c>
      <c r="AR25" s="38">
        <f t="shared" si="41"/>
        <v>76782.677419354834</v>
      </c>
      <c r="AS25" s="197">
        <f t="shared" si="48"/>
        <v>725.29032258065126</v>
      </c>
      <c r="AT25" s="339">
        <v>7555</v>
      </c>
      <c r="AU25" s="545">
        <v>1.0549999999999999</v>
      </c>
      <c r="AV25" s="484">
        <f t="shared" si="47"/>
        <v>1.0549999999999999</v>
      </c>
      <c r="AW25" s="278">
        <f>-SUM('B5'!AI24)</f>
        <v>-38</v>
      </c>
      <c r="AX25" s="278">
        <f t="shared" si="17"/>
        <v>763.29032258065126</v>
      </c>
      <c r="AY25" s="37">
        <f t="shared" si="37"/>
        <v>725.29032258065126</v>
      </c>
      <c r="AZ25" s="100">
        <f>ELEC!A23</f>
        <v>0</v>
      </c>
      <c r="BA25" s="118">
        <f>'General information '!D24</f>
        <v>23.5</v>
      </c>
      <c r="BB25" s="377">
        <f>SUM('General information '!E24)</f>
        <v>0.6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63.607526881720936</v>
      </c>
      <c r="BK25" s="535"/>
    </row>
    <row r="26" spans="1:64">
      <c r="A26" s="424">
        <f>ELEC!C24</f>
        <v>44855</v>
      </c>
      <c r="B26" s="496">
        <f>'B5'!B25</f>
        <v>249</v>
      </c>
      <c r="C26" s="203">
        <f t="shared" si="18"/>
        <v>5357.5161290322576</v>
      </c>
      <c r="D26">
        <f t="shared" si="19"/>
        <v>249</v>
      </c>
      <c r="E26" s="203">
        <f t="shared" si="18"/>
        <v>5357.5161290322576</v>
      </c>
      <c r="F26">
        <f t="shared" si="20"/>
        <v>249</v>
      </c>
      <c r="G26" s="203">
        <f t="shared" si="1"/>
        <v>5357.5161290322576</v>
      </c>
      <c r="H26" s="203">
        <f t="shared" si="21"/>
        <v>249</v>
      </c>
      <c r="I26" s="203">
        <f t="shared" si="2"/>
        <v>5357.5161290322576</v>
      </c>
      <c r="J26" s="203">
        <f t="shared" si="22"/>
        <v>249</v>
      </c>
      <c r="K26" s="203">
        <f t="shared" si="3"/>
        <v>5357.5161290322576</v>
      </c>
      <c r="L26" s="203">
        <f t="shared" si="23"/>
        <v>249</v>
      </c>
      <c r="M26" s="203">
        <f t="shared" si="4"/>
        <v>5357.5161290322576</v>
      </c>
      <c r="N26" s="203">
        <f t="shared" si="24"/>
        <v>249</v>
      </c>
      <c r="O26" s="203">
        <f t="shared" si="5"/>
        <v>5357.5161290322576</v>
      </c>
      <c r="P26" s="203">
        <f t="shared" si="25"/>
        <v>249</v>
      </c>
      <c r="Q26" s="203">
        <f t="shared" si="6"/>
        <v>5357.5161290322576</v>
      </c>
      <c r="R26" s="203">
        <f t="shared" si="26"/>
        <v>249</v>
      </c>
      <c r="S26" s="203">
        <f t="shared" si="7"/>
        <v>5357.5161290322576</v>
      </c>
      <c r="T26" s="203">
        <f t="shared" si="27"/>
        <v>249</v>
      </c>
      <c r="U26" s="203">
        <f t="shared" si="8"/>
        <v>5357.5161290322576</v>
      </c>
      <c r="V26" s="203">
        <f t="shared" si="28"/>
        <v>249</v>
      </c>
      <c r="W26" s="203">
        <f t="shared" si="9"/>
        <v>5357.5161290322576</v>
      </c>
      <c r="X26" s="35">
        <f t="shared" si="10"/>
        <v>0.80322580645161279</v>
      </c>
      <c r="Y26" s="36">
        <f t="shared" si="29"/>
        <v>58932.677419354834</v>
      </c>
      <c r="Z26" s="496">
        <f>'B5'!C25</f>
        <v>255</v>
      </c>
      <c r="AA26" s="203">
        <f t="shared" si="30"/>
        <v>2550</v>
      </c>
      <c r="AB26" s="203">
        <f t="shared" si="31"/>
        <v>255</v>
      </c>
      <c r="AC26" s="203">
        <f t="shared" si="30"/>
        <v>2550</v>
      </c>
      <c r="AD26" s="203">
        <f t="shared" si="32"/>
        <v>255</v>
      </c>
      <c r="AE26" s="203">
        <f t="shared" si="11"/>
        <v>2550</v>
      </c>
      <c r="AF26" s="203">
        <f t="shared" si="33"/>
        <v>255</v>
      </c>
      <c r="AG26" s="203">
        <f t="shared" si="12"/>
        <v>2550</v>
      </c>
      <c r="AH26" s="203">
        <f t="shared" si="34"/>
        <v>255</v>
      </c>
      <c r="AI26" s="203">
        <f t="shared" si="13"/>
        <v>2550</v>
      </c>
      <c r="AJ26" s="203">
        <f t="shared" si="35"/>
        <v>255</v>
      </c>
      <c r="AK26" s="203">
        <f t="shared" si="14"/>
        <v>2550</v>
      </c>
      <c r="AL26" s="203">
        <f t="shared" si="36"/>
        <v>255</v>
      </c>
      <c r="AM26" s="203">
        <f t="shared" si="15"/>
        <v>2550</v>
      </c>
      <c r="AN26" s="35">
        <f t="shared" si="16"/>
        <v>0.9107142857142857</v>
      </c>
      <c r="AO26" s="36">
        <f t="shared" si="39"/>
        <v>17850</v>
      </c>
      <c r="AQ26" s="223">
        <f t="shared" si="40"/>
        <v>0.8258866023379029</v>
      </c>
      <c r="AR26" s="38">
        <f t="shared" si="41"/>
        <v>76782.677419354834</v>
      </c>
      <c r="AS26" s="197">
        <f t="shared" si="48"/>
        <v>0</v>
      </c>
      <c r="AT26" s="339"/>
      <c r="AU26" s="545"/>
      <c r="AV26" s="484">
        <f t="shared" si="47"/>
        <v>1.0549999999999999</v>
      </c>
      <c r="AW26" s="278">
        <f>-SUM('B5'!AI25)</f>
        <v>0</v>
      </c>
      <c r="AX26" s="278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7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5"/>
    </row>
    <row r="27" spans="1:64">
      <c r="A27" s="424">
        <f>ELEC!C25</f>
        <v>44856</v>
      </c>
      <c r="B27" s="496">
        <f>'B5'!B26</f>
        <v>249</v>
      </c>
      <c r="C27" s="203">
        <f t="shared" si="18"/>
        <v>5357.5161290322576</v>
      </c>
      <c r="D27">
        <f t="shared" si="19"/>
        <v>249</v>
      </c>
      <c r="E27" s="203">
        <f t="shared" si="18"/>
        <v>5357.5161290322576</v>
      </c>
      <c r="F27">
        <f t="shared" si="20"/>
        <v>249</v>
      </c>
      <c r="G27" s="203">
        <f t="shared" si="1"/>
        <v>5357.5161290322576</v>
      </c>
      <c r="H27" s="203">
        <f t="shared" si="21"/>
        <v>249</v>
      </c>
      <c r="I27" s="203">
        <f t="shared" si="2"/>
        <v>5357.5161290322576</v>
      </c>
      <c r="J27" s="203">
        <f t="shared" si="22"/>
        <v>249</v>
      </c>
      <c r="K27" s="203">
        <f t="shared" si="3"/>
        <v>5357.5161290322576</v>
      </c>
      <c r="L27" s="203">
        <f t="shared" si="23"/>
        <v>249</v>
      </c>
      <c r="M27" s="203">
        <f t="shared" si="4"/>
        <v>5357.5161290322576</v>
      </c>
      <c r="N27" s="203">
        <f t="shared" si="24"/>
        <v>249</v>
      </c>
      <c r="O27" s="203">
        <f t="shared" si="5"/>
        <v>5357.5161290322576</v>
      </c>
      <c r="P27" s="203">
        <f t="shared" si="25"/>
        <v>249</v>
      </c>
      <c r="Q27" s="203">
        <f t="shared" si="6"/>
        <v>5357.5161290322576</v>
      </c>
      <c r="R27" s="203">
        <f t="shared" si="26"/>
        <v>249</v>
      </c>
      <c r="S27" s="203">
        <f t="shared" si="7"/>
        <v>5357.5161290322576</v>
      </c>
      <c r="T27" s="203">
        <f t="shared" si="27"/>
        <v>249</v>
      </c>
      <c r="U27" s="203">
        <f t="shared" si="8"/>
        <v>5357.5161290322576</v>
      </c>
      <c r="V27" s="203">
        <f t="shared" si="28"/>
        <v>249</v>
      </c>
      <c r="W27" s="203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496">
        <f>'B5'!C26</f>
        <v>255</v>
      </c>
      <c r="AA27" s="203">
        <f t="shared" si="30"/>
        <v>2550</v>
      </c>
      <c r="AB27" s="203">
        <f t="shared" si="31"/>
        <v>255</v>
      </c>
      <c r="AC27" s="203">
        <f t="shared" si="30"/>
        <v>2550</v>
      </c>
      <c r="AD27" s="203">
        <f t="shared" si="32"/>
        <v>255</v>
      </c>
      <c r="AE27" s="203">
        <f t="shared" si="11"/>
        <v>2550</v>
      </c>
      <c r="AF27" s="203">
        <f t="shared" si="33"/>
        <v>255</v>
      </c>
      <c r="AG27" s="203">
        <f t="shared" si="12"/>
        <v>2550</v>
      </c>
      <c r="AH27" s="203">
        <f t="shared" si="34"/>
        <v>255</v>
      </c>
      <c r="AI27" s="203">
        <f t="shared" si="13"/>
        <v>2550</v>
      </c>
      <c r="AJ27" s="203">
        <f t="shared" si="35"/>
        <v>255</v>
      </c>
      <c r="AK27" s="203">
        <f t="shared" si="14"/>
        <v>2550</v>
      </c>
      <c r="AL27" s="203">
        <f t="shared" si="36"/>
        <v>255</v>
      </c>
      <c r="AM27" s="203">
        <f t="shared" si="15"/>
        <v>2550</v>
      </c>
      <c r="AN27" s="35">
        <f t="shared" si="16"/>
        <v>0.9107142857142857</v>
      </c>
      <c r="AO27" s="36">
        <f t="shared" si="39"/>
        <v>17850</v>
      </c>
      <c r="AQ27" s="223">
        <f t="shared" si="40"/>
        <v>0.8258866023379029</v>
      </c>
      <c r="AR27" s="38">
        <f t="shared" si="41"/>
        <v>76782.677419354834</v>
      </c>
      <c r="AS27" s="197">
        <f t="shared" si="48"/>
        <v>0</v>
      </c>
      <c r="AT27" s="339"/>
      <c r="AU27" s="545"/>
      <c r="AV27" s="484">
        <f t="shared" si="47"/>
        <v>1.0549999999999999</v>
      </c>
      <c r="AW27" s="278">
        <f>-SUM('B5'!AI26)</f>
        <v>0</v>
      </c>
      <c r="AX27" s="278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7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962.87341772104719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5" t="e">
        <f>GEN!AF24</f>
        <v>#DIV/0!</v>
      </c>
    </row>
    <row r="28" spans="1:64">
      <c r="A28" s="424">
        <f>ELEC!C26</f>
        <v>44857</v>
      </c>
      <c r="B28" s="496">
        <f>'B5'!B27</f>
        <v>244</v>
      </c>
      <c r="C28" s="203">
        <f t="shared" si="18"/>
        <v>5249.9354838709678</v>
      </c>
      <c r="D28">
        <f t="shared" si="19"/>
        <v>244</v>
      </c>
      <c r="E28" s="203">
        <f t="shared" si="18"/>
        <v>5249.9354838709678</v>
      </c>
      <c r="F28">
        <f t="shared" si="20"/>
        <v>244</v>
      </c>
      <c r="G28" s="203">
        <f t="shared" si="1"/>
        <v>5249.9354838709678</v>
      </c>
      <c r="H28" s="203">
        <f t="shared" si="21"/>
        <v>244</v>
      </c>
      <c r="I28" s="203">
        <f t="shared" si="2"/>
        <v>5249.9354838709678</v>
      </c>
      <c r="J28" s="203">
        <f t="shared" si="22"/>
        <v>244</v>
      </c>
      <c r="K28" s="203">
        <f t="shared" si="3"/>
        <v>5249.9354838709678</v>
      </c>
      <c r="L28" s="203">
        <f t="shared" si="23"/>
        <v>244</v>
      </c>
      <c r="M28" s="203">
        <f t="shared" si="4"/>
        <v>5249.9354838709678</v>
      </c>
      <c r="N28" s="203">
        <f t="shared" si="24"/>
        <v>244</v>
      </c>
      <c r="O28" s="203">
        <f t="shared" si="5"/>
        <v>5249.9354838709678</v>
      </c>
      <c r="P28" s="203">
        <f t="shared" si="25"/>
        <v>244</v>
      </c>
      <c r="Q28" s="203">
        <f t="shared" si="6"/>
        <v>5249.9354838709678</v>
      </c>
      <c r="R28" s="203">
        <f t="shared" si="26"/>
        <v>244</v>
      </c>
      <c r="S28" s="203">
        <f t="shared" si="7"/>
        <v>5249.9354838709678</v>
      </c>
      <c r="T28" s="203">
        <f t="shared" si="27"/>
        <v>244</v>
      </c>
      <c r="U28" s="203">
        <f t="shared" si="8"/>
        <v>5249.9354838709678</v>
      </c>
      <c r="V28" s="203">
        <f t="shared" si="28"/>
        <v>244</v>
      </c>
      <c r="W28" s="203">
        <f t="shared" si="9"/>
        <v>5249.9354838709678</v>
      </c>
      <c r="X28" s="35">
        <f t="shared" si="10"/>
        <v>0.78709677419354862</v>
      </c>
      <c r="Y28" s="36">
        <f t="shared" si="29"/>
        <v>57749.290322580659</v>
      </c>
      <c r="Z28" s="496">
        <f>'B5'!C27</f>
        <v>250</v>
      </c>
      <c r="AA28" s="203">
        <f t="shared" si="30"/>
        <v>2500</v>
      </c>
      <c r="AB28" s="203">
        <f t="shared" si="31"/>
        <v>250</v>
      </c>
      <c r="AC28" s="203">
        <f t="shared" si="30"/>
        <v>2500</v>
      </c>
      <c r="AD28" s="203">
        <f t="shared" si="32"/>
        <v>250</v>
      </c>
      <c r="AE28" s="203">
        <f t="shared" si="11"/>
        <v>2500</v>
      </c>
      <c r="AF28" s="203">
        <f t="shared" si="33"/>
        <v>250</v>
      </c>
      <c r="AG28" s="203">
        <f t="shared" si="12"/>
        <v>2500</v>
      </c>
      <c r="AH28" s="203">
        <f t="shared" si="34"/>
        <v>250</v>
      </c>
      <c r="AI28" s="203">
        <f t="shared" si="13"/>
        <v>2500</v>
      </c>
      <c r="AJ28" s="203">
        <f t="shared" si="35"/>
        <v>250</v>
      </c>
      <c r="AK28" s="203">
        <f t="shared" si="14"/>
        <v>2500</v>
      </c>
      <c r="AL28" s="203">
        <f t="shared" si="36"/>
        <v>250</v>
      </c>
      <c r="AM28" s="203">
        <f t="shared" si="15"/>
        <v>2500</v>
      </c>
      <c r="AN28" s="35">
        <f t="shared" si="16"/>
        <v>0.8928571428571429</v>
      </c>
      <c r="AO28" s="36">
        <f t="shared" si="39"/>
        <v>17500</v>
      </c>
      <c r="AQ28" s="223">
        <f t="shared" si="40"/>
        <v>0.80939324860256712</v>
      </c>
      <c r="AR28" s="38">
        <f t="shared" si="41"/>
        <v>75249.290322580666</v>
      </c>
      <c r="AS28" s="197">
        <f t="shared" si="48"/>
        <v>-1533.3870967741677</v>
      </c>
      <c r="AT28" s="339"/>
      <c r="AU28" s="545"/>
      <c r="AV28" s="484">
        <f t="shared" si="47"/>
        <v>1.0549999999999999</v>
      </c>
      <c r="AW28" s="278">
        <f>-SUM('B5'!AI27)</f>
        <v>-190</v>
      </c>
      <c r="AX28" s="278">
        <f t="shared" si="17"/>
        <v>-1343.3870967741677</v>
      </c>
      <c r="AY28" s="37">
        <f t="shared" si="37"/>
        <v>-1533.3870967741677</v>
      </c>
      <c r="AZ28" s="100">
        <f>ELEC!A26</f>
        <v>0</v>
      </c>
      <c r="BA28" s="118">
        <f>'General information '!D27</f>
        <v>24</v>
      </c>
      <c r="BB28" s="377">
        <f>SUM('General information '!E27)</f>
        <v>0.6</v>
      </c>
      <c r="BC28" s="3">
        <f t="shared" si="44"/>
        <v>0</v>
      </c>
      <c r="BD28" s="102">
        <v>19222</v>
      </c>
      <c r="BE28" s="14">
        <f>(305/1185)*ELEC!Q27</f>
        <v>731.48523206765299</v>
      </c>
      <c r="BF28" s="14"/>
      <c r="BG28" s="14" t="e">
        <f>#REF!-BE28</f>
        <v>#REF!</v>
      </c>
      <c r="BH28" s="11"/>
      <c r="BI28">
        <v>15</v>
      </c>
      <c r="BJ28">
        <f t="shared" si="46"/>
        <v>-89.55913978494452</v>
      </c>
      <c r="BK28" s="535">
        <f>GEN!AF25</f>
        <v>0.1948437499999045</v>
      </c>
    </row>
    <row r="29" spans="1:64">
      <c r="A29" s="424">
        <f>ELEC!C27</f>
        <v>44858</v>
      </c>
      <c r="B29" s="496">
        <f>'B5'!B28</f>
        <v>240</v>
      </c>
      <c r="C29" s="203">
        <f t="shared" si="18"/>
        <v>5163.8709677419356</v>
      </c>
      <c r="D29">
        <f t="shared" si="19"/>
        <v>240</v>
      </c>
      <c r="E29" s="203">
        <f t="shared" si="18"/>
        <v>5163.8709677419356</v>
      </c>
      <c r="F29">
        <f t="shared" si="20"/>
        <v>240</v>
      </c>
      <c r="G29" s="203">
        <f t="shared" si="1"/>
        <v>5163.8709677419356</v>
      </c>
      <c r="H29" s="203">
        <f t="shared" si="21"/>
        <v>240</v>
      </c>
      <c r="I29" s="203">
        <f t="shared" si="2"/>
        <v>5163.8709677419356</v>
      </c>
      <c r="J29" s="203">
        <f t="shared" si="22"/>
        <v>240</v>
      </c>
      <c r="K29" s="203">
        <f t="shared" si="3"/>
        <v>5163.8709677419356</v>
      </c>
      <c r="L29" s="203">
        <f t="shared" si="23"/>
        <v>240</v>
      </c>
      <c r="M29" s="203">
        <f t="shared" si="4"/>
        <v>5163.8709677419356</v>
      </c>
      <c r="N29" s="203">
        <f t="shared" si="24"/>
        <v>240</v>
      </c>
      <c r="O29" s="203">
        <f t="shared" si="5"/>
        <v>5163.8709677419356</v>
      </c>
      <c r="P29" s="203">
        <f t="shared" si="25"/>
        <v>240</v>
      </c>
      <c r="Q29" s="203">
        <f t="shared" si="6"/>
        <v>5163.8709677419356</v>
      </c>
      <c r="R29" s="203">
        <f t="shared" si="26"/>
        <v>240</v>
      </c>
      <c r="S29" s="203">
        <f t="shared" si="7"/>
        <v>5163.8709677419356</v>
      </c>
      <c r="T29" s="203">
        <f t="shared" si="27"/>
        <v>240</v>
      </c>
      <c r="U29" s="203">
        <f t="shared" si="8"/>
        <v>5163.8709677419356</v>
      </c>
      <c r="V29" s="203">
        <f t="shared" si="28"/>
        <v>240</v>
      </c>
      <c r="W29" s="203">
        <f t="shared" si="9"/>
        <v>5163.8709677419356</v>
      </c>
      <c r="X29" s="35">
        <f t="shared" si="10"/>
        <v>0.77419354838709697</v>
      </c>
      <c r="Y29" s="36">
        <f t="shared" si="29"/>
        <v>56802.580645161303</v>
      </c>
      <c r="Z29" s="496">
        <f>'B5'!C28</f>
        <v>247</v>
      </c>
      <c r="AA29" s="203">
        <f t="shared" si="30"/>
        <v>2470</v>
      </c>
      <c r="AB29" s="203">
        <f t="shared" si="31"/>
        <v>247</v>
      </c>
      <c r="AC29" s="203">
        <f t="shared" si="30"/>
        <v>2470</v>
      </c>
      <c r="AD29" s="203">
        <f t="shared" si="32"/>
        <v>247</v>
      </c>
      <c r="AE29" s="203">
        <f t="shared" si="11"/>
        <v>2470</v>
      </c>
      <c r="AF29" s="203">
        <f t="shared" si="33"/>
        <v>247</v>
      </c>
      <c r="AG29" s="203">
        <f t="shared" si="12"/>
        <v>2470</v>
      </c>
      <c r="AH29" s="203">
        <f t="shared" si="34"/>
        <v>247</v>
      </c>
      <c r="AI29" s="203">
        <f t="shared" si="13"/>
        <v>2470</v>
      </c>
      <c r="AJ29" s="203">
        <f t="shared" si="35"/>
        <v>247</v>
      </c>
      <c r="AK29" s="203">
        <f t="shared" si="14"/>
        <v>2470</v>
      </c>
      <c r="AL29" s="203">
        <f t="shared" si="36"/>
        <v>247</v>
      </c>
      <c r="AM29" s="203">
        <f t="shared" si="15"/>
        <v>2470</v>
      </c>
      <c r="AN29" s="35">
        <f t="shared" si="16"/>
        <v>0.88214285714285712</v>
      </c>
      <c r="AO29" s="36">
        <f t="shared" si="39"/>
        <v>17290</v>
      </c>
      <c r="AQ29" s="223">
        <f t="shared" si="40"/>
        <v>0.79695149666732601</v>
      </c>
      <c r="AR29" s="38">
        <f t="shared" si="41"/>
        <v>74092.580645161303</v>
      </c>
      <c r="AS29" s="197">
        <f>SUM(AR29-AR28-AT29)</f>
        <v>-1156.7096774193633</v>
      </c>
      <c r="AT29" s="339"/>
      <c r="AU29" s="545"/>
      <c r="AV29" s="484">
        <f t="shared" si="47"/>
        <v>1.0549999999999999</v>
      </c>
      <c r="AW29" s="278">
        <f>-SUM('B5'!AI28)</f>
        <v>-158</v>
      </c>
      <c r="AX29" s="278">
        <f t="shared" si="17"/>
        <v>-998.70967741936329</v>
      </c>
      <c r="AY29" s="37">
        <f t="shared" si="37"/>
        <v>-1156.7096774193633</v>
      </c>
      <c r="AZ29" s="100">
        <f>ELEC!A27</f>
        <v>0</v>
      </c>
      <c r="BA29" s="118">
        <f>'General information '!D28</f>
        <v>24.5</v>
      </c>
      <c r="BB29" s="377">
        <f>SUM('General information '!E28)</f>
        <v>0.51</v>
      </c>
      <c r="BC29" s="3">
        <f t="shared" si="44"/>
        <v>0</v>
      </c>
      <c r="BD29" s="102">
        <v>19222</v>
      </c>
      <c r="BE29" s="14">
        <f>(305/1185)*ELEC!Q28</f>
        <v>851.94092827037935</v>
      </c>
      <c r="BF29" s="14"/>
      <c r="BG29" s="14" t="e">
        <f>#REF!-BE29</f>
        <v>#REF!</v>
      </c>
      <c r="BH29" s="11"/>
      <c r="BI29">
        <v>16</v>
      </c>
      <c r="BJ29">
        <f t="shared" si="46"/>
        <v>-62.419354838710206</v>
      </c>
      <c r="BK29" s="535">
        <f>GEN!AF26</f>
        <v>0.17762500000003456</v>
      </c>
    </row>
    <row r="30" spans="1:64">
      <c r="A30" s="424">
        <f>ELEC!C28</f>
        <v>44859</v>
      </c>
      <c r="B30" s="496">
        <f>'B5'!B29</f>
        <v>237</v>
      </c>
      <c r="C30" s="203">
        <f t="shared" si="18"/>
        <v>5099.322580645161</v>
      </c>
      <c r="D30">
        <f>SUM(B30)</f>
        <v>237</v>
      </c>
      <c r="E30" s="203">
        <f t="shared" si="18"/>
        <v>5099.322580645161</v>
      </c>
      <c r="F30">
        <f>SUM(D30)</f>
        <v>237</v>
      </c>
      <c r="G30" s="203">
        <f t="shared" si="1"/>
        <v>5099.322580645161</v>
      </c>
      <c r="H30" s="203">
        <f>SUM(F30)</f>
        <v>237</v>
      </c>
      <c r="I30" s="203">
        <f t="shared" si="2"/>
        <v>5099.322580645161</v>
      </c>
      <c r="J30" s="203">
        <f>SUM(H30)</f>
        <v>237</v>
      </c>
      <c r="K30" s="203">
        <f t="shared" si="3"/>
        <v>5099.322580645161</v>
      </c>
      <c r="L30" s="203">
        <f>SUM(J30)</f>
        <v>237</v>
      </c>
      <c r="M30" s="203">
        <f t="shared" si="4"/>
        <v>5099.322580645161</v>
      </c>
      <c r="N30" s="203">
        <f>SUM(L30)</f>
        <v>237</v>
      </c>
      <c r="O30" s="203">
        <f t="shared" si="5"/>
        <v>5099.322580645161</v>
      </c>
      <c r="P30" s="203">
        <f>SUM(N30)</f>
        <v>237</v>
      </c>
      <c r="Q30" s="203">
        <f t="shared" si="6"/>
        <v>5099.322580645161</v>
      </c>
      <c r="R30" s="203">
        <f>SUM(P30)</f>
        <v>237</v>
      </c>
      <c r="S30" s="203">
        <f t="shared" si="7"/>
        <v>5099.322580645161</v>
      </c>
      <c r="T30" s="203">
        <f>SUM(R30)</f>
        <v>237</v>
      </c>
      <c r="U30" s="203">
        <f t="shared" si="8"/>
        <v>5099.322580645161</v>
      </c>
      <c r="V30" s="203">
        <f>SUM(T30)</f>
        <v>237</v>
      </c>
      <c r="W30" s="203">
        <f t="shared" si="9"/>
        <v>5099.322580645161</v>
      </c>
      <c r="X30" s="35">
        <f>SUM(Y30/73370)</f>
        <v>0.76451612903225785</v>
      </c>
      <c r="Y30" s="36">
        <f>SUM(C30+E30+G30+I30+K30+M30+O30+Q30+S30+U30+W30)</f>
        <v>56092.548387096758</v>
      </c>
      <c r="Z30" s="496">
        <f>'B5'!C29</f>
        <v>243</v>
      </c>
      <c r="AA30" s="203">
        <f t="shared" si="30"/>
        <v>2430</v>
      </c>
      <c r="AB30" s="203">
        <f>SUM(Z30)</f>
        <v>243</v>
      </c>
      <c r="AC30" s="203">
        <f t="shared" si="30"/>
        <v>2430</v>
      </c>
      <c r="AD30" s="203">
        <f>SUM(AB30)</f>
        <v>243</v>
      </c>
      <c r="AE30" s="203">
        <f t="shared" si="11"/>
        <v>2430</v>
      </c>
      <c r="AF30" s="203">
        <f>SUM(AD30)</f>
        <v>243</v>
      </c>
      <c r="AG30" s="203">
        <f t="shared" si="12"/>
        <v>2430</v>
      </c>
      <c r="AH30" s="203">
        <f>SUM(AF30)</f>
        <v>243</v>
      </c>
      <c r="AI30" s="203">
        <f t="shared" si="13"/>
        <v>2430</v>
      </c>
      <c r="AJ30" s="203">
        <f>SUM(AH30)</f>
        <v>243</v>
      </c>
      <c r="AK30" s="203">
        <f t="shared" si="14"/>
        <v>2430</v>
      </c>
      <c r="AL30" s="203">
        <f>SUM(AJ30)</f>
        <v>243</v>
      </c>
      <c r="AM30" s="203">
        <f t="shared" si="15"/>
        <v>2430</v>
      </c>
      <c r="AN30" s="35">
        <f>SUM(AO30/19600)</f>
        <v>0.86785714285714288</v>
      </c>
      <c r="AO30" s="36">
        <f>SUM(AA30+AC30+AE30+AG30+AI30+AK30+AM30)</f>
        <v>17010</v>
      </c>
      <c r="AQ30" s="223">
        <f t="shared" si="40"/>
        <v>0.78630255337309629</v>
      </c>
      <c r="AR30" s="38">
        <f t="shared" si="41"/>
        <v>73102.548387096758</v>
      </c>
      <c r="AS30" s="197">
        <f>SUM(AR30-AR29-AT30)</f>
        <v>-990.03225806454429</v>
      </c>
      <c r="AT30" s="339"/>
      <c r="AU30" s="545"/>
      <c r="AV30" s="484">
        <f t="shared" si="47"/>
        <v>1.0549999999999999</v>
      </c>
      <c r="AW30" s="278">
        <f>-SUM('B5'!AI29)</f>
        <v>-112</v>
      </c>
      <c r="AX30" s="278">
        <f t="shared" si="17"/>
        <v>-878.03225806454429</v>
      </c>
      <c r="AY30" s="37">
        <f t="shared" si="37"/>
        <v>-990.03225806454429</v>
      </c>
      <c r="AZ30" s="100">
        <f>ELEC!A28</f>
        <v>0</v>
      </c>
      <c r="BA30" s="118">
        <f>'General information '!D29</f>
        <v>24.5</v>
      </c>
      <c r="BB30" s="377">
        <f>SUM('General information '!E29)</f>
        <v>0.6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-51.648956356737898</v>
      </c>
      <c r="BK30" s="535">
        <f>GEN!AF27</f>
        <v>0.18806818181825624</v>
      </c>
    </row>
    <row r="31" spans="1:64">
      <c r="A31" s="424">
        <f>ELEC!C29</f>
        <v>44860</v>
      </c>
      <c r="B31" s="496">
        <f>'B5'!B30</f>
        <v>237</v>
      </c>
      <c r="C31" s="203">
        <f t="shared" si="18"/>
        <v>5099.322580645161</v>
      </c>
      <c r="D31">
        <f>SUM(B31)</f>
        <v>237</v>
      </c>
      <c r="E31" s="203">
        <f t="shared" si="18"/>
        <v>5099.322580645161</v>
      </c>
      <c r="F31">
        <f>SUM(D31)</f>
        <v>237</v>
      </c>
      <c r="G31" s="203">
        <f t="shared" si="1"/>
        <v>5099.322580645161</v>
      </c>
      <c r="H31" s="203">
        <f>SUM(F31)</f>
        <v>237</v>
      </c>
      <c r="I31" s="203">
        <f t="shared" si="2"/>
        <v>5099.322580645161</v>
      </c>
      <c r="J31" s="203">
        <f>SUM(H31)</f>
        <v>237</v>
      </c>
      <c r="K31" s="203">
        <f t="shared" si="3"/>
        <v>5099.322580645161</v>
      </c>
      <c r="L31" s="203">
        <f>SUM(J31)</f>
        <v>237</v>
      </c>
      <c r="M31" s="203">
        <f t="shared" si="4"/>
        <v>5099.322580645161</v>
      </c>
      <c r="N31" s="203">
        <f>SUM(L31)</f>
        <v>237</v>
      </c>
      <c r="O31" s="203">
        <f t="shared" si="5"/>
        <v>5099.322580645161</v>
      </c>
      <c r="P31" s="203">
        <f>SUM(N31)</f>
        <v>237</v>
      </c>
      <c r="Q31" s="203">
        <f t="shared" si="6"/>
        <v>5099.322580645161</v>
      </c>
      <c r="R31" s="203">
        <f>SUM(P31)</f>
        <v>237</v>
      </c>
      <c r="S31" s="203">
        <f t="shared" si="7"/>
        <v>5099.322580645161</v>
      </c>
      <c r="T31" s="203">
        <f>SUM(R31)</f>
        <v>237</v>
      </c>
      <c r="U31" s="203">
        <f t="shared" si="8"/>
        <v>5099.322580645161</v>
      </c>
      <c r="V31" s="203">
        <f>SUM(T31)</f>
        <v>237</v>
      </c>
      <c r="W31" s="203">
        <f t="shared" si="9"/>
        <v>5099.322580645161</v>
      </c>
      <c r="X31" s="35">
        <f>SUM(Y31/73370)</f>
        <v>0.76451612903225785</v>
      </c>
      <c r="Y31" s="36">
        <f>SUM(C31+E31+G31+I31+K31+M31+O31+Q31+S31+U31+W31)</f>
        <v>56092.548387096758</v>
      </c>
      <c r="Z31" s="496">
        <f>'B5'!C30</f>
        <v>243</v>
      </c>
      <c r="AA31" s="203">
        <f t="shared" si="30"/>
        <v>2430</v>
      </c>
      <c r="AB31" s="203">
        <f>SUM(Z31)</f>
        <v>243</v>
      </c>
      <c r="AC31" s="203">
        <f t="shared" si="30"/>
        <v>2430</v>
      </c>
      <c r="AD31" s="203">
        <f>SUM(AB31)</f>
        <v>243</v>
      </c>
      <c r="AE31" s="203">
        <f t="shared" si="11"/>
        <v>2430</v>
      </c>
      <c r="AF31" s="203">
        <f>SUM(AD31)</f>
        <v>243</v>
      </c>
      <c r="AG31" s="203">
        <f t="shared" si="12"/>
        <v>2430</v>
      </c>
      <c r="AH31" s="203">
        <f>SUM(AF31)</f>
        <v>243</v>
      </c>
      <c r="AI31" s="203">
        <f t="shared" si="13"/>
        <v>2430</v>
      </c>
      <c r="AJ31" s="203">
        <f>SUM(AH31)</f>
        <v>243</v>
      </c>
      <c r="AK31" s="203">
        <f t="shared" si="14"/>
        <v>2430</v>
      </c>
      <c r="AL31" s="203">
        <f>SUM(AJ31)</f>
        <v>243</v>
      </c>
      <c r="AM31" s="203">
        <f t="shared" si="15"/>
        <v>2430</v>
      </c>
      <c r="AN31" s="35">
        <f>SUM(AO31/19600)</f>
        <v>0.86785714285714288</v>
      </c>
      <c r="AO31" s="36">
        <f>SUM(AA31+AC31+AE31+AG31+AI31+AK31+AM31)</f>
        <v>17010</v>
      </c>
      <c r="AQ31" s="223">
        <f t="shared" si="40"/>
        <v>0.78630255337309629</v>
      </c>
      <c r="AR31" s="38">
        <f t="shared" si="41"/>
        <v>73102.548387096758</v>
      </c>
      <c r="AS31" s="197">
        <f t="shared" si="48"/>
        <v>0</v>
      </c>
      <c r="AT31" s="339"/>
      <c r="AU31" s="545"/>
      <c r="AV31" s="484">
        <f t="shared" si="47"/>
        <v>1.0549999999999999</v>
      </c>
      <c r="AW31" s="278">
        <f>-SUM('B5'!AI30)</f>
        <v>0</v>
      </c>
      <c r="AX31" s="278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7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5" t="e">
        <f>GEN!AF28</f>
        <v>#DIV/0!</v>
      </c>
    </row>
    <row r="32" spans="1:64">
      <c r="A32" s="424">
        <f>ELEC!C30</f>
        <v>44861</v>
      </c>
      <c r="B32" s="496">
        <f>'B5'!B31</f>
        <v>237</v>
      </c>
      <c r="C32" s="203">
        <f t="shared" si="18"/>
        <v>5099.322580645161</v>
      </c>
      <c r="D32">
        <f>SUM(B32)</f>
        <v>237</v>
      </c>
      <c r="E32" s="203">
        <f t="shared" si="18"/>
        <v>5099.322580645161</v>
      </c>
      <c r="F32">
        <f>SUM(D32)</f>
        <v>237</v>
      </c>
      <c r="G32" s="203">
        <f t="shared" si="1"/>
        <v>5099.322580645161</v>
      </c>
      <c r="H32" s="203">
        <f>SUM(F32)</f>
        <v>237</v>
      </c>
      <c r="I32" s="203">
        <f t="shared" si="2"/>
        <v>5099.322580645161</v>
      </c>
      <c r="J32" s="203">
        <f>SUM(H32)</f>
        <v>237</v>
      </c>
      <c r="K32" s="203">
        <f t="shared" si="3"/>
        <v>5099.322580645161</v>
      </c>
      <c r="L32" s="203">
        <f>SUM(J32)</f>
        <v>237</v>
      </c>
      <c r="M32" s="203">
        <f t="shared" si="4"/>
        <v>5099.322580645161</v>
      </c>
      <c r="N32" s="203">
        <f>SUM(L32)</f>
        <v>237</v>
      </c>
      <c r="O32" s="203">
        <f t="shared" si="5"/>
        <v>5099.322580645161</v>
      </c>
      <c r="P32" s="203">
        <f>SUM(N32)</f>
        <v>237</v>
      </c>
      <c r="Q32" s="203">
        <f t="shared" si="6"/>
        <v>5099.322580645161</v>
      </c>
      <c r="R32" s="203">
        <f>SUM(P32)</f>
        <v>237</v>
      </c>
      <c r="S32" s="203">
        <f t="shared" si="7"/>
        <v>5099.322580645161</v>
      </c>
      <c r="T32" s="203">
        <f>SUM(R32)</f>
        <v>237</v>
      </c>
      <c r="U32" s="203">
        <f t="shared" si="8"/>
        <v>5099.322580645161</v>
      </c>
      <c r="V32" s="203">
        <f>SUM(T32)</f>
        <v>237</v>
      </c>
      <c r="W32" s="203">
        <f t="shared" si="9"/>
        <v>5099.322580645161</v>
      </c>
      <c r="X32" s="35">
        <f>SUM(Y32/73370)</f>
        <v>0.76451612903225785</v>
      </c>
      <c r="Y32" s="36">
        <f>SUM(C32+E32+G32+I32+K32+M32+O32+Q32+S32+U32+W32)</f>
        <v>56092.548387096758</v>
      </c>
      <c r="Z32" s="496">
        <f>'B5'!C31</f>
        <v>243</v>
      </c>
      <c r="AA32" s="203">
        <f t="shared" si="30"/>
        <v>2430</v>
      </c>
      <c r="AB32" s="203">
        <f>SUM(Z32)</f>
        <v>243</v>
      </c>
      <c r="AC32" s="203">
        <f t="shared" si="30"/>
        <v>2430</v>
      </c>
      <c r="AD32" s="203">
        <f>SUM(AB32)</f>
        <v>243</v>
      </c>
      <c r="AE32" s="203">
        <f t="shared" si="11"/>
        <v>2430</v>
      </c>
      <c r="AF32" s="203">
        <f>SUM(AD32)</f>
        <v>243</v>
      </c>
      <c r="AG32" s="203">
        <f t="shared" si="12"/>
        <v>2430</v>
      </c>
      <c r="AH32" s="203">
        <f>SUM(AF32)</f>
        <v>243</v>
      </c>
      <c r="AI32" s="203">
        <f t="shared" si="13"/>
        <v>2430</v>
      </c>
      <c r="AJ32" s="203">
        <f>SUM(AH32)</f>
        <v>243</v>
      </c>
      <c r="AK32" s="203">
        <f t="shared" si="14"/>
        <v>2430</v>
      </c>
      <c r="AL32" s="203">
        <f>SUM(AJ32)</f>
        <v>243</v>
      </c>
      <c r="AM32" s="203">
        <f t="shared" si="15"/>
        <v>2430</v>
      </c>
      <c r="AN32" s="35">
        <f>SUM(AO32/19600)</f>
        <v>0.86785714285714288</v>
      </c>
      <c r="AO32" s="36">
        <f>SUM(AA32+AC32+AE32+AG32+AI32+AK32+AM32)</f>
        <v>17010</v>
      </c>
      <c r="AQ32" s="223">
        <f t="shared" si="40"/>
        <v>0.78630255337309629</v>
      </c>
      <c r="AR32" s="38">
        <f t="shared" si="41"/>
        <v>73102.548387096758</v>
      </c>
      <c r="AS32" s="197">
        <f t="shared" si="48"/>
        <v>0</v>
      </c>
      <c r="AT32" s="339"/>
      <c r="AU32" s="545"/>
      <c r="AV32" s="484">
        <f t="shared" si="47"/>
        <v>1.0549999999999999</v>
      </c>
      <c r="AW32" s="278">
        <f>-SUM('B5'!AI31)</f>
        <v>0</v>
      </c>
      <c r="AX32" s="278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7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5" t="e">
        <f>GEN!AF29</f>
        <v>#DIV/0!</v>
      </c>
    </row>
    <row r="33" spans="1:63">
      <c r="A33" s="424">
        <f>ELEC!C31</f>
        <v>44862</v>
      </c>
      <c r="B33" s="496">
        <f>'B5'!B32</f>
        <v>237</v>
      </c>
      <c r="C33" s="203">
        <f t="shared" si="18"/>
        <v>5099.322580645161</v>
      </c>
      <c r="D33">
        <f>SUM(B33)</f>
        <v>237</v>
      </c>
      <c r="E33" s="203">
        <f t="shared" si="18"/>
        <v>5099.322580645161</v>
      </c>
      <c r="F33">
        <f>SUM(D33)</f>
        <v>237</v>
      </c>
      <c r="G33" s="203">
        <f t="shared" si="1"/>
        <v>5099.322580645161</v>
      </c>
      <c r="H33" s="203">
        <f>SUM(F33)</f>
        <v>237</v>
      </c>
      <c r="I33" s="203">
        <f t="shared" si="2"/>
        <v>5099.322580645161</v>
      </c>
      <c r="J33" s="203">
        <f>SUM(H33)</f>
        <v>237</v>
      </c>
      <c r="K33" s="203">
        <f t="shared" si="3"/>
        <v>5099.322580645161</v>
      </c>
      <c r="L33" s="203">
        <f>SUM(J33)</f>
        <v>237</v>
      </c>
      <c r="M33" s="203">
        <f t="shared" si="4"/>
        <v>5099.322580645161</v>
      </c>
      <c r="N33" s="203">
        <f>SUM(L33)</f>
        <v>237</v>
      </c>
      <c r="O33" s="203">
        <f t="shared" si="5"/>
        <v>5099.322580645161</v>
      </c>
      <c r="P33" s="203">
        <f>SUM(N33)</f>
        <v>237</v>
      </c>
      <c r="Q33" s="203">
        <f t="shared" si="6"/>
        <v>5099.322580645161</v>
      </c>
      <c r="R33" s="203">
        <f>SUM(P33)</f>
        <v>237</v>
      </c>
      <c r="S33" s="203">
        <f t="shared" si="7"/>
        <v>5099.322580645161</v>
      </c>
      <c r="T33" s="203">
        <f>SUM(R33)</f>
        <v>237</v>
      </c>
      <c r="U33" s="203">
        <f t="shared" si="8"/>
        <v>5099.322580645161</v>
      </c>
      <c r="V33" s="203">
        <f>SUM(T33)</f>
        <v>237</v>
      </c>
      <c r="W33" s="203">
        <f t="shared" si="9"/>
        <v>5099.322580645161</v>
      </c>
      <c r="X33" s="35">
        <f>SUM(Y33/73370)</f>
        <v>0.76451612903225785</v>
      </c>
      <c r="Y33" s="36">
        <f>SUM(C33+E33+G33+I33+K33+M33+O33+Q33+S33+U33+W33)</f>
        <v>56092.548387096758</v>
      </c>
      <c r="Z33" s="496">
        <f>'B5'!C32</f>
        <v>243</v>
      </c>
      <c r="AA33" s="203">
        <f t="shared" si="30"/>
        <v>2430</v>
      </c>
      <c r="AB33" s="203">
        <f>SUM(Z33)</f>
        <v>243</v>
      </c>
      <c r="AC33" s="203">
        <f t="shared" si="30"/>
        <v>2430</v>
      </c>
      <c r="AD33" s="203">
        <f>SUM(AB33)</f>
        <v>243</v>
      </c>
      <c r="AE33" s="203">
        <f t="shared" si="11"/>
        <v>2430</v>
      </c>
      <c r="AF33" s="203">
        <f>SUM(AD33)</f>
        <v>243</v>
      </c>
      <c r="AG33" s="203">
        <f t="shared" si="12"/>
        <v>2430</v>
      </c>
      <c r="AH33" s="203">
        <f>SUM(AF33)</f>
        <v>243</v>
      </c>
      <c r="AI33" s="203">
        <f t="shared" si="13"/>
        <v>2430</v>
      </c>
      <c r="AJ33" s="203">
        <f>SUM(AH33)</f>
        <v>243</v>
      </c>
      <c r="AK33" s="203">
        <f t="shared" si="14"/>
        <v>2430</v>
      </c>
      <c r="AL33" s="203">
        <f>SUM(AJ33)</f>
        <v>243</v>
      </c>
      <c r="AM33" s="203">
        <f t="shared" si="15"/>
        <v>2430</v>
      </c>
      <c r="AN33" s="35">
        <f>SUM(AO33/19600)</f>
        <v>0.86785714285714288</v>
      </c>
      <c r="AO33" s="36">
        <f>SUM(AA33+AC33+AE33+AG33+AI33+AK33+AM33)</f>
        <v>17010</v>
      </c>
      <c r="AQ33" s="223">
        <f t="shared" si="40"/>
        <v>0.78630255337309629</v>
      </c>
      <c r="AR33" s="38">
        <f t="shared" si="41"/>
        <v>73102.548387096758</v>
      </c>
      <c r="AS33" s="197">
        <f>SUM(AR33-AR32-AT33)</f>
        <v>0</v>
      </c>
      <c r="AT33" s="339"/>
      <c r="AU33" s="545"/>
      <c r="AV33" s="484">
        <f t="shared" si="47"/>
        <v>1.0549999999999999</v>
      </c>
      <c r="AW33" s="278">
        <f>-SUM('B5'!AI32)</f>
        <v>0</v>
      </c>
      <c r="AX33" s="278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5" t="e">
        <f>GEN!AF30</f>
        <v>#DIV/0!</v>
      </c>
    </row>
    <row r="34" spans="1:63">
      <c r="A34" s="424">
        <f>ELEC!C32</f>
        <v>44863</v>
      </c>
      <c r="B34" s="496">
        <f>'B5'!B33</f>
        <v>237</v>
      </c>
      <c r="C34" s="203">
        <f t="shared" ref="C34:C36" si="49">B34*$B$4</f>
        <v>5099.322580645161</v>
      </c>
      <c r="D34">
        <f t="shared" ref="D34:D36" si="50">SUM(B34)</f>
        <v>237</v>
      </c>
      <c r="E34" s="203">
        <f t="shared" ref="E34:E36" si="51">D34*$B$4</f>
        <v>5099.322580645161</v>
      </c>
      <c r="F34">
        <f t="shared" ref="F34:F36" si="52">SUM(D34)</f>
        <v>237</v>
      </c>
      <c r="G34" s="203">
        <f t="shared" ref="G34:G36" si="53">F34*$B$4</f>
        <v>5099.322580645161</v>
      </c>
      <c r="H34" s="203">
        <f t="shared" ref="H34:H36" si="54">SUM(F34)</f>
        <v>237</v>
      </c>
      <c r="I34" s="203">
        <f t="shared" ref="I34:I36" si="55">H34*$B$4</f>
        <v>5099.322580645161</v>
      </c>
      <c r="J34" s="203">
        <f t="shared" ref="J34:J36" si="56">SUM(H34)</f>
        <v>237</v>
      </c>
      <c r="K34" s="203">
        <f t="shared" ref="K34:K36" si="57">J34*$B$4</f>
        <v>5099.322580645161</v>
      </c>
      <c r="L34" s="203">
        <f t="shared" ref="L34:L36" si="58">SUM(J34)</f>
        <v>237</v>
      </c>
      <c r="M34" s="203">
        <f t="shared" ref="M34:M36" si="59">L34*$B$4</f>
        <v>5099.322580645161</v>
      </c>
      <c r="N34" s="203">
        <f t="shared" ref="N34:N36" si="60">SUM(L34)</f>
        <v>237</v>
      </c>
      <c r="O34" s="203">
        <f t="shared" ref="O34:O36" si="61">N34*$B$4</f>
        <v>5099.322580645161</v>
      </c>
      <c r="P34" s="203">
        <f t="shared" ref="P34:P36" si="62">SUM(N34)</f>
        <v>237</v>
      </c>
      <c r="Q34" s="203">
        <f t="shared" ref="Q34:Q36" si="63">P34*$B$4</f>
        <v>5099.322580645161</v>
      </c>
      <c r="R34" s="203">
        <f t="shared" ref="R34:R36" si="64">SUM(P34)</f>
        <v>237</v>
      </c>
      <c r="S34" s="203">
        <f t="shared" ref="S34:S36" si="65">R34*$B$4</f>
        <v>5099.322580645161</v>
      </c>
      <c r="T34" s="203">
        <f t="shared" ref="T34:T36" si="66">SUM(R34)</f>
        <v>237</v>
      </c>
      <c r="U34" s="203">
        <f t="shared" ref="U34:U36" si="67">T34*$B$4</f>
        <v>5099.322580645161</v>
      </c>
      <c r="V34" s="203">
        <f t="shared" ref="V34:V36" si="68">SUM(T34)</f>
        <v>237</v>
      </c>
      <c r="W34" s="203">
        <f t="shared" ref="W34:W36" si="69">V34*$B$4</f>
        <v>5099.322580645161</v>
      </c>
      <c r="X34" s="35">
        <f t="shared" ref="X34:X36" si="70">SUM(Y34/73370)</f>
        <v>0.76451612903225785</v>
      </c>
      <c r="Y34" s="36">
        <f t="shared" ref="Y34:Y36" si="71">SUM(C34+E34+G34+I34+K34+M34+O34+Q34+S34+U34+W34)</f>
        <v>56092.548387096758</v>
      </c>
      <c r="Z34" s="496">
        <f>'B5'!C33</f>
        <v>243</v>
      </c>
      <c r="AA34" s="203">
        <f t="shared" ref="AA34:AA36" si="72">SUM(Z34*$Z$4)</f>
        <v>2430</v>
      </c>
      <c r="AB34" s="203">
        <f t="shared" ref="AB34:AB36" si="73">SUM(Z34)</f>
        <v>243</v>
      </c>
      <c r="AC34" s="203">
        <f t="shared" ref="AC34:AC36" si="74">SUM(AB34*$Z$4)</f>
        <v>2430</v>
      </c>
      <c r="AD34" s="203">
        <f t="shared" ref="AD34:AD36" si="75">SUM(AB34)</f>
        <v>243</v>
      </c>
      <c r="AE34" s="203">
        <f t="shared" ref="AE34:AE36" si="76">SUM(AD34*$Z$4)</f>
        <v>2430</v>
      </c>
      <c r="AF34" s="203">
        <f t="shared" ref="AF34:AF36" si="77">SUM(AD34)</f>
        <v>243</v>
      </c>
      <c r="AG34" s="203">
        <f t="shared" ref="AG34:AG36" si="78">SUM(AF34*$Z$4)</f>
        <v>2430</v>
      </c>
      <c r="AH34" s="203">
        <f t="shared" ref="AH34:AH36" si="79">SUM(AF34)</f>
        <v>243</v>
      </c>
      <c r="AI34" s="203">
        <f t="shared" ref="AI34:AI36" si="80">SUM(AH34*$Z$4)</f>
        <v>2430</v>
      </c>
      <c r="AJ34" s="203">
        <f t="shared" ref="AJ34:AJ36" si="81">SUM(AH34)</f>
        <v>243</v>
      </c>
      <c r="AK34" s="203">
        <f t="shared" ref="AK34:AK36" si="82">SUM(AJ34*$Z$4)</f>
        <v>2430</v>
      </c>
      <c r="AL34" s="203">
        <f t="shared" ref="AL34:AL36" si="83">SUM(AJ34)</f>
        <v>243</v>
      </c>
      <c r="AM34" s="203">
        <f t="shared" ref="AM34:AM36" si="84">SUM(AL34*$Z$4)</f>
        <v>2430</v>
      </c>
      <c r="AN34" s="35">
        <f t="shared" ref="AN34:AN36" si="85">SUM(AO34/19600)</f>
        <v>0.86785714285714288</v>
      </c>
      <c r="AO34" s="36">
        <f t="shared" ref="AO34:AO36" si="86">SUM(AA34+AC34+AE34+AG34+AI34+AK34+AM34)</f>
        <v>17010</v>
      </c>
      <c r="AQ34" s="223">
        <f t="shared" ref="AQ34:AQ36" si="87">SUM(AR34/92970)</f>
        <v>0.78630255337309629</v>
      </c>
      <c r="AR34" s="38">
        <f t="shared" si="41"/>
        <v>73102.548387096758</v>
      </c>
      <c r="AS34" s="197">
        <f t="shared" ref="AS34:AS36" si="88">SUM(AR34-AR33-AT34)</f>
        <v>0</v>
      </c>
      <c r="AT34" s="339"/>
      <c r="AU34" s="545"/>
      <c r="AV34" s="484">
        <f t="shared" si="47"/>
        <v>1.0549999999999999</v>
      </c>
      <c r="AW34" s="278">
        <f>-SUM('B5'!AI33)</f>
        <v>0</v>
      </c>
      <c r="AX34" s="278">
        <f t="shared" ref="AX34:AX36" si="89">-SUM(AW34-AS34)</f>
        <v>0</v>
      </c>
      <c r="AY34" s="37">
        <f t="shared" ref="AY34:AY36" si="90">SUM(AX34+AW34)</f>
        <v>0</v>
      </c>
      <c r="AZ34" s="100">
        <f>ELEC!A32</f>
        <v>0</v>
      </c>
      <c r="BA34" s="118">
        <f>'General information '!D33</f>
        <v>0</v>
      </c>
      <c r="BB34" s="377">
        <f>SUM('General information '!E33)</f>
        <v>0</v>
      </c>
      <c r="BC34" s="3">
        <f t="shared" ref="BC34:BC36" si="91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2">AX34/BI34</f>
        <v>0</v>
      </c>
      <c r="BK34" s="535" t="e">
        <f>GEN!AF31</f>
        <v>#DIV/0!</v>
      </c>
    </row>
    <row r="35" spans="1:63">
      <c r="A35" s="424">
        <f>ELEC!C33</f>
        <v>44864</v>
      </c>
      <c r="B35" s="496">
        <f>'B5'!B34</f>
        <v>237</v>
      </c>
      <c r="C35" s="203">
        <f t="shared" si="49"/>
        <v>5099.322580645161</v>
      </c>
      <c r="D35">
        <f t="shared" si="50"/>
        <v>237</v>
      </c>
      <c r="E35" s="203">
        <f t="shared" si="51"/>
        <v>5099.322580645161</v>
      </c>
      <c r="F35">
        <f t="shared" si="52"/>
        <v>237</v>
      </c>
      <c r="G35" s="203">
        <f t="shared" si="53"/>
        <v>5099.322580645161</v>
      </c>
      <c r="H35" s="203">
        <f t="shared" si="54"/>
        <v>237</v>
      </c>
      <c r="I35" s="203">
        <f t="shared" si="55"/>
        <v>5099.322580645161</v>
      </c>
      <c r="J35" s="203">
        <f t="shared" si="56"/>
        <v>237</v>
      </c>
      <c r="K35" s="203">
        <f t="shared" si="57"/>
        <v>5099.322580645161</v>
      </c>
      <c r="L35" s="203">
        <f t="shared" si="58"/>
        <v>237</v>
      </c>
      <c r="M35" s="203">
        <f t="shared" si="59"/>
        <v>5099.322580645161</v>
      </c>
      <c r="N35" s="203">
        <f t="shared" si="60"/>
        <v>237</v>
      </c>
      <c r="O35" s="203">
        <f t="shared" si="61"/>
        <v>5099.322580645161</v>
      </c>
      <c r="P35" s="203">
        <f t="shared" si="62"/>
        <v>237</v>
      </c>
      <c r="Q35" s="203">
        <f t="shared" si="63"/>
        <v>5099.322580645161</v>
      </c>
      <c r="R35" s="203">
        <f t="shared" si="64"/>
        <v>237</v>
      </c>
      <c r="S35" s="203">
        <f t="shared" si="65"/>
        <v>5099.322580645161</v>
      </c>
      <c r="T35" s="203">
        <f t="shared" si="66"/>
        <v>237</v>
      </c>
      <c r="U35" s="203">
        <f t="shared" si="67"/>
        <v>5099.322580645161</v>
      </c>
      <c r="V35" s="203">
        <f t="shared" si="68"/>
        <v>237</v>
      </c>
      <c r="W35" s="203">
        <f t="shared" si="69"/>
        <v>5099.322580645161</v>
      </c>
      <c r="X35" s="35">
        <f t="shared" si="70"/>
        <v>0.76451612903225785</v>
      </c>
      <c r="Y35" s="36">
        <f t="shared" si="71"/>
        <v>56092.548387096758</v>
      </c>
      <c r="Z35" s="496">
        <f>'B5'!C34</f>
        <v>243</v>
      </c>
      <c r="AA35" s="203">
        <f t="shared" si="72"/>
        <v>2430</v>
      </c>
      <c r="AB35" s="203">
        <f t="shared" si="73"/>
        <v>243</v>
      </c>
      <c r="AC35" s="203">
        <f t="shared" si="74"/>
        <v>2430</v>
      </c>
      <c r="AD35" s="203">
        <f t="shared" si="75"/>
        <v>243</v>
      </c>
      <c r="AE35" s="203">
        <f t="shared" si="76"/>
        <v>2430</v>
      </c>
      <c r="AF35" s="203">
        <f t="shared" si="77"/>
        <v>243</v>
      </c>
      <c r="AG35" s="203">
        <f t="shared" si="78"/>
        <v>2430</v>
      </c>
      <c r="AH35" s="203">
        <f t="shared" si="79"/>
        <v>243</v>
      </c>
      <c r="AI35" s="203">
        <f t="shared" si="80"/>
        <v>2430</v>
      </c>
      <c r="AJ35" s="203">
        <f t="shared" si="81"/>
        <v>243</v>
      </c>
      <c r="AK35" s="203">
        <f t="shared" si="82"/>
        <v>2430</v>
      </c>
      <c r="AL35" s="203">
        <f t="shared" si="83"/>
        <v>243</v>
      </c>
      <c r="AM35" s="203">
        <f t="shared" si="84"/>
        <v>2430</v>
      </c>
      <c r="AN35" s="35">
        <f t="shared" si="85"/>
        <v>0.86785714285714288</v>
      </c>
      <c r="AO35" s="36">
        <f t="shared" si="86"/>
        <v>17010</v>
      </c>
      <c r="AQ35" s="223">
        <f t="shared" si="87"/>
        <v>0.78630255337309629</v>
      </c>
      <c r="AR35" s="38">
        <f t="shared" si="41"/>
        <v>73102.548387096758</v>
      </c>
      <c r="AS35" s="197">
        <f t="shared" si="88"/>
        <v>0</v>
      </c>
      <c r="AT35" s="339"/>
      <c r="AU35" s="545"/>
      <c r="AV35" s="484">
        <f t="shared" si="47"/>
        <v>1.0549999999999999</v>
      </c>
      <c r="AW35" s="278">
        <f>-SUM('B5'!AI34)</f>
        <v>0</v>
      </c>
      <c r="AX35" s="278">
        <f t="shared" si="89"/>
        <v>0</v>
      </c>
      <c r="AY35" s="37">
        <f t="shared" si="90"/>
        <v>0</v>
      </c>
      <c r="AZ35" s="100">
        <f>ELEC!A33</f>
        <v>0</v>
      </c>
      <c r="BA35" s="118">
        <f>'General information '!D34</f>
        <v>0</v>
      </c>
      <c r="BB35" s="377">
        <f>SUM('General information '!E34)</f>
        <v>0</v>
      </c>
      <c r="BC35" s="3">
        <f t="shared" si="91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2"/>
        <v>0</v>
      </c>
      <c r="BK35" s="535" t="e">
        <f>GEN!AF32</f>
        <v>#DIV/0!</v>
      </c>
    </row>
    <row r="36" spans="1:63">
      <c r="A36" s="424">
        <f>ELEC!C34</f>
        <v>44865</v>
      </c>
      <c r="B36" s="496">
        <f>'B5'!B35</f>
        <v>237</v>
      </c>
      <c r="C36" s="203">
        <f t="shared" si="49"/>
        <v>5099.322580645161</v>
      </c>
      <c r="D36">
        <f t="shared" si="50"/>
        <v>237</v>
      </c>
      <c r="E36" s="203">
        <f t="shared" si="51"/>
        <v>5099.322580645161</v>
      </c>
      <c r="F36">
        <f t="shared" si="52"/>
        <v>237</v>
      </c>
      <c r="G36" s="203">
        <f t="shared" si="53"/>
        <v>5099.322580645161</v>
      </c>
      <c r="H36" s="203">
        <f t="shared" si="54"/>
        <v>237</v>
      </c>
      <c r="I36" s="203">
        <f t="shared" si="55"/>
        <v>5099.322580645161</v>
      </c>
      <c r="J36" s="203">
        <f t="shared" si="56"/>
        <v>237</v>
      </c>
      <c r="K36" s="203">
        <f t="shared" si="57"/>
        <v>5099.322580645161</v>
      </c>
      <c r="L36" s="203">
        <f t="shared" si="58"/>
        <v>237</v>
      </c>
      <c r="M36" s="203">
        <f t="shared" si="59"/>
        <v>5099.322580645161</v>
      </c>
      <c r="N36" s="203">
        <f t="shared" si="60"/>
        <v>237</v>
      </c>
      <c r="O36" s="203">
        <f t="shared" si="61"/>
        <v>5099.322580645161</v>
      </c>
      <c r="P36" s="203">
        <f t="shared" si="62"/>
        <v>237</v>
      </c>
      <c r="Q36" s="203">
        <f t="shared" si="63"/>
        <v>5099.322580645161</v>
      </c>
      <c r="R36" s="203">
        <f t="shared" si="64"/>
        <v>237</v>
      </c>
      <c r="S36" s="203">
        <f t="shared" si="65"/>
        <v>5099.322580645161</v>
      </c>
      <c r="T36" s="203">
        <f t="shared" si="66"/>
        <v>237</v>
      </c>
      <c r="U36" s="203">
        <f t="shared" si="67"/>
        <v>5099.322580645161</v>
      </c>
      <c r="V36" s="203">
        <f t="shared" si="68"/>
        <v>237</v>
      </c>
      <c r="W36" s="203">
        <f t="shared" si="69"/>
        <v>5099.322580645161</v>
      </c>
      <c r="X36" s="35">
        <f t="shared" si="70"/>
        <v>0.76451612903225785</v>
      </c>
      <c r="Y36" s="36">
        <f t="shared" si="71"/>
        <v>56092.548387096758</v>
      </c>
      <c r="Z36" s="496">
        <f>'B5'!C35</f>
        <v>243</v>
      </c>
      <c r="AA36" s="203">
        <f t="shared" si="72"/>
        <v>2430</v>
      </c>
      <c r="AB36" s="203">
        <f t="shared" si="73"/>
        <v>243</v>
      </c>
      <c r="AC36" s="203">
        <f t="shared" si="74"/>
        <v>2430</v>
      </c>
      <c r="AD36" s="203">
        <f t="shared" si="75"/>
        <v>243</v>
      </c>
      <c r="AE36" s="203">
        <f t="shared" si="76"/>
        <v>2430</v>
      </c>
      <c r="AF36" s="203">
        <f t="shared" si="77"/>
        <v>243</v>
      </c>
      <c r="AG36" s="203">
        <f t="shared" si="78"/>
        <v>2430</v>
      </c>
      <c r="AH36" s="203">
        <f t="shared" si="79"/>
        <v>243</v>
      </c>
      <c r="AI36" s="203">
        <f t="shared" si="80"/>
        <v>2430</v>
      </c>
      <c r="AJ36" s="203">
        <f t="shared" si="81"/>
        <v>243</v>
      </c>
      <c r="AK36" s="203">
        <f t="shared" si="82"/>
        <v>2430</v>
      </c>
      <c r="AL36" s="203">
        <f t="shared" si="83"/>
        <v>243</v>
      </c>
      <c r="AM36" s="203">
        <f t="shared" si="84"/>
        <v>2430</v>
      </c>
      <c r="AN36" s="35">
        <f t="shared" si="85"/>
        <v>0.86785714285714288</v>
      </c>
      <c r="AO36" s="36">
        <f t="shared" si="86"/>
        <v>17010</v>
      </c>
      <c r="AQ36" s="223">
        <f t="shared" si="87"/>
        <v>0.78630255337309629</v>
      </c>
      <c r="AR36" s="38">
        <f t="shared" si="41"/>
        <v>73102.548387096758</v>
      </c>
      <c r="AS36" s="197">
        <f t="shared" si="88"/>
        <v>0</v>
      </c>
      <c r="AT36" s="339"/>
      <c r="AU36" s="545"/>
      <c r="AV36" s="484">
        <f t="shared" si="47"/>
        <v>1.0549999999999999</v>
      </c>
      <c r="AW36" s="278">
        <f>-SUM('B5'!AI35)</f>
        <v>0</v>
      </c>
      <c r="AX36" s="278">
        <f t="shared" si="89"/>
        <v>0</v>
      </c>
      <c r="AY36" s="37">
        <f t="shared" si="90"/>
        <v>0</v>
      </c>
      <c r="AZ36" s="100">
        <f>ELEC!A34</f>
        <v>0</v>
      </c>
      <c r="BA36" s="118">
        <f>'General information '!D35</f>
        <v>0</v>
      </c>
      <c r="BB36" s="377">
        <f>SUM('General information '!E35)</f>
        <v>0</v>
      </c>
      <c r="BC36" s="3">
        <f t="shared" si="91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2"/>
        <v>0</v>
      </c>
      <c r="BK36" s="535" t="e">
        <f>GEN!AF33</f>
        <v>#DIV/0!</v>
      </c>
    </row>
    <row r="37" spans="1:63">
      <c r="AQ37" s="20"/>
      <c r="AR37" s="455" t="s">
        <v>223</v>
      </c>
      <c r="AS37" s="460">
        <f>COUNT(AT6:AT36)</f>
        <v>3</v>
      </c>
      <c r="AT37" s="203">
        <f>SUM(AT6:AT36)</f>
        <v>18215</v>
      </c>
      <c r="AU37" s="541">
        <f>SUM(AU6:AU36)/AS37</f>
        <v>0.69499999999999995</v>
      </c>
      <c r="AX37" s="203">
        <f>SUM(AX6:AX36)</f>
        <v>-4662.2580645161506</v>
      </c>
      <c r="AY37" s="203">
        <f>SUM(AY6:AY36)</f>
        <v>-6631.2580645161506</v>
      </c>
    </row>
    <row r="38" spans="1:63">
      <c r="AS38" s="206"/>
      <c r="AT38" s="82">
        <f>+AT37*AU37</f>
        <v>12659.424999999999</v>
      </c>
    </row>
    <row r="40" spans="1:63">
      <c r="AS40" s="165">
        <f>SUM(AS6:AS36)/'EDl log'!A35</f>
        <v>-6631.2580645161506</v>
      </c>
      <c r="AT40" s="203"/>
    </row>
    <row r="41" spans="1:63">
      <c r="AX41">
        <v>43309</v>
      </c>
    </row>
    <row r="42" spans="1:63">
      <c r="AR42" s="203">
        <f>AR36-22000</f>
        <v>51102.548387096758</v>
      </c>
      <c r="AU42" s="203"/>
      <c r="AX42">
        <f>AX37/AX41</f>
        <v>-0.10765102090826735</v>
      </c>
    </row>
    <row r="43" spans="1:63">
      <c r="AR43">
        <f>AR42/5500</f>
        <v>9.2913724340175925</v>
      </c>
    </row>
    <row r="44" spans="1:63">
      <c r="AR44">
        <f>AR43*2</f>
        <v>18.582744868035185</v>
      </c>
    </row>
    <row r="45" spans="1:63">
      <c r="AR45" s="203"/>
    </row>
    <row r="46" spans="1:63">
      <c r="AT46" s="59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0"/>
  <sheetViews>
    <sheetView zoomScale="85" zoomScaleNormal="85" workbookViewId="0">
      <selection activeCell="B23" sqref="B23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0" bestFit="1" customWidth="1"/>
    <col min="20" max="20" width="10.28515625" style="321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38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5"/>
      <c r="T1" s="319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5"/>
      <c r="T2" s="319"/>
    </row>
    <row r="3" spans="1:32" ht="20.100000000000001" customHeight="1" thickBot="1">
      <c r="A3" s="163">
        <f>'[2]EDl log'!$A$33</f>
        <v>44834</v>
      </c>
      <c r="B3" s="254">
        <f>'[2]EDl log'!$B$33</f>
        <v>1124527</v>
      </c>
      <c r="C3" s="254">
        <f>'[3]EDl log'!C34</f>
        <v>0</v>
      </c>
      <c r="D3" s="254">
        <f>'[3]EDl log'!D34</f>
        <v>0</v>
      </c>
      <c r="E3" s="254">
        <f>'[3]EDl log'!E34</f>
        <v>1124410</v>
      </c>
      <c r="F3" s="254">
        <f>'[2]EDl log'!$F$34</f>
        <v>161459</v>
      </c>
      <c r="G3" s="254">
        <f>'[3]EDl log'!G34</f>
        <v>0</v>
      </c>
      <c r="H3" s="254">
        <f>'[2]EDl log'!$H$34</f>
        <v>561164</v>
      </c>
      <c r="I3" s="254">
        <f>'[3]EDl log'!I34</f>
        <v>0</v>
      </c>
      <c r="J3" s="254">
        <f>'[2]EDl log'!$J$34</f>
        <v>401903</v>
      </c>
      <c r="K3" s="254">
        <f>'[3]EDl log'!K34</f>
        <v>0</v>
      </c>
      <c r="L3" s="254">
        <f>'[3]EDl log'!L34</f>
        <v>0</v>
      </c>
      <c r="M3" s="254">
        <f>'[3]EDl log'!M34</f>
        <v>0</v>
      </c>
      <c r="N3" s="254">
        <f>'[3]EDl log'!N34</f>
        <v>0</v>
      </c>
      <c r="O3" s="607">
        <f>'[3]EDl log'!O34</f>
        <v>154.80303857058792</v>
      </c>
      <c r="P3" s="254">
        <f>'[3]EDl log'!P34</f>
        <v>154.80303857058792</v>
      </c>
      <c r="Q3" s="254">
        <f>'[3]EDl log'!Q34</f>
        <v>1460.9405322580526</v>
      </c>
      <c r="R3" s="254">
        <f>'[3]EDl log'!R34</f>
        <v>1615.7435708286405</v>
      </c>
      <c r="S3" s="254">
        <f>'[3]EDl log'!S34</f>
        <v>4078.7999999998137</v>
      </c>
      <c r="T3" s="254">
        <f>'[3]EDl log'!T34</f>
        <v>0.39613209052385856</v>
      </c>
      <c r="Z3" t="s">
        <v>213</v>
      </c>
      <c r="AA3">
        <v>0.1</v>
      </c>
    </row>
    <row r="4" spans="1:32" ht="20.100000000000001" customHeight="1">
      <c r="A4" s="163">
        <f>ELEC!C4</f>
        <v>44835</v>
      </c>
      <c r="B4" s="533">
        <f>B3</f>
        <v>1124527</v>
      </c>
      <c r="C4" s="254">
        <f t="shared" ref="C4:C30" si="0">SUM(B4-B3)</f>
        <v>0</v>
      </c>
      <c r="D4" s="294">
        <f>SUM(G4+I4+K4)</f>
        <v>0</v>
      </c>
      <c r="E4" s="294">
        <f>B3+D4</f>
        <v>1124527</v>
      </c>
      <c r="F4" s="536">
        <f>F3</f>
        <v>161459</v>
      </c>
      <c r="G4" s="160">
        <f t="shared" ref="G4:G30" si="1">F4-F3</f>
        <v>0</v>
      </c>
      <c r="H4" s="536">
        <f>H3</f>
        <v>561164</v>
      </c>
      <c r="I4" s="161">
        <f t="shared" ref="I4:I30" si="2">H4-H3</f>
        <v>0</v>
      </c>
      <c r="J4" s="579">
        <f>J3</f>
        <v>401903</v>
      </c>
      <c r="K4" s="162">
        <f>J4-J3</f>
        <v>0</v>
      </c>
      <c r="L4" s="283">
        <f t="shared" ref="L4:L13" si="3">SUM(G4*$Y$28)/1507.5</f>
        <v>0</v>
      </c>
      <c r="M4" s="283">
        <f t="shared" ref="M4:M13" si="4">SUM(I4*$Y$27)/1507.5</f>
        <v>0</v>
      </c>
      <c r="N4" s="283">
        <f t="shared" ref="N4:N13" si="5">SUM(K4*$Y$26)/1507.5</f>
        <v>0</v>
      </c>
      <c r="O4" s="283">
        <f>($AC$29/$A$37)/1507.5</f>
        <v>154.80303857058792</v>
      </c>
      <c r="P4" s="284">
        <f>SUM(L4:O4)</f>
        <v>154.80303857058792</v>
      </c>
      <c r="Q4" s="284">
        <f>SUM(-tanks!AX6*tanks!$AU$37)</f>
        <v>-2140.8017741935523</v>
      </c>
      <c r="R4" s="284">
        <f>SUM(P4:Q4)</f>
        <v>-1985.9987356229644</v>
      </c>
      <c r="S4" s="286">
        <f>SUM(ELEC!N4)</f>
        <v>0</v>
      </c>
      <c r="T4" s="320">
        <f>IF(S4&gt;0,R4/S4,0)</f>
        <v>0</v>
      </c>
      <c r="U4" s="245"/>
      <c r="V4" s="166" t="s">
        <v>200</v>
      </c>
      <c r="W4" s="167">
        <f>'[3]EDl log'!$W$21</f>
        <v>44795</v>
      </c>
      <c r="X4" s="168"/>
      <c r="Y4" s="168"/>
      <c r="Z4" s="169" t="s">
        <v>201</v>
      </c>
      <c r="AA4" s="168"/>
      <c r="AB4" s="644"/>
      <c r="AC4" s="645"/>
    </row>
    <row r="5" spans="1:32" ht="20.100000000000001" customHeight="1">
      <c r="A5" s="163">
        <f>ELEC!C5</f>
        <v>44836</v>
      </c>
      <c r="B5" s="606">
        <f t="shared" ref="B5:B34" si="6">B4</f>
        <v>1124527</v>
      </c>
      <c r="C5" s="254">
        <f t="shared" si="0"/>
        <v>0</v>
      </c>
      <c r="D5" s="294">
        <f>SUM(G5+I5+K5)</f>
        <v>0</v>
      </c>
      <c r="E5" s="294">
        <f>B4+D5</f>
        <v>1124527</v>
      </c>
      <c r="F5" s="606">
        <f t="shared" ref="F5:F34" si="7">F4</f>
        <v>161459</v>
      </c>
      <c r="G5" s="160">
        <f t="shared" si="1"/>
        <v>0</v>
      </c>
      <c r="H5" s="606">
        <f t="shared" ref="H5:H34" si="8">H4</f>
        <v>561164</v>
      </c>
      <c r="I5" s="161">
        <f t="shared" si="2"/>
        <v>0</v>
      </c>
      <c r="J5" s="604">
        <f t="shared" ref="J5:J34" si="9">J4</f>
        <v>401903</v>
      </c>
      <c r="K5" s="162">
        <f t="shared" ref="K5:K30" si="10">J5-J4</f>
        <v>0</v>
      </c>
      <c r="L5" s="283">
        <f t="shared" si="3"/>
        <v>0</v>
      </c>
      <c r="M5" s="283">
        <f t="shared" si="4"/>
        <v>0</v>
      </c>
      <c r="N5" s="283">
        <f t="shared" si="5"/>
        <v>0</v>
      </c>
      <c r="O5" s="283">
        <f t="shared" ref="O5:O34" si="11">($AC$29/$A$37)/1507.5</f>
        <v>154.80303857058792</v>
      </c>
      <c r="P5" s="284">
        <f t="shared" ref="P5:P30" si="12">SUM(L5:O5)</f>
        <v>154.80303857058792</v>
      </c>
      <c r="Q5" s="284">
        <f>SUM(-tanks!AX7*tanks!$AU$37)</f>
        <v>-3614.5829032257993</v>
      </c>
      <c r="R5" s="284">
        <f t="shared" ref="R5:R30" si="13">SUM(P5:Q5)</f>
        <v>-3459.7798646552114</v>
      </c>
      <c r="S5" s="286">
        <f>SUM(ELEC!N5)</f>
        <v>2653</v>
      </c>
      <c r="T5" s="320">
        <f>IF(S5&gt;0,R5/S5,0)</f>
        <v>-1.3041009667000421</v>
      </c>
      <c r="U5" s="245"/>
      <c r="V5" s="638"/>
      <c r="W5" s="639"/>
      <c r="X5" s="639"/>
      <c r="Y5" s="640"/>
      <c r="Z5" s="26" t="s">
        <v>202</v>
      </c>
      <c r="AA5" s="26">
        <v>5000</v>
      </c>
      <c r="AB5" s="646"/>
      <c r="AC5" s="647"/>
    </row>
    <row r="6" spans="1:32" ht="20.100000000000001" customHeight="1">
      <c r="A6" s="163">
        <f>ELEC!C6</f>
        <v>44837</v>
      </c>
      <c r="B6" s="606">
        <f t="shared" si="6"/>
        <v>1124527</v>
      </c>
      <c r="C6" s="254">
        <f t="shared" si="0"/>
        <v>0</v>
      </c>
      <c r="D6" s="294">
        <f t="shared" ref="D6:D31" si="14">SUM(G6+I6+K6)</f>
        <v>0</v>
      </c>
      <c r="E6" s="294">
        <f t="shared" ref="E6:E34" si="15">B5+D6</f>
        <v>1124527</v>
      </c>
      <c r="F6" s="606">
        <f t="shared" si="7"/>
        <v>161459</v>
      </c>
      <c r="G6" s="160">
        <f t="shared" si="1"/>
        <v>0</v>
      </c>
      <c r="H6" s="606">
        <f t="shared" si="8"/>
        <v>561164</v>
      </c>
      <c r="I6" s="161">
        <f t="shared" si="2"/>
        <v>0</v>
      </c>
      <c r="J6" s="604">
        <f t="shared" si="9"/>
        <v>401903</v>
      </c>
      <c r="K6" s="162">
        <f t="shared" si="10"/>
        <v>0</v>
      </c>
      <c r="L6" s="283">
        <f t="shared" si="3"/>
        <v>0</v>
      </c>
      <c r="M6" s="283">
        <f t="shared" si="4"/>
        <v>0</v>
      </c>
      <c r="N6" s="283">
        <f t="shared" si="5"/>
        <v>0</v>
      </c>
      <c r="O6" s="283">
        <f t="shared" si="11"/>
        <v>154.80303857058792</v>
      </c>
      <c r="P6" s="284">
        <f t="shared" si="12"/>
        <v>154.80303857058792</v>
      </c>
      <c r="Q6" s="284">
        <f>SUM(-tanks!AX8*tanks!$AU$37)</f>
        <v>819.89822580645739</v>
      </c>
      <c r="R6" s="284">
        <f t="shared" si="13"/>
        <v>974.70126437704528</v>
      </c>
      <c r="S6" s="286">
        <f>SUM(ELEC!N6)</f>
        <v>2747</v>
      </c>
      <c r="T6" s="320">
        <f t="shared" ref="T6:T30" si="16">IF(S6&gt;0,R6/S6,0)</f>
        <v>0.35482390403241548</v>
      </c>
      <c r="V6" s="641"/>
      <c r="W6" s="642"/>
      <c r="X6" s="642"/>
      <c r="Y6" s="643"/>
      <c r="Z6" s="650"/>
      <c r="AA6" s="651"/>
      <c r="AB6" s="646"/>
      <c r="AC6" s="647"/>
    </row>
    <row r="7" spans="1:32" ht="20.100000000000001" customHeight="1">
      <c r="A7" s="163">
        <f>ELEC!C7</f>
        <v>44838</v>
      </c>
      <c r="B7" s="606">
        <f t="shared" si="6"/>
        <v>1124527</v>
      </c>
      <c r="C7" s="254">
        <f>SUM(B7-B6)</f>
        <v>0</v>
      </c>
      <c r="D7" s="294">
        <f>SUM(G7+I7+K7)</f>
        <v>0</v>
      </c>
      <c r="E7" s="294">
        <f t="shared" si="15"/>
        <v>1124527</v>
      </c>
      <c r="F7" s="606">
        <f t="shared" si="7"/>
        <v>161459</v>
      </c>
      <c r="G7" s="160">
        <f t="shared" si="1"/>
        <v>0</v>
      </c>
      <c r="H7" s="606">
        <f t="shared" si="8"/>
        <v>561164</v>
      </c>
      <c r="I7" s="161">
        <f t="shared" si="2"/>
        <v>0</v>
      </c>
      <c r="J7" s="604">
        <f t="shared" si="9"/>
        <v>401903</v>
      </c>
      <c r="K7" s="162">
        <f t="shared" si="10"/>
        <v>0</v>
      </c>
      <c r="L7" s="283">
        <f t="shared" si="3"/>
        <v>0</v>
      </c>
      <c r="M7" s="283">
        <f t="shared" si="4"/>
        <v>0</v>
      </c>
      <c r="N7" s="283">
        <f t="shared" si="5"/>
        <v>0</v>
      </c>
      <c r="O7" s="283">
        <f t="shared" si="11"/>
        <v>154.80303857058792</v>
      </c>
      <c r="P7" s="284">
        <f t="shared" si="12"/>
        <v>154.80303857058792</v>
      </c>
      <c r="Q7" s="284">
        <f>SUM(-tanks!AX9*tanks!$AU$37)</f>
        <v>703.83322580644733</v>
      </c>
      <c r="R7" s="284">
        <f t="shared" si="13"/>
        <v>858.63626437703522</v>
      </c>
      <c r="S7" s="286">
        <f>SUM(ELEC!N7)</f>
        <v>2696</v>
      </c>
      <c r="T7" s="320">
        <f t="shared" si="16"/>
        <v>0.31848526126744631</v>
      </c>
      <c r="V7" s="633" t="s">
        <v>203</v>
      </c>
      <c r="W7" s="634"/>
      <c r="X7" s="635" t="s">
        <v>204</v>
      </c>
      <c r="Y7" s="636"/>
      <c r="Z7" s="637"/>
      <c r="AA7" s="170"/>
      <c r="AB7" s="648"/>
      <c r="AC7" s="649"/>
    </row>
    <row r="8" spans="1:32" ht="20.100000000000001" customHeight="1">
      <c r="A8" s="163">
        <f>ELEC!C8</f>
        <v>44839</v>
      </c>
      <c r="B8" s="606">
        <f t="shared" si="6"/>
        <v>1124527</v>
      </c>
      <c r="C8" s="254">
        <f t="shared" si="0"/>
        <v>0</v>
      </c>
      <c r="D8" s="294">
        <f t="shared" si="14"/>
        <v>0</v>
      </c>
      <c r="E8" s="294">
        <f t="shared" si="15"/>
        <v>1124527</v>
      </c>
      <c r="F8" s="606">
        <f t="shared" si="7"/>
        <v>161459</v>
      </c>
      <c r="G8" s="160">
        <f t="shared" si="1"/>
        <v>0</v>
      </c>
      <c r="H8" s="606">
        <f t="shared" si="8"/>
        <v>561164</v>
      </c>
      <c r="I8" s="161">
        <f t="shared" si="2"/>
        <v>0</v>
      </c>
      <c r="J8" s="604">
        <f t="shared" si="9"/>
        <v>401903</v>
      </c>
      <c r="K8" s="162">
        <f>J8-J7</f>
        <v>0</v>
      </c>
      <c r="L8" s="283">
        <f t="shared" si="3"/>
        <v>0</v>
      </c>
      <c r="M8" s="283">
        <f t="shared" si="4"/>
        <v>0</v>
      </c>
      <c r="N8" s="283">
        <f t="shared" si="5"/>
        <v>0</v>
      </c>
      <c r="O8" s="283">
        <f t="shared" si="11"/>
        <v>154.80303857058792</v>
      </c>
      <c r="P8" s="284">
        <f t="shared" si="12"/>
        <v>154.80303857058792</v>
      </c>
      <c r="Q8" s="284">
        <f>SUM(-tanks!AX10*tanks!$AU$37)</f>
        <v>808.08322580644733</v>
      </c>
      <c r="R8" s="284">
        <f t="shared" si="13"/>
        <v>962.88626437703522</v>
      </c>
      <c r="S8" s="286">
        <f>SUM(ELEC!N8)</f>
        <v>3300</v>
      </c>
      <c r="T8" s="320">
        <f>IF(S8&gt;0,R8/S8,0)</f>
        <v>0.29178371647788948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44840</v>
      </c>
      <c r="B9" s="606">
        <f t="shared" si="6"/>
        <v>1124527</v>
      </c>
      <c r="C9" s="254">
        <f t="shared" si="0"/>
        <v>0</v>
      </c>
      <c r="D9" s="294">
        <f t="shared" si="14"/>
        <v>0</v>
      </c>
      <c r="E9" s="294">
        <f t="shared" si="15"/>
        <v>1124527</v>
      </c>
      <c r="F9" s="606">
        <f t="shared" si="7"/>
        <v>161459</v>
      </c>
      <c r="G9" s="160">
        <f t="shared" si="1"/>
        <v>0</v>
      </c>
      <c r="H9" s="606">
        <f t="shared" si="8"/>
        <v>561164</v>
      </c>
      <c r="I9" s="161">
        <f t="shared" si="2"/>
        <v>0</v>
      </c>
      <c r="J9" s="604">
        <f t="shared" si="9"/>
        <v>401903</v>
      </c>
      <c r="K9" s="162">
        <f>J9-J8</f>
        <v>0</v>
      </c>
      <c r="L9" s="283">
        <f t="shared" si="3"/>
        <v>0</v>
      </c>
      <c r="M9" s="283">
        <f t="shared" si="4"/>
        <v>0</v>
      </c>
      <c r="N9" s="283">
        <f t="shared" si="5"/>
        <v>0</v>
      </c>
      <c r="O9" s="283">
        <f t="shared" si="11"/>
        <v>154.80303857058792</v>
      </c>
      <c r="P9" s="284">
        <f t="shared" si="12"/>
        <v>154.80303857058792</v>
      </c>
      <c r="Q9" s="284">
        <f>SUM(-tanks!AX11*tanks!$AU$37)</f>
        <v>432.53661290321861</v>
      </c>
      <c r="R9" s="284">
        <f>SUM(P9:Q9)</f>
        <v>587.3396514738065</v>
      </c>
      <c r="S9" s="286">
        <f>SUM(ELEC!N9)</f>
        <v>2673</v>
      </c>
      <c r="T9" s="320">
        <f t="shared" si="16"/>
        <v>0.21973050934298785</v>
      </c>
      <c r="V9" s="246">
        <f>'[3]EDl log'!V26</f>
        <v>401847</v>
      </c>
      <c r="W9" s="246">
        <f>'[3]EDl log'!W26</f>
        <v>401903</v>
      </c>
      <c r="X9" s="246" t="str">
        <f>'[3]EDl log'!X26</f>
        <v>Night</v>
      </c>
      <c r="Y9" s="246">
        <f>'[3]EDl log'!Y26</f>
        <v>80</v>
      </c>
      <c r="Z9" s="246">
        <f>'[3]EDl log'!Z26</f>
        <v>1</v>
      </c>
      <c r="AA9" s="602">
        <f>'[3]EDl log'!AA26</f>
        <v>56</v>
      </c>
      <c r="AB9" s="602">
        <f>'[3]EDl log'!AB26</f>
        <v>4480</v>
      </c>
      <c r="AC9" s="602">
        <f>'[3]EDl log'!AC26</f>
        <v>1033333</v>
      </c>
      <c r="AD9" s="602">
        <f>'[3]EDl log'!AD26</f>
        <v>5.185185185185185E-2</v>
      </c>
      <c r="AE9" s="591">
        <f>'[3]EDl log'!AE26</f>
        <v>0</v>
      </c>
      <c r="AF9" s="246">
        <f>'[3]EDl log'!AF26</f>
        <v>0</v>
      </c>
    </row>
    <row r="10" spans="1:32" ht="20.100000000000001" customHeight="1">
      <c r="A10" s="163">
        <f>ELEC!C10</f>
        <v>44841</v>
      </c>
      <c r="B10" s="606">
        <f t="shared" si="6"/>
        <v>1124527</v>
      </c>
      <c r="C10" s="254">
        <f t="shared" si="0"/>
        <v>0</v>
      </c>
      <c r="D10" s="294">
        <f t="shared" si="14"/>
        <v>0</v>
      </c>
      <c r="E10" s="294">
        <f t="shared" si="15"/>
        <v>1124527</v>
      </c>
      <c r="F10" s="606">
        <f t="shared" si="7"/>
        <v>161459</v>
      </c>
      <c r="G10" s="160">
        <f t="shared" si="1"/>
        <v>0</v>
      </c>
      <c r="H10" s="606">
        <f t="shared" si="8"/>
        <v>561164</v>
      </c>
      <c r="I10" s="161">
        <f t="shared" si="2"/>
        <v>0</v>
      </c>
      <c r="J10" s="604">
        <f t="shared" si="9"/>
        <v>401903</v>
      </c>
      <c r="K10" s="162">
        <f t="shared" si="10"/>
        <v>0</v>
      </c>
      <c r="L10" s="283">
        <f t="shared" si="3"/>
        <v>0</v>
      </c>
      <c r="M10" s="283">
        <f t="shared" si="4"/>
        <v>0</v>
      </c>
      <c r="N10" s="283">
        <f t="shared" si="5"/>
        <v>0</v>
      </c>
      <c r="O10" s="283">
        <f t="shared" si="11"/>
        <v>154.80303857058792</v>
      </c>
      <c r="P10" s="284">
        <f t="shared" si="12"/>
        <v>154.80303857058792</v>
      </c>
      <c r="Q10" s="284">
        <f>SUM(-tanks!AX12*tanks!$AU$37)</f>
        <v>8.34</v>
      </c>
      <c r="R10" s="284">
        <f t="shared" si="13"/>
        <v>163.14303857058792</v>
      </c>
      <c r="S10" s="286">
        <f>SUM(ELEC!N10)</f>
        <v>0</v>
      </c>
      <c r="T10" s="320">
        <f t="shared" si="16"/>
        <v>0</v>
      </c>
      <c r="V10" s="246">
        <f>'[3]EDl log'!V27</f>
        <v>560074</v>
      </c>
      <c r="W10" s="246">
        <f>'[3]EDl log'!W27</f>
        <v>561097</v>
      </c>
      <c r="X10" s="246" t="str">
        <f>'[3]EDl log'!X27</f>
        <v>day</v>
      </c>
      <c r="Y10" s="246">
        <f>'[3]EDl log'!Y27</f>
        <v>112</v>
      </c>
      <c r="Z10" s="246">
        <f>'[3]EDl log'!Z27</f>
        <v>1</v>
      </c>
      <c r="AA10" s="602">
        <f>'[3]EDl log'!AA27</f>
        <v>1023</v>
      </c>
      <c r="AB10" s="602">
        <f>'[3]EDl log'!AB27</f>
        <v>114576</v>
      </c>
      <c r="AC10" s="602">
        <f>'[3]EDl log'!AC27</f>
        <v>6200000</v>
      </c>
      <c r="AD10" s="602">
        <f>'[3]EDl log'!AD27</f>
        <v>0.94722222222222219</v>
      </c>
      <c r="AE10" s="591">
        <f>'[3]EDl log'!AE27</f>
        <v>0</v>
      </c>
      <c r="AF10" s="246">
        <f>'[3]EDl log'!AF27</f>
        <v>0</v>
      </c>
    </row>
    <row r="11" spans="1:32" ht="20.100000000000001" customHeight="1">
      <c r="A11" s="163">
        <f>ELEC!C11</f>
        <v>44842</v>
      </c>
      <c r="B11" s="606">
        <f t="shared" si="6"/>
        <v>1124527</v>
      </c>
      <c r="C11" s="254">
        <f>SUM(B11-B10)</f>
        <v>0</v>
      </c>
      <c r="D11" s="294">
        <f>SUM(G11+I11+K11)</f>
        <v>0</v>
      </c>
      <c r="E11" s="294">
        <f t="shared" si="15"/>
        <v>1124527</v>
      </c>
      <c r="F11" s="606">
        <f t="shared" si="7"/>
        <v>161459</v>
      </c>
      <c r="G11" s="160">
        <f t="shared" si="1"/>
        <v>0</v>
      </c>
      <c r="H11" s="606">
        <f t="shared" si="8"/>
        <v>561164</v>
      </c>
      <c r="I11" s="161">
        <f t="shared" si="2"/>
        <v>0</v>
      </c>
      <c r="J11" s="604">
        <f t="shared" si="9"/>
        <v>401903</v>
      </c>
      <c r="K11" s="162">
        <f t="shared" si="10"/>
        <v>0</v>
      </c>
      <c r="L11" s="283">
        <f t="shared" si="3"/>
        <v>0</v>
      </c>
      <c r="M11" s="283">
        <f t="shared" si="4"/>
        <v>0</v>
      </c>
      <c r="N11" s="283">
        <f t="shared" si="5"/>
        <v>0</v>
      </c>
      <c r="O11" s="283">
        <f t="shared" si="11"/>
        <v>154.80303857058792</v>
      </c>
      <c r="P11" s="284">
        <f t="shared" si="12"/>
        <v>154.80303857058792</v>
      </c>
      <c r="Q11" s="284">
        <f>SUM(-tanks!AX13*tanks!$AU$37)</f>
        <v>0</v>
      </c>
      <c r="R11" s="284">
        <f t="shared" si="13"/>
        <v>154.80303857058792</v>
      </c>
      <c r="S11" s="286">
        <f>SUM(ELEC!N11)</f>
        <v>0</v>
      </c>
      <c r="T11" s="320">
        <f t="shared" si="16"/>
        <v>0</v>
      </c>
      <c r="V11" s="246">
        <f>'[3]EDl log'!V28</f>
        <v>161410</v>
      </c>
      <c r="W11" s="246">
        <f>'[3]EDl log'!W28</f>
        <v>161410</v>
      </c>
      <c r="X11" s="246" t="str">
        <f>'[3]EDl log'!X28</f>
        <v>Peak</v>
      </c>
      <c r="Y11" s="246">
        <f>'[3]EDl log'!Y28</f>
        <v>320</v>
      </c>
      <c r="Z11" s="246">
        <f>'[3]EDl log'!Z28</f>
        <v>1</v>
      </c>
      <c r="AA11" s="602">
        <f>'[3]EDl log'!AA28</f>
        <v>0</v>
      </c>
      <c r="AB11" s="602">
        <f>'[3]EDl log'!AB28</f>
        <v>0</v>
      </c>
      <c r="AC11" s="602">
        <f>'[3]EDl log'!AC28</f>
        <v>1000</v>
      </c>
      <c r="AD11" s="246">
        <f>'[3]EDl log'!AD28</f>
        <v>0</v>
      </c>
      <c r="AE11" s="591">
        <f>'[3]EDl log'!AE28</f>
        <v>0</v>
      </c>
      <c r="AF11" s="246">
        <f>'[3]EDl log'!AF28</f>
        <v>0</v>
      </c>
    </row>
    <row r="12" spans="1:32" ht="20.100000000000001" customHeight="1">
      <c r="A12" s="163">
        <f>ELEC!C12</f>
        <v>44843</v>
      </c>
      <c r="B12" s="606">
        <f t="shared" si="6"/>
        <v>1124527</v>
      </c>
      <c r="C12" s="254">
        <f t="shared" si="0"/>
        <v>0</v>
      </c>
      <c r="D12" s="294">
        <f t="shared" si="14"/>
        <v>0</v>
      </c>
      <c r="E12" s="294">
        <f t="shared" si="15"/>
        <v>1124527</v>
      </c>
      <c r="F12" s="606">
        <f t="shared" si="7"/>
        <v>161459</v>
      </c>
      <c r="G12" s="160">
        <f t="shared" si="1"/>
        <v>0</v>
      </c>
      <c r="H12" s="606">
        <f t="shared" si="8"/>
        <v>561164</v>
      </c>
      <c r="I12" s="161">
        <f t="shared" si="2"/>
        <v>0</v>
      </c>
      <c r="J12" s="604">
        <v>401903</v>
      </c>
      <c r="K12" s="162">
        <f t="shared" si="10"/>
        <v>0</v>
      </c>
      <c r="L12" s="283">
        <f t="shared" si="3"/>
        <v>0</v>
      </c>
      <c r="M12" s="283">
        <f t="shared" si="4"/>
        <v>0</v>
      </c>
      <c r="N12" s="283">
        <f t="shared" si="5"/>
        <v>0</v>
      </c>
      <c r="O12" s="283">
        <f t="shared" si="11"/>
        <v>154.80303857058792</v>
      </c>
      <c r="P12" s="284">
        <f t="shared" si="12"/>
        <v>154.80303857058792</v>
      </c>
      <c r="Q12" s="284">
        <f>SUM(-tanks!AX14*tanks!$AU$37)</f>
        <v>0</v>
      </c>
      <c r="R12" s="284">
        <f t="shared" si="13"/>
        <v>154.80303857058792</v>
      </c>
      <c r="S12" s="286">
        <f>SUM(ELEC!N12)</f>
        <v>0</v>
      </c>
      <c r="T12" s="320">
        <f t="shared" si="16"/>
        <v>0</v>
      </c>
      <c r="V12" s="213"/>
      <c r="W12" s="217"/>
      <c r="X12" s="214"/>
      <c r="Y12" s="215"/>
      <c r="Z12" s="3"/>
      <c r="AA12" s="602">
        <f>'[3]EDl log'!AA29</f>
        <v>1079</v>
      </c>
      <c r="AB12" s="602">
        <f>'[3]EDl log'!AB29</f>
        <v>119056</v>
      </c>
      <c r="AC12" s="602">
        <f>'[3]EDl log'!AC29</f>
        <v>7234333</v>
      </c>
    </row>
    <row r="13" spans="1:32" ht="20.100000000000001" customHeight="1">
      <c r="A13" s="163">
        <f>ELEC!C13</f>
        <v>44844</v>
      </c>
      <c r="B13" s="606">
        <f t="shared" si="6"/>
        <v>1124527</v>
      </c>
      <c r="C13" s="254">
        <f t="shared" si="0"/>
        <v>0</v>
      </c>
      <c r="D13" s="294">
        <f t="shared" si="14"/>
        <v>0</v>
      </c>
      <c r="E13" s="294">
        <f t="shared" si="15"/>
        <v>1124527</v>
      </c>
      <c r="F13" s="606">
        <f t="shared" si="7"/>
        <v>161459</v>
      </c>
      <c r="G13" s="160">
        <f t="shared" si="1"/>
        <v>0</v>
      </c>
      <c r="H13" s="606">
        <f t="shared" si="8"/>
        <v>561164</v>
      </c>
      <c r="I13" s="161">
        <f t="shared" si="2"/>
        <v>0</v>
      </c>
      <c r="J13" s="604">
        <f t="shared" si="9"/>
        <v>401903</v>
      </c>
      <c r="K13" s="162">
        <f t="shared" si="10"/>
        <v>0</v>
      </c>
      <c r="L13" s="283">
        <f t="shared" si="3"/>
        <v>0</v>
      </c>
      <c r="M13" s="283">
        <f t="shared" si="4"/>
        <v>0</v>
      </c>
      <c r="N13" s="283">
        <f t="shared" si="5"/>
        <v>0</v>
      </c>
      <c r="O13" s="283">
        <f t="shared" si="11"/>
        <v>154.80303857058792</v>
      </c>
      <c r="P13" s="284">
        <f t="shared" si="12"/>
        <v>154.80303857058792</v>
      </c>
      <c r="Q13" s="284">
        <f>SUM(-tanks!AX15*tanks!$AU$37)</f>
        <v>765.92362903227729</v>
      </c>
      <c r="R13" s="284">
        <f t="shared" si="13"/>
        <v>920.72666760286518</v>
      </c>
      <c r="S13" s="286">
        <f>SUM(ELEC!N13)</f>
        <v>2752</v>
      </c>
      <c r="T13" s="320">
        <f>IF(S13&gt;0,R13/S13,0)</f>
        <v>0.33456637630918068</v>
      </c>
      <c r="V13" s="216" t="s">
        <v>314</v>
      </c>
      <c r="W13" s="591">
        <f>'[3]EDl log'!W30</f>
        <v>0</v>
      </c>
      <c r="X13" s="217"/>
      <c r="Y13" s="218" t="s">
        <v>327</v>
      </c>
      <c r="Z13" s="3"/>
      <c r="AA13" s="602">
        <f>'[3]EDl log'!AA30</f>
        <v>0</v>
      </c>
      <c r="AB13" s="602">
        <f>'[3]EDl log'!AB30</f>
        <v>7353389</v>
      </c>
      <c r="AC13" s="602">
        <f>'[3]EDl log'!AC30</f>
        <v>0</v>
      </c>
    </row>
    <row r="14" spans="1:32" ht="20.100000000000001" customHeight="1">
      <c r="A14" s="163">
        <f>ELEC!C14</f>
        <v>44845</v>
      </c>
      <c r="B14" s="606">
        <f t="shared" si="6"/>
        <v>1124527</v>
      </c>
      <c r="C14" s="254">
        <f t="shared" si="0"/>
        <v>0</v>
      </c>
      <c r="D14" s="294">
        <f t="shared" si="14"/>
        <v>0</v>
      </c>
      <c r="E14" s="294">
        <f t="shared" si="15"/>
        <v>1124527</v>
      </c>
      <c r="F14" s="606">
        <f t="shared" si="7"/>
        <v>161459</v>
      </c>
      <c r="G14" s="160">
        <f t="shared" si="1"/>
        <v>0</v>
      </c>
      <c r="H14" s="606">
        <f t="shared" si="8"/>
        <v>561164</v>
      </c>
      <c r="I14" s="161">
        <f t="shared" si="2"/>
        <v>0</v>
      </c>
      <c r="J14" s="604">
        <f t="shared" si="9"/>
        <v>401903</v>
      </c>
      <c r="K14" s="162">
        <f>J14-J13</f>
        <v>0</v>
      </c>
      <c r="L14" s="283">
        <f>SUM(G14*$Y$28)/1507.5</f>
        <v>0</v>
      </c>
      <c r="M14" s="283">
        <f>SUM(I14*$Y$27)/1507.5</f>
        <v>0</v>
      </c>
      <c r="N14" s="283">
        <f>SUM(K14*$Y$26)/1507.5</f>
        <v>0</v>
      </c>
      <c r="O14" s="283">
        <f t="shared" si="11"/>
        <v>154.80303857058792</v>
      </c>
      <c r="P14" s="284">
        <f>SUM(L14:O14)</f>
        <v>154.80303857058792</v>
      </c>
      <c r="Q14" s="284">
        <f>SUM(-tanks!AX16*tanks!$AU$37)</f>
        <v>818.96782258063763</v>
      </c>
      <c r="R14" s="284">
        <f>SUM(P14:Q14)</f>
        <v>973.77086115122552</v>
      </c>
      <c r="S14" s="286">
        <f>SUM(ELEC!N14)</f>
        <v>2353</v>
      </c>
      <c r="T14" s="320">
        <f>IF(S14&gt;0,R14/S14,0)</f>
        <v>0.41384226993252254</v>
      </c>
      <c r="V14" s="216"/>
      <c r="W14" s="217"/>
      <c r="X14" s="217"/>
      <c r="Y14" s="218"/>
      <c r="Z14" s="3"/>
      <c r="AA14" s="602">
        <f>'[3]EDl log'!AA31</f>
        <v>0</v>
      </c>
      <c r="AB14" s="602">
        <f>'[3]EDl log'!AB31</f>
        <v>0</v>
      </c>
      <c r="AC14" s="602">
        <f>'[3]EDl log'!AC31</f>
        <v>0</v>
      </c>
    </row>
    <row r="15" spans="1:32" ht="20.100000000000001" customHeight="1">
      <c r="A15" s="163">
        <f>ELEC!C15</f>
        <v>44846</v>
      </c>
      <c r="B15" s="606">
        <f t="shared" si="6"/>
        <v>1124527</v>
      </c>
      <c r="C15" s="254">
        <f t="shared" si="0"/>
        <v>0</v>
      </c>
      <c r="D15" s="294">
        <f t="shared" si="14"/>
        <v>0</v>
      </c>
      <c r="E15" s="294">
        <f t="shared" si="15"/>
        <v>1124527</v>
      </c>
      <c r="F15" s="606">
        <f t="shared" si="7"/>
        <v>161459</v>
      </c>
      <c r="G15" s="160">
        <f t="shared" si="1"/>
        <v>0</v>
      </c>
      <c r="H15" s="606">
        <f t="shared" si="8"/>
        <v>561164</v>
      </c>
      <c r="I15" s="161">
        <f t="shared" si="2"/>
        <v>0</v>
      </c>
      <c r="J15" s="604">
        <f t="shared" si="9"/>
        <v>401903</v>
      </c>
      <c r="K15" s="162">
        <f>J15-J14</f>
        <v>0</v>
      </c>
      <c r="L15" s="283">
        <f>SUM(G15*$Y$28)/1507.5</f>
        <v>0</v>
      </c>
      <c r="M15" s="283">
        <f>SUM(I15*$Y$27)/1507.5</f>
        <v>0</v>
      </c>
      <c r="N15" s="283">
        <f>SUM(K15*$Y$26)/1507.5</f>
        <v>0</v>
      </c>
      <c r="O15" s="283">
        <f t="shared" si="11"/>
        <v>154.80303857058792</v>
      </c>
      <c r="P15" s="284">
        <f>SUM(L15:O15)</f>
        <v>154.80303857058792</v>
      </c>
      <c r="Q15" s="284">
        <f>SUM(-tanks!AX17*tanks!$AU$37)</f>
        <v>-112.72451612902833</v>
      </c>
      <c r="R15" s="284">
        <f>SUM(P15:Q15)</f>
        <v>42.078522441559585</v>
      </c>
      <c r="S15" s="286">
        <f>SUM(ELEC!N15)</f>
        <v>3292</v>
      </c>
      <c r="T15" s="320">
        <f>IF(S15&gt;0,R15/S15,0)</f>
        <v>1.2782054204604976E-2</v>
      </c>
      <c r="V15" s="216" t="s">
        <v>315</v>
      </c>
      <c r="W15" s="246">
        <f>'[3]EDl log'!W32</f>
        <v>219</v>
      </c>
      <c r="X15" s="246">
        <f>'[3]EDl log'!X32</f>
        <v>54.75</v>
      </c>
      <c r="Y15" s="246">
        <f>'[3]EDl log'!Y32</f>
        <v>54.75</v>
      </c>
      <c r="Z15" s="3"/>
      <c r="AA15" s="602">
        <f>'[3]EDl log'!AA32</f>
        <v>0</v>
      </c>
      <c r="AB15" s="602">
        <f>'[3]EDl log'!AB32</f>
        <v>0</v>
      </c>
      <c r="AC15" s="602">
        <f>'[3]EDl log'!AC32</f>
        <v>0</v>
      </c>
    </row>
    <row r="16" spans="1:32" ht="20.100000000000001" customHeight="1">
      <c r="A16" s="163">
        <f>ELEC!C16</f>
        <v>44847</v>
      </c>
      <c r="B16" s="606">
        <f t="shared" si="6"/>
        <v>1124527</v>
      </c>
      <c r="C16" s="254">
        <f t="shared" si="0"/>
        <v>0</v>
      </c>
      <c r="D16" s="294">
        <f t="shared" si="14"/>
        <v>0</v>
      </c>
      <c r="E16" s="294">
        <f t="shared" si="15"/>
        <v>1124527</v>
      </c>
      <c r="F16" s="606">
        <f t="shared" si="7"/>
        <v>161459</v>
      </c>
      <c r="G16" s="160">
        <f t="shared" si="1"/>
        <v>0</v>
      </c>
      <c r="H16" s="606">
        <f t="shared" si="8"/>
        <v>561164</v>
      </c>
      <c r="I16" s="161">
        <f t="shared" si="2"/>
        <v>0</v>
      </c>
      <c r="J16" s="604">
        <f t="shared" si="9"/>
        <v>401903</v>
      </c>
      <c r="K16" s="162">
        <f>J16-J15</f>
        <v>0</v>
      </c>
      <c r="L16" s="283">
        <f>SUM(G16*$Y$28)/1507.5</f>
        <v>0</v>
      </c>
      <c r="M16" s="283">
        <f>SUM(I16*$Y$27)/1507.5</f>
        <v>0</v>
      </c>
      <c r="N16" s="283">
        <f>SUM(K16*$Y$26)/1507.5</f>
        <v>0</v>
      </c>
      <c r="O16" s="283">
        <f t="shared" si="11"/>
        <v>154.80303857058792</v>
      </c>
      <c r="P16" s="284">
        <f>SUM(L16:O16)</f>
        <v>154.80303857058792</v>
      </c>
      <c r="Q16" s="284">
        <f>SUM(-tanks!AX18*tanks!$AU$37)</f>
        <v>0</v>
      </c>
      <c r="R16" s="284">
        <f>SUM(P16:Q16)</f>
        <v>154.80303857058792</v>
      </c>
      <c r="S16" s="286">
        <f>SUM(ELEC!N16)</f>
        <v>0</v>
      </c>
      <c r="T16" s="320">
        <f>IF(S16&gt;0,R16/S16,0)</f>
        <v>0</v>
      </c>
      <c r="V16" s="216" t="s">
        <v>413</v>
      </c>
      <c r="X16" s="222"/>
      <c r="Y16" s="250"/>
      <c r="Z16" s="3" t="s">
        <v>415</v>
      </c>
      <c r="AA16" s="602">
        <f>'[3]EDl log'!AA33</f>
        <v>0.11</v>
      </c>
      <c r="AB16" s="602">
        <f>'[3]EDl log'!AB33</f>
        <v>808872.79</v>
      </c>
      <c r="AC16" s="602">
        <f>'[3]EDl log'!AC33</f>
        <v>7234333</v>
      </c>
    </row>
    <row r="17" spans="1:32" ht="20.100000000000001" customHeight="1">
      <c r="A17" s="163">
        <f>ELEC!C17</f>
        <v>44848</v>
      </c>
      <c r="B17" s="606">
        <f t="shared" si="6"/>
        <v>1124527</v>
      </c>
      <c r="C17" s="254">
        <f t="shared" si="0"/>
        <v>0</v>
      </c>
      <c r="D17" s="294">
        <f t="shared" si="14"/>
        <v>0</v>
      </c>
      <c r="E17" s="294">
        <f t="shared" si="15"/>
        <v>1124527</v>
      </c>
      <c r="F17" s="606">
        <f t="shared" si="7"/>
        <v>161459</v>
      </c>
      <c r="G17" s="160">
        <f>F17-F16</f>
        <v>0</v>
      </c>
      <c r="H17" s="606">
        <f t="shared" si="8"/>
        <v>561164</v>
      </c>
      <c r="I17" s="161">
        <f t="shared" si="2"/>
        <v>0</v>
      </c>
      <c r="J17" s="604">
        <f t="shared" si="9"/>
        <v>401903</v>
      </c>
      <c r="K17" s="162">
        <f>J17-J16</f>
        <v>0</v>
      </c>
      <c r="L17" s="283">
        <f>SUM(G17*$Y$28)/1507.5</f>
        <v>0</v>
      </c>
      <c r="M17" s="283">
        <f>SUM(I17*$Y$27)/1507.5</f>
        <v>0</v>
      </c>
      <c r="N17" s="283">
        <f>SUM(K17*$Y$26)/1507.5</f>
        <v>0</v>
      </c>
      <c r="O17" s="283">
        <f t="shared" si="11"/>
        <v>154.80303857058792</v>
      </c>
      <c r="P17" s="284">
        <f>SUM(L17:O17)</f>
        <v>154.80303857058792</v>
      </c>
      <c r="Q17" s="284">
        <f>SUM(-tanks!AX19*tanks!$AU$37)</f>
        <v>0</v>
      </c>
      <c r="R17" s="284">
        <f>SUM(P17:Q17)</f>
        <v>154.80303857058792</v>
      </c>
      <c r="S17" s="286">
        <f>SUM(ELEC!N17)</f>
        <v>0</v>
      </c>
      <c r="T17" s="320">
        <f>IF(S17&gt;0,R17/S17,0)</f>
        <v>0</v>
      </c>
      <c r="V17" s="216" t="s">
        <v>414</v>
      </c>
      <c r="Z17" s="3"/>
      <c r="AA17" s="602">
        <f>'[3]EDl log'!AA34</f>
        <v>0</v>
      </c>
      <c r="AB17" s="602">
        <f>'[3]EDl log'!AB34</f>
        <v>8162261.79</v>
      </c>
      <c r="AC17" s="602">
        <f>'[3]EDl log'!AC34</f>
        <v>0</v>
      </c>
    </row>
    <row r="18" spans="1:32" ht="20.100000000000001" customHeight="1" thickBot="1">
      <c r="A18" s="163">
        <f>ELEC!C18</f>
        <v>44849</v>
      </c>
      <c r="B18" s="606">
        <f t="shared" si="6"/>
        <v>1124527</v>
      </c>
      <c r="C18" s="254">
        <f>SUM(B18-B17)</f>
        <v>0</v>
      </c>
      <c r="D18" s="294">
        <f>SUM(G18+I18+K18)</f>
        <v>0</v>
      </c>
      <c r="E18" s="294">
        <f t="shared" si="15"/>
        <v>1124527</v>
      </c>
      <c r="F18" s="606">
        <f t="shared" si="7"/>
        <v>161459</v>
      </c>
      <c r="G18" s="160">
        <f t="shared" si="1"/>
        <v>0</v>
      </c>
      <c r="H18" s="606">
        <f t="shared" si="8"/>
        <v>561164</v>
      </c>
      <c r="I18" s="161">
        <f t="shared" si="2"/>
        <v>0</v>
      </c>
      <c r="J18" s="604">
        <f t="shared" si="9"/>
        <v>401903</v>
      </c>
      <c r="K18" s="162">
        <f t="shared" si="10"/>
        <v>0</v>
      </c>
      <c r="L18" s="283">
        <f t="shared" ref="L18:L30" si="17">SUM(G18*$Y$28)/1507.5</f>
        <v>0</v>
      </c>
      <c r="M18" s="283">
        <f t="shared" ref="M18:M30" si="18">SUM(I18*$Y$27)/1507.5</f>
        <v>0</v>
      </c>
      <c r="N18" s="283">
        <f t="shared" ref="N18:N30" si="19">SUM(K18*$Y$26)/1507.5</f>
        <v>0</v>
      </c>
      <c r="O18" s="283">
        <f t="shared" si="11"/>
        <v>154.80303857058792</v>
      </c>
      <c r="P18" s="284">
        <f t="shared" si="12"/>
        <v>154.80303857058792</v>
      </c>
      <c r="Q18" s="284">
        <f>SUM(-tanks!AX20*tanks!$AU$37)</f>
        <v>0</v>
      </c>
      <c r="R18" s="284">
        <f t="shared" si="13"/>
        <v>154.80303857058792</v>
      </c>
      <c r="S18" s="286">
        <f>SUM(ELEC!N18)</f>
        <v>0</v>
      </c>
      <c r="T18" s="320">
        <f t="shared" si="16"/>
        <v>0</v>
      </c>
      <c r="V18" s="226"/>
      <c r="W18" s="227"/>
      <c r="X18" s="227"/>
      <c r="Y18" s="227"/>
      <c r="Z18" s="3"/>
      <c r="AA18" s="602">
        <f>'[3]EDl log'!AA35</f>
        <v>0</v>
      </c>
      <c r="AB18" s="602">
        <f>'[3]EDl log'!AB35</f>
        <v>0</v>
      </c>
      <c r="AC18" s="602">
        <f>'[3]EDl log'!AC35</f>
        <v>0</v>
      </c>
    </row>
    <row r="19" spans="1:32" ht="20.100000000000001" customHeight="1" thickBot="1">
      <c r="A19" s="163">
        <f>ELEC!C19</f>
        <v>44850</v>
      </c>
      <c r="B19" s="606">
        <f t="shared" si="6"/>
        <v>1124527</v>
      </c>
      <c r="C19" s="254">
        <f t="shared" si="0"/>
        <v>0</v>
      </c>
      <c r="D19" s="294">
        <f t="shared" si="14"/>
        <v>0</v>
      </c>
      <c r="E19" s="294">
        <f t="shared" si="15"/>
        <v>1124527</v>
      </c>
      <c r="F19" s="606">
        <f t="shared" si="7"/>
        <v>161459</v>
      </c>
      <c r="G19" s="160">
        <f t="shared" si="1"/>
        <v>0</v>
      </c>
      <c r="H19" s="606">
        <f t="shared" si="8"/>
        <v>561164</v>
      </c>
      <c r="I19" s="161">
        <f t="shared" si="2"/>
        <v>0</v>
      </c>
      <c r="J19" s="604">
        <f t="shared" si="9"/>
        <v>401903</v>
      </c>
      <c r="K19" s="162">
        <f t="shared" si="10"/>
        <v>0</v>
      </c>
      <c r="L19" s="283">
        <f>SUM(G19*$Y$28)/1507.5</f>
        <v>0</v>
      </c>
      <c r="M19" s="283">
        <f>SUM(I19*$Y$27)/1507.5</f>
        <v>0</v>
      </c>
      <c r="N19" s="283">
        <f>SUM(K19*$Y$26)/1507.5</f>
        <v>0</v>
      </c>
      <c r="O19" s="283">
        <f>($AC$29/$A$37)/1507.5</f>
        <v>154.80303857058792</v>
      </c>
      <c r="P19" s="284">
        <f>SUM(L19:O19)</f>
        <v>154.80303857058792</v>
      </c>
      <c r="Q19" s="284">
        <f>SUM(-tanks!AX21*tanks!$AU$37)</f>
        <v>1280.0106451612853</v>
      </c>
      <c r="R19" s="284">
        <f>SUM(P19:Q19)</f>
        <v>1434.8136837318732</v>
      </c>
      <c r="S19" s="286">
        <f>SUM(ELEC!N19)</f>
        <v>4852</v>
      </c>
      <c r="T19" s="320">
        <f>IF(S19&gt;0,R19/S19,0)</f>
        <v>0.29571592822173809</v>
      </c>
      <c r="V19" s="226"/>
      <c r="W19" s="227"/>
      <c r="X19" s="227"/>
      <c r="Y19" s="227"/>
      <c r="Z19" s="227"/>
      <c r="AA19" s="602" t="str">
        <f>'[7]EDl log'!AA36</f>
        <v>$ without VAT</v>
      </c>
      <c r="AB19" s="602">
        <f>'[3]EDl log'!AB36</f>
        <v>4877.8699834162517</v>
      </c>
      <c r="AC19" s="602">
        <f>'[3]EDl log'!AC36</f>
        <v>0</v>
      </c>
    </row>
    <row r="20" spans="1:32" ht="20.100000000000001" customHeight="1" thickBot="1">
      <c r="A20" s="163">
        <f>ELEC!C20</f>
        <v>44851</v>
      </c>
      <c r="B20" s="606">
        <f t="shared" si="6"/>
        <v>1124527</v>
      </c>
      <c r="C20" s="254">
        <f t="shared" si="0"/>
        <v>0</v>
      </c>
      <c r="D20" s="294">
        <f t="shared" si="14"/>
        <v>0</v>
      </c>
      <c r="E20" s="294">
        <f t="shared" si="15"/>
        <v>1124527</v>
      </c>
      <c r="F20" s="606">
        <f t="shared" si="7"/>
        <v>161459</v>
      </c>
      <c r="G20" s="160">
        <f t="shared" si="1"/>
        <v>0</v>
      </c>
      <c r="H20" s="606">
        <f t="shared" si="8"/>
        <v>561164</v>
      </c>
      <c r="I20" s="161">
        <f t="shared" si="2"/>
        <v>0</v>
      </c>
      <c r="J20" s="604">
        <f t="shared" si="9"/>
        <v>401903</v>
      </c>
      <c r="K20" s="162">
        <f t="shared" si="10"/>
        <v>0</v>
      </c>
      <c r="L20" s="283">
        <f t="shared" si="17"/>
        <v>0</v>
      </c>
      <c r="M20" s="283">
        <f t="shared" si="18"/>
        <v>0</v>
      </c>
      <c r="N20" s="283">
        <f t="shared" si="19"/>
        <v>0</v>
      </c>
      <c r="O20" s="283">
        <f t="shared" si="11"/>
        <v>154.80303857058792</v>
      </c>
      <c r="P20" s="284">
        <f t="shared" si="12"/>
        <v>154.80303857058792</v>
      </c>
      <c r="Q20" s="284">
        <f>SUM(-tanks!AX22*tanks!$AU$37)</f>
        <v>510.15241935482788</v>
      </c>
      <c r="R20" s="284">
        <f t="shared" si="13"/>
        <v>664.95545792541577</v>
      </c>
      <c r="S20" s="286">
        <f>SUM(ELEC!N20)</f>
        <v>1979</v>
      </c>
      <c r="T20" s="320">
        <f t="shared" si="16"/>
        <v>0.33600578975513684</v>
      </c>
      <c r="AB20" s="524"/>
    </row>
    <row r="21" spans="1:32" ht="20.100000000000001" customHeight="1">
      <c r="A21" s="163">
        <f>ELEC!C21</f>
        <v>44852</v>
      </c>
      <c r="B21" s="606">
        <f t="shared" si="6"/>
        <v>1124527</v>
      </c>
      <c r="C21" s="254">
        <f t="shared" si="0"/>
        <v>0</v>
      </c>
      <c r="D21" s="294">
        <f t="shared" si="14"/>
        <v>0</v>
      </c>
      <c r="E21" s="294">
        <f t="shared" si="15"/>
        <v>1124527</v>
      </c>
      <c r="F21" s="606">
        <f t="shared" si="7"/>
        <v>161459</v>
      </c>
      <c r="G21" s="160">
        <f t="shared" si="1"/>
        <v>0</v>
      </c>
      <c r="H21" s="606">
        <f t="shared" si="8"/>
        <v>561164</v>
      </c>
      <c r="I21" s="161">
        <f t="shared" si="2"/>
        <v>0</v>
      </c>
      <c r="J21" s="604">
        <f t="shared" si="9"/>
        <v>401903</v>
      </c>
      <c r="K21" s="162">
        <f t="shared" si="10"/>
        <v>0</v>
      </c>
      <c r="L21" s="283">
        <f t="shared" si="17"/>
        <v>0</v>
      </c>
      <c r="M21" s="283">
        <f t="shared" si="18"/>
        <v>0</v>
      </c>
      <c r="N21" s="283">
        <f t="shared" si="19"/>
        <v>0</v>
      </c>
      <c r="O21" s="283">
        <f t="shared" si="11"/>
        <v>154.80303857058792</v>
      </c>
      <c r="P21" s="284">
        <f t="shared" si="12"/>
        <v>154.80303857058792</v>
      </c>
      <c r="Q21" s="284">
        <f>SUM(-tanks!AX23*tanks!$AU$37)</f>
        <v>688.0724193548582</v>
      </c>
      <c r="R21" s="284">
        <f t="shared" si="13"/>
        <v>842.87545792544609</v>
      </c>
      <c r="S21" s="286">
        <f>SUM(ELEC!N21)</f>
        <v>2613</v>
      </c>
      <c r="T21" s="320">
        <f t="shared" si="16"/>
        <v>0.32257001834115812</v>
      </c>
      <c r="V21" s="166" t="s">
        <v>200</v>
      </c>
      <c r="W21" s="167">
        <v>44795</v>
      </c>
      <c r="X21" s="168"/>
      <c r="Y21" s="168"/>
      <c r="Z21" s="169" t="s">
        <v>201</v>
      </c>
      <c r="AA21" s="168"/>
      <c r="AB21" s="644"/>
      <c r="AC21" s="645"/>
    </row>
    <row r="22" spans="1:32" ht="20.100000000000001" customHeight="1">
      <c r="A22" s="163">
        <f>ELEC!C22</f>
        <v>44853</v>
      </c>
      <c r="B22" s="606">
        <v>1124846</v>
      </c>
      <c r="C22" s="254">
        <f t="shared" si="0"/>
        <v>319</v>
      </c>
      <c r="D22" s="294">
        <f t="shared" si="14"/>
        <v>320</v>
      </c>
      <c r="E22" s="294">
        <v>1124846</v>
      </c>
      <c r="F22" s="606">
        <v>161459</v>
      </c>
      <c r="G22" s="160">
        <f t="shared" si="1"/>
        <v>0</v>
      </c>
      <c r="H22" s="606">
        <v>561453</v>
      </c>
      <c r="I22" s="161">
        <f t="shared" si="2"/>
        <v>289</v>
      </c>
      <c r="J22" s="604">
        <v>401934</v>
      </c>
      <c r="K22" s="162">
        <f t="shared" si="10"/>
        <v>31</v>
      </c>
      <c r="L22" s="283">
        <f t="shared" si="17"/>
        <v>0</v>
      </c>
      <c r="M22" s="283">
        <f t="shared" si="18"/>
        <v>21.471310116086237</v>
      </c>
      <c r="N22" s="283">
        <f t="shared" si="19"/>
        <v>1.6451077943615258</v>
      </c>
      <c r="O22" s="283">
        <f t="shared" si="11"/>
        <v>154.80303857058792</v>
      </c>
      <c r="P22" s="284">
        <f t="shared" si="12"/>
        <v>177.91945648103567</v>
      </c>
      <c r="Q22" s="284">
        <f>SUM(-tanks!AX24*tanks!$AU$37)</f>
        <v>565.05741935483798</v>
      </c>
      <c r="R22" s="284">
        <f t="shared" si="13"/>
        <v>742.97687583587367</v>
      </c>
      <c r="S22" s="286">
        <f>SUM(ELEC!N22)</f>
        <v>2436</v>
      </c>
      <c r="T22" s="320">
        <f t="shared" si="16"/>
        <v>0.3049987175024112</v>
      </c>
      <c r="V22" s="638"/>
      <c r="W22" s="639"/>
      <c r="X22" s="639"/>
      <c r="Y22" s="640"/>
      <c r="Z22" s="26" t="s">
        <v>202</v>
      </c>
      <c r="AA22" s="26">
        <v>5000</v>
      </c>
      <c r="AB22" s="646"/>
      <c r="AC22" s="647"/>
    </row>
    <row r="23" spans="1:32" ht="21" customHeight="1">
      <c r="A23" s="163">
        <f>ELEC!C23</f>
        <v>44854</v>
      </c>
      <c r="B23" s="606">
        <f t="shared" si="6"/>
        <v>1124846</v>
      </c>
      <c r="C23" s="254">
        <f t="shared" si="0"/>
        <v>0</v>
      </c>
      <c r="D23" s="294">
        <f t="shared" si="14"/>
        <v>0</v>
      </c>
      <c r="E23" s="294">
        <f t="shared" si="15"/>
        <v>1124846</v>
      </c>
      <c r="F23" s="606">
        <f t="shared" si="7"/>
        <v>161459</v>
      </c>
      <c r="G23" s="160">
        <f t="shared" si="1"/>
        <v>0</v>
      </c>
      <c r="H23" s="606">
        <f t="shared" si="8"/>
        <v>561453</v>
      </c>
      <c r="I23" s="161">
        <f t="shared" si="2"/>
        <v>0</v>
      </c>
      <c r="J23" s="604">
        <f t="shared" si="9"/>
        <v>401934</v>
      </c>
      <c r="K23" s="162">
        <f t="shared" si="10"/>
        <v>0</v>
      </c>
      <c r="L23" s="283">
        <f t="shared" si="17"/>
        <v>0</v>
      </c>
      <c r="M23" s="283">
        <f t="shared" si="18"/>
        <v>0</v>
      </c>
      <c r="N23" s="283">
        <f t="shared" si="19"/>
        <v>0</v>
      </c>
      <c r="O23" s="283">
        <f t="shared" si="11"/>
        <v>154.80303857058792</v>
      </c>
      <c r="P23" s="284">
        <f t="shared" si="12"/>
        <v>154.80303857058792</v>
      </c>
      <c r="Q23" s="284">
        <f>SUM(-tanks!AX25*tanks!$AU$37)</f>
        <v>-530.48677419355261</v>
      </c>
      <c r="R23" s="284">
        <f t="shared" si="13"/>
        <v>-375.68373562296472</v>
      </c>
      <c r="S23" s="286">
        <f>SUM(ELEC!N23)</f>
        <v>2195</v>
      </c>
      <c r="T23" s="320">
        <f t="shared" si="16"/>
        <v>-0.17115432146832105</v>
      </c>
      <c r="V23" s="641"/>
      <c r="W23" s="642"/>
      <c r="X23" s="642"/>
      <c r="Y23" s="643"/>
      <c r="Z23" s="650"/>
      <c r="AA23" s="651"/>
      <c r="AB23" s="646"/>
      <c r="AC23" s="647"/>
    </row>
    <row r="24" spans="1:32" ht="20.100000000000001" customHeight="1">
      <c r="A24" s="163">
        <f>ELEC!C24</f>
        <v>44855</v>
      </c>
      <c r="B24" s="606">
        <f t="shared" si="6"/>
        <v>1124846</v>
      </c>
      <c r="C24" s="254">
        <f t="shared" si="0"/>
        <v>0</v>
      </c>
      <c r="D24" s="294">
        <f t="shared" si="14"/>
        <v>0</v>
      </c>
      <c r="E24" s="294">
        <f t="shared" si="15"/>
        <v>1124846</v>
      </c>
      <c r="F24" s="606">
        <f t="shared" si="7"/>
        <v>161459</v>
      </c>
      <c r="G24" s="160">
        <f t="shared" si="1"/>
        <v>0</v>
      </c>
      <c r="H24" s="606">
        <f t="shared" si="8"/>
        <v>561453</v>
      </c>
      <c r="I24" s="161">
        <f t="shared" si="2"/>
        <v>0</v>
      </c>
      <c r="J24" s="604">
        <f t="shared" si="9"/>
        <v>401934</v>
      </c>
      <c r="K24" s="162">
        <f t="shared" si="10"/>
        <v>0</v>
      </c>
      <c r="L24" s="283">
        <f t="shared" si="17"/>
        <v>0</v>
      </c>
      <c r="M24" s="283">
        <f t="shared" si="18"/>
        <v>0</v>
      </c>
      <c r="N24" s="283">
        <f t="shared" si="19"/>
        <v>0</v>
      </c>
      <c r="O24" s="283">
        <f t="shared" si="11"/>
        <v>154.80303857058792</v>
      </c>
      <c r="P24" s="284">
        <f t="shared" si="12"/>
        <v>154.80303857058792</v>
      </c>
      <c r="Q24" s="284">
        <f>SUM(-tanks!AX26*tanks!$AU$37)</f>
        <v>0</v>
      </c>
      <c r="R24" s="284">
        <f t="shared" si="13"/>
        <v>154.80303857058792</v>
      </c>
      <c r="S24" s="286">
        <f>SUM(ELEC!N24)</f>
        <v>0</v>
      </c>
      <c r="T24" s="320">
        <f t="shared" si="16"/>
        <v>0</v>
      </c>
      <c r="V24" s="633" t="s">
        <v>203</v>
      </c>
      <c r="W24" s="634"/>
      <c r="X24" s="635" t="s">
        <v>204</v>
      </c>
      <c r="Y24" s="636"/>
      <c r="Z24" s="637"/>
      <c r="AA24" s="170"/>
      <c r="AB24" s="648"/>
      <c r="AC24" s="649"/>
    </row>
    <row r="25" spans="1:32" ht="20.100000000000001" customHeight="1">
      <c r="A25" s="163">
        <f>ELEC!C25</f>
        <v>44856</v>
      </c>
      <c r="B25" s="608">
        <f t="shared" si="6"/>
        <v>1124846</v>
      </c>
      <c r="C25" s="254">
        <f t="shared" si="0"/>
        <v>0</v>
      </c>
      <c r="D25" s="294">
        <f t="shared" si="14"/>
        <v>0</v>
      </c>
      <c r="E25" s="294">
        <f t="shared" si="15"/>
        <v>1124846</v>
      </c>
      <c r="F25" s="606">
        <v>161459</v>
      </c>
      <c r="G25" s="160">
        <f t="shared" si="1"/>
        <v>0</v>
      </c>
      <c r="H25" s="608">
        <f t="shared" si="8"/>
        <v>561453</v>
      </c>
      <c r="I25" s="161">
        <f t="shared" si="2"/>
        <v>0</v>
      </c>
      <c r="J25" s="604">
        <f t="shared" si="9"/>
        <v>401934</v>
      </c>
      <c r="K25" s="162">
        <f t="shared" si="10"/>
        <v>0</v>
      </c>
      <c r="L25" s="283">
        <f t="shared" si="17"/>
        <v>0</v>
      </c>
      <c r="M25" s="283">
        <f t="shared" si="18"/>
        <v>0</v>
      </c>
      <c r="N25" s="283">
        <f t="shared" si="19"/>
        <v>0</v>
      </c>
      <c r="O25" s="283">
        <f t="shared" si="11"/>
        <v>154.80303857058792</v>
      </c>
      <c r="P25" s="284">
        <f t="shared" si="12"/>
        <v>154.80303857058792</v>
      </c>
      <c r="Q25" s="284">
        <f>SUM(-tanks!AX27*tanks!$AU$37)</f>
        <v>0</v>
      </c>
      <c r="R25" s="284">
        <f t="shared" si="13"/>
        <v>154.80303857058792</v>
      </c>
      <c r="S25" s="286">
        <f>SUM(ELEC!N25)</f>
        <v>0</v>
      </c>
      <c r="T25" s="320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44857</v>
      </c>
      <c r="B26" s="606">
        <f t="shared" si="6"/>
        <v>1124846</v>
      </c>
      <c r="C26" s="254">
        <f t="shared" si="0"/>
        <v>0</v>
      </c>
      <c r="D26" s="294">
        <f t="shared" si="14"/>
        <v>0</v>
      </c>
      <c r="E26" s="294">
        <f t="shared" si="15"/>
        <v>1124846</v>
      </c>
      <c r="F26" s="606">
        <f t="shared" si="7"/>
        <v>161459</v>
      </c>
      <c r="G26" s="160">
        <f t="shared" si="1"/>
        <v>0</v>
      </c>
      <c r="H26" s="606">
        <f t="shared" si="8"/>
        <v>561453</v>
      </c>
      <c r="I26" s="161">
        <f t="shared" si="2"/>
        <v>0</v>
      </c>
      <c r="J26" s="604">
        <f t="shared" si="9"/>
        <v>401934</v>
      </c>
      <c r="K26" s="162">
        <f t="shared" si="10"/>
        <v>0</v>
      </c>
      <c r="L26" s="283">
        <f t="shared" si="17"/>
        <v>0</v>
      </c>
      <c r="M26" s="283">
        <f t="shared" si="18"/>
        <v>0</v>
      </c>
      <c r="N26" s="283">
        <f t="shared" si="19"/>
        <v>0</v>
      </c>
      <c r="O26" s="283">
        <f t="shared" si="11"/>
        <v>154.80303857058792</v>
      </c>
      <c r="P26" s="284">
        <f t="shared" si="12"/>
        <v>154.80303857058792</v>
      </c>
      <c r="Q26" s="284">
        <f>SUM(-tanks!AX28*tanks!$AU$37)</f>
        <v>933.65403225804653</v>
      </c>
      <c r="R26" s="284">
        <f t="shared" si="13"/>
        <v>1088.4570708286344</v>
      </c>
      <c r="S26" s="286">
        <f>SUM(ELEC!N26)</f>
        <v>3654.2000000001863</v>
      </c>
      <c r="T26" s="320">
        <f t="shared" si="16"/>
        <v>0.29786466827994607</v>
      </c>
      <c r="V26" s="246">
        <f>W9</f>
        <v>401903</v>
      </c>
      <c r="W26" s="170">
        <f>J34</f>
        <v>401934</v>
      </c>
      <c r="X26" s="172" t="s">
        <v>199</v>
      </c>
      <c r="Y26" s="172">
        <v>80</v>
      </c>
      <c r="Z26" s="172">
        <v>1</v>
      </c>
      <c r="AA26" s="322">
        <f>(W26-V26)*Z26</f>
        <v>31</v>
      </c>
      <c r="AB26" s="322">
        <f>AA26*Y26</f>
        <v>2480</v>
      </c>
      <c r="AC26" s="244">
        <f>AC9</f>
        <v>1033333</v>
      </c>
      <c r="AD26" s="475">
        <f>SUM(K36)</f>
        <v>9.7178683385579931E-2</v>
      </c>
    </row>
    <row r="27" spans="1:32" ht="20.100000000000001" customHeight="1">
      <c r="A27" s="163">
        <f>ELEC!C27</f>
        <v>44858</v>
      </c>
      <c r="B27" s="606">
        <f t="shared" si="6"/>
        <v>1124846</v>
      </c>
      <c r="C27" s="254">
        <f t="shared" si="0"/>
        <v>0</v>
      </c>
      <c r="D27" s="294">
        <f t="shared" si="14"/>
        <v>0</v>
      </c>
      <c r="E27" s="294">
        <f t="shared" si="15"/>
        <v>1124846</v>
      </c>
      <c r="F27" s="606">
        <f t="shared" si="7"/>
        <v>161459</v>
      </c>
      <c r="G27" s="160">
        <f t="shared" si="1"/>
        <v>0</v>
      </c>
      <c r="H27" s="606">
        <f t="shared" si="8"/>
        <v>561453</v>
      </c>
      <c r="I27" s="161">
        <f t="shared" si="2"/>
        <v>0</v>
      </c>
      <c r="J27" s="604">
        <f t="shared" si="9"/>
        <v>401934</v>
      </c>
      <c r="K27" s="162">
        <f t="shared" si="10"/>
        <v>0</v>
      </c>
      <c r="L27" s="283">
        <f t="shared" si="17"/>
        <v>0</v>
      </c>
      <c r="M27" s="283">
        <f t="shared" si="18"/>
        <v>0</v>
      </c>
      <c r="N27" s="283">
        <f t="shared" si="19"/>
        <v>0</v>
      </c>
      <c r="O27" s="283">
        <f t="shared" si="11"/>
        <v>154.80303857058792</v>
      </c>
      <c r="P27" s="284">
        <f t="shared" si="12"/>
        <v>154.80303857058792</v>
      </c>
      <c r="Q27" s="284">
        <f>SUM(-tanks!AX29*tanks!$AU$37)</f>
        <v>694.10322580645743</v>
      </c>
      <c r="R27" s="284">
        <f t="shared" si="13"/>
        <v>848.90626437704532</v>
      </c>
      <c r="S27" s="286">
        <f>SUM(ELEC!N27)</f>
        <v>2879.7999999998137</v>
      </c>
      <c r="T27" s="320">
        <f t="shared" si="16"/>
        <v>0.29477959038026952</v>
      </c>
      <c r="V27" s="246">
        <f>W10</f>
        <v>561097</v>
      </c>
      <c r="W27" s="170">
        <f>H34</f>
        <v>561453</v>
      </c>
      <c r="X27" s="172" t="s">
        <v>212</v>
      </c>
      <c r="Y27" s="172">
        <v>112</v>
      </c>
      <c r="Z27" s="172">
        <v>1</v>
      </c>
      <c r="AA27" s="322">
        <f>(W27-V27)*Z27</f>
        <v>356</v>
      </c>
      <c r="AB27" s="322">
        <f>SUM(AA27*Y27)</f>
        <v>39872</v>
      </c>
      <c r="AC27" s="244">
        <f>AC10</f>
        <v>6200000</v>
      </c>
      <c r="AD27" s="475">
        <f>SUM(I36)</f>
        <v>0.90595611285266453</v>
      </c>
    </row>
    <row r="28" spans="1:32" ht="20.100000000000001" customHeight="1">
      <c r="A28" s="163">
        <f>ELEC!C28</f>
        <v>44859</v>
      </c>
      <c r="B28" s="606">
        <f t="shared" si="6"/>
        <v>1124846</v>
      </c>
      <c r="C28" s="254">
        <f t="shared" si="0"/>
        <v>0</v>
      </c>
      <c r="D28" s="294">
        <f t="shared" si="14"/>
        <v>0</v>
      </c>
      <c r="E28" s="294">
        <f t="shared" si="15"/>
        <v>1124846</v>
      </c>
      <c r="F28" s="606">
        <f t="shared" si="7"/>
        <v>161459</v>
      </c>
      <c r="G28" s="160">
        <f t="shared" si="1"/>
        <v>0</v>
      </c>
      <c r="H28" s="606">
        <f t="shared" si="8"/>
        <v>561453</v>
      </c>
      <c r="I28" s="161">
        <f t="shared" si="2"/>
        <v>0</v>
      </c>
      <c r="J28" s="604">
        <f t="shared" si="9"/>
        <v>401934</v>
      </c>
      <c r="K28" s="162">
        <f t="shared" si="10"/>
        <v>0</v>
      </c>
      <c r="L28" s="283">
        <f t="shared" si="17"/>
        <v>0</v>
      </c>
      <c r="M28" s="283">
        <f t="shared" si="18"/>
        <v>0</v>
      </c>
      <c r="N28" s="283">
        <f t="shared" si="19"/>
        <v>0</v>
      </c>
      <c r="O28" s="283">
        <f t="shared" si="11"/>
        <v>154.80303857058792</v>
      </c>
      <c r="P28" s="284">
        <f t="shared" si="12"/>
        <v>154.80303857058792</v>
      </c>
      <c r="Q28" s="284">
        <f>SUM(-tanks!AX30*tanks!$AU$37)</f>
        <v>610.23241935485828</v>
      </c>
      <c r="R28" s="284">
        <f t="shared" si="13"/>
        <v>765.03545792544617</v>
      </c>
      <c r="S28" s="286">
        <f>SUM(ELEC!N28)</f>
        <v>3149</v>
      </c>
      <c r="T28" s="320">
        <f t="shared" si="16"/>
        <v>0.24294552490487334</v>
      </c>
      <c r="V28" s="246">
        <f>W11</f>
        <v>161410</v>
      </c>
      <c r="W28" s="170">
        <f>F34</f>
        <v>161459</v>
      </c>
      <c r="X28" s="172" t="s">
        <v>197</v>
      </c>
      <c r="Y28" s="172">
        <v>320</v>
      </c>
      <c r="Z28" s="172">
        <v>1</v>
      </c>
      <c r="AA28" s="322">
        <f>(W28-V28)*Z28</f>
        <v>49</v>
      </c>
      <c r="AB28" s="322">
        <f>SUM(AA28*Y28)</f>
        <v>15680</v>
      </c>
      <c r="AC28" s="244">
        <f>AC11</f>
        <v>1000</v>
      </c>
      <c r="AD28" s="475">
        <f>SUM(G36)</f>
        <v>0</v>
      </c>
      <c r="AE28" s="40">
        <f>SUM(AB28*5%)</f>
        <v>784</v>
      </c>
      <c r="AF28" s="82">
        <f>SUM(AE28/7)*31</f>
        <v>3472</v>
      </c>
    </row>
    <row r="29" spans="1:32" ht="20.100000000000001" customHeight="1">
      <c r="A29" s="163">
        <f>ELEC!C29</f>
        <v>44860</v>
      </c>
      <c r="B29" s="606">
        <f t="shared" si="6"/>
        <v>1124846</v>
      </c>
      <c r="C29" s="254">
        <f t="shared" si="0"/>
        <v>0</v>
      </c>
      <c r="D29" s="294">
        <f t="shared" si="14"/>
        <v>0</v>
      </c>
      <c r="E29" s="294">
        <f t="shared" si="15"/>
        <v>1124846</v>
      </c>
      <c r="F29" s="606">
        <f t="shared" si="7"/>
        <v>161459</v>
      </c>
      <c r="G29" s="160">
        <f t="shared" si="1"/>
        <v>0</v>
      </c>
      <c r="H29" s="606">
        <f t="shared" si="8"/>
        <v>561453</v>
      </c>
      <c r="I29" s="161">
        <f t="shared" si="2"/>
        <v>0</v>
      </c>
      <c r="J29" s="604">
        <f t="shared" si="9"/>
        <v>401934</v>
      </c>
      <c r="K29" s="162">
        <f t="shared" si="10"/>
        <v>0</v>
      </c>
      <c r="L29" s="283">
        <f t="shared" si="17"/>
        <v>0</v>
      </c>
      <c r="M29" s="283">
        <f t="shared" si="18"/>
        <v>0</v>
      </c>
      <c r="N29" s="283">
        <f t="shared" si="19"/>
        <v>0</v>
      </c>
      <c r="O29" s="283">
        <f t="shared" si="11"/>
        <v>154.80303857058792</v>
      </c>
      <c r="P29" s="284">
        <f t="shared" si="12"/>
        <v>154.80303857058792</v>
      </c>
      <c r="Q29" s="284">
        <f>SUM(-tanks!AX31*tanks!$AU$37)</f>
        <v>0</v>
      </c>
      <c r="R29" s="284">
        <f t="shared" si="13"/>
        <v>154.80303857058792</v>
      </c>
      <c r="S29" s="286">
        <f>SUM(ELEC!N29)</f>
        <v>0</v>
      </c>
      <c r="T29" s="320">
        <f t="shared" si="16"/>
        <v>0</v>
      </c>
      <c r="V29" s="213"/>
      <c r="W29" s="214"/>
      <c r="X29" s="214"/>
      <c r="Y29" s="215"/>
      <c r="Z29" s="3"/>
      <c r="AA29" s="322">
        <f>SUM(AA26:AA28)</f>
        <v>436</v>
      </c>
      <c r="AB29" s="322">
        <f>SUM(AB26:AB28)</f>
        <v>58032</v>
      </c>
      <c r="AC29" s="244">
        <f>SUM(AC26:AC28)</f>
        <v>7234333</v>
      </c>
    </row>
    <row r="30" spans="1:32" ht="20.100000000000001" customHeight="1">
      <c r="A30" s="163">
        <f>ELEC!C30</f>
        <v>44861</v>
      </c>
      <c r="B30" s="606">
        <f t="shared" si="6"/>
        <v>1124846</v>
      </c>
      <c r="C30" s="254">
        <f t="shared" si="0"/>
        <v>0</v>
      </c>
      <c r="D30" s="294">
        <f t="shared" si="14"/>
        <v>0</v>
      </c>
      <c r="E30" s="294">
        <f t="shared" si="15"/>
        <v>1124846</v>
      </c>
      <c r="F30" s="606">
        <f t="shared" si="7"/>
        <v>161459</v>
      </c>
      <c r="G30" s="160">
        <f t="shared" si="1"/>
        <v>0</v>
      </c>
      <c r="H30" s="606">
        <f t="shared" si="8"/>
        <v>561453</v>
      </c>
      <c r="I30" s="161">
        <f t="shared" si="2"/>
        <v>0</v>
      </c>
      <c r="J30" s="604">
        <f t="shared" si="9"/>
        <v>401934</v>
      </c>
      <c r="K30" s="162">
        <f t="shared" si="10"/>
        <v>0</v>
      </c>
      <c r="L30" s="283">
        <f t="shared" si="17"/>
        <v>0</v>
      </c>
      <c r="M30" s="283">
        <f t="shared" si="18"/>
        <v>0</v>
      </c>
      <c r="N30" s="283">
        <f t="shared" si="19"/>
        <v>0</v>
      </c>
      <c r="O30" s="283">
        <f t="shared" si="11"/>
        <v>154.80303857058792</v>
      </c>
      <c r="P30" s="284">
        <f t="shared" si="12"/>
        <v>154.80303857058792</v>
      </c>
      <c r="Q30" s="284">
        <f>SUM(-tanks!AX32*tanks!$AU$37)</f>
        <v>0</v>
      </c>
      <c r="R30" s="284">
        <f t="shared" si="13"/>
        <v>154.80303857058792</v>
      </c>
      <c r="S30" s="286">
        <f>SUM(ELEC!N30)</f>
        <v>0</v>
      </c>
      <c r="T30" s="320">
        <f t="shared" si="16"/>
        <v>0</v>
      </c>
      <c r="V30" s="216" t="s">
        <v>314</v>
      </c>
      <c r="W30" s="423">
        <f>'General information '!F36</f>
        <v>0</v>
      </c>
      <c r="X30" s="217"/>
      <c r="Y30" s="218" t="s">
        <v>327</v>
      </c>
      <c r="Z30" s="3"/>
      <c r="AA30" s="322"/>
      <c r="AB30" s="322">
        <f>AB29+AC29</f>
        <v>7292365</v>
      </c>
      <c r="AC30" s="244"/>
    </row>
    <row r="31" spans="1:32" ht="20.100000000000001" customHeight="1">
      <c r="A31" s="163">
        <f>ELEC!C31</f>
        <v>44862</v>
      </c>
      <c r="B31" s="606">
        <f t="shared" si="6"/>
        <v>1124846</v>
      </c>
      <c r="C31" s="254">
        <f>SUM(B31-B30)</f>
        <v>0</v>
      </c>
      <c r="D31" s="294">
        <f t="shared" si="14"/>
        <v>0</v>
      </c>
      <c r="E31" s="294">
        <f t="shared" si="15"/>
        <v>1124846</v>
      </c>
      <c r="F31" s="606">
        <f t="shared" si="7"/>
        <v>161459</v>
      </c>
      <c r="G31" s="160">
        <f>F31-F30</f>
        <v>0</v>
      </c>
      <c r="H31" s="606">
        <f t="shared" si="8"/>
        <v>561453</v>
      </c>
      <c r="I31" s="161">
        <f>H31-H30</f>
        <v>0</v>
      </c>
      <c r="J31" s="604">
        <f t="shared" si="9"/>
        <v>401934</v>
      </c>
      <c r="K31" s="162">
        <f>J31-J30</f>
        <v>0</v>
      </c>
      <c r="L31" s="283">
        <f>SUM(G31*$Y$28)/1507.5</f>
        <v>0</v>
      </c>
      <c r="M31" s="283">
        <f>SUM(I31*$Y$27)/1507.5</f>
        <v>0</v>
      </c>
      <c r="N31" s="283">
        <f>SUM(K31*$Y$26)/1507.5</f>
        <v>0</v>
      </c>
      <c r="O31" s="283">
        <f t="shared" si="11"/>
        <v>154.80303857058792</v>
      </c>
      <c r="P31" s="284">
        <f>SUM(L31:O31)</f>
        <v>154.80303857058792</v>
      </c>
      <c r="Q31" s="284">
        <f>SUM(-tanks!AX33*tanks!$AU$37)</f>
        <v>0</v>
      </c>
      <c r="R31" s="284">
        <f>SUM(P31:Q31)</f>
        <v>154.80303857058792</v>
      </c>
      <c r="S31" s="286">
        <f>SUM(ELEC!N31)</f>
        <v>0</v>
      </c>
      <c r="T31" s="320">
        <f>IF(S31&gt;0,R31/S31,0)</f>
        <v>0</v>
      </c>
      <c r="V31" s="216"/>
      <c r="W31" s="511"/>
      <c r="X31" s="217"/>
      <c r="Y31" s="218"/>
      <c r="Z31" s="3"/>
      <c r="AA31" s="322"/>
      <c r="AB31" s="322"/>
      <c r="AC31" s="244"/>
    </row>
    <row r="32" spans="1:32" ht="20.100000000000001" customHeight="1">
      <c r="A32" s="163">
        <f>ELEC!C32</f>
        <v>44863</v>
      </c>
      <c r="B32" s="606">
        <f t="shared" si="6"/>
        <v>1124846</v>
      </c>
      <c r="C32" s="254">
        <f t="shared" ref="C32:C34" si="20">SUM(B32-B31)</f>
        <v>0</v>
      </c>
      <c r="D32" s="294">
        <f t="shared" ref="D32:D34" si="21">SUM(G32+I32+K32)</f>
        <v>0</v>
      </c>
      <c r="E32" s="294">
        <f t="shared" si="15"/>
        <v>1124846</v>
      </c>
      <c r="F32" s="606">
        <f t="shared" si="7"/>
        <v>161459</v>
      </c>
      <c r="G32" s="160">
        <f t="shared" ref="G32:G34" si="22">F32-F31</f>
        <v>0</v>
      </c>
      <c r="H32" s="606">
        <f t="shared" si="8"/>
        <v>561453</v>
      </c>
      <c r="I32" s="161">
        <f t="shared" ref="I32:I34" si="23">H32-H31</f>
        <v>0</v>
      </c>
      <c r="J32" s="604">
        <f t="shared" si="9"/>
        <v>401934</v>
      </c>
      <c r="K32" s="162">
        <f t="shared" ref="K32:K34" si="24">J32-J31</f>
        <v>0</v>
      </c>
      <c r="L32" s="283">
        <f t="shared" ref="L32:L34" si="25">SUM(G32*$Y$28)/1507.5</f>
        <v>0</v>
      </c>
      <c r="M32" s="283">
        <f t="shared" ref="M32:M34" si="26">SUM(I32*$Y$27)/1507.5</f>
        <v>0</v>
      </c>
      <c r="N32" s="283">
        <f t="shared" ref="N32:N34" si="27">SUM(K32*$Y$26)/1507.5</f>
        <v>0</v>
      </c>
      <c r="O32" s="283">
        <f t="shared" si="11"/>
        <v>154.80303857058792</v>
      </c>
      <c r="P32" s="284">
        <f t="shared" ref="P32:P34" si="28">SUM(L32:O32)</f>
        <v>154.80303857058792</v>
      </c>
      <c r="Q32" s="284">
        <f>SUM(-tanks!AX34*tanks!$AU$37)</f>
        <v>0</v>
      </c>
      <c r="R32" s="284">
        <f t="shared" ref="R32:R34" si="29">SUM(P32:Q32)</f>
        <v>154.80303857058792</v>
      </c>
      <c r="S32" s="286">
        <f>SUM(ELEC!N32)</f>
        <v>0</v>
      </c>
      <c r="T32" s="320">
        <f t="shared" ref="T32:T34" si="30">IF(S32&gt;0,R32/S32,0)</f>
        <v>0</v>
      </c>
      <c r="V32" s="216" t="s">
        <v>315</v>
      </c>
      <c r="W32" s="537">
        <f>'Utility Cost '!B18</f>
        <v>184</v>
      </c>
      <c r="X32" s="222">
        <f>SUM(W32/A35)</f>
        <v>184</v>
      </c>
      <c r="Y32" s="250">
        <f>SUM(X32/1)</f>
        <v>184</v>
      </c>
      <c r="Z32" s="3"/>
      <c r="AA32" s="322"/>
      <c r="AB32" s="322"/>
      <c r="AC32" s="244"/>
    </row>
    <row r="33" spans="1:32" ht="20.100000000000001" customHeight="1">
      <c r="A33" s="163">
        <f>ELEC!C33</f>
        <v>44864</v>
      </c>
      <c r="B33" s="606">
        <f t="shared" si="6"/>
        <v>1124846</v>
      </c>
      <c r="C33" s="254">
        <f t="shared" si="20"/>
        <v>0</v>
      </c>
      <c r="D33" s="294">
        <f t="shared" si="21"/>
        <v>0</v>
      </c>
      <c r="E33" s="294">
        <f t="shared" si="15"/>
        <v>1124846</v>
      </c>
      <c r="F33" s="606">
        <f t="shared" si="7"/>
        <v>161459</v>
      </c>
      <c r="G33" s="160">
        <f t="shared" si="22"/>
        <v>0</v>
      </c>
      <c r="H33" s="606">
        <f t="shared" si="8"/>
        <v>561453</v>
      </c>
      <c r="I33" s="161">
        <f t="shared" si="23"/>
        <v>0</v>
      </c>
      <c r="J33" s="604">
        <f t="shared" si="9"/>
        <v>401934</v>
      </c>
      <c r="K33" s="162">
        <f t="shared" si="24"/>
        <v>0</v>
      </c>
      <c r="L33" s="283">
        <f t="shared" si="25"/>
        <v>0</v>
      </c>
      <c r="M33" s="283">
        <f t="shared" si="26"/>
        <v>0</v>
      </c>
      <c r="N33" s="283">
        <f t="shared" si="27"/>
        <v>0</v>
      </c>
      <c r="O33" s="283">
        <f t="shared" si="11"/>
        <v>154.80303857058792</v>
      </c>
      <c r="P33" s="284">
        <f t="shared" si="28"/>
        <v>154.80303857058792</v>
      </c>
      <c r="Q33" s="284">
        <f>SUM(-tanks!AX35*tanks!$AU$37)</f>
        <v>0</v>
      </c>
      <c r="R33" s="284">
        <f t="shared" si="29"/>
        <v>154.80303857058792</v>
      </c>
      <c r="S33" s="286">
        <f>SUM(ELEC!N33)</f>
        <v>0</v>
      </c>
      <c r="T33" s="320">
        <f t="shared" si="30"/>
        <v>0</v>
      </c>
      <c r="V33" s="216" t="s">
        <v>413</v>
      </c>
      <c r="W33" s="537"/>
      <c r="X33" s="222"/>
      <c r="Y33" s="250"/>
      <c r="Z33" s="3" t="s">
        <v>415</v>
      </c>
      <c r="AA33" s="577">
        <v>0.11</v>
      </c>
      <c r="AB33" s="578">
        <f>AB30*AA33</f>
        <v>802160.15</v>
      </c>
      <c r="AC33" s="244">
        <f>SUM(AC29)</f>
        <v>7234333</v>
      </c>
    </row>
    <row r="34" spans="1:32" ht="20.100000000000001" customHeight="1">
      <c r="A34" s="163">
        <f>ELEC!C34</f>
        <v>44865</v>
      </c>
      <c r="B34" s="606">
        <f t="shared" si="6"/>
        <v>1124846</v>
      </c>
      <c r="C34" s="254">
        <f t="shared" si="20"/>
        <v>0</v>
      </c>
      <c r="D34" s="294">
        <f t="shared" si="21"/>
        <v>0</v>
      </c>
      <c r="E34" s="294">
        <f t="shared" si="15"/>
        <v>1124846</v>
      </c>
      <c r="F34" s="606">
        <f t="shared" si="7"/>
        <v>161459</v>
      </c>
      <c r="G34" s="160">
        <f t="shared" si="22"/>
        <v>0</v>
      </c>
      <c r="H34" s="606">
        <f t="shared" si="8"/>
        <v>561453</v>
      </c>
      <c r="I34" s="161">
        <f t="shared" si="23"/>
        <v>0</v>
      </c>
      <c r="J34" s="604">
        <f t="shared" si="9"/>
        <v>401934</v>
      </c>
      <c r="K34" s="162">
        <f t="shared" si="24"/>
        <v>0</v>
      </c>
      <c r="L34" s="283">
        <f t="shared" si="25"/>
        <v>0</v>
      </c>
      <c r="M34" s="283">
        <f t="shared" si="26"/>
        <v>0</v>
      </c>
      <c r="N34" s="283">
        <f t="shared" si="27"/>
        <v>0</v>
      </c>
      <c r="O34" s="283">
        <f t="shared" si="11"/>
        <v>154.80303857058792</v>
      </c>
      <c r="P34" s="284">
        <f t="shared" si="28"/>
        <v>154.80303857058792</v>
      </c>
      <c r="Q34" s="284">
        <f>SUM(-tanks!AX36*tanks!$AU$37)</f>
        <v>0</v>
      </c>
      <c r="R34" s="284">
        <f t="shared" si="29"/>
        <v>154.80303857058792</v>
      </c>
      <c r="S34" s="286">
        <f>SUM(ELEC!N34)</f>
        <v>0</v>
      </c>
      <c r="T34" s="320">
        <f t="shared" si="30"/>
        <v>0</v>
      </c>
      <c r="V34" s="216" t="s">
        <v>414</v>
      </c>
      <c r="Z34" s="3"/>
      <c r="AA34" s="3"/>
      <c r="AB34" s="501">
        <f>AB30+AB33</f>
        <v>8094525.1500000004</v>
      </c>
      <c r="AC34" s="244">
        <f>SUM(AC30)</f>
        <v>0</v>
      </c>
    </row>
    <row r="35" spans="1:32" ht="15.75" thickBot="1">
      <c r="A35" s="498">
        <f>A37-COUNTIF(C4:C34,0)</f>
        <v>1</v>
      </c>
      <c r="C35" s="173">
        <f>SUM(C4:C34)/A35</f>
        <v>319</v>
      </c>
      <c r="D35" s="173"/>
      <c r="E35" s="173"/>
      <c r="F35" s="560"/>
      <c r="G35" s="560">
        <f>SUM(G4:G34)/A35</f>
        <v>0</v>
      </c>
      <c r="H35" s="173"/>
      <c r="I35" s="173">
        <f>SUM(I4:I34)/A35</f>
        <v>289</v>
      </c>
      <c r="K35" s="173">
        <f>SUM(K4:K34)/A35</f>
        <v>31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7"/>
      <c r="V35" s="226"/>
      <c r="W35" s="227"/>
      <c r="X35" s="227"/>
      <c r="Y35" s="227"/>
      <c r="Z35" s="3"/>
      <c r="AA35" s="45"/>
      <c r="AB35" s="279"/>
      <c r="AC35" s="528"/>
    </row>
    <row r="36" spans="1:32" ht="15.75" thickBot="1">
      <c r="A36" s="210"/>
      <c r="C36" s="212">
        <f>SUM(G36:K36)</f>
        <v>1.0031347962382444</v>
      </c>
      <c r="G36" s="225">
        <f>IF(C35&gt;0,G35/C35,0)</f>
        <v>0</v>
      </c>
      <c r="H36" s="212"/>
      <c r="I36" s="225">
        <f>SUM(I35/C35)</f>
        <v>0.90595611285266453</v>
      </c>
      <c r="J36" s="212"/>
      <c r="K36" s="225">
        <f>SUM(K35/C35)</f>
        <v>9.7178683385579931E-2</v>
      </c>
      <c r="L36" s="225"/>
      <c r="M36" s="225"/>
      <c r="N36" s="225"/>
      <c r="O36" s="225"/>
      <c r="P36" s="225"/>
      <c r="Q36" s="225"/>
      <c r="R36" s="225"/>
      <c r="S36" s="288"/>
      <c r="V36" s="226"/>
      <c r="W36" s="227"/>
      <c r="X36" s="227"/>
      <c r="Y36" s="227"/>
      <c r="Z36" s="227"/>
      <c r="AA36" s="227" t="s">
        <v>416</v>
      </c>
      <c r="AB36" s="529">
        <f>AB30/1507.5</f>
        <v>4837.3897180762851</v>
      </c>
      <c r="AC36" s="530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5"/>
      <c r="AA37" s="525"/>
      <c r="AB37" s="526"/>
      <c r="AC37" s="527"/>
    </row>
    <row r="38" spans="1:32">
      <c r="V38" s="217"/>
      <c r="W38" s="82"/>
      <c r="Z38" s="40"/>
      <c r="AA38" s="340"/>
      <c r="AB38" s="281">
        <f>SUM(AB36)</f>
        <v>4837.3897180762851</v>
      </c>
    </row>
    <row r="39" spans="1:32">
      <c r="V39" s="217"/>
      <c r="W39" s="82"/>
      <c r="X39" s="502"/>
      <c r="Z39" s="281"/>
      <c r="AA39" s="280"/>
      <c r="AB39" s="280"/>
    </row>
    <row r="40" spans="1:32">
      <c r="V40" s="17"/>
      <c r="W40" s="82"/>
      <c r="X40" s="502"/>
      <c r="Y40" s="82"/>
      <c r="Z40" s="281"/>
      <c r="AA40" s="101"/>
      <c r="AB40" s="332"/>
    </row>
    <row r="41" spans="1:32" ht="18.75">
      <c r="W41" s="82"/>
      <c r="Z41" s="265"/>
      <c r="AA41" s="280"/>
      <c r="AB41" s="331"/>
    </row>
    <row r="42" spans="1:32">
      <c r="D42" s="485"/>
      <c r="E42" s="485"/>
      <c r="F42" s="485"/>
      <c r="W42" s="82"/>
      <c r="Z42" s="282"/>
    </row>
    <row r="43" spans="1:32">
      <c r="Z43" s="280"/>
    </row>
    <row r="44" spans="1:32">
      <c r="V44" s="17"/>
      <c r="W44" s="17"/>
      <c r="X44" s="17"/>
      <c r="Y44" s="17"/>
      <c r="Z44" s="17"/>
      <c r="AA44" s="17"/>
      <c r="AB44" s="17"/>
      <c r="AC44" s="17"/>
      <c r="AD44" s="539"/>
      <c r="AE44" s="17"/>
      <c r="AF44" s="17"/>
    </row>
    <row r="45" spans="1:32">
      <c r="V45" s="503"/>
      <c r="W45" s="504"/>
      <c r="X45" s="17"/>
      <c r="Y45" s="17"/>
      <c r="Z45" s="505"/>
      <c r="AA45" s="17"/>
      <c r="AB45" s="652"/>
      <c r="AC45" s="652"/>
      <c r="AD45" s="539"/>
      <c r="AE45" s="17"/>
      <c r="AF45" s="17"/>
    </row>
    <row r="46" spans="1:32">
      <c r="V46" s="652"/>
      <c r="W46" s="652"/>
      <c r="X46" s="652"/>
      <c r="Y46" s="652"/>
      <c r="Z46" s="505"/>
      <c r="AA46" s="505"/>
      <c r="AB46" s="652"/>
      <c r="AC46" s="652"/>
      <c r="AD46" s="539"/>
      <c r="AE46" s="17"/>
      <c r="AF46" s="17"/>
    </row>
    <row r="47" spans="1:32">
      <c r="V47" s="652"/>
      <c r="W47" s="652"/>
      <c r="X47" s="652"/>
      <c r="Y47" s="652"/>
      <c r="Z47" s="652"/>
      <c r="AA47" s="652"/>
      <c r="AB47" s="652"/>
      <c r="AC47" s="652"/>
      <c r="AD47" s="539"/>
      <c r="AE47" s="17"/>
      <c r="AF47" s="17"/>
    </row>
    <row r="48" spans="1:32">
      <c r="V48" s="653"/>
      <c r="W48" s="653"/>
      <c r="X48" s="654"/>
      <c r="Y48" s="654"/>
      <c r="Z48" s="654"/>
      <c r="AA48" s="506"/>
      <c r="AB48" s="652"/>
      <c r="AC48" s="652"/>
      <c r="AD48" s="539"/>
      <c r="AE48" s="17"/>
      <c r="AF48" s="17"/>
    </row>
    <row r="49" spans="22:32">
      <c r="V49" s="503"/>
      <c r="W49" s="503"/>
      <c r="X49" s="503"/>
      <c r="Y49" s="503"/>
      <c r="Z49" s="503"/>
      <c r="AA49" s="503"/>
      <c r="AB49" s="503"/>
      <c r="AC49" s="507"/>
      <c r="AD49" s="539"/>
      <c r="AE49" s="17"/>
      <c r="AF49" s="17"/>
    </row>
    <row r="50" spans="22:32">
      <c r="V50" s="506"/>
      <c r="W50" s="506"/>
      <c r="X50" s="508"/>
      <c r="Y50" s="508"/>
      <c r="Z50" s="508"/>
      <c r="AA50" s="73"/>
      <c r="AB50" s="73"/>
      <c r="AC50" s="73"/>
      <c r="AD50" s="539"/>
      <c r="AE50" s="17"/>
      <c r="AF50" s="17"/>
    </row>
    <row r="51" spans="22:32">
      <c r="V51" s="506"/>
      <c r="W51" s="506"/>
      <c r="X51" s="508"/>
      <c r="Y51" s="508"/>
      <c r="Z51" s="508"/>
      <c r="AA51" s="73"/>
      <c r="AB51" s="73"/>
      <c r="AC51" s="73"/>
      <c r="AD51" s="539"/>
      <c r="AE51" s="17"/>
      <c r="AF51" s="17"/>
    </row>
    <row r="52" spans="22:32">
      <c r="V52" s="506"/>
      <c r="W52" s="506"/>
      <c r="X52" s="508"/>
      <c r="Y52" s="508"/>
      <c r="Z52" s="508"/>
      <c r="AA52" s="73"/>
      <c r="AB52" s="73"/>
      <c r="AC52" s="73"/>
      <c r="AD52" s="539"/>
      <c r="AE52" s="509"/>
      <c r="AF52" s="510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39"/>
      <c r="AE53" s="17"/>
      <c r="AF53" s="17"/>
    </row>
    <row r="54" spans="22:32">
      <c r="V54" s="217"/>
      <c r="W54" s="511"/>
      <c r="X54" s="217"/>
      <c r="Y54" s="217"/>
      <c r="Z54" s="17"/>
      <c r="AA54" s="73"/>
      <c r="AB54" s="257"/>
      <c r="AC54" s="73"/>
      <c r="AD54" s="539"/>
      <c r="AE54" s="17"/>
      <c r="AF54" s="17"/>
    </row>
    <row r="55" spans="22:32">
      <c r="V55" s="217"/>
      <c r="W55" s="217"/>
      <c r="X55" s="222"/>
      <c r="Y55" s="512"/>
      <c r="Z55" s="17"/>
      <c r="AA55" s="17"/>
      <c r="AB55" s="73"/>
      <c r="AC55" s="73"/>
      <c r="AD55" s="539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39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39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39"/>
      <c r="AE58" s="17"/>
      <c r="AF58" s="17"/>
    </row>
    <row r="59" spans="22:32">
      <c r="V59" s="17"/>
      <c r="W59" s="17"/>
      <c r="X59" s="17"/>
      <c r="Y59" s="17"/>
      <c r="Z59" s="17"/>
      <c r="AA59" s="513"/>
      <c r="AB59" s="514"/>
      <c r="AC59" s="515"/>
      <c r="AD59" s="539"/>
      <c r="AE59" s="17"/>
      <c r="AF59" s="17"/>
    </row>
    <row r="60" spans="22:32">
      <c r="V60" s="17"/>
      <c r="W60" s="17"/>
      <c r="X60" s="17"/>
      <c r="Y60" s="17"/>
      <c r="Z60" s="17"/>
      <c r="AA60" s="516"/>
      <c r="AB60" s="514"/>
      <c r="AC60" s="515"/>
      <c r="AD60" s="539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4"/>
      <c r="AC61" s="515"/>
      <c r="AD61" s="539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17"/>
      <c r="AC62" s="17"/>
      <c r="AD62" s="539"/>
      <c r="AE62" s="17"/>
      <c r="AF62" s="17"/>
    </row>
    <row r="63" spans="22:32">
      <c r="V63" s="217"/>
      <c r="W63" s="510"/>
      <c r="X63" s="17"/>
      <c r="Y63" s="17"/>
      <c r="Z63" s="509"/>
      <c r="AA63" s="518"/>
      <c r="AB63" s="508"/>
      <c r="AC63" s="17"/>
      <c r="AD63" s="539"/>
      <c r="AE63" s="17"/>
      <c r="AF63" s="17"/>
    </row>
    <row r="64" spans="22:32">
      <c r="V64" s="217"/>
      <c r="W64" s="510"/>
      <c r="X64" s="17"/>
      <c r="Y64" s="17"/>
      <c r="Z64" s="404"/>
      <c r="AA64" s="508"/>
      <c r="AB64" s="508"/>
      <c r="AC64" s="17"/>
      <c r="AD64" s="539"/>
      <c r="AE64" s="17"/>
      <c r="AF64" s="17"/>
    </row>
    <row r="65" spans="22:32">
      <c r="V65" s="17"/>
      <c r="W65" s="510"/>
      <c r="X65" s="17"/>
      <c r="Y65" s="510"/>
      <c r="Z65" s="404"/>
      <c r="AA65" s="508"/>
      <c r="AB65" s="519"/>
      <c r="AC65" s="17"/>
      <c r="AD65" s="539"/>
      <c r="AE65" s="17"/>
      <c r="AF65" s="17"/>
    </row>
    <row r="66" spans="22:32" ht="18.75">
      <c r="V66" s="17"/>
      <c r="W66" s="510"/>
      <c r="X66" s="17"/>
      <c r="Y66" s="17"/>
      <c r="Z66" s="520"/>
      <c r="AA66" s="508"/>
      <c r="AB66" s="521"/>
      <c r="AC66" s="17"/>
      <c r="AD66" s="539"/>
      <c r="AE66" s="17"/>
      <c r="AF66" s="17"/>
    </row>
    <row r="67" spans="22:32">
      <c r="V67" s="17"/>
      <c r="W67" s="510"/>
      <c r="X67" s="17"/>
      <c r="Y67" s="17"/>
      <c r="Z67" s="73"/>
      <c r="AA67" s="17"/>
      <c r="AB67" s="17"/>
      <c r="AC67" s="17"/>
      <c r="AD67" s="539"/>
      <c r="AE67" s="17"/>
      <c r="AF67" s="17"/>
    </row>
    <row r="68" spans="22:32">
      <c r="V68" s="17"/>
      <c r="W68" s="17"/>
      <c r="X68" s="17"/>
      <c r="Y68" s="17"/>
      <c r="Z68" s="508"/>
      <c r="AA68" s="17"/>
      <c r="AB68" s="17"/>
      <c r="AC68" s="17"/>
      <c r="AD68" s="539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39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39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39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39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39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39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39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39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39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39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39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39"/>
      <c r="AE80" s="17"/>
      <c r="AF80" s="17"/>
    </row>
  </sheetData>
  <mergeCells count="15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0"/>
  <sheetViews>
    <sheetView tabSelected="1" zoomScale="60" zoomScaleNormal="60" workbookViewId="0">
      <pane ySplit="4" topLeftCell="A5" activePane="bottomLeft" state="frozen"/>
      <selection pane="bottomLeft" activeCell="F29" sqref="F29"/>
    </sheetView>
  </sheetViews>
  <sheetFormatPr defaultRowHeight="15"/>
  <cols>
    <col min="1" max="1" width="11.7109375" style="459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55" t="s">
        <v>193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7"/>
    </row>
    <row r="2" spans="1:15" ht="15.75" customHeight="1" thickBot="1">
      <c r="A2" s="658"/>
      <c r="B2" s="659"/>
      <c r="C2" s="659"/>
      <c r="D2" s="659"/>
      <c r="E2" s="659"/>
      <c r="F2" s="659"/>
      <c r="G2" s="659"/>
      <c r="H2" s="659"/>
      <c r="I2" s="659"/>
      <c r="J2" s="659"/>
      <c r="K2" s="659"/>
      <c r="L2" s="659"/>
      <c r="M2" s="659"/>
      <c r="N2" s="659"/>
      <c r="O2" s="660"/>
    </row>
    <row r="3" spans="1:15" ht="9" customHeight="1" thickBot="1">
      <c r="A3" s="456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7"/>
      <c r="B4" s="149" t="s">
        <v>383</v>
      </c>
      <c r="C4" s="150" t="s">
        <v>158</v>
      </c>
      <c r="D4" s="147" t="s">
        <v>160</v>
      </c>
      <c r="E4" s="151" t="s">
        <v>159</v>
      </c>
      <c r="F4" s="473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8">
        <f>ELEC!C4</f>
        <v>44835</v>
      </c>
      <c r="B5" s="37">
        <v>29</v>
      </c>
      <c r="C5" s="37">
        <v>24</v>
      </c>
      <c r="D5" s="26">
        <f t="shared" ref="D5:D11" si="0">(C5+B5)/2</f>
        <v>26.5</v>
      </c>
      <c r="E5" s="324">
        <v>0.72</v>
      </c>
      <c r="F5" s="327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8">
        <f>ELEC!C5</f>
        <v>44836</v>
      </c>
      <c r="B6" s="37"/>
      <c r="C6" s="37"/>
      <c r="D6" s="26">
        <f t="shared" si="0"/>
        <v>0</v>
      </c>
      <c r="E6" s="324"/>
      <c r="F6" s="327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8">
        <f>ELEC!C6</f>
        <v>44837</v>
      </c>
      <c r="B7" s="37"/>
      <c r="C7" s="37"/>
      <c r="D7" s="26">
        <f t="shared" si="0"/>
        <v>0</v>
      </c>
      <c r="E7" s="377"/>
      <c r="F7" s="324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8">
        <f>ELEC!C7</f>
        <v>44838</v>
      </c>
      <c r="B8" s="37">
        <v>28</v>
      </c>
      <c r="C8" s="37">
        <v>25</v>
      </c>
      <c r="D8" s="26">
        <f>(C8+B8)/2</f>
        <v>26.5</v>
      </c>
      <c r="E8" s="377">
        <v>0.69</v>
      </c>
      <c r="F8" s="377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8">
        <f>ELEC!C8</f>
        <v>44839</v>
      </c>
      <c r="B9" s="37">
        <v>28</v>
      </c>
      <c r="C9" s="37">
        <v>25</v>
      </c>
      <c r="D9" s="26">
        <f t="shared" si="0"/>
        <v>26.5</v>
      </c>
      <c r="E9" s="377">
        <v>0.7</v>
      </c>
      <c r="F9" s="324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8">
        <f>ELEC!C9</f>
        <v>44840</v>
      </c>
      <c r="B10" s="37">
        <v>27</v>
      </c>
      <c r="C10" s="37">
        <v>22</v>
      </c>
      <c r="D10" s="26">
        <f t="shared" si="0"/>
        <v>24.5</v>
      </c>
      <c r="E10" s="377">
        <v>0.66</v>
      </c>
      <c r="F10" s="377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8">
        <f>ELEC!C10</f>
        <v>44841</v>
      </c>
      <c r="B11" s="37">
        <v>27</v>
      </c>
      <c r="C11" s="37">
        <v>23</v>
      </c>
      <c r="D11" s="26">
        <f t="shared" si="0"/>
        <v>25</v>
      </c>
      <c r="E11" s="377">
        <v>0.64</v>
      </c>
      <c r="F11" s="377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8">
        <f>ELEC!C11</f>
        <v>44842</v>
      </c>
      <c r="B12" s="37"/>
      <c r="C12" s="37"/>
      <c r="D12" s="26">
        <f>(C12+B12)/2</f>
        <v>0</v>
      </c>
      <c r="E12" s="338"/>
      <c r="F12" s="377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8">
        <f>ELEC!C12</f>
        <v>44843</v>
      </c>
      <c r="B13" s="37"/>
      <c r="C13" s="37"/>
      <c r="D13" s="26">
        <f t="shared" ref="D13:D21" si="3">(C13+B13)/2</f>
        <v>0</v>
      </c>
      <c r="E13" s="377"/>
      <c r="F13" s="377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8">
        <f>ELEC!C13</f>
        <v>44844</v>
      </c>
      <c r="B14" s="37"/>
      <c r="C14" s="37"/>
      <c r="D14" s="26">
        <f t="shared" si="3"/>
        <v>0</v>
      </c>
      <c r="E14" s="324"/>
      <c r="F14" s="324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8">
        <f>ELEC!C14</f>
        <v>44845</v>
      </c>
      <c r="B15" s="37">
        <v>28</v>
      </c>
      <c r="C15" s="37">
        <v>22</v>
      </c>
      <c r="D15" s="26">
        <f>(C15+B15)/2</f>
        <v>25</v>
      </c>
      <c r="E15" s="377">
        <v>0.52</v>
      </c>
      <c r="F15" s="324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8">
        <f>ELEC!C15</f>
        <v>44846</v>
      </c>
      <c r="B16" s="37">
        <v>27</v>
      </c>
      <c r="C16" s="37">
        <v>22</v>
      </c>
      <c r="D16" s="26">
        <f t="shared" si="3"/>
        <v>24.5</v>
      </c>
      <c r="E16" s="605">
        <v>0.6</v>
      </c>
      <c r="F16" s="324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8">
        <f>ELEC!C16</f>
        <v>44847</v>
      </c>
      <c r="B17" s="37"/>
      <c r="C17" s="37"/>
      <c r="D17" s="26">
        <f t="shared" si="3"/>
        <v>0</v>
      </c>
      <c r="E17" s="409"/>
      <c r="F17" s="324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8">
        <f>ELEC!C17</f>
        <v>44848</v>
      </c>
      <c r="B18" s="37"/>
      <c r="C18" s="37"/>
      <c r="D18" s="26">
        <f t="shared" si="3"/>
        <v>0</v>
      </c>
      <c r="E18" s="324"/>
      <c r="F18" s="324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8">
        <f>ELEC!C18</f>
        <v>44849</v>
      </c>
      <c r="B19" s="37"/>
      <c r="C19" s="37"/>
      <c r="D19" s="26">
        <f t="shared" si="3"/>
        <v>0</v>
      </c>
      <c r="E19" s="324"/>
      <c r="F19" s="324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8">
        <f>ELEC!C19</f>
        <v>44850</v>
      </c>
      <c r="B20" s="37"/>
      <c r="C20" s="37"/>
      <c r="D20" s="26">
        <f>(C20+B20)/2</f>
        <v>0</v>
      </c>
      <c r="E20" s="324"/>
      <c r="F20" s="377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8">
        <f>ELEC!C20</f>
        <v>44851</v>
      </c>
      <c r="B21" s="37">
        <v>26</v>
      </c>
      <c r="C21" s="37">
        <v>21</v>
      </c>
      <c r="D21" s="26">
        <f t="shared" si="3"/>
        <v>23.5</v>
      </c>
      <c r="E21" s="324">
        <v>0.65</v>
      </c>
      <c r="F21" s="377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8">
        <f>ELEC!C21</f>
        <v>44852</v>
      </c>
      <c r="B22" s="37">
        <v>27</v>
      </c>
      <c r="C22" s="37">
        <v>21</v>
      </c>
      <c r="D22" s="26">
        <f>(C22+B22)/2</f>
        <v>24</v>
      </c>
      <c r="E22" s="377">
        <v>0.56000000000000005</v>
      </c>
      <c r="F22" s="377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8">
        <f>ELEC!C22</f>
        <v>44853</v>
      </c>
      <c r="B23" s="37">
        <v>26</v>
      </c>
      <c r="C23" s="37">
        <v>21</v>
      </c>
      <c r="D23" s="26">
        <f t="shared" ref="D23:D35" si="5">(C23+B23)/2</f>
        <v>23.5</v>
      </c>
      <c r="E23" s="377">
        <v>0.61</v>
      </c>
      <c r="F23" s="324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8">
        <f>ELEC!C23</f>
        <v>44854</v>
      </c>
      <c r="B24" s="37">
        <v>26</v>
      </c>
      <c r="C24" s="37">
        <v>21</v>
      </c>
      <c r="D24" s="26">
        <f t="shared" si="5"/>
        <v>23.5</v>
      </c>
      <c r="E24" s="377">
        <v>0.6</v>
      </c>
      <c r="F24" s="324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8">
        <f>ELEC!C24</f>
        <v>44855</v>
      </c>
      <c r="B25" s="37"/>
      <c r="C25" s="37"/>
      <c r="D25" s="26">
        <f t="shared" si="5"/>
        <v>0</v>
      </c>
      <c r="E25" s="377"/>
      <c r="F25" s="324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8">
        <f>ELEC!C25</f>
        <v>44856</v>
      </c>
      <c r="B26" s="37"/>
      <c r="C26" s="37"/>
      <c r="D26" s="26">
        <f t="shared" si="5"/>
        <v>0</v>
      </c>
      <c r="E26" s="377"/>
      <c r="F26" s="324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8">
        <f>ELEC!C26</f>
        <v>44857</v>
      </c>
      <c r="B27" s="37">
        <v>26</v>
      </c>
      <c r="C27" s="37">
        <v>22</v>
      </c>
      <c r="D27" s="26">
        <f t="shared" si="5"/>
        <v>24</v>
      </c>
      <c r="E27" s="377">
        <v>0.6</v>
      </c>
      <c r="F27" s="324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8">
        <f>ELEC!C27</f>
        <v>44858</v>
      </c>
      <c r="B28" s="37">
        <v>28</v>
      </c>
      <c r="C28" s="37">
        <v>21</v>
      </c>
      <c r="D28" s="26">
        <f t="shared" si="5"/>
        <v>24.5</v>
      </c>
      <c r="E28" s="324">
        <v>0.51</v>
      </c>
      <c r="F28" s="324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8">
        <f>ELEC!C28</f>
        <v>44859</v>
      </c>
      <c r="B29" s="37">
        <v>27</v>
      </c>
      <c r="C29" s="37">
        <v>22</v>
      </c>
      <c r="D29" s="26">
        <f t="shared" si="5"/>
        <v>24.5</v>
      </c>
      <c r="E29" s="324">
        <v>0.6</v>
      </c>
      <c r="F29" s="377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8">
        <f>ELEC!C29</f>
        <v>44860</v>
      </c>
      <c r="B30" s="37"/>
      <c r="C30" s="37"/>
      <c r="D30" s="26">
        <f t="shared" si="5"/>
        <v>0</v>
      </c>
      <c r="E30" s="326"/>
      <c r="F30" s="268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8">
        <f>ELEC!C30</f>
        <v>44861</v>
      </c>
      <c r="B31" s="37"/>
      <c r="C31" s="37"/>
      <c r="D31" s="26">
        <f t="shared" si="5"/>
        <v>0</v>
      </c>
      <c r="E31" s="325"/>
      <c r="F31" s="326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8">
        <f>ELEC!C31</f>
        <v>44862</v>
      </c>
      <c r="B32" s="37"/>
      <c r="C32" s="37"/>
      <c r="D32" s="26">
        <f t="shared" si="5"/>
        <v>0</v>
      </c>
      <c r="E32" s="324"/>
      <c r="F32" s="326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8">
        <f>ELEC!C32</f>
        <v>44863</v>
      </c>
      <c r="B33" s="37"/>
      <c r="C33" s="37"/>
      <c r="D33" s="26">
        <f t="shared" si="5"/>
        <v>0</v>
      </c>
      <c r="E33" s="377"/>
      <c r="F33" s="326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8">
        <f>ELEC!C33</f>
        <v>44864</v>
      </c>
      <c r="B34" s="37"/>
      <c r="C34" s="37"/>
      <c r="D34" s="26">
        <f t="shared" si="5"/>
        <v>0</v>
      </c>
      <c r="E34" s="377"/>
      <c r="F34" s="326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8">
        <f>ELEC!C34</f>
        <v>44865</v>
      </c>
      <c r="B35" s="37"/>
      <c r="C35" s="37"/>
      <c r="D35" s="26">
        <f t="shared" si="5"/>
        <v>0</v>
      </c>
      <c r="E35" s="377"/>
      <c r="F35" s="326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4">
        <f>AVERAGE(F5:F35)</f>
        <v>0</v>
      </c>
      <c r="G36" s="203">
        <f>SUM(G5:G35)</f>
        <v>0</v>
      </c>
    </row>
    <row r="37" spans="1:15">
      <c r="D37" s="251">
        <f>SUM(D5:D35)/'EDl log'!A35</f>
        <v>346</v>
      </c>
      <c r="F37" s="211"/>
    </row>
    <row r="40" spans="1:15">
      <c r="I40" s="393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122</v>
      </c>
      <c r="H2" s="3">
        <f>WATER!L5</f>
        <v>0</v>
      </c>
      <c r="I2" s="15">
        <f>WATER!BC5+WATER!BD5+WATER!BE6-Sheet1!G2</f>
        <v>48.699999999999989</v>
      </c>
      <c r="J2" s="9">
        <f>'B5'!A4</f>
        <v>44834</v>
      </c>
    </row>
    <row r="3" spans="1:10">
      <c r="A3" s="3">
        <f>ELEC!T5+ELEC!X3+ELEC!AB5</f>
        <v>0</v>
      </c>
      <c r="B3" s="3">
        <f>ELEC!AF5</f>
        <v>0</v>
      </c>
      <c r="C3" s="3">
        <f>ELEC!N5</f>
        <v>2653</v>
      </c>
      <c r="D3" s="3">
        <f t="shared" ref="D3:D30" si="0">C3-E3</f>
        <v>68.000000000873115</v>
      </c>
      <c r="E3" s="3">
        <f>ELEC!Q5</f>
        <v>2584.9999999991269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-78.5</v>
      </c>
      <c r="J3" s="9">
        <f>'B5'!A5</f>
        <v>44835</v>
      </c>
    </row>
    <row r="4" spans="1:10">
      <c r="A4" s="3">
        <f>ELEC!T6+ELEC!X6+ELEC!AB6</f>
        <v>0</v>
      </c>
      <c r="B4" s="3">
        <f>ELEC!AF6</f>
        <v>0</v>
      </c>
      <c r="C4" s="3">
        <f>ELEC!N6</f>
        <v>2747</v>
      </c>
      <c r="D4" s="3">
        <f t="shared" si="0"/>
        <v>-61.000000000902219</v>
      </c>
      <c r="E4" s="3">
        <f>ELEC!Q6</f>
        <v>2808.0000000009022</v>
      </c>
      <c r="F4" s="3">
        <f>GEN!Z4</f>
        <v>11</v>
      </c>
      <c r="G4" s="3">
        <f>WATER!C7+WATER!H7</f>
        <v>199</v>
      </c>
      <c r="H4" s="3">
        <f>WATER!L7</f>
        <v>0</v>
      </c>
      <c r="I4" s="15">
        <f>WATER!BC7+WATER!BD7+WATER!BE8-Sheet1!G4</f>
        <v>-217.2</v>
      </c>
      <c r="J4" s="9">
        <f>'B5'!A6</f>
        <v>44836</v>
      </c>
    </row>
    <row r="5" spans="1:10">
      <c r="A5" s="3">
        <f>ELEC!T7+ELEC!X7+ELEC!AB7</f>
        <v>0</v>
      </c>
      <c r="B5" s="3">
        <f>ELEC!AF7</f>
        <v>0</v>
      </c>
      <c r="C5" s="3">
        <f>ELEC!N7</f>
        <v>2696</v>
      </c>
      <c r="D5" s="3">
        <f t="shared" si="0"/>
        <v>-63.000000001833541</v>
      </c>
      <c r="E5" s="3">
        <f>ELEC!Q7</f>
        <v>2759.0000000018335</v>
      </c>
      <c r="F5" s="3">
        <f>GEN!Z5</f>
        <v>11</v>
      </c>
      <c r="G5" s="3">
        <f>WATER!C8+WATER!H8</f>
        <v>0</v>
      </c>
      <c r="H5" s="3">
        <f>WATER!L8</f>
        <v>0</v>
      </c>
      <c r="I5" s="15">
        <f>WATER!BC8+WATER!BD8+WATER!BE9-Sheet1!G5</f>
        <v>-38.90000000000002</v>
      </c>
      <c r="J5" s="9">
        <f>'B5'!A7</f>
        <v>44837</v>
      </c>
    </row>
    <row r="6" spans="1:10">
      <c r="A6" s="3">
        <f>ELEC!T8+ELEC!X8+ELEC!AB8</f>
        <v>0</v>
      </c>
      <c r="B6" s="3">
        <f>ELEC!AF8</f>
        <v>0</v>
      </c>
      <c r="C6" s="3">
        <f>ELEC!N8</f>
        <v>3300</v>
      </c>
      <c r="D6" s="3">
        <f t="shared" si="0"/>
        <v>3300</v>
      </c>
      <c r="E6" s="3">
        <f>ELEC!Q25</f>
        <v>0</v>
      </c>
      <c r="F6" s="3">
        <f>GEN!Z6</f>
        <v>9</v>
      </c>
      <c r="G6" s="3">
        <f>WATER!C9+WATER!H9</f>
        <v>0</v>
      </c>
      <c r="H6" s="3">
        <f>WATER!L9</f>
        <v>0</v>
      </c>
      <c r="I6" s="15">
        <f>WATER!BC9+WATER!BD9+WATER!BE10-Sheet1!G6</f>
        <v>-15.999999999999986</v>
      </c>
      <c r="J6" s="9">
        <f>'B5'!A8</f>
        <v>44838</v>
      </c>
    </row>
    <row r="7" spans="1:10">
      <c r="A7" s="3">
        <f>ELEC!T9+ELEC!X9+ELEC!AB9</f>
        <v>0</v>
      </c>
      <c r="B7" s="3">
        <f>ELEC!AF9</f>
        <v>0</v>
      </c>
      <c r="C7" s="3">
        <f>ELEC!N9</f>
        <v>2673</v>
      </c>
      <c r="D7" s="3">
        <f t="shared" si="0"/>
        <v>76.99999999863212</v>
      </c>
      <c r="E7" s="3">
        <f>ELEC!Q9</f>
        <v>2596.0000000013679</v>
      </c>
      <c r="F7" s="3">
        <f>GEN!Z7</f>
        <v>11</v>
      </c>
      <c r="G7" s="3">
        <f>WATER!C10+WATER!H10</f>
        <v>0</v>
      </c>
      <c r="H7" s="3">
        <f>WATER!L10</f>
        <v>0</v>
      </c>
      <c r="I7" s="15">
        <f>WATER!BC10+WATER!BD10+WATER!BE11-Sheet1!G7</f>
        <v>-13.09999999999998</v>
      </c>
      <c r="J7" s="9">
        <f>'B5'!A9</f>
        <v>44839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-486.30000000000007</v>
      </c>
      <c r="J8" s="9">
        <f>'B5'!A10</f>
        <v>44840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-354.3</v>
      </c>
      <c r="J9" s="9">
        <f>'B5'!A11</f>
        <v>44841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44842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2752</v>
      </c>
      <c r="D11" s="3">
        <f t="shared" si="0"/>
        <v>-192.99999999970896</v>
      </c>
      <c r="E11" s="3">
        <f>ELEC!Q13</f>
        <v>2944.999999999709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612.40000000000009</v>
      </c>
      <c r="J11" s="9">
        <f>'B5'!A13</f>
        <v>44843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2353</v>
      </c>
      <c r="D12" s="3">
        <f t="shared" si="0"/>
        <v>52.000000000523869</v>
      </c>
      <c r="E12" s="3">
        <f>ELEC!Q14</f>
        <v>2300.9999999994761</v>
      </c>
      <c r="F12" s="3">
        <f>GEN!Z12</f>
        <v>12</v>
      </c>
      <c r="G12" s="3">
        <f>WATER!C15+WATER!H15</f>
        <v>0</v>
      </c>
      <c r="H12" s="3">
        <f>WATER!L15</f>
        <v>0</v>
      </c>
      <c r="I12" s="15">
        <f>WATER!BC15+WATER!BD15+WATER!BE16-Sheet1!G12</f>
        <v>481.7</v>
      </c>
      <c r="J12" s="9">
        <f>'B5'!A14</f>
        <v>44844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3292</v>
      </c>
      <c r="D13" s="3">
        <f t="shared" si="0"/>
        <v>-77.000000002415618</v>
      </c>
      <c r="E13" s="3">
        <f>ELEC!Q15</f>
        <v>3369.0000000024156</v>
      </c>
      <c r="F13" s="3">
        <f>GEN!Z13</f>
        <v>10</v>
      </c>
      <c r="G13" s="3">
        <f>WATER!C16+WATER!H16</f>
        <v>20</v>
      </c>
      <c r="H13" s="3">
        <f>WATER!L16</f>
        <v>0</v>
      </c>
      <c r="I13" s="15">
        <f>WATER!BC16+WATER!BD16+WATER!BE17-Sheet1!G13</f>
        <v>-185.6</v>
      </c>
      <c r="J13" s="9">
        <f>'B5'!A15</f>
        <v>44845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0</v>
      </c>
      <c r="D14" s="3">
        <f t="shared" si="0"/>
        <v>0</v>
      </c>
      <c r="E14" s="3">
        <f>ELEC!Q16</f>
        <v>0</v>
      </c>
      <c r="F14" s="3">
        <f>GEN!Z14</f>
        <v>14</v>
      </c>
      <c r="G14" s="3">
        <f>WATER!C17+WATER!H17</f>
        <v>0</v>
      </c>
      <c r="H14" s="3">
        <f>WATER!L17</f>
        <v>0</v>
      </c>
      <c r="I14" s="15">
        <f>WATER!BC17+WATER!BD17+WATER!BE18-Sheet1!G14</f>
        <v>-597.79999999999995</v>
      </c>
      <c r="J14" s="9">
        <f>'B5'!A16</f>
        <v>44846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-330.7</v>
      </c>
      <c r="J15" s="9">
        <f>'B5'!A17</f>
        <v>44847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44848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4852</v>
      </c>
      <c r="D17" s="3">
        <f t="shared" si="0"/>
        <v>-146.99999999979627</v>
      </c>
      <c r="E17" s="3">
        <f>ELEC!Q19</f>
        <v>4998.9999999997963</v>
      </c>
      <c r="F17" s="3">
        <f>GEN!Z17</f>
        <v>10</v>
      </c>
      <c r="G17" s="3">
        <f>WATER!C20+WATER!H20</f>
        <v>0</v>
      </c>
      <c r="H17" s="3">
        <f>WATER!L20</f>
        <v>0</v>
      </c>
      <c r="I17" s="15">
        <f>WATER!BC20+WATER!BD20+WATER!BE21-Sheet1!G17</f>
        <v>445.9</v>
      </c>
      <c r="J17" s="9">
        <f>'B5'!A19</f>
        <v>44849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1979</v>
      </c>
      <c r="D18" s="3">
        <f t="shared" si="0"/>
        <v>-36.99999999962165</v>
      </c>
      <c r="E18" s="3">
        <f>ELEC!Q20</f>
        <v>2015.9999999996217</v>
      </c>
      <c r="F18" s="3">
        <f>GEN!Z18</f>
        <v>11</v>
      </c>
      <c r="G18" s="3">
        <f>WATER!C21+WATER!H21</f>
        <v>0</v>
      </c>
      <c r="H18" s="3">
        <f>WATER!L21</f>
        <v>0</v>
      </c>
      <c r="I18" s="15">
        <f>WATER!BC21+WATER!BD21+WATER!BE22-Sheet1!G18</f>
        <v>307.2</v>
      </c>
      <c r="J18" s="9">
        <f>'B5'!A20</f>
        <v>44850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2613</v>
      </c>
      <c r="D19" s="3">
        <f t="shared" si="0"/>
        <v>-58.999999998661224</v>
      </c>
      <c r="E19" s="3">
        <f>ELEC!Q21</f>
        <v>2671.9999999986612</v>
      </c>
      <c r="F19" s="3">
        <f>GEN!Z19</f>
        <v>10</v>
      </c>
      <c r="G19" s="3">
        <f>WATER!C22+WATER!H22</f>
        <v>0</v>
      </c>
      <c r="H19" s="3">
        <f>WATER!L22</f>
        <v>0</v>
      </c>
      <c r="I19" s="15">
        <f>WATER!BC22+WATER!BD22+WATER!BE23-Sheet1!G19</f>
        <v>-47.649999999999991</v>
      </c>
      <c r="J19" s="9">
        <f>'B5'!A21</f>
        <v>44851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2436</v>
      </c>
      <c r="D20" s="3">
        <f t="shared" si="0"/>
        <v>-6.9999999993015081</v>
      </c>
      <c r="E20" s="3">
        <f>ELEC!Q22</f>
        <v>2442.9999999993015</v>
      </c>
      <c r="F20" s="3">
        <f>GEN!Z20</f>
        <v>12</v>
      </c>
      <c r="G20" s="3">
        <f>WATER!C23+WATER!H23</f>
        <v>0</v>
      </c>
      <c r="H20" s="3">
        <f>WATER!L23</f>
        <v>0</v>
      </c>
      <c r="I20" s="15">
        <f>WATER!BC23+WATER!BD23+WATER!BE24-Sheet1!G20</f>
        <v>-17.600000000000009</v>
      </c>
      <c r="J20" s="9">
        <f>'B5'!A22</f>
        <v>44852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2195</v>
      </c>
      <c r="D21" s="3">
        <f t="shared" si="0"/>
        <v>110.99999999743886</v>
      </c>
      <c r="E21" s="3">
        <f>ELEC!Q23</f>
        <v>2084.0000000025611</v>
      </c>
      <c r="F21" s="3">
        <f>GEN!Z21</f>
        <v>11</v>
      </c>
      <c r="G21" s="3">
        <f>WATER!C24+WATER!H24</f>
        <v>0</v>
      </c>
      <c r="H21" s="3">
        <f>WATER!L24</f>
        <v>0</v>
      </c>
      <c r="I21" s="15">
        <f>WATER!BC24+WATER!BD24+WATER!BE25-Sheet1!G21</f>
        <v>-19.25</v>
      </c>
      <c r="J21" s="9">
        <f>'B5'!A23</f>
        <v>44853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9</v>
      </c>
      <c r="G22" s="3">
        <f>WATER!C25+WATER!H25</f>
        <v>0</v>
      </c>
      <c r="H22" s="3">
        <f>WATER!L25</f>
        <v>0</v>
      </c>
      <c r="I22" s="15">
        <f>WATER!BC25+WATER!BD25+WATER!BE26-Sheet1!G22</f>
        <v>-387.7</v>
      </c>
      <c r="J22" s="9">
        <f>'B5'!A24</f>
        <v>44854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-280.89999999999998</v>
      </c>
      <c r="J23" s="9">
        <f>'B5'!A25</f>
        <v>44855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3654.2000000001863</v>
      </c>
      <c r="D24" s="3">
        <f t="shared" si="0"/>
        <v>-86.799999997980194</v>
      </c>
      <c r="E24" s="3">
        <f>ELEC!Q26</f>
        <v>3740.9999999981665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358.8</v>
      </c>
      <c r="J24" s="9">
        <f>'B5'!A26</f>
        <v>44856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2879.7999999998137</v>
      </c>
      <c r="D25" s="3">
        <f t="shared" si="0"/>
        <v>37.799999999260763</v>
      </c>
      <c r="E25" s="3">
        <f>ELEC!Q27</f>
        <v>2842.000000000553</v>
      </c>
      <c r="F25" s="3">
        <f>GEN!Z25</f>
        <v>12</v>
      </c>
      <c r="G25" s="3">
        <f>WATER!C28+WATER!H28</f>
        <v>0</v>
      </c>
      <c r="H25" s="3">
        <f>WATER!L28</f>
        <v>0</v>
      </c>
      <c r="I25" s="15">
        <f>WATER!BC28+WATER!BD28+WATER!BE29-Sheet1!G25</f>
        <v>307.09999999999997</v>
      </c>
      <c r="J25" s="9">
        <f>'B5'!A27</f>
        <v>44857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3149</v>
      </c>
      <c r="D26" s="3">
        <f t="shared" si="0"/>
        <v>-161.00000000130967</v>
      </c>
      <c r="E26" s="3">
        <f>ELEC!Q28</f>
        <v>3310.0000000013097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14.899999999999999</v>
      </c>
      <c r="J26" s="9">
        <f>'B5'!A28</f>
        <v>44858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11</v>
      </c>
      <c r="G27" s="3">
        <f>WATER!C30+WATER!H30</f>
        <v>73</v>
      </c>
      <c r="H27" s="3">
        <f>WATER!L30</f>
        <v>0</v>
      </c>
      <c r="I27" s="15">
        <f>WATER!BC30+WATER!BD30+WATER!BE31-Sheet1!G27</f>
        <v>-468.3</v>
      </c>
      <c r="J27" s="9">
        <f>'B5'!A29</f>
        <v>44859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-285.5</v>
      </c>
      <c r="J28" s="9">
        <f>'B5'!A30</f>
        <v>44860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44861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44862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67"/>
      <c r="B1" s="665" t="s">
        <v>119</v>
      </c>
      <c r="C1" s="665" t="s">
        <v>118</v>
      </c>
      <c r="D1" s="669" t="s">
        <v>113</v>
      </c>
      <c r="E1" s="669" t="s">
        <v>114</v>
      </c>
      <c r="F1" s="670" t="s">
        <v>120</v>
      </c>
      <c r="G1" s="671" t="s">
        <v>75</v>
      </c>
      <c r="H1" s="662" t="s">
        <v>115</v>
      </c>
      <c r="I1" s="663" t="s">
        <v>116</v>
      </c>
      <c r="J1" s="662" t="s">
        <v>117</v>
      </c>
      <c r="K1" s="661" t="s">
        <v>121</v>
      </c>
      <c r="L1" s="661" t="s">
        <v>122</v>
      </c>
      <c r="M1" s="661" t="s">
        <v>123</v>
      </c>
      <c r="N1" s="661" t="s">
        <v>124</v>
      </c>
    </row>
    <row r="2" spans="1:14">
      <c r="A2" s="668"/>
      <c r="B2" s="666"/>
      <c r="C2" s="666"/>
      <c r="D2" s="669"/>
      <c r="E2" s="669"/>
      <c r="F2" s="670"/>
      <c r="G2" s="671"/>
      <c r="H2" s="662"/>
      <c r="I2" s="664"/>
      <c r="J2" s="662"/>
      <c r="K2" s="661"/>
      <c r="L2" s="661"/>
      <c r="M2" s="661"/>
      <c r="N2" s="661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44835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119.80000000000001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44836</v>
      </c>
      <c r="B6" s="76">
        <f>'B5'!V6</f>
        <v>202</v>
      </c>
      <c r="C6" s="76">
        <f>'B5'!AH6</f>
        <v>92</v>
      </c>
      <c r="D6" s="76">
        <f>GEN!AI4</f>
        <v>665.33755274239138</v>
      </c>
      <c r="E6" s="239">
        <f t="shared" si="0"/>
        <v>959.33755274239138</v>
      </c>
      <c r="F6" s="75">
        <f>WATER!L6</f>
        <v>0</v>
      </c>
      <c r="G6" s="78">
        <f>WATER!BG6</f>
        <v>23.999999999999957</v>
      </c>
      <c r="H6" s="79">
        <f>ELEC!AF5</f>
        <v>0</v>
      </c>
      <c r="I6" s="79">
        <f>ELEC!Q5</f>
        <v>2584.9999999991269</v>
      </c>
      <c r="J6" s="79">
        <f>ELEC!R5</f>
        <v>68.000000000873115</v>
      </c>
      <c r="K6" s="3"/>
      <c r="L6" s="3"/>
      <c r="M6" s="3"/>
      <c r="N6" s="3"/>
    </row>
    <row r="7" spans="1:14">
      <c r="A7" s="63">
        <f>'B5'!A7</f>
        <v>44837</v>
      </c>
      <c r="B7" s="76">
        <f>'B5'!V7</f>
        <v>47</v>
      </c>
      <c r="C7" s="76">
        <f>'B5'!AH7</f>
        <v>0</v>
      </c>
      <c r="D7" s="76">
        <f>GEN!AI5</f>
        <v>722.73417721542216</v>
      </c>
      <c r="E7" s="239">
        <f t="shared" si="0"/>
        <v>769.73417721542216</v>
      </c>
      <c r="F7" s="75">
        <f>WATER!L7</f>
        <v>0</v>
      </c>
      <c r="G7" s="78">
        <f>WATER!BG7</f>
        <v>-7.9999999999999432</v>
      </c>
      <c r="H7" s="79">
        <f>ELEC!AF6</f>
        <v>0</v>
      </c>
      <c r="I7" s="79">
        <f>ELEC!Q6</f>
        <v>2808.0000000009022</v>
      </c>
      <c r="J7" s="79">
        <f>ELEC!R6</f>
        <v>-61.000000000902219</v>
      </c>
      <c r="K7" s="3"/>
      <c r="L7" s="3"/>
      <c r="M7" s="3"/>
      <c r="N7" s="3"/>
    </row>
    <row r="8" spans="1:14">
      <c r="A8" s="63">
        <f>'B5'!A8</f>
        <v>44838</v>
      </c>
      <c r="B8" s="76">
        <f>'B5'!V8</f>
        <v>144</v>
      </c>
      <c r="C8" s="76">
        <f>'B5'!AH8</f>
        <v>0</v>
      </c>
      <c r="D8" s="76">
        <f>GEN!AI6</f>
        <v>710.12236286967027</v>
      </c>
      <c r="E8" s="239">
        <f t="shared" si="0"/>
        <v>854.12236286967027</v>
      </c>
      <c r="F8" s="75">
        <f>WATER!L8</f>
        <v>0</v>
      </c>
      <c r="G8" s="78">
        <f>WATER!BG8</f>
        <v>-10.200000000000017</v>
      </c>
      <c r="H8" s="79">
        <f>ELEC!AF7</f>
        <v>0</v>
      </c>
      <c r="I8" s="79">
        <f>ELEC!Q7</f>
        <v>2759.0000000018335</v>
      </c>
      <c r="J8" s="79">
        <f>ELEC!R7</f>
        <v>-63.000000001833541</v>
      </c>
      <c r="K8" s="3"/>
      <c r="L8" s="3"/>
      <c r="M8" s="3"/>
      <c r="N8" s="3"/>
    </row>
    <row r="9" spans="1:14">
      <c r="A9" s="63">
        <f>'B5'!A9</f>
        <v>44839</v>
      </c>
      <c r="B9" s="76">
        <f>'B5'!V9</f>
        <v>0</v>
      </c>
      <c r="C9" s="76">
        <f>'B5'!AH9</f>
        <v>64</v>
      </c>
      <c r="D9" s="76">
        <f>GEN!AI7</f>
        <v>905.99156118061069</v>
      </c>
      <c r="E9" s="239">
        <f t="shared" si="0"/>
        <v>969.99156118061069</v>
      </c>
      <c r="F9" s="75">
        <f>WATER!L9</f>
        <v>0</v>
      </c>
      <c r="G9" s="78">
        <f>WATER!BG9</f>
        <v>-28.700000000000003</v>
      </c>
      <c r="H9" s="79">
        <f>ELEC!AF8</f>
        <v>0</v>
      </c>
      <c r="I9" s="79">
        <f>ELEC!Q8</f>
        <v>3519.9999999967986</v>
      </c>
      <c r="J9" s="79">
        <f>ELEC!R8</f>
        <v>-219.99999999679858</v>
      </c>
      <c r="K9" s="3"/>
      <c r="L9" s="3"/>
      <c r="M9" s="3"/>
      <c r="N9" s="3"/>
    </row>
    <row r="10" spans="1:14">
      <c r="A10" s="63">
        <f>'B5'!A10</f>
        <v>44840</v>
      </c>
      <c r="B10" s="76">
        <f>'B5'!V10</f>
        <v>61</v>
      </c>
      <c r="C10" s="76">
        <f>'B5'!AH10</f>
        <v>0</v>
      </c>
      <c r="D10" s="76">
        <f>GEN!AI8</f>
        <v>668.1687763716601</v>
      </c>
      <c r="E10" s="239">
        <f t="shared" si="0"/>
        <v>729.1687763716601</v>
      </c>
      <c r="F10" s="75">
        <f>WATER!L10</f>
        <v>0</v>
      </c>
      <c r="G10" s="78">
        <f>WATER!BG10</f>
        <v>-7.9999999999999716</v>
      </c>
      <c r="H10" s="79">
        <f>ELEC!AF9</f>
        <v>0</v>
      </c>
      <c r="I10" s="79">
        <f>ELEC!Q9</f>
        <v>2596.0000000013679</v>
      </c>
      <c r="J10" s="79">
        <f>ELEC!R9</f>
        <v>76.99999999863212</v>
      </c>
      <c r="K10" s="3"/>
      <c r="L10" s="3"/>
      <c r="M10" s="3"/>
      <c r="N10" s="3"/>
    </row>
    <row r="11" spans="1:14">
      <c r="A11" s="63">
        <f>'B5'!A11</f>
        <v>44841</v>
      </c>
      <c r="B11" s="76">
        <f>'B5'!V11</f>
        <v>0</v>
      </c>
      <c r="C11" s="76">
        <f>'B5'!AH11</f>
        <v>-12</v>
      </c>
      <c r="D11" s="76">
        <f>GEN!AI9</f>
        <v>0</v>
      </c>
      <c r="E11" s="239">
        <f t="shared" si="0"/>
        <v>-12</v>
      </c>
      <c r="F11" s="75">
        <f>WATER!L11</f>
        <v>0</v>
      </c>
      <c r="G11" s="78">
        <f>WATER!BG11</f>
        <v>-5.1000000000000085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44842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-481.20000000000005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44843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44844</v>
      </c>
      <c r="B14" s="76">
        <f>'B5'!V14</f>
        <v>133</v>
      </c>
      <c r="C14" s="76">
        <f>'B5'!AH14</f>
        <v>40</v>
      </c>
      <c r="D14" s="76">
        <f>GEN!AI12</f>
        <v>757.99578059064243</v>
      </c>
      <c r="E14" s="239">
        <f t="shared" si="0"/>
        <v>930.99578059064243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2944.999999999709</v>
      </c>
      <c r="J14" s="79">
        <f>ELEC!R13</f>
        <v>-192.99999999970896</v>
      </c>
      <c r="K14" s="3"/>
      <c r="L14" s="3"/>
      <c r="M14" s="3"/>
      <c r="N14" s="3"/>
    </row>
    <row r="15" spans="1:14">
      <c r="A15" s="63">
        <f>'B5'!A15</f>
        <v>44845</v>
      </c>
      <c r="B15" s="76">
        <f>'B5'!V15</f>
        <v>0</v>
      </c>
      <c r="C15" s="76">
        <f>'B5'!AH15</f>
        <v>0</v>
      </c>
      <c r="D15" s="76">
        <f>GEN!AI13</f>
        <v>592.24050632897911</v>
      </c>
      <c r="E15" s="239">
        <f t="shared" si="0"/>
        <v>592.24050632897911</v>
      </c>
      <c r="F15" s="75">
        <f>WATER!L15</f>
        <v>0</v>
      </c>
      <c r="G15" s="78">
        <f>WATER!BG15</f>
        <v>612.40000000000009</v>
      </c>
      <c r="H15" s="79">
        <f>ELEC!AF14</f>
        <v>0</v>
      </c>
      <c r="I15" s="79">
        <f>ELEC!Q14</f>
        <v>2300.9999999994761</v>
      </c>
      <c r="J15" s="79">
        <f>ELEC!R14</f>
        <v>52.000000000523869</v>
      </c>
      <c r="K15" s="3"/>
      <c r="L15" s="3"/>
      <c r="M15" s="3"/>
      <c r="N15" s="3"/>
    </row>
    <row r="16" spans="1:14">
      <c r="A16" s="63">
        <f>'B5'!A16</f>
        <v>44846</v>
      </c>
      <c r="B16" s="76">
        <f>'B5'!V16</f>
        <v>172</v>
      </c>
      <c r="C16" s="76">
        <f>'B5'!AH16</f>
        <v>0</v>
      </c>
      <c r="D16" s="76">
        <f>GEN!AI14</f>
        <v>867.12658227910288</v>
      </c>
      <c r="E16" s="239">
        <f t="shared" si="0"/>
        <v>1039.1265822791029</v>
      </c>
      <c r="F16" s="75">
        <f>WATER!L16</f>
        <v>0</v>
      </c>
      <c r="G16" s="78">
        <f>WATER!BG16</f>
        <v>-2.0000000000000142</v>
      </c>
      <c r="H16" s="79">
        <f>ELEC!AF15</f>
        <v>0</v>
      </c>
      <c r="I16" s="79">
        <f>ELEC!Q15</f>
        <v>3369.0000000024156</v>
      </c>
      <c r="J16" s="79">
        <f>ELEC!R15</f>
        <v>-77.000000002415618</v>
      </c>
      <c r="K16" s="3"/>
      <c r="L16" s="3"/>
      <c r="M16" s="3"/>
      <c r="N16" s="3"/>
    </row>
    <row r="17" spans="1:14">
      <c r="A17" s="63">
        <f>'B5'!A17</f>
        <v>44847</v>
      </c>
      <c r="B17" s="76">
        <f>'B5'!V17</f>
        <v>0</v>
      </c>
      <c r="C17" s="76">
        <f>'B5'!AH17</f>
        <v>0</v>
      </c>
      <c r="D17" s="76">
        <f>GEN!AI15</f>
        <v>0</v>
      </c>
      <c r="E17" s="239">
        <f t="shared" si="0"/>
        <v>0</v>
      </c>
      <c r="F17" s="75">
        <f>WATER!L17</f>
        <v>0</v>
      </c>
      <c r="G17" s="78">
        <f>WATER!BG17</f>
        <v>-164.5</v>
      </c>
      <c r="H17" s="79">
        <f>ELEC!AF16</f>
        <v>0</v>
      </c>
      <c r="I17" s="79">
        <f>ELEC!Q16</f>
        <v>0</v>
      </c>
      <c r="J17" s="79">
        <f>ELEC!R16</f>
        <v>0</v>
      </c>
      <c r="K17" s="3"/>
      <c r="L17" s="3"/>
      <c r="M17" s="3"/>
      <c r="N17" s="3"/>
    </row>
    <row r="18" spans="1:14">
      <c r="A18" s="63">
        <f>'B5'!A18</f>
        <v>44848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-445.9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44849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44850</v>
      </c>
      <c r="B20" s="76">
        <f>'B5'!V20</f>
        <v>251</v>
      </c>
      <c r="C20" s="76">
        <f>'B5'!AH20</f>
        <v>54</v>
      </c>
      <c r="D20" s="76">
        <f>GEN!AI18</f>
        <v>1286.6624472573317</v>
      </c>
      <c r="E20" s="239">
        <f t="shared" si="0"/>
        <v>1591.6624472573317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4998.9999999997963</v>
      </c>
      <c r="J20" s="79">
        <f>ELEC!R19</f>
        <v>-146.99999999979627</v>
      </c>
      <c r="K20" s="3"/>
      <c r="L20" s="3"/>
      <c r="M20" s="3"/>
      <c r="N20" s="3"/>
    </row>
    <row r="21" spans="1:14">
      <c r="A21" s="63">
        <f>'B5'!A21</f>
        <v>44851</v>
      </c>
      <c r="B21" s="76">
        <f>'B5'!V21</f>
        <v>68</v>
      </c>
      <c r="C21" s="76">
        <f>'B5'!AH21</f>
        <v>48</v>
      </c>
      <c r="D21" s="76">
        <f>GEN!AI19</f>
        <v>518.88607594926975</v>
      </c>
      <c r="E21" s="239">
        <f t="shared" si="0"/>
        <v>634.88607594926975</v>
      </c>
      <c r="F21" s="75">
        <f>WATER!L21</f>
        <v>0</v>
      </c>
      <c r="G21" s="78">
        <f>WATER!BG21</f>
        <v>445.9</v>
      </c>
      <c r="H21" s="79">
        <f>ELEC!AF20</f>
        <v>0</v>
      </c>
      <c r="I21" s="79">
        <f>ELEC!Q20</f>
        <v>2015.9999999996217</v>
      </c>
      <c r="J21" s="79">
        <f>ELEC!R20</f>
        <v>-36.99999999962165</v>
      </c>
      <c r="K21" s="3"/>
      <c r="L21" s="3"/>
      <c r="M21" s="3"/>
      <c r="N21" s="3"/>
    </row>
    <row r="22" spans="1:14">
      <c r="A22" s="63">
        <f>'B5'!A22</f>
        <v>44852</v>
      </c>
      <c r="B22" s="76">
        <f>'B5'!V22</f>
        <v>0</v>
      </c>
      <c r="C22" s="76">
        <f>'B5'!AH22</f>
        <v>0</v>
      </c>
      <c r="D22" s="76">
        <f>GEN!AI20</f>
        <v>687.72995780556266</v>
      </c>
      <c r="E22" s="239">
        <f t="shared" si="0"/>
        <v>687.72995780556266</v>
      </c>
      <c r="F22" s="75">
        <f>WATER!L22</f>
        <v>0</v>
      </c>
      <c r="G22" s="78">
        <f>WATER!BG22</f>
        <v>-23.5</v>
      </c>
      <c r="H22" s="79">
        <f>ELEC!AF21</f>
        <v>0</v>
      </c>
      <c r="I22" s="79">
        <f>ELEC!Q21</f>
        <v>2671.9999999986612</v>
      </c>
      <c r="J22" s="79">
        <f>ELEC!R21</f>
        <v>-58.999999998661224</v>
      </c>
      <c r="K22" s="3"/>
      <c r="L22" s="3"/>
      <c r="M22" s="3"/>
      <c r="N22" s="3"/>
    </row>
    <row r="23" spans="1:14">
      <c r="A23" s="63">
        <f>'B5'!A23</f>
        <v>44853</v>
      </c>
      <c r="B23" s="76">
        <f>'B5'!V23</f>
        <v>107</v>
      </c>
      <c r="C23" s="76">
        <f>'B5'!AH23</f>
        <v>0</v>
      </c>
      <c r="D23" s="76">
        <f>GEN!AI21</f>
        <v>628.78902953568524</v>
      </c>
      <c r="E23" s="239">
        <f t="shared" si="0"/>
        <v>735.78902953568524</v>
      </c>
      <c r="F23" s="75">
        <f>WATER!L23</f>
        <v>0</v>
      </c>
      <c r="G23" s="78">
        <f>WATER!BG23</f>
        <v>-23.249999999999986</v>
      </c>
      <c r="H23" s="79">
        <f>ELEC!AF22</f>
        <v>0</v>
      </c>
      <c r="I23" s="79">
        <f>ELEC!Q22</f>
        <v>2442.9999999993015</v>
      </c>
      <c r="J23" s="79">
        <f>ELEC!R22</f>
        <v>-6.9999999993015081</v>
      </c>
      <c r="K23" s="3"/>
      <c r="L23" s="3"/>
      <c r="M23" s="3"/>
      <c r="N23" s="3"/>
    </row>
    <row r="24" spans="1:14">
      <c r="A24" s="63">
        <f>'B5'!A24</f>
        <v>44854</v>
      </c>
      <c r="B24" s="76">
        <f>'B5'!V24</f>
        <v>38</v>
      </c>
      <c r="C24" s="76">
        <f>'B5'!AH24</f>
        <v>0</v>
      </c>
      <c r="D24" s="76">
        <f>GEN!AI22</f>
        <v>536.38818565466772</v>
      </c>
      <c r="E24" s="239">
        <f t="shared" si="0"/>
        <v>574.38818565466772</v>
      </c>
      <c r="F24" s="75">
        <f>WATER!L24</f>
        <v>0</v>
      </c>
      <c r="G24" s="78">
        <f>WATER!BG24</f>
        <v>-10.550000000000026</v>
      </c>
      <c r="H24" s="79">
        <f>ELEC!AF23</f>
        <v>0</v>
      </c>
      <c r="I24" s="79">
        <f>ELEC!Q23</f>
        <v>2084.0000000025611</v>
      </c>
      <c r="J24" s="79">
        <f>ELEC!R23</f>
        <v>110.99999999743886</v>
      </c>
      <c r="K24" s="3"/>
      <c r="L24" s="3"/>
      <c r="M24" s="3"/>
      <c r="N24" s="3"/>
    </row>
    <row r="25" spans="1:14">
      <c r="A25" s="63">
        <f>'B5'!A25</f>
        <v>44855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0</v>
      </c>
      <c r="G25" s="78">
        <f>WATER!BG25</f>
        <v>-7.7999999999999829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44856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-380.8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44857</v>
      </c>
      <c r="B27" s="76">
        <f>'B5'!V27</f>
        <v>190</v>
      </c>
      <c r="C27" s="76">
        <f>'B5'!AH27</f>
        <v>0</v>
      </c>
      <c r="D27" s="76">
        <f>GEN!AI25</f>
        <v>962.87341772104719</v>
      </c>
      <c r="E27" s="239">
        <f t="shared" si="0"/>
        <v>1152.8734177210472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3740.9999999981665</v>
      </c>
      <c r="J27" s="79">
        <f>ELEC!R26</f>
        <v>-86.799999997980194</v>
      </c>
      <c r="K27" s="3"/>
      <c r="L27" s="3"/>
      <c r="M27" s="3"/>
      <c r="N27" s="3"/>
    </row>
    <row r="28" spans="1:14">
      <c r="A28" s="63">
        <f>'B5'!A28</f>
        <v>44858</v>
      </c>
      <c r="B28" s="76">
        <f>'B5'!V28</f>
        <v>88</v>
      </c>
      <c r="C28" s="76">
        <f>'B5'!AH28</f>
        <v>70</v>
      </c>
      <c r="D28" s="76">
        <f>GEN!AI26</f>
        <v>731.48523206765299</v>
      </c>
      <c r="E28" s="239">
        <f t="shared" si="0"/>
        <v>889.48523206765299</v>
      </c>
      <c r="F28" s="75">
        <f>WATER!L28</f>
        <v>0</v>
      </c>
      <c r="G28" s="78">
        <f>WATER!BG28</f>
        <v>358.8</v>
      </c>
      <c r="H28" s="79">
        <f>ELEC!AF27</f>
        <v>0</v>
      </c>
      <c r="I28" s="79">
        <f>ELEC!Q27</f>
        <v>2842.000000000553</v>
      </c>
      <c r="J28" s="79">
        <f>ELEC!R27</f>
        <v>37.799999999260763</v>
      </c>
      <c r="K28" s="3"/>
      <c r="L28" s="3"/>
      <c r="M28" s="3"/>
      <c r="N28" s="3"/>
    </row>
    <row r="29" spans="1:14">
      <c r="A29" s="63">
        <f>'B5'!A29</f>
        <v>44859</v>
      </c>
      <c r="B29" s="76">
        <f>'B5'!V29</f>
        <v>112</v>
      </c>
      <c r="C29" s="76">
        <f>'B5'!AH29</f>
        <v>0</v>
      </c>
      <c r="D29" s="76">
        <f>GEN!AI27</f>
        <v>851.94092827037935</v>
      </c>
      <c r="E29" s="77">
        <f t="shared" si="0"/>
        <v>963.94092827037935</v>
      </c>
      <c r="F29" s="75">
        <f>WATER!L29</f>
        <v>0</v>
      </c>
      <c r="G29" s="78">
        <f>WATER!BG29</f>
        <v>-4.9000000000000199</v>
      </c>
      <c r="H29" s="79">
        <f>ELEC!AF28</f>
        <v>0</v>
      </c>
      <c r="I29" s="79">
        <f>ELEC!Q28</f>
        <v>3310.0000000013097</v>
      </c>
      <c r="J29" s="79">
        <f>ELEC!R28</f>
        <v>-161.00000000130967</v>
      </c>
      <c r="K29" s="3"/>
      <c r="L29" s="3"/>
      <c r="M29" s="3"/>
      <c r="N29" s="3"/>
    </row>
    <row r="30" spans="1:14">
      <c r="A30" s="63">
        <f>'B5'!A30</f>
        <v>44860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18.900000000000013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44861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-372.8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44862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72" t="s">
        <v>151</v>
      </c>
      <c r="U3" s="672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1</v>
      </c>
      <c r="E5">
        <f t="shared" ref="E5:E37" si="0">D5*90</f>
        <v>90</v>
      </c>
      <c r="F5">
        <f>'B5'!AM4</f>
        <v>1</v>
      </c>
      <c r="G5">
        <f t="shared" ref="G5:G37" si="1">F5*107</f>
        <v>107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3</v>
      </c>
      <c r="E7">
        <f t="shared" si="0"/>
        <v>270</v>
      </c>
      <c r="F7">
        <f>'B5'!AM6</f>
        <v>1</v>
      </c>
      <c r="G7">
        <f t="shared" si="1"/>
        <v>107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1</v>
      </c>
      <c r="E9">
        <f t="shared" si="0"/>
        <v>90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1</v>
      </c>
      <c r="E11">
        <f t="shared" si="0"/>
        <v>90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1</v>
      </c>
      <c r="E15">
        <f t="shared" si="0"/>
        <v>90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2</v>
      </c>
      <c r="E17">
        <f t="shared" si="0"/>
        <v>180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2</v>
      </c>
      <c r="G21">
        <f t="shared" si="1"/>
        <v>214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-2</v>
      </c>
      <c r="G22">
        <f t="shared" si="1"/>
        <v>-214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2</v>
      </c>
      <c r="E24">
        <f t="shared" si="0"/>
        <v>180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3</v>
      </c>
      <c r="E28">
        <f t="shared" si="0"/>
        <v>270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1</v>
      </c>
      <c r="E29">
        <f t="shared" si="0"/>
        <v>90</v>
      </c>
      <c r="F29">
        <f>'B5'!AM28</f>
        <v>3</v>
      </c>
      <c r="G29">
        <f t="shared" si="1"/>
        <v>321</v>
      </c>
    </row>
    <row r="30" spans="3:7">
      <c r="C30" s="99">
        <v>42454</v>
      </c>
      <c r="D30">
        <f>'B5'!AL29</f>
        <v>2</v>
      </c>
      <c r="E30">
        <f t="shared" si="0"/>
        <v>180</v>
      </c>
      <c r="F30">
        <f>'B5'!AM29</f>
        <v>-3</v>
      </c>
      <c r="G30">
        <f t="shared" si="1"/>
        <v>-321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zoomScale="70" zoomScaleNormal="70" workbookViewId="0">
      <pane ySplit="1" topLeftCell="A2" activePane="bottomLeft" state="frozen"/>
      <selection pane="bottomLeft" activeCell="L8" sqref="L8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3" customWidth="1"/>
    <col min="12" max="12" width="26.42578125" bestFit="1" customWidth="1"/>
    <col min="14" max="14" width="14.28515625" customWidth="1"/>
  </cols>
  <sheetData>
    <row r="1" spans="1:18" ht="39.75" customHeight="1" thickBot="1">
      <c r="A1" s="682" t="s">
        <v>51</v>
      </c>
      <c r="B1" s="694" t="s">
        <v>316</v>
      </c>
      <c r="C1" s="695"/>
      <c r="D1" s="697"/>
      <c r="E1" s="694" t="s">
        <v>317</v>
      </c>
      <c r="F1" s="695"/>
      <c r="G1" s="696"/>
      <c r="H1" s="691" t="s">
        <v>321</v>
      </c>
      <c r="I1" s="688" t="s">
        <v>322</v>
      </c>
      <c r="J1" s="685" t="s">
        <v>43</v>
      </c>
    </row>
    <row r="2" spans="1:18" ht="38.25" thickBot="1">
      <c r="A2" s="683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692"/>
      <c r="I2" s="689"/>
      <c r="J2" s="686"/>
    </row>
    <row r="3" spans="1:18" ht="24" customHeight="1" thickBot="1">
      <c r="A3" s="684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693"/>
      <c r="I3" s="690"/>
      <c r="J3" s="687"/>
    </row>
    <row r="4" spans="1:18" ht="19.5" thickBot="1">
      <c r="A4" s="575"/>
      <c r="B4" s="580" t="s">
        <v>325</v>
      </c>
      <c r="C4" s="581" t="s">
        <v>320</v>
      </c>
      <c r="D4" s="582" t="s">
        <v>326</v>
      </c>
      <c r="E4" s="583" t="s">
        <v>325</v>
      </c>
      <c r="F4" s="582" t="s">
        <v>320</v>
      </c>
      <c r="G4" s="583" t="s">
        <v>326</v>
      </c>
      <c r="H4" s="567">
        <v>0</v>
      </c>
      <c r="I4" s="568"/>
      <c r="J4" s="56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599"/>
      <c r="B5" s="673" t="s">
        <v>417</v>
      </c>
      <c r="C5" s="674"/>
      <c r="D5" s="674"/>
      <c r="E5" s="674"/>
      <c r="F5" s="674"/>
      <c r="G5" s="675"/>
      <c r="H5" s="600"/>
      <c r="I5" s="601"/>
      <c r="J5" s="588"/>
      <c r="K5" s="576"/>
      <c r="L5" s="497"/>
      <c r="M5" s="476"/>
      <c r="N5" s="476"/>
      <c r="O5" s="476"/>
    </row>
    <row r="6" spans="1:18" ht="15.75" customHeight="1">
      <c r="A6" s="593">
        <f>ELEC!C4</f>
        <v>44835</v>
      </c>
      <c r="B6" s="676"/>
      <c r="C6" s="677"/>
      <c r="D6" s="677"/>
      <c r="E6" s="677"/>
      <c r="F6" s="677"/>
      <c r="G6" s="678"/>
      <c r="H6" s="592">
        <f>H5</f>
        <v>0</v>
      </c>
      <c r="I6" s="598">
        <f>H6-H5</f>
        <v>0</v>
      </c>
      <c r="J6" s="587">
        <v>0.29166666666666669</v>
      </c>
      <c r="L6" s="99">
        <f t="shared" ref="L6:L33" si="0">A6</f>
        <v>44835</v>
      </c>
      <c r="M6" s="3">
        <f>M5</f>
        <v>0</v>
      </c>
      <c r="N6" s="476"/>
      <c r="O6" s="476">
        <f>M6+N6</f>
        <v>0</v>
      </c>
    </row>
    <row r="7" spans="1:18">
      <c r="A7" s="594">
        <f>ELEC!C5</f>
        <v>44836</v>
      </c>
      <c r="B7" s="676"/>
      <c r="C7" s="677"/>
      <c r="D7" s="677"/>
      <c r="E7" s="677"/>
      <c r="F7" s="677"/>
      <c r="G7" s="678"/>
      <c r="H7" s="592">
        <f t="shared" ref="H7:H36" si="1">H6</f>
        <v>0</v>
      </c>
      <c r="I7" s="476">
        <f>H7-H6</f>
        <v>0</v>
      </c>
      <c r="J7" s="461">
        <v>0.29166666666666669</v>
      </c>
      <c r="L7" s="99">
        <f t="shared" si="0"/>
        <v>44836</v>
      </c>
      <c r="M7" s="3">
        <f t="shared" ref="M7:M36" si="2">M6</f>
        <v>0</v>
      </c>
      <c r="N7" s="476"/>
      <c r="O7" s="476">
        <f t="shared" ref="O7:O33" si="3">M7+N7</f>
        <v>0</v>
      </c>
    </row>
    <row r="8" spans="1:18">
      <c r="A8" s="594">
        <f>ELEC!C6</f>
        <v>44837</v>
      </c>
      <c r="B8" s="676"/>
      <c r="C8" s="677"/>
      <c r="D8" s="677"/>
      <c r="E8" s="677"/>
      <c r="F8" s="677"/>
      <c r="G8" s="678"/>
      <c r="H8" s="592">
        <f t="shared" si="1"/>
        <v>0</v>
      </c>
      <c r="I8" s="476">
        <f t="shared" ref="I8:I33" si="4">H8-H7</f>
        <v>0</v>
      </c>
      <c r="J8" s="461">
        <v>0.29166666666666669</v>
      </c>
      <c r="L8" s="99">
        <f t="shared" si="0"/>
        <v>44837</v>
      </c>
      <c r="M8" s="3">
        <f t="shared" si="2"/>
        <v>0</v>
      </c>
      <c r="N8" s="476"/>
      <c r="O8" s="476">
        <f t="shared" si="3"/>
        <v>0</v>
      </c>
    </row>
    <row r="9" spans="1:18">
      <c r="A9" s="594">
        <f>ELEC!C7</f>
        <v>44838</v>
      </c>
      <c r="B9" s="676"/>
      <c r="C9" s="677"/>
      <c r="D9" s="677"/>
      <c r="E9" s="677"/>
      <c r="F9" s="677"/>
      <c r="G9" s="678"/>
      <c r="H9" s="592">
        <v>7082</v>
      </c>
      <c r="I9" s="476">
        <f t="shared" si="4"/>
        <v>7082</v>
      </c>
      <c r="J9" s="461">
        <v>0.25</v>
      </c>
      <c r="L9" s="99">
        <f t="shared" si="0"/>
        <v>44838</v>
      </c>
      <c r="M9" s="3">
        <f t="shared" si="2"/>
        <v>0</v>
      </c>
      <c r="N9" s="476"/>
      <c r="O9" s="476">
        <f t="shared" si="3"/>
        <v>0</v>
      </c>
    </row>
    <row r="10" spans="1:18">
      <c r="A10" s="594">
        <f>ELEC!C8</f>
        <v>44839</v>
      </c>
      <c r="B10" s="676"/>
      <c r="C10" s="677"/>
      <c r="D10" s="677"/>
      <c r="E10" s="677"/>
      <c r="F10" s="677"/>
      <c r="G10" s="678"/>
      <c r="H10" s="592">
        <f t="shared" si="1"/>
        <v>7082</v>
      </c>
      <c r="I10" s="476">
        <f t="shared" si="4"/>
        <v>0</v>
      </c>
      <c r="J10" s="461">
        <v>0.29166666666666669</v>
      </c>
      <c r="L10" s="99">
        <f t="shared" si="0"/>
        <v>44839</v>
      </c>
      <c r="M10" s="3">
        <f t="shared" si="2"/>
        <v>0</v>
      </c>
      <c r="N10" s="476"/>
      <c r="O10" s="476">
        <f t="shared" si="3"/>
        <v>0</v>
      </c>
    </row>
    <row r="11" spans="1:18">
      <c r="A11" s="594">
        <f>ELEC!C9</f>
        <v>44840</v>
      </c>
      <c r="B11" s="676"/>
      <c r="C11" s="677"/>
      <c r="D11" s="677"/>
      <c r="E11" s="677"/>
      <c r="F11" s="677"/>
      <c r="G11" s="678"/>
      <c r="H11" s="592">
        <f t="shared" si="1"/>
        <v>7082</v>
      </c>
      <c r="I11" s="476">
        <f t="shared" si="4"/>
        <v>0</v>
      </c>
      <c r="J11" s="461">
        <v>0.29166666666666669</v>
      </c>
      <c r="L11" s="99">
        <f t="shared" si="0"/>
        <v>44840</v>
      </c>
      <c r="M11" s="3">
        <f t="shared" si="2"/>
        <v>0</v>
      </c>
      <c r="N11" s="476"/>
      <c r="O11" s="476">
        <f t="shared" si="3"/>
        <v>0</v>
      </c>
    </row>
    <row r="12" spans="1:18" ht="15.75">
      <c r="A12" s="594">
        <f>ELEC!C10</f>
        <v>44841</v>
      </c>
      <c r="B12" s="676"/>
      <c r="C12" s="677"/>
      <c r="D12" s="677"/>
      <c r="E12" s="677"/>
      <c r="F12" s="677"/>
      <c r="G12" s="678"/>
      <c r="H12" s="592">
        <f t="shared" si="1"/>
        <v>7082</v>
      </c>
      <c r="I12" s="476">
        <f t="shared" si="4"/>
        <v>0</v>
      </c>
      <c r="J12" s="461">
        <v>0.29166666666666669</v>
      </c>
      <c r="L12" s="99">
        <f t="shared" si="0"/>
        <v>44841</v>
      </c>
      <c r="M12" s="3">
        <f t="shared" si="2"/>
        <v>0</v>
      </c>
      <c r="N12" s="476"/>
      <c r="O12" s="476">
        <f t="shared" si="3"/>
        <v>0</v>
      </c>
      <c r="P12" s="418"/>
      <c r="Q12" s="341"/>
      <c r="R12" s="341"/>
    </row>
    <row r="13" spans="1:18">
      <c r="A13" s="594">
        <f>ELEC!C11</f>
        <v>44842</v>
      </c>
      <c r="B13" s="676"/>
      <c r="C13" s="677"/>
      <c r="D13" s="677"/>
      <c r="E13" s="677"/>
      <c r="F13" s="677"/>
      <c r="G13" s="678"/>
      <c r="H13" s="592">
        <f t="shared" si="1"/>
        <v>7082</v>
      </c>
      <c r="I13" s="476">
        <f t="shared" si="4"/>
        <v>0</v>
      </c>
      <c r="J13" s="461">
        <v>0.29166666666666669</v>
      </c>
      <c r="L13" s="99">
        <f t="shared" si="0"/>
        <v>44842</v>
      </c>
      <c r="M13" s="3">
        <f t="shared" si="2"/>
        <v>0</v>
      </c>
      <c r="N13" s="476"/>
      <c r="O13" s="476">
        <f t="shared" si="3"/>
        <v>0</v>
      </c>
    </row>
    <row r="14" spans="1:18">
      <c r="A14" s="594">
        <f>ELEC!C12</f>
        <v>44843</v>
      </c>
      <c r="B14" s="676"/>
      <c r="C14" s="677"/>
      <c r="D14" s="677"/>
      <c r="E14" s="677"/>
      <c r="F14" s="677"/>
      <c r="G14" s="678"/>
      <c r="H14" s="592">
        <v>7088</v>
      </c>
      <c r="I14" s="476">
        <f t="shared" si="4"/>
        <v>6</v>
      </c>
      <c r="J14" s="461">
        <v>0.29166666666666669</v>
      </c>
      <c r="L14" s="99">
        <f t="shared" si="0"/>
        <v>44843</v>
      </c>
      <c r="M14" s="3">
        <f t="shared" si="2"/>
        <v>0</v>
      </c>
      <c r="N14" s="476"/>
      <c r="O14" s="476">
        <f t="shared" si="3"/>
        <v>0</v>
      </c>
    </row>
    <row r="15" spans="1:18">
      <c r="A15" s="594">
        <f>ELEC!C13</f>
        <v>44844</v>
      </c>
      <c r="B15" s="676"/>
      <c r="C15" s="677"/>
      <c r="D15" s="677"/>
      <c r="E15" s="677"/>
      <c r="F15" s="677"/>
      <c r="G15" s="678"/>
      <c r="H15" s="592">
        <f t="shared" si="1"/>
        <v>7088</v>
      </c>
      <c r="I15" s="476">
        <f t="shared" si="4"/>
        <v>0</v>
      </c>
      <c r="J15" s="461">
        <v>0.29166666666666669</v>
      </c>
      <c r="L15" s="99">
        <f t="shared" si="0"/>
        <v>44844</v>
      </c>
      <c r="M15" s="3">
        <f t="shared" si="2"/>
        <v>0</v>
      </c>
      <c r="N15" s="476"/>
      <c r="O15" s="476">
        <f t="shared" si="3"/>
        <v>0</v>
      </c>
    </row>
    <row r="16" spans="1:18">
      <c r="A16" s="594">
        <f>ELEC!C14</f>
        <v>44845</v>
      </c>
      <c r="B16" s="676"/>
      <c r="C16" s="677"/>
      <c r="D16" s="677"/>
      <c r="E16" s="677"/>
      <c r="F16" s="677"/>
      <c r="G16" s="678"/>
      <c r="H16" s="592">
        <v>7089</v>
      </c>
      <c r="I16" s="476">
        <f t="shared" si="4"/>
        <v>1</v>
      </c>
      <c r="J16" s="461">
        <v>0.29166666666666669</v>
      </c>
      <c r="L16" s="99">
        <f t="shared" si="0"/>
        <v>44845</v>
      </c>
      <c r="M16" s="3">
        <f t="shared" si="2"/>
        <v>0</v>
      </c>
      <c r="N16" s="476"/>
      <c r="O16" s="476">
        <f t="shared" si="3"/>
        <v>0</v>
      </c>
    </row>
    <row r="17" spans="1:15">
      <c r="A17" s="594">
        <f>ELEC!C15</f>
        <v>44846</v>
      </c>
      <c r="B17" s="676"/>
      <c r="C17" s="677"/>
      <c r="D17" s="677"/>
      <c r="E17" s="677"/>
      <c r="F17" s="677"/>
      <c r="G17" s="678"/>
      <c r="H17" s="592">
        <f t="shared" si="1"/>
        <v>7089</v>
      </c>
      <c r="I17" s="476">
        <f t="shared" si="4"/>
        <v>0</v>
      </c>
      <c r="J17" s="461">
        <v>0.29166666666666669</v>
      </c>
      <c r="L17" s="99">
        <f t="shared" si="0"/>
        <v>44846</v>
      </c>
      <c r="M17" s="3">
        <f t="shared" si="2"/>
        <v>0</v>
      </c>
      <c r="N17" s="476"/>
      <c r="O17" s="476">
        <f t="shared" si="3"/>
        <v>0</v>
      </c>
    </row>
    <row r="18" spans="1:15">
      <c r="A18" s="594">
        <f>ELEC!C16</f>
        <v>44847</v>
      </c>
      <c r="B18" s="676"/>
      <c r="C18" s="677"/>
      <c r="D18" s="677"/>
      <c r="E18" s="677"/>
      <c r="F18" s="677"/>
      <c r="G18" s="678"/>
      <c r="H18" s="592">
        <f t="shared" si="1"/>
        <v>7089</v>
      </c>
      <c r="I18" s="476">
        <f t="shared" si="4"/>
        <v>0</v>
      </c>
      <c r="J18" s="461">
        <v>0.29166666666666669</v>
      </c>
      <c r="L18" s="99">
        <f t="shared" si="0"/>
        <v>44847</v>
      </c>
      <c r="M18" s="3">
        <f t="shared" si="2"/>
        <v>0</v>
      </c>
      <c r="N18" s="476"/>
      <c r="O18" s="476">
        <f t="shared" si="3"/>
        <v>0</v>
      </c>
    </row>
    <row r="19" spans="1:15">
      <c r="A19" s="594">
        <f>ELEC!C17</f>
        <v>44848</v>
      </c>
      <c r="B19" s="676"/>
      <c r="C19" s="677"/>
      <c r="D19" s="677"/>
      <c r="E19" s="677"/>
      <c r="F19" s="677"/>
      <c r="G19" s="678"/>
      <c r="H19" s="592">
        <f t="shared" si="1"/>
        <v>7089</v>
      </c>
      <c r="I19" s="476">
        <f t="shared" si="4"/>
        <v>0</v>
      </c>
      <c r="J19" s="461">
        <v>0.29166666666666669</v>
      </c>
      <c r="L19" s="99">
        <f t="shared" si="0"/>
        <v>44848</v>
      </c>
      <c r="M19" s="3">
        <f t="shared" si="2"/>
        <v>0</v>
      </c>
      <c r="N19" s="476"/>
      <c r="O19" s="476">
        <f t="shared" si="3"/>
        <v>0</v>
      </c>
    </row>
    <row r="20" spans="1:15">
      <c r="A20" s="594">
        <f>ELEC!C18</f>
        <v>44849</v>
      </c>
      <c r="B20" s="676"/>
      <c r="C20" s="677"/>
      <c r="D20" s="677"/>
      <c r="E20" s="677"/>
      <c r="F20" s="677"/>
      <c r="G20" s="678"/>
      <c r="H20" s="592">
        <f t="shared" si="1"/>
        <v>7089</v>
      </c>
      <c r="I20" s="476">
        <f t="shared" si="4"/>
        <v>0</v>
      </c>
      <c r="J20" s="461">
        <v>0.29166666666666669</v>
      </c>
      <c r="L20" s="99">
        <f t="shared" si="0"/>
        <v>44849</v>
      </c>
      <c r="M20" s="3">
        <f t="shared" si="2"/>
        <v>0</v>
      </c>
      <c r="N20" s="476"/>
      <c r="O20" s="476">
        <f t="shared" si="3"/>
        <v>0</v>
      </c>
    </row>
    <row r="21" spans="1:15">
      <c r="A21" s="594">
        <f>ELEC!C19</f>
        <v>44850</v>
      </c>
      <c r="B21" s="676"/>
      <c r="C21" s="677"/>
      <c r="D21" s="677"/>
      <c r="E21" s="677"/>
      <c r="F21" s="677"/>
      <c r="G21" s="678"/>
      <c r="H21" s="592">
        <f t="shared" si="1"/>
        <v>7089</v>
      </c>
      <c r="I21" s="476">
        <f t="shared" si="4"/>
        <v>0</v>
      </c>
      <c r="J21" s="532" t="s">
        <v>409</v>
      </c>
      <c r="L21" s="99">
        <f t="shared" si="0"/>
        <v>44850</v>
      </c>
      <c r="M21" s="3">
        <f t="shared" si="2"/>
        <v>0</v>
      </c>
      <c r="N21" s="476"/>
      <c r="O21" s="476">
        <f t="shared" si="3"/>
        <v>0</v>
      </c>
    </row>
    <row r="22" spans="1:15">
      <c r="A22" s="594">
        <f>ELEC!C20</f>
        <v>44851</v>
      </c>
      <c r="B22" s="676"/>
      <c r="C22" s="677"/>
      <c r="D22" s="677"/>
      <c r="E22" s="677"/>
      <c r="F22" s="677"/>
      <c r="G22" s="678"/>
      <c r="H22" s="592">
        <f t="shared" si="1"/>
        <v>7089</v>
      </c>
      <c r="I22" s="476">
        <f t="shared" si="4"/>
        <v>0</v>
      </c>
      <c r="J22" s="461">
        <v>0.29166666666666669</v>
      </c>
      <c r="L22" s="99">
        <f t="shared" si="0"/>
        <v>44851</v>
      </c>
      <c r="M22" s="3">
        <f t="shared" si="2"/>
        <v>0</v>
      </c>
      <c r="N22" s="476"/>
      <c r="O22" s="476">
        <f t="shared" si="3"/>
        <v>0</v>
      </c>
    </row>
    <row r="23" spans="1:15">
      <c r="A23" s="594">
        <f>ELEC!C21</f>
        <v>44852</v>
      </c>
      <c r="B23" s="676"/>
      <c r="C23" s="677"/>
      <c r="D23" s="677"/>
      <c r="E23" s="677"/>
      <c r="F23" s="677"/>
      <c r="G23" s="678"/>
      <c r="H23" s="592">
        <f t="shared" si="1"/>
        <v>7089</v>
      </c>
      <c r="I23" s="476">
        <f t="shared" si="4"/>
        <v>0</v>
      </c>
      <c r="J23" s="461">
        <v>0.29166666666666669</v>
      </c>
      <c r="L23" s="99">
        <f t="shared" si="0"/>
        <v>44852</v>
      </c>
      <c r="M23" s="3">
        <f t="shared" si="2"/>
        <v>0</v>
      </c>
      <c r="N23" s="476"/>
      <c r="O23" s="476">
        <f t="shared" si="3"/>
        <v>0</v>
      </c>
    </row>
    <row r="24" spans="1:15">
      <c r="A24" s="594">
        <f>ELEC!C22</f>
        <v>44853</v>
      </c>
      <c r="B24" s="676"/>
      <c r="C24" s="677"/>
      <c r="D24" s="677"/>
      <c r="E24" s="677"/>
      <c r="F24" s="677"/>
      <c r="G24" s="678"/>
      <c r="H24" s="592">
        <f t="shared" si="1"/>
        <v>7089</v>
      </c>
      <c r="I24" s="476">
        <f t="shared" si="4"/>
        <v>0</v>
      </c>
      <c r="J24" s="461">
        <v>0.29166666666666702</v>
      </c>
      <c r="L24" s="99">
        <f t="shared" si="0"/>
        <v>44853</v>
      </c>
      <c r="M24" s="3">
        <f t="shared" si="2"/>
        <v>0</v>
      </c>
      <c r="N24" s="476"/>
      <c r="O24" s="476">
        <f t="shared" si="3"/>
        <v>0</v>
      </c>
    </row>
    <row r="25" spans="1:15">
      <c r="A25" s="594">
        <f>ELEC!C23</f>
        <v>44854</v>
      </c>
      <c r="B25" s="676"/>
      <c r="C25" s="677"/>
      <c r="D25" s="677"/>
      <c r="E25" s="677"/>
      <c r="F25" s="677"/>
      <c r="G25" s="678"/>
      <c r="H25" s="592">
        <f t="shared" si="1"/>
        <v>7089</v>
      </c>
      <c r="I25" s="476">
        <f t="shared" si="4"/>
        <v>0</v>
      </c>
      <c r="J25" s="461">
        <v>0.29166666666666702</v>
      </c>
      <c r="L25" s="99">
        <f t="shared" si="0"/>
        <v>44854</v>
      </c>
      <c r="M25" s="3">
        <f t="shared" si="2"/>
        <v>0</v>
      </c>
      <c r="N25" s="476"/>
      <c r="O25" s="476">
        <f t="shared" si="3"/>
        <v>0</v>
      </c>
    </row>
    <row r="26" spans="1:15">
      <c r="A26" s="594">
        <f>ELEC!C24</f>
        <v>44855</v>
      </c>
      <c r="B26" s="676"/>
      <c r="C26" s="677"/>
      <c r="D26" s="677"/>
      <c r="E26" s="677"/>
      <c r="F26" s="677"/>
      <c r="G26" s="678"/>
      <c r="H26" s="592">
        <f t="shared" si="1"/>
        <v>7089</v>
      </c>
      <c r="I26" s="476">
        <f t="shared" si="4"/>
        <v>0</v>
      </c>
      <c r="J26" s="461">
        <v>0.29166666666666702</v>
      </c>
      <c r="L26" s="99">
        <f t="shared" si="0"/>
        <v>44855</v>
      </c>
      <c r="M26" s="3">
        <f t="shared" si="2"/>
        <v>0</v>
      </c>
      <c r="N26" s="476"/>
      <c r="O26" s="476">
        <f t="shared" si="3"/>
        <v>0</v>
      </c>
    </row>
    <row r="27" spans="1:15">
      <c r="A27" s="594">
        <f>ELEC!C25</f>
        <v>44856</v>
      </c>
      <c r="B27" s="676"/>
      <c r="C27" s="677"/>
      <c r="D27" s="677"/>
      <c r="E27" s="677"/>
      <c r="F27" s="677"/>
      <c r="G27" s="678"/>
      <c r="H27" s="592">
        <f t="shared" si="1"/>
        <v>7089</v>
      </c>
      <c r="I27" s="476">
        <f t="shared" si="4"/>
        <v>0</v>
      </c>
      <c r="J27" s="461">
        <v>0.29166666666666702</v>
      </c>
      <c r="L27" s="99">
        <f t="shared" si="0"/>
        <v>44856</v>
      </c>
      <c r="M27" s="3">
        <f t="shared" si="2"/>
        <v>0</v>
      </c>
      <c r="N27" s="476"/>
      <c r="O27" s="476">
        <f t="shared" si="3"/>
        <v>0</v>
      </c>
    </row>
    <row r="28" spans="1:15">
      <c r="A28" s="594">
        <f>ELEC!C26</f>
        <v>44857</v>
      </c>
      <c r="B28" s="676"/>
      <c r="C28" s="677"/>
      <c r="D28" s="677"/>
      <c r="E28" s="677"/>
      <c r="F28" s="677"/>
      <c r="G28" s="678"/>
      <c r="H28" s="592">
        <f t="shared" si="1"/>
        <v>7089</v>
      </c>
      <c r="I28" s="476">
        <f t="shared" si="4"/>
        <v>0</v>
      </c>
      <c r="J28" s="462">
        <v>0.29166666666666702</v>
      </c>
      <c r="L28" s="99">
        <f t="shared" si="0"/>
        <v>44857</v>
      </c>
      <c r="M28" s="3">
        <f t="shared" si="2"/>
        <v>0</v>
      </c>
      <c r="N28" s="476"/>
      <c r="O28" s="476">
        <f t="shared" si="3"/>
        <v>0</v>
      </c>
    </row>
    <row r="29" spans="1:15">
      <c r="A29" s="594">
        <f>ELEC!C27</f>
        <v>44858</v>
      </c>
      <c r="B29" s="676"/>
      <c r="C29" s="677"/>
      <c r="D29" s="677"/>
      <c r="E29" s="677"/>
      <c r="F29" s="677"/>
      <c r="G29" s="678"/>
      <c r="H29" s="592">
        <f t="shared" si="1"/>
        <v>7089</v>
      </c>
      <c r="I29" s="476">
        <f t="shared" si="4"/>
        <v>0</v>
      </c>
      <c r="J29" s="461">
        <v>0.29166666666666702</v>
      </c>
      <c r="L29" s="99">
        <f t="shared" si="0"/>
        <v>44858</v>
      </c>
      <c r="M29" s="3">
        <f t="shared" si="2"/>
        <v>0</v>
      </c>
      <c r="N29" s="476"/>
      <c r="O29" s="476">
        <f t="shared" si="3"/>
        <v>0</v>
      </c>
    </row>
    <row r="30" spans="1:15">
      <c r="A30" s="594">
        <f>ELEC!C28</f>
        <v>44859</v>
      </c>
      <c r="B30" s="676"/>
      <c r="C30" s="677"/>
      <c r="D30" s="677"/>
      <c r="E30" s="677"/>
      <c r="F30" s="677"/>
      <c r="G30" s="678"/>
      <c r="H30" s="592">
        <f t="shared" si="1"/>
        <v>7089</v>
      </c>
      <c r="I30" s="476">
        <f t="shared" si="4"/>
        <v>0</v>
      </c>
      <c r="J30" s="461">
        <v>0.29166666666666702</v>
      </c>
      <c r="L30" s="99">
        <f t="shared" si="0"/>
        <v>44859</v>
      </c>
      <c r="M30" s="3">
        <f t="shared" si="2"/>
        <v>0</v>
      </c>
      <c r="N30" s="476"/>
      <c r="O30" s="476">
        <f t="shared" si="3"/>
        <v>0</v>
      </c>
    </row>
    <row r="31" spans="1:15">
      <c r="A31" s="594">
        <f>ELEC!C29</f>
        <v>44860</v>
      </c>
      <c r="B31" s="676"/>
      <c r="C31" s="677"/>
      <c r="D31" s="677"/>
      <c r="E31" s="677"/>
      <c r="F31" s="677"/>
      <c r="G31" s="678"/>
      <c r="H31" s="592">
        <f t="shared" si="1"/>
        <v>7089</v>
      </c>
      <c r="I31" s="476">
        <f t="shared" si="4"/>
        <v>0</v>
      </c>
      <c r="J31" s="461">
        <v>0.29166666666666702</v>
      </c>
      <c r="L31" s="99">
        <f t="shared" si="0"/>
        <v>44860</v>
      </c>
      <c r="M31" s="3">
        <f t="shared" si="2"/>
        <v>0</v>
      </c>
      <c r="N31" s="476"/>
      <c r="O31" s="476">
        <f t="shared" si="3"/>
        <v>0</v>
      </c>
    </row>
    <row r="32" spans="1:15">
      <c r="A32" s="594">
        <f>ELEC!C30</f>
        <v>44861</v>
      </c>
      <c r="B32" s="676"/>
      <c r="C32" s="677"/>
      <c r="D32" s="677"/>
      <c r="E32" s="677"/>
      <c r="F32" s="677"/>
      <c r="G32" s="678"/>
      <c r="H32" s="592">
        <f t="shared" si="1"/>
        <v>7089</v>
      </c>
      <c r="I32" s="476">
        <f t="shared" si="4"/>
        <v>0</v>
      </c>
      <c r="J32" s="461">
        <v>0.29166666666666702</v>
      </c>
      <c r="L32" s="99">
        <f t="shared" si="0"/>
        <v>44861</v>
      </c>
      <c r="M32" s="3">
        <f t="shared" si="2"/>
        <v>0</v>
      </c>
      <c r="N32" s="476"/>
      <c r="O32" s="476">
        <v>6879</v>
      </c>
    </row>
    <row r="33" spans="1:15">
      <c r="A33" s="594">
        <f>ELEC!C31</f>
        <v>44862</v>
      </c>
      <c r="B33" s="676"/>
      <c r="C33" s="677"/>
      <c r="D33" s="677"/>
      <c r="E33" s="677"/>
      <c r="F33" s="677"/>
      <c r="G33" s="678"/>
      <c r="H33" s="592">
        <f t="shared" si="1"/>
        <v>7089</v>
      </c>
      <c r="I33" s="476">
        <f t="shared" si="4"/>
        <v>0</v>
      </c>
      <c r="J33" s="461">
        <v>0.29166666666666702</v>
      </c>
      <c r="L33" s="99">
        <f t="shared" si="0"/>
        <v>44862</v>
      </c>
      <c r="M33" s="3">
        <f t="shared" si="2"/>
        <v>0</v>
      </c>
      <c r="N33" s="476"/>
      <c r="O33" s="476">
        <f t="shared" si="3"/>
        <v>0</v>
      </c>
    </row>
    <row r="34" spans="1:15">
      <c r="A34" s="594">
        <f>ELEC!C32</f>
        <v>44863</v>
      </c>
      <c r="B34" s="676"/>
      <c r="C34" s="677"/>
      <c r="D34" s="677"/>
      <c r="E34" s="677"/>
      <c r="F34" s="677"/>
      <c r="G34" s="678"/>
      <c r="H34" s="592">
        <f t="shared" si="1"/>
        <v>7089</v>
      </c>
      <c r="I34" s="476">
        <f t="shared" ref="I34:I36" si="5">H34-H33</f>
        <v>0</v>
      </c>
      <c r="J34" s="461">
        <v>0.33333333333333398</v>
      </c>
      <c r="L34" s="99">
        <f t="shared" ref="L34:L36" si="6">A34</f>
        <v>44863</v>
      </c>
      <c r="M34" s="3">
        <f t="shared" si="2"/>
        <v>0</v>
      </c>
      <c r="N34" s="476"/>
      <c r="O34" s="476">
        <f t="shared" ref="O34:O36" si="7">M34+N34</f>
        <v>0</v>
      </c>
    </row>
    <row r="35" spans="1:15">
      <c r="A35" s="594">
        <f>ELEC!C33</f>
        <v>44864</v>
      </c>
      <c r="B35" s="676"/>
      <c r="C35" s="677"/>
      <c r="D35" s="677"/>
      <c r="E35" s="677"/>
      <c r="F35" s="677"/>
      <c r="G35" s="678"/>
      <c r="H35" s="592">
        <f t="shared" si="1"/>
        <v>7089</v>
      </c>
      <c r="I35" s="476">
        <f t="shared" si="5"/>
        <v>0</v>
      </c>
      <c r="J35" s="461">
        <v>0.375</v>
      </c>
      <c r="L35" s="99">
        <f t="shared" si="6"/>
        <v>44864</v>
      </c>
      <c r="M35" s="3">
        <f t="shared" si="2"/>
        <v>0</v>
      </c>
      <c r="N35" s="476"/>
      <c r="O35" s="476">
        <f t="shared" si="7"/>
        <v>0</v>
      </c>
    </row>
    <row r="36" spans="1:15" ht="15.75" thickBot="1">
      <c r="A36" s="595">
        <f>ELEC!C34</f>
        <v>44865</v>
      </c>
      <c r="B36" s="679"/>
      <c r="C36" s="680"/>
      <c r="D36" s="680"/>
      <c r="E36" s="680"/>
      <c r="F36" s="680"/>
      <c r="G36" s="681"/>
      <c r="H36" s="592">
        <f t="shared" si="1"/>
        <v>7089</v>
      </c>
      <c r="I36" s="596">
        <f t="shared" si="5"/>
        <v>0</v>
      </c>
      <c r="J36" s="597">
        <v>0.41666666666666702</v>
      </c>
      <c r="L36" s="99">
        <f t="shared" si="6"/>
        <v>44865</v>
      </c>
      <c r="M36" s="3">
        <f t="shared" si="2"/>
        <v>0</v>
      </c>
      <c r="N36" s="476"/>
      <c r="O36" s="476">
        <f t="shared" si="7"/>
        <v>0</v>
      </c>
    </row>
  </sheetData>
  <mergeCells count="7">
    <mergeCell ref="B5:G36"/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96"/>
  <sheetViews>
    <sheetView topLeftCell="A56" zoomScale="80" zoomScaleNormal="80" workbookViewId="0">
      <selection activeCell="F48" sqref="F48:G7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9" t="s">
        <v>161</v>
      </c>
      <c r="B1" s="709"/>
      <c r="C1" s="709"/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709"/>
      <c r="Q1" s="709"/>
      <c r="R1" s="709"/>
      <c r="S1" s="709"/>
      <c r="T1" s="709"/>
      <c r="U1" s="709"/>
      <c r="V1" s="709"/>
      <c r="W1" s="709"/>
      <c r="X1" s="709"/>
    </row>
    <row r="2" spans="1:28" ht="19.5">
      <c r="A2" s="710"/>
      <c r="B2" s="710"/>
      <c r="C2" s="710"/>
      <c r="D2" s="710"/>
      <c r="E2" s="710"/>
      <c r="F2" s="710"/>
      <c r="G2" s="710"/>
      <c r="H2" s="710"/>
      <c r="I2" s="710"/>
      <c r="J2" s="710"/>
      <c r="K2" s="710"/>
      <c r="L2" s="710"/>
      <c r="M2" s="710"/>
      <c r="N2" s="710"/>
      <c r="O2" s="710"/>
      <c r="P2" s="710"/>
      <c r="Q2" s="710"/>
      <c r="R2" s="710"/>
      <c r="S2" s="710"/>
      <c r="T2" s="710"/>
      <c r="U2" s="710"/>
      <c r="V2" s="710"/>
      <c r="W2" s="710"/>
      <c r="X2" s="710"/>
    </row>
    <row r="3" spans="1:28" ht="19.5">
      <c r="A3" s="710" t="s">
        <v>162</v>
      </c>
      <c r="B3" s="710"/>
      <c r="C3" s="710"/>
      <c r="D3" s="710"/>
      <c r="E3" s="710"/>
      <c r="F3" s="710"/>
      <c r="G3" s="710"/>
      <c r="H3" s="710"/>
      <c r="I3" s="710"/>
      <c r="J3" s="710"/>
      <c r="K3" s="710"/>
      <c r="L3" s="710"/>
      <c r="M3" s="710"/>
      <c r="N3" s="710"/>
      <c r="O3" s="710"/>
      <c r="P3" s="710"/>
      <c r="Q3" s="710"/>
      <c r="R3" s="710"/>
      <c r="S3" s="710"/>
      <c r="T3" s="710"/>
      <c r="U3" s="710"/>
      <c r="V3" s="710"/>
      <c r="W3" s="710"/>
      <c r="X3" s="71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10" t="s">
        <v>404</v>
      </c>
      <c r="B5" s="710"/>
      <c r="C5" s="710"/>
      <c r="D5" s="710"/>
      <c r="E5" s="710"/>
      <c r="F5" s="710"/>
      <c r="G5" s="710"/>
      <c r="H5" s="710"/>
      <c r="I5" s="710"/>
      <c r="J5" s="710"/>
      <c r="K5" s="710"/>
      <c r="L5" s="710"/>
      <c r="M5" s="710"/>
      <c r="N5" s="710"/>
      <c r="O5" s="710"/>
      <c r="P5" s="710"/>
      <c r="Q5" s="710"/>
      <c r="R5" s="710"/>
      <c r="S5" s="710"/>
      <c r="T5" s="710"/>
      <c r="U5" s="710"/>
      <c r="V5" s="710"/>
      <c r="W5" s="710"/>
      <c r="X5" s="710"/>
    </row>
    <row r="6" spans="1:28" ht="15.75" thickBot="1">
      <c r="A6" s="711"/>
      <c r="B6" s="711"/>
      <c r="C6" s="711"/>
      <c r="D6" s="711"/>
      <c r="E6" s="711"/>
      <c r="F6" s="711"/>
      <c r="G6" s="711"/>
      <c r="H6" s="711"/>
      <c r="I6" s="711"/>
      <c r="J6" s="711"/>
      <c r="K6" s="711"/>
      <c r="L6" s="711"/>
      <c r="M6" s="711"/>
      <c r="N6" s="711"/>
      <c r="O6" s="711"/>
      <c r="P6" s="711"/>
      <c r="Q6" s="711"/>
      <c r="R6" s="711"/>
      <c r="S6" s="711"/>
      <c r="T6" s="711"/>
      <c r="U6" s="711"/>
      <c r="V6" s="711"/>
      <c r="W6" s="711"/>
      <c r="X6" s="711"/>
    </row>
    <row r="7" spans="1:28" ht="15.75" thickBot="1">
      <c r="A7" s="699" t="s">
        <v>163</v>
      </c>
      <c r="B7" s="700"/>
      <c r="C7" s="701" t="s">
        <v>164</v>
      </c>
      <c r="D7" s="702"/>
      <c r="E7" s="702"/>
      <c r="F7" s="702"/>
      <c r="G7" s="702"/>
      <c r="H7" s="702"/>
      <c r="I7" s="702"/>
      <c r="J7" s="702"/>
      <c r="K7" s="70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'[8]Degree Days 2022'!B10</f>
        <v>0</v>
      </c>
      <c r="C10" s="261">
        <f>'General information '!C5</f>
        <v>24</v>
      </c>
      <c r="D10" s="261">
        <f>'[9]Degree Days 2020'!D10</f>
        <v>-0.80000000000000071</v>
      </c>
      <c r="E10" s="495">
        <v>1</v>
      </c>
      <c r="F10" s="261">
        <f>'[10]Degree Days 2022'!F10</f>
        <v>17</v>
      </c>
      <c r="G10" s="261">
        <f>'[10]Degree Days 2022'!G10</f>
        <v>12</v>
      </c>
      <c r="H10" s="261">
        <f>'[9]Degree Days 2020'!H10</f>
        <v>0.19999999999999929</v>
      </c>
      <c r="I10" s="495">
        <f>'[9]Degree Days 2020'!I10</f>
        <v>1</v>
      </c>
      <c r="J10" s="261">
        <f>'[11]Degree Days 2022'!J10</f>
        <v>17</v>
      </c>
      <c r="K10" s="261">
        <f>'[11]Degree Days 2022'!K10</f>
        <v>14</v>
      </c>
      <c r="L10" s="261">
        <f>'[9]Degree Days 2020'!L10</f>
        <v>-2.3000000000000007</v>
      </c>
      <c r="M10" s="495">
        <f>'[12]Degree Days 2020'!M10</f>
        <v>1</v>
      </c>
      <c r="N10" s="261">
        <f>'[13]Degree Days 2022'!N10</f>
        <v>0</v>
      </c>
      <c r="O10" s="261">
        <f>'[13]Degree Days 2022'!O10</f>
        <v>0</v>
      </c>
      <c r="P10" s="261">
        <f>(N10+O10)/2-18.3</f>
        <v>-18.3</v>
      </c>
      <c r="Q10" s="495">
        <v>1</v>
      </c>
      <c r="R10" s="261">
        <f>'[14]Degree Days 2022'!R10</f>
        <v>0</v>
      </c>
      <c r="S10" s="261">
        <f>'[14]Degree Days 2022'!S10</f>
        <v>0</v>
      </c>
      <c r="T10" s="261">
        <f>(R10+S10)/2-18.3</f>
        <v>-18.3</v>
      </c>
      <c r="U10" s="495">
        <v>1</v>
      </c>
      <c r="V10" s="261">
        <f>'[7]Degree Days 2022'!V10</f>
        <v>25</v>
      </c>
      <c r="W10" s="261">
        <f>'[7]Degree Days 2022'!W10</f>
        <v>21</v>
      </c>
      <c r="X10" s="261">
        <f>(V10+W10)/2-18.3</f>
        <v>4.6999999999999993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'[8]Degree Days 2022'!B11</f>
        <v>0</v>
      </c>
      <c r="C11" s="261">
        <f>'General information '!C6</f>
        <v>0</v>
      </c>
      <c r="D11" s="261">
        <f>'[9]Degree Days 2020'!D11</f>
        <v>-0.30000000000000071</v>
      </c>
      <c r="E11" s="495">
        <v>2</v>
      </c>
      <c r="F11" s="261">
        <f>'[10]Degree Days 2022'!F11</f>
        <v>19</v>
      </c>
      <c r="G11" s="261">
        <f>'[10]Degree Days 2022'!G11</f>
        <v>11</v>
      </c>
      <c r="H11" s="261">
        <f>'[9]Degree Days 2020'!H11</f>
        <v>1.6999999999999993</v>
      </c>
      <c r="I11" s="495">
        <f>'[9]Degree Days 2020'!I11</f>
        <v>2</v>
      </c>
      <c r="J11" s="261">
        <f>'[11]Degree Days 2022'!J11</f>
        <v>24</v>
      </c>
      <c r="K11" s="261">
        <f>'[11]Degree Days 2022'!K11</f>
        <v>15</v>
      </c>
      <c r="L11" s="261">
        <f>'[9]Degree Days 2020'!L11</f>
        <v>-2.8000000000000007</v>
      </c>
      <c r="M11" s="495">
        <f>'[12]Degree Days 2020'!M11</f>
        <v>2</v>
      </c>
      <c r="N11" s="261">
        <f>'[13]Degree Days 2022'!N11</f>
        <v>0</v>
      </c>
      <c r="O11" s="261">
        <f>'[13]Degree Days 2022'!O11</f>
        <v>0</v>
      </c>
      <c r="P11" s="261">
        <f t="shared" ref="P11:P39" si="0">(N11+O11)/2-18.3</f>
        <v>-18.3</v>
      </c>
      <c r="Q11" s="495">
        <v>2</v>
      </c>
      <c r="R11" s="261">
        <f>'[14]Degree Days 2022'!R11</f>
        <v>0</v>
      </c>
      <c r="S11" s="261">
        <f>'[14]Degree Days 2022'!S11</f>
        <v>0</v>
      </c>
      <c r="T11" s="261">
        <f t="shared" ref="T11:T40" si="1">(R11+S11)/2-18.3</f>
        <v>-18.3</v>
      </c>
      <c r="U11" s="495">
        <v>2</v>
      </c>
      <c r="V11" s="261">
        <f>'[7]Degree Days 2022'!V11</f>
        <v>25</v>
      </c>
      <c r="W11" s="261">
        <f>'[7]Degree Days 2022'!W11</f>
        <v>22</v>
      </c>
      <c r="X11" s="261">
        <f t="shared" ref="X11:X39" si="2">(V11+W11)/2-18.3</f>
        <v>5.1999999999999993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'[8]Degree Days 2022'!B12</f>
        <v>0</v>
      </c>
      <c r="C12" s="261">
        <f>'General information '!C7</f>
        <v>0</v>
      </c>
      <c r="D12" s="261">
        <f>'[9]Degree Days 2020'!D12</f>
        <v>0.19999999999999929</v>
      </c>
      <c r="E12" s="495">
        <v>3</v>
      </c>
      <c r="F12" s="261">
        <f>'[10]Degree Days 2022'!F12</f>
        <v>19</v>
      </c>
      <c r="G12" s="261">
        <f>'[10]Degree Days 2022'!G12</f>
        <v>11</v>
      </c>
      <c r="H12" s="261">
        <f>'[9]Degree Days 2020'!H12</f>
        <v>-0.80000000000000071</v>
      </c>
      <c r="I12" s="495">
        <f>'[9]Degree Days 2020'!I12</f>
        <v>3</v>
      </c>
      <c r="J12" s="261">
        <f>'[11]Degree Days 2022'!J12</f>
        <v>20</v>
      </c>
      <c r="K12" s="261">
        <f>'[11]Degree Days 2022'!K12</f>
        <v>13</v>
      </c>
      <c r="L12" s="261">
        <f>'[9]Degree Days 2020'!L12</f>
        <v>-2.8000000000000007</v>
      </c>
      <c r="M12" s="495">
        <f>'[12]Degree Days 2020'!M12</f>
        <v>3</v>
      </c>
      <c r="N12" s="261">
        <f>'[13]Degree Days 2022'!N12</f>
        <v>24</v>
      </c>
      <c r="O12" s="261">
        <f>'[13]Degree Days 2022'!O12</f>
        <v>17</v>
      </c>
      <c r="P12" s="261">
        <f t="shared" si="0"/>
        <v>2.1999999999999993</v>
      </c>
      <c r="Q12" s="495">
        <v>3</v>
      </c>
      <c r="R12" s="261">
        <f>'[14]Degree Days 2022'!R12</f>
        <v>0</v>
      </c>
      <c r="S12" s="261">
        <f>'[14]Degree Days 2022'!S12</f>
        <v>0</v>
      </c>
      <c r="T12" s="261">
        <f t="shared" si="1"/>
        <v>-18.3</v>
      </c>
      <c r="U12" s="495">
        <v>3</v>
      </c>
      <c r="V12" s="261">
        <f>'[7]Degree Days 2022'!V12</f>
        <v>0</v>
      </c>
      <c r="W12" s="261">
        <f>'[7]Degree Days 2022'!W12</f>
        <v>0</v>
      </c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'[8]Degree Days 2022'!B13</f>
        <v>18</v>
      </c>
      <c r="C13" s="261">
        <f>'General information '!C8</f>
        <v>25</v>
      </c>
      <c r="D13" s="261">
        <f>'[9]Degree Days 2020'!D13</f>
        <v>0.19999999999999929</v>
      </c>
      <c r="E13" s="495">
        <f>'[9]Degree Days 2020'!E13</f>
        <v>4</v>
      </c>
      <c r="F13" s="261">
        <f>'[10]Degree Days 2022'!F13</f>
        <v>0</v>
      </c>
      <c r="G13" s="261">
        <f>'[10]Degree Days 2022'!G13</f>
        <v>0</v>
      </c>
      <c r="H13" s="261">
        <f>'[9]Degree Days 2020'!H13</f>
        <v>-0.80000000000000071</v>
      </c>
      <c r="I13" s="495">
        <f>'[9]Degree Days 2020'!I13</f>
        <v>4</v>
      </c>
      <c r="J13" s="261">
        <f>'[11]Degree Days 2022'!J13</f>
        <v>0</v>
      </c>
      <c r="K13" s="261">
        <f>'[11]Degree Days 2022'!K13</f>
        <v>0</v>
      </c>
      <c r="L13" s="261">
        <f>'[9]Degree Days 2020'!L13</f>
        <v>-2.8000000000000007</v>
      </c>
      <c r="M13" s="495">
        <f>'[12]Degree Days 2020'!M13</f>
        <v>4</v>
      </c>
      <c r="N13" s="261">
        <f>'[13]Degree Days 2022'!N13</f>
        <v>24</v>
      </c>
      <c r="O13" s="261">
        <f>'[13]Degree Days 2022'!O13</f>
        <v>16</v>
      </c>
      <c r="P13" s="261">
        <f t="shared" si="0"/>
        <v>1.6999999999999993</v>
      </c>
      <c r="Q13" s="495">
        <v>4</v>
      </c>
      <c r="R13" s="261">
        <f>'[14]Degree Days 2022'!R13</f>
        <v>23</v>
      </c>
      <c r="S13" s="261">
        <f>'[14]Degree Days 2022'!S13</f>
        <v>19</v>
      </c>
      <c r="T13" s="261">
        <f t="shared" si="1"/>
        <v>2.6999999999999993</v>
      </c>
      <c r="U13" s="495">
        <v>4</v>
      </c>
      <c r="V13" s="261">
        <f>'[7]Degree Days 2022'!V13</f>
        <v>0</v>
      </c>
      <c r="W13" s="261">
        <f>'[7]Degree Days 2022'!W13</f>
        <v>0</v>
      </c>
      <c r="X13" s="261">
        <f t="shared" si="2"/>
        <v>-18.3</v>
      </c>
      <c r="Z13" t="s">
        <v>171</v>
      </c>
      <c r="AA13" s="261">
        <f>N43</f>
        <v>-220.20000000000007</v>
      </c>
      <c r="AB13" s="261">
        <f>O43</f>
        <v>34.299999999999997</v>
      </c>
    </row>
    <row r="14" spans="1:28">
      <c r="A14" s="117">
        <v>5</v>
      </c>
      <c r="B14" s="261">
        <f>'[8]Degree Days 2022'!B14</f>
        <v>19</v>
      </c>
      <c r="C14" s="261">
        <f>'General information '!C9</f>
        <v>25</v>
      </c>
      <c r="D14" s="261">
        <f>'[9]Degree Days 2020'!D14</f>
        <v>0.69999999999999929</v>
      </c>
      <c r="E14" s="495">
        <f>'[9]Degree Days 2020'!E14</f>
        <v>5</v>
      </c>
      <c r="F14" s="261">
        <f>'[10]Degree Days 2022'!F14</f>
        <v>0</v>
      </c>
      <c r="G14" s="261">
        <f>'[10]Degree Days 2022'!G14</f>
        <v>0</v>
      </c>
      <c r="H14" s="261">
        <f>'[9]Degree Days 2020'!H14</f>
        <v>-0.80000000000000071</v>
      </c>
      <c r="I14" s="495">
        <f>'[9]Degree Days 2020'!I14</f>
        <v>5</v>
      </c>
      <c r="J14" s="261">
        <f>'[11]Degree Days 2022'!J14</f>
        <v>0</v>
      </c>
      <c r="K14" s="261">
        <f>'[11]Degree Days 2022'!K14</f>
        <v>0</v>
      </c>
      <c r="L14" s="261">
        <f>'[9]Degree Days 2020'!L14</f>
        <v>-2.8000000000000007</v>
      </c>
      <c r="M14" s="495">
        <f>'[12]Degree Days 2020'!M14</f>
        <v>5</v>
      </c>
      <c r="N14" s="261">
        <f>'[13]Degree Days 2022'!N14</f>
        <v>30</v>
      </c>
      <c r="O14" s="261">
        <f>'[13]Degree Days 2022'!O14</f>
        <v>16</v>
      </c>
      <c r="P14" s="261">
        <f t="shared" si="0"/>
        <v>4.6999999999999993</v>
      </c>
      <c r="Q14" s="495">
        <v>5</v>
      </c>
      <c r="R14" s="261">
        <f>'[14]Degree Days 2022'!R14</f>
        <v>22</v>
      </c>
      <c r="S14" s="261">
        <f>'[14]Degree Days 2022'!S14</f>
        <v>18</v>
      </c>
      <c r="T14" s="261">
        <f t="shared" si="1"/>
        <v>1.6999999999999993</v>
      </c>
      <c r="U14" s="495">
        <v>5</v>
      </c>
      <c r="V14" s="261">
        <f>'[7]Degree Days 2022'!V14</f>
        <v>27</v>
      </c>
      <c r="W14" s="261">
        <f>'[7]Degree Days 2022'!W14</f>
        <v>21</v>
      </c>
      <c r="X14" s="261">
        <f t="shared" si="2"/>
        <v>5.6999999999999993</v>
      </c>
      <c r="Z14" t="s">
        <v>172</v>
      </c>
      <c r="AA14" s="261">
        <f>R43</f>
        <v>-201.30000000000004</v>
      </c>
      <c r="AB14" s="261">
        <f>S43</f>
        <v>43.399999999999991</v>
      </c>
    </row>
    <row r="15" spans="1:28">
      <c r="A15" s="117">
        <v>6</v>
      </c>
      <c r="B15" s="261">
        <f>'[8]Degree Days 2022'!B15</f>
        <v>21</v>
      </c>
      <c r="C15" s="261">
        <f>'General information '!C10</f>
        <v>22</v>
      </c>
      <c r="D15" s="261">
        <f>'[9]Degree Days 2020'!D15</f>
        <v>0.19999999999999929</v>
      </c>
      <c r="E15" s="495">
        <f>'[9]Degree Days 2020'!E15</f>
        <v>6</v>
      </c>
      <c r="F15" s="261">
        <f>'[10]Degree Days 2022'!F15</f>
        <v>17</v>
      </c>
      <c r="G15" s="261">
        <f>'[10]Degree Days 2022'!G15</f>
        <v>12</v>
      </c>
      <c r="H15" s="261">
        <f>'[9]Degree Days 2020'!H15</f>
        <v>-1.3000000000000007</v>
      </c>
      <c r="I15" s="495">
        <f>'[9]Degree Days 2020'!I15</f>
        <v>6</v>
      </c>
      <c r="J15" s="261">
        <f>'[11]Degree Days 2022'!J15</f>
        <v>22</v>
      </c>
      <c r="K15" s="261">
        <f>'[11]Degree Days 2022'!K15</f>
        <v>13</v>
      </c>
      <c r="L15" s="261">
        <f>'[9]Degree Days 2020'!L15</f>
        <v>-2.3000000000000007</v>
      </c>
      <c r="M15" s="495">
        <f>'[12]Degree Days 2020'!M15</f>
        <v>6</v>
      </c>
      <c r="N15" s="261">
        <f>'[13]Degree Days 2022'!N15</f>
        <v>34</v>
      </c>
      <c r="O15" s="261">
        <f>'[13]Degree Days 2022'!O15</f>
        <v>18</v>
      </c>
      <c r="P15" s="261">
        <f t="shared" si="0"/>
        <v>7.6999999999999993</v>
      </c>
      <c r="Q15" s="495">
        <v>6</v>
      </c>
      <c r="R15" s="261">
        <f>'[14]Degree Days 2022'!R15</f>
        <v>0</v>
      </c>
      <c r="S15" s="261">
        <f>'[14]Degree Days 2022'!S15</f>
        <v>0</v>
      </c>
      <c r="T15" s="261">
        <f t="shared" si="1"/>
        <v>-18.3</v>
      </c>
      <c r="U15" s="495">
        <v>6</v>
      </c>
      <c r="V15" s="261">
        <f>'[7]Degree Days 2022'!V15</f>
        <v>26</v>
      </c>
      <c r="W15" s="261">
        <f>'[7]Degree Days 2022'!W15</f>
        <v>21</v>
      </c>
      <c r="X15" s="261">
        <f t="shared" si="2"/>
        <v>5.1999999999999993</v>
      </c>
      <c r="Z15" t="s">
        <v>173</v>
      </c>
      <c r="AA15" s="261"/>
      <c r="AB15" s="261"/>
    </row>
    <row r="16" spans="1:28">
      <c r="A16" s="117">
        <v>7</v>
      </c>
      <c r="B16" s="261">
        <f>'[8]Degree Days 2022'!B16</f>
        <v>0</v>
      </c>
      <c r="C16" s="261">
        <f>'General information '!C11</f>
        <v>23</v>
      </c>
      <c r="D16" s="261">
        <f>'[9]Degree Days 2020'!D16</f>
        <v>-1.3000000000000007</v>
      </c>
      <c r="E16" s="495">
        <f>'[9]Degree Days 2020'!E16</f>
        <v>7</v>
      </c>
      <c r="F16" s="261">
        <f>'[10]Degree Days 2022'!F16</f>
        <v>17</v>
      </c>
      <c r="G16" s="261">
        <f>'[10]Degree Days 2022'!G16</f>
        <v>13</v>
      </c>
      <c r="H16" s="261">
        <f>'[9]Degree Days 2020'!H16</f>
        <v>0.69999999999999929</v>
      </c>
      <c r="I16" s="495">
        <f>'[9]Degree Days 2020'!I16</f>
        <v>7</v>
      </c>
      <c r="J16" s="261">
        <f>'[11]Degree Days 2022'!J16</f>
        <v>17</v>
      </c>
      <c r="K16" s="261">
        <f>'[11]Degree Days 2022'!K16</f>
        <v>13</v>
      </c>
      <c r="L16" s="261">
        <f>'[9]Degree Days 2020'!L16</f>
        <v>-1.8000000000000007</v>
      </c>
      <c r="M16" s="495">
        <f>'[12]Degree Days 2020'!M16</f>
        <v>7</v>
      </c>
      <c r="N16" s="261">
        <f>'[13]Degree Days 2022'!N16</f>
        <v>21</v>
      </c>
      <c r="O16" s="261">
        <f>'[13]Degree Days 2022'!O16</f>
        <v>16</v>
      </c>
      <c r="P16" s="261">
        <f t="shared" si="0"/>
        <v>0.19999999999999929</v>
      </c>
      <c r="Q16" s="495">
        <v>7</v>
      </c>
      <c r="R16" s="261">
        <f>'[14]Degree Days 2022'!R16</f>
        <v>0</v>
      </c>
      <c r="S16" s="261">
        <f>'[14]Degree Days 2022'!S16</f>
        <v>0</v>
      </c>
      <c r="T16" s="261">
        <f t="shared" si="1"/>
        <v>-18.3</v>
      </c>
      <c r="U16" s="495">
        <v>7</v>
      </c>
      <c r="V16" s="261">
        <f>'[7]Degree Days 2022'!V16</f>
        <v>27</v>
      </c>
      <c r="W16" s="261">
        <f>'[7]Degree Days 2022'!W16</f>
        <v>22</v>
      </c>
      <c r="X16" s="261">
        <f t="shared" si="2"/>
        <v>6.1999999999999993</v>
      </c>
      <c r="Z16" t="s">
        <v>176</v>
      </c>
      <c r="AA16" s="261"/>
      <c r="AB16" s="261"/>
    </row>
    <row r="17" spans="1:28">
      <c r="A17" s="117">
        <v>8</v>
      </c>
      <c r="B17" s="261">
        <f>'[8]Degree Days 2022'!B17</f>
        <v>0</v>
      </c>
      <c r="C17" s="261">
        <f>'General information '!C12</f>
        <v>0</v>
      </c>
      <c r="D17" s="261">
        <f>'[9]Degree Days 2020'!D17</f>
        <v>-0.80000000000000071</v>
      </c>
      <c r="E17" s="495">
        <f>'[9]Degree Days 2020'!E17</f>
        <v>8</v>
      </c>
      <c r="F17" s="261">
        <f>'[10]Degree Days 2022'!F17</f>
        <v>0</v>
      </c>
      <c r="G17" s="261">
        <f>'[10]Degree Days 2022'!G17</f>
        <v>0</v>
      </c>
      <c r="H17" s="261">
        <f>'[9]Degree Days 2020'!H17</f>
        <v>2.6999999999999993</v>
      </c>
      <c r="I17" s="495">
        <f>'[9]Degree Days 2020'!I17</f>
        <v>8</v>
      </c>
      <c r="J17" s="261">
        <f>'[11]Degree Days 2022'!J17</f>
        <v>8</v>
      </c>
      <c r="K17" s="261">
        <f>'[11]Degree Days 2022'!K17</f>
        <v>13</v>
      </c>
      <c r="L17" s="261">
        <f>'[9]Degree Days 2020'!L17</f>
        <v>-0.30000000000000071</v>
      </c>
      <c r="M17" s="495">
        <f>'[12]Degree Days 2020'!M17</f>
        <v>8</v>
      </c>
      <c r="N17" s="261">
        <f>'[13]Degree Days 2022'!N17</f>
        <v>0</v>
      </c>
      <c r="O17" s="261">
        <f>'[13]Degree Days 2022'!O17</f>
        <v>0</v>
      </c>
      <c r="P17" s="261">
        <f t="shared" si="0"/>
        <v>-18.3</v>
      </c>
      <c r="Q17" s="495">
        <v>8</v>
      </c>
      <c r="R17" s="261">
        <f>'[14]Degree Days 2022'!R17</f>
        <v>22</v>
      </c>
      <c r="S17" s="261">
        <f>'[14]Degree Days 2022'!S17</f>
        <v>17</v>
      </c>
      <c r="T17" s="261">
        <f t="shared" si="1"/>
        <v>1.1999999999999993</v>
      </c>
      <c r="U17" s="495">
        <v>8</v>
      </c>
      <c r="V17" s="261">
        <f>'[7]Degree Days 2022'!V17</f>
        <v>27</v>
      </c>
      <c r="W17" s="261">
        <f>'[7]Degree Days 2022'!W17</f>
        <v>23</v>
      </c>
      <c r="X17" s="261">
        <f t="shared" si="2"/>
        <v>6.6999999999999993</v>
      </c>
      <c r="Z17" t="s">
        <v>177</v>
      </c>
      <c r="AA17" s="261"/>
      <c r="AB17" s="261"/>
    </row>
    <row r="18" spans="1:28">
      <c r="A18" s="117">
        <v>9</v>
      </c>
      <c r="B18" s="261">
        <f>'[8]Degree Days 2022'!B18</f>
        <v>23</v>
      </c>
      <c r="C18" s="261">
        <f>'General information '!C13</f>
        <v>0</v>
      </c>
      <c r="D18" s="261">
        <f>'[9]Degree Days 2020'!D18</f>
        <v>0.19999999999999929</v>
      </c>
      <c r="E18" s="495">
        <f>'[9]Degree Days 2020'!E18</f>
        <v>9</v>
      </c>
      <c r="F18" s="261">
        <f>'[10]Degree Days 2022'!F18</f>
        <v>21</v>
      </c>
      <c r="G18" s="261">
        <f>'[10]Degree Days 2022'!G18</f>
        <v>10</v>
      </c>
      <c r="H18" s="261">
        <f>'[9]Degree Days 2020'!H18</f>
        <v>1.1999999999999993</v>
      </c>
      <c r="I18" s="495">
        <f>'[9]Degree Days 2020'!I18</f>
        <v>9</v>
      </c>
      <c r="J18" s="261">
        <f>'[11]Degree Days 2022'!J18</f>
        <v>16</v>
      </c>
      <c r="K18" s="261">
        <f>'[11]Degree Days 2022'!K18</f>
        <v>14</v>
      </c>
      <c r="L18" s="261">
        <f>'[9]Degree Days 2020'!L18</f>
        <v>1.6999999999999993</v>
      </c>
      <c r="M18" s="495">
        <f>'[12]Degree Days 2020'!M18</f>
        <v>9</v>
      </c>
      <c r="N18" s="261">
        <f>'[13]Degree Days 2022'!N18</f>
        <v>0</v>
      </c>
      <c r="O18" s="261">
        <f>'[13]Degree Days 2022'!O18</f>
        <v>0</v>
      </c>
      <c r="P18" s="261">
        <f t="shared" si="0"/>
        <v>-18.3</v>
      </c>
      <c r="Q18" s="495">
        <v>9</v>
      </c>
      <c r="R18" s="261">
        <f>'[14]Degree Days 2022'!R18</f>
        <v>23</v>
      </c>
      <c r="S18" s="261">
        <f>'[14]Degree Days 2022'!S18</f>
        <v>18</v>
      </c>
      <c r="T18" s="261">
        <f t="shared" si="1"/>
        <v>2.1999999999999993</v>
      </c>
      <c r="U18" s="495">
        <v>9</v>
      </c>
      <c r="V18" s="261">
        <f>'[7]Degree Days 2022'!V18</f>
        <v>0</v>
      </c>
      <c r="W18" s="261">
        <f>'[7]Degree Days 2022'!W18</f>
        <v>0</v>
      </c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'[8]Degree Days 2022'!B19</f>
        <v>18</v>
      </c>
      <c r="C19" s="261">
        <f>'General information '!C14</f>
        <v>0</v>
      </c>
      <c r="D19" s="261">
        <f>'[9]Degree Days 2020'!D19</f>
        <v>0.19999999999999929</v>
      </c>
      <c r="E19" s="495">
        <f>'[9]Degree Days 2020'!E19</f>
        <v>10</v>
      </c>
      <c r="F19" s="261">
        <f>'[10]Degree Days 2022'!F19</f>
        <v>0</v>
      </c>
      <c r="G19" s="261">
        <f>'[10]Degree Days 2022'!G19</f>
        <v>0</v>
      </c>
      <c r="H19" s="261">
        <f>'[9]Degree Days 2020'!H19</f>
        <v>-1.8000000000000007</v>
      </c>
      <c r="I19" s="495">
        <f>'[9]Degree Days 2020'!I19</f>
        <v>10</v>
      </c>
      <c r="J19" s="261">
        <f>'[11]Degree Days 2022'!J19</f>
        <v>14</v>
      </c>
      <c r="K19" s="261">
        <f>'[11]Degree Days 2022'!K19</f>
        <v>11</v>
      </c>
      <c r="L19" s="261">
        <f>'[9]Degree Days 2020'!L19</f>
        <v>-2.3000000000000007</v>
      </c>
      <c r="M19" s="495">
        <f>'[12]Degree Days 2020'!M19</f>
        <v>10</v>
      </c>
      <c r="N19" s="261">
        <f>'[13]Degree Days 2022'!N19</f>
        <v>22</v>
      </c>
      <c r="O19" s="261">
        <f>'[13]Degree Days 2022'!O19</f>
        <v>15</v>
      </c>
      <c r="P19" s="261">
        <f t="shared" si="0"/>
        <v>0.19999999999999929</v>
      </c>
      <c r="Q19" s="495">
        <v>10</v>
      </c>
      <c r="R19" s="261">
        <f>'[14]Degree Days 2022'!R19</f>
        <v>23</v>
      </c>
      <c r="S19" s="261">
        <f>'[14]Degree Days 2022'!S19</f>
        <v>17</v>
      </c>
      <c r="T19" s="261">
        <f t="shared" si="1"/>
        <v>1.6999999999999993</v>
      </c>
      <c r="U19" s="495">
        <v>10</v>
      </c>
      <c r="V19" s="261">
        <f>'[7]Degree Days 2022'!V19</f>
        <v>0</v>
      </c>
      <c r="W19" s="261">
        <f>'[7]Degree Days 2022'!W19</f>
        <v>0</v>
      </c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'[8]Degree Days 2022'!B20</f>
        <v>19</v>
      </c>
      <c r="C20" s="261">
        <f>'General information '!C15</f>
        <v>22</v>
      </c>
      <c r="D20" s="261">
        <f>'[9]Degree Days 2020'!D20</f>
        <v>0.69999999999999929</v>
      </c>
      <c r="E20" s="495">
        <f>'[9]Degree Days 2020'!E20</f>
        <v>11</v>
      </c>
      <c r="F20" s="261">
        <f>'[10]Degree Days 2022'!F20</f>
        <v>0</v>
      </c>
      <c r="G20" s="261">
        <f>'[10]Degree Days 2022'!G20</f>
        <v>0</v>
      </c>
      <c r="H20" s="261">
        <f>'[9]Degree Days 2020'!H20</f>
        <v>-2.8000000000000007</v>
      </c>
      <c r="I20" s="495">
        <f>'[9]Degree Days 2020'!I20</f>
        <v>11</v>
      </c>
      <c r="J20" s="261">
        <f>'[11]Degree Days 2022'!J20</f>
        <v>14</v>
      </c>
      <c r="K20" s="261">
        <f>'[11]Degree Days 2022'!K20</f>
        <v>9</v>
      </c>
      <c r="L20" s="261">
        <f>'[9]Degree Days 2020'!L20</f>
        <v>-3.8000000000000007</v>
      </c>
      <c r="M20" s="495">
        <f>'[12]Degree Days 2020'!M20</f>
        <v>11</v>
      </c>
      <c r="N20" s="261">
        <f>'[13]Degree Days 2022'!N20</f>
        <v>21</v>
      </c>
      <c r="O20" s="261">
        <f>'[13]Degree Days 2022'!O20</f>
        <v>16</v>
      </c>
      <c r="P20" s="261">
        <f t="shared" si="0"/>
        <v>0.19999999999999929</v>
      </c>
      <c r="Q20" s="495">
        <v>11</v>
      </c>
      <c r="R20" s="261">
        <f>'[14]Degree Days 2022'!R20</f>
        <v>23</v>
      </c>
      <c r="S20" s="261">
        <f>'[14]Degree Days 2022'!S20</f>
        <v>17</v>
      </c>
      <c r="T20" s="261">
        <f t="shared" si="1"/>
        <v>1.6999999999999993</v>
      </c>
      <c r="U20" s="495">
        <v>11</v>
      </c>
      <c r="V20" s="261">
        <f>'[7]Degree Days 2022'!V20</f>
        <v>0</v>
      </c>
      <c r="W20" s="261">
        <f>'[7]Degree Days 2022'!W20</f>
        <v>0</v>
      </c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'[8]Degree Days 2022'!B21</f>
        <v>0</v>
      </c>
      <c r="C21" s="261">
        <f>'General information '!C16</f>
        <v>22</v>
      </c>
      <c r="D21" s="261">
        <f>'[9]Degree Days 2020'!D21</f>
        <v>0.19999999999999929</v>
      </c>
      <c r="E21" s="495">
        <f>'[9]Degree Days 2020'!E21</f>
        <v>12</v>
      </c>
      <c r="F21" s="261">
        <f>'[10]Degree Days 2022'!F21</f>
        <v>0</v>
      </c>
      <c r="G21" s="261">
        <f>'[10]Degree Days 2022'!G21</f>
        <v>0</v>
      </c>
      <c r="H21" s="261">
        <f>'[9]Degree Days 2020'!H21</f>
        <v>-2.8000000000000007</v>
      </c>
      <c r="I21" s="495">
        <f>'[9]Degree Days 2020'!I21</f>
        <v>12</v>
      </c>
      <c r="J21" s="261">
        <f>'[11]Degree Days 2022'!J21</f>
        <v>0</v>
      </c>
      <c r="K21" s="261">
        <f>'[11]Degree Days 2022'!K21</f>
        <v>0</v>
      </c>
      <c r="L21" s="261">
        <f>'[9]Degree Days 2020'!L21</f>
        <v>-2.8000000000000007</v>
      </c>
      <c r="M21" s="495">
        <f>'[12]Degree Days 2020'!M21</f>
        <v>12</v>
      </c>
      <c r="N21" s="261">
        <f>'[13]Degree Days 2022'!N21</f>
        <v>20</v>
      </c>
      <c r="O21" s="261">
        <f>'[13]Degree Days 2022'!O21</f>
        <v>16</v>
      </c>
      <c r="P21" s="261">
        <f t="shared" si="0"/>
        <v>-0.30000000000000071</v>
      </c>
      <c r="Q21" s="495">
        <v>12</v>
      </c>
      <c r="R21" s="261">
        <f>'[14]Degree Days 2022'!R21</f>
        <v>22</v>
      </c>
      <c r="S21" s="261">
        <f>'[14]Degree Days 2022'!S21</f>
        <v>17</v>
      </c>
      <c r="T21" s="261">
        <f t="shared" si="1"/>
        <v>1.1999999999999993</v>
      </c>
      <c r="U21" s="495">
        <v>12</v>
      </c>
      <c r="V21" s="261">
        <f>'[7]Degree Days 2022'!V21</f>
        <v>0</v>
      </c>
      <c r="W21" s="261">
        <f>'[7]Degree Days 2022'!W21</f>
        <v>0</v>
      </c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'[8]Degree Days 2022'!B22</f>
        <v>16</v>
      </c>
      <c r="C22" s="261">
        <f>'General information '!C17</f>
        <v>0</v>
      </c>
      <c r="D22" s="261">
        <f>'[9]Degree Days 2020'!D22</f>
        <v>-3.3000000000000007</v>
      </c>
      <c r="E22" s="495">
        <f>'[9]Degree Days 2020'!E22</f>
        <v>13</v>
      </c>
      <c r="F22" s="261">
        <f>'[10]Degree Days 2022'!F22</f>
        <v>17</v>
      </c>
      <c r="G22" s="261">
        <f>'[10]Degree Days 2022'!G22</f>
        <v>12</v>
      </c>
      <c r="H22" s="261">
        <f>'[9]Degree Days 2020'!H22</f>
        <v>-1.8000000000000007</v>
      </c>
      <c r="I22" s="495">
        <f>'[9]Degree Days 2020'!I22</f>
        <v>13</v>
      </c>
      <c r="J22" s="261">
        <f>'[11]Degree Days 2022'!J22</f>
        <v>13</v>
      </c>
      <c r="K22" s="261">
        <f>'[11]Degree Days 2022'!K22</f>
        <v>9</v>
      </c>
      <c r="L22" s="261">
        <f>'[9]Degree Days 2020'!L22</f>
        <v>-1.3000000000000007</v>
      </c>
      <c r="M22" s="495">
        <f>'[12]Degree Days 2020'!M22</f>
        <v>13</v>
      </c>
      <c r="N22" s="261">
        <f>'[13]Degree Days 2022'!N22</f>
        <v>20</v>
      </c>
      <c r="O22" s="261">
        <f>'[13]Degree Days 2022'!O22</f>
        <v>17</v>
      </c>
      <c r="P22" s="261">
        <f t="shared" si="0"/>
        <v>0.19999999999999929</v>
      </c>
      <c r="Q22" s="495">
        <v>13</v>
      </c>
      <c r="R22" s="261">
        <f>'[14]Degree Days 2022'!R22</f>
        <v>0</v>
      </c>
      <c r="S22" s="261">
        <f>'[14]Degree Days 2022'!S22</f>
        <v>0</v>
      </c>
      <c r="T22" s="261">
        <f t="shared" si="1"/>
        <v>-18.3</v>
      </c>
      <c r="U22" s="495">
        <v>13</v>
      </c>
      <c r="V22" s="261">
        <f>'[7]Degree Days 2022'!V22</f>
        <v>0</v>
      </c>
      <c r="W22" s="261">
        <f>'[7]Degree Days 2022'!W22</f>
        <v>0</v>
      </c>
      <c r="X22" s="261">
        <f t="shared" si="2"/>
        <v>-18.3</v>
      </c>
    </row>
    <row r="23" spans="1:28">
      <c r="A23" s="117">
        <v>14</v>
      </c>
      <c r="B23" s="261">
        <f>'[8]Degree Days 2022'!B23</f>
        <v>0</v>
      </c>
      <c r="C23" s="261">
        <f>'General information '!C18</f>
        <v>0</v>
      </c>
      <c r="D23" s="261">
        <f>'[9]Degree Days 2020'!D23</f>
        <v>-3.8000000000000007</v>
      </c>
      <c r="E23" s="495">
        <f>'[9]Degree Days 2020'!E23</f>
        <v>14</v>
      </c>
      <c r="F23" s="261">
        <f>'[10]Degree Days 2022'!F23</f>
        <v>18</v>
      </c>
      <c r="G23" s="261">
        <f>'[10]Degree Days 2022'!G23</f>
        <v>12</v>
      </c>
      <c r="H23" s="261">
        <f>'[9]Degree Days 2020'!H23</f>
        <v>-2.8000000000000007</v>
      </c>
      <c r="I23" s="495">
        <f>'[9]Degree Days 2020'!I23</f>
        <v>14</v>
      </c>
      <c r="J23" s="261">
        <f>'[11]Degree Days 2022'!J23</f>
        <v>12</v>
      </c>
      <c r="K23" s="261">
        <f>'[11]Degree Days 2022'!K23</f>
        <v>8</v>
      </c>
      <c r="L23" s="261">
        <f>'[9]Degree Days 2020'!L23</f>
        <v>-1.3000000000000007</v>
      </c>
      <c r="M23" s="495">
        <f>'[12]Degree Days 2020'!M23</f>
        <v>14</v>
      </c>
      <c r="N23" s="261">
        <f>'[13]Degree Days 2022'!N23</f>
        <v>0</v>
      </c>
      <c r="O23" s="261">
        <f>'[13]Degree Days 2022'!O23</f>
        <v>0</v>
      </c>
      <c r="P23" s="261">
        <f t="shared" si="0"/>
        <v>-18.3</v>
      </c>
      <c r="Q23" s="495">
        <v>14</v>
      </c>
      <c r="R23" s="261">
        <f>'[14]Degree Days 2022'!R23</f>
        <v>0</v>
      </c>
      <c r="S23" s="261">
        <f>'[14]Degree Days 2022'!S23</f>
        <v>0</v>
      </c>
      <c r="T23" s="261">
        <f t="shared" si="1"/>
        <v>-18.3</v>
      </c>
      <c r="U23" s="495">
        <v>14</v>
      </c>
      <c r="V23" s="261">
        <f>'[7]Degree Days 2022'!V23</f>
        <v>27</v>
      </c>
      <c r="W23" s="261">
        <f>'[7]Degree Days 2022'!W23</f>
        <v>23</v>
      </c>
      <c r="X23" s="261">
        <f t="shared" si="2"/>
        <v>6.6999999999999993</v>
      </c>
      <c r="AA23" s="134">
        <f>SUM(AA10:AA22)</f>
        <v>-646.90000000000009</v>
      </c>
      <c r="AB23" s="134">
        <f>SUM(AB10:AB22)</f>
        <v>98.499999999999972</v>
      </c>
    </row>
    <row r="24" spans="1:28">
      <c r="A24" s="117">
        <v>15</v>
      </c>
      <c r="B24" s="261">
        <f>'[8]Degree Days 2022'!B24</f>
        <v>0</v>
      </c>
      <c r="C24" s="261">
        <f>'General information '!C19</f>
        <v>0</v>
      </c>
      <c r="D24" s="261">
        <f>'[9]Degree Days 2020'!D24</f>
        <v>-2.3000000000000007</v>
      </c>
      <c r="E24" s="495">
        <f>'[9]Degree Days 2020'!E24</f>
        <v>15</v>
      </c>
      <c r="F24" s="261">
        <f>'[10]Degree Days 2022'!F24</f>
        <v>17</v>
      </c>
      <c r="G24" s="261">
        <f>'[10]Degree Days 2022'!G24</f>
        <v>14</v>
      </c>
      <c r="H24" s="261">
        <f>'[9]Degree Days 2020'!H24</f>
        <v>-3.3000000000000007</v>
      </c>
      <c r="I24" s="495">
        <f>'[9]Degree Days 2020'!I24</f>
        <v>15</v>
      </c>
      <c r="J24" s="261">
        <f>'[11]Degree Days 2022'!J24</f>
        <v>10</v>
      </c>
      <c r="K24" s="261">
        <f>'[11]Degree Days 2022'!K24</f>
        <v>5</v>
      </c>
      <c r="L24" s="261">
        <f>'[9]Degree Days 2020'!L24</f>
        <v>-1.3000000000000007</v>
      </c>
      <c r="M24" s="495">
        <f>'[12]Degree Days 2020'!M24</f>
        <v>15</v>
      </c>
      <c r="N24" s="261">
        <f>'[13]Degree Days 2022'!N24</f>
        <v>0</v>
      </c>
      <c r="O24" s="261">
        <f>'[13]Degree Days 2022'!O24</f>
        <v>0</v>
      </c>
      <c r="P24" s="261">
        <f t="shared" si="0"/>
        <v>-18.3</v>
      </c>
      <c r="Q24" s="495">
        <v>15</v>
      </c>
      <c r="R24" s="261">
        <f>'[14]Degree Days 2022'!R24</f>
        <v>22</v>
      </c>
      <c r="S24" s="261">
        <f>'[14]Degree Days 2022'!S24</f>
        <v>18</v>
      </c>
      <c r="T24" s="261">
        <f t="shared" si="1"/>
        <v>1.6999999999999993</v>
      </c>
      <c r="U24" s="495">
        <v>15</v>
      </c>
      <c r="V24" s="261">
        <f>'[7]Degree Days 2022'!V24</f>
        <v>28</v>
      </c>
      <c r="W24" s="261">
        <f>'[7]Degree Days 2022'!W24</f>
        <v>23</v>
      </c>
      <c r="X24" s="261">
        <f t="shared" si="2"/>
        <v>7.1999999999999993</v>
      </c>
    </row>
    <row r="25" spans="1:28">
      <c r="A25" s="117">
        <v>16</v>
      </c>
      <c r="B25" s="261">
        <f>'[8]Degree Days 2022'!B25</f>
        <v>14</v>
      </c>
      <c r="C25" s="261">
        <f>'General information '!C20</f>
        <v>0</v>
      </c>
      <c r="D25" s="261">
        <f>'[9]Degree Days 2020'!D25</f>
        <v>-6.3000000000000007</v>
      </c>
      <c r="E25" s="495">
        <f>'[9]Degree Days 2020'!E25</f>
        <v>16</v>
      </c>
      <c r="F25" s="261">
        <f>'[10]Degree Days 2022'!F25</f>
        <v>17</v>
      </c>
      <c r="G25" s="261">
        <f>'[10]Degree Days 2022'!G25</f>
        <v>13</v>
      </c>
      <c r="H25" s="261">
        <f>'[9]Degree Days 2020'!H25</f>
        <v>-9.3000000000000007</v>
      </c>
      <c r="I25" s="495">
        <f>'[9]Degree Days 2020'!I25</f>
        <v>16</v>
      </c>
      <c r="J25" s="261">
        <f>'[11]Degree Days 2022'!J25</f>
        <v>0</v>
      </c>
      <c r="K25" s="261">
        <f>'[11]Degree Days 2022'!K25</f>
        <v>0</v>
      </c>
      <c r="L25" s="261">
        <f>'[9]Degree Days 2020'!L25</f>
        <v>-1.8000000000000007</v>
      </c>
      <c r="M25" s="495">
        <f>'[12]Degree Days 2020'!M25</f>
        <v>16</v>
      </c>
      <c r="N25" s="261">
        <f>'[13]Degree Days 2022'!N25</f>
        <v>0</v>
      </c>
      <c r="O25" s="261">
        <f>'[13]Degree Days 2022'!O25</f>
        <v>0</v>
      </c>
      <c r="P25" s="261">
        <f t="shared" si="0"/>
        <v>-18.3</v>
      </c>
      <c r="Q25" s="495">
        <v>16</v>
      </c>
      <c r="R25" s="261">
        <f>'[14]Degree Days 2022'!R25</f>
        <v>22</v>
      </c>
      <c r="S25" s="261">
        <f>'[14]Degree Days 2022'!S25</f>
        <v>18</v>
      </c>
      <c r="T25" s="261">
        <f t="shared" si="1"/>
        <v>1.6999999999999993</v>
      </c>
      <c r="U25" s="495">
        <v>16</v>
      </c>
      <c r="V25" s="261">
        <f>'[7]Degree Days 2022'!V25</f>
        <v>30</v>
      </c>
      <c r="W25" s="261">
        <f>'[7]Degree Days 2022'!W25</f>
        <v>23</v>
      </c>
      <c r="X25" s="261">
        <f t="shared" si="2"/>
        <v>8.1999999999999993</v>
      </c>
    </row>
    <row r="26" spans="1:28">
      <c r="A26" s="117">
        <v>17</v>
      </c>
      <c r="B26" s="261">
        <f>'[8]Degree Days 2022'!B26</f>
        <v>12</v>
      </c>
      <c r="C26" s="261">
        <f>'General information '!C21</f>
        <v>21</v>
      </c>
      <c r="D26" s="261">
        <f>'[9]Degree Days 2020'!D26</f>
        <v>-4.8000000000000007</v>
      </c>
      <c r="E26" s="495">
        <f>'[9]Degree Days 2020'!E26</f>
        <v>17</v>
      </c>
      <c r="F26" s="261">
        <f>'[10]Degree Days 2022'!F26</f>
        <v>18</v>
      </c>
      <c r="G26" s="261">
        <f>'[10]Degree Days 2022'!G26</f>
        <v>12</v>
      </c>
      <c r="H26" s="261">
        <f>'[9]Degree Days 2020'!H26</f>
        <v>-8.3000000000000007</v>
      </c>
      <c r="I26" s="495">
        <f>'[9]Degree Days 2020'!I26</f>
        <v>17</v>
      </c>
      <c r="J26" s="261">
        <f>'[11]Degree Days 2022'!J26</f>
        <v>16</v>
      </c>
      <c r="K26" s="261">
        <f>'[11]Degree Days 2022'!K26</f>
        <v>9</v>
      </c>
      <c r="L26" s="261">
        <f>'[9]Degree Days 2020'!L26</f>
        <v>-0.80000000000000071</v>
      </c>
      <c r="M26" s="495">
        <f>'[12]Degree Days 2020'!M26</f>
        <v>17</v>
      </c>
      <c r="N26" s="261">
        <f>'[13]Degree Days 2022'!N26</f>
        <v>0</v>
      </c>
      <c r="O26" s="261">
        <f>'[13]Degree Days 2022'!O26</f>
        <v>0</v>
      </c>
      <c r="P26" s="261">
        <f t="shared" si="0"/>
        <v>-18.3</v>
      </c>
      <c r="Q26" s="495">
        <v>17</v>
      </c>
      <c r="R26" s="261">
        <f>'[14]Degree Days 2022'!R26</f>
        <v>23</v>
      </c>
      <c r="S26" s="261">
        <f>'[14]Degree Days 2022'!S26</f>
        <v>18</v>
      </c>
      <c r="T26" s="261">
        <f t="shared" si="1"/>
        <v>2.1999999999999993</v>
      </c>
      <c r="U26" s="495">
        <v>17</v>
      </c>
      <c r="V26" s="261">
        <f>'[7]Degree Days 2022'!V26</f>
        <v>0</v>
      </c>
      <c r="W26" s="261">
        <f>'[7]Degree Days 2022'!W26</f>
        <v>0</v>
      </c>
      <c r="X26" s="261">
        <f t="shared" si="2"/>
        <v>-18.3</v>
      </c>
    </row>
    <row r="27" spans="1:28">
      <c r="A27" s="117">
        <v>18</v>
      </c>
      <c r="B27" s="261">
        <f>'[8]Degree Days 2022'!B27</f>
        <v>15</v>
      </c>
      <c r="C27" s="261">
        <f>'General information '!C22</f>
        <v>21</v>
      </c>
      <c r="D27" s="261">
        <f>'[9]Degree Days 2020'!D27</f>
        <v>-7.3000000000000007</v>
      </c>
      <c r="E27" s="495">
        <f>'[9]Degree Days 2020'!E27</f>
        <v>18</v>
      </c>
      <c r="F27" s="261">
        <f>'[10]Degree Days 2022'!F27</f>
        <v>0</v>
      </c>
      <c r="G27" s="261">
        <f>'[10]Degree Days 2022'!G27</f>
        <v>0</v>
      </c>
      <c r="H27" s="261">
        <f>'[9]Degree Days 2020'!H27</f>
        <v>-8.3000000000000007</v>
      </c>
      <c r="I27" s="495">
        <f>'[9]Degree Days 2020'!I27</f>
        <v>18</v>
      </c>
      <c r="J27" s="261">
        <f>'[11]Degree Days 2022'!J27</f>
        <v>0</v>
      </c>
      <c r="K27" s="261">
        <f>'[11]Degree Days 2022'!K27</f>
        <v>0</v>
      </c>
      <c r="L27" s="261">
        <f>'[9]Degree Days 2020'!L27</f>
        <v>-0.80000000000000071</v>
      </c>
      <c r="M27" s="495">
        <f>'[12]Degree Days 2020'!M27</f>
        <v>18</v>
      </c>
      <c r="N27" s="261">
        <f>'[13]Degree Days 2022'!N27</f>
        <v>35</v>
      </c>
      <c r="O27" s="261">
        <f>'[13]Degree Days 2022'!O27</f>
        <v>19</v>
      </c>
      <c r="P27" s="261">
        <f t="shared" si="0"/>
        <v>8.6999999999999993</v>
      </c>
      <c r="Q27" s="495">
        <v>18</v>
      </c>
      <c r="R27" s="261">
        <f>'[14]Degree Days 2022'!R27</f>
        <v>23</v>
      </c>
      <c r="S27" s="261">
        <f>'[14]Degree Days 2022'!S27</f>
        <v>17</v>
      </c>
      <c r="T27" s="261">
        <f t="shared" si="1"/>
        <v>1.6999999999999993</v>
      </c>
      <c r="U27" s="495">
        <v>18</v>
      </c>
      <c r="V27" s="261">
        <f>'[7]Degree Days 2022'!V27</f>
        <v>0</v>
      </c>
      <c r="W27" s="261">
        <f>'[7]Degree Days 2022'!W27</f>
        <v>0</v>
      </c>
      <c r="X27" s="261">
        <f t="shared" si="2"/>
        <v>-18.3</v>
      </c>
    </row>
    <row r="28" spans="1:28">
      <c r="A28" s="117">
        <v>19</v>
      </c>
      <c r="B28" s="261">
        <f>'[8]Degree Days 2022'!B28</f>
        <v>14</v>
      </c>
      <c r="C28" s="261">
        <f>'General information '!C23</f>
        <v>21</v>
      </c>
      <c r="D28" s="261">
        <f>'[9]Degree Days 2020'!D28</f>
        <v>-4.8000000000000007</v>
      </c>
      <c r="E28" s="495">
        <f>'[9]Degree Days 2020'!E28</f>
        <v>19</v>
      </c>
      <c r="F28" s="261">
        <f>'[10]Degree Days 2022'!F28</f>
        <v>0</v>
      </c>
      <c r="G28" s="261">
        <f>'[10]Degree Days 2022'!G28</f>
        <v>0</v>
      </c>
      <c r="H28" s="261">
        <f>'[9]Degree Days 2020'!H28</f>
        <v>-7.8000000000000007</v>
      </c>
      <c r="I28" s="495">
        <f>'[9]Degree Days 2020'!I28</f>
        <v>19</v>
      </c>
      <c r="J28" s="261">
        <f>'[11]Degree Days 2022'!J28</f>
        <v>0</v>
      </c>
      <c r="K28" s="261">
        <f>'[11]Degree Days 2022'!K28</f>
        <v>0</v>
      </c>
      <c r="L28" s="261">
        <f>'[9]Degree Days 2020'!L28</f>
        <v>-0.30000000000000071</v>
      </c>
      <c r="M28" s="495">
        <f>'[12]Degree Days 2020'!M28</f>
        <v>19</v>
      </c>
      <c r="N28" s="261">
        <f>'[13]Degree Days 2022'!N28</f>
        <v>21</v>
      </c>
      <c r="O28" s="261">
        <f>'[13]Degree Days 2022'!O28</f>
        <v>16</v>
      </c>
      <c r="P28" s="261">
        <f t="shared" si="0"/>
        <v>0.19999999999999929</v>
      </c>
      <c r="Q28" s="495">
        <v>19</v>
      </c>
      <c r="R28" s="261">
        <f>'[14]Degree Days 2022'!R28</f>
        <v>24</v>
      </c>
      <c r="S28" s="261">
        <f>'[14]Degree Days 2022'!S28</f>
        <v>19</v>
      </c>
      <c r="T28" s="261">
        <f t="shared" si="1"/>
        <v>3.1999999999999993</v>
      </c>
      <c r="U28" s="495">
        <v>19</v>
      </c>
      <c r="V28" s="261">
        <f>'[7]Degree Days 2022'!V28</f>
        <v>0</v>
      </c>
      <c r="W28" s="261">
        <f>'[7]Degree Days 2022'!W28</f>
        <v>0</v>
      </c>
      <c r="X28" s="261">
        <f t="shared" si="2"/>
        <v>-18.3</v>
      </c>
    </row>
    <row r="29" spans="1:28">
      <c r="A29" s="117">
        <v>20</v>
      </c>
      <c r="B29" s="261">
        <f>'[8]Degree Days 2022'!B29</f>
        <v>11</v>
      </c>
      <c r="C29" s="261">
        <f>'General information '!C24</f>
        <v>21</v>
      </c>
      <c r="D29" s="261">
        <f>'[9]Degree Days 2020'!D29</f>
        <v>-4.8000000000000007</v>
      </c>
      <c r="E29" s="495">
        <f>'[9]Degree Days 2020'!E29</f>
        <v>20</v>
      </c>
      <c r="F29" s="261">
        <f>'[10]Degree Days 2022'!F29</f>
        <v>18</v>
      </c>
      <c r="G29" s="261">
        <f>'[10]Degree Days 2022'!G29</f>
        <v>13</v>
      </c>
      <c r="H29" s="261">
        <f>'[9]Degree Days 2020'!H29</f>
        <v>-1.8000000000000007</v>
      </c>
      <c r="I29" s="495">
        <f>'[9]Degree Days 2020'!I29</f>
        <v>20</v>
      </c>
      <c r="J29" s="261">
        <f>'[11]Degree Days 2022'!J29</f>
        <v>11</v>
      </c>
      <c r="K29" s="261">
        <f>'[11]Degree Days 2022'!K29</f>
        <v>9</v>
      </c>
      <c r="L29" s="261">
        <f>'[9]Degree Days 2020'!L29</f>
        <v>1.1999999999999993</v>
      </c>
      <c r="M29" s="495">
        <f>'[12]Degree Days 2020'!M29</f>
        <v>20</v>
      </c>
      <c r="N29" s="261">
        <f>'[13]Degree Days 2022'!N29</f>
        <v>20</v>
      </c>
      <c r="O29" s="261">
        <f>'[13]Degree Days 2022'!O29</f>
        <v>16</v>
      </c>
      <c r="P29" s="261">
        <f t="shared" si="0"/>
        <v>-0.30000000000000071</v>
      </c>
      <c r="Q29" s="495">
        <v>20</v>
      </c>
      <c r="R29" s="261">
        <f>'[14]Degree Days 2022'!R29</f>
        <v>0</v>
      </c>
      <c r="S29" s="261">
        <f>'[14]Degree Days 2022'!S29</f>
        <v>0</v>
      </c>
      <c r="T29" s="261">
        <f t="shared" si="1"/>
        <v>-18.3</v>
      </c>
      <c r="U29" s="495">
        <v>20</v>
      </c>
      <c r="V29" s="261">
        <f>'[7]Degree Days 2022'!V29</f>
        <v>27</v>
      </c>
      <c r="W29" s="261">
        <f>'[7]Degree Days 2022'!W29</f>
        <v>23</v>
      </c>
      <c r="X29" s="261">
        <f t="shared" si="2"/>
        <v>6.6999999999999993</v>
      </c>
    </row>
    <row r="30" spans="1:28">
      <c r="A30" s="117">
        <v>21</v>
      </c>
      <c r="B30" s="261">
        <f>'[8]Degree Days 2022'!B30</f>
        <v>0</v>
      </c>
      <c r="C30" s="261">
        <f>'General information '!C25</f>
        <v>0</v>
      </c>
      <c r="D30" s="261">
        <f>'[9]Degree Days 2020'!D30</f>
        <v>-5.8000000000000007</v>
      </c>
      <c r="E30" s="495">
        <f>'[9]Degree Days 2020'!E30</f>
        <v>21</v>
      </c>
      <c r="F30" s="261">
        <f>'[10]Degree Days 2022'!F30</f>
        <v>19</v>
      </c>
      <c r="G30" s="261">
        <f>'[10]Degree Days 2022'!G30</f>
        <v>13</v>
      </c>
      <c r="H30" s="261">
        <f>'[9]Degree Days 2020'!H30</f>
        <v>-2.8000000000000007</v>
      </c>
      <c r="I30" s="495">
        <f>'[9]Degree Days 2020'!I30</f>
        <v>21</v>
      </c>
      <c r="J30" s="261">
        <f>'[11]Degree Days 2022'!J30</f>
        <v>14</v>
      </c>
      <c r="K30" s="261">
        <f>'[11]Degree Days 2022'!K30</f>
        <v>8</v>
      </c>
      <c r="L30" s="261">
        <f>'[9]Degree Days 2020'!L30</f>
        <v>0.19999999999999929</v>
      </c>
      <c r="M30" s="495">
        <f>'[12]Degree Days 2020'!M30</f>
        <v>21</v>
      </c>
      <c r="N30" s="261">
        <f>'[13]Degree Days 2022'!N30</f>
        <v>0</v>
      </c>
      <c r="O30" s="261">
        <f>'[13]Degree Days 2022'!O30</f>
        <v>0</v>
      </c>
      <c r="P30" s="261">
        <f t="shared" si="0"/>
        <v>-18.3</v>
      </c>
      <c r="Q30" s="495">
        <v>21</v>
      </c>
      <c r="R30" s="261">
        <f>'[14]Degree Days 2022'!R30</f>
        <v>0</v>
      </c>
      <c r="S30" s="261">
        <f>'[14]Degree Days 2022'!S30</f>
        <v>0</v>
      </c>
      <c r="T30" s="261">
        <f t="shared" si="1"/>
        <v>-18.3</v>
      </c>
      <c r="U30" s="495">
        <v>21</v>
      </c>
      <c r="V30" s="261">
        <f>'[7]Degree Days 2022'!V30</f>
        <v>28</v>
      </c>
      <c r="W30" s="261">
        <f>'[7]Degree Days 2022'!W30</f>
        <v>23</v>
      </c>
      <c r="X30" s="261">
        <f t="shared" si="2"/>
        <v>7.1999999999999993</v>
      </c>
    </row>
    <row r="31" spans="1:28">
      <c r="A31" s="117">
        <v>22</v>
      </c>
      <c r="B31" s="261">
        <f>'[8]Degree Days 2022'!B31</f>
        <v>0</v>
      </c>
      <c r="C31" s="261">
        <f>'General information '!C26</f>
        <v>0</v>
      </c>
      <c r="D31" s="261">
        <f>'[9]Degree Days 2020'!D31</f>
        <v>-4.8000000000000007</v>
      </c>
      <c r="E31" s="495">
        <f>'[9]Degree Days 2020'!E31</f>
        <v>22</v>
      </c>
      <c r="F31" s="261">
        <f>'[10]Degree Days 2022'!F31</f>
        <v>23</v>
      </c>
      <c r="G31" s="261">
        <f>'[10]Degree Days 2022'!G31</f>
        <v>14</v>
      </c>
      <c r="H31" s="261">
        <f>'[9]Degree Days 2020'!H31</f>
        <v>-1.8000000000000007</v>
      </c>
      <c r="I31" s="495">
        <f>'[9]Degree Days 2020'!I31</f>
        <v>22</v>
      </c>
      <c r="J31" s="261">
        <f>'[11]Degree Days 2022'!J31</f>
        <v>15</v>
      </c>
      <c r="K31" s="261">
        <f>'[11]Degree Days 2022'!K31</f>
        <v>11</v>
      </c>
      <c r="L31" s="261">
        <f>'[9]Degree Days 2020'!L31</f>
        <v>1.6999999999999993</v>
      </c>
      <c r="M31" s="495">
        <f>'[12]Degree Days 2020'!M31</f>
        <v>22</v>
      </c>
      <c r="N31" s="261">
        <f>'[13]Degree Days 2022'!N31</f>
        <v>0</v>
      </c>
      <c r="O31" s="261">
        <f>'[13]Degree Days 2022'!O31</f>
        <v>0</v>
      </c>
      <c r="P31" s="261">
        <f t="shared" si="0"/>
        <v>-18.3</v>
      </c>
      <c r="Q31" s="495">
        <v>22</v>
      </c>
      <c r="R31" s="261">
        <f>'[14]Degree Days 2022'!R31</f>
        <v>24</v>
      </c>
      <c r="S31" s="261">
        <f>'[14]Degree Days 2022'!S31</f>
        <v>21</v>
      </c>
      <c r="T31" s="261">
        <f t="shared" si="1"/>
        <v>4.1999999999999993</v>
      </c>
      <c r="U31" s="495">
        <v>22</v>
      </c>
      <c r="V31" s="261">
        <f>'[7]Degree Days 2022'!V31</f>
        <v>0</v>
      </c>
      <c r="W31" s="261">
        <f>'[7]Degree Days 2022'!W31</f>
        <v>0</v>
      </c>
      <c r="X31" s="261">
        <f t="shared" si="2"/>
        <v>-18.3</v>
      </c>
    </row>
    <row r="32" spans="1:28">
      <c r="A32" s="117">
        <v>23</v>
      </c>
      <c r="B32" s="261">
        <f>'[8]Degree Days 2022'!B32</f>
        <v>0</v>
      </c>
      <c r="C32" s="261">
        <f>'General information '!C27</f>
        <v>22</v>
      </c>
      <c r="D32" s="261">
        <f>'[9]Degree Days 2020'!D32</f>
        <v>-3.3000000000000007</v>
      </c>
      <c r="E32" s="495">
        <f>'[9]Degree Days 2020'!E32</f>
        <v>23</v>
      </c>
      <c r="F32" s="261">
        <f>'[10]Degree Days 2022'!F32</f>
        <v>25</v>
      </c>
      <c r="G32" s="261">
        <f>'[10]Degree Days 2022'!G32</f>
        <v>14</v>
      </c>
      <c r="H32" s="261">
        <f>'[9]Degree Days 2020'!H32</f>
        <v>-2.3000000000000007</v>
      </c>
      <c r="I32" s="495">
        <f>'[9]Degree Days 2020'!I32</f>
        <v>23</v>
      </c>
      <c r="J32" s="261">
        <f>'[11]Degree Days 2022'!J32</f>
        <v>15</v>
      </c>
      <c r="K32" s="261">
        <f>'[11]Degree Days 2022'!K32</f>
        <v>9</v>
      </c>
      <c r="L32" s="261">
        <f>'[9]Degree Days 2020'!L32</f>
        <v>6.6999999999999993</v>
      </c>
      <c r="M32" s="495">
        <f>'[12]Degree Days 2020'!M32</f>
        <v>23</v>
      </c>
      <c r="N32" s="261">
        <f>'[13]Degree Days 2022'!N32</f>
        <v>0</v>
      </c>
      <c r="O32" s="261">
        <f>'[13]Degree Days 2022'!O32</f>
        <v>0</v>
      </c>
      <c r="P32" s="261">
        <f t="shared" si="0"/>
        <v>-18.3</v>
      </c>
      <c r="Q32" s="495">
        <v>23</v>
      </c>
      <c r="R32" s="261">
        <f>'[14]Degree Days 2022'!R32</f>
        <v>24</v>
      </c>
      <c r="S32" s="261">
        <f>'[14]Degree Days 2022'!S32</f>
        <v>20</v>
      </c>
      <c r="T32" s="261">
        <f t="shared" si="1"/>
        <v>3.6999999999999993</v>
      </c>
      <c r="U32" s="495">
        <v>23</v>
      </c>
      <c r="V32" s="261">
        <f>'[7]Degree Days 2022'!V32</f>
        <v>0</v>
      </c>
      <c r="W32" s="261">
        <f>'[7]Degree Days 2022'!W32</f>
        <v>0</v>
      </c>
      <c r="X32" s="261">
        <f t="shared" si="2"/>
        <v>-18.3</v>
      </c>
    </row>
    <row r="33" spans="1:24">
      <c r="A33" s="117">
        <v>24</v>
      </c>
      <c r="B33" s="261">
        <f>'[8]Degree Days 2022'!B33</f>
        <v>13</v>
      </c>
      <c r="C33" s="261">
        <f>'General information '!C28</f>
        <v>21</v>
      </c>
      <c r="D33" s="261">
        <f>'[9]Degree Days 2020'!D33</f>
        <v>-4.3000000000000007</v>
      </c>
      <c r="E33" s="495">
        <f>'[9]Degree Days 2020'!E33</f>
        <v>24</v>
      </c>
      <c r="F33" s="261">
        <f>'[10]Degree Days 2022'!F33</f>
        <v>26</v>
      </c>
      <c r="G33" s="261">
        <f>'[10]Degree Days 2022'!G33</f>
        <v>12</v>
      </c>
      <c r="H33" s="261">
        <f>'[9]Degree Days 2020'!H33</f>
        <v>-2.8000000000000007</v>
      </c>
      <c r="I33" s="495">
        <f>'[9]Degree Days 2020'!I33</f>
        <v>24</v>
      </c>
      <c r="J33" s="261">
        <f>'[11]Degree Days 2022'!J33</f>
        <v>13</v>
      </c>
      <c r="K33" s="261">
        <f>'[11]Degree Days 2022'!K33</f>
        <v>9</v>
      </c>
      <c r="L33" s="261">
        <f>'[9]Degree Days 2020'!L33</f>
        <v>-4.8000000000000007</v>
      </c>
      <c r="M33" s="495">
        <f>'[12]Degree Days 2020'!M33</f>
        <v>24</v>
      </c>
      <c r="N33" s="261">
        <f>'[13]Degree Days 2022'!N33</f>
        <v>0</v>
      </c>
      <c r="O33" s="261">
        <f>'[13]Degree Days 2022'!O33</f>
        <v>0</v>
      </c>
      <c r="P33" s="261">
        <f t="shared" si="0"/>
        <v>-18.3</v>
      </c>
      <c r="Q33" s="495">
        <v>24</v>
      </c>
      <c r="R33" s="261">
        <f>'[14]Degree Days 2022'!R33</f>
        <v>24</v>
      </c>
      <c r="S33" s="261">
        <f>'[14]Degree Days 2022'!S33</f>
        <v>20</v>
      </c>
      <c r="T33" s="261">
        <f t="shared" si="1"/>
        <v>3.6999999999999993</v>
      </c>
      <c r="U33" s="495">
        <v>24</v>
      </c>
      <c r="V33" s="261">
        <f>'[7]Degree Days 2022'!V33</f>
        <v>0</v>
      </c>
      <c r="W33" s="261">
        <f>'[7]Degree Days 2022'!W33</f>
        <v>0</v>
      </c>
      <c r="X33" s="261">
        <f t="shared" si="2"/>
        <v>-18.3</v>
      </c>
    </row>
    <row r="34" spans="1:24">
      <c r="A34" s="117">
        <v>25</v>
      </c>
      <c r="B34" s="261">
        <f>'[8]Degree Days 2022'!B34</f>
        <v>16</v>
      </c>
      <c r="C34" s="261">
        <f>'General information '!C29</f>
        <v>22</v>
      </c>
      <c r="D34" s="261">
        <f>'[9]Degree Days 2020'!D34</f>
        <v>-1.8000000000000007</v>
      </c>
      <c r="E34" s="495">
        <f>'[9]Degree Days 2020'!E34</f>
        <v>25</v>
      </c>
      <c r="F34" s="261">
        <f>'[10]Degree Days 2022'!F34</f>
        <v>0</v>
      </c>
      <c r="G34" s="261">
        <f>'[10]Degree Days 2022'!G34</f>
        <v>0</v>
      </c>
      <c r="H34" s="261">
        <f>'[9]Degree Days 2020'!H34</f>
        <v>-2.8000000000000007</v>
      </c>
      <c r="I34" s="495">
        <f>'[9]Degree Days 2020'!I34</f>
        <v>25</v>
      </c>
      <c r="J34" s="261">
        <f>'[11]Degree Days 2022'!J34</f>
        <v>0</v>
      </c>
      <c r="K34" s="261">
        <f>'[11]Degree Days 2022'!K34</f>
        <v>0</v>
      </c>
      <c r="L34" s="261">
        <f>'[9]Degree Days 2020'!L34</f>
        <v>-4.8000000000000007</v>
      </c>
      <c r="M34" s="495">
        <f>'[12]Degree Days 2020'!M34</f>
        <v>25</v>
      </c>
      <c r="N34" s="261">
        <f>'[13]Degree Days 2022'!N34</f>
        <v>23</v>
      </c>
      <c r="O34" s="261">
        <f>'[13]Degree Days 2022'!O34</f>
        <v>18</v>
      </c>
      <c r="P34" s="261">
        <f t="shared" si="0"/>
        <v>2.1999999999999993</v>
      </c>
      <c r="Q34" s="495">
        <v>25</v>
      </c>
      <c r="R34" s="261">
        <f>'[14]Degree Days 2022'!R34</f>
        <v>24</v>
      </c>
      <c r="S34" s="261">
        <f>'[14]Degree Days 2022'!S34</f>
        <v>20</v>
      </c>
      <c r="T34" s="261">
        <f t="shared" si="1"/>
        <v>3.6999999999999993</v>
      </c>
      <c r="U34" s="495">
        <v>25</v>
      </c>
      <c r="V34" s="261">
        <f>'[7]Degree Days 2022'!V34</f>
        <v>0</v>
      </c>
      <c r="W34" s="261">
        <f>'[7]Degree Days 2022'!W34</f>
        <v>0</v>
      </c>
      <c r="X34" s="261">
        <f t="shared" si="2"/>
        <v>-18.3</v>
      </c>
    </row>
    <row r="35" spans="1:24">
      <c r="A35" s="117">
        <v>26</v>
      </c>
      <c r="B35" s="261">
        <f>'[8]Degree Days 2022'!B35</f>
        <v>12</v>
      </c>
      <c r="C35" s="261">
        <f>'General information '!C30</f>
        <v>0</v>
      </c>
      <c r="D35" s="261">
        <f>'[9]Degree Days 2020'!D35</f>
        <v>-3.8000000000000007</v>
      </c>
      <c r="E35" s="495">
        <f>'[9]Degree Days 2020'!E35</f>
        <v>26</v>
      </c>
      <c r="F35" s="261">
        <f>'[10]Degree Days 2022'!F35</f>
        <v>0</v>
      </c>
      <c r="G35" s="261">
        <f>'[10]Degree Days 2022'!G35</f>
        <v>0</v>
      </c>
      <c r="H35" s="261">
        <f>'[9]Degree Days 2020'!H35</f>
        <v>-2.8000000000000007</v>
      </c>
      <c r="I35" s="495">
        <f>'[9]Degree Days 2020'!I35</f>
        <v>26</v>
      </c>
      <c r="J35" s="261">
        <f>'[11]Degree Days 2022'!J35</f>
        <v>0</v>
      </c>
      <c r="K35" s="261">
        <f>'[11]Degree Days 2022'!K35</f>
        <v>0</v>
      </c>
      <c r="L35" s="261">
        <f>'[9]Degree Days 2020'!L35</f>
        <v>-5.3000000000000007</v>
      </c>
      <c r="M35" s="495">
        <f>'[12]Degree Days 2020'!M35</f>
        <v>26</v>
      </c>
      <c r="N35" s="261">
        <f>'[13]Degree Days 2022'!N35</f>
        <v>25</v>
      </c>
      <c r="O35" s="261">
        <f>'[13]Degree Days 2022'!O35</f>
        <v>16</v>
      </c>
      <c r="P35" s="261">
        <f t="shared" si="0"/>
        <v>2.1999999999999993</v>
      </c>
      <c r="Q35" s="495">
        <v>26</v>
      </c>
      <c r="R35" s="261">
        <f>'[14]Degree Days 2022'!R35</f>
        <v>28</v>
      </c>
      <c r="S35" s="261">
        <f>'[14]Degree Days 2022'!S35</f>
        <v>19</v>
      </c>
      <c r="T35" s="261">
        <f t="shared" si="1"/>
        <v>5.1999999999999993</v>
      </c>
      <c r="U35" s="495">
        <v>26</v>
      </c>
      <c r="V35" s="261">
        <f>'[7]Degree Days 2022'!V35</f>
        <v>29</v>
      </c>
      <c r="W35" s="261">
        <f>'[7]Degree Days 2022'!W35</f>
        <v>24</v>
      </c>
      <c r="X35" s="261">
        <f t="shared" si="2"/>
        <v>8.1999999999999993</v>
      </c>
    </row>
    <row r="36" spans="1:24">
      <c r="A36" s="117">
        <v>27</v>
      </c>
      <c r="B36" s="261">
        <f>'[8]Degree Days 2022'!B36</f>
        <v>14</v>
      </c>
      <c r="C36" s="261">
        <f>'General information '!C31</f>
        <v>0</v>
      </c>
      <c r="D36" s="261">
        <f>'[9]Degree Days 2020'!D36</f>
        <v>-6.3000000000000007</v>
      </c>
      <c r="E36" s="495">
        <f>'[9]Degree Days 2020'!E36</f>
        <v>27</v>
      </c>
      <c r="F36" s="261">
        <f>'[10]Degree Days 2022'!F36</f>
        <v>18</v>
      </c>
      <c r="G36" s="261">
        <f>'[10]Degree Days 2022'!G36</f>
        <v>14</v>
      </c>
      <c r="H36" s="261">
        <f>'[9]Degree Days 2020'!H36</f>
        <v>-2.8000000000000007</v>
      </c>
      <c r="I36" s="495">
        <f>'[9]Degree Days 2020'!I36</f>
        <v>27</v>
      </c>
      <c r="J36" s="261">
        <f>'[11]Degree Days 2022'!J36</f>
        <v>18</v>
      </c>
      <c r="K36" s="261">
        <f>'[11]Degree Days 2022'!K36</f>
        <v>11</v>
      </c>
      <c r="L36" s="261">
        <f>'[9]Degree Days 2020'!L36</f>
        <v>-4.3000000000000007</v>
      </c>
      <c r="M36" s="495">
        <f>'[12]Degree Days 2020'!M36</f>
        <v>27</v>
      </c>
      <c r="N36" s="261">
        <f>'[13]Degree Days 2022'!N36</f>
        <v>23</v>
      </c>
      <c r="O36" s="261">
        <f>'[13]Degree Days 2022'!O36</f>
        <v>17</v>
      </c>
      <c r="P36" s="261">
        <f t="shared" si="0"/>
        <v>1.6999999999999993</v>
      </c>
      <c r="Q36" s="495">
        <v>27</v>
      </c>
      <c r="R36" s="261">
        <f>'[14]Degree Days 2022'!R36</f>
        <v>0</v>
      </c>
      <c r="S36" s="261">
        <f>'[14]Degree Days 2022'!S36</f>
        <v>0</v>
      </c>
      <c r="T36" s="261">
        <f t="shared" si="1"/>
        <v>-18.3</v>
      </c>
      <c r="U36" s="495">
        <v>27</v>
      </c>
      <c r="V36" s="261">
        <f>'[7]Degree Days 2022'!V36</f>
        <v>29</v>
      </c>
      <c r="W36" s="261">
        <f>'[7]Degree Days 2022'!W36</f>
        <v>24</v>
      </c>
      <c r="X36" s="261">
        <f t="shared" si="2"/>
        <v>8.1999999999999993</v>
      </c>
    </row>
    <row r="37" spans="1:24">
      <c r="A37" s="117">
        <v>28</v>
      </c>
      <c r="B37" s="261">
        <f>'[8]Degree Days 2022'!B37</f>
        <v>0</v>
      </c>
      <c r="C37" s="261">
        <f>'General information '!C32</f>
        <v>0</v>
      </c>
      <c r="D37" s="261">
        <f>'[9]Degree Days 2020'!D37</f>
        <v>-6.3000000000000007</v>
      </c>
      <c r="E37" s="495">
        <f>'[9]Degree Days 2020'!E37</f>
        <v>28</v>
      </c>
      <c r="F37" s="261">
        <f>'[10]Degree Days 2022'!F37</f>
        <v>17</v>
      </c>
      <c r="G37" s="261">
        <f>'[10]Degree Days 2022'!G37</f>
        <v>12</v>
      </c>
      <c r="H37" s="261">
        <f>'[9]Degree Days 2020'!H37</f>
        <v>-3.3000000000000007</v>
      </c>
      <c r="I37" s="495">
        <f>'[9]Degree Days 2020'!I37</f>
        <v>28</v>
      </c>
      <c r="J37" s="261">
        <f>'[11]Degree Days 2022'!J37</f>
        <v>18</v>
      </c>
      <c r="K37" s="261">
        <f>'[11]Degree Days 2022'!K37</f>
        <v>11</v>
      </c>
      <c r="L37" s="261">
        <f>'[9]Degree Days 2020'!L37</f>
        <v>-3.3000000000000007</v>
      </c>
      <c r="M37" s="495">
        <f>'[12]Degree Days 2020'!M37</f>
        <v>28</v>
      </c>
      <c r="N37" s="261">
        <f>'[13]Degree Days 2022'!N37</f>
        <v>22</v>
      </c>
      <c r="O37" s="261">
        <f>'[13]Degree Days 2022'!O37</f>
        <v>19</v>
      </c>
      <c r="P37" s="261">
        <f t="shared" si="0"/>
        <v>2.1999999999999993</v>
      </c>
      <c r="Q37" s="495">
        <v>28</v>
      </c>
      <c r="R37" s="261">
        <f>'[14]Degree Days 2022'!R37</f>
        <v>0</v>
      </c>
      <c r="S37" s="261">
        <f>'[14]Degree Days 2022'!S37</f>
        <v>0</v>
      </c>
      <c r="T37" s="261">
        <f t="shared" si="1"/>
        <v>-18.3</v>
      </c>
      <c r="U37" s="495">
        <v>28</v>
      </c>
      <c r="V37" s="261">
        <f>'[7]Degree Days 2022'!V37</f>
        <v>28</v>
      </c>
      <c r="W37" s="261">
        <f>'[7]Degree Days 2022'!W37</f>
        <v>24</v>
      </c>
      <c r="X37" s="261">
        <f t="shared" si="2"/>
        <v>7.6999999999999993</v>
      </c>
    </row>
    <row r="38" spans="1:24">
      <c r="A38" s="117">
        <v>29</v>
      </c>
      <c r="B38" s="261">
        <f>'[8]Degree Days 2022'!B38</f>
        <v>0</v>
      </c>
      <c r="C38" s="261">
        <f>'General information '!C33</f>
        <v>0</v>
      </c>
      <c r="D38" s="261">
        <f>'[9]Degree Days 2020'!D38</f>
        <v>-4.3000000000000007</v>
      </c>
      <c r="E38" s="495"/>
      <c r="F38" s="261"/>
      <c r="G38" s="261"/>
      <c r="H38" s="261"/>
      <c r="I38" s="495">
        <f>'[9]Degree Days 2020'!I38</f>
        <v>29</v>
      </c>
      <c r="J38" s="261">
        <f>'[11]Degree Days 2022'!J38</f>
        <v>22</v>
      </c>
      <c r="K38" s="261">
        <f>'[11]Degree Days 2022'!K38</f>
        <v>12</v>
      </c>
      <c r="L38" s="261">
        <f>'[9]Degree Days 2020'!L38</f>
        <v>-2.8000000000000007</v>
      </c>
      <c r="M38" s="495">
        <f>'[12]Degree Days 2020'!M38</f>
        <v>29</v>
      </c>
      <c r="N38" s="261">
        <f>'[13]Degree Days 2022'!N38</f>
        <v>0</v>
      </c>
      <c r="O38" s="261">
        <f>'[13]Degree Days 2022'!O38</f>
        <v>0</v>
      </c>
      <c r="P38" s="261">
        <f t="shared" si="0"/>
        <v>-18.3</v>
      </c>
      <c r="Q38" s="495">
        <v>29</v>
      </c>
      <c r="R38" s="261">
        <f>'[14]Degree Days 2022'!R38</f>
        <v>0</v>
      </c>
      <c r="S38" s="261">
        <f>'[14]Degree Days 2022'!S38</f>
        <v>0</v>
      </c>
      <c r="T38" s="261">
        <f t="shared" si="1"/>
        <v>-18.3</v>
      </c>
      <c r="U38" s="495">
        <v>29</v>
      </c>
      <c r="V38" s="261">
        <f>'[7]Degree Days 2022'!V38</f>
        <v>29</v>
      </c>
      <c r="W38" s="261">
        <f>'[7]Degree Days 2022'!W38</f>
        <v>24</v>
      </c>
      <c r="X38" s="261">
        <f t="shared" si="2"/>
        <v>8.1999999999999993</v>
      </c>
    </row>
    <row r="39" spans="1:24">
      <c r="A39" s="117">
        <v>30</v>
      </c>
      <c r="B39" s="261">
        <f>'[8]Degree Days 2022'!B39</f>
        <v>17</v>
      </c>
      <c r="C39" s="261">
        <f>'General information '!C34</f>
        <v>0</v>
      </c>
      <c r="D39" s="261">
        <f>'[9]Degree Days 2020'!D39</f>
        <v>-11.3</v>
      </c>
      <c r="E39" s="495"/>
      <c r="F39" s="261"/>
      <c r="G39" s="261"/>
      <c r="H39" s="261"/>
      <c r="I39" s="495">
        <f>'[9]Degree Days 2020'!I39</f>
        <v>30</v>
      </c>
      <c r="J39" s="261">
        <f>'[11]Degree Days 2022'!J39</f>
        <v>19</v>
      </c>
      <c r="K39" s="261">
        <f>'[11]Degree Days 2022'!K39</f>
        <v>15</v>
      </c>
      <c r="L39" s="261">
        <f>'[9]Degree Days 2020'!L39</f>
        <v>-2.3000000000000007</v>
      </c>
      <c r="M39" s="495">
        <f>'[12]Degree Days 2020'!M39</f>
        <v>30</v>
      </c>
      <c r="N39" s="261">
        <f>'[13]Degree Days 2022'!N39</f>
        <v>0</v>
      </c>
      <c r="O39" s="261">
        <f>'[13]Degree Days 2022'!O39</f>
        <v>0</v>
      </c>
      <c r="P39" s="261">
        <f t="shared" si="0"/>
        <v>-18.3</v>
      </c>
      <c r="Q39" s="495">
        <v>30</v>
      </c>
      <c r="R39" s="261">
        <f>'[14]Degree Days 2022'!R39</f>
        <v>27</v>
      </c>
      <c r="S39" s="261">
        <f>'[14]Degree Days 2022'!S39</f>
        <v>22</v>
      </c>
      <c r="T39" s="261">
        <f t="shared" si="1"/>
        <v>6.1999999999999993</v>
      </c>
      <c r="U39" s="495">
        <v>30</v>
      </c>
      <c r="V39" s="261">
        <f>'[7]Degree Days 2022'!V39</f>
        <v>29</v>
      </c>
      <c r="W39" s="261">
        <f>'[7]Degree Days 2022'!W39</f>
        <v>23</v>
      </c>
      <c r="X39" s="261">
        <f t="shared" si="2"/>
        <v>7.6999999999999993</v>
      </c>
    </row>
    <row r="40" spans="1:24">
      <c r="A40" s="117">
        <v>31</v>
      </c>
      <c r="B40" s="261">
        <f>'[8]Degree Days 2022'!B40</f>
        <v>17</v>
      </c>
      <c r="C40" s="261">
        <f>'General information '!C35</f>
        <v>0</v>
      </c>
      <c r="D40" s="261">
        <f>'[9]Degree Days 2020'!D40</f>
        <v>0.19999999999999929</v>
      </c>
      <c r="E40" s="495"/>
      <c r="F40" s="261"/>
      <c r="G40" s="261"/>
      <c r="H40" s="261"/>
      <c r="I40" s="495">
        <f>'[9]Degree Days 2020'!I40</f>
        <v>31</v>
      </c>
      <c r="J40" s="261">
        <f>'[11]Degree Days 2022'!J40</f>
        <v>21</v>
      </c>
      <c r="K40" s="261">
        <f>'[11]Degree Days 2022'!K40</f>
        <v>13</v>
      </c>
      <c r="L40" s="261">
        <f>'[9]Degree Days 2020'!L40</f>
        <v>-2.8000000000000007</v>
      </c>
      <c r="M40" s="495"/>
      <c r="N40" s="261"/>
      <c r="O40" s="261"/>
      <c r="P40" s="261"/>
      <c r="Q40" s="495">
        <v>31</v>
      </c>
      <c r="R40" s="261">
        <f>'[14]Degree Days 2022'!R40</f>
        <v>26</v>
      </c>
      <c r="S40" s="261">
        <f>'[14]Degree Days 2022'!S40</f>
        <v>22</v>
      </c>
      <c r="T40" s="261">
        <f t="shared" si="1"/>
        <v>5.6999999999999993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-220.20000000000007</v>
      </c>
      <c r="O43" s="119">
        <f>SUMIF(P10:P37,"&gt;0")</f>
        <v>34.299999999999997</v>
      </c>
      <c r="P43" s="130"/>
      <c r="Q43" s="129"/>
      <c r="R43" s="119">
        <f>SUMIF(T10:T37,"&lt;0")</f>
        <v>-201.30000000000004</v>
      </c>
      <c r="S43" s="119">
        <f>SUMIF(T10:T37,"&gt;0")</f>
        <v>43.399999999999991</v>
      </c>
      <c r="T43" s="130"/>
      <c r="U43" s="129"/>
      <c r="V43" s="119">
        <f>SUMIF(X10:X37,"&lt;0")</f>
        <v>-256.20000000000005</v>
      </c>
      <c r="W43" s="119">
        <f>SUMIF(X10:X37,"&gt;0")</f>
        <v>93.800000000000011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>
        <f>'[6]General information '!B5</f>
        <v>0</v>
      </c>
      <c r="C48" s="261">
        <f>'[6]General information '!C5</f>
        <v>0</v>
      </c>
      <c r="D48" s="119">
        <f t="shared" ref="D48:D56" si="3">(B48+C48)/2-18.3</f>
        <v>-18.3</v>
      </c>
      <c r="E48" s="117">
        <v>1</v>
      </c>
      <c r="F48" s="261">
        <f>'[3]General information '!B5</f>
        <v>31</v>
      </c>
      <c r="G48" s="261">
        <f>'[3]General information '!C5</f>
        <v>26</v>
      </c>
      <c r="H48" s="119">
        <f t="shared" ref="H48:H78" si="4">(F48+G48)/2-18.3</f>
        <v>10.199999999999999</v>
      </c>
      <c r="I48" s="117">
        <v>1</v>
      </c>
      <c r="J48" s="261">
        <f>'General information '!B5</f>
        <v>29</v>
      </c>
      <c r="K48" s="261">
        <f>'General information '!C5</f>
        <v>24</v>
      </c>
      <c r="L48" s="119">
        <f>(J48+K48)/2-18.3</f>
        <v>8.1999999999999993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>
        <f>'[6]General information '!B6</f>
        <v>0</v>
      </c>
      <c r="C49" s="261">
        <f>'[6]General information '!C6</f>
        <v>0</v>
      </c>
      <c r="D49" s="119">
        <f t="shared" si="3"/>
        <v>-18.3</v>
      </c>
      <c r="E49" s="117">
        <v>2</v>
      </c>
      <c r="F49" s="261">
        <f>'[3]General information '!B6</f>
        <v>31</v>
      </c>
      <c r="G49" s="261">
        <f>'[3]General information '!C6</f>
        <v>26</v>
      </c>
      <c r="H49" s="119">
        <f t="shared" si="4"/>
        <v>10.199999999999999</v>
      </c>
      <c r="I49" s="117">
        <v>2</v>
      </c>
      <c r="J49" s="261">
        <f>'General information '!B6</f>
        <v>0</v>
      </c>
      <c r="K49" s="261">
        <f>'General information '!C6</f>
        <v>0</v>
      </c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>
        <f>'[6]General information '!B7</f>
        <v>29</v>
      </c>
      <c r="C50" s="261">
        <f>'[6]General information '!C7</f>
        <v>26</v>
      </c>
      <c r="D50" s="119">
        <f t="shared" si="3"/>
        <v>9.1999999999999993</v>
      </c>
      <c r="E50" s="117">
        <v>3</v>
      </c>
      <c r="F50" s="261">
        <f>'[3]General information '!B7</f>
        <v>0</v>
      </c>
      <c r="G50" s="261">
        <f>'[3]General information '!C7</f>
        <v>0</v>
      </c>
      <c r="H50" s="119">
        <f t="shared" si="4"/>
        <v>-18.3</v>
      </c>
      <c r="I50" s="117">
        <v>3</v>
      </c>
      <c r="J50" s="261">
        <f>'General information '!B7</f>
        <v>0</v>
      </c>
      <c r="K50" s="261">
        <f>'General information '!C7</f>
        <v>0</v>
      </c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>
        <f>'[6]General information '!B8</f>
        <v>29</v>
      </c>
      <c r="C51" s="261">
        <f>'[6]General information '!C8</f>
        <v>25</v>
      </c>
      <c r="D51" s="119">
        <f t="shared" si="3"/>
        <v>8.6999999999999993</v>
      </c>
      <c r="E51" s="117">
        <v>4</v>
      </c>
      <c r="F51" s="261">
        <f>'[3]General information '!B8</f>
        <v>30</v>
      </c>
      <c r="G51" s="261">
        <f>'[3]General information '!C8</f>
        <v>26</v>
      </c>
      <c r="H51" s="119">
        <f t="shared" si="4"/>
        <v>9.6999999999999993</v>
      </c>
      <c r="I51" s="117">
        <v>4</v>
      </c>
      <c r="J51" s="261">
        <f>'General information '!B8</f>
        <v>28</v>
      </c>
      <c r="K51" s="261">
        <f>'General information '!C8</f>
        <v>25</v>
      </c>
      <c r="L51" s="119">
        <f t="shared" si="6"/>
        <v>8.1999999999999993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>
        <f>'[6]General information '!B9</f>
        <v>30</v>
      </c>
      <c r="C52" s="261">
        <f>'[6]General information '!C9</f>
        <v>24</v>
      </c>
      <c r="D52" s="119">
        <f t="shared" si="3"/>
        <v>8.6999999999999993</v>
      </c>
      <c r="E52" s="117">
        <v>5</v>
      </c>
      <c r="F52" s="261">
        <f>'[3]General information '!B9</f>
        <v>0</v>
      </c>
      <c r="G52" s="261">
        <f>'[3]General information '!C9</f>
        <v>0</v>
      </c>
      <c r="H52" s="119">
        <f t="shared" si="4"/>
        <v>-18.3</v>
      </c>
      <c r="I52" s="117">
        <v>5</v>
      </c>
      <c r="J52" s="261">
        <f>'General information '!B9</f>
        <v>28</v>
      </c>
      <c r="K52" s="261">
        <f>'General information '!C9</f>
        <v>25</v>
      </c>
      <c r="L52" s="119">
        <f t="shared" si="6"/>
        <v>8.1999999999999993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>
        <f>'[6]General information '!B10</f>
        <v>30</v>
      </c>
      <c r="C53" s="261">
        <f>'[6]General information '!C10</f>
        <v>24</v>
      </c>
      <c r="D53" s="119">
        <f t="shared" si="3"/>
        <v>8.6999999999999993</v>
      </c>
      <c r="E53" s="117">
        <v>6</v>
      </c>
      <c r="F53" s="261">
        <f>'[3]General information '!B10</f>
        <v>0</v>
      </c>
      <c r="G53" s="261">
        <f>'[3]General information '!C10</f>
        <v>0</v>
      </c>
      <c r="H53" s="119">
        <f t="shared" si="4"/>
        <v>-18.3</v>
      </c>
      <c r="I53" s="117">
        <v>6</v>
      </c>
      <c r="J53" s="261">
        <f>'General information '!B10</f>
        <v>27</v>
      </c>
      <c r="K53" s="261">
        <f>'General information '!C10</f>
        <v>22</v>
      </c>
      <c r="L53" s="119">
        <f t="shared" si="6"/>
        <v>6.1999999999999993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>
        <f>'[6]General information '!B11</f>
        <v>0</v>
      </c>
      <c r="C54" s="261">
        <f>'[6]General information '!C11</f>
        <v>0</v>
      </c>
      <c r="D54" s="119">
        <f t="shared" si="3"/>
        <v>-18.3</v>
      </c>
      <c r="E54" s="117">
        <v>7</v>
      </c>
      <c r="F54" s="261">
        <f>'[3]General information '!B11</f>
        <v>0</v>
      </c>
      <c r="G54" s="261">
        <f>'[3]General information '!C11</f>
        <v>0</v>
      </c>
      <c r="H54" s="119">
        <f t="shared" si="4"/>
        <v>-18.3</v>
      </c>
      <c r="I54" s="117">
        <v>7</v>
      </c>
      <c r="J54" s="261">
        <f>'General information '!B11</f>
        <v>27</v>
      </c>
      <c r="K54" s="261">
        <f>'General information '!C11</f>
        <v>23</v>
      </c>
      <c r="L54" s="119">
        <f t="shared" si="6"/>
        <v>6.6999999999999993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>
        <f>'[6]General information '!B12</f>
        <v>0</v>
      </c>
      <c r="C55" s="261">
        <f>'[6]General information '!C12</f>
        <v>0</v>
      </c>
      <c r="D55" s="119">
        <f t="shared" si="3"/>
        <v>-18.3</v>
      </c>
      <c r="E55" s="117">
        <v>8</v>
      </c>
      <c r="F55" s="261">
        <f>'[3]General information '!B12</f>
        <v>30</v>
      </c>
      <c r="G55" s="261">
        <f>'[3]General information '!C12</f>
        <v>19</v>
      </c>
      <c r="H55" s="119">
        <f t="shared" si="4"/>
        <v>6.1999999999999993</v>
      </c>
      <c r="I55" s="117">
        <v>8</v>
      </c>
      <c r="J55" s="261">
        <f>'General information '!B12</f>
        <v>0</v>
      </c>
      <c r="K55" s="261">
        <f>'General information '!C12</f>
        <v>0</v>
      </c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>
        <f>'[6]General information '!B13</f>
        <v>0</v>
      </c>
      <c r="C56" s="261">
        <f>'[6]General information '!C13</f>
        <v>0</v>
      </c>
      <c r="D56" s="119">
        <f t="shared" si="3"/>
        <v>-18.3</v>
      </c>
      <c r="E56" s="117">
        <v>9</v>
      </c>
      <c r="F56" s="261">
        <f>'[3]General information '!B13</f>
        <v>30</v>
      </c>
      <c r="G56" s="261">
        <f>'[3]General information '!C13</f>
        <v>26</v>
      </c>
      <c r="H56" s="119">
        <f t="shared" si="4"/>
        <v>9.6999999999999993</v>
      </c>
      <c r="I56" s="117">
        <v>9</v>
      </c>
      <c r="J56" s="261">
        <f>'General information '!B13</f>
        <v>0</v>
      </c>
      <c r="K56" s="261">
        <f>'General information '!C13</f>
        <v>0</v>
      </c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>
        <f>'[6]General information '!B14</f>
        <v>0</v>
      </c>
      <c r="C57" s="261">
        <f>'[6]General information '!C14</f>
        <v>0</v>
      </c>
      <c r="D57" s="119">
        <f t="shared" ref="D57:D78" si="9">(B57+C57)/2-18.3</f>
        <v>-18.3</v>
      </c>
      <c r="E57" s="117">
        <v>10</v>
      </c>
      <c r="F57" s="261">
        <f>'[3]General information '!B14</f>
        <v>0</v>
      </c>
      <c r="G57" s="261">
        <f>'[3]General information '!C14</f>
        <v>0</v>
      </c>
      <c r="H57" s="119">
        <f t="shared" si="4"/>
        <v>-18.3</v>
      </c>
      <c r="I57" s="117">
        <v>10</v>
      </c>
      <c r="J57" s="261">
        <f>'General information '!B14</f>
        <v>0</v>
      </c>
      <c r="K57" s="261">
        <f>'General information '!C14</f>
        <v>0</v>
      </c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>
        <f>'[6]General information '!B15</f>
        <v>30</v>
      </c>
      <c r="C58" s="261">
        <f>'[6]General information '!C15</f>
        <v>25</v>
      </c>
      <c r="D58" s="119">
        <f t="shared" si="9"/>
        <v>9.1999999999999993</v>
      </c>
      <c r="E58" s="117">
        <v>11</v>
      </c>
      <c r="F58" s="261">
        <f>'[3]General information '!B15</f>
        <v>0</v>
      </c>
      <c r="G58" s="261">
        <f>'[3]General information '!C15</f>
        <v>0</v>
      </c>
      <c r="H58" s="119">
        <f t="shared" si="4"/>
        <v>-18.3</v>
      </c>
      <c r="I58" s="117">
        <v>11</v>
      </c>
      <c r="J58" s="261">
        <f>'General information '!B15</f>
        <v>28</v>
      </c>
      <c r="K58" s="261">
        <f>'General information '!C15</f>
        <v>22</v>
      </c>
      <c r="L58" s="119">
        <f t="shared" si="6"/>
        <v>6.6999999999999993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>
        <f>'[6]General information '!B16</f>
        <v>31</v>
      </c>
      <c r="C59" s="261">
        <f>'[6]General information '!C16</f>
        <v>24</v>
      </c>
      <c r="D59" s="119">
        <f t="shared" si="9"/>
        <v>9.1999999999999993</v>
      </c>
      <c r="E59" s="117">
        <v>12</v>
      </c>
      <c r="F59" s="261">
        <f>'[3]General information '!B16</f>
        <v>0</v>
      </c>
      <c r="G59" s="261">
        <f>'[3]General information '!C16</f>
        <v>0</v>
      </c>
      <c r="H59" s="119">
        <f t="shared" si="4"/>
        <v>-18.3</v>
      </c>
      <c r="I59" s="117">
        <v>12</v>
      </c>
      <c r="J59" s="261">
        <f>'General information '!B16</f>
        <v>27</v>
      </c>
      <c r="K59" s="261">
        <f>'General information '!C16</f>
        <v>22</v>
      </c>
      <c r="L59" s="119">
        <f t="shared" si="6"/>
        <v>6.1999999999999993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>
        <f>'[6]General information '!B17</f>
        <v>30</v>
      </c>
      <c r="C60" s="261">
        <f>'[6]General information '!C17</f>
        <v>23</v>
      </c>
      <c r="D60" s="119">
        <f t="shared" si="9"/>
        <v>8.1999999999999993</v>
      </c>
      <c r="E60" s="117">
        <v>13</v>
      </c>
      <c r="F60" s="261">
        <f>'[3]General information '!B17</f>
        <v>0</v>
      </c>
      <c r="G60" s="261">
        <f>'[3]General information '!C17</f>
        <v>0</v>
      </c>
      <c r="H60" s="119">
        <f t="shared" si="4"/>
        <v>-18.3</v>
      </c>
      <c r="I60" s="117">
        <v>13</v>
      </c>
      <c r="J60" s="261">
        <f>'General information '!B17</f>
        <v>0</v>
      </c>
      <c r="K60" s="261">
        <f>'General information '!C17</f>
        <v>0</v>
      </c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>
        <f>'[6]General information '!B18</f>
        <v>27</v>
      </c>
      <c r="C61" s="261">
        <f>'[6]General information '!C18</f>
        <v>26</v>
      </c>
      <c r="D61" s="119">
        <f t="shared" si="9"/>
        <v>8.1999999999999993</v>
      </c>
      <c r="E61" s="117">
        <v>14</v>
      </c>
      <c r="F61" s="261">
        <f>'[3]General information '!B18</f>
        <v>0</v>
      </c>
      <c r="G61" s="261">
        <f>'[3]General information '!C18</f>
        <v>0</v>
      </c>
      <c r="H61" s="119">
        <f t="shared" si="4"/>
        <v>-18.3</v>
      </c>
      <c r="I61" s="117">
        <v>14</v>
      </c>
      <c r="J61" s="261">
        <f>'General information '!B18</f>
        <v>0</v>
      </c>
      <c r="K61" s="261">
        <f>'General information '!C18</f>
        <v>0</v>
      </c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>
        <f>'[6]General information '!B19</f>
        <v>0</v>
      </c>
      <c r="C62" s="261">
        <f>'[6]General information '!C19</f>
        <v>0</v>
      </c>
      <c r="D62" s="119">
        <f t="shared" si="9"/>
        <v>-18.3</v>
      </c>
      <c r="E62" s="117">
        <v>15</v>
      </c>
      <c r="F62" s="261">
        <f>'[3]General information '!B19</f>
        <v>0</v>
      </c>
      <c r="G62" s="261">
        <f>'[3]General information '!C19</f>
        <v>0</v>
      </c>
      <c r="H62" s="119">
        <f t="shared" si="4"/>
        <v>-18.3</v>
      </c>
      <c r="I62" s="117">
        <v>15</v>
      </c>
      <c r="J62" s="261">
        <f>'General information '!B19</f>
        <v>0</v>
      </c>
      <c r="K62" s="261">
        <f>'General information '!C19</f>
        <v>0</v>
      </c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>
        <f>'[6]General information '!B20</f>
        <v>0</v>
      </c>
      <c r="C63" s="261">
        <f>'[6]General information '!C20</f>
        <v>0</v>
      </c>
      <c r="D63" s="119">
        <f t="shared" si="9"/>
        <v>-18.3</v>
      </c>
      <c r="E63" s="117">
        <v>16</v>
      </c>
      <c r="F63" s="261">
        <f>'[3]General information '!B20</f>
        <v>30</v>
      </c>
      <c r="G63" s="261">
        <f>'[3]General information '!C20</f>
        <v>26</v>
      </c>
      <c r="H63" s="119">
        <f t="shared" si="4"/>
        <v>9.6999999999999993</v>
      </c>
      <c r="I63" s="117">
        <v>16</v>
      </c>
      <c r="J63" s="261">
        <f>'General information '!B20</f>
        <v>0</v>
      </c>
      <c r="K63" s="261">
        <f>'General information '!C20</f>
        <v>0</v>
      </c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>
        <f>'[6]General information '!B21</f>
        <v>28</v>
      </c>
      <c r="C64" s="261">
        <f>'[6]General information '!C21</f>
        <v>26</v>
      </c>
      <c r="D64" s="119">
        <f t="shared" si="9"/>
        <v>8.6999999999999993</v>
      </c>
      <c r="E64" s="117">
        <v>17</v>
      </c>
      <c r="F64" s="261">
        <f>'[3]General information '!B21</f>
        <v>31</v>
      </c>
      <c r="G64" s="261">
        <f>'[3]General information '!C21</f>
        <v>26</v>
      </c>
      <c r="H64" s="119">
        <f t="shared" si="4"/>
        <v>10.199999999999999</v>
      </c>
      <c r="I64" s="117">
        <v>17</v>
      </c>
      <c r="J64" s="261">
        <f>'General information '!B21</f>
        <v>26</v>
      </c>
      <c r="K64" s="261">
        <f>'General information '!C21</f>
        <v>21</v>
      </c>
      <c r="L64" s="119">
        <f t="shared" si="6"/>
        <v>5.1999999999999993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>
        <f>'[6]General information '!B22</f>
        <v>30</v>
      </c>
      <c r="C65" s="261">
        <f>'[6]General information '!C22</f>
        <v>25</v>
      </c>
      <c r="D65" s="119">
        <f t="shared" si="9"/>
        <v>9.1999999999999993</v>
      </c>
      <c r="E65" s="117">
        <v>18</v>
      </c>
      <c r="F65" s="261">
        <f>'[3]General information '!B22</f>
        <v>30</v>
      </c>
      <c r="G65" s="261">
        <f>'[3]General information '!C22</f>
        <v>24</v>
      </c>
      <c r="H65" s="119">
        <f t="shared" si="4"/>
        <v>8.6999999999999993</v>
      </c>
      <c r="I65" s="117">
        <v>18</v>
      </c>
      <c r="J65" s="261">
        <f>'General information '!B22</f>
        <v>27</v>
      </c>
      <c r="K65" s="261">
        <f>'General information '!C22</f>
        <v>21</v>
      </c>
      <c r="L65" s="119">
        <f t="shared" si="6"/>
        <v>5.6999999999999993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>
        <f>'[6]General information '!B23</f>
        <v>0</v>
      </c>
      <c r="C66" s="261">
        <f>'[6]General information '!C23</f>
        <v>0</v>
      </c>
      <c r="D66" s="119">
        <f t="shared" si="9"/>
        <v>-18.3</v>
      </c>
      <c r="E66" s="117">
        <v>19</v>
      </c>
      <c r="F66" s="261">
        <f>'[3]General information '!B23</f>
        <v>30</v>
      </c>
      <c r="G66" s="261">
        <f>'[3]General information '!C23</f>
        <v>24</v>
      </c>
      <c r="H66" s="119">
        <f t="shared" si="4"/>
        <v>8.6999999999999993</v>
      </c>
      <c r="I66" s="117">
        <v>19</v>
      </c>
      <c r="J66" s="261">
        <f>'General information '!B23</f>
        <v>26</v>
      </c>
      <c r="K66" s="261">
        <f>'General information '!C23</f>
        <v>21</v>
      </c>
      <c r="L66" s="119">
        <f t="shared" si="6"/>
        <v>5.1999999999999993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>
        <f>'[6]General information '!B24</f>
        <v>0</v>
      </c>
      <c r="C67" s="261">
        <f>'[6]General information '!C24</f>
        <v>0</v>
      </c>
      <c r="D67" s="119">
        <f t="shared" si="9"/>
        <v>-18.3</v>
      </c>
      <c r="E67" s="117">
        <v>20</v>
      </c>
      <c r="F67" s="261">
        <f>'[3]General information '!B24</f>
        <v>29</v>
      </c>
      <c r="G67" s="261">
        <f>'[3]General information '!C24</f>
        <v>25</v>
      </c>
      <c r="H67" s="119">
        <f t="shared" si="4"/>
        <v>8.6999999999999993</v>
      </c>
      <c r="I67" s="117">
        <v>20</v>
      </c>
      <c r="J67" s="261">
        <f>'General information '!B24</f>
        <v>26</v>
      </c>
      <c r="K67" s="261">
        <f>'General information '!C24</f>
        <v>21</v>
      </c>
      <c r="L67" s="119">
        <f t="shared" si="6"/>
        <v>5.1999999999999993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>
        <f>'[6]General information '!B25</f>
        <v>0</v>
      </c>
      <c r="C68" s="261">
        <f>'[6]General information '!C25</f>
        <v>0</v>
      </c>
      <c r="D68" s="119">
        <f t="shared" si="9"/>
        <v>-18.3</v>
      </c>
      <c r="E68" s="117">
        <v>21</v>
      </c>
      <c r="F68" s="261">
        <f>'[3]General information '!B25</f>
        <v>30</v>
      </c>
      <c r="G68" s="261">
        <f>'[3]General information '!C25</f>
        <v>24</v>
      </c>
      <c r="H68" s="119">
        <f t="shared" si="4"/>
        <v>8.6999999999999993</v>
      </c>
      <c r="I68" s="117">
        <v>21</v>
      </c>
      <c r="J68" s="261">
        <f>'General information '!B25</f>
        <v>0</v>
      </c>
      <c r="K68" s="261">
        <f>'General information '!C25</f>
        <v>0</v>
      </c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>
        <f>'[6]General information '!B26</f>
        <v>0</v>
      </c>
      <c r="C69" s="261">
        <f>'[6]General information '!C26</f>
        <v>0</v>
      </c>
      <c r="D69" s="119">
        <f t="shared" si="9"/>
        <v>-18.3</v>
      </c>
      <c r="E69" s="117">
        <v>22</v>
      </c>
      <c r="F69" s="261">
        <f>'[3]General information '!B26</f>
        <v>30</v>
      </c>
      <c r="G69" s="261">
        <f>'[3]General information '!C26</f>
        <v>25</v>
      </c>
      <c r="H69" s="119">
        <f t="shared" si="4"/>
        <v>9.1999999999999993</v>
      </c>
      <c r="I69" s="117">
        <v>22</v>
      </c>
      <c r="J69" s="261">
        <f>'General information '!B26</f>
        <v>0</v>
      </c>
      <c r="K69" s="261">
        <f>'General information '!C26</f>
        <v>0</v>
      </c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>
        <f>'[6]General information '!B27</f>
        <v>0</v>
      </c>
      <c r="C70" s="261">
        <f>'[6]General information '!C27</f>
        <v>0</v>
      </c>
      <c r="D70" s="119">
        <f t="shared" si="9"/>
        <v>-18.3</v>
      </c>
      <c r="E70" s="117">
        <v>23</v>
      </c>
      <c r="F70" s="261">
        <f>'[3]General information '!B27</f>
        <v>29</v>
      </c>
      <c r="G70" s="261">
        <f>'[3]General information '!C27</f>
        <v>26</v>
      </c>
      <c r="H70" s="119">
        <f t="shared" si="4"/>
        <v>9.1999999999999993</v>
      </c>
      <c r="I70" s="117">
        <v>23</v>
      </c>
      <c r="J70" s="261">
        <f>'General information '!B27</f>
        <v>26</v>
      </c>
      <c r="K70" s="261">
        <f>'General information '!C27</f>
        <v>22</v>
      </c>
      <c r="L70" s="119">
        <f t="shared" si="6"/>
        <v>5.6999999999999993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>
        <f>'[6]General information '!B28</f>
        <v>31</v>
      </c>
      <c r="C71" s="261">
        <f>'[6]General information '!C28</f>
        <v>26</v>
      </c>
      <c r="D71" s="119">
        <f t="shared" si="9"/>
        <v>10.199999999999999</v>
      </c>
      <c r="E71" s="117">
        <v>24</v>
      </c>
      <c r="F71" s="261">
        <f>'[3]General information '!B28</f>
        <v>29</v>
      </c>
      <c r="G71" s="261">
        <f>'[3]General information '!C28</f>
        <v>26</v>
      </c>
      <c r="H71" s="119">
        <f t="shared" si="4"/>
        <v>9.1999999999999993</v>
      </c>
      <c r="I71" s="117">
        <v>24</v>
      </c>
      <c r="J71" s="261">
        <f>'General information '!B28</f>
        <v>28</v>
      </c>
      <c r="K71" s="261">
        <f>'General information '!C28</f>
        <v>21</v>
      </c>
      <c r="L71" s="119">
        <f t="shared" si="6"/>
        <v>6.1999999999999993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>
        <f>'[6]General information '!B29</f>
        <v>31</v>
      </c>
      <c r="C72" s="261">
        <f>'[6]General information '!C29</f>
        <v>26</v>
      </c>
      <c r="D72" s="119">
        <f t="shared" si="9"/>
        <v>10.199999999999999</v>
      </c>
      <c r="E72" s="117">
        <v>25</v>
      </c>
      <c r="F72" s="261">
        <f>'[3]General information '!B29</f>
        <v>31</v>
      </c>
      <c r="G72" s="261">
        <f>'[3]General information '!C29</f>
        <v>27</v>
      </c>
      <c r="H72" s="119">
        <f t="shared" si="4"/>
        <v>10.7</v>
      </c>
      <c r="I72" s="117">
        <v>25</v>
      </c>
      <c r="J72" s="261">
        <f>'General information '!B29</f>
        <v>27</v>
      </c>
      <c r="K72" s="261">
        <f>'General information '!C29</f>
        <v>22</v>
      </c>
      <c r="L72" s="119">
        <f t="shared" si="6"/>
        <v>6.1999999999999993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>
        <f>'[6]General information '!B30</f>
        <v>31</v>
      </c>
      <c r="C73" s="261">
        <f>'[6]General information '!C30</f>
        <v>27</v>
      </c>
      <c r="D73" s="119">
        <f t="shared" si="9"/>
        <v>10.7</v>
      </c>
      <c r="E73" s="117">
        <v>26</v>
      </c>
      <c r="F73" s="261">
        <f>'[3]General information '!B30</f>
        <v>31</v>
      </c>
      <c r="G73" s="261">
        <f>'[3]General information '!C30</f>
        <v>27</v>
      </c>
      <c r="H73" s="119">
        <f t="shared" si="4"/>
        <v>10.7</v>
      </c>
      <c r="I73" s="117">
        <v>26</v>
      </c>
      <c r="J73" s="261">
        <f>'General information '!B30</f>
        <v>0</v>
      </c>
      <c r="K73" s="261">
        <f>'General information '!C30</f>
        <v>0</v>
      </c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>
        <f>'[6]General information '!B31</f>
        <v>30</v>
      </c>
      <c r="C74" s="261">
        <f>'[6]General information '!C31</f>
        <v>26</v>
      </c>
      <c r="D74" s="119">
        <f t="shared" si="9"/>
        <v>9.6999999999999993</v>
      </c>
      <c r="E74" s="117">
        <v>27</v>
      </c>
      <c r="F74" s="261">
        <f>'[3]General information '!B31</f>
        <v>0</v>
      </c>
      <c r="G74" s="261">
        <f>'[3]General information '!C31</f>
        <v>0</v>
      </c>
      <c r="H74" s="119">
        <f t="shared" si="4"/>
        <v>-18.3</v>
      </c>
      <c r="I74" s="117">
        <v>27</v>
      </c>
      <c r="J74" s="261">
        <f>'General information '!B31</f>
        <v>0</v>
      </c>
      <c r="K74" s="261">
        <f>'General information '!C31</f>
        <v>0</v>
      </c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>
        <f>'[6]General information '!B32</f>
        <v>31</v>
      </c>
      <c r="C75" s="261">
        <f>'[6]General information '!C32</f>
        <v>27</v>
      </c>
      <c r="D75" s="119">
        <f t="shared" si="9"/>
        <v>10.7</v>
      </c>
      <c r="E75" s="117">
        <v>28</v>
      </c>
      <c r="F75" s="261">
        <f>'[3]General information '!B32</f>
        <v>32</v>
      </c>
      <c r="G75" s="261">
        <f>'[3]General information '!C32</f>
        <v>27</v>
      </c>
      <c r="H75" s="119">
        <f t="shared" si="4"/>
        <v>11.2</v>
      </c>
      <c r="I75" s="117">
        <v>28</v>
      </c>
      <c r="J75" s="261">
        <f>'General information '!B32</f>
        <v>0</v>
      </c>
      <c r="K75" s="261">
        <f>'General information '!C32</f>
        <v>0</v>
      </c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>
        <f>'[6]General information '!B33</f>
        <v>0</v>
      </c>
      <c r="C76" s="261">
        <f>'[6]General information '!C33</f>
        <v>0</v>
      </c>
      <c r="D76" s="119">
        <f t="shared" si="9"/>
        <v>-18.3</v>
      </c>
      <c r="E76" s="117">
        <v>29</v>
      </c>
      <c r="F76" s="261">
        <f>'[3]General information '!B33</f>
        <v>32</v>
      </c>
      <c r="G76" s="261">
        <f>'[3]General information '!C33</f>
        <v>27</v>
      </c>
      <c r="H76" s="119">
        <f t="shared" si="4"/>
        <v>11.2</v>
      </c>
      <c r="I76" s="117">
        <v>29</v>
      </c>
      <c r="J76" s="261">
        <f>'General information '!B33</f>
        <v>0</v>
      </c>
      <c r="K76" s="261">
        <f>'General information '!C33</f>
        <v>0</v>
      </c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>
        <f>'[6]General information '!B34</f>
        <v>0</v>
      </c>
      <c r="C77" s="261">
        <f>'[6]General information '!C34</f>
        <v>0</v>
      </c>
      <c r="D77" s="119">
        <f t="shared" si="9"/>
        <v>-18.3</v>
      </c>
      <c r="E77" s="117">
        <v>30</v>
      </c>
      <c r="F77" s="261">
        <f>'[3]General information '!B34</f>
        <v>31</v>
      </c>
      <c r="G77" s="261">
        <f>'[3]General information '!C34</f>
        <v>28</v>
      </c>
      <c r="H77" s="119">
        <f t="shared" si="4"/>
        <v>11.2</v>
      </c>
      <c r="I77" s="117">
        <v>30</v>
      </c>
      <c r="J77" s="261">
        <f>'General information '!B34</f>
        <v>0</v>
      </c>
      <c r="K77" s="261">
        <f>'General information '!C34</f>
        <v>0</v>
      </c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>
        <f>'[6]General information '!B35</f>
        <v>31</v>
      </c>
      <c r="C78" s="261">
        <f>'[6]General information '!C35</f>
        <v>26</v>
      </c>
      <c r="D78" s="119">
        <f t="shared" si="9"/>
        <v>10.199999999999999</v>
      </c>
      <c r="E78" s="120">
        <v>31</v>
      </c>
      <c r="F78" s="261">
        <f>'[3]General information '!B35</f>
        <v>31</v>
      </c>
      <c r="G78" s="261">
        <f>'[3]General information '!C35</f>
        <v>28</v>
      </c>
      <c r="H78" s="119">
        <f t="shared" si="4"/>
        <v>11.2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-274.50000000000006</v>
      </c>
      <c r="C81" s="119">
        <f>SUMIF(D48:D78,"&gt;0")</f>
        <v>149.69999999999999</v>
      </c>
      <c r="D81" s="130"/>
      <c r="E81" s="129"/>
      <c r="F81" s="119">
        <f>SUMIF(H48:H78,"&lt;0")</f>
        <v>-201.30000000000004</v>
      </c>
      <c r="G81" s="119">
        <f>SUMIF(H48:H78,"&gt;0")</f>
        <v>194.49999999999994</v>
      </c>
      <c r="H81" s="130"/>
      <c r="I81" s="129"/>
      <c r="J81" s="119">
        <f>SUMIF(L48:L78,"&lt;0")</f>
        <v>-292.80000000000007</v>
      </c>
      <c r="K81" s="119">
        <f>SUMIF(L48:L78,"&gt;0")</f>
        <v>89.800000000000026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04" t="s">
        <v>174</v>
      </c>
      <c r="O84" s="704" t="s">
        <v>175</v>
      </c>
      <c r="P84" s="134"/>
      <c r="T84" s="134"/>
      <c r="X84" s="134"/>
    </row>
    <row r="85" spans="1:24" ht="20.25" thickBot="1">
      <c r="D85" s="134"/>
      <c r="I85" s="706" t="s">
        <v>182</v>
      </c>
      <c r="J85" s="707"/>
      <c r="K85" s="707"/>
      <c r="L85" s="707"/>
      <c r="N85" s="705"/>
      <c r="O85" s="705"/>
      <c r="P85" s="134"/>
      <c r="R85" s="17"/>
      <c r="S85" s="17"/>
      <c r="T85" s="140"/>
      <c r="U85" s="141"/>
      <c r="X85" s="134"/>
    </row>
    <row r="86" spans="1:24" ht="18.75" thickBot="1">
      <c r="D86" s="134"/>
      <c r="I86" s="708" t="s">
        <v>183</v>
      </c>
      <c r="J86" s="708"/>
      <c r="K86" s="708"/>
      <c r="L86" s="708"/>
      <c r="N86" s="142">
        <f>B43+F43+J43+N43+R43+V43+B81+F81+J81+N81+R81+V81</f>
        <v>-3339.7000000000007</v>
      </c>
      <c r="O86" s="142">
        <f>C43+G43+K43+O43+S43+W43+C81+G81+K81+O81+S81+W81</f>
        <v>626.1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698"/>
      <c r="C88" s="698"/>
      <c r="D88" s="698"/>
      <c r="E88" s="698"/>
      <c r="F88" s="698"/>
      <c r="G88" s="698"/>
      <c r="H88" s="698"/>
      <c r="I88" s="698"/>
      <c r="J88" s="698"/>
      <c r="K88" s="698"/>
      <c r="L88" s="698"/>
      <c r="M88" s="698"/>
      <c r="N88" s="698"/>
      <c r="O88" s="698"/>
      <c r="P88" s="698"/>
      <c r="Q88" s="698"/>
      <c r="R88" s="698"/>
      <c r="S88" s="698"/>
      <c r="T88" s="698"/>
      <c r="U88" s="698"/>
      <c r="V88" s="698"/>
      <c r="W88" s="69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4"/>
  <sheetViews>
    <sheetView zoomScale="70" zoomScaleNormal="70" workbookViewId="0">
      <pane xSplit="1" topLeftCell="B1" activePane="topRight" state="frozen"/>
      <selection pane="topRight" activeCell="L13" sqref="L13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2" t="s">
        <v>214</v>
      </c>
      <c r="B2" s="712"/>
      <c r="C2" s="712"/>
      <c r="D2" s="712"/>
      <c r="E2" s="712"/>
      <c r="F2" s="712"/>
      <c r="G2" s="712"/>
      <c r="H2" s="712"/>
      <c r="I2" s="712"/>
    </row>
    <row r="3" spans="1:11">
      <c r="A3" s="193">
        <v>44826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1"/>
    </row>
    <row r="6" spans="1:11">
      <c r="A6" s="184" t="s">
        <v>215</v>
      </c>
      <c r="B6" s="334">
        <f>WATER!C37</f>
        <v>0</v>
      </c>
      <c r="C6" s="313">
        <v>1.66</v>
      </c>
      <c r="D6" s="184">
        <f>SUM(C6*B6)*D4</f>
        <v>0</v>
      </c>
      <c r="E6" s="417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1">
        <v>0</v>
      </c>
      <c r="J6" s="265"/>
    </row>
    <row r="7" spans="1:11">
      <c r="A7" s="184" t="s">
        <v>216</v>
      </c>
      <c r="B7" s="334">
        <f>WATER!H37</f>
        <v>292</v>
      </c>
      <c r="C7" s="184">
        <v>8200</v>
      </c>
      <c r="D7" s="187">
        <f>SUM(C7)*D4</f>
        <v>12361500</v>
      </c>
      <c r="E7" s="185">
        <f>SUM(D7/D4/F4)</f>
        <v>264.51612903225805</v>
      </c>
      <c r="F7" s="185">
        <f>SUM(E7*F4)</f>
        <v>8200</v>
      </c>
      <c r="G7" s="477">
        <v>8200</v>
      </c>
      <c r="H7" s="189">
        <v>8200</v>
      </c>
      <c r="I7" s="185">
        <f>'[15]Budget 2021'!$I$15</f>
        <v>8701</v>
      </c>
      <c r="J7" s="265"/>
    </row>
    <row r="8" spans="1:11">
      <c r="A8" s="190" t="s">
        <v>217</v>
      </c>
      <c r="B8" s="335">
        <f>tanks!AT37</f>
        <v>18215</v>
      </c>
      <c r="C8" s="465">
        <f>SUM(tanks!AU37)</f>
        <v>0.69499999999999995</v>
      </c>
      <c r="D8" s="191">
        <f>SUM(B8*C8)*D4</f>
        <v>19084083.1875</v>
      </c>
      <c r="E8" s="192">
        <f>SUM(D8/D4/F4)</f>
        <v>408.36854838709672</v>
      </c>
      <c r="F8" s="192">
        <f>SUM(E8*F4)</f>
        <v>12659.424999999999</v>
      </c>
      <c r="G8" s="566">
        <f>E8*$G$4</f>
        <v>2041.8427419354837</v>
      </c>
      <c r="H8" s="189">
        <v>30289.9</v>
      </c>
      <c r="I8" s="192">
        <f>'[15]Budget 2021'!$L$14</f>
        <v>23542.919720430109</v>
      </c>
      <c r="J8" s="265"/>
    </row>
    <row r="9" spans="1:11">
      <c r="A9" s="2" t="s">
        <v>408</v>
      </c>
      <c r="B9" s="336">
        <f>'B5'!AV36</f>
        <v>0</v>
      </c>
      <c r="C9" s="333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7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7">
        <f>'EDl log'!AA29</f>
        <v>436</v>
      </c>
      <c r="C10" s="181"/>
      <c r="D10" s="183">
        <f>'EDl log'!AB30</f>
        <v>7292365</v>
      </c>
      <c r="E10" s="182">
        <f>SUM(D10/D4/F4)</f>
        <v>156.04482961536402</v>
      </c>
      <c r="F10" s="182">
        <f>SUM(E10*F4)</f>
        <v>4837.3897180762851</v>
      </c>
      <c r="G10" s="477">
        <f>E10*$G$4</f>
        <v>780.22414807682014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0">
        <f>SUM(E6:E11)</f>
        <v>828.92950703471888</v>
      </c>
      <c r="F12" s="180">
        <f>SUM(F6:F10)</f>
        <v>25696.814718076283</v>
      </c>
      <c r="G12" s="179">
        <f>SUM(G6:G10)</f>
        <v>11022.066890012304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2" t="s">
        <v>380</v>
      </c>
      <c r="D13" s="402" t="s">
        <v>384</v>
      </c>
      <c r="E13" s="402" t="s">
        <v>381</v>
      </c>
      <c r="F13" s="402" t="s">
        <v>405</v>
      </c>
      <c r="G13" s="404"/>
      <c r="H13" s="17"/>
      <c r="I13" s="17"/>
      <c r="J13" s="17"/>
    </row>
    <row r="14" spans="1:11">
      <c r="A14" s="427" t="s">
        <v>300</v>
      </c>
      <c r="B14" s="97">
        <f>'Degree Days 2022'!K81</f>
        <v>89.800000000000026</v>
      </c>
      <c r="C14" s="415">
        <f>'[16]Utility Cost '!$B$14</f>
        <v>176.99999999999997</v>
      </c>
      <c r="D14" s="170"/>
      <c r="E14" s="415">
        <f>'[17]Utility Cost '!F14</f>
        <v>0</v>
      </c>
      <c r="F14" s="476">
        <v>0</v>
      </c>
      <c r="G14" s="404"/>
      <c r="H14" s="405">
        <f>SUM(G12-H12)</f>
        <v>-69106.833109987696</v>
      </c>
      <c r="I14" s="405">
        <f>SUM(G12-I12)</f>
        <v>-40221.852830417803</v>
      </c>
    </row>
    <row r="15" spans="1:11">
      <c r="A15" s="427" t="s">
        <v>301</v>
      </c>
      <c r="B15" s="97">
        <f>'Degree Days 2022'!J81</f>
        <v>-292.80000000000007</v>
      </c>
      <c r="C15" s="415">
        <f>'[16]Utility Cost '!$B$15</f>
        <v>-183.00000000000003</v>
      </c>
      <c r="D15" s="170"/>
      <c r="E15" s="415">
        <f>'[17]Utility Cost '!F15</f>
        <v>0</v>
      </c>
      <c r="F15" s="476">
        <v>0</v>
      </c>
      <c r="G15" s="404"/>
      <c r="H15" s="17"/>
      <c r="I15" s="17"/>
      <c r="J15" s="17"/>
    </row>
    <row r="16" spans="1:11">
      <c r="A16" s="427" t="s">
        <v>302</v>
      </c>
      <c r="B16" s="523">
        <f>'General information '!D37</f>
        <v>346</v>
      </c>
      <c r="C16" s="415">
        <f>'[16]Utility Cost '!$B$16</f>
        <v>36.200000000000003</v>
      </c>
      <c r="D16" s="414"/>
      <c r="E16" s="415">
        <f>'[17]Utility Cost '!F16</f>
        <v>0</v>
      </c>
      <c r="F16" s="493">
        <v>0</v>
      </c>
      <c r="G16" s="404"/>
      <c r="H16" s="17"/>
      <c r="I16" s="17"/>
      <c r="J16" s="17"/>
    </row>
    <row r="17" spans="1:10">
      <c r="A17" s="487" t="s">
        <v>314</v>
      </c>
      <c r="B17" s="489">
        <f>'General information '!F36</f>
        <v>0</v>
      </c>
      <c r="C17" s="415">
        <f>'[18]Utility Cost '!B17</f>
        <v>0</v>
      </c>
      <c r="D17" s="454">
        <v>0</v>
      </c>
      <c r="E17" s="415">
        <f>'[17]Utility Cost '!F17</f>
        <v>0</v>
      </c>
      <c r="F17" s="491">
        <f>B17-D17</f>
        <v>0</v>
      </c>
      <c r="G17" s="17"/>
      <c r="H17" s="17"/>
      <c r="I17" s="17"/>
      <c r="J17" s="17"/>
    </row>
    <row r="18" spans="1:10">
      <c r="A18" s="488" t="s">
        <v>382</v>
      </c>
      <c r="B18" s="490">
        <f>GEN!Z34</f>
        <v>184</v>
      </c>
      <c r="C18" s="415">
        <f>'[16]Utility Cost '!$B$18</f>
        <v>325</v>
      </c>
      <c r="D18" s="412">
        <f>'[19]Other Fuel Calculation 2021'!$G$116</f>
        <v>202.66666666666666</v>
      </c>
      <c r="E18" s="415">
        <f>'[17]Utility Cost '!F18</f>
        <v>276.33333333333337</v>
      </c>
      <c r="F18" s="492">
        <f>B18-D18</f>
        <v>-18.666666666666657</v>
      </c>
    </row>
    <row r="19" spans="1:10">
      <c r="A19" s="488" t="s">
        <v>412</v>
      </c>
      <c r="B19" s="490">
        <f>GEN!AL34</f>
        <v>17</v>
      </c>
      <c r="C19" s="415">
        <f>'[18]Utility Cost '!B19</f>
        <v>25.923076923076923</v>
      </c>
      <c r="D19" s="412"/>
      <c r="E19" s="415"/>
      <c r="F19" s="492"/>
    </row>
    <row r="20" spans="1:10">
      <c r="A20" s="488" t="s">
        <v>406</v>
      </c>
      <c r="B20" s="486">
        <f>B18/B19</f>
        <v>10.823529411764707</v>
      </c>
      <c r="C20" s="415">
        <f>'[16]Utility Cost '!$B$19</f>
        <v>21.666666666666668</v>
      </c>
      <c r="D20" s="413"/>
      <c r="E20" s="415"/>
      <c r="F20" s="476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20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8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Amjad Abou Hassan</cp:lastModifiedBy>
  <cp:lastPrinted>2022-05-10T05:55:23Z</cp:lastPrinted>
  <dcterms:created xsi:type="dcterms:W3CDTF">2015-01-02T09:20:21Z</dcterms:created>
  <dcterms:modified xsi:type="dcterms:W3CDTF">2022-10-26T09:25:56Z</dcterms:modified>
</cp:coreProperties>
</file>