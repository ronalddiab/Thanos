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" r:id="rId1"/>
    <sheet name="Sydney Daily" sheetId="2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2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2" i="1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5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4" i="2"/>
  <c r="D25" i="2"/>
  <c r="D26" i="2"/>
  <c r="D27" i="2"/>
  <c r="D28" i="2"/>
  <c r="D29" i="2"/>
  <c r="D30" i="2"/>
  <c r="D31" i="2"/>
  <c r="D32" i="2"/>
  <c r="D33" i="2"/>
  <c r="D34" i="2"/>
  <c r="D35" i="2"/>
  <c r="D23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</calcChain>
</file>

<file path=xl/sharedStrings.xml><?xml version="1.0" encoding="utf-8"?>
<sst xmlns="http://schemas.openxmlformats.org/spreadsheetml/2006/main" count="59" uniqueCount="27">
  <si>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</si>
  <si>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</si>
  <si>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</si>
  <si>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</si>
  <si>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</si>
  <si>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</si>
  <si>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</si>
  <si>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</si>
  <si>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</si>
  <si>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</si>
  <si>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</si>
  <si>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</si>
  <si>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</si>
  <si>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</si>
  <si>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</si>
  <si>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</si>
  <si>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 xml:space="preserve">Daily Consumption m³ </t>
  </si>
  <si>
    <t>Reading m³</t>
  </si>
  <si>
    <t>TOTAL GUESTS</t>
  </si>
  <si>
    <t>Natual Gas (m3)</t>
  </si>
  <si>
    <t>Natural Gas $/m3</t>
  </si>
  <si>
    <t xml:space="preserve"> Water  m3</t>
  </si>
  <si>
    <t>Sydney</t>
  </si>
  <si>
    <t xml:space="preserve">Electricity Meter 1 (Kwh) </t>
  </si>
  <si>
    <t xml:space="preserve">Electricity Meter 2 (KWh) </t>
  </si>
  <si>
    <t>Gas   m3</t>
  </si>
  <si>
    <t xml:space="preserve"> Reading 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</si>
</sst>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1" fillId="3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1" fillId="4" borderId="1" xfId="0" applyNumberFormat="1" applyFont="1" applyFill="1" applyBorder="1" applyAlignment="1">
      <alignment horizontal="center" vertical="center" wrapText="1"/>
    </xf>
    <xf numFmtId="1" fontId="1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1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1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1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0" fontId="1" fillId="0" borderId="5" xfId="0" applyFont="1" applyBorder="1" applyAlignment="1">
      <alignment horizontal="center" wrapText="1"/>
    </xf>
    <xf numFmtId="2" fontId="7" fillId="0" borderId="5" xfId="0" applyNumberFormat="1" applyFont="1" applyBorder="1" applyAlignment="1">
      <alignment horizontal="center" wrapText="1"/>
    </xf>
    <xf numFmtId="164" fontId="2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7" fillId="0" borderId="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1" fontId="4" fillId="0" borderId="3" xfId="0" applyNumberFormat="1" applyFont="1" applyBorder="1" applyAlignment="1">
      <alignment horizontal="center" vertical="center"/>
    </xf>
    <xf numFmtId="15" fontId="7" fillId="3" borderId="1" xfId="0" applyNumberFormat="1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1" fontId="7" fillId="0" borderId="0" xfId="0" applyNumberFormat="1" applyFont="1" applyAlignment="1">
      <alignment horizontal="center"/>
    </xf>
    <xf numFmtId="1" fontId="2" fillId="0" borderId="3" xfId="0" applyNumberFormat="1" applyFont="1" applyBorder="1" applyAlignment="1">
      <alignment horizontal="center" vertical="center"/>
    </xf>
    <xf numFmtId="0" fontId="2" fillId="0" borderId="0" xfId="0" applyFont="1"/>
    <xf numFmtId="0" fontId="5" fillId="2" borderId="1" xfId="0" applyFont="1" applyFill="1" applyBorder="1" applyAlignment="1">
      <alignment horizontal="center"/>
    </xf>
    <xf numFmtId="0" fontId="8" fillId="7" borderId="7" xfId="0" applyFont="1" applyFill="1" applyBorder="1" applyAlignment="1">
      <alignment horizontal="center" vertical="center"/>
    </xf>
    <xf numFmtId="0" fontId="8" fillId="7" borderId="8" xfId="0" applyFont="1" applyFill="1" applyBorder="1" applyAlignment="1">
      <alignment horizontal="center" vertical="center"/>
    </xf>
    <xf numFmtId="0" fontId="1" fillId="8" borderId="9" xfId="0" applyFont="1" applyFill="1" applyBorder="1" applyAlignment="1">
      <alignment horizontal="center" vertical="center" wrapText="1"/>
    </xf>
    <xf numFmtId="0" fontId="1" fillId="8" borderId="10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3"/>
  <sheetViews>
    <sheetView tabSelected="1" workbookViewId="0">
      <selection activeCell="L2" sqref="L2"/>
    </sheetView>
  </sheetViews>
  <sheetFormatPr defaultColWidth="11.5703125" defaultRowHeight="15" x14ac:dyDescent="0.25"/>
  <cols>
    <col min="1" max="1" width="18.140625" style="16" customWidth="1"/>
    <col min="2" max="3" width="11.5703125" style="8"/>
    <col min="4" max="4" width="13.42578125" style="8" customWidth="1"/>
    <col min="5" max="5" width="12.5703125" style="6" customWidth="1"/>
    <col min="6" max="6" width="12.5703125" style="28" customWidth="1"/>
    <col min="7" max="7" width="11.5703125" style="6"/>
    <col min="8" max="8" width="11.5703125" style="28"/>
    <col min="9" max="9" width="11.5703125" style="6"/>
    <col min="10" max="10" width="11.5703125" style="30"/>
    <col min="11" max="24" width="11.5703125" style="6"/>
  </cols>
  <sheetData>
    <row r="1" spans="1:24" s="16" customFormat="1" ht="60" x14ac:dyDescent="0.25">
      <c r="A1" s="23" t="s">
        <v>4</v>
      </c>
      <c r="B1" s="24" t="s">
        <v>5</v>
      </c>
      <c r="C1" s="24" t="s">
        <v>6</v>
      </c>
      <c r="D1" s="24" t="s">
        <v>7</v>
      </c>
      <c r="E1" s="25" t="s">
        <v>8</v>
      </c>
      <c r="F1" s="26" t="s">
        <v>9</v>
      </c>
      <c r="G1" s="25" t="s">
        <v>19</v>
      </c>
      <c r="H1" s="26" t="s">
        <v>20</v>
      </c>
      <c r="I1" s="25" t="s">
        <v>10</v>
      </c>
      <c r="J1" s="29" t="s">
        <v>11</v>
      </c>
      <c r="K1" s="25" t="s">
        <v>12</v>
      </c>
      <c r="L1" s="25" t="s">
        <v>13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 spans="1:24" x14ac:dyDescent="0.25">
      <c r="A2" s="16" t="s">
        <v>22</v>
      </c>
      <c r="B2" s="8">
        <v>1</v>
      </c>
      <c r="C2" s="8">
        <v>3</v>
      </c>
      <c r="D2" s="8">
        <v>2020</v>
      </c>
      <c r="E2" s="19">
        <f>485644/31</f>
        <v>15665.935483870968</v>
      </c>
      <c r="F2" s="27">
        <v>0.18</v>
      </c>
      <c r="G2" s="19">
        <f>26635/31</f>
        <v>859.19354838709683</v>
      </c>
      <c r="H2" s="27">
        <v>1.0229999999999999</v>
      </c>
      <c r="I2" s="19">
        <f>4213/31</f>
        <v>135.90322580645162</v>
      </c>
      <c r="J2" s="28">
        <v>2.2400000000000002</v>
      </c>
      <c r="K2" s="19">
        <f>6955/31</f>
        <v>224.35483870967741</v>
      </c>
      <c r="L2" s="19">
        <f>'Sydney Daily'!L4</f>
        <v>0</v>
      </c>
    </row>
    <row r="3" spans="1:24" x14ac:dyDescent="0.25">
      <c r="A3" s="16" t="s">
        <v>22</v>
      </c>
      <c r="B3" s="8">
        <f>B2+1</f>
        <v>2</v>
      </c>
      <c r="C3" s="8">
        <v>3</v>
      </c>
      <c r="D3" s="8">
        <v>2020</v>
      </c>
      <c r="E3" s="19">
        <f t="shared" ref="E3:E33" si="0">485644/31</f>
        <v>15665.935483870968</v>
      </c>
      <c r="F3" s="27">
        <v>0.18</v>
      </c>
      <c r="G3" s="19">
        <f t="shared" ref="G3:G32" si="1">26635/31</f>
        <v>859.19354838709683</v>
      </c>
      <c r="H3" s="27">
        <v>1.0229999999999999</v>
      </c>
      <c r="I3" s="19">
        <f t="shared" ref="I3:I32" si="2">4213/31</f>
        <v>135.90322580645162</v>
      </c>
      <c r="J3" s="28">
        <v>2.2400000000000002</v>
      </c>
      <c r="K3" s="19">
        <f t="shared" ref="K3:K32" si="3">6955/31</f>
        <v>224.35483870967741</v>
      </c>
      <c r="L3" s="19">
        <f>'Sydney Daily'!L5</f>
        <v>0</v>
      </c>
    </row>
    <row r="4" spans="1:24" x14ac:dyDescent="0.25">
      <c r="A4" s="16" t="s">
        <v>22</v>
      </c>
      <c r="B4" s="8">
        <f t="shared" ref="B4:B32" si="4">B3+1</f>
        <v>3</v>
      </c>
      <c r="C4" s="8">
        <v>3</v>
      </c>
      <c r="D4" s="8">
        <v>2020</v>
      </c>
      <c r="E4" s="19">
        <f t="shared" si="0"/>
        <v>15665.935483870968</v>
      </c>
      <c r="F4" s="27">
        <v>0.18</v>
      </c>
      <c r="G4" s="19">
        <f t="shared" si="1"/>
        <v>859.19354838709683</v>
      </c>
      <c r="H4" s="27">
        <v>1.0229999999999999</v>
      </c>
      <c r="I4" s="19">
        <f t="shared" si="2"/>
        <v>135.90322580645162</v>
      </c>
      <c r="J4" s="28">
        <v>2.2400000000000002</v>
      </c>
      <c r="K4" s="19">
        <f t="shared" si="3"/>
        <v>224.35483870967741</v>
      </c>
      <c r="L4" s="19">
        <f>'Sydney Daily'!L6</f>
        <v>0</v>
      </c>
    </row>
    <row r="5" spans="1:24" x14ac:dyDescent="0.25">
      <c r="A5" s="16" t="s">
        <v>22</v>
      </c>
      <c r="B5" s="8">
        <f t="shared" si="4"/>
        <v>4</v>
      </c>
      <c r="C5" s="8">
        <v>3</v>
      </c>
      <c r="D5" s="8">
        <v>2020</v>
      </c>
      <c r="E5" s="19">
        <f t="shared" si="0"/>
        <v>15665.935483870968</v>
      </c>
      <c r="F5" s="27">
        <v>0.18</v>
      </c>
      <c r="G5" s="19">
        <f t="shared" si="1"/>
        <v>859.19354838709683</v>
      </c>
      <c r="H5" s="27">
        <v>1.0229999999999999</v>
      </c>
      <c r="I5" s="19">
        <f t="shared" si="2"/>
        <v>135.90322580645162</v>
      </c>
      <c r="J5" s="28">
        <v>2.2400000000000002</v>
      </c>
      <c r="K5" s="19">
        <f t="shared" si="3"/>
        <v>224.35483870967741</v>
      </c>
      <c r="L5" s="19">
        <f>'Sydney Daily'!L7</f>
        <v>0</v>
      </c>
    </row>
    <row r="6" spans="1:24" x14ac:dyDescent="0.25">
      <c r="A6" s="16" t="s">
        <v>22</v>
      </c>
      <c r="B6" s="8">
        <f t="shared" si="4"/>
        <v>5</v>
      </c>
      <c r="C6" s="8">
        <v>3</v>
      </c>
      <c r="D6" s="8">
        <v>2020</v>
      </c>
      <c r="E6" s="19">
        <f t="shared" si="0"/>
        <v>15665.935483870968</v>
      </c>
      <c r="F6" s="27">
        <v>0.18</v>
      </c>
      <c r="G6" s="19">
        <f t="shared" si="1"/>
        <v>859.19354838709683</v>
      </c>
      <c r="H6" s="27">
        <v>1.0229999999999999</v>
      </c>
      <c r="I6" s="19">
        <f t="shared" si="2"/>
        <v>135.90322580645162</v>
      </c>
      <c r="J6" s="28">
        <v>2.2400000000000002</v>
      </c>
      <c r="K6" s="19">
        <f t="shared" si="3"/>
        <v>224.35483870967741</v>
      </c>
      <c r="L6" s="19">
        <f>'Sydney Daily'!L8</f>
        <v>0</v>
      </c>
    </row>
    <row r="7" spans="1:24" x14ac:dyDescent="0.25">
      <c r="A7" s="16" t="s">
        <v>22</v>
      </c>
      <c r="B7" s="8">
        <f t="shared" si="4"/>
        <v>6</v>
      </c>
      <c r="C7" s="8">
        <v>3</v>
      </c>
      <c r="D7" s="8">
        <v>2020</v>
      </c>
      <c r="E7" s="19">
        <f t="shared" si="0"/>
        <v>15665.935483870968</v>
      </c>
      <c r="F7" s="27">
        <v>0.18</v>
      </c>
      <c r="G7" s="19">
        <f t="shared" si="1"/>
        <v>859.19354838709683</v>
      </c>
      <c r="H7" s="27">
        <v>1.0229999999999999</v>
      </c>
      <c r="I7" s="19">
        <f t="shared" si="2"/>
        <v>135.90322580645162</v>
      </c>
      <c r="J7" s="28">
        <v>2.2400000000000002</v>
      </c>
      <c r="K7" s="19">
        <f t="shared" si="3"/>
        <v>224.35483870967741</v>
      </c>
      <c r="L7" s="19">
        <f>'Sydney Daily'!L9</f>
        <v>0</v>
      </c>
    </row>
    <row r="8" spans="1:24" x14ac:dyDescent="0.25">
      <c r="A8" s="16" t="s">
        <v>22</v>
      </c>
      <c r="B8" s="8">
        <f t="shared" si="4"/>
        <v>7</v>
      </c>
      <c r="C8" s="8">
        <v>3</v>
      </c>
      <c r="D8" s="8">
        <v>2020</v>
      </c>
      <c r="E8" s="19">
        <f t="shared" si="0"/>
        <v>15665.935483870968</v>
      </c>
      <c r="F8" s="27">
        <v>0.18</v>
      </c>
      <c r="G8" s="19">
        <f t="shared" si="1"/>
        <v>859.19354838709683</v>
      </c>
      <c r="H8" s="27">
        <v>1.0229999999999999</v>
      </c>
      <c r="I8" s="19">
        <f t="shared" si="2"/>
        <v>135.90322580645162</v>
      </c>
      <c r="J8" s="28">
        <v>2.2400000000000002</v>
      </c>
      <c r="K8" s="19">
        <f t="shared" si="3"/>
        <v>224.35483870967741</v>
      </c>
      <c r="L8" s="19">
        <f>'Sydney Daily'!L10</f>
        <v>0</v>
      </c>
    </row>
    <row r="9" spans="1:24" x14ac:dyDescent="0.25">
      <c r="A9" s="16" t="s">
        <v>22</v>
      </c>
      <c r="B9" s="8">
        <f t="shared" si="4"/>
        <v>8</v>
      </c>
      <c r="C9" s="8">
        <v>3</v>
      </c>
      <c r="D9" s="8">
        <v>2020</v>
      </c>
      <c r="E9" s="19">
        <f t="shared" si="0"/>
        <v>15665.935483870968</v>
      </c>
      <c r="F9" s="27">
        <v>0.18</v>
      </c>
      <c r="G9" s="19">
        <f t="shared" si="1"/>
        <v>859.19354838709683</v>
      </c>
      <c r="H9" s="27">
        <v>1.0229999999999999</v>
      </c>
      <c r="I9" s="19">
        <f t="shared" si="2"/>
        <v>135.90322580645162</v>
      </c>
      <c r="J9" s="28">
        <v>2.2400000000000002</v>
      </c>
      <c r="K9" s="19">
        <f t="shared" si="3"/>
        <v>224.35483870967741</v>
      </c>
      <c r="L9" s="19">
        <f>'Sydney Daily'!L11</f>
        <v>0</v>
      </c>
    </row>
    <row r="10" spans="1:24" x14ac:dyDescent="0.25">
      <c r="A10" s="16" t="s">
        <v>22</v>
      </c>
      <c r="B10" s="8">
        <f t="shared" si="4"/>
        <v>9</v>
      </c>
      <c r="C10" s="8">
        <v>3</v>
      </c>
      <c r="D10" s="8">
        <v>2020</v>
      </c>
      <c r="E10" s="19">
        <f t="shared" si="0"/>
        <v>15665.935483870968</v>
      </c>
      <c r="F10" s="27">
        <v>0.18</v>
      </c>
      <c r="G10" s="19">
        <f t="shared" si="1"/>
        <v>859.19354838709683</v>
      </c>
      <c r="H10" s="27">
        <v>1.0229999999999999</v>
      </c>
      <c r="I10" s="19">
        <f t="shared" si="2"/>
        <v>135.90322580645162</v>
      </c>
      <c r="J10" s="28">
        <v>2.2400000000000002</v>
      </c>
      <c r="K10" s="19">
        <f t="shared" si="3"/>
        <v>224.35483870967741</v>
      </c>
      <c r="L10" s="19">
        <f>'Sydney Daily'!L12</f>
        <v>0</v>
      </c>
    </row>
    <row r="11" spans="1:24" x14ac:dyDescent="0.25">
      <c r="A11" s="16" t="s">
        <v>22</v>
      </c>
      <c r="B11" s="8">
        <f t="shared" si="4"/>
        <v>10</v>
      </c>
      <c r="C11" s="8">
        <v>3</v>
      </c>
      <c r="D11" s="8">
        <v>2020</v>
      </c>
      <c r="E11" s="19">
        <f t="shared" si="0"/>
        <v>15665.935483870968</v>
      </c>
      <c r="F11" s="27">
        <v>0.18</v>
      </c>
      <c r="G11" s="19">
        <f t="shared" si="1"/>
        <v>859.19354838709683</v>
      </c>
      <c r="H11" s="27">
        <v>1.0229999999999999</v>
      </c>
      <c r="I11" s="19">
        <f t="shared" si="2"/>
        <v>135.90322580645162</v>
      </c>
      <c r="J11" s="28">
        <v>2.2400000000000002</v>
      </c>
      <c r="K11" s="19">
        <f t="shared" si="3"/>
        <v>224.35483870967741</v>
      </c>
      <c r="L11" s="19">
        <f>'Sydney Daily'!L13</f>
        <v>0</v>
      </c>
    </row>
    <row r="12" spans="1:24" x14ac:dyDescent="0.25">
      <c r="A12" s="16" t="s">
        <v>22</v>
      </c>
      <c r="B12" s="8">
        <f t="shared" si="4"/>
        <v>11</v>
      </c>
      <c r="C12" s="8">
        <v>3</v>
      </c>
      <c r="D12" s="8">
        <v>2020</v>
      </c>
      <c r="E12" s="19">
        <f t="shared" si="0"/>
        <v>15665.935483870968</v>
      </c>
      <c r="F12" s="27">
        <v>0.18</v>
      </c>
      <c r="G12" s="19">
        <f t="shared" si="1"/>
        <v>859.19354838709683</v>
      </c>
      <c r="H12" s="27">
        <v>1.0229999999999999</v>
      </c>
      <c r="I12" s="19">
        <f t="shared" si="2"/>
        <v>135.90322580645162</v>
      </c>
      <c r="J12" s="28">
        <v>2.2400000000000002</v>
      </c>
      <c r="K12" s="19">
        <f t="shared" si="3"/>
        <v>224.35483870967741</v>
      </c>
      <c r="L12" s="19">
        <f>'Sydney Daily'!L14</f>
        <v>0</v>
      </c>
    </row>
    <row r="13" spans="1:24" x14ac:dyDescent="0.25">
      <c r="A13" s="16" t="s">
        <v>22</v>
      </c>
      <c r="B13" s="8">
        <f t="shared" si="4"/>
        <v>12</v>
      </c>
      <c r="C13" s="8">
        <v>3</v>
      </c>
      <c r="D13" s="8">
        <v>2020</v>
      </c>
      <c r="E13" s="19">
        <f t="shared" si="0"/>
        <v>15665.935483870968</v>
      </c>
      <c r="F13" s="27">
        <v>0.18</v>
      </c>
      <c r="G13" s="19">
        <f t="shared" si="1"/>
        <v>859.19354838709683</v>
      </c>
      <c r="H13" s="27">
        <v>1.0229999999999999</v>
      </c>
      <c r="I13" s="19">
        <f t="shared" si="2"/>
        <v>135.90322580645162</v>
      </c>
      <c r="J13" s="28">
        <v>2.2400000000000002</v>
      </c>
      <c r="K13" s="19">
        <f t="shared" si="3"/>
        <v>224.35483870967741</v>
      </c>
      <c r="L13" s="19">
        <f>'Sydney Daily'!L15</f>
        <v>0</v>
      </c>
    </row>
    <row r="14" spans="1:24" x14ac:dyDescent="0.25">
      <c r="A14" s="16" t="s">
        <v>22</v>
      </c>
      <c r="B14" s="8">
        <f t="shared" si="4"/>
        <v>13</v>
      </c>
      <c r="C14" s="8">
        <v>3</v>
      </c>
      <c r="D14" s="8">
        <v>2020</v>
      </c>
      <c r="E14" s="19">
        <f t="shared" si="0"/>
        <v>15665.935483870968</v>
      </c>
      <c r="F14" s="27">
        <v>0.18</v>
      </c>
      <c r="G14" s="19">
        <f t="shared" si="1"/>
        <v>859.19354838709683</v>
      </c>
      <c r="H14" s="27">
        <v>1.0229999999999999</v>
      </c>
      <c r="I14" s="19">
        <f t="shared" si="2"/>
        <v>135.90322580645162</v>
      </c>
      <c r="J14" s="28">
        <v>2.2400000000000002</v>
      </c>
      <c r="K14" s="19">
        <f t="shared" si="3"/>
        <v>224.35483870967741</v>
      </c>
      <c r="L14" s="19">
        <f>'Sydney Daily'!L16</f>
        <v>0</v>
      </c>
    </row>
    <row r="15" spans="1:24" x14ac:dyDescent="0.25">
      <c r="A15" s="16" t="s">
        <v>22</v>
      </c>
      <c r="B15" s="8">
        <f t="shared" si="4"/>
        <v>14</v>
      </c>
      <c r="C15" s="8">
        <v>3</v>
      </c>
      <c r="D15" s="8">
        <v>2020</v>
      </c>
      <c r="E15" s="19">
        <f t="shared" si="0"/>
        <v>15665.935483870968</v>
      </c>
      <c r="F15" s="27">
        <v>0.18</v>
      </c>
      <c r="G15" s="19">
        <f t="shared" si="1"/>
        <v>859.19354838709683</v>
      </c>
      <c r="H15" s="27">
        <v>1.0229999999999999</v>
      </c>
      <c r="I15" s="19">
        <f t="shared" si="2"/>
        <v>135.90322580645162</v>
      </c>
      <c r="J15" s="28">
        <v>2.2400000000000002</v>
      </c>
      <c r="K15" s="19">
        <f t="shared" si="3"/>
        <v>224.35483870967741</v>
      </c>
      <c r="L15" s="19">
        <f>'Sydney Daily'!L17</f>
        <v>0</v>
      </c>
    </row>
    <row r="16" spans="1:24" x14ac:dyDescent="0.25">
      <c r="A16" s="16" t="s">
        <v>22</v>
      </c>
      <c r="B16" s="8">
        <f t="shared" si="4"/>
        <v>15</v>
      </c>
      <c r="C16" s="8">
        <v>3</v>
      </c>
      <c r="D16" s="8">
        <v>2020</v>
      </c>
      <c r="E16" s="19">
        <f t="shared" si="0"/>
        <v>15665.935483870968</v>
      </c>
      <c r="F16" s="27">
        <v>0.18</v>
      </c>
      <c r="G16" s="19">
        <f t="shared" si="1"/>
        <v>859.19354838709683</v>
      </c>
      <c r="H16" s="27">
        <v>1.0229999999999999</v>
      </c>
      <c r="I16" s="19">
        <f t="shared" si="2"/>
        <v>135.90322580645162</v>
      </c>
      <c r="J16" s="28">
        <v>2.2400000000000002</v>
      </c>
      <c r="K16" s="19">
        <f t="shared" si="3"/>
        <v>224.35483870967741</v>
      </c>
      <c r="L16" s="19">
        <f>'Sydney Daily'!L18</f>
        <v>0</v>
      </c>
    </row>
    <row r="17" spans="1:12" x14ac:dyDescent="0.25">
      <c r="A17" s="16" t="s">
        <v>22</v>
      </c>
      <c r="B17" s="8">
        <f t="shared" si="4"/>
        <v>16</v>
      </c>
      <c r="C17" s="8">
        <v>3</v>
      </c>
      <c r="D17" s="8">
        <v>2020</v>
      </c>
      <c r="E17" s="19">
        <f t="shared" si="0"/>
        <v>15665.935483870968</v>
      </c>
      <c r="F17" s="27">
        <v>0.18</v>
      </c>
      <c r="G17" s="19">
        <f t="shared" si="1"/>
        <v>859.19354838709683</v>
      </c>
      <c r="H17" s="27">
        <v>1.0229999999999999</v>
      </c>
      <c r="I17" s="19">
        <f t="shared" si="2"/>
        <v>135.90322580645162</v>
      </c>
      <c r="J17" s="28">
        <v>2.2400000000000002</v>
      </c>
      <c r="K17" s="19">
        <f t="shared" si="3"/>
        <v>224.35483870967741</v>
      </c>
      <c r="L17" s="19">
        <f>'Sydney Daily'!L19</f>
        <v>0</v>
      </c>
    </row>
    <row r="18" spans="1:12" x14ac:dyDescent="0.25">
      <c r="A18" s="16" t="s">
        <v>22</v>
      </c>
      <c r="B18" s="8">
        <f t="shared" si="4"/>
        <v>17</v>
      </c>
      <c r="C18" s="8">
        <v>3</v>
      </c>
      <c r="D18" s="8">
        <v>2020</v>
      </c>
      <c r="E18" s="19">
        <f t="shared" si="0"/>
        <v>15665.935483870968</v>
      </c>
      <c r="F18" s="27">
        <v>0.18</v>
      </c>
      <c r="G18" s="19">
        <f t="shared" si="1"/>
        <v>859.19354838709683</v>
      </c>
      <c r="H18" s="27">
        <v>1.0229999999999999</v>
      </c>
      <c r="I18" s="19">
        <f t="shared" si="2"/>
        <v>135.90322580645162</v>
      </c>
      <c r="J18" s="28">
        <v>2.2400000000000002</v>
      </c>
      <c r="K18" s="19">
        <f t="shared" si="3"/>
        <v>224.35483870967741</v>
      </c>
      <c r="L18" s="19">
        <f>'Sydney Daily'!L20</f>
        <v>0</v>
      </c>
    </row>
    <row r="19" spans="1:12" x14ac:dyDescent="0.25">
      <c r="A19" s="16" t="s">
        <v>22</v>
      </c>
      <c r="B19" s="8">
        <f t="shared" si="4"/>
        <v>18</v>
      </c>
      <c r="C19" s="8">
        <v>3</v>
      </c>
      <c r="D19" s="8">
        <v>2020</v>
      </c>
      <c r="E19" s="19">
        <f t="shared" si="0"/>
        <v>15665.935483870968</v>
      </c>
      <c r="F19" s="27">
        <v>0.18</v>
      </c>
      <c r="G19" s="19">
        <f t="shared" si="1"/>
        <v>859.19354838709683</v>
      </c>
      <c r="H19" s="27">
        <v>1.0229999999999999</v>
      </c>
      <c r="I19" s="19">
        <f t="shared" si="2"/>
        <v>135.90322580645162</v>
      </c>
      <c r="J19" s="28">
        <v>2.2400000000000002</v>
      </c>
      <c r="K19" s="19">
        <f t="shared" si="3"/>
        <v>224.35483870967741</v>
      </c>
      <c r="L19" s="19">
        <f>'Sydney Daily'!L21</f>
        <v>0</v>
      </c>
    </row>
    <row r="20" spans="1:12" x14ac:dyDescent="0.25">
      <c r="A20" s="16" t="s">
        <v>22</v>
      </c>
      <c r="B20" s="8">
        <f t="shared" si="4"/>
        <v>19</v>
      </c>
      <c r="C20" s="8">
        <v>3</v>
      </c>
      <c r="D20" s="8">
        <v>2020</v>
      </c>
      <c r="E20" s="19">
        <f t="shared" si="0"/>
        <v>15665.935483870968</v>
      </c>
      <c r="F20" s="27">
        <v>0.18</v>
      </c>
      <c r="G20" s="19">
        <f t="shared" si="1"/>
        <v>859.19354838709683</v>
      </c>
      <c r="H20" s="27">
        <v>1.0229999999999999</v>
      </c>
      <c r="I20" s="19">
        <f t="shared" si="2"/>
        <v>135.90322580645162</v>
      </c>
      <c r="J20" s="28">
        <v>2.2400000000000002</v>
      </c>
      <c r="K20" s="19">
        <f t="shared" si="3"/>
        <v>224.35483870967741</v>
      </c>
      <c r="L20" s="19">
        <f>'Sydney Daily'!L22</f>
        <v>0</v>
      </c>
    </row>
    <row r="21" spans="1:12" x14ac:dyDescent="0.25">
      <c r="A21" s="16" t="s">
        <v>22</v>
      </c>
      <c r="B21" s="8">
        <f t="shared" si="4"/>
        <v>20</v>
      </c>
      <c r="C21" s="8">
        <v>3</v>
      </c>
      <c r="D21" s="8">
        <v>2020</v>
      </c>
      <c r="E21" s="19">
        <f t="shared" si="0"/>
        <v>15665.935483870968</v>
      </c>
      <c r="F21" s="27">
        <v>0.18</v>
      </c>
      <c r="G21" s="19">
        <f t="shared" si="1"/>
        <v>859.19354838709683</v>
      </c>
      <c r="H21" s="27">
        <v>1.0229999999999999</v>
      </c>
      <c r="I21" s="19">
        <f t="shared" si="2"/>
        <v>135.90322580645162</v>
      </c>
      <c r="J21" s="28">
        <v>2.2400000000000002</v>
      </c>
      <c r="K21" s="19">
        <f t="shared" si="3"/>
        <v>224.35483870967741</v>
      </c>
      <c r="L21" s="19">
        <f>'Sydney Daily'!L23</f>
        <v>0</v>
      </c>
    </row>
    <row r="22" spans="1:12" x14ac:dyDescent="0.25">
      <c r="A22" s="16" t="s">
        <v>22</v>
      </c>
      <c r="B22" s="8">
        <f t="shared" si="4"/>
        <v>21</v>
      </c>
      <c r="C22" s="8">
        <v>3</v>
      </c>
      <c r="D22" s="8">
        <v>2020</v>
      </c>
      <c r="E22" s="19">
        <f t="shared" si="0"/>
        <v>15665.935483870968</v>
      </c>
      <c r="F22" s="27">
        <v>0.18</v>
      </c>
      <c r="G22" s="19">
        <f t="shared" si="1"/>
        <v>859.19354838709683</v>
      </c>
      <c r="H22" s="27">
        <v>1.0229999999999999</v>
      </c>
      <c r="I22" s="19">
        <f t="shared" si="2"/>
        <v>135.90322580645162</v>
      </c>
      <c r="J22" s="28">
        <v>2.2400000000000002</v>
      </c>
      <c r="K22" s="19">
        <f t="shared" si="3"/>
        <v>224.35483870967741</v>
      </c>
      <c r="L22" s="19">
        <f>'Sydney Daily'!L24</f>
        <v>0</v>
      </c>
    </row>
    <row r="23" spans="1:12" x14ac:dyDescent="0.25">
      <c r="A23" s="16" t="s">
        <v>22</v>
      </c>
      <c r="B23" s="8">
        <f t="shared" si="4"/>
        <v>22</v>
      </c>
      <c r="C23" s="8">
        <v>3</v>
      </c>
      <c r="D23" s="8">
        <v>2020</v>
      </c>
      <c r="E23" s="19">
        <f t="shared" si="0"/>
        <v>15665.935483870968</v>
      </c>
      <c r="F23" s="27">
        <v>0.18</v>
      </c>
      <c r="G23" s="19">
        <f t="shared" si="1"/>
        <v>859.19354838709683</v>
      </c>
      <c r="H23" s="27">
        <v>1.0229999999999999</v>
      </c>
      <c r="I23" s="19">
        <f t="shared" si="2"/>
        <v>135.90322580645162</v>
      </c>
      <c r="J23" s="28">
        <v>2.2400000000000002</v>
      </c>
      <c r="K23" s="19">
        <f t="shared" si="3"/>
        <v>224.35483870967741</v>
      </c>
      <c r="L23" s="19">
        <f>'Sydney Daily'!L25</f>
        <v>0</v>
      </c>
    </row>
    <row r="24" spans="1:12" x14ac:dyDescent="0.25">
      <c r="A24" s="16" t="s">
        <v>22</v>
      </c>
      <c r="B24" s="8">
        <f t="shared" si="4"/>
        <v>23</v>
      </c>
      <c r="C24" s="8">
        <v>3</v>
      </c>
      <c r="D24" s="8">
        <v>2020</v>
      </c>
      <c r="E24" s="19">
        <f t="shared" si="0"/>
        <v>15665.935483870968</v>
      </c>
      <c r="F24" s="27">
        <v>0.18</v>
      </c>
      <c r="G24" s="19">
        <f t="shared" si="1"/>
        <v>859.19354838709683</v>
      </c>
      <c r="H24" s="27">
        <v>1.0229999999999999</v>
      </c>
      <c r="I24" s="19">
        <f t="shared" si="2"/>
        <v>135.90322580645162</v>
      </c>
      <c r="J24" s="28">
        <v>2.2400000000000002</v>
      </c>
      <c r="K24" s="19">
        <f t="shared" si="3"/>
        <v>224.35483870967741</v>
      </c>
      <c r="L24" s="19">
        <f>'Sydney Daily'!L26</f>
        <v>0</v>
      </c>
    </row>
    <row r="25" spans="1:12" x14ac:dyDescent="0.25">
      <c r="A25" s="16" t="s">
        <v>22</v>
      </c>
      <c r="B25" s="8">
        <f t="shared" si="4"/>
        <v>24</v>
      </c>
      <c r="C25" s="8">
        <v>3</v>
      </c>
      <c r="D25" s="8">
        <v>2020</v>
      </c>
      <c r="E25" s="19">
        <f t="shared" si="0"/>
        <v>15665.935483870968</v>
      </c>
      <c r="F25" s="27">
        <v>0.18</v>
      </c>
      <c r="G25" s="19">
        <f t="shared" si="1"/>
        <v>859.19354838709683</v>
      </c>
      <c r="H25" s="27">
        <v>1.0229999999999999</v>
      </c>
      <c r="I25" s="19">
        <f t="shared" si="2"/>
        <v>135.90322580645162</v>
      </c>
      <c r="J25" s="28">
        <v>2.2400000000000002</v>
      </c>
      <c r="K25" s="19">
        <f t="shared" si="3"/>
        <v>224.35483870967741</v>
      </c>
      <c r="L25" s="19">
        <f>'Sydney Daily'!L27</f>
        <v>0</v>
      </c>
    </row>
    <row r="26" spans="1:12" x14ac:dyDescent="0.25">
      <c r="A26" s="16" t="s">
        <v>22</v>
      </c>
      <c r="B26" s="8">
        <f>B25+1</f>
        <v>25</v>
      </c>
      <c r="C26" s="8">
        <v>3</v>
      </c>
      <c r="D26" s="8">
        <v>2020</v>
      </c>
      <c r="E26" s="19">
        <f t="shared" si="0"/>
        <v>15665.935483870968</v>
      </c>
      <c r="F26" s="27">
        <v>0.18</v>
      </c>
      <c r="G26" s="19">
        <f t="shared" si="1"/>
        <v>859.19354838709683</v>
      </c>
      <c r="H26" s="27">
        <v>1.0229999999999999</v>
      </c>
      <c r="I26" s="19">
        <f t="shared" si="2"/>
        <v>135.90322580645162</v>
      </c>
      <c r="J26" s="28">
        <v>2.2400000000000002</v>
      </c>
      <c r="K26" s="19">
        <f t="shared" si="3"/>
        <v>224.35483870967741</v>
      </c>
      <c r="L26" s="19">
        <f>'Sydney Daily'!L28</f>
        <v>0</v>
      </c>
    </row>
    <row r="27" spans="1:12" x14ac:dyDescent="0.25">
      <c r="A27" s="16" t="s">
        <v>22</v>
      </c>
      <c r="B27" s="8">
        <f t="shared" si="4"/>
        <v>26</v>
      </c>
      <c r="C27" s="8">
        <v>3</v>
      </c>
      <c r="D27" s="8">
        <v>2020</v>
      </c>
      <c r="E27" s="19">
        <f t="shared" si="0"/>
        <v>15665.935483870968</v>
      </c>
      <c r="F27" s="27">
        <v>0.18</v>
      </c>
      <c r="G27" s="19">
        <f t="shared" si="1"/>
        <v>859.19354838709683</v>
      </c>
      <c r="H27" s="27">
        <v>1.0229999999999999</v>
      </c>
      <c r="I27" s="19">
        <f t="shared" si="2"/>
        <v>135.90322580645162</v>
      </c>
      <c r="J27" s="28">
        <v>2.2400000000000002</v>
      </c>
      <c r="K27" s="19">
        <f t="shared" si="3"/>
        <v>224.35483870967741</v>
      </c>
      <c r="L27" s="19">
        <f>'Sydney Daily'!L29</f>
        <v>0</v>
      </c>
    </row>
    <row r="28" spans="1:12" x14ac:dyDescent="0.25">
      <c r="A28" s="16" t="s">
        <v>22</v>
      </c>
      <c r="B28" s="8">
        <f t="shared" si="4"/>
        <v>27</v>
      </c>
      <c r="C28" s="8">
        <v>3</v>
      </c>
      <c r="D28" s="8">
        <v>2020</v>
      </c>
      <c r="E28" s="19">
        <f t="shared" si="0"/>
        <v>15665.935483870968</v>
      </c>
      <c r="F28" s="27">
        <v>0.18</v>
      </c>
      <c r="G28" s="19">
        <f t="shared" si="1"/>
        <v>859.19354838709683</v>
      </c>
      <c r="H28" s="27">
        <v>1.0229999999999999</v>
      </c>
      <c r="I28" s="19">
        <f t="shared" si="2"/>
        <v>135.90322580645162</v>
      </c>
      <c r="J28" s="28">
        <v>2.2400000000000002</v>
      </c>
      <c r="K28" s="19">
        <f t="shared" si="3"/>
        <v>224.35483870967741</v>
      </c>
      <c r="L28" s="19">
        <f>'Sydney Daily'!L30</f>
        <v>0</v>
      </c>
    </row>
    <row r="29" spans="1:12" x14ac:dyDescent="0.25">
      <c r="A29" s="16" t="s">
        <v>22</v>
      </c>
      <c r="B29" s="8">
        <f t="shared" si="4"/>
        <v>28</v>
      </c>
      <c r="C29" s="8">
        <v>3</v>
      </c>
      <c r="D29" s="8">
        <v>2020</v>
      </c>
      <c r="E29" s="19">
        <f t="shared" si="0"/>
        <v>15665.935483870968</v>
      </c>
      <c r="F29" s="27">
        <v>0.18</v>
      </c>
      <c r="G29" s="19">
        <f t="shared" si="1"/>
        <v>859.19354838709683</v>
      </c>
      <c r="H29" s="27">
        <v>1.0229999999999999</v>
      </c>
      <c r="I29" s="19">
        <f t="shared" si="2"/>
        <v>135.90322580645162</v>
      </c>
      <c r="J29" s="28">
        <v>2.2400000000000002</v>
      </c>
      <c r="K29" s="19">
        <f t="shared" si="3"/>
        <v>224.35483870967741</v>
      </c>
      <c r="L29" s="19">
        <f>'Sydney Daily'!L31</f>
        <v>0</v>
      </c>
    </row>
    <row r="30" spans="1:12" x14ac:dyDescent="0.25">
      <c r="A30" s="16" t="s">
        <v>22</v>
      </c>
      <c r="B30" s="8">
        <f t="shared" si="4"/>
        <v>29</v>
      </c>
      <c r="C30" s="8">
        <v>3</v>
      </c>
      <c r="D30" s="8">
        <v>2020</v>
      </c>
      <c r="E30" s="19">
        <f t="shared" si="0"/>
        <v>15665.935483870968</v>
      </c>
      <c r="F30" s="27">
        <v>0.18</v>
      </c>
      <c r="G30" s="19">
        <f t="shared" si="1"/>
        <v>859.19354838709683</v>
      </c>
      <c r="H30" s="27">
        <v>1.0229999999999999</v>
      </c>
      <c r="I30" s="19">
        <f t="shared" si="2"/>
        <v>135.90322580645162</v>
      </c>
      <c r="J30" s="28">
        <v>2.2400000000000002</v>
      </c>
      <c r="K30" s="19">
        <f t="shared" si="3"/>
        <v>224.35483870967741</v>
      </c>
      <c r="L30" s="19">
        <f>'Sydney Daily'!L32</f>
        <v>0</v>
      </c>
    </row>
    <row r="31" spans="1:12" x14ac:dyDescent="0.25">
      <c r="A31" s="16" t="s">
        <v>22</v>
      </c>
      <c r="B31" s="8">
        <f t="shared" si="4"/>
        <v>30</v>
      </c>
      <c r="C31" s="8">
        <v>3</v>
      </c>
      <c r="D31" s="8">
        <v>2020</v>
      </c>
      <c r="E31" s="19">
        <f t="shared" si="0"/>
        <v>15665.935483870968</v>
      </c>
      <c r="F31" s="27">
        <v>0.18</v>
      </c>
      <c r="G31" s="19">
        <f t="shared" si="1"/>
        <v>859.19354838709683</v>
      </c>
      <c r="H31" s="27">
        <v>1.0229999999999999</v>
      </c>
      <c r="I31" s="19">
        <f t="shared" si="2"/>
        <v>135.90322580645162</v>
      </c>
      <c r="J31" s="28">
        <v>2.2400000000000002</v>
      </c>
      <c r="K31" s="19">
        <f t="shared" si="3"/>
        <v>224.35483870967741</v>
      </c>
      <c r="L31" s="19">
        <f>'Sydney Daily'!L33</f>
        <v>0</v>
      </c>
    </row>
    <row r="32" spans="1:12" x14ac:dyDescent="0.25">
      <c r="A32" s="16" t="s">
        <v>22</v>
      </c>
      <c r="B32" s="8">
        <f t="shared" si="4"/>
        <v>31</v>
      </c>
      <c r="C32" s="8">
        <v>3</v>
      </c>
      <c r="D32" s="8">
        <v>2020</v>
      </c>
      <c r="E32" s="19">
        <f t="shared" si="0"/>
        <v>15665.935483870968</v>
      </c>
      <c r="F32" s="27">
        <v>0.18</v>
      </c>
      <c r="G32" s="19">
        <f t="shared" si="1"/>
        <v>859.19354838709683</v>
      </c>
      <c r="H32" s="27">
        <v>1.0229999999999999</v>
      </c>
      <c r="I32" s="19">
        <f t="shared" si="2"/>
        <v>135.90322580645162</v>
      </c>
      <c r="J32" s="28">
        <v>2.2400000000000002</v>
      </c>
      <c r="K32" s="19">
        <f t="shared" si="3"/>
        <v>224.35483870967741</v>
      </c>
      <c r="L32" s="19">
        <f>'Sydney Daily'!L34</f>
        <v>0</v>
      </c>
    </row>
    <row r="33" spans="5:5" x14ac:dyDescent="0.25">
      <c r="E33" s="19">
        <f t="shared" si="0"/>
        <v>15665.935483870968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35"/>
  <sheetViews>
    <sheetView zoomScale="85" zoomScaleNormal="85" workbookViewId="0">
      <pane xSplit="1" topLeftCell="B1" activePane="topRight" state="frozen"/>
      <selection pane="topRight" activeCell="I9" sqref="I9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2" customWidth="1"/>
    <col min="5" max="5" width="13.85546875" customWidth="1"/>
    <col min="6" max="6" width="13.85546875" style="15" customWidth="1"/>
    <col min="7" max="7" width="14.85546875" customWidth="1"/>
    <col min="8" max="8" width="14.85546875" style="6" customWidth="1"/>
    <col min="9" max="9" width="8.85546875" customWidth="1"/>
    <col min="10" max="10" width="12.5703125" customWidth="1"/>
    <col min="11" max="12" width="13" style="19" customWidth="1"/>
  </cols>
  <sheetData>
    <row r="1" spans="1:12" ht="10.5" customHeight="1" thickBot="1" x14ac:dyDescent="0.45">
      <c r="A1" s="1"/>
      <c r="B1" s="42"/>
      <c r="C1" s="1"/>
      <c r="D1" s="10"/>
      <c r="E1" s="1"/>
      <c r="F1" s="13"/>
      <c r="G1" s="1"/>
      <c r="H1" s="1"/>
      <c r="I1" s="37"/>
      <c r="J1" s="37"/>
      <c r="K1" s="20"/>
      <c r="L1" s="20"/>
    </row>
    <row r="2" spans="1:12" ht="35.25" customHeight="1" thickBot="1" x14ac:dyDescent="0.3">
      <c r="A2" s="18" t="s">
        <v>15</v>
      </c>
      <c r="B2" s="42"/>
      <c r="C2" s="38" t="s">
        <v>24</v>
      </c>
      <c r="D2" s="39"/>
      <c r="E2" s="43" t="s">
        <v>23</v>
      </c>
      <c r="F2" s="43"/>
      <c r="G2" s="43" t="s">
        <v>25</v>
      </c>
      <c r="H2" s="43"/>
      <c r="I2" s="40" t="s">
        <v>21</v>
      </c>
      <c r="J2" s="41"/>
      <c r="K2" s="9"/>
      <c r="L2" s="9"/>
    </row>
    <row r="3" spans="1:12" ht="44.25" customHeight="1" x14ac:dyDescent="0.25">
      <c r="A3" s="2" t="s">
        <v>0</v>
      </c>
      <c r="B3" s="42"/>
      <c r="C3" s="3" t="s">
        <v>1</v>
      </c>
      <c r="D3" s="11" t="s">
        <v>2</v>
      </c>
      <c r="E3" s="4" t="s">
        <v>3</v>
      </c>
      <c r="F3" s="14" t="s">
        <v>2</v>
      </c>
      <c r="G3" s="4" t="s">
        <v>26</v>
      </c>
      <c r="H3" s="4" t="s">
        <v>2</v>
      </c>
      <c r="I3" s="4" t="s">
        <v>17</v>
      </c>
      <c r="J3" s="5" t="s">
        <v>16</v>
      </c>
      <c r="K3" s="21" t="s">
        <v>14</v>
      </c>
      <c r="L3" s="21" t="s">
        <v>18</v>
      </c>
    </row>
    <row r="4" spans="1:12" s="36" customFormat="1" ht="35.25" customHeight="1" x14ac:dyDescent="0.25">
      <c r="A4" s="32">
        <v>44196</v>
      </c>
      <c r="B4" s="42"/>
      <c r="C4" s="33">
        <v>1500</v>
      </c>
      <c r="D4" s="34"/>
      <c r="E4" s="33">
        <v>4299</v>
      </c>
      <c r="F4" s="28"/>
      <c r="G4" s="33">
        <v>796700</v>
      </c>
      <c r="H4" s="30"/>
      <c r="I4" s="33">
        <v>348000</v>
      </c>
      <c r="K4" s="35"/>
      <c r="L4" s="35"/>
    </row>
    <row r="5" spans="1:12" ht="33" customHeight="1" x14ac:dyDescent="0.25">
      <c r="A5" s="7">
        <v>44197</v>
      </c>
      <c r="B5" s="42"/>
      <c r="C5" s="17">
        <v>0</v>
      </c>
      <c r="D5" s="31" t="str">
        <f t="shared" ref="D5:D22" si="0">IF((C5-C4&lt;0), "0",C5-C4)</f>
        <v>0</v>
      </c>
      <c r="E5" s="17">
        <v>0</v>
      </c>
      <c r="F5" s="31" t="str">
        <f>IF((E5-E4&lt;0), "0",E5-E4)</f>
        <v>0</v>
      </c>
      <c r="G5" s="17">
        <v>0</v>
      </c>
      <c r="H5" s="31" t="str">
        <f>IF((G5-G4&lt;0), "0",G5-G4)</f>
        <v>0</v>
      </c>
      <c r="I5" s="17">
        <v>0</v>
      </c>
      <c r="J5" s="31" t="str">
        <f>IF((I5-I4&lt;0), "0",I5-I4)</f>
        <v>0</v>
      </c>
      <c r="K5" s="22"/>
      <c r="L5" s="22"/>
    </row>
    <row r="6" spans="1:12" ht="45" customHeight="1" x14ac:dyDescent="0.25">
      <c r="A6" s="7">
        <v>44198</v>
      </c>
      <c r="B6" s="42"/>
      <c r="C6" s="17">
        <v>0</v>
      </c>
      <c r="D6" s="31">
        <f t="shared" si="0"/>
        <v>0</v>
      </c>
      <c r="E6" s="17">
        <v>0</v>
      </c>
      <c r="F6" s="31">
        <f t="shared" ref="F6:F35" si="1">IF((E6-E5&lt;0), "0",E6-E5)</f>
        <v>0</v>
      </c>
      <c r="G6" s="17">
        <v>0</v>
      </c>
      <c r="H6" s="31">
        <f t="shared" ref="H6:H35" si="2">IF((G6-G5&lt;0), "0",G6-G5)</f>
        <v>0</v>
      </c>
      <c r="I6" s="17">
        <v>0</v>
      </c>
      <c r="J6" s="31">
        <f t="shared" ref="J6:J35" si="3">IF((I6-I5&lt;0), "0",I6-I5)</f>
        <v>0</v>
      </c>
      <c r="K6" s="20"/>
      <c r="L6" s="20"/>
    </row>
    <row r="7" spans="1:12" ht="45" customHeight="1" x14ac:dyDescent="0.25">
      <c r="A7" s="7">
        <v>44199</v>
      </c>
      <c r="B7" s="42"/>
      <c r="C7" s="17">
        <v>0</v>
      </c>
      <c r="D7" s="31">
        <f t="shared" si="0"/>
        <v>0</v>
      </c>
      <c r="E7" s="17">
        <v>0</v>
      </c>
      <c r="F7" s="31">
        <f t="shared" si="1"/>
        <v>0</v>
      </c>
      <c r="G7" s="17">
        <v>0</v>
      </c>
      <c r="H7" s="31">
        <f t="shared" si="2"/>
        <v>0</v>
      </c>
      <c r="I7" s="17">
        <v>0</v>
      </c>
      <c r="J7" s="31">
        <f t="shared" si="3"/>
        <v>0</v>
      </c>
      <c r="K7" s="20"/>
      <c r="L7" s="20"/>
    </row>
    <row r="8" spans="1:12" ht="45" customHeight="1" x14ac:dyDescent="0.25">
      <c r="A8" s="7">
        <v>44200</v>
      </c>
      <c r="B8" s="42"/>
      <c r="C8" s="17">
        <v>0</v>
      </c>
      <c r="D8" s="31">
        <f t="shared" si="0"/>
        <v>0</v>
      </c>
      <c r="E8" s="17">
        <v>0</v>
      </c>
      <c r="F8" s="31">
        <f t="shared" si="1"/>
        <v>0</v>
      </c>
      <c r="G8" s="17">
        <v>0</v>
      </c>
      <c r="H8" s="31">
        <f t="shared" si="2"/>
        <v>0</v>
      </c>
      <c r="I8" s="17">
        <v>0</v>
      </c>
      <c r="J8" s="31">
        <f t="shared" si="3"/>
        <v>0</v>
      </c>
      <c r="K8" s="20"/>
      <c r="L8" s="20"/>
    </row>
    <row r="9" spans="1:12" ht="45" customHeight="1" x14ac:dyDescent="0.25">
      <c r="A9" s="7">
        <v>44201</v>
      </c>
      <c r="B9" s="42"/>
      <c r="C9" s="17">
        <v>0</v>
      </c>
      <c r="D9" s="31">
        <f t="shared" si="0"/>
        <v>0</v>
      </c>
      <c r="E9" s="17">
        <v>0</v>
      </c>
      <c r="F9" s="31">
        <f t="shared" si="1"/>
        <v>0</v>
      </c>
      <c r="G9" s="17">
        <v>0</v>
      </c>
      <c r="H9" s="31">
        <f t="shared" si="2"/>
        <v>0</v>
      </c>
      <c r="I9" s="17">
        <v>0</v>
      </c>
      <c r="J9" s="31">
        <f t="shared" si="3"/>
        <v>0</v>
      </c>
      <c r="K9" s="20"/>
      <c r="L9" s="20"/>
    </row>
    <row r="10" spans="1:12" ht="45" customHeight="1" x14ac:dyDescent="0.25">
      <c r="A10" s="7">
        <v>44202</v>
      </c>
      <c r="B10" s="42"/>
      <c r="C10" s="17">
        <v>0</v>
      </c>
      <c r="D10" s="31">
        <f t="shared" si="0"/>
        <v>0</v>
      </c>
      <c r="E10" s="17">
        <v>0</v>
      </c>
      <c r="F10" s="31">
        <f t="shared" si="1"/>
        <v>0</v>
      </c>
      <c r="G10" s="17">
        <v>0</v>
      </c>
      <c r="H10" s="31">
        <f t="shared" si="2"/>
        <v>0</v>
      </c>
      <c r="I10" s="17">
        <v>0</v>
      </c>
      <c r="J10" s="31">
        <f t="shared" si="3"/>
        <v>0</v>
      </c>
      <c r="K10" s="20"/>
      <c r="L10" s="20"/>
    </row>
    <row r="11" spans="1:12" ht="45" customHeight="1" x14ac:dyDescent="0.25">
      <c r="A11" s="7">
        <v>44203</v>
      </c>
      <c r="B11" s="42"/>
      <c r="C11" s="17">
        <v>0</v>
      </c>
      <c r="D11" s="31">
        <f t="shared" si="0"/>
        <v>0</v>
      </c>
      <c r="E11" s="17">
        <v>0</v>
      </c>
      <c r="F11" s="31">
        <f t="shared" si="1"/>
        <v>0</v>
      </c>
      <c r="G11" s="17">
        <v>0</v>
      </c>
      <c r="H11" s="31">
        <f t="shared" si="2"/>
        <v>0</v>
      </c>
      <c r="I11" s="17">
        <v>0</v>
      </c>
      <c r="J11" s="31">
        <f t="shared" si="3"/>
        <v>0</v>
      </c>
      <c r="K11" s="20"/>
      <c r="L11" s="20"/>
    </row>
    <row r="12" spans="1:12" ht="45" customHeight="1" x14ac:dyDescent="0.25">
      <c r="A12" s="7">
        <v>44204</v>
      </c>
      <c r="B12" s="42"/>
      <c r="C12" s="17">
        <v>0</v>
      </c>
      <c r="D12" s="31">
        <f t="shared" si="0"/>
        <v>0</v>
      </c>
      <c r="E12" s="17">
        <v>0</v>
      </c>
      <c r="F12" s="31">
        <f t="shared" si="1"/>
        <v>0</v>
      </c>
      <c r="G12" s="17">
        <v>0</v>
      </c>
      <c r="H12" s="31">
        <f t="shared" si="2"/>
        <v>0</v>
      </c>
      <c r="I12" s="17">
        <v>0</v>
      </c>
      <c r="J12" s="31">
        <f t="shared" si="3"/>
        <v>0</v>
      </c>
      <c r="K12" s="20"/>
      <c r="L12" s="20"/>
    </row>
    <row r="13" spans="1:12" ht="45" customHeight="1" x14ac:dyDescent="0.25">
      <c r="A13" s="7">
        <v>44205</v>
      </c>
      <c r="B13" s="42"/>
      <c r="C13" s="17">
        <v>0</v>
      </c>
      <c r="D13" s="31">
        <f t="shared" si="0"/>
        <v>0</v>
      </c>
      <c r="E13" s="17">
        <v>0</v>
      </c>
      <c r="F13" s="31">
        <f t="shared" si="1"/>
        <v>0</v>
      </c>
      <c r="G13" s="17">
        <v>0</v>
      </c>
      <c r="H13" s="31">
        <f t="shared" si="2"/>
        <v>0</v>
      </c>
      <c r="I13" s="17">
        <v>0</v>
      </c>
      <c r="J13" s="31">
        <f t="shared" si="3"/>
        <v>0</v>
      </c>
      <c r="K13" s="20"/>
      <c r="L13" s="20"/>
    </row>
    <row r="14" spans="1:12" ht="45" customHeight="1" x14ac:dyDescent="0.25">
      <c r="A14" s="7">
        <v>44206</v>
      </c>
      <c r="B14" s="42"/>
      <c r="C14" s="17">
        <v>0</v>
      </c>
      <c r="D14" s="31">
        <f t="shared" si="0"/>
        <v>0</v>
      </c>
      <c r="E14" s="17">
        <v>0</v>
      </c>
      <c r="F14" s="31">
        <f t="shared" si="1"/>
        <v>0</v>
      </c>
      <c r="G14" s="17">
        <v>0</v>
      </c>
      <c r="H14" s="31">
        <f t="shared" si="2"/>
        <v>0</v>
      </c>
      <c r="I14" s="17">
        <v>0</v>
      </c>
      <c r="J14" s="31">
        <f t="shared" si="3"/>
        <v>0</v>
      </c>
      <c r="K14" s="20"/>
      <c r="L14" s="20"/>
    </row>
    <row r="15" spans="1:12" ht="45" customHeight="1" x14ac:dyDescent="0.25">
      <c r="A15" s="7">
        <v>44207</v>
      </c>
      <c r="B15" s="42"/>
      <c r="C15" s="17">
        <v>0</v>
      </c>
      <c r="D15" s="31">
        <f t="shared" si="0"/>
        <v>0</v>
      </c>
      <c r="E15" s="17">
        <v>0</v>
      </c>
      <c r="F15" s="31">
        <f t="shared" si="1"/>
        <v>0</v>
      </c>
      <c r="G15" s="17">
        <v>0</v>
      </c>
      <c r="H15" s="31">
        <f t="shared" si="2"/>
        <v>0</v>
      </c>
      <c r="I15" s="17">
        <v>0</v>
      </c>
      <c r="J15" s="31">
        <f t="shared" si="3"/>
        <v>0</v>
      </c>
      <c r="K15" s="20"/>
      <c r="L15" s="20"/>
    </row>
    <row r="16" spans="1:12" ht="45" customHeight="1" x14ac:dyDescent="0.25">
      <c r="A16" s="7">
        <v>44208</v>
      </c>
      <c r="B16" s="42"/>
      <c r="C16" s="17">
        <v>0</v>
      </c>
      <c r="D16" s="31">
        <f t="shared" si="0"/>
        <v>0</v>
      </c>
      <c r="E16" s="17">
        <v>0</v>
      </c>
      <c r="F16" s="31">
        <f t="shared" si="1"/>
        <v>0</v>
      </c>
      <c r="G16" s="17">
        <v>0</v>
      </c>
      <c r="H16" s="31">
        <f t="shared" si="2"/>
        <v>0</v>
      </c>
      <c r="I16" s="17">
        <v>0</v>
      </c>
      <c r="J16" s="31">
        <f t="shared" si="3"/>
        <v>0</v>
      </c>
      <c r="K16" s="20"/>
      <c r="L16" s="20"/>
    </row>
    <row r="17" spans="1:12" ht="45" customHeight="1" x14ac:dyDescent="0.25">
      <c r="A17" s="7">
        <v>44209</v>
      </c>
      <c r="B17" s="42"/>
      <c r="C17" s="17">
        <v>0</v>
      </c>
      <c r="D17" s="31">
        <f t="shared" si="0"/>
        <v>0</v>
      </c>
      <c r="E17" s="17">
        <v>0</v>
      </c>
      <c r="F17" s="31">
        <f t="shared" si="1"/>
        <v>0</v>
      </c>
      <c r="G17" s="17">
        <v>0</v>
      </c>
      <c r="H17" s="31">
        <f t="shared" si="2"/>
        <v>0</v>
      </c>
      <c r="I17" s="17">
        <v>0</v>
      </c>
      <c r="J17" s="31">
        <f t="shared" si="3"/>
        <v>0</v>
      </c>
      <c r="K17" s="20"/>
      <c r="L17" s="20"/>
    </row>
    <row r="18" spans="1:12" ht="45" customHeight="1" x14ac:dyDescent="0.25">
      <c r="A18" s="7">
        <v>44210</v>
      </c>
      <c r="B18" s="42"/>
      <c r="C18" s="17">
        <v>0</v>
      </c>
      <c r="D18" s="31">
        <f t="shared" si="0"/>
        <v>0</v>
      </c>
      <c r="E18" s="17">
        <v>0</v>
      </c>
      <c r="F18" s="31">
        <f t="shared" si="1"/>
        <v>0</v>
      </c>
      <c r="G18" s="17">
        <v>0</v>
      </c>
      <c r="H18" s="31">
        <f t="shared" si="2"/>
        <v>0</v>
      </c>
      <c r="I18" s="17">
        <v>0</v>
      </c>
      <c r="J18" s="31">
        <f t="shared" si="3"/>
        <v>0</v>
      </c>
      <c r="K18" s="20"/>
      <c r="L18" s="20"/>
    </row>
    <row r="19" spans="1:12" ht="45" customHeight="1" x14ac:dyDescent="0.25">
      <c r="A19" s="7">
        <v>44211</v>
      </c>
      <c r="B19" s="42"/>
      <c r="C19" s="17">
        <v>0</v>
      </c>
      <c r="D19" s="31">
        <f t="shared" si="0"/>
        <v>0</v>
      </c>
      <c r="E19" s="17">
        <v>0</v>
      </c>
      <c r="F19" s="31">
        <f t="shared" si="1"/>
        <v>0</v>
      </c>
      <c r="G19" s="17">
        <v>0</v>
      </c>
      <c r="H19" s="31">
        <f t="shared" si="2"/>
        <v>0</v>
      </c>
      <c r="I19" s="17">
        <v>0</v>
      </c>
      <c r="J19" s="31">
        <f t="shared" si="3"/>
        <v>0</v>
      </c>
      <c r="K19" s="20"/>
      <c r="L19" s="20"/>
    </row>
    <row r="20" spans="1:12" ht="45" customHeight="1" x14ac:dyDescent="0.25">
      <c r="A20" s="7">
        <v>44212</v>
      </c>
      <c r="B20" s="42"/>
      <c r="C20" s="17">
        <v>0</v>
      </c>
      <c r="D20" s="31">
        <f t="shared" si="0"/>
        <v>0</v>
      </c>
      <c r="E20" s="17">
        <v>0</v>
      </c>
      <c r="F20" s="31">
        <f t="shared" si="1"/>
        <v>0</v>
      </c>
      <c r="G20" s="17">
        <v>0</v>
      </c>
      <c r="H20" s="31">
        <f t="shared" si="2"/>
        <v>0</v>
      </c>
      <c r="I20" s="17">
        <v>0</v>
      </c>
      <c r="J20" s="31">
        <f t="shared" si="3"/>
        <v>0</v>
      </c>
      <c r="K20" s="20"/>
      <c r="L20" s="20"/>
    </row>
    <row r="21" spans="1:12" ht="45" customHeight="1" x14ac:dyDescent="0.25">
      <c r="A21" s="7">
        <v>44213</v>
      </c>
      <c r="B21" s="42"/>
      <c r="C21" s="17">
        <v>0</v>
      </c>
      <c r="D21" s="31">
        <f t="shared" si="0"/>
        <v>0</v>
      </c>
      <c r="E21" s="17">
        <v>0</v>
      </c>
      <c r="F21" s="31">
        <f t="shared" si="1"/>
        <v>0</v>
      </c>
      <c r="G21" s="17">
        <v>0</v>
      </c>
      <c r="H21" s="31">
        <f t="shared" si="2"/>
        <v>0</v>
      </c>
      <c r="I21" s="17">
        <v>0</v>
      </c>
      <c r="J21" s="31">
        <f t="shared" si="3"/>
        <v>0</v>
      </c>
      <c r="K21" s="20"/>
      <c r="L21" s="20"/>
    </row>
    <row r="22" spans="1:12" ht="45" customHeight="1" x14ac:dyDescent="0.25">
      <c r="A22" s="7">
        <v>44214</v>
      </c>
      <c r="B22" s="42"/>
      <c r="C22" s="17">
        <v>0</v>
      </c>
      <c r="D22" s="31">
        <f t="shared" si="0"/>
        <v>0</v>
      </c>
      <c r="E22" s="17">
        <v>0</v>
      </c>
      <c r="F22" s="31">
        <f t="shared" si="1"/>
        <v>0</v>
      </c>
      <c r="G22" s="17">
        <v>0</v>
      </c>
      <c r="H22" s="31">
        <f t="shared" si="2"/>
        <v>0</v>
      </c>
      <c r="I22" s="17">
        <v>0</v>
      </c>
      <c r="J22" s="31">
        <f t="shared" si="3"/>
        <v>0</v>
      </c>
      <c r="K22" s="20"/>
      <c r="L22" s="20"/>
    </row>
    <row r="23" spans="1:12" ht="45" customHeight="1" x14ac:dyDescent="0.25">
      <c r="A23" s="7">
        <v>44215</v>
      </c>
      <c r="B23" s="42"/>
      <c r="C23" s="17">
        <v>0</v>
      </c>
      <c r="D23" s="31">
        <f>IF((C23-C22&lt;0), "0",C23-C22)</f>
        <v>0</v>
      </c>
      <c r="E23" s="17">
        <v>0</v>
      </c>
      <c r="F23" s="31">
        <f t="shared" si="1"/>
        <v>0</v>
      </c>
      <c r="G23" s="17">
        <v>0</v>
      </c>
      <c r="H23" s="31">
        <f t="shared" si="2"/>
        <v>0</v>
      </c>
      <c r="I23" s="17">
        <v>0</v>
      </c>
      <c r="J23" s="31">
        <f t="shared" si="3"/>
        <v>0</v>
      </c>
      <c r="K23" s="20"/>
      <c r="L23" s="20"/>
    </row>
    <row r="24" spans="1:12" ht="45" customHeight="1" x14ac:dyDescent="0.25">
      <c r="A24" s="7">
        <v>44216</v>
      </c>
      <c r="B24" s="42"/>
      <c r="C24" s="17">
        <v>0</v>
      </c>
      <c r="D24" s="31">
        <f t="shared" ref="D24:D35" si="4">IF((C24-C23&lt;0), "0",C24-C23)</f>
        <v>0</v>
      </c>
      <c r="E24" s="17">
        <v>0</v>
      </c>
      <c r="F24" s="31">
        <f t="shared" si="1"/>
        <v>0</v>
      </c>
      <c r="G24" s="17">
        <v>0</v>
      </c>
      <c r="H24" s="31">
        <f t="shared" si="2"/>
        <v>0</v>
      </c>
      <c r="I24" s="17">
        <v>0</v>
      </c>
      <c r="J24" s="31">
        <f t="shared" si="3"/>
        <v>0</v>
      </c>
      <c r="K24" s="20"/>
      <c r="L24" s="20"/>
    </row>
    <row r="25" spans="1:12" ht="45" customHeight="1" x14ac:dyDescent="0.25">
      <c r="A25" s="7">
        <v>44217</v>
      </c>
      <c r="B25" s="42"/>
      <c r="C25" s="17">
        <v>0</v>
      </c>
      <c r="D25" s="31">
        <f t="shared" si="4"/>
        <v>0</v>
      </c>
      <c r="E25" s="17">
        <v>0</v>
      </c>
      <c r="F25" s="31">
        <f t="shared" si="1"/>
        <v>0</v>
      </c>
      <c r="G25" s="17">
        <v>0</v>
      </c>
      <c r="H25" s="31">
        <f t="shared" si="2"/>
        <v>0</v>
      </c>
      <c r="I25" s="17">
        <v>0</v>
      </c>
      <c r="J25" s="31">
        <f t="shared" si="3"/>
        <v>0</v>
      </c>
      <c r="K25" s="20"/>
      <c r="L25" s="20"/>
    </row>
    <row r="26" spans="1:12" ht="45" customHeight="1" x14ac:dyDescent="0.25">
      <c r="A26" s="7">
        <v>44218</v>
      </c>
      <c r="B26" s="42"/>
      <c r="C26" s="17">
        <v>0</v>
      </c>
      <c r="D26" s="31">
        <f t="shared" si="4"/>
        <v>0</v>
      </c>
      <c r="E26" s="17">
        <v>0</v>
      </c>
      <c r="F26" s="31">
        <f t="shared" si="1"/>
        <v>0</v>
      </c>
      <c r="G26" s="17">
        <v>0</v>
      </c>
      <c r="H26" s="31">
        <f t="shared" si="2"/>
        <v>0</v>
      </c>
      <c r="I26" s="17">
        <v>0</v>
      </c>
      <c r="J26" s="31">
        <f t="shared" si="3"/>
        <v>0</v>
      </c>
      <c r="K26" s="20"/>
      <c r="L26" s="20"/>
    </row>
    <row r="27" spans="1:12" ht="45" customHeight="1" x14ac:dyDescent="0.25">
      <c r="A27" s="7">
        <v>44219</v>
      </c>
      <c r="B27" s="42"/>
      <c r="C27" s="17">
        <v>0</v>
      </c>
      <c r="D27" s="31">
        <f t="shared" si="4"/>
        <v>0</v>
      </c>
      <c r="E27" s="17">
        <v>0</v>
      </c>
      <c r="F27" s="31">
        <f t="shared" si="1"/>
        <v>0</v>
      </c>
      <c r="G27" s="17">
        <v>0</v>
      </c>
      <c r="H27" s="31">
        <f t="shared" si="2"/>
        <v>0</v>
      </c>
      <c r="I27" s="17">
        <v>0</v>
      </c>
      <c r="J27" s="31">
        <f t="shared" si="3"/>
        <v>0</v>
      </c>
      <c r="K27" s="20"/>
      <c r="L27" s="20"/>
    </row>
    <row r="28" spans="1:12" ht="45" customHeight="1" x14ac:dyDescent="0.25">
      <c r="A28" s="7">
        <v>44220</v>
      </c>
      <c r="B28" s="42"/>
      <c r="C28" s="17">
        <v>0</v>
      </c>
      <c r="D28" s="31">
        <f t="shared" si="4"/>
        <v>0</v>
      </c>
      <c r="E28" s="17">
        <v>0</v>
      </c>
      <c r="F28" s="31">
        <f t="shared" si="1"/>
        <v>0</v>
      </c>
      <c r="G28" s="17">
        <v>0</v>
      </c>
      <c r="H28" s="31">
        <f t="shared" si="2"/>
        <v>0</v>
      </c>
      <c r="I28" s="17">
        <v>0</v>
      </c>
      <c r="J28" s="31">
        <f t="shared" si="3"/>
        <v>0</v>
      </c>
      <c r="K28" s="20"/>
      <c r="L28" s="20"/>
    </row>
    <row r="29" spans="1:12" ht="45" customHeight="1" x14ac:dyDescent="0.25">
      <c r="A29" s="7">
        <v>44221</v>
      </c>
      <c r="B29" s="42"/>
      <c r="C29" s="17">
        <v>0</v>
      </c>
      <c r="D29" s="31">
        <f t="shared" si="4"/>
        <v>0</v>
      </c>
      <c r="E29" s="17">
        <v>0</v>
      </c>
      <c r="F29" s="31">
        <f t="shared" si="1"/>
        <v>0</v>
      </c>
      <c r="G29" s="17">
        <v>0</v>
      </c>
      <c r="H29" s="31">
        <f t="shared" si="2"/>
        <v>0</v>
      </c>
      <c r="I29" s="17">
        <v>0</v>
      </c>
      <c r="J29" s="31">
        <f t="shared" si="3"/>
        <v>0</v>
      </c>
      <c r="K29" s="20"/>
      <c r="L29" s="20"/>
    </row>
    <row r="30" spans="1:12" ht="45" customHeight="1" x14ac:dyDescent="0.25">
      <c r="A30" s="7">
        <v>44222</v>
      </c>
      <c r="B30" s="42"/>
      <c r="C30" s="17">
        <v>0</v>
      </c>
      <c r="D30" s="31">
        <f t="shared" si="4"/>
        <v>0</v>
      </c>
      <c r="E30" s="17">
        <v>0</v>
      </c>
      <c r="F30" s="31">
        <f t="shared" si="1"/>
        <v>0</v>
      </c>
      <c r="G30" s="17">
        <v>0</v>
      </c>
      <c r="H30" s="31">
        <f t="shared" si="2"/>
        <v>0</v>
      </c>
      <c r="I30" s="17">
        <v>0</v>
      </c>
      <c r="J30" s="31">
        <f t="shared" si="3"/>
        <v>0</v>
      </c>
      <c r="K30" s="20"/>
      <c r="L30" s="20"/>
    </row>
    <row r="31" spans="1:12" ht="45" customHeight="1" x14ac:dyDescent="0.25">
      <c r="A31" s="7">
        <v>44223</v>
      </c>
      <c r="B31" s="42"/>
      <c r="C31" s="17">
        <v>0</v>
      </c>
      <c r="D31" s="31">
        <f t="shared" si="4"/>
        <v>0</v>
      </c>
      <c r="E31" s="17">
        <v>0</v>
      </c>
      <c r="F31" s="31">
        <f t="shared" si="1"/>
        <v>0</v>
      </c>
      <c r="G31" s="17">
        <v>0</v>
      </c>
      <c r="H31" s="31">
        <f t="shared" si="2"/>
        <v>0</v>
      </c>
      <c r="I31" s="17">
        <v>0</v>
      </c>
      <c r="J31" s="31">
        <f t="shared" si="3"/>
        <v>0</v>
      </c>
      <c r="K31" s="20"/>
      <c r="L31" s="20"/>
    </row>
    <row r="32" spans="1:12" ht="45" customHeight="1" x14ac:dyDescent="0.25">
      <c r="A32" s="7">
        <v>44224</v>
      </c>
      <c r="B32" s="42"/>
      <c r="C32" s="17">
        <v>0</v>
      </c>
      <c r="D32" s="31">
        <f t="shared" si="4"/>
        <v>0</v>
      </c>
      <c r="E32" s="17">
        <v>0</v>
      </c>
      <c r="F32" s="31">
        <f t="shared" si="1"/>
        <v>0</v>
      </c>
      <c r="G32" s="17">
        <v>0</v>
      </c>
      <c r="H32" s="31">
        <f t="shared" si="2"/>
        <v>0</v>
      </c>
      <c r="I32" s="17">
        <v>0</v>
      </c>
      <c r="J32" s="31">
        <f t="shared" si="3"/>
        <v>0</v>
      </c>
      <c r="K32" s="20"/>
      <c r="L32" s="20"/>
    </row>
    <row r="33" spans="1:12" ht="36" customHeight="1" x14ac:dyDescent="0.25">
      <c r="A33" s="7">
        <v>44225</v>
      </c>
      <c r="C33" s="17">
        <v>0</v>
      </c>
      <c r="D33" s="31">
        <f t="shared" si="4"/>
        <v>0</v>
      </c>
      <c r="E33" s="17">
        <v>0</v>
      </c>
      <c r="F33" s="31">
        <f t="shared" si="1"/>
        <v>0</v>
      </c>
      <c r="G33" s="17">
        <v>0</v>
      </c>
      <c r="H33" s="31">
        <f t="shared" si="2"/>
        <v>0</v>
      </c>
      <c r="I33" s="17">
        <v>0</v>
      </c>
      <c r="J33" s="31">
        <f t="shared" si="3"/>
        <v>0</v>
      </c>
      <c r="K33" s="20"/>
      <c r="L33" s="20"/>
    </row>
    <row r="34" spans="1:12" ht="45.6" customHeight="1" x14ac:dyDescent="0.25">
      <c r="A34" s="7">
        <v>44226</v>
      </c>
      <c r="C34" s="17">
        <v>0</v>
      </c>
      <c r="D34" s="31">
        <f t="shared" si="4"/>
        <v>0</v>
      </c>
      <c r="E34" s="17">
        <v>0</v>
      </c>
      <c r="F34" s="31">
        <f t="shared" si="1"/>
        <v>0</v>
      </c>
      <c r="G34" s="17">
        <v>0</v>
      </c>
      <c r="H34" s="31">
        <f t="shared" si="2"/>
        <v>0</v>
      </c>
      <c r="I34" s="17">
        <v>0</v>
      </c>
      <c r="J34" s="31">
        <f t="shared" si="3"/>
        <v>0</v>
      </c>
      <c r="K34" s="20"/>
      <c r="L34" s="20"/>
    </row>
    <row r="35" spans="1:12" ht="47.45" customHeight="1" x14ac:dyDescent="0.25">
      <c r="A35" s="7">
        <v>44227</v>
      </c>
      <c r="C35" s="17">
        <v>0</v>
      </c>
      <c r="D35" s="31">
        <f t="shared" si="4"/>
        <v>0</v>
      </c>
      <c r="E35" s="17">
        <v>0</v>
      </c>
      <c r="F35" s="31">
        <f t="shared" si="1"/>
        <v>0</v>
      </c>
      <c r="G35" s="17">
        <v>0</v>
      </c>
      <c r="H35" s="31">
        <f t="shared" si="2"/>
        <v>0</v>
      </c>
      <c r="I35" s="17">
        <v>0</v>
      </c>
      <c r="J35" s="31">
        <f t="shared" si="3"/>
        <v>0</v>
      </c>
      <c r="K35" s="20"/>
      <c r="L35" s="20"/>
    </row>
  </sheetData>
  <mergeCells count="6">
    <mergeCell ref="I1:J1"/>
    <mergeCell ref="C2:D2"/>
    <mergeCell ref="I2:J2"/>
    <mergeCell ref="B1:B32"/>
    <mergeCell ref="E2:F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Sydney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Joe El Khoury</cp:lastModifiedBy>
  <dcterms:created xsi:type="dcterms:W3CDTF">2017-05-03T09:23:30Z</dcterms:created>
  <dcterms:modified xsi:type="dcterms:W3CDTF">2021-03-15T14:08:42Z</dcterms:modified>
</cp:coreProperties>
</file>