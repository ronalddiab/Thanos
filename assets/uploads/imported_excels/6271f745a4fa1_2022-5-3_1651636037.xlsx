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4" i="10" s="1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H8" i="10"/>
  <c r="H7" i="10"/>
  <c r="I8" i="10" s="1"/>
  <c r="I6" i="10"/>
  <c r="H6" i="10"/>
  <c r="H5" i="10"/>
  <c r="I5" i="10" s="1"/>
  <c r="I36" i="10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J16" i="9" s="1"/>
  <c r="I15" i="9"/>
  <c r="J15" i="9" s="1"/>
  <c r="G15" i="9"/>
  <c r="G14" i="9"/>
  <c r="I14" i="9" s="1"/>
  <c r="J14" i="9" s="1"/>
  <c r="G13" i="9"/>
  <c r="I13" i="9" s="1"/>
  <c r="G12" i="9"/>
  <c r="I12" i="9" s="1"/>
  <c r="J12" i="9" s="1"/>
  <c r="I11" i="9"/>
  <c r="J11" i="9" s="1"/>
  <c r="G11" i="9"/>
  <c r="G10" i="9"/>
  <c r="I10" i="9" s="1"/>
  <c r="G9" i="9"/>
  <c r="I9" i="9" s="1"/>
  <c r="J9" i="9" s="1"/>
  <c r="G8" i="9"/>
  <c r="I8" i="9" s="1"/>
  <c r="G7" i="9"/>
  <c r="I7" i="9" s="1"/>
  <c r="G6" i="9"/>
  <c r="I6" i="9" s="1"/>
  <c r="G5" i="9"/>
  <c r="I5" i="9" s="1"/>
  <c r="G4" i="9"/>
  <c r="I4" i="9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5" i="8"/>
  <c r="I7" i="10" l="1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<sst xmlns="http://schemas.openxmlformats.org/spreadsheetml/2006/main" count="73" uniqueCount="38">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</sst>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3" sqref="E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 t="e">
        <f>Electricity!I4</f>
        <v>#VALUE!</v>
      </c>
      <c r="F2" s="3">
        <v>1.9</v>
      </c>
      <c r="G2" s="13">
        <v>0</v>
      </c>
      <c r="H2" s="3">
        <v>3.2</v>
      </c>
      <c r="I2" s="13">
        <f>Water!E4</f>
        <v>12228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0.8</v>
      </c>
      <c r="G3" s="13">
        <f>Gas!J5</f>
        <v>0</v>
      </c>
      <c r="H3" s="3">
        <v>3.2</v>
      </c>
      <c r="I3" s="13">
        <f>Water!E5</f>
        <v>12236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0.8</v>
      </c>
      <c r="G4" s="13">
        <f>Gas!J6</f>
        <v>0</v>
      </c>
      <c r="H4" s="3">
        <v>3.2</v>
      </c>
      <c r="I4" s="13">
        <f>Water!E6</f>
        <v>12238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0.8</v>
      </c>
      <c r="G5" s="13">
        <f>Gas!J7</f>
        <v>0</v>
      </c>
      <c r="H5" s="3">
        <v>3.2</v>
      </c>
      <c r="I5" s="13">
        <f>Water!E7</f>
        <v>12247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-13405148.880000001</v>
      </c>
      <c r="F6" s="3">
        <v>0.8</v>
      </c>
      <c r="G6" s="13">
        <f>Gas!J8</f>
        <v>-1192420.365432</v>
      </c>
      <c r="H6" s="3">
        <v>3.2</v>
      </c>
      <c r="I6" s="13">
        <f>Water!E8</f>
        <v>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0</v>
      </c>
      <c r="F7" s="3">
        <v>0.8</v>
      </c>
      <c r="G7" s="13">
        <f>Gas!J9</f>
        <v>0</v>
      </c>
      <c r="H7" s="3">
        <v>3.2</v>
      </c>
      <c r="I7" s="13">
        <f>Water!E9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0</v>
      </c>
      <c r="F8" s="3">
        <v>0.8</v>
      </c>
      <c r="G8" s="13">
        <f>Gas!J10</f>
        <v>0</v>
      </c>
      <c r="H8" s="3">
        <v>3.2</v>
      </c>
      <c r="I8" s="13">
        <f>Water!E10</f>
        <v>0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0</v>
      </c>
      <c r="F9" s="3">
        <v>0.8</v>
      </c>
      <c r="G9" s="13">
        <f>Gas!J11</f>
        <v>0</v>
      </c>
      <c r="H9" s="3">
        <v>3.2</v>
      </c>
      <c r="I9" s="13">
        <f>Water!E11</f>
        <v>0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0</v>
      </c>
      <c r="F10" s="3">
        <v>0.8</v>
      </c>
      <c r="G10" s="13">
        <f>Gas!J12</f>
        <v>0</v>
      </c>
      <c r="H10" s="3">
        <v>3.2</v>
      </c>
      <c r="I10" s="13">
        <f>Water!E12</f>
        <v>0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0</v>
      </c>
      <c r="F11" s="3">
        <v>0.8</v>
      </c>
      <c r="G11" s="13">
        <f>Gas!J13</f>
        <v>0</v>
      </c>
      <c r="H11" s="3">
        <v>3.2</v>
      </c>
      <c r="I11" s="13">
        <f>Water!E13</f>
        <v>0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0</v>
      </c>
      <c r="F12" s="3">
        <v>0.8</v>
      </c>
      <c r="G12" s="13">
        <f>Gas!J14</f>
        <v>0</v>
      </c>
      <c r="H12" s="3">
        <v>3.2</v>
      </c>
      <c r="I12" s="13">
        <f>Water!E14</f>
        <v>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0</v>
      </c>
      <c r="F13" s="3">
        <v>0.8</v>
      </c>
      <c r="G13" s="13">
        <f>Gas!J15</f>
        <v>0</v>
      </c>
      <c r="H13" s="3">
        <v>3.2</v>
      </c>
      <c r="I13" s="13">
        <f>Water!E15</f>
        <v>0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0</v>
      </c>
      <c r="F14" s="3">
        <v>0.8</v>
      </c>
      <c r="G14" s="13">
        <f>Gas!J16</f>
        <v>0</v>
      </c>
      <c r="H14" s="3">
        <v>3.2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0.8</v>
      </c>
      <c r="G15" s="13">
        <f>Gas!J17</f>
        <v>0</v>
      </c>
      <c r="H15" s="3">
        <v>3.2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0.8</v>
      </c>
      <c r="G16" s="13">
        <f>Gas!J18</f>
        <v>0</v>
      </c>
      <c r="H16" s="3">
        <v>3.2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0.8</v>
      </c>
      <c r="G17" s="13">
        <f>Gas!J19</f>
        <v>0</v>
      </c>
      <c r="H17" s="3">
        <v>3.2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0.8</v>
      </c>
      <c r="G18" s="13">
        <f>Gas!J20</f>
        <v>0</v>
      </c>
      <c r="H18" s="3">
        <v>3.2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0.8</v>
      </c>
      <c r="G19" s="13">
        <f>Gas!J21</f>
        <v>0</v>
      </c>
      <c r="H19" s="3">
        <v>3.2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0.8</v>
      </c>
      <c r="G20" s="13">
        <f>Gas!J22</f>
        <v>0</v>
      </c>
      <c r="H20" s="3">
        <v>3.2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0.8</v>
      </c>
      <c r="G21" s="13">
        <f>Gas!J23</f>
        <v>0</v>
      </c>
      <c r="H21" s="3">
        <v>3.2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0.8</v>
      </c>
      <c r="G22" s="13">
        <f>Gas!J24</f>
        <v>0</v>
      </c>
      <c r="H22" s="3">
        <v>3.2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0.8</v>
      </c>
      <c r="G23" s="13">
        <f>Gas!J25</f>
        <v>0</v>
      </c>
      <c r="H23" s="3">
        <v>3.2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0.8</v>
      </c>
      <c r="G24" s="13">
        <f>Gas!J26</f>
        <v>0</v>
      </c>
      <c r="H24" s="3">
        <v>3.2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0.8</v>
      </c>
      <c r="G25" s="13">
        <f>Gas!J27</f>
        <v>0</v>
      </c>
      <c r="H25" s="3">
        <v>3.2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0.8</v>
      </c>
      <c r="G26" s="13">
        <f>Gas!J28</f>
        <v>0</v>
      </c>
      <c r="H26" s="3">
        <v>3.2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0.8</v>
      </c>
      <c r="G27" s="13">
        <f>Gas!J29</f>
        <v>0</v>
      </c>
      <c r="H27" s="3">
        <v>3.2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0.8</v>
      </c>
      <c r="G28" s="13">
        <f>Gas!J30</f>
        <v>0</v>
      </c>
      <c r="H28" s="3">
        <v>3.2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0.8</v>
      </c>
      <c r="G29" s="13">
        <f>Gas!J31</f>
        <v>0</v>
      </c>
      <c r="H29" s="3">
        <v>3.2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0.8</v>
      </c>
      <c r="G30" s="13">
        <f>Gas!J32</f>
        <v>0</v>
      </c>
      <c r="H30" s="3">
        <v>3.2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0.8</v>
      </c>
      <c r="G31" s="13">
        <f>Gas!J33</f>
        <v>0</v>
      </c>
      <c r="H31" s="3">
        <v>3.2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0.8</v>
      </c>
      <c r="G32" s="13">
        <f>Gas!J34</f>
        <v>0</v>
      </c>
      <c r="H32" s="3">
        <v>3.2</v>
      </c>
      <c r="I32" s="13">
        <f>Water!E34</f>
        <v>0</v>
      </c>
      <c r="J32" s="3">
        <v>18.03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workbookViewId="0">
      <selection activeCell="E5" sqref="E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/>
      <c r="F8" s="24">
        <v>1065</v>
      </c>
      <c r="G8" s="24">
        <f t="shared" si="0"/>
        <v>1065</v>
      </c>
      <c r="H8" s="25">
        <f t="shared" si="1"/>
        <v>-12247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/>
      <c r="F9" s="24">
        <v>1065</v>
      </c>
      <c r="G9" s="24">
        <f t="shared" si="0"/>
        <v>1065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/>
      <c r="F10" s="24">
        <v>1065</v>
      </c>
      <c r="G10" s="24">
        <f t="shared" si="0"/>
        <v>1065</v>
      </c>
      <c r="H10" s="25">
        <f>G10-G9</f>
        <v>0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/>
      <c r="F11" s="24">
        <v>1065</v>
      </c>
      <c r="G11" s="24">
        <f t="shared" si="0"/>
        <v>1065</v>
      </c>
      <c r="H11" s="25">
        <f t="shared" si="1"/>
        <v>0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/>
      <c r="F12" s="24">
        <v>1065</v>
      </c>
      <c r="G12" s="24">
        <f t="shared" si="0"/>
        <v>1065</v>
      </c>
      <c r="H12" s="25">
        <f t="shared" si="1"/>
        <v>0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J5" sqref="J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/>
      <c r="F8" s="24"/>
      <c r="G8" s="24">
        <f t="shared" si="1"/>
        <v>0</v>
      </c>
      <c r="H8" s="18">
        <v>1.2781359999999999</v>
      </c>
      <c r="I8" s="24">
        <f t="shared" si="0"/>
        <v>0</v>
      </c>
      <c r="J8" s="25">
        <f t="shared" si="2"/>
        <v>-1192420.365432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/>
      <c r="F9" s="24"/>
      <c r="G9" s="24">
        <f t="shared" si="1"/>
        <v>0</v>
      </c>
      <c r="H9" s="18">
        <v>1.2781359999999999</v>
      </c>
      <c r="I9" s="24">
        <f t="shared" si="0"/>
        <v>0</v>
      </c>
      <c r="J9" s="25">
        <f t="shared" si="2"/>
        <v>0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/>
      <c r="F10" s="24"/>
      <c r="G10" s="24">
        <f t="shared" si="1"/>
        <v>0</v>
      </c>
      <c r="H10" s="18">
        <v>1.2781359999999999</v>
      </c>
      <c r="I10" s="24">
        <f t="shared" si="0"/>
        <v>0</v>
      </c>
      <c r="J10" s="25">
        <f t="shared" si="2"/>
        <v>0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/>
      <c r="F11" s="24"/>
      <c r="G11" s="24">
        <f t="shared" si="1"/>
        <v>0</v>
      </c>
      <c r="H11" s="18">
        <v>1.2781359999999999</v>
      </c>
      <c r="I11" s="24">
        <f>H11*G11</f>
        <v>0</v>
      </c>
      <c r="J11" s="25">
        <f t="shared" si="2"/>
        <v>0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/>
      <c r="F12" s="24"/>
      <c r="G12" s="24">
        <f t="shared" si="1"/>
        <v>0</v>
      </c>
      <c r="H12" s="18">
        <v>1.2781359999999999</v>
      </c>
      <c r="I12" s="24">
        <f t="shared" si="0"/>
        <v>0</v>
      </c>
      <c r="J12" s="25">
        <f t="shared" si="2"/>
        <v>0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/>
      <c r="F13" s="24"/>
      <c r="G13" s="24">
        <f t="shared" si="1"/>
        <v>0</v>
      </c>
      <c r="H13" s="18">
        <v>1.2781359999999999</v>
      </c>
      <c r="I13" s="24">
        <f t="shared" si="0"/>
        <v>0</v>
      </c>
      <c r="J13" s="25">
        <f t="shared" si="2"/>
        <v>0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/>
      <c r="F14" s="24"/>
      <c r="G14" s="24">
        <f t="shared" si="1"/>
        <v>0</v>
      </c>
      <c r="H14" s="18">
        <v>1.2781359999999999</v>
      </c>
      <c r="I14" s="24">
        <f t="shared" si="0"/>
        <v>0</v>
      </c>
      <c r="J14" s="25">
        <f t="shared" si="2"/>
        <v>0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/>
      <c r="F15" s="24"/>
      <c r="G15" s="24">
        <f>E15+F15</f>
        <v>0</v>
      </c>
      <c r="H15" s="18">
        <v>1.2781359999999999</v>
      </c>
      <c r="I15" s="24">
        <f t="shared" si="0"/>
        <v>0</v>
      </c>
      <c r="J15" s="25">
        <f t="shared" si="2"/>
        <v>0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0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abSelected="1" workbookViewId="0">
      <selection activeCell="G7" sqref="G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 t="e">
        <f>H4-H3</f>
        <v>#VALUE!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/>
      <c r="G8" s="23">
        <v>2760</v>
      </c>
      <c r="H8" s="24">
        <f t="shared" si="1"/>
        <v>0</v>
      </c>
      <c r="I8" s="25">
        <f t="shared" ref="I8:I32" si="2">H8-H7</f>
        <v>-13405148.880000001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/>
      <c r="G9" s="23">
        <v>2760</v>
      </c>
      <c r="H9" s="24">
        <f t="shared" si="1"/>
        <v>0</v>
      </c>
      <c r="I9" s="25">
        <f t="shared" si="2"/>
        <v>0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/>
      <c r="G10" s="23">
        <v>2760</v>
      </c>
      <c r="H10" s="24">
        <f t="shared" si="1"/>
        <v>0</v>
      </c>
      <c r="I10" s="25">
        <f t="shared" si="2"/>
        <v>0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/>
      <c r="G11" s="23">
        <v>2760</v>
      </c>
      <c r="H11" s="24">
        <f t="shared" si="1"/>
        <v>0</v>
      </c>
      <c r="I11" s="25">
        <f t="shared" si="2"/>
        <v>0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/>
      <c r="G12" s="23">
        <v>2760</v>
      </c>
      <c r="H12" s="24">
        <f t="shared" si="1"/>
        <v>0</v>
      </c>
      <c r="I12" s="25">
        <f t="shared" si="2"/>
        <v>0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/>
      <c r="G13" s="23">
        <v>2760</v>
      </c>
      <c r="H13" s="24">
        <f t="shared" si="1"/>
        <v>0</v>
      </c>
      <c r="I13" s="25">
        <f t="shared" si="2"/>
        <v>0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/>
      <c r="G14" s="23">
        <v>2760</v>
      </c>
      <c r="H14" s="24">
        <f t="shared" si="1"/>
        <v>0</v>
      </c>
      <c r="I14" s="25">
        <f t="shared" si="2"/>
        <v>0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/>
      <c r="G15" s="23">
        <v>2760</v>
      </c>
      <c r="H15" s="24">
        <f t="shared" si="1"/>
        <v>0</v>
      </c>
      <c r="I15" s="25">
        <f t="shared" si="2"/>
        <v>0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0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 t="e">
        <f>SUM(I4:I34)</f>
        <v>#VALUE!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2022-05-04T03:46:29Z</dcterms:modified>
</cp:coreProperties>
</file>