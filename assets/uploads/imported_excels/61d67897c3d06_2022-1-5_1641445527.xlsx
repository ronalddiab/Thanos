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E32" i="3"/>
  <c r="F32" i="3" l="1"/>
  <c r="E31" i="3"/>
  <c r="B32" i="3" l="1"/>
  <c r="F31" i="3"/>
  <c r="E30" i="3"/>
  <c r="F30" i="3" l="1"/>
  <c r="E29" i="3"/>
  <c r="F29" i="3" l="1"/>
  <c r="F28" i="3"/>
  <c r="F27" i="3"/>
  <c r="E28" i="3"/>
  <c r="E27" i="3"/>
  <c r="E26" i="3"/>
  <c r="F26" i="3" l="1"/>
  <c r="E25" i="3"/>
  <c r="F25" i="3" l="1"/>
  <c r="E24" i="3"/>
  <c r="F24" i="3" l="1"/>
  <c r="E23" i="3"/>
  <c r="F23" i="3" l="1"/>
  <c r="E22" i="3"/>
  <c r="DK29" i="4" l="1"/>
  <c r="DK28" i="4"/>
  <c r="DK27" i="4"/>
  <c r="DL30" i="4"/>
  <c r="F22" i="3"/>
  <c r="F21" i="3"/>
  <c r="F20" i="3"/>
  <c r="E21" i="3"/>
  <c r="E20" i="3"/>
  <c r="E19" i="3"/>
  <c r="AP20" i="3" l="1"/>
  <c r="AP21" i="3"/>
  <c r="F19" i="3"/>
  <c r="E18" i="3"/>
  <c r="F18" i="3" l="1"/>
  <c r="E17" i="3"/>
  <c r="F17" i="3" l="1"/>
  <c r="E16" i="3"/>
  <c r="F16" i="3" l="1"/>
  <c r="E15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BJ31" i="3" s="1"/>
  <c r="EW39" i="4"/>
  <c r="EV39" i="4"/>
  <c r="EU39" i="4"/>
  <c r="ET39" i="4"/>
  <c r="BG31" i="3" s="1"/>
  <c r="ER39" i="4"/>
  <c r="EQ39" i="4"/>
  <c r="EP39" i="4"/>
  <c r="EO39" i="4"/>
  <c r="BF31" i="3" s="1"/>
  <c r="EN39" i="4"/>
  <c r="EM39" i="4"/>
  <c r="EL39" i="4"/>
  <c r="EK39" i="4"/>
  <c r="BD31" i="3" s="1"/>
  <c r="EJ39" i="4"/>
  <c r="EI39" i="4"/>
  <c r="EH39" i="4"/>
  <c r="EG39" i="4"/>
  <c r="BA31" i="3" s="1"/>
  <c r="EE39" i="4"/>
  <c r="ED39" i="4"/>
  <c r="EC39" i="4"/>
  <c r="EB39" i="4"/>
  <c r="AY31" i="3" s="1"/>
  <c r="EA39" i="4"/>
  <c r="DZ39" i="4"/>
  <c r="DY39" i="4"/>
  <c r="DX39" i="4"/>
  <c r="AW31" i="3" s="1"/>
  <c r="DW39" i="4"/>
  <c r="DV39" i="4"/>
  <c r="DU39" i="4"/>
  <c r="DT39" i="4"/>
  <c r="AU31" i="3" s="1"/>
  <c r="DR39" i="4"/>
  <c r="DQ39" i="4"/>
  <c r="DP39" i="4"/>
  <c r="DO39" i="4"/>
  <c r="AR31" i="3" s="1"/>
  <c r="DN39" i="4"/>
  <c r="DM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K38" i="4"/>
  <c r="DJ38" i="4"/>
  <c r="DI38" i="4"/>
  <c r="AQ30" i="3" s="1"/>
  <c r="DH38" i="4"/>
  <c r="DG38" i="4"/>
  <c r="DF38" i="4"/>
  <c r="DE38" i="4"/>
  <c r="AO30" i="3" s="1"/>
  <c r="DD38" i="4"/>
  <c r="DC38" i="4"/>
  <c r="DB38" i="4"/>
  <c r="DA38" i="4"/>
  <c r="AM30" i="3" s="1"/>
  <c r="CZ38" i="4"/>
  <c r="CY38" i="4"/>
  <c r="CX38" i="4"/>
  <c r="CW38" i="4"/>
  <c r="AK30" i="3" s="1"/>
  <c r="CU38" i="4"/>
  <c r="CT38" i="4"/>
  <c r="CS38" i="4"/>
  <c r="CR38" i="4"/>
  <c r="CQ38" i="4"/>
  <c r="CP38" i="4"/>
  <c r="CO38" i="4"/>
  <c r="CN38" i="4"/>
  <c r="AA30" i="3" s="1"/>
  <c r="CM38" i="4"/>
  <c r="CL38" i="4"/>
  <c r="CK38" i="4"/>
  <c r="CJ38" i="4"/>
  <c r="CI38" i="4"/>
  <c r="CH38" i="4"/>
  <c r="CG38" i="4"/>
  <c r="CF38" i="4"/>
  <c r="CE38" i="4"/>
  <c r="CD38" i="4"/>
  <c r="CC38" i="4"/>
  <c r="AF30" i="3" s="1"/>
  <c r="CB38" i="4"/>
  <c r="CA38" i="4"/>
  <c r="BZ38" i="4"/>
  <c r="BY38" i="4"/>
  <c r="AD30" i="3" s="1"/>
  <c r="BX38" i="4"/>
  <c r="BW38" i="4"/>
  <c r="BV38" i="4"/>
  <c r="BT38" i="4"/>
  <c r="BS38" i="4"/>
  <c r="BH38" i="4"/>
  <c r="BG38" i="4"/>
  <c r="BF38" i="4"/>
  <c r="Y30" i="3" s="1"/>
  <c r="BE38" i="4"/>
  <c r="BD38" i="4"/>
  <c r="BC38" i="4"/>
  <c r="BB38" i="4"/>
  <c r="BA38" i="4"/>
  <c r="AZ38" i="4"/>
  <c r="AX38" i="4"/>
  <c r="AW38" i="4"/>
  <c r="AV38" i="4"/>
  <c r="V30" i="3" s="1"/>
  <c r="AU38" i="4"/>
  <c r="AT38" i="4"/>
  <c r="AS38" i="4"/>
  <c r="U30" i="3" s="1"/>
  <c r="AR38" i="4"/>
  <c r="AQ38" i="4"/>
  <c r="AP38" i="4"/>
  <c r="AO38" i="4"/>
  <c r="AN38" i="4"/>
  <c r="AM38" i="4"/>
  <c r="AL38" i="4"/>
  <c r="AK38" i="4"/>
  <c r="AJ38" i="4"/>
  <c r="R30" i="3" s="1"/>
  <c r="AI38" i="4"/>
  <c r="AH38" i="4"/>
  <c r="AG38" i="4"/>
  <c r="Q30" i="3" s="1"/>
  <c r="AF38" i="4"/>
  <c r="AE38" i="4"/>
  <c r="AD38" i="4"/>
  <c r="AC38" i="4"/>
  <c r="AB38" i="4"/>
  <c r="AA38" i="4"/>
  <c r="Z38" i="4"/>
  <c r="Y38" i="4"/>
  <c r="X38" i="4"/>
  <c r="N30" i="3" s="1"/>
  <c r="W38" i="4"/>
  <c r="V38" i="4"/>
  <c r="U38" i="4"/>
  <c r="M30" i="3" s="1"/>
  <c r="S38" i="4"/>
  <c r="R38" i="4"/>
  <c r="Q38" i="4"/>
  <c r="P38" i="4"/>
  <c r="O38" i="4"/>
  <c r="K30" i="3" s="1"/>
  <c r="N38" i="4"/>
  <c r="M38" i="4"/>
  <c r="L38" i="4"/>
  <c r="K38" i="4"/>
  <c r="J38" i="4"/>
  <c r="I38" i="4"/>
  <c r="H38" i="4"/>
  <c r="G38" i="4"/>
  <c r="F38" i="4"/>
  <c r="E38" i="4"/>
  <c r="D38" i="4"/>
  <c r="C38" i="4"/>
  <c r="G30" i="3" s="1"/>
  <c r="I30" i="1" s="1"/>
  <c r="B38" i="4"/>
  <c r="FC37" i="4"/>
  <c r="FB37" i="4"/>
  <c r="BK29" i="3" s="1"/>
  <c r="FA37" i="4"/>
  <c r="EZ37" i="4"/>
  <c r="EX37" i="4"/>
  <c r="EW37" i="4"/>
  <c r="EV37" i="4"/>
  <c r="BH29" i="3" s="1"/>
  <c r="EU37" i="4"/>
  <c r="ET37" i="4"/>
  <c r="ER37" i="4"/>
  <c r="EQ37" i="4"/>
  <c r="BC29" i="3" s="1"/>
  <c r="EP37" i="4"/>
  <c r="EO37" i="4"/>
  <c r="EN37" i="4"/>
  <c r="EM37" i="4"/>
  <c r="BE29" i="3" s="1"/>
  <c r="EL37" i="4"/>
  <c r="EK37" i="4"/>
  <c r="EJ37" i="4"/>
  <c r="EI37" i="4"/>
  <c r="BB29" i="3" s="1"/>
  <c r="EH37" i="4"/>
  <c r="EG37" i="4"/>
  <c r="EE37" i="4"/>
  <c r="ED37" i="4"/>
  <c r="AZ29" i="3" s="1"/>
  <c r="EC37" i="4"/>
  <c r="EB37" i="4"/>
  <c r="EA37" i="4"/>
  <c r="DZ37" i="4"/>
  <c r="AX29" i="3" s="1"/>
  <c r="DY37" i="4"/>
  <c r="DX37" i="4"/>
  <c r="DW37" i="4"/>
  <c r="DV37" i="4"/>
  <c r="DU37" i="4"/>
  <c r="DT37" i="4"/>
  <c r="DR37" i="4"/>
  <c r="DQ37" i="4"/>
  <c r="AT29" i="3" s="1"/>
  <c r="DP37" i="4"/>
  <c r="DO37" i="4"/>
  <c r="DN37" i="4"/>
  <c r="DM37" i="4"/>
  <c r="AS29" i="3" s="1"/>
  <c r="DK37" i="4"/>
  <c r="DJ37" i="4"/>
  <c r="DI37" i="4"/>
  <c r="AQ29" i="3" s="1"/>
  <c r="DH37" i="4"/>
  <c r="DG37" i="4"/>
  <c r="DF37" i="4"/>
  <c r="DE37" i="4"/>
  <c r="AO29" i="3" s="1"/>
  <c r="DD37" i="4"/>
  <c r="DC37" i="4"/>
  <c r="DB37" i="4"/>
  <c r="DA37" i="4"/>
  <c r="AM29" i="3" s="1"/>
  <c r="CZ37" i="4"/>
  <c r="CY37" i="4"/>
  <c r="CX37" i="4"/>
  <c r="CW37" i="4"/>
  <c r="AK29" i="3" s="1"/>
  <c r="CU37" i="4"/>
  <c r="CT37" i="4"/>
  <c r="CS37" i="4"/>
  <c r="CR37" i="4"/>
  <c r="CQ37" i="4"/>
  <c r="AB29" i="3" s="1"/>
  <c r="CP37" i="4"/>
  <c r="CO37" i="4"/>
  <c r="CN37" i="4"/>
  <c r="AA29" i="3" s="1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V29" i="3" s="1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R29" i="3" s="1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N29" i="3" s="1"/>
  <c r="W37" i="4"/>
  <c r="V37" i="4"/>
  <c r="U37" i="4"/>
  <c r="S37" i="4"/>
  <c r="R37" i="4"/>
  <c r="L29" i="3" s="1"/>
  <c r="Q37" i="4"/>
  <c r="P37" i="4"/>
  <c r="O37" i="4"/>
  <c r="K29" i="3" s="1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G29" i="3" s="1"/>
  <c r="I29" i="1" s="1"/>
  <c r="B37" i="4"/>
  <c r="FC36" i="4"/>
  <c r="FB36" i="4"/>
  <c r="FA36" i="4"/>
  <c r="EZ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AB28" i="3" s="1"/>
  <c r="CP36" i="4"/>
  <c r="CO36" i="4"/>
  <c r="CN36" i="4"/>
  <c r="CM36" i="4"/>
  <c r="CL36" i="4"/>
  <c r="CK36" i="4"/>
  <c r="CJ36" i="4"/>
  <c r="CI36" i="4"/>
  <c r="AI28" i="3" s="1"/>
  <c r="CH36" i="4"/>
  <c r="CG36" i="4"/>
  <c r="CF36" i="4"/>
  <c r="CE36" i="4"/>
  <c r="AG28" i="3" s="1"/>
  <c r="CD36" i="4"/>
  <c r="CC36" i="4"/>
  <c r="CB36" i="4"/>
  <c r="CA36" i="4"/>
  <c r="AE28" i="3" s="1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BI27" i="3" s="1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K35" i="4"/>
  <c r="AP27" i="3" s="1"/>
  <c r="DJ35" i="4"/>
  <c r="DI35" i="4"/>
  <c r="DH35" i="4"/>
  <c r="DG35" i="4"/>
  <c r="DF35" i="4"/>
  <c r="DE35" i="4"/>
  <c r="DD35" i="4"/>
  <c r="DC35" i="4"/>
  <c r="AL27" i="3" s="1"/>
  <c r="DB35" i="4"/>
  <c r="DA35" i="4"/>
  <c r="CZ35" i="4"/>
  <c r="CY35" i="4"/>
  <c r="CX35" i="4"/>
  <c r="CW35" i="4"/>
  <c r="CU35" i="4"/>
  <c r="CT35" i="4"/>
  <c r="AC27" i="3" s="1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X27" i="3" s="1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Q34" i="4"/>
  <c r="O34" i="4"/>
  <c r="M34" i="4"/>
  <c r="K34" i="4"/>
  <c r="I34" i="4"/>
  <c r="H34" i="4"/>
  <c r="F34" i="4"/>
  <c r="E34" i="4"/>
  <c r="C34" i="4"/>
  <c r="B34" i="4"/>
  <c r="FB33" i="4"/>
  <c r="EZ33" i="4"/>
  <c r="EX33" i="4"/>
  <c r="EV33" i="4"/>
  <c r="ET33" i="4"/>
  <c r="EQ33" i="4"/>
  <c r="EO33" i="4"/>
  <c r="BF25" i="3" s="1"/>
  <c r="EM33" i="4"/>
  <c r="EK33" i="4"/>
  <c r="EI33" i="4"/>
  <c r="EG33" i="4"/>
  <c r="ED33" i="4"/>
  <c r="EB33" i="4"/>
  <c r="DZ33" i="4"/>
  <c r="DX33" i="4"/>
  <c r="DV33" i="4"/>
  <c r="DT33" i="4"/>
  <c r="DQ33" i="4"/>
  <c r="DP33" i="4"/>
  <c r="DO33" i="4"/>
  <c r="DM33" i="4"/>
  <c r="DK33" i="4"/>
  <c r="DI33" i="4"/>
  <c r="DG33" i="4"/>
  <c r="DE33" i="4"/>
  <c r="DC33" i="4"/>
  <c r="DA33" i="4"/>
  <c r="CY33" i="4"/>
  <c r="CW33" i="4"/>
  <c r="CT33" i="4"/>
  <c r="CQ33" i="4"/>
  <c r="CN33" i="4"/>
  <c r="CK33" i="4"/>
  <c r="CI33" i="4"/>
  <c r="CG33" i="4"/>
  <c r="CE33" i="4"/>
  <c r="CC33" i="4"/>
  <c r="CA33" i="4"/>
  <c r="BY33" i="4"/>
  <c r="BV33" i="4"/>
  <c r="BS33" i="4"/>
  <c r="BF33" i="4"/>
  <c r="BC33" i="4"/>
  <c r="X25" i="3" s="1"/>
  <c r="AZ33" i="4"/>
  <c r="AV33" i="4"/>
  <c r="AS33" i="4"/>
  <c r="AP33" i="4"/>
  <c r="AM33" i="4"/>
  <c r="AJ33" i="4"/>
  <c r="AG33" i="4"/>
  <c r="AD33" i="4"/>
  <c r="AA33" i="4"/>
  <c r="X33" i="4"/>
  <c r="U33" i="4"/>
  <c r="R33" i="4"/>
  <c r="Q33" i="4"/>
  <c r="O33" i="4"/>
  <c r="M33" i="4"/>
  <c r="K33" i="4"/>
  <c r="I33" i="4"/>
  <c r="H33" i="4"/>
  <c r="F33" i="4"/>
  <c r="E33" i="4"/>
  <c r="C33" i="4"/>
  <c r="B33" i="4"/>
  <c r="FC32" i="4"/>
  <c r="FB32" i="4"/>
  <c r="BK24" i="3" s="1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K32" i="4"/>
  <c r="DJ32" i="4"/>
  <c r="DI32" i="4"/>
  <c r="DH32" i="4"/>
  <c r="DG32" i="4"/>
  <c r="DF32" i="4"/>
  <c r="DE32" i="4"/>
  <c r="DD32" i="4"/>
  <c r="DC32" i="4"/>
  <c r="DB32" i="4"/>
  <c r="DA32" i="4"/>
  <c r="AM24" i="3" s="1"/>
  <c r="CZ32" i="4"/>
  <c r="CY32" i="4"/>
  <c r="CX32" i="4"/>
  <c r="CW32" i="4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BB23" i="3" s="1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W23" i="3" s="1"/>
  <c r="AX31" i="4"/>
  <c r="AW31" i="4"/>
  <c r="AV31" i="4"/>
  <c r="AU31" i="4"/>
  <c r="AT31" i="4"/>
  <c r="AS31" i="4"/>
  <c r="AR31" i="4"/>
  <c r="AQ31" i="4"/>
  <c r="AP31" i="4"/>
  <c r="AO31" i="4"/>
  <c r="AN31" i="4"/>
  <c r="AM31" i="4"/>
  <c r="S23" i="3" s="1"/>
  <c r="AL31" i="4"/>
  <c r="AK31" i="4"/>
  <c r="AJ31" i="4"/>
  <c r="AI31" i="4"/>
  <c r="AH31" i="4"/>
  <c r="AG31" i="4"/>
  <c r="AF31" i="4"/>
  <c r="AE31" i="4"/>
  <c r="AD31" i="4"/>
  <c r="AC31" i="4"/>
  <c r="AB31" i="4"/>
  <c r="AA31" i="4"/>
  <c r="O23" i="3" s="1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AP22" i="3" s="1"/>
  <c r="DI30" i="4"/>
  <c r="DG30" i="4"/>
  <c r="DE30" i="4"/>
  <c r="AO22" i="3" s="1"/>
  <c r="DC30" i="4"/>
  <c r="DA30" i="4"/>
  <c r="CY30" i="4"/>
  <c r="CW30" i="4"/>
  <c r="CT30" i="4"/>
  <c r="CQ30" i="4"/>
  <c r="CN30" i="4"/>
  <c r="CK30" i="4"/>
  <c r="Z22" i="3" s="1"/>
  <c r="CI30" i="4"/>
  <c r="CG30" i="4"/>
  <c r="CE30" i="4"/>
  <c r="CC30" i="4"/>
  <c r="AF22" i="3" s="1"/>
  <c r="CA30" i="4"/>
  <c r="BY30" i="4"/>
  <c r="BV30" i="4"/>
  <c r="BS30" i="4"/>
  <c r="BF30" i="4"/>
  <c r="BC30" i="4"/>
  <c r="AZ30" i="4"/>
  <c r="AV30" i="4"/>
  <c r="V22" i="3" s="1"/>
  <c r="AS30" i="4"/>
  <c r="AP30" i="4"/>
  <c r="AM30" i="4"/>
  <c r="AJ30" i="4"/>
  <c r="R22" i="3" s="1"/>
  <c r="AG30" i="4"/>
  <c r="AD30" i="4"/>
  <c r="AA30" i="4"/>
  <c r="X30" i="4"/>
  <c r="U30" i="4"/>
  <c r="R30" i="4"/>
  <c r="Q30" i="4"/>
  <c r="O30" i="4"/>
  <c r="K22" i="3" s="1"/>
  <c r="M30" i="4"/>
  <c r="K30" i="4"/>
  <c r="I30" i="4"/>
  <c r="H30" i="4"/>
  <c r="F30" i="4"/>
  <c r="E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Q29" i="4"/>
  <c r="O29" i="4"/>
  <c r="M29" i="4"/>
  <c r="K29" i="4"/>
  <c r="I29" i="4"/>
  <c r="H29" i="4"/>
  <c r="F29" i="4"/>
  <c r="E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AP19" i="3" s="1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Q26" i="4"/>
  <c r="O26" i="4"/>
  <c r="M26" i="4"/>
  <c r="K26" i="4"/>
  <c r="I26" i="4"/>
  <c r="H26" i="4"/>
  <c r="F26" i="4"/>
  <c r="E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H30" i="3" l="1"/>
  <c r="Z30" i="3"/>
  <c r="AR30" i="3"/>
  <c r="AU30" i="3"/>
  <c r="AW30" i="3"/>
  <c r="AY30" i="3"/>
  <c r="BA30" i="3"/>
  <c r="BD30" i="3"/>
  <c r="BF30" i="3"/>
  <c r="BG30" i="3"/>
  <c r="BJ30" i="3"/>
  <c r="P31" i="3"/>
  <c r="T31" i="3"/>
  <c r="X31" i="3"/>
  <c r="AC31" i="3"/>
  <c r="AJ31" i="3"/>
  <c r="AL31" i="3"/>
  <c r="AN31" i="3"/>
  <c r="AP31" i="3"/>
  <c r="I30" i="3"/>
  <c r="K30" i="1" s="1"/>
  <c r="J30" i="3"/>
  <c r="Q32" i="3"/>
  <c r="AF32" i="3"/>
  <c r="Z32" i="3"/>
  <c r="AR32" i="3"/>
  <c r="AU32" i="3"/>
  <c r="AY32" i="3"/>
  <c r="BD32" i="3"/>
  <c r="BG32" i="3"/>
  <c r="BK32" i="3"/>
  <c r="L25" i="3"/>
  <c r="O26" i="3"/>
  <c r="AA26" i="3"/>
  <c r="AN26" i="3"/>
  <c r="R27" i="3"/>
  <c r="H28" i="3"/>
  <c r="L28" i="3"/>
  <c r="O28" i="3"/>
  <c r="S28" i="3"/>
  <c r="W28" i="3"/>
  <c r="I29" i="3"/>
  <c r="K29" i="1" s="1"/>
  <c r="J29" i="3"/>
  <c r="P32" i="3"/>
  <c r="T32" i="3"/>
  <c r="AC32" i="3"/>
  <c r="AJ32" i="3"/>
  <c r="AN32" i="3"/>
  <c r="M29" i="3"/>
  <c r="Q29" i="3"/>
  <c r="U29" i="3"/>
  <c r="Y29" i="3"/>
  <c r="AD29" i="3"/>
  <c r="AF29" i="3"/>
  <c r="AH29" i="3"/>
  <c r="Z29" i="3"/>
  <c r="G29" i="1" s="1"/>
  <c r="AR29" i="3"/>
  <c r="AU29" i="3"/>
  <c r="AW29" i="3"/>
  <c r="AY29" i="3"/>
  <c r="BA29" i="3"/>
  <c r="BD29" i="3"/>
  <c r="BF29" i="3"/>
  <c r="BG29" i="3"/>
  <c r="BJ29" i="3"/>
  <c r="P30" i="3"/>
  <c r="T30" i="3"/>
  <c r="X30" i="3"/>
  <c r="AC30" i="3"/>
  <c r="AJ30" i="3"/>
  <c r="AL30" i="3"/>
  <c r="AN30" i="3"/>
  <c r="AP30" i="3"/>
  <c r="BI30" i="3"/>
  <c r="H31" i="3"/>
  <c r="L31" i="3"/>
  <c r="O31" i="3"/>
  <c r="S31" i="3"/>
  <c r="W31" i="3"/>
  <c r="AE31" i="3"/>
  <c r="AG31" i="3"/>
  <c r="AI31" i="3"/>
  <c r="AB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S32" i="3"/>
  <c r="W32" i="3"/>
  <c r="AE32" i="3"/>
  <c r="AG32" i="3"/>
  <c r="AI32" i="3"/>
  <c r="AB32" i="3"/>
  <c r="AS32" i="3"/>
  <c r="AT32" i="3"/>
  <c r="AX32" i="3"/>
  <c r="AZ32" i="3"/>
  <c r="BB32" i="3"/>
  <c r="BE32" i="3"/>
  <c r="BC32" i="3"/>
  <c r="BH32" i="3"/>
  <c r="BI32" i="3"/>
  <c r="BK31" i="3"/>
  <c r="M32" i="3"/>
  <c r="U32" i="3"/>
  <c r="Y32" i="3"/>
  <c r="AD32" i="3"/>
  <c r="AH32" i="3"/>
  <c r="AW32" i="3"/>
  <c r="BA32" i="3"/>
  <c r="BF32" i="3"/>
  <c r="BJ32" i="3"/>
  <c r="AB25" i="3"/>
  <c r="G26" i="3"/>
  <c r="I26" i="1" s="1"/>
  <c r="S26" i="3"/>
  <c r="AG26" i="3"/>
  <c r="AJ26" i="3"/>
  <c r="AR26" i="3"/>
  <c r="K27" i="3"/>
  <c r="N27" i="3"/>
  <c r="V27" i="3"/>
  <c r="X32" i="3"/>
  <c r="AL32" i="3"/>
  <c r="AP32" i="3"/>
  <c r="P29" i="3"/>
  <c r="T29" i="3"/>
  <c r="X29" i="3"/>
  <c r="AC29" i="3"/>
  <c r="AJ29" i="3"/>
  <c r="AL29" i="3"/>
  <c r="AN29" i="3"/>
  <c r="AP29" i="3"/>
  <c r="BI29" i="3"/>
  <c r="H30" i="3"/>
  <c r="L30" i="3"/>
  <c r="O30" i="3"/>
  <c r="E30" i="1" s="1"/>
  <c r="S30" i="3"/>
  <c r="W30" i="3"/>
  <c r="AE30" i="3"/>
  <c r="AG30" i="3"/>
  <c r="AI30" i="3"/>
  <c r="AB30" i="3"/>
  <c r="G30" i="1" s="1"/>
  <c r="AS30" i="3"/>
  <c r="AT30" i="3"/>
  <c r="AX30" i="3"/>
  <c r="AZ30" i="3"/>
  <c r="BB30" i="3"/>
  <c r="BE30" i="3"/>
  <c r="BC30" i="3"/>
  <c r="BH30" i="3"/>
  <c r="G31" i="3"/>
  <c r="I31" i="1" s="1"/>
  <c r="I31" i="3"/>
  <c r="K31" i="1" s="1"/>
  <c r="J31" i="3"/>
  <c r="K31" i="3"/>
  <c r="N31" i="3"/>
  <c r="R31" i="3"/>
  <c r="V31" i="3"/>
  <c r="AA31" i="3"/>
  <c r="G31" i="1" s="1"/>
  <c r="AK31" i="3"/>
  <c r="AM31" i="3"/>
  <c r="AO31" i="3"/>
  <c r="AQ31" i="3"/>
  <c r="G32" i="3"/>
  <c r="I32" i="1" s="1"/>
  <c r="J32" i="3"/>
  <c r="I32" i="3"/>
  <c r="K32" i="1" s="1"/>
  <c r="K32" i="3"/>
  <c r="N32" i="3"/>
  <c r="R32" i="3"/>
  <c r="V32" i="3"/>
  <c r="AA32" i="3"/>
  <c r="AK32" i="3"/>
  <c r="AM32" i="3"/>
  <c r="AO32" i="3"/>
  <c r="AQ32" i="3"/>
  <c r="BA26" i="3"/>
  <c r="G27" i="3"/>
  <c r="I27" i="1" s="1"/>
  <c r="BD19" i="3"/>
  <c r="Q25" i="3"/>
  <c r="AL25" i="3"/>
  <c r="BI25" i="3"/>
  <c r="I26" i="3"/>
  <c r="K26" i="1" s="1"/>
  <c r="J26" i="3"/>
  <c r="L26" i="3"/>
  <c r="P26" i="3"/>
  <c r="T26" i="3"/>
  <c r="X26" i="3"/>
  <c r="AD26" i="3"/>
  <c r="AH26" i="3"/>
  <c r="AB26" i="3"/>
  <c r="AM26" i="3"/>
  <c r="AQ26" i="3"/>
  <c r="AT26" i="3"/>
  <c r="AX26" i="3"/>
  <c r="BB26" i="3"/>
  <c r="BC26" i="3"/>
  <c r="BI26" i="3"/>
  <c r="M27" i="3"/>
  <c r="Q27" i="3"/>
  <c r="U27" i="3"/>
  <c r="AE27" i="3"/>
  <c r="AG27" i="3"/>
  <c r="AI27" i="3"/>
  <c r="AB27" i="3"/>
  <c r="AS27" i="3"/>
  <c r="AT27" i="3"/>
  <c r="AX27" i="3"/>
  <c r="AZ27" i="3"/>
  <c r="BB27" i="3"/>
  <c r="BE27" i="3"/>
  <c r="BC27" i="3"/>
  <c r="BH27" i="3"/>
  <c r="G28" i="3"/>
  <c r="I28" i="1" s="1"/>
  <c r="I28" i="3"/>
  <c r="K28" i="1" s="1"/>
  <c r="J28" i="3"/>
  <c r="K28" i="3"/>
  <c r="N28" i="3"/>
  <c r="R28" i="3"/>
  <c r="V28" i="3"/>
  <c r="AA28" i="3"/>
  <c r="AK28" i="3"/>
  <c r="AM28" i="3"/>
  <c r="AO28" i="3"/>
  <c r="AQ28" i="3"/>
  <c r="BK28" i="3"/>
  <c r="BF26" i="3"/>
  <c r="I27" i="3"/>
  <c r="K27" i="1" s="1"/>
  <c r="J27" i="3"/>
  <c r="R25" i="3"/>
  <c r="AF25" i="3"/>
  <c r="AO25" i="3"/>
  <c r="AY25" i="3"/>
  <c r="H26" i="3"/>
  <c r="M26" i="3"/>
  <c r="Q26" i="3"/>
  <c r="U26" i="3"/>
  <c r="Y26" i="3"/>
  <c r="AE26" i="3"/>
  <c r="AI26" i="3"/>
  <c r="AC26" i="3"/>
  <c r="AL26" i="3"/>
  <c r="AP26" i="3"/>
  <c r="AU26" i="3"/>
  <c r="AY26" i="3"/>
  <c r="BD26" i="3"/>
  <c r="BG26" i="3"/>
  <c r="BK26" i="3"/>
  <c r="P27" i="3"/>
  <c r="T27" i="3"/>
  <c r="AA27" i="3"/>
  <c r="AK27" i="3"/>
  <c r="AM27" i="3"/>
  <c r="AO27" i="3"/>
  <c r="AQ27" i="3"/>
  <c r="BK27" i="3"/>
  <c r="M28" i="3"/>
  <c r="Q28" i="3"/>
  <c r="U28" i="3"/>
  <c r="Y28" i="3"/>
  <c r="AD28" i="3"/>
  <c r="AF28" i="3"/>
  <c r="AH28" i="3"/>
  <c r="Z28" i="3"/>
  <c r="AR28" i="3"/>
  <c r="AU28" i="3"/>
  <c r="AW28" i="3"/>
  <c r="AY28" i="3"/>
  <c r="BA28" i="3"/>
  <c r="BD28" i="3"/>
  <c r="BF28" i="3"/>
  <c r="BG28" i="3"/>
  <c r="BJ28" i="3"/>
  <c r="AW26" i="3"/>
  <c r="BJ26" i="3"/>
  <c r="AJ27" i="3"/>
  <c r="AN27" i="3"/>
  <c r="H24" i="3"/>
  <c r="L24" i="3"/>
  <c r="AE24" i="3"/>
  <c r="AS24" i="3"/>
  <c r="AX24" i="3"/>
  <c r="BE24" i="3"/>
  <c r="W25" i="3"/>
  <c r="AR25" i="3"/>
  <c r="K26" i="3"/>
  <c r="N26" i="3"/>
  <c r="R26" i="3"/>
  <c r="V26" i="3"/>
  <c r="AF26" i="3"/>
  <c r="Z26" i="3"/>
  <c r="AK26" i="3"/>
  <c r="AO26" i="3"/>
  <c r="AS26" i="3"/>
  <c r="AZ26" i="3"/>
  <c r="BE26" i="3"/>
  <c r="BH26" i="3"/>
  <c r="H27" i="3"/>
  <c r="L27" i="3"/>
  <c r="O27" i="3"/>
  <c r="S27" i="3"/>
  <c r="Y27" i="3"/>
  <c r="AD27" i="3"/>
  <c r="AF27" i="3"/>
  <c r="AH27" i="3"/>
  <c r="Z27" i="3"/>
  <c r="G27" i="1" s="1"/>
  <c r="AR27" i="3"/>
  <c r="AU27" i="3"/>
  <c r="AW27" i="3"/>
  <c r="AY27" i="3"/>
  <c r="BA27" i="3"/>
  <c r="BD27" i="3"/>
  <c r="BF27" i="3"/>
  <c r="BG27" i="3"/>
  <c r="BJ27" i="3"/>
  <c r="P28" i="3"/>
  <c r="T28" i="3"/>
  <c r="X28" i="3"/>
  <c r="AC28" i="3"/>
  <c r="AJ28" i="3"/>
  <c r="AL28" i="3"/>
  <c r="AN28" i="3"/>
  <c r="AP28" i="3"/>
  <c r="BI28" i="3"/>
  <c r="W27" i="3"/>
  <c r="W26" i="3"/>
  <c r="AY19" i="3"/>
  <c r="O24" i="3"/>
  <c r="S24" i="3"/>
  <c r="W24" i="3"/>
  <c r="AI24" i="3"/>
  <c r="BB24" i="3"/>
  <c r="BH24" i="3"/>
  <c r="M25" i="3"/>
  <c r="S25" i="3"/>
  <c r="Y25" i="3"/>
  <c r="AG25" i="3"/>
  <c r="AC25" i="3"/>
  <c r="AN25" i="3"/>
  <c r="AT25" i="3"/>
  <c r="AZ25" i="3"/>
  <c r="BC25" i="3"/>
  <c r="BK25" i="3"/>
  <c r="N22" i="3"/>
  <c r="AK22" i="3"/>
  <c r="AG23" i="3"/>
  <c r="AB23" i="3"/>
  <c r="AT23" i="3"/>
  <c r="BC23" i="3"/>
  <c r="G24" i="3"/>
  <c r="I24" i="1" s="1"/>
  <c r="K24" i="3"/>
  <c r="AK24" i="3"/>
  <c r="AQ24" i="3"/>
  <c r="I25" i="3"/>
  <c r="K25" i="1" s="1"/>
  <c r="J25" i="3"/>
  <c r="N25" i="3"/>
  <c r="T25" i="3"/>
  <c r="AH25" i="3"/>
  <c r="AK25" i="3"/>
  <c r="AQ25" i="3"/>
  <c r="AU25" i="3"/>
  <c r="BA25" i="3"/>
  <c r="BG25" i="3"/>
  <c r="AU19" i="3"/>
  <c r="BG19" i="3"/>
  <c r="AG24" i="3"/>
  <c r="AB24" i="3"/>
  <c r="AT24" i="3"/>
  <c r="AZ24" i="3"/>
  <c r="BC24" i="3"/>
  <c r="G25" i="3"/>
  <c r="I25" i="1" s="1"/>
  <c r="O25" i="3"/>
  <c r="U25" i="3"/>
  <c r="AI25" i="3"/>
  <c r="AJ25" i="3"/>
  <c r="AP25" i="3"/>
  <c r="BB25" i="3"/>
  <c r="BH25" i="3"/>
  <c r="L23" i="3"/>
  <c r="AX23" i="3"/>
  <c r="N24" i="3"/>
  <c r="R24" i="3"/>
  <c r="V24" i="3"/>
  <c r="AO24" i="3"/>
  <c r="K25" i="3"/>
  <c r="P25" i="3"/>
  <c r="V25" i="3"/>
  <c r="AD25" i="3"/>
  <c r="Z25" i="3"/>
  <c r="AM25" i="3"/>
  <c r="AS25" i="3"/>
  <c r="AW25" i="3"/>
  <c r="BD25" i="3"/>
  <c r="BJ25" i="3"/>
  <c r="H25" i="3"/>
  <c r="AE25" i="3"/>
  <c r="AA25" i="3"/>
  <c r="AX25" i="3"/>
  <c r="BE25" i="3"/>
  <c r="H23" i="3"/>
  <c r="I24" i="3"/>
  <c r="K24" i="1" s="1"/>
  <c r="J24" i="3"/>
  <c r="BK19" i="3"/>
  <c r="H20" i="3"/>
  <c r="M20" i="3"/>
  <c r="Q20" i="3"/>
  <c r="U20" i="3"/>
  <c r="Y20" i="3"/>
  <c r="AE20" i="3"/>
  <c r="AI20" i="3"/>
  <c r="AC20" i="3"/>
  <c r="BK23" i="3"/>
  <c r="M24" i="3"/>
  <c r="Q24" i="3"/>
  <c r="U24" i="3"/>
  <c r="Y24" i="3"/>
  <c r="AD24" i="3"/>
  <c r="AF24" i="3"/>
  <c r="AH24" i="3"/>
  <c r="Z24" i="3"/>
  <c r="G24" i="1" s="1"/>
  <c r="AR24" i="3"/>
  <c r="AU24" i="3"/>
  <c r="AW24" i="3"/>
  <c r="AY24" i="3"/>
  <c r="BA24" i="3"/>
  <c r="BD24" i="3"/>
  <c r="BF24" i="3"/>
  <c r="BG24" i="3"/>
  <c r="BJ24" i="3"/>
  <c r="AE23" i="3"/>
  <c r="AI23" i="3"/>
  <c r="M23" i="3"/>
  <c r="Q23" i="3"/>
  <c r="U23" i="3"/>
  <c r="Y23" i="3"/>
  <c r="AU23" i="3"/>
  <c r="AY23" i="3"/>
  <c r="BD23" i="3"/>
  <c r="BG23" i="3"/>
  <c r="P24" i="3"/>
  <c r="T24" i="3"/>
  <c r="X24" i="3"/>
  <c r="AC24" i="3"/>
  <c r="AJ24" i="3"/>
  <c r="AL24" i="3"/>
  <c r="AN24" i="3"/>
  <c r="AP24" i="3"/>
  <c r="BI24" i="3"/>
  <c r="AZ23" i="3"/>
  <c r="AO17" i="3"/>
  <c r="AL20" i="3"/>
  <c r="AS20" i="3"/>
  <c r="AZ20" i="3"/>
  <c r="BE20" i="3"/>
  <c r="BH20" i="3"/>
  <c r="K21" i="3"/>
  <c r="N21" i="3"/>
  <c r="R21" i="3"/>
  <c r="V21" i="3"/>
  <c r="AF21" i="3"/>
  <c r="Z21" i="3"/>
  <c r="AK21" i="3"/>
  <c r="AO21" i="3"/>
  <c r="AR21" i="3"/>
  <c r="AW21" i="3"/>
  <c r="BA21" i="3"/>
  <c r="BF21" i="3"/>
  <c r="BJ21" i="3"/>
  <c r="G22" i="3"/>
  <c r="I22" i="1" s="1"/>
  <c r="O22" i="3"/>
  <c r="S22" i="3"/>
  <c r="W22" i="3"/>
  <c r="AG22" i="3"/>
  <c r="AA22" i="3"/>
  <c r="AJ22" i="3"/>
  <c r="AN22" i="3"/>
  <c r="G23" i="3"/>
  <c r="I23" i="1" s="1"/>
  <c r="J23" i="3"/>
  <c r="I23" i="3"/>
  <c r="K23" i="1" s="1"/>
  <c r="K23" i="3"/>
  <c r="N23" i="3"/>
  <c r="R23" i="3"/>
  <c r="V23" i="3"/>
  <c r="AA23" i="3"/>
  <c r="AK23" i="3"/>
  <c r="AM23" i="3"/>
  <c r="AO23" i="3"/>
  <c r="AQ23" i="3"/>
  <c r="BE23" i="3"/>
  <c r="AD23" i="3"/>
  <c r="AF23" i="3"/>
  <c r="AH23" i="3"/>
  <c r="Z23" i="3"/>
  <c r="AR23" i="3"/>
  <c r="AW23" i="3"/>
  <c r="BA23" i="3"/>
  <c r="BF23" i="3"/>
  <c r="BJ23" i="3"/>
  <c r="AS23" i="3"/>
  <c r="BH23" i="3"/>
  <c r="R17" i="3"/>
  <c r="V17" i="3"/>
  <c r="AR19" i="3"/>
  <c r="AW19" i="3"/>
  <c r="BA19" i="3"/>
  <c r="BF19" i="3"/>
  <c r="BJ19" i="3"/>
  <c r="G20" i="3"/>
  <c r="I20" i="1" s="1"/>
  <c r="O20" i="3"/>
  <c r="S20" i="3"/>
  <c r="W20" i="3"/>
  <c r="AG20" i="3"/>
  <c r="AA20" i="3"/>
  <c r="AJ20" i="3"/>
  <c r="AN20" i="3"/>
  <c r="AT20" i="3"/>
  <c r="AX20" i="3"/>
  <c r="BB20" i="3"/>
  <c r="BC20" i="3"/>
  <c r="BI20" i="3"/>
  <c r="L21" i="3"/>
  <c r="P21" i="3"/>
  <c r="T21" i="3"/>
  <c r="X21" i="3"/>
  <c r="AD21" i="3"/>
  <c r="AH21" i="3"/>
  <c r="AB21" i="3"/>
  <c r="AM21" i="3"/>
  <c r="AQ21" i="3"/>
  <c r="AU21" i="3"/>
  <c r="AY21" i="3"/>
  <c r="BD21" i="3"/>
  <c r="BG21" i="3"/>
  <c r="BK21" i="3"/>
  <c r="H22" i="3"/>
  <c r="M22" i="3"/>
  <c r="Q22" i="3"/>
  <c r="U22" i="3"/>
  <c r="Y22" i="3"/>
  <c r="AE22" i="3"/>
  <c r="AI22" i="3"/>
  <c r="AC22" i="3"/>
  <c r="AL22" i="3"/>
  <c r="P23" i="3"/>
  <c r="T23" i="3"/>
  <c r="X23" i="3"/>
  <c r="AC23" i="3"/>
  <c r="AJ23" i="3"/>
  <c r="AL23" i="3"/>
  <c r="AN23" i="3"/>
  <c r="AP23" i="3"/>
  <c r="BI23" i="3"/>
  <c r="AU22" i="3"/>
  <c r="BD22" i="3"/>
  <c r="BK22" i="3"/>
  <c r="AS22" i="3"/>
  <c r="BE22" i="3"/>
  <c r="P17" i="3"/>
  <c r="X17" i="3"/>
  <c r="AM17" i="3"/>
  <c r="AR22" i="3"/>
  <c r="AW22" i="3"/>
  <c r="BA22" i="3"/>
  <c r="BF22" i="3"/>
  <c r="BJ22" i="3"/>
  <c r="AY22" i="3"/>
  <c r="BG22" i="3"/>
  <c r="AZ22" i="3"/>
  <c r="BH22" i="3"/>
  <c r="I22" i="3"/>
  <c r="K22" i="1" s="1"/>
  <c r="J22" i="3"/>
  <c r="L22" i="3"/>
  <c r="P22" i="3"/>
  <c r="T22" i="3"/>
  <c r="X22" i="3"/>
  <c r="AD22" i="3"/>
  <c r="AH22" i="3"/>
  <c r="AB22" i="3"/>
  <c r="G22" i="1" s="1"/>
  <c r="AM22" i="3"/>
  <c r="AQ22" i="3"/>
  <c r="AT22" i="3"/>
  <c r="AX22" i="3"/>
  <c r="BB22" i="3"/>
  <c r="BC22" i="3"/>
  <c r="BI22" i="3"/>
  <c r="AC17" i="3"/>
  <c r="AN17" i="3"/>
  <c r="K19" i="3"/>
  <c r="N19" i="3"/>
  <c r="R19" i="3"/>
  <c r="V19" i="3"/>
  <c r="AF19" i="3"/>
  <c r="Z19" i="3"/>
  <c r="AK19" i="3"/>
  <c r="AO19" i="3"/>
  <c r="I21" i="3"/>
  <c r="K21" i="1" s="1"/>
  <c r="J21" i="3"/>
  <c r="AS17" i="3"/>
  <c r="AT17" i="3"/>
  <c r="AX17" i="3"/>
  <c r="AZ17" i="3"/>
  <c r="BE17" i="3"/>
  <c r="BC17" i="3"/>
  <c r="W18" i="3"/>
  <c r="AR18" i="3"/>
  <c r="BF18" i="3"/>
  <c r="G19" i="3"/>
  <c r="I19" i="1" s="1"/>
  <c r="O19" i="3"/>
  <c r="S19" i="3"/>
  <c r="W19" i="3"/>
  <c r="AG19" i="3"/>
  <c r="AA19" i="3"/>
  <c r="AJ19" i="3"/>
  <c r="AN19" i="3"/>
  <c r="AT19" i="3"/>
  <c r="AX19" i="3"/>
  <c r="BB19" i="3"/>
  <c r="BC19" i="3"/>
  <c r="BI19" i="3"/>
  <c r="I20" i="3"/>
  <c r="K20" i="1" s="1"/>
  <c r="J20" i="3"/>
  <c r="L20" i="3"/>
  <c r="P20" i="3"/>
  <c r="T20" i="3"/>
  <c r="X20" i="3"/>
  <c r="AD20" i="3"/>
  <c r="AH20" i="3"/>
  <c r="AB20" i="3"/>
  <c r="AM20" i="3"/>
  <c r="AQ20" i="3"/>
  <c r="AU20" i="3"/>
  <c r="AY20" i="3"/>
  <c r="BD20" i="3"/>
  <c r="BG20" i="3"/>
  <c r="BK20" i="3"/>
  <c r="H21" i="3"/>
  <c r="M21" i="3"/>
  <c r="Q21" i="3"/>
  <c r="U21" i="3"/>
  <c r="Y21" i="3"/>
  <c r="AE21" i="3"/>
  <c r="AI21" i="3"/>
  <c r="AC21" i="3"/>
  <c r="AL21" i="3"/>
  <c r="AS21" i="3"/>
  <c r="AZ21" i="3"/>
  <c r="BE21" i="3"/>
  <c r="BH21" i="3"/>
  <c r="J19" i="3"/>
  <c r="I19" i="3"/>
  <c r="K19" i="1" s="1"/>
  <c r="L19" i="3"/>
  <c r="P19" i="3"/>
  <c r="T19" i="3"/>
  <c r="X19" i="3"/>
  <c r="AD19" i="3"/>
  <c r="AH19" i="3"/>
  <c r="AB19" i="3"/>
  <c r="AM19" i="3"/>
  <c r="AQ19" i="3"/>
  <c r="N16" i="3"/>
  <c r="AU17" i="3"/>
  <c r="BA17" i="3"/>
  <c r="BG17" i="3"/>
  <c r="H18" i="3"/>
  <c r="Q18" i="3"/>
  <c r="AL18" i="3"/>
  <c r="AY18" i="3"/>
  <c r="BK18" i="3"/>
  <c r="H19" i="3"/>
  <c r="M19" i="3"/>
  <c r="Q19" i="3"/>
  <c r="U19" i="3"/>
  <c r="Y19" i="3"/>
  <c r="AE19" i="3"/>
  <c r="AI19" i="3"/>
  <c r="AC19" i="3"/>
  <c r="AL19" i="3"/>
  <c r="AS19" i="3"/>
  <c r="AZ19" i="3"/>
  <c r="BE19" i="3"/>
  <c r="BH19" i="3"/>
  <c r="K20" i="3"/>
  <c r="N20" i="3"/>
  <c r="R20" i="3"/>
  <c r="V20" i="3"/>
  <c r="AF20" i="3"/>
  <c r="Z20" i="3"/>
  <c r="AK20" i="3"/>
  <c r="AO20" i="3"/>
  <c r="AR20" i="3"/>
  <c r="AW20" i="3"/>
  <c r="BA20" i="3"/>
  <c r="BF20" i="3"/>
  <c r="BJ20" i="3"/>
  <c r="G21" i="3"/>
  <c r="I21" i="1" s="1"/>
  <c r="O21" i="3"/>
  <c r="S21" i="3"/>
  <c r="W21" i="3"/>
  <c r="AG21" i="3"/>
  <c r="AA21" i="3"/>
  <c r="AJ21" i="3"/>
  <c r="AN21" i="3"/>
  <c r="AT21" i="3"/>
  <c r="AX21" i="3"/>
  <c r="BB21" i="3"/>
  <c r="BC21" i="3"/>
  <c r="BI21" i="3"/>
  <c r="AE18" i="3"/>
  <c r="M18" i="3"/>
  <c r="S18" i="3"/>
  <c r="Y18" i="3"/>
  <c r="AG18" i="3"/>
  <c r="O18" i="3"/>
  <c r="U18" i="3"/>
  <c r="AI18" i="3"/>
  <c r="L18" i="3"/>
  <c r="R18" i="3"/>
  <c r="X18" i="3"/>
  <c r="AF18" i="3"/>
  <c r="AB18" i="3"/>
  <c r="AO18" i="3"/>
  <c r="AT18" i="3"/>
  <c r="AZ18" i="3"/>
  <c r="BC18" i="3"/>
  <c r="AA18" i="3"/>
  <c r="AC18" i="3"/>
  <c r="AN18" i="3"/>
  <c r="AU18" i="3"/>
  <c r="BA18" i="3"/>
  <c r="BG18" i="3"/>
  <c r="AD17" i="3"/>
  <c r="AG17" i="3"/>
  <c r="Z17" i="3"/>
  <c r="AB17" i="3"/>
  <c r="I18" i="3"/>
  <c r="K18" i="1" s="1"/>
  <c r="J18" i="3"/>
  <c r="N18" i="3"/>
  <c r="T18" i="3"/>
  <c r="AH18" i="3"/>
  <c r="AK18" i="3"/>
  <c r="AQ18" i="3"/>
  <c r="BB18" i="3"/>
  <c r="BH18" i="3"/>
  <c r="G18" i="3"/>
  <c r="I18" i="1" s="1"/>
  <c r="AJ18" i="3"/>
  <c r="AP18" i="3"/>
  <c r="AW18" i="3"/>
  <c r="BD18" i="3"/>
  <c r="BJ18" i="3"/>
  <c r="T16" i="3"/>
  <c r="AH16" i="3"/>
  <c r="AK16" i="3"/>
  <c r="AQ16" i="3"/>
  <c r="BB16" i="3"/>
  <c r="BH16" i="3"/>
  <c r="K18" i="3"/>
  <c r="P18" i="3"/>
  <c r="V18" i="3"/>
  <c r="AD18" i="3"/>
  <c r="Z18" i="3"/>
  <c r="AM18" i="3"/>
  <c r="AS18" i="3"/>
  <c r="AX18" i="3"/>
  <c r="BE18" i="3"/>
  <c r="BI18" i="3"/>
  <c r="M17" i="3"/>
  <c r="O17" i="3"/>
  <c r="Q17" i="3"/>
  <c r="S17" i="3"/>
  <c r="U17" i="3"/>
  <c r="W17" i="3"/>
  <c r="Y17" i="3"/>
  <c r="AF17" i="3"/>
  <c r="AI17" i="3"/>
  <c r="BK17" i="3"/>
  <c r="N12" i="3"/>
  <c r="P12" i="3"/>
  <c r="R12" i="3"/>
  <c r="T12" i="3"/>
  <c r="V12" i="3"/>
  <c r="X12" i="3"/>
  <c r="AJ12" i="3"/>
  <c r="AO12" i="3"/>
  <c r="AP12" i="3"/>
  <c r="G17" i="3"/>
  <c r="I17" i="1" s="1"/>
  <c r="K17" i="3"/>
  <c r="AK17" i="3"/>
  <c r="AL17" i="3"/>
  <c r="AQ17" i="3"/>
  <c r="AR17" i="3"/>
  <c r="AY17" i="3"/>
  <c r="BB17" i="3"/>
  <c r="BF17" i="3"/>
  <c r="BH17" i="3"/>
  <c r="G16" i="3"/>
  <c r="I16" i="1" s="1"/>
  <c r="O16" i="3"/>
  <c r="U16" i="3"/>
  <c r="AI16" i="3"/>
  <c r="AJ16" i="3"/>
  <c r="AP16" i="3"/>
  <c r="AW16" i="3"/>
  <c r="BD16" i="3"/>
  <c r="BJ16" i="3"/>
  <c r="J17" i="3"/>
  <c r="I17" i="3"/>
  <c r="K17" i="1" s="1"/>
  <c r="N17" i="3"/>
  <c r="T17" i="3"/>
  <c r="AJ17" i="3"/>
  <c r="AP17" i="3"/>
  <c r="AW17" i="3"/>
  <c r="BD17" i="3"/>
  <c r="BJ17" i="3"/>
  <c r="AA17" i="3"/>
  <c r="H17" i="3"/>
  <c r="L17" i="3"/>
  <c r="AE17" i="3"/>
  <c r="AH17" i="3"/>
  <c r="BI17" i="3"/>
  <c r="K16" i="3"/>
  <c r="P16" i="3"/>
  <c r="V16" i="3"/>
  <c r="AD16" i="3"/>
  <c r="Z16" i="3"/>
  <c r="AM16" i="3"/>
  <c r="AS16" i="3"/>
  <c r="AX16" i="3"/>
  <c r="BE16" i="3"/>
  <c r="BI16" i="3"/>
  <c r="AC5" i="3"/>
  <c r="AN5" i="3"/>
  <c r="AU5" i="3"/>
  <c r="BA5" i="3"/>
  <c r="BG5" i="3"/>
  <c r="AA10" i="3"/>
  <c r="AC10" i="3"/>
  <c r="AM10" i="3"/>
  <c r="AN10" i="3"/>
  <c r="AS10" i="3"/>
  <c r="AU10" i="3"/>
  <c r="AX10" i="3"/>
  <c r="BA10" i="3"/>
  <c r="BE10" i="3"/>
  <c r="BG10" i="3"/>
  <c r="N11" i="3"/>
  <c r="P11" i="3"/>
  <c r="R11" i="3"/>
  <c r="H16" i="3"/>
  <c r="Q16" i="3"/>
  <c r="W16" i="3"/>
  <c r="AE16" i="3"/>
  <c r="AA16" i="3"/>
  <c r="AL16" i="3"/>
  <c r="AR16" i="3"/>
  <c r="AY16" i="3"/>
  <c r="BF16" i="3"/>
  <c r="BK16" i="3"/>
  <c r="L16" i="3"/>
  <c r="R16" i="3"/>
  <c r="X16" i="3"/>
  <c r="AF16" i="3"/>
  <c r="AB16" i="3"/>
  <c r="AO16" i="3"/>
  <c r="AT16" i="3"/>
  <c r="AZ16" i="3"/>
  <c r="BC16" i="3"/>
  <c r="P9" i="3"/>
  <c r="V9" i="3"/>
  <c r="AR10" i="3"/>
  <c r="AT12" i="3"/>
  <c r="AW12" i="3"/>
  <c r="AZ12" i="3"/>
  <c r="BD12" i="3"/>
  <c r="BC12" i="3"/>
  <c r="BJ12" i="3"/>
  <c r="G13" i="3"/>
  <c r="I13" i="1" s="1"/>
  <c r="K13" i="3"/>
  <c r="AK13" i="3"/>
  <c r="AL13" i="3"/>
  <c r="AQ13" i="3"/>
  <c r="AR13" i="3"/>
  <c r="AY13" i="3"/>
  <c r="BB13" i="3"/>
  <c r="BF13" i="3"/>
  <c r="BH13" i="3"/>
  <c r="AA14" i="3"/>
  <c r="AC14" i="3"/>
  <c r="AM14" i="3"/>
  <c r="AN14" i="3"/>
  <c r="AS14" i="3"/>
  <c r="AU14" i="3"/>
  <c r="AX14" i="3"/>
  <c r="BA14" i="3"/>
  <c r="BE14" i="3"/>
  <c r="BG14" i="3"/>
  <c r="H15" i="3"/>
  <c r="Q15" i="3"/>
  <c r="W15" i="3"/>
  <c r="AE15" i="3"/>
  <c r="AL15" i="3"/>
  <c r="AR15" i="3"/>
  <c r="AY15" i="3"/>
  <c r="BF15" i="3"/>
  <c r="BK15" i="3"/>
  <c r="M16" i="3"/>
  <c r="S16" i="3"/>
  <c r="Y16" i="3"/>
  <c r="AG16" i="3"/>
  <c r="AC16" i="3"/>
  <c r="AN16" i="3"/>
  <c r="AU16" i="3"/>
  <c r="BA16" i="3"/>
  <c r="BG16" i="3"/>
  <c r="I16" i="3"/>
  <c r="K16" i="1" s="1"/>
  <c r="J16" i="3"/>
  <c r="G6" i="3"/>
  <c r="I6" i="1" s="1"/>
  <c r="O6" i="3"/>
  <c r="U6" i="3"/>
  <c r="AI6" i="3"/>
  <c r="AJ6" i="3"/>
  <c r="I12" i="3"/>
  <c r="K12" i="1" s="1"/>
  <c r="J12" i="3"/>
  <c r="AA15" i="3"/>
  <c r="H12" i="3"/>
  <c r="L12" i="3"/>
  <c r="AE12" i="3"/>
  <c r="AH12" i="3"/>
  <c r="BI12" i="3"/>
  <c r="AD13" i="3"/>
  <c r="AG13" i="3"/>
  <c r="Z13" i="3"/>
  <c r="AB13" i="3"/>
  <c r="M14" i="3"/>
  <c r="O14" i="3"/>
  <c r="Q14" i="3"/>
  <c r="S14" i="3"/>
  <c r="U14" i="3"/>
  <c r="W14" i="3"/>
  <c r="Y14" i="3"/>
  <c r="AF14" i="3"/>
  <c r="AI14" i="3"/>
  <c r="BK14" i="3"/>
  <c r="L15" i="3"/>
  <c r="R15" i="3"/>
  <c r="X15" i="3"/>
  <c r="AF15" i="3"/>
  <c r="AB15" i="3"/>
  <c r="AO15" i="3"/>
  <c r="AT15" i="3"/>
  <c r="AZ15" i="3"/>
  <c r="BC15" i="3"/>
  <c r="AA12" i="3"/>
  <c r="AC12" i="3"/>
  <c r="AM12" i="3"/>
  <c r="AN12" i="3"/>
  <c r="AS12" i="3"/>
  <c r="AU12" i="3"/>
  <c r="AX12" i="3"/>
  <c r="BA12" i="3"/>
  <c r="BE12" i="3"/>
  <c r="BG12" i="3"/>
  <c r="J13" i="3"/>
  <c r="I13" i="3"/>
  <c r="K13" i="1" s="1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4" i="3"/>
  <c r="I14" i="1" s="1"/>
  <c r="K14" i="3"/>
  <c r="AK14" i="3"/>
  <c r="AL14" i="3"/>
  <c r="AQ14" i="3"/>
  <c r="AR14" i="3"/>
  <c r="AY14" i="3"/>
  <c r="BB14" i="3"/>
  <c r="BF14" i="3"/>
  <c r="BH14" i="3"/>
  <c r="M15" i="3"/>
  <c r="S15" i="3"/>
  <c r="Y15" i="3"/>
  <c r="AG15" i="3"/>
  <c r="AC15" i="3"/>
  <c r="AN15" i="3"/>
  <c r="AU15" i="3"/>
  <c r="BA15" i="3"/>
  <c r="BG15" i="3"/>
  <c r="M12" i="3"/>
  <c r="O12" i="3"/>
  <c r="Q12" i="3"/>
  <c r="S12" i="3"/>
  <c r="U12" i="3"/>
  <c r="W12" i="3"/>
  <c r="Y12" i="3"/>
  <c r="AF12" i="3"/>
  <c r="AI12" i="3"/>
  <c r="BK12" i="3"/>
  <c r="H13" i="3"/>
  <c r="L13" i="3"/>
  <c r="AE13" i="3"/>
  <c r="AH13" i="3"/>
  <c r="BI13" i="3"/>
  <c r="AD14" i="3"/>
  <c r="AG14" i="3"/>
  <c r="Z14" i="3"/>
  <c r="AB14" i="3"/>
  <c r="I15" i="3"/>
  <c r="K15" i="1" s="1"/>
  <c r="J15" i="3"/>
  <c r="N15" i="3"/>
  <c r="T15" i="3"/>
  <c r="AH15" i="3"/>
  <c r="AK15" i="3"/>
  <c r="AQ15" i="3"/>
  <c r="BB15" i="3"/>
  <c r="BH15" i="3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I9" i="1" s="1"/>
  <c r="K9" i="3"/>
  <c r="AK9" i="3"/>
  <c r="AQ9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2" i="3"/>
  <c r="I12" i="1" s="1"/>
  <c r="K12" i="3"/>
  <c r="AK12" i="3"/>
  <c r="AL12" i="3"/>
  <c r="AQ12" i="3"/>
  <c r="AR12" i="3"/>
  <c r="AY12" i="3"/>
  <c r="BB12" i="3"/>
  <c r="BF12" i="3"/>
  <c r="BH12" i="3"/>
  <c r="AA13" i="3"/>
  <c r="AC13" i="3"/>
  <c r="AM13" i="3"/>
  <c r="AN13" i="3"/>
  <c r="AS13" i="3"/>
  <c r="AU13" i="3"/>
  <c r="AX13" i="3"/>
  <c r="BA13" i="3"/>
  <c r="BE13" i="3"/>
  <c r="BG13" i="3"/>
  <c r="J14" i="3"/>
  <c r="I14" i="3"/>
  <c r="K14" i="1" s="1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G15" i="3"/>
  <c r="I15" i="1" s="1"/>
  <c r="O15" i="3"/>
  <c r="U15" i="3"/>
  <c r="AI15" i="3"/>
  <c r="AJ15" i="3"/>
  <c r="AP15" i="3"/>
  <c r="AW15" i="3"/>
  <c r="BD15" i="3"/>
  <c r="BJ15" i="3"/>
  <c r="K6" i="3"/>
  <c r="P6" i="3"/>
  <c r="V6" i="3"/>
  <c r="AD6" i="3"/>
  <c r="Z6" i="3"/>
  <c r="AM6" i="3"/>
  <c r="AD9" i="3"/>
  <c r="Z9" i="3"/>
  <c r="M10" i="3"/>
  <c r="O10" i="3"/>
  <c r="Q10" i="3"/>
  <c r="S10" i="3"/>
  <c r="U10" i="3"/>
  <c r="W10" i="3"/>
  <c r="Y10" i="3"/>
  <c r="AF10" i="3"/>
  <c r="AI10" i="3"/>
  <c r="BK10" i="3"/>
  <c r="H11" i="3"/>
  <c r="L11" i="3"/>
  <c r="AE11" i="3"/>
  <c r="AH11" i="3"/>
  <c r="BI11" i="3"/>
  <c r="AD12" i="3"/>
  <c r="AG12" i="3"/>
  <c r="Z12" i="3"/>
  <c r="AB12" i="3"/>
  <c r="M13" i="3"/>
  <c r="O13" i="3"/>
  <c r="Q13" i="3"/>
  <c r="S13" i="3"/>
  <c r="U13" i="3"/>
  <c r="W13" i="3"/>
  <c r="Y13" i="3"/>
  <c r="AF13" i="3"/>
  <c r="AI13" i="3"/>
  <c r="BK13" i="3"/>
  <c r="H14" i="3"/>
  <c r="L14" i="3"/>
  <c r="AE14" i="3"/>
  <c r="AH14" i="3"/>
  <c r="BI14" i="3"/>
  <c r="K15" i="3"/>
  <c r="P15" i="3"/>
  <c r="V15" i="3"/>
  <c r="AD15" i="3"/>
  <c r="Z15" i="3"/>
  <c r="AM15" i="3"/>
  <c r="AS15" i="3"/>
  <c r="AX15" i="3"/>
  <c r="BE15" i="3"/>
  <c r="BI15" i="3"/>
  <c r="I11" i="3"/>
  <c r="K11" i="1" s="1"/>
  <c r="J11" i="3"/>
  <c r="AH5" i="3"/>
  <c r="BF10" i="3"/>
  <c r="AC11" i="3"/>
  <c r="AS11" i="3"/>
  <c r="BE11" i="3"/>
  <c r="AD10" i="3"/>
  <c r="AG10" i="3"/>
  <c r="Z10" i="3"/>
  <c r="AB10" i="3"/>
  <c r="M11" i="3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6" i="1" l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31" i="4"/>
  <c r="EY32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BX24" i="4"/>
  <c r="BW24" i="4"/>
  <c r="BW23" i="4"/>
  <c r="BX23" i="4"/>
  <c r="BH23" i="4"/>
  <c r="BG23" i="4"/>
  <c r="BH24" i="4"/>
  <c r="BG24" i="4"/>
  <c r="BE23" i="4"/>
  <c r="BD23" i="4"/>
  <c r="BE24" i="4"/>
  <c r="BD24" i="4"/>
  <c r="BA23" i="4"/>
  <c r="BB23" i="4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O45" i="4"/>
  <c r="F45" i="4"/>
  <c r="C45" i="4"/>
  <c r="BF44" i="4" l="1"/>
  <c r="AZ44" i="4"/>
  <c r="CQ44" i="4"/>
  <c r="CQ45" i="4"/>
  <c r="CN45" i="4"/>
  <c r="CN44" i="4"/>
  <c r="CK45" i="4"/>
  <c r="CK44" i="4"/>
  <c r="BF45" i="4"/>
  <c r="BF46" i="4" s="1"/>
  <c r="BC45" i="4"/>
  <c r="BC44" i="4"/>
  <c r="AZ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AZ46" i="4" l="1"/>
  <c r="AM51" i="4"/>
  <c r="AA51" i="4"/>
  <c r="AV51" i="4" s="1"/>
  <c r="BC46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W26" i="4"/>
  <c r="BX26" i="4"/>
  <c r="BX25" i="4"/>
  <c r="BW25" i="4"/>
  <c r="BH26" i="4"/>
  <c r="BG26" i="4"/>
  <c r="BE26" i="4"/>
  <c r="BD26" i="4"/>
  <c r="BA26" i="4"/>
  <c r="BB26" i="4"/>
  <c r="AW26" i="4"/>
  <c r="AX26" i="4"/>
  <c r="AU26" i="4"/>
  <c r="AT26" i="4"/>
  <c r="AR26" i="4"/>
  <c r="AQ26" i="4"/>
  <c r="AO26" i="4"/>
  <c r="AN26" i="4"/>
  <c r="AL26" i="4"/>
  <c r="AK26" i="4"/>
  <c r="AH26" i="4"/>
  <c r="AI26" i="4"/>
  <c r="AF26" i="4"/>
  <c r="AE26" i="4"/>
  <c r="AC26" i="4"/>
  <c r="AB26" i="4"/>
  <c r="Z26" i="4"/>
  <c r="Y26" i="4"/>
  <c r="V26" i="4"/>
  <c r="W26" i="4"/>
  <c r="EY27" i="4" l="1"/>
  <c r="EY28" i="4"/>
  <c r="EY29" i="4"/>
  <c r="EY30" i="4"/>
  <c r="DL40" i="4" l="1"/>
  <c r="DL39" i="4"/>
  <c r="DL38" i="4"/>
  <c r="DL37" i="4"/>
  <c r="DL36" i="4"/>
  <c r="DL35" i="4"/>
  <c r="DL32" i="4"/>
  <c r="DL31" i="4"/>
  <c r="FC30" i="4"/>
  <c r="FA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G30" i="4"/>
  <c r="D30" i="4"/>
  <c r="FC29" i="4"/>
  <c r="FA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J29" i="4"/>
  <c r="CH29" i="4"/>
  <c r="CF29" i="4"/>
  <c r="CD29" i="4"/>
  <c r="CB29" i="4"/>
  <c r="BZ29" i="4"/>
  <c r="BT29" i="4"/>
  <c r="S29" i="4"/>
  <c r="P29" i="4"/>
  <c r="N29" i="4"/>
  <c r="L29" i="4"/>
  <c r="J29" i="4"/>
  <c r="G29" i="4"/>
  <c r="D29" i="4"/>
  <c r="FC28" i="4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C27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DL26" i="4"/>
  <c r="DL25" i="4"/>
  <c r="DL24" i="4"/>
  <c r="DL23" i="4"/>
  <c r="DL22" i="4"/>
  <c r="DL21" i="4"/>
  <c r="DL20" i="4"/>
  <c r="DL19" i="4"/>
  <c r="DL18" i="4"/>
  <c r="DL17" i="4"/>
  <c r="DL16" i="4"/>
  <c r="DL15" i="4"/>
  <c r="DL14" i="4"/>
  <c r="DL13" i="4"/>
  <c r="DL12" i="4"/>
  <c r="DL11" i="4"/>
  <c r="CS30" i="4" l="1"/>
  <c r="CR30" i="4"/>
  <c r="CR29" i="4"/>
  <c r="CS29" i="4"/>
  <c r="CS27" i="4"/>
  <c r="CR27" i="4"/>
  <c r="CS28" i="4"/>
  <c r="CR28" i="4"/>
  <c r="CO30" i="4"/>
  <c r="CP30" i="4"/>
  <c r="CP29" i="4"/>
  <c r="CO29" i="4"/>
  <c r="CP28" i="4"/>
  <c r="CO28" i="4"/>
  <c r="CO27" i="4"/>
  <c r="CP27" i="4"/>
  <c r="CM30" i="4"/>
  <c r="CL30" i="4"/>
  <c r="CM29" i="4"/>
  <c r="CL29" i="4"/>
  <c r="CL27" i="4"/>
  <c r="CM27" i="4"/>
  <c r="CM28" i="4"/>
  <c r="CL28" i="4"/>
  <c r="BX30" i="4"/>
  <c r="BW30" i="4"/>
  <c r="BX29" i="4"/>
  <c r="BW29" i="4"/>
  <c r="BW27" i="4"/>
  <c r="BX27" i="4"/>
  <c r="BW28" i="4"/>
  <c r="BX28" i="4"/>
  <c r="BH30" i="4"/>
  <c r="BG30" i="4"/>
  <c r="BH29" i="4"/>
  <c r="BG29" i="4"/>
  <c r="BH27" i="4"/>
  <c r="BG27" i="4"/>
  <c r="BG28" i="4"/>
  <c r="BH28" i="4"/>
  <c r="BD30" i="4"/>
  <c r="BE30" i="4"/>
  <c r="BE29" i="4"/>
  <c r="BD29" i="4"/>
  <c r="BD28" i="4"/>
  <c r="BE28" i="4"/>
  <c r="BD27" i="4"/>
  <c r="BE27" i="4"/>
  <c r="BB30" i="4"/>
  <c r="BA30" i="4"/>
  <c r="BB29" i="4"/>
  <c r="BA29" i="4"/>
  <c r="BB28" i="4"/>
  <c r="BA28" i="4"/>
  <c r="BA27" i="4"/>
  <c r="BB27" i="4"/>
  <c r="AW30" i="4"/>
  <c r="AX30" i="4"/>
  <c r="AX29" i="4"/>
  <c r="AW29" i="4"/>
  <c r="AX27" i="4"/>
  <c r="AW27" i="4"/>
  <c r="AX28" i="4"/>
  <c r="AW28" i="4"/>
  <c r="AU30" i="4"/>
  <c r="AT30" i="4"/>
  <c r="AT29" i="4"/>
  <c r="AU29" i="4"/>
  <c r="AU27" i="4"/>
  <c r="AT27" i="4"/>
  <c r="AT28" i="4"/>
  <c r="AU28" i="4"/>
  <c r="AQ30" i="4"/>
  <c r="AR30" i="4"/>
  <c r="AR29" i="4"/>
  <c r="AQ29" i="4"/>
  <c r="AQ27" i="4"/>
  <c r="AR27" i="4"/>
  <c r="AR28" i="4"/>
  <c r="AQ28" i="4"/>
  <c r="AO30" i="4"/>
  <c r="AN30" i="4"/>
  <c r="AO29" i="4"/>
  <c r="AN29" i="4"/>
  <c r="AO27" i="4"/>
  <c r="AN27" i="4"/>
  <c r="AO28" i="4"/>
  <c r="AN28" i="4"/>
  <c r="AK30" i="4"/>
  <c r="AL30" i="4"/>
  <c r="AL29" i="4"/>
  <c r="AK29" i="4"/>
  <c r="AK28" i="4"/>
  <c r="AL28" i="4"/>
  <c r="AL27" i="4"/>
  <c r="AK27" i="4"/>
  <c r="AI30" i="4"/>
  <c r="AH30" i="4"/>
  <c r="AI29" i="4"/>
  <c r="AH29" i="4"/>
  <c r="AI28" i="4"/>
  <c r="AH28" i="4"/>
  <c r="AH27" i="4"/>
  <c r="AI27" i="4"/>
  <c r="AE30" i="4"/>
  <c r="AF30" i="4"/>
  <c r="AF29" i="4"/>
  <c r="AE29" i="4"/>
  <c r="AF27" i="4"/>
  <c r="AE27" i="4"/>
  <c r="AF28" i="4"/>
  <c r="AE28" i="4"/>
  <c r="AC30" i="4"/>
  <c r="AB30" i="4"/>
  <c r="AB29" i="4"/>
  <c r="AC29" i="4"/>
  <c r="AB28" i="4"/>
  <c r="AC28" i="4"/>
  <c r="AC27" i="4"/>
  <c r="AB27" i="4"/>
  <c r="Y30" i="4"/>
  <c r="Z30" i="4"/>
  <c r="Z29" i="4"/>
  <c r="Y29" i="4"/>
  <c r="Z27" i="4"/>
  <c r="Y27" i="4"/>
  <c r="Z28" i="4"/>
  <c r="Y28" i="4"/>
  <c r="W30" i="4"/>
  <c r="V30" i="4"/>
  <c r="W29" i="4"/>
  <c r="V29" i="4"/>
  <c r="W27" i="4"/>
  <c r="V27" i="4"/>
  <c r="W28" i="4"/>
  <c r="V28" i="4"/>
  <c r="EY33" i="4" l="1"/>
  <c r="EY34" i="4"/>
  <c r="FC34" i="4" l="1"/>
  <c r="FA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B34" i="4"/>
  <c r="BZ34" i="4"/>
  <c r="BT34" i="4"/>
  <c r="N34" i="4"/>
  <c r="FC33" i="4"/>
  <c r="FA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N33" i="4"/>
  <c r="DL33" i="4"/>
  <c r="DJ33" i="4"/>
  <c r="DH33" i="4"/>
  <c r="DF33" i="4"/>
  <c r="DD33" i="4"/>
  <c r="DB33" i="4"/>
  <c r="CZ33" i="4"/>
  <c r="CX33" i="4"/>
  <c r="CU33" i="4"/>
  <c r="CJ33" i="4"/>
  <c r="CH33" i="4"/>
  <c r="CF33" i="4"/>
  <c r="CD33" i="4"/>
  <c r="CB33" i="4"/>
  <c r="BZ33" i="4"/>
  <c r="BT33" i="4"/>
  <c r="N33" i="4"/>
  <c r="BY48" i="4" l="1"/>
  <c r="CA48" i="4"/>
  <c r="CI48" i="4"/>
  <c r="CC48" i="4"/>
  <c r="CG48" i="4"/>
  <c r="BS48" i="4"/>
  <c r="CT48" i="4"/>
  <c r="CT49" i="4" s="1"/>
  <c r="CS33" i="4"/>
  <c r="CR33" i="4"/>
  <c r="CR34" i="4"/>
  <c r="CS34" i="4"/>
  <c r="CP34" i="4"/>
  <c r="CO34" i="4"/>
  <c r="CO33" i="4"/>
  <c r="CP33" i="4"/>
  <c r="CM33" i="4"/>
  <c r="CL33" i="4"/>
  <c r="CM34" i="4"/>
  <c r="CL34" i="4"/>
  <c r="CE48" i="4"/>
  <c r="BX34" i="4"/>
  <c r="BW34" i="4"/>
  <c r="BX33" i="4"/>
  <c r="BW33" i="4"/>
  <c r="BG33" i="4"/>
  <c r="BH33" i="4"/>
  <c r="BH34" i="4"/>
  <c r="BG34" i="4"/>
  <c r="BE33" i="4"/>
  <c r="BD33" i="4"/>
  <c r="BE34" i="4"/>
  <c r="BD34" i="4"/>
  <c r="BA33" i="4"/>
  <c r="BB33" i="4"/>
  <c r="AX33" i="4"/>
  <c r="AW33" i="4"/>
  <c r="AX34" i="4"/>
  <c r="AW34" i="4"/>
  <c r="AT34" i="4"/>
  <c r="AU34" i="4"/>
  <c r="AU33" i="4"/>
  <c r="AT33" i="4"/>
  <c r="AR33" i="4"/>
  <c r="AQ33" i="4"/>
  <c r="AR34" i="4"/>
  <c r="AQ34" i="4"/>
  <c r="AN34" i="4"/>
  <c r="AO34" i="4"/>
  <c r="AN33" i="4"/>
  <c r="AO33" i="4"/>
  <c r="AL33" i="4"/>
  <c r="AK33" i="4"/>
  <c r="AK34" i="4"/>
  <c r="AL34" i="4"/>
  <c r="AI33" i="4"/>
  <c r="AH33" i="4"/>
  <c r="AI34" i="4"/>
  <c r="AH34" i="4"/>
  <c r="AF33" i="4"/>
  <c r="AE33" i="4"/>
  <c r="AF34" i="4"/>
  <c r="AE34" i="4"/>
  <c r="AB34" i="4"/>
  <c r="AC34" i="4"/>
  <c r="AB33" i="4"/>
  <c r="AC33" i="4"/>
  <c r="Z33" i="4"/>
  <c r="Y33" i="4"/>
  <c r="Z34" i="4"/>
  <c r="Y34" i="4"/>
  <c r="W34" i="4"/>
  <c r="V34" i="4"/>
  <c r="W33" i="4"/>
  <c r="V33" i="4"/>
  <c r="S34" i="4"/>
  <c r="S33" i="4"/>
  <c r="P34" i="4"/>
  <c r="P33" i="4"/>
  <c r="O48" i="4" s="1"/>
  <c r="O49" i="4" s="1"/>
  <c r="L33" i="4"/>
  <c r="L34" i="4"/>
  <c r="J33" i="4"/>
  <c r="J34" i="4"/>
  <c r="G34" i="4"/>
  <c r="G33" i="4"/>
  <c r="D33" i="4"/>
  <c r="D34" i="4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D48" i="4"/>
  <c r="AD47" i="4"/>
  <c r="AA47" i="4"/>
  <c r="AA49" i="4" s="1"/>
  <c r="X48" i="4"/>
  <c r="X47" i="4"/>
  <c r="U49" i="4"/>
  <c r="I48" i="4"/>
  <c r="I49" i="4" s="1"/>
  <c r="AV49" i="4" l="1"/>
  <c r="AS49" i="4"/>
  <c r="CQ49" i="4"/>
  <c r="AP49" i="4"/>
  <c r="CK49" i="4"/>
  <c r="AM49" i="4"/>
  <c r="AM50" i="4"/>
  <c r="AD49" i="4"/>
  <c r="AJ49" i="4"/>
  <c r="AG49" i="4"/>
  <c r="AA50" i="4"/>
  <c r="X49" i="4"/>
  <c r="AV50" i="4" l="1"/>
  <c r="BA34" i="4" l="1"/>
  <c r="BB34" i="4"/>
  <c r="BB35" i="4"/>
  <c r="BA35" i="4"/>
  <c r="AZ48" i="4" l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<sst xmlns="http://schemas.openxmlformats.org/spreadsheetml/2006/main" count="412" uniqueCount="203">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</sst>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X10">
            <v>0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B24">
            <v>0.81</v>
          </cell>
          <cell r="E24">
            <v>925562</v>
          </cell>
          <cell r="F24">
            <v>746</v>
          </cell>
          <cell r="G24">
            <v>495</v>
          </cell>
          <cell r="H24">
            <v>92497</v>
          </cell>
          <cell r="I24">
            <v>448</v>
          </cell>
          <cell r="J24">
            <v>405</v>
          </cell>
          <cell r="K24">
            <v>164625</v>
          </cell>
          <cell r="L24">
            <v>0</v>
          </cell>
          <cell r="N24">
            <v>819326</v>
          </cell>
          <cell r="O24">
            <v>204</v>
          </cell>
          <cell r="Q24">
            <v>189084</v>
          </cell>
          <cell r="R24">
            <v>161</v>
          </cell>
          <cell r="S24">
            <v>53527.199999999997</v>
          </cell>
          <cell r="T24">
            <v>86.399999999994179</v>
          </cell>
          <cell r="U24">
            <v>39</v>
          </cell>
          <cell r="V24">
            <v>3982</v>
          </cell>
          <cell r="W24">
            <v>11</v>
          </cell>
          <cell r="AC24">
            <v>7190682.2400000002</v>
          </cell>
          <cell r="AD24">
            <v>2192.4000000003725</v>
          </cell>
          <cell r="AF24">
            <v>13778795.52</v>
          </cell>
          <cell r="AG24">
            <v>4628.4000000003725</v>
          </cell>
          <cell r="AI24">
            <v>13702889.76</v>
          </cell>
          <cell r="AJ24">
            <v>97.440000001341105</v>
          </cell>
          <cell r="AL24">
            <v>16750910.4</v>
          </cell>
          <cell r="AM24">
            <v>0</v>
          </cell>
          <cell r="AO24">
            <v>17076603.599999998</v>
          </cell>
          <cell r="AP24">
            <v>10231.199999999255</v>
          </cell>
          <cell r="AR24">
            <v>15519073.919999998</v>
          </cell>
          <cell r="AS24">
            <v>5602.7999999988824</v>
          </cell>
          <cell r="AU24">
            <v>13202291.76</v>
          </cell>
          <cell r="AV24">
            <v>4579.679999999702</v>
          </cell>
          <cell r="AX24">
            <v>12690439.439999999</v>
          </cell>
          <cell r="AY24">
            <v>4384.7999999988824</v>
          </cell>
          <cell r="BA24">
            <v>10109594.880000001</v>
          </cell>
          <cell r="BB24">
            <v>3507.839999999851</v>
          </cell>
          <cell r="BD24">
            <v>15695196.719999999</v>
          </cell>
          <cell r="BE24">
            <v>5359.1999999992549</v>
          </cell>
          <cell r="BK24">
            <v>68002400</v>
          </cell>
          <cell r="BL24">
            <v>0</v>
          </cell>
          <cell r="BN24">
            <v>70700300</v>
          </cell>
          <cell r="BO24">
            <v>0</v>
          </cell>
          <cell r="BQ24">
            <v>64970000</v>
          </cell>
          <cell r="BR24">
            <v>45700</v>
          </cell>
          <cell r="BT24">
            <v>7718890</v>
          </cell>
          <cell r="BU24">
            <v>5170</v>
          </cell>
          <cell r="BW24">
            <v>0.64</v>
          </cell>
          <cell r="BX24">
            <v>7.999999999999996E-2</v>
          </cell>
          <cell r="BZ24">
            <v>57187</v>
          </cell>
          <cell r="CA24">
            <v>22</v>
          </cell>
          <cell r="CB24">
            <v>48678</v>
          </cell>
          <cell r="CC24">
            <v>20</v>
          </cell>
          <cell r="CD24">
            <v>16734</v>
          </cell>
          <cell r="CE24">
            <v>5</v>
          </cell>
          <cell r="CF24">
            <v>22122</v>
          </cell>
          <cell r="CG24">
            <v>13</v>
          </cell>
          <cell r="CH24">
            <v>24150</v>
          </cell>
          <cell r="CI24">
            <v>16</v>
          </cell>
          <cell r="CJ24">
            <v>53538</v>
          </cell>
          <cell r="CK24">
            <v>22</v>
          </cell>
          <cell r="CL24">
            <v>234913</v>
          </cell>
          <cell r="CM24">
            <v>106</v>
          </cell>
          <cell r="CO24">
            <v>180715</v>
          </cell>
          <cell r="CP24">
            <v>117</v>
          </cell>
          <cell r="CR24">
            <v>319227</v>
          </cell>
          <cell r="CS24">
            <v>220</v>
          </cell>
          <cell r="CU24">
            <v>621809</v>
          </cell>
          <cell r="CV24">
            <v>248</v>
          </cell>
          <cell r="CX24">
            <v>6417</v>
          </cell>
          <cell r="CY24">
            <v>7</v>
          </cell>
          <cell r="CZ24">
            <v>3934</v>
          </cell>
          <cell r="DA24">
            <v>9</v>
          </cell>
          <cell r="DB24">
            <v>26887</v>
          </cell>
          <cell r="DC24">
            <v>16</v>
          </cell>
          <cell r="DD24">
            <v>27630</v>
          </cell>
          <cell r="DE24">
            <v>16</v>
          </cell>
          <cell r="DF24">
            <v>18692</v>
          </cell>
          <cell r="DG24">
            <v>8</v>
          </cell>
          <cell r="DH24">
            <v>21805</v>
          </cell>
          <cell r="DI24">
            <v>8</v>
          </cell>
          <cell r="DJ24">
            <v>3323</v>
          </cell>
          <cell r="DK24">
            <v>8</v>
          </cell>
          <cell r="DL24">
            <v>6798</v>
          </cell>
          <cell r="DM24">
            <v>14</v>
          </cell>
          <cell r="DN24">
            <v>1822</v>
          </cell>
          <cell r="DO24">
            <v>5</v>
          </cell>
          <cell r="DP24">
            <v>3623</v>
          </cell>
          <cell r="DQ24">
            <v>8</v>
          </cell>
          <cell r="DR24">
            <v>26322</v>
          </cell>
          <cell r="DS24">
            <v>7</v>
          </cell>
          <cell r="DU24">
            <v>3167.5</v>
          </cell>
          <cell r="DV24">
            <v>9</v>
          </cell>
          <cell r="DW24">
            <v>8259.1</v>
          </cell>
          <cell r="DX24">
            <v>6.7000000000007276</v>
          </cell>
          <cell r="DY24">
            <v>2384.6999999999998</v>
          </cell>
          <cell r="DZ24">
            <v>6</v>
          </cell>
          <cell r="EA24">
            <v>2524.5</v>
          </cell>
          <cell r="EB24">
            <v>7.5</v>
          </cell>
          <cell r="EC24">
            <v>876410</v>
          </cell>
          <cell r="ED24">
            <v>612</v>
          </cell>
          <cell r="EG24">
            <v>177318.3</v>
          </cell>
          <cell r="EH24">
            <v>150.19999999998254</v>
          </cell>
          <cell r="EJ24">
            <v>10441200</v>
          </cell>
          <cell r="EK24">
            <v>3200</v>
          </cell>
          <cell r="EL24">
            <v>828230</v>
          </cell>
          <cell r="EM24">
            <v>230</v>
          </cell>
          <cell r="EN24">
            <v>6414200</v>
          </cell>
          <cell r="EO24">
            <v>700</v>
          </cell>
          <cell r="EP24">
            <v>2253100</v>
          </cell>
          <cell r="EQ24">
            <v>400</v>
          </cell>
          <cell r="ER24">
            <v>999470</v>
          </cell>
          <cell r="ES24">
            <v>640</v>
          </cell>
          <cell r="ET24">
            <v>14323100</v>
          </cell>
          <cell r="EU24">
            <v>2100</v>
          </cell>
          <cell r="EW24">
            <v>37605</v>
          </cell>
          <cell r="EX24">
            <v>15</v>
          </cell>
          <cell r="EY24">
            <v>32499</v>
          </cell>
          <cell r="EZ24">
            <v>12</v>
          </cell>
          <cell r="FA24">
            <v>3676</v>
          </cell>
          <cell r="FB24">
            <v>8</v>
          </cell>
          <cell r="FC24">
            <v>54251</v>
          </cell>
          <cell r="FD24">
            <v>19</v>
          </cell>
          <cell r="FE24">
            <v>37951</v>
          </cell>
          <cell r="FF24">
            <v>31</v>
          </cell>
        </row>
        <row r="25">
          <cell r="B25">
            <v>0.84</v>
          </cell>
          <cell r="E25">
            <v>926306</v>
          </cell>
          <cell r="F25">
            <v>744</v>
          </cell>
          <cell r="G25">
            <v>483</v>
          </cell>
          <cell r="H25">
            <v>92950</v>
          </cell>
          <cell r="I25">
            <v>453</v>
          </cell>
          <cell r="J25">
            <v>406</v>
          </cell>
          <cell r="K25">
            <v>164625</v>
          </cell>
          <cell r="L25">
            <v>0</v>
          </cell>
          <cell r="N25">
            <v>819517</v>
          </cell>
          <cell r="O25">
            <v>191</v>
          </cell>
          <cell r="Q25">
            <v>189232</v>
          </cell>
          <cell r="R25">
            <v>148</v>
          </cell>
          <cell r="S25">
            <v>53611.6</v>
          </cell>
          <cell r="T25">
            <v>84.400000000001455</v>
          </cell>
          <cell r="U25">
            <v>40</v>
          </cell>
          <cell r="V25">
            <v>3993</v>
          </cell>
          <cell r="W25">
            <v>11</v>
          </cell>
          <cell r="AC25">
            <v>7192825.9199999999</v>
          </cell>
          <cell r="AD25">
            <v>2143.679999999702</v>
          </cell>
          <cell r="AF25">
            <v>13783570.08</v>
          </cell>
          <cell r="AG25">
            <v>4774.5600000005215</v>
          </cell>
          <cell r="AI25">
            <v>13702987.199999999</v>
          </cell>
          <cell r="AJ25">
            <v>97.439999999478459</v>
          </cell>
          <cell r="AL25">
            <v>16750959.119999999</v>
          </cell>
          <cell r="AM25">
            <v>48.719999998807907</v>
          </cell>
          <cell r="AO25">
            <v>17087322</v>
          </cell>
          <cell r="AP25">
            <v>10718.400000002235</v>
          </cell>
          <cell r="AR25">
            <v>15524920.319999998</v>
          </cell>
          <cell r="AS25">
            <v>5846.4000000003725</v>
          </cell>
          <cell r="AU25">
            <v>13206627.84</v>
          </cell>
          <cell r="AV25">
            <v>4336.0800000000745</v>
          </cell>
          <cell r="AX25">
            <v>12694580.640000001</v>
          </cell>
          <cell r="AY25">
            <v>4141.2000000011176</v>
          </cell>
          <cell r="BA25">
            <v>10113005.280000001</v>
          </cell>
          <cell r="BB25">
            <v>3410.4000000003725</v>
          </cell>
          <cell r="BD25">
            <v>15700799.52</v>
          </cell>
          <cell r="BE25">
            <v>5602.8000000007451</v>
          </cell>
          <cell r="BK25">
            <v>68002400</v>
          </cell>
          <cell r="BL25">
            <v>0</v>
          </cell>
          <cell r="BN25">
            <v>70700300</v>
          </cell>
          <cell r="BO25">
            <v>0</v>
          </cell>
          <cell r="BQ25">
            <v>65015900</v>
          </cell>
          <cell r="BR25">
            <v>45900</v>
          </cell>
          <cell r="BT25">
            <v>7724840</v>
          </cell>
          <cell r="BU25">
            <v>5950</v>
          </cell>
          <cell r="BW25">
            <v>0.57999999999999996</v>
          </cell>
          <cell r="BX25">
            <v>6.0000000000000053E-2</v>
          </cell>
          <cell r="BZ25">
            <v>57208</v>
          </cell>
          <cell r="CA25">
            <v>21</v>
          </cell>
          <cell r="CB25">
            <v>48697</v>
          </cell>
          <cell r="CC25">
            <v>19</v>
          </cell>
          <cell r="CD25">
            <v>16740</v>
          </cell>
          <cell r="CE25">
            <v>6</v>
          </cell>
          <cell r="CF25">
            <v>22134</v>
          </cell>
          <cell r="CG25">
            <v>12</v>
          </cell>
          <cell r="CH25">
            <v>24162</v>
          </cell>
          <cell r="CI25">
            <v>12</v>
          </cell>
          <cell r="CJ25">
            <v>53566</v>
          </cell>
          <cell r="CK25">
            <v>28</v>
          </cell>
          <cell r="CL25">
            <v>235017</v>
          </cell>
          <cell r="CM25">
            <v>104</v>
          </cell>
          <cell r="CO25">
            <v>180831</v>
          </cell>
          <cell r="CP25">
            <v>116</v>
          </cell>
          <cell r="CR25">
            <v>319448</v>
          </cell>
          <cell r="CS25">
            <v>221</v>
          </cell>
          <cell r="CU25">
            <v>622052</v>
          </cell>
          <cell r="CV25">
            <v>243</v>
          </cell>
          <cell r="CX25">
            <v>6425</v>
          </cell>
          <cell r="CY25">
            <v>8</v>
          </cell>
          <cell r="CZ25">
            <v>3944</v>
          </cell>
          <cell r="DA25">
            <v>10</v>
          </cell>
          <cell r="DB25">
            <v>26905</v>
          </cell>
          <cell r="DC25">
            <v>18</v>
          </cell>
          <cell r="DD25">
            <v>27646</v>
          </cell>
          <cell r="DE25">
            <v>16</v>
          </cell>
          <cell r="DF25">
            <v>18701</v>
          </cell>
          <cell r="DG25">
            <v>9</v>
          </cell>
          <cell r="DH25">
            <v>21814</v>
          </cell>
          <cell r="DI25">
            <v>9</v>
          </cell>
          <cell r="DJ25">
            <v>3333</v>
          </cell>
          <cell r="DK25">
            <v>10</v>
          </cell>
          <cell r="DL25">
            <v>6814</v>
          </cell>
          <cell r="DM25">
            <v>16</v>
          </cell>
          <cell r="DN25">
            <v>1825</v>
          </cell>
          <cell r="DO25">
            <v>3</v>
          </cell>
          <cell r="DP25">
            <v>3630</v>
          </cell>
          <cell r="DQ25">
            <v>7</v>
          </cell>
          <cell r="DR25">
            <v>26322</v>
          </cell>
          <cell r="DS25">
            <v>0</v>
          </cell>
          <cell r="DU25">
            <v>3176.7</v>
          </cell>
          <cell r="DV25">
            <v>9.1999999999998181</v>
          </cell>
          <cell r="DW25">
            <v>8265.7999999999993</v>
          </cell>
          <cell r="DX25">
            <v>6.6999999999989086</v>
          </cell>
          <cell r="DY25">
            <v>2391</v>
          </cell>
          <cell r="DZ25">
            <v>6.3000000000001819</v>
          </cell>
          <cell r="EA25">
            <v>2532.6</v>
          </cell>
          <cell r="EB25">
            <v>8.0999999999999091</v>
          </cell>
          <cell r="EC25">
            <v>877007</v>
          </cell>
          <cell r="ED25">
            <v>597</v>
          </cell>
          <cell r="EG25">
            <v>177474.6</v>
          </cell>
          <cell r="EH25">
            <v>156.30000000001746</v>
          </cell>
          <cell r="EJ25">
            <v>10444300</v>
          </cell>
          <cell r="EK25">
            <v>3100</v>
          </cell>
          <cell r="EL25">
            <v>828460</v>
          </cell>
          <cell r="EM25">
            <v>230</v>
          </cell>
          <cell r="EN25">
            <v>6414900</v>
          </cell>
          <cell r="EO25">
            <v>700</v>
          </cell>
          <cell r="EP25">
            <v>2253600</v>
          </cell>
          <cell r="EQ25">
            <v>500</v>
          </cell>
          <cell r="ER25">
            <v>1000060</v>
          </cell>
          <cell r="ES25">
            <v>590</v>
          </cell>
          <cell r="ET25">
            <v>14325400</v>
          </cell>
          <cell r="EU25">
            <v>2300</v>
          </cell>
          <cell r="EW25">
            <v>37621</v>
          </cell>
          <cell r="EX25">
            <v>16</v>
          </cell>
          <cell r="EY25">
            <v>32513</v>
          </cell>
          <cell r="EZ25">
            <v>14</v>
          </cell>
          <cell r="FA25">
            <v>3688</v>
          </cell>
          <cell r="FB25">
            <v>12</v>
          </cell>
          <cell r="FC25">
            <v>54268</v>
          </cell>
          <cell r="FD25">
            <v>17</v>
          </cell>
          <cell r="FE25">
            <v>37982</v>
          </cell>
          <cell r="FF25">
            <v>31</v>
          </cell>
        </row>
        <row r="26">
          <cell r="B26">
            <v>0.76</v>
          </cell>
          <cell r="E26">
            <v>927023</v>
          </cell>
          <cell r="F26">
            <v>717</v>
          </cell>
          <cell r="G26">
            <v>507</v>
          </cell>
          <cell r="H26">
            <v>93407</v>
          </cell>
          <cell r="I26">
            <v>457</v>
          </cell>
          <cell r="J26">
            <v>410</v>
          </cell>
          <cell r="K26">
            <v>164625</v>
          </cell>
          <cell r="L26">
            <v>0</v>
          </cell>
          <cell r="N26">
            <v>819691</v>
          </cell>
          <cell r="O26">
            <v>174</v>
          </cell>
          <cell r="Q26">
            <v>189341</v>
          </cell>
          <cell r="R26">
            <v>109</v>
          </cell>
          <cell r="S26">
            <v>53699.58</v>
          </cell>
          <cell r="T26">
            <v>87.980000000003201</v>
          </cell>
          <cell r="U26">
            <v>43</v>
          </cell>
          <cell r="V26">
            <v>4005</v>
          </cell>
          <cell r="W26">
            <v>12</v>
          </cell>
          <cell r="AC26">
            <v>7194726</v>
          </cell>
          <cell r="AD26">
            <v>1900.0800000000745</v>
          </cell>
          <cell r="AF26">
            <v>13788247.199999999</v>
          </cell>
          <cell r="AG26">
            <v>4677.1199999991804</v>
          </cell>
          <cell r="AI26">
            <v>13703084.640000001</v>
          </cell>
          <cell r="AJ26">
            <v>97.440000001341105</v>
          </cell>
          <cell r="AL26">
            <v>16751007.839999998</v>
          </cell>
          <cell r="AM26">
            <v>48.719999998807907</v>
          </cell>
          <cell r="AO26">
            <v>17098186.560000002</v>
          </cell>
          <cell r="AP26">
            <v>10864.560000002384</v>
          </cell>
          <cell r="AR26">
            <v>15530571.84</v>
          </cell>
          <cell r="AS26">
            <v>5651.5200000014156</v>
          </cell>
          <cell r="AU26">
            <v>13211207.52</v>
          </cell>
          <cell r="AV26">
            <v>4579.679999999702</v>
          </cell>
          <cell r="AX26">
            <v>12698770.559999999</v>
          </cell>
          <cell r="AY26">
            <v>4189.9199999980628</v>
          </cell>
          <cell r="BA26">
            <v>10116561.84</v>
          </cell>
          <cell r="BB26">
            <v>3556.5599999986589</v>
          </cell>
          <cell r="BD26">
            <v>15706353.6</v>
          </cell>
          <cell r="BE26">
            <v>5554.0800000000745</v>
          </cell>
          <cell r="BK26">
            <v>68002400</v>
          </cell>
          <cell r="BL26">
            <v>0</v>
          </cell>
          <cell r="BN26">
            <v>70700300</v>
          </cell>
          <cell r="BO26">
            <v>0</v>
          </cell>
          <cell r="BQ26">
            <v>65062200</v>
          </cell>
          <cell r="BR26">
            <v>46300</v>
          </cell>
          <cell r="BT26">
            <v>7730280</v>
          </cell>
          <cell r="BU26">
            <v>5440</v>
          </cell>
          <cell r="BW26">
            <v>0.68</v>
          </cell>
          <cell r="BX26">
            <v>-0.10000000000000009</v>
          </cell>
          <cell r="BZ26">
            <v>57228</v>
          </cell>
          <cell r="CA26">
            <v>20</v>
          </cell>
          <cell r="CB26">
            <v>48716</v>
          </cell>
          <cell r="CC26">
            <v>19</v>
          </cell>
          <cell r="CD26">
            <v>16746</v>
          </cell>
          <cell r="CE26">
            <v>6</v>
          </cell>
          <cell r="CF26">
            <v>22145</v>
          </cell>
          <cell r="CG26">
            <v>11</v>
          </cell>
          <cell r="CH26">
            <v>24180</v>
          </cell>
          <cell r="CI26">
            <v>18</v>
          </cell>
          <cell r="CJ26">
            <v>53591</v>
          </cell>
          <cell r="CK26">
            <v>25</v>
          </cell>
          <cell r="CL26">
            <v>235123</v>
          </cell>
          <cell r="CM26">
            <v>106</v>
          </cell>
          <cell r="CO26">
            <v>180954</v>
          </cell>
          <cell r="CP26">
            <v>123</v>
          </cell>
          <cell r="CR26">
            <v>319671</v>
          </cell>
          <cell r="CS26">
            <v>223</v>
          </cell>
          <cell r="CU26">
            <v>622301</v>
          </cell>
          <cell r="CV26">
            <v>249</v>
          </cell>
          <cell r="CX26">
            <v>6435</v>
          </cell>
          <cell r="CY26">
            <v>10</v>
          </cell>
          <cell r="CZ26">
            <v>3952</v>
          </cell>
          <cell r="DA26">
            <v>8</v>
          </cell>
          <cell r="DB26">
            <v>26918</v>
          </cell>
          <cell r="DC26">
            <v>13</v>
          </cell>
          <cell r="DD26">
            <v>27666</v>
          </cell>
          <cell r="DE26">
            <v>20</v>
          </cell>
          <cell r="DF26">
            <v>18710</v>
          </cell>
          <cell r="DG26">
            <v>9</v>
          </cell>
          <cell r="DH26">
            <v>21823</v>
          </cell>
          <cell r="DI26">
            <v>9</v>
          </cell>
          <cell r="DJ26">
            <v>3343</v>
          </cell>
          <cell r="DK26">
            <v>10</v>
          </cell>
          <cell r="DL26">
            <v>6830</v>
          </cell>
          <cell r="DM26">
            <v>16</v>
          </cell>
          <cell r="DN26">
            <v>1830</v>
          </cell>
          <cell r="DO26">
            <v>5</v>
          </cell>
          <cell r="DP26">
            <v>3639</v>
          </cell>
          <cell r="DQ26">
            <v>9</v>
          </cell>
          <cell r="DR26">
            <v>26325</v>
          </cell>
          <cell r="DS26">
            <v>3</v>
          </cell>
          <cell r="DU26">
            <v>3186.1</v>
          </cell>
          <cell r="DV26">
            <v>9.4000000000000909</v>
          </cell>
          <cell r="DW26">
            <v>8272.5</v>
          </cell>
          <cell r="DX26">
            <v>6.7000000000007276</v>
          </cell>
          <cell r="DY26">
            <v>2397</v>
          </cell>
          <cell r="DZ26">
            <v>6</v>
          </cell>
          <cell r="EA26">
            <v>2540.9</v>
          </cell>
          <cell r="EB26">
            <v>8.3000000000001819</v>
          </cell>
          <cell r="EC26">
            <v>877600</v>
          </cell>
          <cell r="ED26">
            <v>593</v>
          </cell>
          <cell r="EG26">
            <v>177629.4</v>
          </cell>
          <cell r="EH26">
            <v>154.79999999998836</v>
          </cell>
          <cell r="EJ26">
            <v>10448200</v>
          </cell>
          <cell r="EK26">
            <v>3900</v>
          </cell>
          <cell r="EL26">
            <v>828760</v>
          </cell>
          <cell r="EM26">
            <v>300</v>
          </cell>
          <cell r="EN26">
            <v>6415700</v>
          </cell>
          <cell r="EO26">
            <v>800</v>
          </cell>
          <cell r="EP26">
            <v>2254000</v>
          </cell>
          <cell r="EQ26">
            <v>400</v>
          </cell>
          <cell r="ER26">
            <v>1000810</v>
          </cell>
          <cell r="ES26">
            <v>750</v>
          </cell>
          <cell r="ET26">
            <v>14327700</v>
          </cell>
          <cell r="EU26">
            <v>2300</v>
          </cell>
          <cell r="EW26">
            <v>37636</v>
          </cell>
          <cell r="EX26">
            <v>15</v>
          </cell>
          <cell r="EY26">
            <v>32526</v>
          </cell>
          <cell r="EZ26">
            <v>13</v>
          </cell>
          <cell r="FA26">
            <v>3704</v>
          </cell>
          <cell r="FB26">
            <v>16</v>
          </cell>
          <cell r="FC26">
            <v>54286</v>
          </cell>
          <cell r="FD26">
            <v>18</v>
          </cell>
          <cell r="FE26">
            <v>38016</v>
          </cell>
          <cell r="FF26">
            <v>34</v>
          </cell>
        </row>
        <row r="27">
          <cell r="B27">
            <v>0.72</v>
          </cell>
          <cell r="E27">
            <v>927720</v>
          </cell>
          <cell r="F27">
            <v>697</v>
          </cell>
          <cell r="G27">
            <v>498</v>
          </cell>
          <cell r="H27">
            <v>93867</v>
          </cell>
          <cell r="I27">
            <v>460</v>
          </cell>
          <cell r="J27">
            <v>436</v>
          </cell>
          <cell r="K27">
            <v>164625</v>
          </cell>
          <cell r="L27">
            <v>0</v>
          </cell>
          <cell r="N27">
            <v>819886</v>
          </cell>
          <cell r="O27">
            <v>195</v>
          </cell>
          <cell r="Q27">
            <v>189475</v>
          </cell>
          <cell r="R27">
            <v>134</v>
          </cell>
          <cell r="S27">
            <v>53777.32</v>
          </cell>
          <cell r="T27">
            <v>77.739999999997963</v>
          </cell>
          <cell r="U27">
            <v>42</v>
          </cell>
          <cell r="V27">
            <v>4014</v>
          </cell>
          <cell r="W27">
            <v>9</v>
          </cell>
          <cell r="AC27">
            <v>7197697.9199999999</v>
          </cell>
          <cell r="AD27">
            <v>2971.9199999999255</v>
          </cell>
          <cell r="AF27">
            <v>13793070.48</v>
          </cell>
          <cell r="AG27">
            <v>4823.2800000011921</v>
          </cell>
          <cell r="AI27">
            <v>13703279.52</v>
          </cell>
          <cell r="AJ27">
            <v>194.87999999895692</v>
          </cell>
          <cell r="AL27">
            <v>16751056.560000001</v>
          </cell>
          <cell r="AM27">
            <v>48.720000002533197</v>
          </cell>
          <cell r="AO27">
            <v>17107248.48</v>
          </cell>
          <cell r="AP27">
            <v>9061.9199999980628</v>
          </cell>
          <cell r="AR27">
            <v>15536418.24</v>
          </cell>
          <cell r="AS27">
            <v>5846.4000000003725</v>
          </cell>
          <cell r="AU27">
            <v>13215787.199999999</v>
          </cell>
          <cell r="AV27">
            <v>4579.679999999702</v>
          </cell>
          <cell r="AX27">
            <v>12703106.640000001</v>
          </cell>
          <cell r="AY27">
            <v>4336.0800000019372</v>
          </cell>
          <cell r="BA27">
            <v>10119923.52</v>
          </cell>
          <cell r="BB27">
            <v>3361.679999999702</v>
          </cell>
          <cell r="BD27">
            <v>15711956.4</v>
          </cell>
          <cell r="BE27">
            <v>5602.8000000007451</v>
          </cell>
          <cell r="BK27">
            <v>68002400</v>
          </cell>
          <cell r="BL27">
            <v>0</v>
          </cell>
          <cell r="BN27">
            <v>70700300</v>
          </cell>
          <cell r="BO27">
            <v>0</v>
          </cell>
          <cell r="BQ27">
            <v>65105000</v>
          </cell>
          <cell r="BR27">
            <v>42800</v>
          </cell>
          <cell r="BT27">
            <v>7736230</v>
          </cell>
          <cell r="BU27">
            <v>5950</v>
          </cell>
          <cell r="BW27">
            <v>0.62</v>
          </cell>
          <cell r="BX27">
            <v>6.0000000000000053E-2</v>
          </cell>
          <cell r="BZ27">
            <v>57248</v>
          </cell>
          <cell r="CA27">
            <v>20</v>
          </cell>
          <cell r="CB27">
            <v>48734</v>
          </cell>
          <cell r="CC27">
            <v>18</v>
          </cell>
          <cell r="CD27">
            <v>16751</v>
          </cell>
          <cell r="CE27">
            <v>5</v>
          </cell>
          <cell r="CF27">
            <v>22156</v>
          </cell>
          <cell r="CG27">
            <v>11</v>
          </cell>
          <cell r="CH27">
            <v>24196</v>
          </cell>
          <cell r="CI27">
            <v>16</v>
          </cell>
          <cell r="CJ27">
            <v>53616</v>
          </cell>
          <cell r="CK27">
            <v>25</v>
          </cell>
          <cell r="CL27">
            <v>235229</v>
          </cell>
          <cell r="CM27">
            <v>106</v>
          </cell>
          <cell r="CO27">
            <v>181074</v>
          </cell>
          <cell r="CP27">
            <v>120</v>
          </cell>
          <cell r="CR27">
            <v>319897</v>
          </cell>
          <cell r="CS27">
            <v>226</v>
          </cell>
          <cell r="CU27">
            <v>622549</v>
          </cell>
          <cell r="CV27">
            <v>248</v>
          </cell>
          <cell r="CX27">
            <v>6443</v>
          </cell>
          <cell r="CY27">
            <v>8</v>
          </cell>
          <cell r="CZ27">
            <v>3960</v>
          </cell>
          <cell r="DA27">
            <v>8</v>
          </cell>
          <cell r="DB27">
            <v>26933</v>
          </cell>
          <cell r="DC27">
            <v>15</v>
          </cell>
          <cell r="DD27">
            <v>27684</v>
          </cell>
          <cell r="DE27">
            <v>18</v>
          </cell>
          <cell r="DF27">
            <v>18719</v>
          </cell>
          <cell r="DG27">
            <v>9</v>
          </cell>
          <cell r="DH27">
            <v>21832</v>
          </cell>
          <cell r="DI27">
            <v>9</v>
          </cell>
          <cell r="DJ27">
            <v>3352</v>
          </cell>
          <cell r="DK27">
            <v>9</v>
          </cell>
          <cell r="DL27">
            <v>6843</v>
          </cell>
          <cell r="DM27">
            <v>13</v>
          </cell>
          <cell r="DN27">
            <v>1835</v>
          </cell>
          <cell r="DO27">
            <v>5</v>
          </cell>
          <cell r="DP27">
            <v>3648</v>
          </cell>
          <cell r="DQ27">
            <v>9</v>
          </cell>
          <cell r="DR27">
            <v>26328</v>
          </cell>
          <cell r="DS27">
            <v>3</v>
          </cell>
          <cell r="DU27">
            <v>3194.3</v>
          </cell>
          <cell r="DV27">
            <v>8.2000000000002728</v>
          </cell>
          <cell r="DW27">
            <v>8279.2000000000007</v>
          </cell>
          <cell r="DX27">
            <v>6.7000000000007276</v>
          </cell>
          <cell r="DY27">
            <v>2403.4</v>
          </cell>
          <cell r="DZ27">
            <v>6.4000000000000909</v>
          </cell>
          <cell r="EA27">
            <v>2548</v>
          </cell>
          <cell r="EB27">
            <v>7.0999999999999091</v>
          </cell>
          <cell r="EC27">
            <v>878185</v>
          </cell>
          <cell r="ED27">
            <v>585</v>
          </cell>
          <cell r="EG27">
            <v>177781.4</v>
          </cell>
          <cell r="EH27">
            <v>152</v>
          </cell>
          <cell r="EJ27">
            <v>10450600</v>
          </cell>
          <cell r="EK27">
            <v>2400</v>
          </cell>
          <cell r="EL27">
            <v>829010</v>
          </cell>
          <cell r="EM27">
            <v>250</v>
          </cell>
          <cell r="EN27">
            <v>6416300</v>
          </cell>
          <cell r="EO27">
            <v>600</v>
          </cell>
          <cell r="EP27">
            <v>2254300</v>
          </cell>
          <cell r="EQ27">
            <v>300</v>
          </cell>
          <cell r="ER27">
            <v>1001430</v>
          </cell>
          <cell r="ES27">
            <v>620</v>
          </cell>
          <cell r="ET27">
            <v>14329200</v>
          </cell>
          <cell r="EU27">
            <v>1500</v>
          </cell>
          <cell r="EW27">
            <v>37653</v>
          </cell>
          <cell r="EX27">
            <v>17</v>
          </cell>
          <cell r="EY27">
            <v>32538</v>
          </cell>
          <cell r="EZ27">
            <v>12</v>
          </cell>
          <cell r="FA27">
            <v>3719</v>
          </cell>
          <cell r="FB27">
            <v>15</v>
          </cell>
          <cell r="FC27">
            <v>54302</v>
          </cell>
          <cell r="FD27">
            <v>16</v>
          </cell>
          <cell r="FE27">
            <v>38049</v>
          </cell>
          <cell r="FF27">
            <v>33</v>
          </cell>
        </row>
        <row r="28">
          <cell r="B28">
            <v>0.72</v>
          </cell>
          <cell r="E28">
            <v>928397</v>
          </cell>
          <cell r="F28">
            <v>677</v>
          </cell>
          <cell r="G28">
            <v>520</v>
          </cell>
          <cell r="H28">
            <v>94280</v>
          </cell>
          <cell r="I28">
            <v>413</v>
          </cell>
          <cell r="J28">
            <v>405</v>
          </cell>
          <cell r="K28">
            <v>164625</v>
          </cell>
          <cell r="L28">
            <v>0</v>
          </cell>
          <cell r="N28">
            <v>820055</v>
          </cell>
          <cell r="O28">
            <v>169</v>
          </cell>
          <cell r="Q28">
            <v>189596</v>
          </cell>
          <cell r="R28">
            <v>121</v>
          </cell>
          <cell r="S28">
            <v>53858.89</v>
          </cell>
          <cell r="T28">
            <v>81.569999999999709</v>
          </cell>
          <cell r="U28">
            <v>50</v>
          </cell>
          <cell r="V28">
            <v>4027</v>
          </cell>
          <cell r="W28">
            <v>13</v>
          </cell>
          <cell r="AC28">
            <v>7200572.3999999994</v>
          </cell>
          <cell r="AD28">
            <v>2874.4799999995157</v>
          </cell>
          <cell r="AF28">
            <v>13797747.6</v>
          </cell>
          <cell r="AG28">
            <v>4677.1199999991804</v>
          </cell>
          <cell r="AI28">
            <v>13703523.119999999</v>
          </cell>
          <cell r="AJ28">
            <v>243.59999999962747</v>
          </cell>
          <cell r="AL28">
            <v>16751105.280000001</v>
          </cell>
          <cell r="AM28">
            <v>48.720000000670552</v>
          </cell>
          <cell r="AO28">
            <v>17116018.080000002</v>
          </cell>
          <cell r="AP28">
            <v>8769.6000000014901</v>
          </cell>
          <cell r="AR28">
            <v>15541728.719999999</v>
          </cell>
          <cell r="AS28">
            <v>5310.4799999985844</v>
          </cell>
          <cell r="AU28">
            <v>13220172</v>
          </cell>
          <cell r="AV28">
            <v>4384.8000000007451</v>
          </cell>
          <cell r="AX28">
            <v>12707296.559999999</v>
          </cell>
          <cell r="AY28">
            <v>4189.9199999980628</v>
          </cell>
          <cell r="BA28">
            <v>10123333.92</v>
          </cell>
          <cell r="BB28">
            <v>3410.4000000003725</v>
          </cell>
          <cell r="BD28">
            <v>15717218.16</v>
          </cell>
          <cell r="BE28">
            <v>5261.7599999997765</v>
          </cell>
          <cell r="BK28">
            <v>68002400</v>
          </cell>
          <cell r="BL28">
            <v>0</v>
          </cell>
          <cell r="BN28">
            <v>70700300</v>
          </cell>
          <cell r="BO28">
            <v>0</v>
          </cell>
          <cell r="BQ28">
            <v>65148700</v>
          </cell>
          <cell r="BR28">
            <v>43700</v>
          </cell>
          <cell r="BT28">
            <v>7741200</v>
          </cell>
          <cell r="BU28">
            <v>4970</v>
          </cell>
          <cell r="BW28">
            <v>0.74</v>
          </cell>
          <cell r="BX28">
            <v>-0.12</v>
          </cell>
          <cell r="BZ28">
            <v>57268</v>
          </cell>
          <cell r="CA28">
            <v>20</v>
          </cell>
          <cell r="CB28">
            <v>48752</v>
          </cell>
          <cell r="CC28">
            <v>18</v>
          </cell>
          <cell r="CD28">
            <v>16755</v>
          </cell>
          <cell r="CE28">
            <v>4</v>
          </cell>
          <cell r="CF28">
            <v>22169</v>
          </cell>
          <cell r="CG28">
            <v>13</v>
          </cell>
          <cell r="CH28">
            <v>24210</v>
          </cell>
          <cell r="CI28">
            <v>14</v>
          </cell>
          <cell r="CJ28">
            <v>53640</v>
          </cell>
          <cell r="CK28">
            <v>24</v>
          </cell>
          <cell r="CL28">
            <v>235333</v>
          </cell>
          <cell r="CM28">
            <v>104</v>
          </cell>
          <cell r="CO28">
            <v>181192</v>
          </cell>
          <cell r="CP28">
            <v>118</v>
          </cell>
          <cell r="CR28">
            <v>320113</v>
          </cell>
          <cell r="CS28">
            <v>216</v>
          </cell>
          <cell r="CU28">
            <v>622792</v>
          </cell>
          <cell r="CV28">
            <v>243</v>
          </cell>
          <cell r="CX28">
            <v>6451</v>
          </cell>
          <cell r="CY28">
            <v>8</v>
          </cell>
          <cell r="CZ28">
            <v>3964</v>
          </cell>
          <cell r="DA28">
            <v>4</v>
          </cell>
          <cell r="DB28">
            <v>26948</v>
          </cell>
          <cell r="DC28">
            <v>15</v>
          </cell>
          <cell r="DD28">
            <v>27702</v>
          </cell>
          <cell r="DE28">
            <v>18</v>
          </cell>
          <cell r="DF28">
            <v>18728</v>
          </cell>
          <cell r="DG28">
            <v>9</v>
          </cell>
          <cell r="DH28">
            <v>21841</v>
          </cell>
          <cell r="DI28">
            <v>9</v>
          </cell>
          <cell r="DJ28">
            <v>3361</v>
          </cell>
          <cell r="DK28">
            <v>9</v>
          </cell>
          <cell r="DL28">
            <v>6856</v>
          </cell>
          <cell r="DM28">
            <v>13</v>
          </cell>
          <cell r="DN28">
            <v>1841</v>
          </cell>
          <cell r="DO28">
            <v>6</v>
          </cell>
          <cell r="DP28">
            <v>3650</v>
          </cell>
          <cell r="DQ28">
            <v>2</v>
          </cell>
          <cell r="DR28">
            <v>26334</v>
          </cell>
          <cell r="DS28">
            <v>6</v>
          </cell>
          <cell r="DU28">
            <v>3203.4</v>
          </cell>
          <cell r="DV28">
            <v>9.0999999999999091</v>
          </cell>
          <cell r="DW28">
            <v>8285.5</v>
          </cell>
          <cell r="DX28">
            <v>6.2999999999992724</v>
          </cell>
          <cell r="DY28">
            <v>2409.8000000000002</v>
          </cell>
          <cell r="DZ28">
            <v>6.4000000000000909</v>
          </cell>
          <cell r="EA28">
            <v>2555.8000000000002</v>
          </cell>
          <cell r="EB28">
            <v>7.8000000000001819</v>
          </cell>
          <cell r="EC28">
            <v>878740</v>
          </cell>
          <cell r="ED28">
            <v>555</v>
          </cell>
          <cell r="EG28">
            <v>177935.6</v>
          </cell>
          <cell r="EH28">
            <v>154.20000000001164</v>
          </cell>
          <cell r="EJ28">
            <v>10453900</v>
          </cell>
          <cell r="EK28">
            <v>3300</v>
          </cell>
          <cell r="EL28">
            <v>829290</v>
          </cell>
          <cell r="EM28">
            <v>280</v>
          </cell>
          <cell r="EN28">
            <v>6417100</v>
          </cell>
          <cell r="EO28">
            <v>800</v>
          </cell>
          <cell r="EP28">
            <v>2254600</v>
          </cell>
          <cell r="EQ28">
            <v>300</v>
          </cell>
          <cell r="ER28">
            <v>1002080</v>
          </cell>
          <cell r="ES28">
            <v>650</v>
          </cell>
          <cell r="ET28">
            <v>14330700</v>
          </cell>
          <cell r="EU28">
            <v>1500</v>
          </cell>
          <cell r="EW28">
            <v>37667</v>
          </cell>
          <cell r="EX28">
            <v>14</v>
          </cell>
          <cell r="EY28">
            <v>32551</v>
          </cell>
          <cell r="EZ28">
            <v>13</v>
          </cell>
          <cell r="FA28">
            <v>3729</v>
          </cell>
          <cell r="FB28">
            <v>10</v>
          </cell>
          <cell r="FC28">
            <v>54319</v>
          </cell>
          <cell r="FD28">
            <v>17</v>
          </cell>
          <cell r="FE28">
            <v>38079</v>
          </cell>
          <cell r="FF28">
            <v>30</v>
          </cell>
        </row>
        <row r="29">
          <cell r="B29">
            <v>0.74</v>
          </cell>
          <cell r="E29">
            <v>929111</v>
          </cell>
          <cell r="F29">
            <v>714</v>
          </cell>
          <cell r="G29">
            <v>516</v>
          </cell>
          <cell r="H29">
            <v>94716</v>
          </cell>
          <cell r="I29">
            <v>436</v>
          </cell>
          <cell r="J29">
            <v>415</v>
          </cell>
          <cell r="K29">
            <v>164625</v>
          </cell>
          <cell r="L29">
            <v>0</v>
          </cell>
          <cell r="N29">
            <v>820237</v>
          </cell>
          <cell r="O29">
            <v>182</v>
          </cell>
          <cell r="Q29">
            <v>189759</v>
          </cell>
          <cell r="R29">
            <v>163</v>
          </cell>
          <cell r="S29">
            <v>53937.48</v>
          </cell>
          <cell r="T29">
            <v>78.590000000003783</v>
          </cell>
          <cell r="U29">
            <v>44</v>
          </cell>
          <cell r="V29">
            <v>4036</v>
          </cell>
          <cell r="W29">
            <v>9</v>
          </cell>
          <cell r="AC29">
            <v>7203641.7599999998</v>
          </cell>
          <cell r="AD29">
            <v>3069.3600000003353</v>
          </cell>
          <cell r="AF29">
            <v>13802522.16</v>
          </cell>
          <cell r="AG29">
            <v>4774.5600000005215</v>
          </cell>
          <cell r="AI29">
            <v>13703718</v>
          </cell>
          <cell r="AJ29">
            <v>194.88000000081956</v>
          </cell>
          <cell r="AL29">
            <v>16751105.280000001</v>
          </cell>
          <cell r="AM29">
            <v>0</v>
          </cell>
          <cell r="AO29">
            <v>17125421.039999999</v>
          </cell>
          <cell r="AP29">
            <v>9402.9599999971688</v>
          </cell>
          <cell r="AR29">
            <v>15547623.84</v>
          </cell>
          <cell r="AS29">
            <v>5895.1200000010431</v>
          </cell>
          <cell r="AU29">
            <v>13224556.799999999</v>
          </cell>
          <cell r="AV29">
            <v>4384.7999999988824</v>
          </cell>
          <cell r="AX29">
            <v>12711437.76</v>
          </cell>
          <cell r="AY29">
            <v>4141.2000000011176</v>
          </cell>
          <cell r="BA29">
            <v>10126354.559999999</v>
          </cell>
          <cell r="BB29">
            <v>3020.6399999987334</v>
          </cell>
          <cell r="BD29">
            <v>15722674.799999999</v>
          </cell>
          <cell r="BE29">
            <v>5456.6399999987334</v>
          </cell>
          <cell r="BK29">
            <v>68002400</v>
          </cell>
          <cell r="BL29">
            <v>0</v>
          </cell>
          <cell r="BN29">
            <v>70700300</v>
          </cell>
          <cell r="BO29">
            <v>0</v>
          </cell>
          <cell r="BQ29">
            <v>65192800</v>
          </cell>
          <cell r="BR29">
            <v>44100</v>
          </cell>
          <cell r="BT29">
            <v>7746840</v>
          </cell>
          <cell r="BU29">
            <v>5640</v>
          </cell>
          <cell r="BW29">
            <v>0.68</v>
          </cell>
          <cell r="BX29">
            <v>5.9999999999999942E-2</v>
          </cell>
          <cell r="BZ29">
            <v>57288</v>
          </cell>
          <cell r="CA29">
            <v>20</v>
          </cell>
          <cell r="CB29">
            <v>48771</v>
          </cell>
          <cell r="CC29">
            <v>19</v>
          </cell>
          <cell r="CD29">
            <v>16760</v>
          </cell>
          <cell r="CE29">
            <v>5</v>
          </cell>
          <cell r="CF29">
            <v>22179</v>
          </cell>
          <cell r="CG29">
            <v>10</v>
          </cell>
          <cell r="CH29">
            <v>24222</v>
          </cell>
          <cell r="CI29">
            <v>12</v>
          </cell>
          <cell r="CJ29">
            <v>53663</v>
          </cell>
          <cell r="CK29">
            <v>23</v>
          </cell>
          <cell r="CL29">
            <v>235438</v>
          </cell>
          <cell r="CM29">
            <v>105</v>
          </cell>
          <cell r="CO29">
            <v>181310</v>
          </cell>
          <cell r="CP29">
            <v>118</v>
          </cell>
          <cell r="CR29">
            <v>320337</v>
          </cell>
          <cell r="CS29">
            <v>224</v>
          </cell>
          <cell r="CU29">
            <v>623037</v>
          </cell>
          <cell r="CV29">
            <v>245</v>
          </cell>
          <cell r="CX29">
            <v>6455</v>
          </cell>
          <cell r="CY29">
            <v>4</v>
          </cell>
          <cell r="CZ29">
            <v>3966</v>
          </cell>
          <cell r="DA29">
            <v>2</v>
          </cell>
          <cell r="DB29">
            <v>26964</v>
          </cell>
          <cell r="DC29">
            <v>16</v>
          </cell>
          <cell r="DD29">
            <v>27715</v>
          </cell>
          <cell r="DE29">
            <v>13</v>
          </cell>
          <cell r="DF29">
            <v>18737</v>
          </cell>
          <cell r="DG29">
            <v>9</v>
          </cell>
          <cell r="DH29">
            <v>21849</v>
          </cell>
          <cell r="DI29">
            <v>8</v>
          </cell>
          <cell r="DJ29">
            <v>3363</v>
          </cell>
          <cell r="DK29">
            <v>2</v>
          </cell>
          <cell r="DL29">
            <v>6870</v>
          </cell>
          <cell r="DM29">
            <v>14</v>
          </cell>
          <cell r="DN29">
            <v>1853</v>
          </cell>
          <cell r="DO29">
            <v>12</v>
          </cell>
          <cell r="DP29">
            <v>3651</v>
          </cell>
          <cell r="DQ29">
            <v>1</v>
          </cell>
          <cell r="DR29">
            <v>26343</v>
          </cell>
          <cell r="DS29">
            <v>9</v>
          </cell>
          <cell r="DU29">
            <v>3212.9</v>
          </cell>
          <cell r="DV29">
            <v>9.5</v>
          </cell>
          <cell r="DW29">
            <v>8292.1</v>
          </cell>
          <cell r="DX29">
            <v>6.6000000000003638</v>
          </cell>
          <cell r="DY29">
            <v>2416</v>
          </cell>
          <cell r="DZ29">
            <v>6.1999999999998181</v>
          </cell>
          <cell r="EA29">
            <v>2563.5</v>
          </cell>
          <cell r="EB29">
            <v>7.6999999999998181</v>
          </cell>
          <cell r="EC29">
            <v>879318</v>
          </cell>
          <cell r="ED29">
            <v>578</v>
          </cell>
          <cell r="EG29">
            <v>178084.9</v>
          </cell>
          <cell r="EH29">
            <v>149.29999999998836</v>
          </cell>
          <cell r="EJ29">
            <v>10457000</v>
          </cell>
          <cell r="EK29">
            <v>3100</v>
          </cell>
          <cell r="EL29">
            <v>829570</v>
          </cell>
          <cell r="EM29">
            <v>280</v>
          </cell>
          <cell r="EN29">
            <v>6417700</v>
          </cell>
          <cell r="EO29">
            <v>600</v>
          </cell>
          <cell r="EP29">
            <v>2255000</v>
          </cell>
          <cell r="EQ29">
            <v>400</v>
          </cell>
          <cell r="ER29">
            <v>1002760</v>
          </cell>
          <cell r="ES29">
            <v>680</v>
          </cell>
          <cell r="ET29">
            <v>14332400</v>
          </cell>
          <cell r="EU29">
            <v>1700</v>
          </cell>
          <cell r="EW29">
            <v>37683</v>
          </cell>
          <cell r="EX29">
            <v>16</v>
          </cell>
          <cell r="EY29">
            <v>32564</v>
          </cell>
          <cell r="EZ29">
            <v>13</v>
          </cell>
          <cell r="FA29">
            <v>3740</v>
          </cell>
          <cell r="FB29">
            <v>11</v>
          </cell>
          <cell r="FC29">
            <v>54334</v>
          </cell>
          <cell r="FD29">
            <v>15</v>
          </cell>
          <cell r="FE29">
            <v>38113</v>
          </cell>
          <cell r="FF29">
            <v>34</v>
          </cell>
        </row>
        <row r="30">
          <cell r="B30">
            <v>0.81</v>
          </cell>
          <cell r="E30">
            <v>929881</v>
          </cell>
          <cell r="F30">
            <v>770</v>
          </cell>
          <cell r="G30">
            <v>501</v>
          </cell>
          <cell r="H30">
            <v>95171</v>
          </cell>
          <cell r="I30">
            <v>455</v>
          </cell>
          <cell r="J30">
            <v>417</v>
          </cell>
          <cell r="K30">
            <v>164625</v>
          </cell>
          <cell r="L30">
            <v>0</v>
          </cell>
          <cell r="N30">
            <v>820411</v>
          </cell>
          <cell r="O30">
            <v>174</v>
          </cell>
          <cell r="Q30">
            <v>189933</v>
          </cell>
          <cell r="R30">
            <v>174</v>
          </cell>
          <cell r="S30">
            <v>54026.06</v>
          </cell>
          <cell r="T30">
            <v>88.57999999999447</v>
          </cell>
          <cell r="U30">
            <v>41</v>
          </cell>
          <cell r="V30">
            <v>4048</v>
          </cell>
          <cell r="W30">
            <v>12</v>
          </cell>
          <cell r="AC30">
            <v>7206613.6799999997</v>
          </cell>
          <cell r="AD30">
            <v>2971.9199999999255</v>
          </cell>
          <cell r="AF30">
            <v>13807296.719999999</v>
          </cell>
          <cell r="AG30">
            <v>4774.5599999986589</v>
          </cell>
          <cell r="AI30">
            <v>13703961.6</v>
          </cell>
          <cell r="AJ30">
            <v>243.59999999962747</v>
          </cell>
          <cell r="AL30">
            <v>16751154</v>
          </cell>
          <cell r="AM30">
            <v>48.719999998807907</v>
          </cell>
          <cell r="AO30">
            <v>17134824</v>
          </cell>
          <cell r="AP30">
            <v>9402.9600000008941</v>
          </cell>
          <cell r="AR30">
            <v>15553470.24</v>
          </cell>
          <cell r="AS30">
            <v>5846.4000000003725</v>
          </cell>
          <cell r="AU30">
            <v>13228990.319999998</v>
          </cell>
          <cell r="AV30">
            <v>4433.519999999553</v>
          </cell>
          <cell r="AX30">
            <v>12715725.119999999</v>
          </cell>
          <cell r="AY30">
            <v>4287.359999999404</v>
          </cell>
          <cell r="BA30">
            <v>10129570.08</v>
          </cell>
          <cell r="BB30">
            <v>3215.5200000014156</v>
          </cell>
          <cell r="BD30">
            <v>15728034</v>
          </cell>
          <cell r="BE30">
            <v>5359.2000000011176</v>
          </cell>
          <cell r="BK30">
            <v>68002400</v>
          </cell>
          <cell r="BL30">
            <v>0</v>
          </cell>
          <cell r="BN30">
            <v>70700300</v>
          </cell>
          <cell r="BO30">
            <v>0</v>
          </cell>
          <cell r="BQ30">
            <v>65238800</v>
          </cell>
          <cell r="BR30">
            <v>46000</v>
          </cell>
          <cell r="BT30">
            <v>7752590</v>
          </cell>
          <cell r="BU30">
            <v>5750</v>
          </cell>
          <cell r="BW30">
            <v>0.76</v>
          </cell>
          <cell r="BX30">
            <v>-7.999999999999996E-2</v>
          </cell>
          <cell r="BZ30">
            <v>57307</v>
          </cell>
          <cell r="CA30">
            <v>19</v>
          </cell>
          <cell r="CB30">
            <v>48790</v>
          </cell>
          <cell r="CC30">
            <v>19</v>
          </cell>
          <cell r="CD30">
            <v>16764</v>
          </cell>
          <cell r="CE30">
            <v>4</v>
          </cell>
          <cell r="CF30">
            <v>22188</v>
          </cell>
          <cell r="CG30">
            <v>9</v>
          </cell>
          <cell r="CH30">
            <v>24232</v>
          </cell>
          <cell r="CI30">
            <v>10</v>
          </cell>
          <cell r="CJ30">
            <v>53691</v>
          </cell>
          <cell r="CK30">
            <v>28</v>
          </cell>
          <cell r="CL30">
            <v>235543</v>
          </cell>
          <cell r="CM30">
            <v>105</v>
          </cell>
          <cell r="CO30">
            <v>181427</v>
          </cell>
          <cell r="CP30">
            <v>117</v>
          </cell>
          <cell r="CR30">
            <v>320560</v>
          </cell>
          <cell r="CS30">
            <v>223</v>
          </cell>
          <cell r="CU30">
            <v>623285</v>
          </cell>
          <cell r="CV30">
            <v>248</v>
          </cell>
          <cell r="CX30">
            <v>6462</v>
          </cell>
          <cell r="CY30">
            <v>7</v>
          </cell>
          <cell r="CZ30">
            <v>3970</v>
          </cell>
          <cell r="DA30">
            <v>4</v>
          </cell>
          <cell r="DB30">
            <v>26979</v>
          </cell>
          <cell r="DC30">
            <v>15</v>
          </cell>
          <cell r="DD30">
            <v>27731</v>
          </cell>
          <cell r="DE30">
            <v>16</v>
          </cell>
          <cell r="DF30">
            <v>18746</v>
          </cell>
          <cell r="DG30">
            <v>9</v>
          </cell>
          <cell r="DH30">
            <v>21859</v>
          </cell>
          <cell r="DI30">
            <v>10</v>
          </cell>
          <cell r="DJ30">
            <v>3376</v>
          </cell>
          <cell r="DK30">
            <v>13</v>
          </cell>
          <cell r="DL30">
            <v>6881</v>
          </cell>
          <cell r="DM30">
            <v>11</v>
          </cell>
          <cell r="DN30">
            <v>1857</v>
          </cell>
          <cell r="DO30">
            <v>4</v>
          </cell>
          <cell r="DP30">
            <v>3658</v>
          </cell>
          <cell r="DQ30">
            <v>7</v>
          </cell>
          <cell r="DR30">
            <v>26348</v>
          </cell>
          <cell r="DS30">
            <v>5</v>
          </cell>
          <cell r="DU30">
            <v>3222.1</v>
          </cell>
          <cell r="DV30">
            <v>9.1999999999998181</v>
          </cell>
          <cell r="DW30">
            <v>8298.7000000000007</v>
          </cell>
          <cell r="DX30">
            <v>6.6000000000003638</v>
          </cell>
          <cell r="DY30">
            <v>2421.9</v>
          </cell>
          <cell r="DZ30">
            <v>5.9000000000000909</v>
          </cell>
          <cell r="EA30">
            <v>2570.6</v>
          </cell>
          <cell r="EB30">
            <v>7.0999999999999091</v>
          </cell>
          <cell r="EC30">
            <v>879894</v>
          </cell>
          <cell r="ED30">
            <v>576</v>
          </cell>
          <cell r="EG30">
            <v>178239.3</v>
          </cell>
          <cell r="EH30">
            <v>154.39999999999418</v>
          </cell>
          <cell r="EJ30">
            <v>10460600</v>
          </cell>
          <cell r="EK30">
            <v>3600</v>
          </cell>
          <cell r="EL30">
            <v>829870</v>
          </cell>
          <cell r="EM30">
            <v>300</v>
          </cell>
          <cell r="EN30">
            <v>6418500</v>
          </cell>
          <cell r="EO30">
            <v>800</v>
          </cell>
          <cell r="EP30">
            <v>2255500</v>
          </cell>
          <cell r="EQ30">
            <v>500</v>
          </cell>
          <cell r="ER30">
            <v>1003520</v>
          </cell>
          <cell r="ES30">
            <v>760</v>
          </cell>
          <cell r="ET30">
            <v>14334100</v>
          </cell>
          <cell r="EU30">
            <v>1700</v>
          </cell>
          <cell r="EW30">
            <v>37699</v>
          </cell>
          <cell r="EX30">
            <v>16</v>
          </cell>
          <cell r="EY30">
            <v>32579</v>
          </cell>
          <cell r="EZ30">
            <v>15</v>
          </cell>
          <cell r="FA30">
            <v>3751</v>
          </cell>
          <cell r="FB30">
            <v>11</v>
          </cell>
          <cell r="FC30">
            <v>54349</v>
          </cell>
          <cell r="FD30">
            <v>15</v>
          </cell>
          <cell r="FE30">
            <v>38146</v>
          </cell>
          <cell r="FF30">
            <v>33</v>
          </cell>
        </row>
        <row r="31">
          <cell r="B31">
            <v>0.77</v>
          </cell>
          <cell r="E31">
            <v>930634</v>
          </cell>
          <cell r="F31">
            <v>753</v>
          </cell>
          <cell r="G31">
            <v>502</v>
          </cell>
          <cell r="H31">
            <v>95645</v>
          </cell>
          <cell r="I31">
            <v>474</v>
          </cell>
          <cell r="J31">
            <v>414</v>
          </cell>
          <cell r="K31">
            <v>164625</v>
          </cell>
          <cell r="L31">
            <v>0</v>
          </cell>
          <cell r="N31">
            <v>820596</v>
          </cell>
          <cell r="O31">
            <v>185</v>
          </cell>
          <cell r="Q31">
            <v>190067</v>
          </cell>
          <cell r="R31">
            <v>134</v>
          </cell>
          <cell r="S31">
            <v>54121.61</v>
          </cell>
          <cell r="T31">
            <v>95.55000000000291</v>
          </cell>
          <cell r="U31">
            <v>36</v>
          </cell>
          <cell r="V31">
            <v>4062</v>
          </cell>
          <cell r="W31">
            <v>14</v>
          </cell>
          <cell r="AC31">
            <v>7210267.6799999997</v>
          </cell>
          <cell r="AD31">
            <v>3654</v>
          </cell>
          <cell r="AF31">
            <v>13812314.880000001</v>
          </cell>
          <cell r="AG31">
            <v>5018.1600000020117</v>
          </cell>
          <cell r="AI31">
            <v>13704302.640000001</v>
          </cell>
          <cell r="AJ31">
            <v>341.04000000096858</v>
          </cell>
          <cell r="AL31">
            <v>16751202.719999999</v>
          </cell>
          <cell r="AM31">
            <v>48.719999998807907</v>
          </cell>
          <cell r="AO31">
            <v>17145883.439999998</v>
          </cell>
          <cell r="AP31">
            <v>11059.439999997616</v>
          </cell>
          <cell r="AR31">
            <v>15559462.799999999</v>
          </cell>
          <cell r="AS31">
            <v>5992.5599999986589</v>
          </cell>
          <cell r="AU31">
            <v>13233813.6</v>
          </cell>
          <cell r="AV31">
            <v>4823.2800000011921</v>
          </cell>
          <cell r="AX31">
            <v>12720256.08</v>
          </cell>
          <cell r="AY31">
            <v>4530.9600000008941</v>
          </cell>
          <cell r="BA31">
            <v>10133029.199999999</v>
          </cell>
          <cell r="BB31">
            <v>3459.1199999991804</v>
          </cell>
          <cell r="BD31">
            <v>15733929.119999999</v>
          </cell>
          <cell r="BE31">
            <v>5895.1199999991804</v>
          </cell>
          <cell r="BK31">
            <v>68002400</v>
          </cell>
          <cell r="BL31">
            <v>0</v>
          </cell>
          <cell r="BN31">
            <v>70700300</v>
          </cell>
          <cell r="BO31">
            <v>0</v>
          </cell>
          <cell r="BQ31">
            <v>65291300</v>
          </cell>
          <cell r="BR31">
            <v>52500</v>
          </cell>
          <cell r="BT31">
            <v>7758600</v>
          </cell>
          <cell r="BU31">
            <v>6010</v>
          </cell>
          <cell r="BW31">
            <v>0.67</v>
          </cell>
          <cell r="BX31">
            <v>8.9999999999999969E-2</v>
          </cell>
          <cell r="BZ31">
            <v>57331</v>
          </cell>
          <cell r="CA31">
            <v>24</v>
          </cell>
          <cell r="CB31">
            <v>48809</v>
          </cell>
          <cell r="CC31">
            <v>19</v>
          </cell>
          <cell r="CD31">
            <v>16771</v>
          </cell>
          <cell r="CE31">
            <v>7</v>
          </cell>
          <cell r="CF31">
            <v>22198</v>
          </cell>
          <cell r="CG31">
            <v>10</v>
          </cell>
          <cell r="CH31">
            <v>24240</v>
          </cell>
          <cell r="CI31">
            <v>8</v>
          </cell>
          <cell r="CJ31">
            <v>53719</v>
          </cell>
          <cell r="CK31">
            <v>28</v>
          </cell>
          <cell r="CL31">
            <v>235654</v>
          </cell>
          <cell r="CM31">
            <v>111</v>
          </cell>
          <cell r="CO31">
            <v>181549</v>
          </cell>
          <cell r="CP31">
            <v>122</v>
          </cell>
          <cell r="CR31">
            <v>320809</v>
          </cell>
          <cell r="CS31">
            <v>249</v>
          </cell>
          <cell r="CU31">
            <v>623548</v>
          </cell>
          <cell r="CV31">
            <v>263</v>
          </cell>
          <cell r="CX31">
            <v>6471</v>
          </cell>
          <cell r="CY31">
            <v>9</v>
          </cell>
          <cell r="CZ31">
            <v>3978</v>
          </cell>
          <cell r="DA31">
            <v>8</v>
          </cell>
          <cell r="DB31">
            <v>26999</v>
          </cell>
          <cell r="DC31">
            <v>20</v>
          </cell>
          <cell r="DD31">
            <v>27744</v>
          </cell>
          <cell r="DE31">
            <v>13</v>
          </cell>
          <cell r="DF31">
            <v>18755</v>
          </cell>
          <cell r="DG31">
            <v>9</v>
          </cell>
          <cell r="DH31">
            <v>21870</v>
          </cell>
          <cell r="DI31">
            <v>11</v>
          </cell>
          <cell r="DJ31">
            <v>3384</v>
          </cell>
          <cell r="DK31">
            <v>8</v>
          </cell>
          <cell r="DL31">
            <v>6895</v>
          </cell>
          <cell r="DM31">
            <v>14</v>
          </cell>
          <cell r="DN31">
            <v>1860</v>
          </cell>
          <cell r="DO31">
            <v>3</v>
          </cell>
          <cell r="DP31">
            <v>3666</v>
          </cell>
          <cell r="DQ31">
            <v>8</v>
          </cell>
          <cell r="DR31">
            <v>26355</v>
          </cell>
          <cell r="DS31">
            <v>7</v>
          </cell>
          <cell r="DU31">
            <v>3231.3</v>
          </cell>
          <cell r="DV31">
            <v>9.2000000000002728</v>
          </cell>
          <cell r="DW31">
            <v>8306.2000000000007</v>
          </cell>
          <cell r="DX31">
            <v>7.5</v>
          </cell>
          <cell r="DY31">
            <v>2428.6</v>
          </cell>
          <cell r="DZ31">
            <v>6.6999999999998181</v>
          </cell>
          <cell r="EA31">
            <v>2578.3000000000002</v>
          </cell>
          <cell r="EB31">
            <v>7.7000000000002728</v>
          </cell>
          <cell r="EC31">
            <v>880471</v>
          </cell>
          <cell r="ED31">
            <v>577</v>
          </cell>
          <cell r="EG31">
            <v>178394.8</v>
          </cell>
          <cell r="EH31">
            <v>155.5</v>
          </cell>
          <cell r="EJ31">
            <v>10464700</v>
          </cell>
          <cell r="EK31">
            <v>4100</v>
          </cell>
          <cell r="EL31">
            <v>830270</v>
          </cell>
          <cell r="EM31">
            <v>400</v>
          </cell>
          <cell r="EN31">
            <v>6419200</v>
          </cell>
          <cell r="EO31">
            <v>700</v>
          </cell>
          <cell r="EP31">
            <v>2255900</v>
          </cell>
          <cell r="EQ31">
            <v>400</v>
          </cell>
          <cell r="ER31">
            <v>1004340</v>
          </cell>
          <cell r="ES31">
            <v>820</v>
          </cell>
          <cell r="ET31">
            <v>14336300</v>
          </cell>
          <cell r="EU31">
            <v>2200</v>
          </cell>
          <cell r="EW31">
            <v>37715</v>
          </cell>
          <cell r="EX31">
            <v>16</v>
          </cell>
          <cell r="EY31">
            <v>32594</v>
          </cell>
          <cell r="EZ31">
            <v>15</v>
          </cell>
          <cell r="FA31">
            <v>3763</v>
          </cell>
          <cell r="FB31">
            <v>12</v>
          </cell>
          <cell r="FC31">
            <v>54373</v>
          </cell>
          <cell r="FD31">
            <v>24</v>
          </cell>
          <cell r="FE31">
            <v>38177</v>
          </cell>
          <cell r="FF31">
            <v>31</v>
          </cell>
        </row>
        <row r="32">
          <cell r="B32">
            <v>0.81</v>
          </cell>
          <cell r="E32">
            <v>931427</v>
          </cell>
          <cell r="F32">
            <v>793</v>
          </cell>
          <cell r="G32">
            <v>537</v>
          </cell>
          <cell r="H32">
            <v>96138</v>
          </cell>
          <cell r="I32">
            <v>493</v>
          </cell>
          <cell r="J32">
            <v>459</v>
          </cell>
          <cell r="K32">
            <v>164625</v>
          </cell>
          <cell r="L32">
            <v>0</v>
          </cell>
          <cell r="N32">
            <v>820835</v>
          </cell>
          <cell r="O32">
            <v>239</v>
          </cell>
          <cell r="Q32">
            <v>190212</v>
          </cell>
          <cell r="R32">
            <v>145</v>
          </cell>
          <cell r="S32">
            <v>54213.32</v>
          </cell>
          <cell r="T32">
            <v>91.709999999999127</v>
          </cell>
          <cell r="U32">
            <v>38</v>
          </cell>
          <cell r="V32">
            <v>4075</v>
          </cell>
          <cell r="W32">
            <v>13</v>
          </cell>
          <cell r="AC32">
            <v>7213726.7999999998</v>
          </cell>
          <cell r="AD32">
            <v>3459.1200000001118</v>
          </cell>
          <cell r="AF32">
            <v>13817089.439999999</v>
          </cell>
          <cell r="AG32">
            <v>4774.5599999986589</v>
          </cell>
          <cell r="AI32">
            <v>13704546.24</v>
          </cell>
          <cell r="AJ32">
            <v>243.59999999962747</v>
          </cell>
          <cell r="AL32">
            <v>16751251.439999998</v>
          </cell>
          <cell r="AM32">
            <v>48.719999998807907</v>
          </cell>
          <cell r="AO32">
            <v>17155383.84</v>
          </cell>
          <cell r="AP32">
            <v>9500.4000000022352</v>
          </cell>
          <cell r="AR32">
            <v>15565211.76</v>
          </cell>
          <cell r="AS32">
            <v>5748.9600000008941</v>
          </cell>
          <cell r="AU32">
            <v>13238393.280000001</v>
          </cell>
          <cell r="AV32">
            <v>4579.6800000015646</v>
          </cell>
          <cell r="AX32">
            <v>12724446</v>
          </cell>
          <cell r="AY32">
            <v>4189.9199999999255</v>
          </cell>
          <cell r="BA32">
            <v>10136390.880000001</v>
          </cell>
          <cell r="BB32">
            <v>3361.6800000015646</v>
          </cell>
          <cell r="BD32">
            <v>15739580.640000001</v>
          </cell>
          <cell r="BE32">
            <v>5651.5200000014156</v>
          </cell>
          <cell r="BK32">
            <v>68002400</v>
          </cell>
          <cell r="BL32">
            <v>0</v>
          </cell>
          <cell r="BN32">
            <v>70700300</v>
          </cell>
          <cell r="BO32">
            <v>0</v>
          </cell>
          <cell r="BQ32">
            <v>65339800</v>
          </cell>
          <cell r="BR32">
            <v>48500</v>
          </cell>
          <cell r="BT32">
            <v>7765020</v>
          </cell>
          <cell r="BU32">
            <v>6420</v>
          </cell>
          <cell r="BW32">
            <v>0.57999999999999996</v>
          </cell>
          <cell r="BX32">
            <v>9.000000000000008E-2</v>
          </cell>
          <cell r="BZ32">
            <v>57353</v>
          </cell>
          <cell r="CA32">
            <v>22</v>
          </cell>
          <cell r="CB32">
            <v>48830</v>
          </cell>
          <cell r="CC32">
            <v>21</v>
          </cell>
          <cell r="CD32">
            <v>16776</v>
          </cell>
          <cell r="CE32">
            <v>5</v>
          </cell>
          <cell r="CF32">
            <v>22208</v>
          </cell>
          <cell r="CG32">
            <v>10</v>
          </cell>
          <cell r="CH32">
            <v>24252</v>
          </cell>
          <cell r="CI32">
            <v>12</v>
          </cell>
          <cell r="CJ32">
            <v>53745</v>
          </cell>
          <cell r="CK32">
            <v>26</v>
          </cell>
          <cell r="CL32">
            <v>235754</v>
          </cell>
          <cell r="CM32">
            <v>100</v>
          </cell>
          <cell r="CO32">
            <v>181673</v>
          </cell>
          <cell r="CP32">
            <v>124</v>
          </cell>
          <cell r="CR32">
            <v>321261</v>
          </cell>
          <cell r="CS32">
            <v>452</v>
          </cell>
          <cell r="CU32">
            <v>623711</v>
          </cell>
          <cell r="CV32">
            <v>163</v>
          </cell>
          <cell r="CX32">
            <v>6480</v>
          </cell>
          <cell r="CY32">
            <v>9</v>
          </cell>
          <cell r="CZ32">
            <v>3987</v>
          </cell>
          <cell r="DA32">
            <v>9</v>
          </cell>
          <cell r="DB32">
            <v>27021</v>
          </cell>
          <cell r="DC32">
            <v>22</v>
          </cell>
          <cell r="DD32">
            <v>27755</v>
          </cell>
          <cell r="DE32">
            <v>11</v>
          </cell>
          <cell r="DF32">
            <v>18765</v>
          </cell>
          <cell r="DG32">
            <v>10</v>
          </cell>
          <cell r="DH32">
            <v>21883</v>
          </cell>
          <cell r="DI32">
            <v>13</v>
          </cell>
          <cell r="DJ32">
            <v>3393</v>
          </cell>
          <cell r="DK32">
            <v>9</v>
          </cell>
          <cell r="DL32">
            <v>6910</v>
          </cell>
          <cell r="DM32">
            <v>15</v>
          </cell>
          <cell r="DN32">
            <v>1864</v>
          </cell>
          <cell r="DO32">
            <v>4</v>
          </cell>
          <cell r="DP32">
            <v>3673</v>
          </cell>
          <cell r="DQ32">
            <v>7</v>
          </cell>
          <cell r="DR32">
            <v>26364</v>
          </cell>
          <cell r="DS32">
            <v>9</v>
          </cell>
          <cell r="DU32">
            <v>3240.9</v>
          </cell>
          <cell r="DV32">
            <v>9.5999999999999091</v>
          </cell>
          <cell r="DW32">
            <v>8313.4</v>
          </cell>
          <cell r="DX32">
            <v>7.1999999999989086</v>
          </cell>
          <cell r="DY32">
            <v>2435.8000000000002</v>
          </cell>
          <cell r="DZ32">
            <v>7.2000000000002728</v>
          </cell>
          <cell r="EA32">
            <v>2585.9</v>
          </cell>
          <cell r="EB32">
            <v>7.5999999999999091</v>
          </cell>
          <cell r="EC32">
            <v>881092</v>
          </cell>
          <cell r="ED32">
            <v>621</v>
          </cell>
          <cell r="EG32">
            <v>178554.3</v>
          </cell>
          <cell r="EH32">
            <v>159.5</v>
          </cell>
          <cell r="EJ32">
            <v>10468100</v>
          </cell>
          <cell r="EK32">
            <v>3400</v>
          </cell>
          <cell r="EL32">
            <v>830580</v>
          </cell>
          <cell r="EM32">
            <v>310</v>
          </cell>
          <cell r="EN32">
            <v>6419900</v>
          </cell>
          <cell r="EO32">
            <v>700</v>
          </cell>
          <cell r="EP32">
            <v>2256300</v>
          </cell>
          <cell r="EQ32">
            <v>400</v>
          </cell>
          <cell r="ER32">
            <v>1005040</v>
          </cell>
          <cell r="ES32">
            <v>700</v>
          </cell>
          <cell r="ET32">
            <v>14338100</v>
          </cell>
          <cell r="EU32">
            <v>1800</v>
          </cell>
          <cell r="EW32">
            <v>37731</v>
          </cell>
          <cell r="EX32">
            <v>16</v>
          </cell>
          <cell r="EY32">
            <v>32611</v>
          </cell>
          <cell r="EZ32">
            <v>17</v>
          </cell>
          <cell r="FA32">
            <v>3776</v>
          </cell>
          <cell r="FB32">
            <v>13</v>
          </cell>
          <cell r="FC32">
            <v>54393</v>
          </cell>
          <cell r="FD32">
            <v>20</v>
          </cell>
          <cell r="FE32">
            <v>38213</v>
          </cell>
          <cell r="FF32">
            <v>36</v>
          </cell>
        </row>
        <row r="33">
          <cell r="B33">
            <v>0.74</v>
          </cell>
          <cell r="E33">
            <v>932222</v>
          </cell>
          <cell r="F33">
            <v>795</v>
          </cell>
          <cell r="G33">
            <v>514</v>
          </cell>
          <cell r="H33">
            <v>96660</v>
          </cell>
          <cell r="I33">
            <v>522</v>
          </cell>
          <cell r="J33">
            <v>443</v>
          </cell>
          <cell r="K33">
            <v>164625</v>
          </cell>
          <cell r="L33">
            <v>0</v>
          </cell>
          <cell r="N33">
            <v>821002</v>
          </cell>
          <cell r="O33">
            <v>167</v>
          </cell>
          <cell r="Q33">
            <v>190359</v>
          </cell>
          <cell r="R33">
            <v>147</v>
          </cell>
          <cell r="S33">
            <v>54307.45</v>
          </cell>
          <cell r="T33">
            <v>94.129999999997381</v>
          </cell>
          <cell r="U33">
            <v>35</v>
          </cell>
          <cell r="V33">
            <v>4087</v>
          </cell>
          <cell r="W33">
            <v>12</v>
          </cell>
          <cell r="AC33">
            <v>7217380.7999999998</v>
          </cell>
          <cell r="AD33">
            <v>3654</v>
          </cell>
          <cell r="AF33">
            <v>13821864</v>
          </cell>
          <cell r="AG33">
            <v>4774.5600000005215</v>
          </cell>
          <cell r="AI33">
            <v>13704838.559999999</v>
          </cell>
          <cell r="AJ33">
            <v>292.31999999843538</v>
          </cell>
          <cell r="AL33">
            <v>16751300.16</v>
          </cell>
          <cell r="AM33">
            <v>48.720000002533197</v>
          </cell>
          <cell r="AO33">
            <v>17165615.039999999</v>
          </cell>
          <cell r="AP33">
            <v>10231.199999999255</v>
          </cell>
          <cell r="AR33">
            <v>15571106.880000001</v>
          </cell>
          <cell r="AS33">
            <v>5895.1200000010431</v>
          </cell>
          <cell r="AU33">
            <v>13243021.68</v>
          </cell>
          <cell r="AV33">
            <v>4628.3999999985099</v>
          </cell>
          <cell r="AX33">
            <v>12728830.799999999</v>
          </cell>
          <cell r="AY33">
            <v>4384.7999999988824</v>
          </cell>
          <cell r="BA33">
            <v>10139655.119999999</v>
          </cell>
          <cell r="BB33">
            <v>3264.2399999983609</v>
          </cell>
          <cell r="BD33">
            <v>15745475.76</v>
          </cell>
          <cell r="BE33">
            <v>5895.1199999991804</v>
          </cell>
          <cell r="BK33">
            <v>68002400</v>
          </cell>
          <cell r="BL33">
            <v>0</v>
          </cell>
          <cell r="BN33">
            <v>70700300</v>
          </cell>
          <cell r="BO33">
            <v>0</v>
          </cell>
          <cell r="BQ33">
            <v>65392100</v>
          </cell>
          <cell r="BR33">
            <v>52300</v>
          </cell>
          <cell r="BT33">
            <v>7771820</v>
          </cell>
          <cell r="BU33">
            <v>6800</v>
          </cell>
          <cell r="BW33">
            <v>0.48</v>
          </cell>
          <cell r="BX33">
            <v>9.9999999999999978E-2</v>
          </cell>
          <cell r="BZ33">
            <v>57374</v>
          </cell>
          <cell r="CA33">
            <v>21</v>
          </cell>
          <cell r="CB33">
            <v>48850</v>
          </cell>
          <cell r="CC33">
            <v>20</v>
          </cell>
          <cell r="CD33">
            <v>16782</v>
          </cell>
          <cell r="CE33">
            <v>6</v>
          </cell>
          <cell r="CF33">
            <v>22219</v>
          </cell>
          <cell r="CG33">
            <v>11</v>
          </cell>
          <cell r="CH33">
            <v>24266</v>
          </cell>
          <cell r="CI33">
            <v>14</v>
          </cell>
          <cell r="CJ33">
            <v>53773</v>
          </cell>
          <cell r="CK33">
            <v>28</v>
          </cell>
          <cell r="CL33">
            <v>235849</v>
          </cell>
          <cell r="CM33">
            <v>95</v>
          </cell>
          <cell r="CO33">
            <v>181794</v>
          </cell>
          <cell r="CP33">
            <v>121</v>
          </cell>
          <cell r="CR33">
            <v>321631</v>
          </cell>
          <cell r="CS33">
            <v>370</v>
          </cell>
          <cell r="CU33">
            <v>623907</v>
          </cell>
          <cell r="CV33">
            <v>196</v>
          </cell>
          <cell r="CX33">
            <v>6490</v>
          </cell>
          <cell r="CY33">
            <v>10</v>
          </cell>
          <cell r="CZ33">
            <v>3997</v>
          </cell>
          <cell r="DA33">
            <v>10</v>
          </cell>
          <cell r="DB33">
            <v>27044</v>
          </cell>
          <cell r="DC33">
            <v>23</v>
          </cell>
          <cell r="DD33">
            <v>27762</v>
          </cell>
          <cell r="DE33">
            <v>7</v>
          </cell>
          <cell r="DF33">
            <v>18775</v>
          </cell>
          <cell r="DG33">
            <v>10</v>
          </cell>
          <cell r="DH33">
            <v>21893</v>
          </cell>
          <cell r="DI33">
            <v>10</v>
          </cell>
          <cell r="DJ33">
            <v>3402</v>
          </cell>
          <cell r="DK33">
            <v>9</v>
          </cell>
          <cell r="DL33">
            <v>6929</v>
          </cell>
          <cell r="DM33">
            <v>19</v>
          </cell>
          <cell r="DN33">
            <v>1868</v>
          </cell>
          <cell r="DO33">
            <v>4</v>
          </cell>
          <cell r="DP33">
            <v>3682</v>
          </cell>
          <cell r="DQ33">
            <v>17</v>
          </cell>
          <cell r="DR33">
            <v>26367</v>
          </cell>
          <cell r="DS33">
            <v>3</v>
          </cell>
          <cell r="DU33">
            <v>3250.4</v>
          </cell>
          <cell r="DV33">
            <v>9.5</v>
          </cell>
          <cell r="DW33">
            <v>8320.7000000000007</v>
          </cell>
          <cell r="DX33">
            <v>7.3000000000010914</v>
          </cell>
          <cell r="DY33">
            <v>2442.8000000000002</v>
          </cell>
          <cell r="DZ33">
            <v>7</v>
          </cell>
          <cell r="EA33">
            <v>2594</v>
          </cell>
          <cell r="EB33">
            <v>8.0999999999999091</v>
          </cell>
          <cell r="EC33">
            <v>881737</v>
          </cell>
          <cell r="ED33">
            <v>645</v>
          </cell>
          <cell r="EG33">
            <v>178708.7</v>
          </cell>
          <cell r="EH33">
            <v>154.40000000002328</v>
          </cell>
          <cell r="EJ33">
            <v>10472000</v>
          </cell>
          <cell r="EK33">
            <v>3900</v>
          </cell>
          <cell r="EL33">
            <v>830890</v>
          </cell>
          <cell r="EM33">
            <v>310</v>
          </cell>
          <cell r="EN33">
            <v>6420600</v>
          </cell>
          <cell r="EO33">
            <v>700</v>
          </cell>
          <cell r="EP33">
            <v>2256700</v>
          </cell>
          <cell r="EQ33">
            <v>400</v>
          </cell>
          <cell r="ER33">
            <v>1005780</v>
          </cell>
          <cell r="ES33">
            <v>740</v>
          </cell>
          <cell r="ET33">
            <v>14339800</v>
          </cell>
          <cell r="EU33">
            <v>1700</v>
          </cell>
          <cell r="EW33">
            <v>37745</v>
          </cell>
          <cell r="EX33">
            <v>14</v>
          </cell>
          <cell r="EY33">
            <v>32628</v>
          </cell>
          <cell r="EZ33">
            <v>17</v>
          </cell>
          <cell r="FA33">
            <v>3792</v>
          </cell>
          <cell r="FB33">
            <v>16</v>
          </cell>
          <cell r="FC33">
            <v>54413</v>
          </cell>
          <cell r="FD33">
            <v>20</v>
          </cell>
          <cell r="FE33">
            <v>38248</v>
          </cell>
          <cell r="FF33">
            <v>35</v>
          </cell>
        </row>
        <row r="34">
          <cell r="B34">
            <v>0.72</v>
          </cell>
          <cell r="E34">
            <v>933132</v>
          </cell>
          <cell r="F34">
            <v>910</v>
          </cell>
          <cell r="G34">
            <v>550</v>
          </cell>
          <cell r="H34">
            <v>97280</v>
          </cell>
          <cell r="I34">
            <v>620</v>
          </cell>
          <cell r="J34">
            <v>461</v>
          </cell>
          <cell r="K34">
            <v>164625</v>
          </cell>
          <cell r="L34">
            <v>0</v>
          </cell>
          <cell r="N34">
            <v>821002</v>
          </cell>
          <cell r="O34">
            <v>0</v>
          </cell>
          <cell r="Q34">
            <v>190441</v>
          </cell>
          <cell r="R34">
            <v>82</v>
          </cell>
          <cell r="S34">
            <v>54410</v>
          </cell>
          <cell r="T34">
            <v>102.55000000000291</v>
          </cell>
          <cell r="U34">
            <v>43</v>
          </cell>
          <cell r="V34">
            <v>4103</v>
          </cell>
          <cell r="W34">
            <v>16</v>
          </cell>
          <cell r="AC34">
            <v>7220450.1599999992</v>
          </cell>
          <cell r="AD34">
            <v>3069.359999999404</v>
          </cell>
          <cell r="AF34">
            <v>13828538.640000001</v>
          </cell>
          <cell r="AG34">
            <v>6674.640000000596</v>
          </cell>
          <cell r="AI34">
            <v>13719893.039999999</v>
          </cell>
          <cell r="AJ34">
            <v>15054.480000000447</v>
          </cell>
          <cell r="AL34">
            <v>16751641.199999999</v>
          </cell>
          <cell r="AM34">
            <v>341.03999999910593</v>
          </cell>
          <cell r="AO34">
            <v>17165712.48</v>
          </cell>
          <cell r="AP34">
            <v>97.440000001341105</v>
          </cell>
          <cell r="AR34">
            <v>15579145.68</v>
          </cell>
          <cell r="AS34">
            <v>8038.7999999988824</v>
          </cell>
          <cell r="AU34">
            <v>13249501.439999999</v>
          </cell>
          <cell r="AV34">
            <v>6479.7599999997765</v>
          </cell>
          <cell r="AX34">
            <v>12734920.799999999</v>
          </cell>
          <cell r="AY34">
            <v>6090</v>
          </cell>
          <cell r="BA34">
            <v>10144332.24</v>
          </cell>
          <cell r="BB34">
            <v>4677.1200000010431</v>
          </cell>
          <cell r="BD34">
            <v>15753368.4</v>
          </cell>
          <cell r="BE34">
            <v>7892.640000000596</v>
          </cell>
          <cell r="BK34">
            <v>68056900</v>
          </cell>
          <cell r="BL34">
            <v>54500</v>
          </cell>
          <cell r="BN34">
            <v>70700300</v>
          </cell>
          <cell r="BO34">
            <v>0</v>
          </cell>
          <cell r="BQ34">
            <v>65394000</v>
          </cell>
          <cell r="BR34">
            <v>1900</v>
          </cell>
          <cell r="BT34">
            <v>7780110</v>
          </cell>
          <cell r="BU34">
            <v>8290</v>
          </cell>
          <cell r="BW34">
            <v>0.52</v>
          </cell>
          <cell r="BX34">
            <v>-4.0000000000000036E-2</v>
          </cell>
          <cell r="BZ34">
            <v>57403</v>
          </cell>
          <cell r="CA34">
            <v>29</v>
          </cell>
          <cell r="CB34">
            <v>48876</v>
          </cell>
          <cell r="CC34">
            <v>26</v>
          </cell>
          <cell r="CD34">
            <v>16789</v>
          </cell>
          <cell r="CE34">
            <v>7</v>
          </cell>
          <cell r="CF34">
            <v>22229</v>
          </cell>
          <cell r="CG34">
            <v>10</v>
          </cell>
          <cell r="CH34">
            <v>24282</v>
          </cell>
          <cell r="CI34">
            <v>16</v>
          </cell>
          <cell r="CJ34">
            <v>53815</v>
          </cell>
          <cell r="CK34">
            <v>42</v>
          </cell>
          <cell r="CL34">
            <v>235976</v>
          </cell>
          <cell r="CM34">
            <v>127</v>
          </cell>
          <cell r="CO34">
            <v>181928</v>
          </cell>
          <cell r="CP34">
            <v>134</v>
          </cell>
          <cell r="CR34">
            <v>322078</v>
          </cell>
          <cell r="CS34">
            <v>447</v>
          </cell>
          <cell r="CU34">
            <v>624195</v>
          </cell>
          <cell r="CV34">
            <v>288</v>
          </cell>
          <cell r="CX34">
            <v>6493</v>
          </cell>
          <cell r="CY34">
            <v>3</v>
          </cell>
          <cell r="CZ34">
            <v>4007</v>
          </cell>
          <cell r="DA34">
            <v>10</v>
          </cell>
          <cell r="DB34">
            <v>27064</v>
          </cell>
          <cell r="DC34">
            <v>20</v>
          </cell>
          <cell r="DD34">
            <v>27770</v>
          </cell>
          <cell r="DE34">
            <v>8</v>
          </cell>
          <cell r="DF34">
            <v>18785</v>
          </cell>
          <cell r="DG34">
            <v>10</v>
          </cell>
          <cell r="DH34">
            <v>21899</v>
          </cell>
          <cell r="DI34">
            <v>6</v>
          </cell>
          <cell r="DJ34">
            <v>3407</v>
          </cell>
          <cell r="DK34">
            <v>5</v>
          </cell>
          <cell r="DL34">
            <v>6943</v>
          </cell>
          <cell r="DM34">
            <v>14</v>
          </cell>
          <cell r="DN34">
            <v>1872</v>
          </cell>
          <cell r="DO34">
            <v>4</v>
          </cell>
          <cell r="DP34">
            <v>3690</v>
          </cell>
          <cell r="DQ34">
            <v>16</v>
          </cell>
          <cell r="DR34">
            <v>26368</v>
          </cell>
          <cell r="DS34">
            <v>1</v>
          </cell>
          <cell r="DU34">
            <v>3259.6</v>
          </cell>
          <cell r="DV34">
            <v>9.1999999999998181</v>
          </cell>
          <cell r="DW34">
            <v>8330.7000000000007</v>
          </cell>
          <cell r="DX34">
            <v>10</v>
          </cell>
          <cell r="DY34">
            <v>2448.9</v>
          </cell>
          <cell r="DZ34">
            <v>6.0999999999999091</v>
          </cell>
          <cell r="EA34">
            <v>2601.1999999999998</v>
          </cell>
          <cell r="EB34">
            <v>7.1999999999998181</v>
          </cell>
          <cell r="EC34">
            <v>882265.1</v>
          </cell>
          <cell r="ED34">
            <v>528.09999999997672</v>
          </cell>
          <cell r="EG34">
            <v>178859.3</v>
          </cell>
          <cell r="EH34">
            <v>150.59999999997672</v>
          </cell>
          <cell r="EJ34">
            <v>10474600</v>
          </cell>
          <cell r="EK34">
            <v>2600</v>
          </cell>
          <cell r="EL34">
            <v>831173</v>
          </cell>
          <cell r="EM34">
            <v>283</v>
          </cell>
          <cell r="EN34">
            <v>6421320</v>
          </cell>
          <cell r="EO34">
            <v>720</v>
          </cell>
          <cell r="EP34">
            <v>2257060</v>
          </cell>
          <cell r="EQ34">
            <v>360</v>
          </cell>
          <cell r="ER34">
            <v>1006480</v>
          </cell>
          <cell r="ES34">
            <v>700</v>
          </cell>
          <cell r="ET34">
            <v>14341700</v>
          </cell>
          <cell r="EU34">
            <v>1900</v>
          </cell>
          <cell r="EW34">
            <v>37757</v>
          </cell>
          <cell r="EX34">
            <v>12</v>
          </cell>
          <cell r="EY34">
            <v>32646</v>
          </cell>
          <cell r="EZ34">
            <v>18</v>
          </cell>
          <cell r="FA34">
            <v>3803</v>
          </cell>
          <cell r="FB34">
            <v>11</v>
          </cell>
          <cell r="FC34">
            <v>54433</v>
          </cell>
          <cell r="FD34">
            <v>20</v>
          </cell>
          <cell r="FE34">
            <v>38280</v>
          </cell>
          <cell r="FF34">
            <v>32</v>
          </cell>
        </row>
        <row r="35">
          <cell r="B35">
            <v>0.75</v>
          </cell>
          <cell r="E35">
            <v>933630</v>
          </cell>
          <cell r="F35">
            <v>498</v>
          </cell>
          <cell r="G35">
            <v>559</v>
          </cell>
          <cell r="H35">
            <v>97789</v>
          </cell>
          <cell r="I35">
            <v>509</v>
          </cell>
          <cell r="J35">
            <v>483</v>
          </cell>
          <cell r="K35">
            <v>164625</v>
          </cell>
          <cell r="L35">
            <v>0</v>
          </cell>
          <cell r="N35">
            <v>821076</v>
          </cell>
          <cell r="O35">
            <v>74</v>
          </cell>
          <cell r="Q35">
            <v>190441</v>
          </cell>
          <cell r="R35">
            <v>0</v>
          </cell>
          <cell r="S35">
            <v>54513.05</v>
          </cell>
          <cell r="T35">
            <v>103.05000000000291</v>
          </cell>
          <cell r="U35">
            <v>35</v>
          </cell>
          <cell r="V35">
            <v>4112</v>
          </cell>
          <cell r="W35">
            <v>9</v>
          </cell>
          <cell r="AC35">
            <v>7221814.3200000003</v>
          </cell>
          <cell r="AD35">
            <v>1364.1600000010803</v>
          </cell>
          <cell r="AF35">
            <v>13831266.959999999</v>
          </cell>
          <cell r="AG35">
            <v>2728.3199999984354</v>
          </cell>
          <cell r="AI35">
            <v>13726616.4</v>
          </cell>
          <cell r="AJ35">
            <v>6723.3600000012666</v>
          </cell>
          <cell r="AL35">
            <v>16751787.360000001</v>
          </cell>
          <cell r="AM35">
            <v>146.16000000201166</v>
          </cell>
          <cell r="AO35">
            <v>17165761.199999999</v>
          </cell>
          <cell r="AP35">
            <v>48.719999998807907</v>
          </cell>
          <cell r="AR35">
            <v>15583092</v>
          </cell>
          <cell r="AS35">
            <v>3946.320000000298</v>
          </cell>
          <cell r="AU35">
            <v>13252375.919999998</v>
          </cell>
          <cell r="AV35">
            <v>2874.4799999985844</v>
          </cell>
          <cell r="AX35">
            <v>12737551.68</v>
          </cell>
          <cell r="AY35">
            <v>2630.8800000008196</v>
          </cell>
          <cell r="BA35">
            <v>10145745.119999999</v>
          </cell>
          <cell r="BB35">
            <v>1412.8799999989569</v>
          </cell>
          <cell r="BD35">
            <v>15757022.4</v>
          </cell>
          <cell r="BE35">
            <v>3654</v>
          </cell>
          <cell r="BK35">
            <v>68111300</v>
          </cell>
          <cell r="BL35">
            <v>54400</v>
          </cell>
          <cell r="BN35">
            <v>70700300</v>
          </cell>
          <cell r="BO35">
            <v>0</v>
          </cell>
          <cell r="BQ35">
            <v>65394000</v>
          </cell>
          <cell r="BR35">
            <v>0</v>
          </cell>
          <cell r="BT35">
            <v>7785350</v>
          </cell>
          <cell r="BU35">
            <v>5240</v>
          </cell>
          <cell r="BW35">
            <v>0.62</v>
          </cell>
          <cell r="BX35">
            <v>-9.9999999999999978E-2</v>
          </cell>
          <cell r="BZ35">
            <v>57415</v>
          </cell>
          <cell r="CA35">
            <v>12</v>
          </cell>
          <cell r="CB35">
            <v>48887</v>
          </cell>
          <cell r="CC35">
            <v>11</v>
          </cell>
          <cell r="CD35">
            <v>16795</v>
          </cell>
          <cell r="CE35">
            <v>6</v>
          </cell>
          <cell r="CF35">
            <v>22240</v>
          </cell>
          <cell r="CG35">
            <v>11</v>
          </cell>
          <cell r="CH35">
            <v>24296</v>
          </cell>
          <cell r="CI35">
            <v>14</v>
          </cell>
          <cell r="CJ35">
            <v>53828</v>
          </cell>
          <cell r="CK35">
            <v>13</v>
          </cell>
          <cell r="CL35">
            <v>236043</v>
          </cell>
          <cell r="CM35">
            <v>67</v>
          </cell>
          <cell r="CO35">
            <v>182018</v>
          </cell>
          <cell r="CP35">
            <v>90</v>
          </cell>
          <cell r="CR35">
            <v>322362</v>
          </cell>
          <cell r="CS35">
            <v>284</v>
          </cell>
          <cell r="CU35">
            <v>624336</v>
          </cell>
          <cell r="CV35">
            <v>141</v>
          </cell>
          <cell r="CX35">
            <v>6498</v>
          </cell>
          <cell r="CY35">
            <v>5</v>
          </cell>
          <cell r="CZ35">
            <v>4016</v>
          </cell>
          <cell r="DA35">
            <v>9</v>
          </cell>
          <cell r="DB35">
            <v>27086</v>
          </cell>
          <cell r="DC35">
            <v>22</v>
          </cell>
          <cell r="DD35">
            <v>27778</v>
          </cell>
          <cell r="DE35">
            <v>8</v>
          </cell>
          <cell r="DF35">
            <v>18795</v>
          </cell>
          <cell r="DG35">
            <v>10</v>
          </cell>
          <cell r="DH35">
            <v>21910</v>
          </cell>
          <cell r="DI35">
            <v>11</v>
          </cell>
          <cell r="DJ35">
            <v>3413</v>
          </cell>
          <cell r="DK35">
            <v>6</v>
          </cell>
          <cell r="DL35">
            <v>6951</v>
          </cell>
          <cell r="DM35">
            <v>8</v>
          </cell>
          <cell r="DN35">
            <v>1876</v>
          </cell>
          <cell r="DO35">
            <v>4</v>
          </cell>
          <cell r="DP35">
            <v>3698</v>
          </cell>
          <cell r="DQ35">
            <v>8</v>
          </cell>
          <cell r="DR35">
            <v>26371</v>
          </cell>
          <cell r="DS35">
            <v>3</v>
          </cell>
          <cell r="DU35">
            <v>3268.9</v>
          </cell>
          <cell r="DV35">
            <v>9.3000000000001819</v>
          </cell>
          <cell r="DW35">
            <v>8338.2000000000007</v>
          </cell>
          <cell r="DX35">
            <v>7.5</v>
          </cell>
          <cell r="DY35">
            <v>2455.5</v>
          </cell>
          <cell r="DZ35">
            <v>6.5999999999999091</v>
          </cell>
          <cell r="EA35">
            <v>2608.6999999999998</v>
          </cell>
          <cell r="EB35">
            <v>7.5</v>
          </cell>
          <cell r="EC35">
            <v>883013</v>
          </cell>
          <cell r="ED35">
            <v>747.90000000002328</v>
          </cell>
          <cell r="EG35">
            <v>179013.4</v>
          </cell>
          <cell r="EH35">
            <v>154.10000000000582</v>
          </cell>
          <cell r="EJ35">
            <v>10479200</v>
          </cell>
          <cell r="EK35">
            <v>4600</v>
          </cell>
          <cell r="EL35">
            <v>831550</v>
          </cell>
          <cell r="EM35">
            <v>377</v>
          </cell>
          <cell r="EN35">
            <v>6422100</v>
          </cell>
          <cell r="EO35">
            <v>780</v>
          </cell>
          <cell r="EP35">
            <v>2257500</v>
          </cell>
          <cell r="EQ35">
            <v>440</v>
          </cell>
          <cell r="ER35">
            <v>1007240</v>
          </cell>
          <cell r="ES35">
            <v>760</v>
          </cell>
          <cell r="ET35">
            <v>14345400</v>
          </cell>
          <cell r="EU35">
            <v>3700</v>
          </cell>
          <cell r="EW35">
            <v>37773</v>
          </cell>
          <cell r="EX35">
            <v>16</v>
          </cell>
          <cell r="EY35">
            <v>32665</v>
          </cell>
          <cell r="EZ35">
            <v>19</v>
          </cell>
          <cell r="FA35">
            <v>3819</v>
          </cell>
          <cell r="FB35">
            <v>16</v>
          </cell>
          <cell r="FC35">
            <v>54451</v>
          </cell>
          <cell r="FD35">
            <v>18</v>
          </cell>
          <cell r="FE35">
            <v>38314</v>
          </cell>
          <cell r="FF35">
            <v>34</v>
          </cell>
        </row>
        <row r="36">
          <cell r="B36">
            <v>0.8</v>
          </cell>
          <cell r="E36">
            <v>934381</v>
          </cell>
          <cell r="F36">
            <v>751</v>
          </cell>
          <cell r="G36">
            <v>527</v>
          </cell>
          <cell r="H36">
            <v>98138</v>
          </cell>
          <cell r="I36">
            <v>349</v>
          </cell>
          <cell r="J36">
            <v>440</v>
          </cell>
          <cell r="K36">
            <v>164625</v>
          </cell>
          <cell r="L36">
            <v>0</v>
          </cell>
          <cell r="N36">
            <v>821326</v>
          </cell>
          <cell r="O36">
            <v>250</v>
          </cell>
          <cell r="Q36">
            <v>190558</v>
          </cell>
          <cell r="R36">
            <v>117</v>
          </cell>
          <cell r="S36">
            <v>54604.02</v>
          </cell>
          <cell r="T36">
            <v>90.969999999993888</v>
          </cell>
          <cell r="U36">
            <v>35</v>
          </cell>
          <cell r="V36">
            <v>4118</v>
          </cell>
          <cell r="W36">
            <v>6</v>
          </cell>
          <cell r="AC36">
            <v>7224152.8799999999</v>
          </cell>
          <cell r="AD36">
            <v>2338.5599999995902</v>
          </cell>
          <cell r="AF36">
            <v>13836090.24</v>
          </cell>
          <cell r="AG36">
            <v>4823.2800000011921</v>
          </cell>
          <cell r="AI36">
            <v>13736409.119999999</v>
          </cell>
          <cell r="AJ36">
            <v>9792.7199999988079</v>
          </cell>
          <cell r="AL36">
            <v>16751836.08</v>
          </cell>
          <cell r="AM36">
            <v>48.719999998807907</v>
          </cell>
          <cell r="AO36">
            <v>17165907.359999999</v>
          </cell>
          <cell r="AP36">
            <v>146.16000000014901</v>
          </cell>
          <cell r="AR36">
            <v>15589182</v>
          </cell>
          <cell r="AS36">
            <v>6090</v>
          </cell>
          <cell r="AU36">
            <v>13257053.040000001</v>
          </cell>
          <cell r="AV36">
            <v>4677.1200000029057</v>
          </cell>
          <cell r="AX36">
            <v>12741790.319999998</v>
          </cell>
          <cell r="AY36">
            <v>4238.6399999987334</v>
          </cell>
          <cell r="BA36">
            <v>10149642.719999999</v>
          </cell>
          <cell r="BB36">
            <v>3897.5999999996275</v>
          </cell>
          <cell r="BD36">
            <v>15762430.319999998</v>
          </cell>
          <cell r="BE36">
            <v>5407.9199999980628</v>
          </cell>
          <cell r="BK36">
            <v>68162600</v>
          </cell>
          <cell r="BL36">
            <v>51300</v>
          </cell>
          <cell r="BN36">
            <v>70700300</v>
          </cell>
          <cell r="BO36">
            <v>0</v>
          </cell>
          <cell r="BQ36">
            <v>65394000</v>
          </cell>
          <cell r="BR36">
            <v>0</v>
          </cell>
          <cell r="BT36">
            <v>7791750</v>
          </cell>
          <cell r="BU36">
            <v>6400</v>
          </cell>
          <cell r="BW36">
            <v>0.53</v>
          </cell>
          <cell r="BX36">
            <v>8.9999999999999969E-2</v>
          </cell>
          <cell r="BZ36">
            <v>57436</v>
          </cell>
          <cell r="CA36">
            <v>21</v>
          </cell>
          <cell r="CB36">
            <v>48907</v>
          </cell>
          <cell r="CC36">
            <v>20</v>
          </cell>
          <cell r="CD36">
            <v>16799</v>
          </cell>
          <cell r="CE36">
            <v>4</v>
          </cell>
          <cell r="CF36">
            <v>22251</v>
          </cell>
          <cell r="CG36">
            <v>11</v>
          </cell>
          <cell r="CH36">
            <v>24306</v>
          </cell>
          <cell r="CI36">
            <v>10</v>
          </cell>
          <cell r="CJ36">
            <v>53855</v>
          </cell>
          <cell r="CK36">
            <v>27</v>
          </cell>
          <cell r="CL36">
            <v>236140</v>
          </cell>
          <cell r="CM36">
            <v>97</v>
          </cell>
          <cell r="CO36">
            <v>182123</v>
          </cell>
          <cell r="CP36">
            <v>105</v>
          </cell>
          <cell r="CR36">
            <v>322787</v>
          </cell>
          <cell r="CS36">
            <v>425</v>
          </cell>
          <cell r="CU36">
            <v>624530</v>
          </cell>
          <cell r="CV36">
            <v>194</v>
          </cell>
          <cell r="CX36">
            <v>6501</v>
          </cell>
          <cell r="CY36">
            <v>3</v>
          </cell>
          <cell r="CZ36">
            <v>4025</v>
          </cell>
          <cell r="DA36">
            <v>9</v>
          </cell>
          <cell r="DB36">
            <v>27112</v>
          </cell>
          <cell r="DC36">
            <v>26</v>
          </cell>
          <cell r="DD36">
            <v>27796</v>
          </cell>
          <cell r="DE36">
            <v>18</v>
          </cell>
          <cell r="DF36">
            <v>18807</v>
          </cell>
          <cell r="DG36">
            <v>12</v>
          </cell>
          <cell r="DH36">
            <v>21923</v>
          </cell>
          <cell r="DI36">
            <v>13</v>
          </cell>
          <cell r="DJ36">
            <v>3428</v>
          </cell>
          <cell r="DK36">
            <v>15</v>
          </cell>
          <cell r="DL36">
            <v>6975</v>
          </cell>
          <cell r="DM36">
            <v>24</v>
          </cell>
          <cell r="DN36">
            <v>1881</v>
          </cell>
          <cell r="DO36">
            <v>5</v>
          </cell>
          <cell r="DP36">
            <v>3705</v>
          </cell>
          <cell r="DQ36">
            <v>7</v>
          </cell>
          <cell r="DR36">
            <v>26380</v>
          </cell>
          <cell r="DS36">
            <v>9</v>
          </cell>
          <cell r="DU36">
            <v>3278.1</v>
          </cell>
          <cell r="DV36">
            <v>9.1999999999998181</v>
          </cell>
          <cell r="DW36">
            <v>8342.2000000000007</v>
          </cell>
          <cell r="DX36">
            <v>4</v>
          </cell>
          <cell r="DY36">
            <v>2465.1999999999998</v>
          </cell>
          <cell r="DZ36">
            <v>9.6999999999998181</v>
          </cell>
          <cell r="EA36">
            <v>2614.6</v>
          </cell>
          <cell r="EB36">
            <v>5.9000000000000909</v>
          </cell>
          <cell r="EC36">
            <v>883584</v>
          </cell>
          <cell r="ED36">
            <v>571</v>
          </cell>
          <cell r="EG36">
            <v>179166.2</v>
          </cell>
          <cell r="EH36">
            <v>152.80000000001746</v>
          </cell>
          <cell r="EJ36">
            <v>10482600</v>
          </cell>
          <cell r="EK36">
            <v>3400</v>
          </cell>
          <cell r="EL36">
            <v>831860</v>
          </cell>
          <cell r="EM36">
            <v>310</v>
          </cell>
          <cell r="EN36">
            <v>6422800</v>
          </cell>
          <cell r="EO36">
            <v>700</v>
          </cell>
          <cell r="EP36">
            <v>2257900</v>
          </cell>
          <cell r="EQ36">
            <v>400</v>
          </cell>
          <cell r="ER36">
            <v>1007990</v>
          </cell>
          <cell r="ES36">
            <v>750</v>
          </cell>
          <cell r="ET36">
            <v>14348600</v>
          </cell>
          <cell r="EU36">
            <v>3200</v>
          </cell>
          <cell r="EW36">
            <v>37788</v>
          </cell>
          <cell r="EX36">
            <v>15</v>
          </cell>
          <cell r="EY36">
            <v>32684</v>
          </cell>
          <cell r="EZ36">
            <v>19</v>
          </cell>
          <cell r="FA36">
            <v>3833</v>
          </cell>
          <cell r="FB36">
            <v>14</v>
          </cell>
          <cell r="FC36">
            <v>54470</v>
          </cell>
          <cell r="FD36">
            <v>19</v>
          </cell>
          <cell r="FE36">
            <v>38347</v>
          </cell>
          <cell r="FF36">
            <v>33</v>
          </cell>
        </row>
        <row r="37">
          <cell r="B37">
            <v>0</v>
          </cell>
          <cell r="E37">
            <v>935370</v>
          </cell>
          <cell r="F37">
            <v>989</v>
          </cell>
          <cell r="G37">
            <v>550</v>
          </cell>
          <cell r="H37">
            <v>98695.01</v>
          </cell>
          <cell r="I37">
            <v>557.00999999999476</v>
          </cell>
          <cell r="J37">
            <v>475</v>
          </cell>
          <cell r="K37">
            <v>164625</v>
          </cell>
          <cell r="L37">
            <v>0</v>
          </cell>
          <cell r="N37">
            <v>821673.5</v>
          </cell>
          <cell r="O37">
            <v>347.5</v>
          </cell>
          <cell r="Q37">
            <v>190885</v>
          </cell>
          <cell r="R37">
            <v>327</v>
          </cell>
          <cell r="S37">
            <v>54688.639999999999</v>
          </cell>
          <cell r="T37">
            <v>84.620000000002619</v>
          </cell>
          <cell r="U37">
            <v>39</v>
          </cell>
          <cell r="V37">
            <v>4133</v>
          </cell>
          <cell r="W37">
            <v>15</v>
          </cell>
          <cell r="AC37">
            <v>7226199.1200000001</v>
          </cell>
          <cell r="AD37">
            <v>2046.2400000002235</v>
          </cell>
          <cell r="AF37">
            <v>13841108.4</v>
          </cell>
          <cell r="AG37">
            <v>5018.160000000149</v>
          </cell>
          <cell r="AI37">
            <v>13747176.24</v>
          </cell>
          <cell r="AJ37">
            <v>10767.120000001043</v>
          </cell>
          <cell r="AL37">
            <v>16751933.52</v>
          </cell>
          <cell r="AM37">
            <v>97.439999999478459</v>
          </cell>
          <cell r="AO37">
            <v>17166053.52</v>
          </cell>
          <cell r="AP37">
            <v>146.16000000014901</v>
          </cell>
          <cell r="AR37">
            <v>15595369.439999999</v>
          </cell>
          <cell r="AS37">
            <v>6187.4399999994785</v>
          </cell>
          <cell r="AU37">
            <v>13261681.439999999</v>
          </cell>
          <cell r="AV37">
            <v>4628.3999999985099</v>
          </cell>
          <cell r="AX37">
            <v>12746564.880000001</v>
          </cell>
          <cell r="AY37">
            <v>4774.5600000023842</v>
          </cell>
          <cell r="BA37">
            <v>10153150.559999999</v>
          </cell>
          <cell r="BB37">
            <v>3507.839999999851</v>
          </cell>
          <cell r="BD37">
            <v>15768520.319999998</v>
          </cell>
          <cell r="BE37">
            <v>6090</v>
          </cell>
          <cell r="BK37">
            <v>68210800</v>
          </cell>
          <cell r="BL37">
            <v>48200</v>
          </cell>
          <cell r="BN37">
            <v>70700300</v>
          </cell>
          <cell r="BO37">
            <v>0</v>
          </cell>
          <cell r="BQ37">
            <v>65394000</v>
          </cell>
          <cell r="BR37">
            <v>0</v>
          </cell>
          <cell r="BT37">
            <v>7799160</v>
          </cell>
          <cell r="BU37">
            <v>7410</v>
          </cell>
          <cell r="BW37">
            <v>0.57999999999999996</v>
          </cell>
          <cell r="BX37">
            <v>-4.9999999999999933E-2</v>
          </cell>
          <cell r="BZ37">
            <v>57456</v>
          </cell>
          <cell r="CA37">
            <v>20</v>
          </cell>
          <cell r="CB37">
            <v>48927</v>
          </cell>
          <cell r="CC37">
            <v>20</v>
          </cell>
          <cell r="CD37">
            <v>16805</v>
          </cell>
          <cell r="CE37">
            <v>6</v>
          </cell>
          <cell r="CF37">
            <v>22261</v>
          </cell>
          <cell r="CG37">
            <v>10</v>
          </cell>
          <cell r="CH37">
            <v>24316</v>
          </cell>
          <cell r="CI37">
            <v>10</v>
          </cell>
          <cell r="CJ37">
            <v>53884</v>
          </cell>
          <cell r="CK37">
            <v>29</v>
          </cell>
          <cell r="CL37">
            <v>236244</v>
          </cell>
          <cell r="CM37">
            <v>104</v>
          </cell>
          <cell r="CO37">
            <v>182252.35</v>
          </cell>
          <cell r="CP37">
            <v>129.35000000000582</v>
          </cell>
          <cell r="CR37">
            <v>323179.56</v>
          </cell>
          <cell r="CS37">
            <v>392.55999999999767</v>
          </cell>
          <cell r="CU37">
            <v>624763</v>
          </cell>
          <cell r="CV37">
            <v>233</v>
          </cell>
          <cell r="CX37">
            <v>6504</v>
          </cell>
          <cell r="CY37">
            <v>3</v>
          </cell>
          <cell r="CZ37">
            <v>4033.7</v>
          </cell>
          <cell r="DA37">
            <v>8.6999999999998181</v>
          </cell>
          <cell r="DB37">
            <v>0</v>
          </cell>
          <cell r="DC37">
            <v>-27112</v>
          </cell>
          <cell r="DD37">
            <v>0</v>
          </cell>
          <cell r="DE37">
            <v>-27796</v>
          </cell>
          <cell r="DF37">
            <v>0</v>
          </cell>
          <cell r="DG37">
            <v>-18807</v>
          </cell>
          <cell r="DH37">
            <v>0</v>
          </cell>
          <cell r="DI37">
            <v>-21923</v>
          </cell>
          <cell r="DJ37">
            <v>0</v>
          </cell>
          <cell r="DK37">
            <v>-3428</v>
          </cell>
          <cell r="DL37">
            <v>0</v>
          </cell>
          <cell r="DM37">
            <v>-6975</v>
          </cell>
          <cell r="DN37">
            <v>0</v>
          </cell>
          <cell r="DO37">
            <v>-1881</v>
          </cell>
          <cell r="DP37">
            <v>0</v>
          </cell>
          <cell r="DQ37">
            <v>-3705</v>
          </cell>
          <cell r="DR37">
            <v>0</v>
          </cell>
          <cell r="DS37">
            <v>-26380</v>
          </cell>
          <cell r="DU37">
            <v>0</v>
          </cell>
          <cell r="DV37">
            <v>-3278.1</v>
          </cell>
          <cell r="DW37">
            <v>0</v>
          </cell>
          <cell r="DX37">
            <v>-8342.2000000000007</v>
          </cell>
          <cell r="DY37">
            <v>0</v>
          </cell>
          <cell r="DZ37">
            <v>-2465.1999999999998</v>
          </cell>
          <cell r="EA37">
            <v>0</v>
          </cell>
          <cell r="EB37">
            <v>-2614.6</v>
          </cell>
          <cell r="EC37">
            <v>0</v>
          </cell>
          <cell r="ED37">
            <v>-883584</v>
          </cell>
          <cell r="EG37">
            <v>0</v>
          </cell>
          <cell r="EH37">
            <v>-179166.2</v>
          </cell>
          <cell r="EJ37">
            <v>0</v>
          </cell>
          <cell r="EK37">
            <v>-10482600</v>
          </cell>
          <cell r="EL37">
            <v>0</v>
          </cell>
          <cell r="EM37">
            <v>-831860</v>
          </cell>
          <cell r="EN37">
            <v>0</v>
          </cell>
          <cell r="EO37">
            <v>-6422800</v>
          </cell>
          <cell r="EP37">
            <v>0</v>
          </cell>
          <cell r="EQ37">
            <v>-2257900</v>
          </cell>
          <cell r="ER37">
            <v>0</v>
          </cell>
          <cell r="ES37">
            <v>-1007990</v>
          </cell>
          <cell r="ET37">
            <v>0</v>
          </cell>
          <cell r="EU37">
            <v>-14348600</v>
          </cell>
          <cell r="EW37">
            <v>0</v>
          </cell>
          <cell r="EX37">
            <v>-37788</v>
          </cell>
          <cell r="EY37">
            <v>0</v>
          </cell>
          <cell r="EZ37">
            <v>-32684</v>
          </cell>
          <cell r="FA37">
            <v>0</v>
          </cell>
          <cell r="FB37">
            <v>-3833</v>
          </cell>
          <cell r="FC37">
            <v>0</v>
          </cell>
          <cell r="FD37">
            <v>-54470</v>
          </cell>
          <cell r="FE37">
            <v>0</v>
          </cell>
          <cell r="FF37">
            <v>-38347</v>
          </cell>
        </row>
        <row r="38">
          <cell r="B38">
            <v>0</v>
          </cell>
          <cell r="E38">
            <v>936139</v>
          </cell>
          <cell r="F38">
            <v>769</v>
          </cell>
          <cell r="G38">
            <v>598</v>
          </cell>
          <cell r="H38">
            <v>99179.5</v>
          </cell>
          <cell r="I38">
            <v>484.49000000000524</v>
          </cell>
          <cell r="J38">
            <v>534</v>
          </cell>
          <cell r="K38">
            <v>164625</v>
          </cell>
          <cell r="L38">
            <v>0</v>
          </cell>
          <cell r="N38">
            <v>821861</v>
          </cell>
          <cell r="O38">
            <v>187.5</v>
          </cell>
          <cell r="Q38">
            <v>191022</v>
          </cell>
          <cell r="R38">
            <v>137</v>
          </cell>
          <cell r="S38">
            <v>54772.41</v>
          </cell>
          <cell r="T38">
            <v>83.770000000004075</v>
          </cell>
          <cell r="U38">
            <v>12</v>
          </cell>
          <cell r="V38">
            <v>4148</v>
          </cell>
          <cell r="W38">
            <v>15</v>
          </cell>
          <cell r="AC38">
            <v>7227904.3200000003</v>
          </cell>
          <cell r="AD38">
            <v>1705.2000000001863</v>
          </cell>
          <cell r="AF38">
            <v>13845444.48</v>
          </cell>
          <cell r="AG38">
            <v>4336.0800000000745</v>
          </cell>
          <cell r="AI38">
            <v>13756774.08</v>
          </cell>
          <cell r="AJ38">
            <v>9597.839999999851</v>
          </cell>
          <cell r="AL38">
            <v>16751884.799999999</v>
          </cell>
          <cell r="AM38">
            <v>-48.720000000670552</v>
          </cell>
          <cell r="AO38">
            <v>17166150.960000001</v>
          </cell>
          <cell r="AP38">
            <v>97.440000001341105</v>
          </cell>
          <cell r="AR38">
            <v>15600874.799999999</v>
          </cell>
          <cell r="AS38">
            <v>5505.359999999404</v>
          </cell>
          <cell r="AU38">
            <v>13265773.919999998</v>
          </cell>
          <cell r="AV38">
            <v>4092.4799999985844</v>
          </cell>
          <cell r="AX38">
            <v>12750559.919999998</v>
          </cell>
          <cell r="AY38">
            <v>3995.0399999972433</v>
          </cell>
          <cell r="BA38">
            <v>10156122.48</v>
          </cell>
          <cell r="BB38">
            <v>2971.9200000017881</v>
          </cell>
          <cell r="BD38">
            <v>15773782.08</v>
          </cell>
          <cell r="BE38">
            <v>5261.7600000016391</v>
          </cell>
          <cell r="BK38">
            <v>68259500</v>
          </cell>
          <cell r="BL38">
            <v>48700</v>
          </cell>
          <cell r="BN38">
            <v>70700300</v>
          </cell>
          <cell r="BO38">
            <v>0</v>
          </cell>
          <cell r="BQ38">
            <v>65394000</v>
          </cell>
          <cell r="BR38">
            <v>0</v>
          </cell>
          <cell r="BT38">
            <v>7806110</v>
          </cell>
          <cell r="BU38">
            <v>6950</v>
          </cell>
          <cell r="BW38">
            <v>0.62</v>
          </cell>
          <cell r="BX38">
            <v>-4.0000000000000036E-2</v>
          </cell>
          <cell r="BZ38">
            <v>57478</v>
          </cell>
          <cell r="CA38">
            <v>22</v>
          </cell>
          <cell r="CB38">
            <v>48944</v>
          </cell>
          <cell r="CC38">
            <v>17</v>
          </cell>
          <cell r="CD38">
            <v>16811</v>
          </cell>
          <cell r="CE38">
            <v>6</v>
          </cell>
          <cell r="CF38">
            <v>22276</v>
          </cell>
          <cell r="CG38">
            <v>15</v>
          </cell>
          <cell r="CH38">
            <v>24324</v>
          </cell>
          <cell r="CI38">
            <v>8</v>
          </cell>
          <cell r="CJ38">
            <v>53912</v>
          </cell>
          <cell r="CK38">
            <v>28</v>
          </cell>
          <cell r="CL38">
            <v>236334</v>
          </cell>
          <cell r="CM38">
            <v>90</v>
          </cell>
          <cell r="CO38">
            <v>182372</v>
          </cell>
          <cell r="CP38">
            <v>119.64999999999418</v>
          </cell>
          <cell r="CR38">
            <v>323492</v>
          </cell>
          <cell r="CS38">
            <v>312.44000000000233</v>
          </cell>
          <cell r="CU38">
            <v>624950</v>
          </cell>
          <cell r="CV38">
            <v>187</v>
          </cell>
          <cell r="CX38">
            <v>6506</v>
          </cell>
          <cell r="CY38">
            <v>2</v>
          </cell>
          <cell r="CZ38">
            <v>4043.7</v>
          </cell>
          <cell r="DA38">
            <v>10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G38">
            <v>0</v>
          </cell>
          <cell r="EH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</row>
        <row r="39">
          <cell r="B39">
            <v>0</v>
          </cell>
          <cell r="E39">
            <v>936967</v>
          </cell>
          <cell r="F39">
            <v>828</v>
          </cell>
          <cell r="G39">
            <v>581</v>
          </cell>
          <cell r="H39">
            <v>99717</v>
          </cell>
          <cell r="I39">
            <v>537.5</v>
          </cell>
          <cell r="J39">
            <v>547</v>
          </cell>
          <cell r="K39">
            <v>164625</v>
          </cell>
          <cell r="L39">
            <v>0</v>
          </cell>
          <cell r="N39">
            <v>822045</v>
          </cell>
          <cell r="O39">
            <v>184</v>
          </cell>
          <cell r="Q39">
            <v>191185</v>
          </cell>
          <cell r="R39">
            <v>163</v>
          </cell>
          <cell r="S39">
            <v>54862.42</v>
          </cell>
          <cell r="T39">
            <v>90.009999999994761</v>
          </cell>
          <cell r="U39">
            <v>14</v>
          </cell>
          <cell r="V39">
            <v>4163</v>
          </cell>
          <cell r="W39">
            <v>15</v>
          </cell>
          <cell r="AC39">
            <v>7229853.1200000001</v>
          </cell>
          <cell r="AD39">
            <v>1948.7999999998137</v>
          </cell>
          <cell r="AF39">
            <v>13850219.039999999</v>
          </cell>
          <cell r="AG39">
            <v>4774.5599999986589</v>
          </cell>
          <cell r="AI39">
            <v>13760233.199999999</v>
          </cell>
          <cell r="AJ39">
            <v>3459.1199999991804</v>
          </cell>
          <cell r="AL39">
            <v>16751933.52</v>
          </cell>
          <cell r="AM39">
            <v>48.720000000670552</v>
          </cell>
          <cell r="AO39">
            <v>17174725.68</v>
          </cell>
          <cell r="AP39">
            <v>8574.7199999988079</v>
          </cell>
          <cell r="AR39">
            <v>15606867.359999999</v>
          </cell>
          <cell r="AS39">
            <v>5992.5600000005215</v>
          </cell>
          <cell r="AU39">
            <v>13270256.16</v>
          </cell>
          <cell r="AV39">
            <v>4482.2400000020862</v>
          </cell>
          <cell r="AX39">
            <v>12755042.16</v>
          </cell>
          <cell r="AY39">
            <v>4482.2400000020862</v>
          </cell>
          <cell r="BA39">
            <v>10162748.4</v>
          </cell>
          <cell r="BB39">
            <v>6625.9199999999255</v>
          </cell>
          <cell r="BD39">
            <v>15779774.640000001</v>
          </cell>
          <cell r="BE39">
            <v>5992.5600000005215</v>
          </cell>
          <cell r="BK39">
            <v>68270800</v>
          </cell>
          <cell r="BL39">
            <v>11300</v>
          </cell>
          <cell r="BN39">
            <v>70700300</v>
          </cell>
          <cell r="BO39">
            <v>0</v>
          </cell>
          <cell r="BQ39">
            <v>65431400</v>
          </cell>
          <cell r="BR39">
            <v>37400</v>
          </cell>
          <cell r="BT39">
            <v>7813100</v>
          </cell>
          <cell r="BU39">
            <v>6990</v>
          </cell>
          <cell r="BW39">
            <v>0.68</v>
          </cell>
          <cell r="BX39">
            <v>-6.0000000000000053E-2</v>
          </cell>
          <cell r="BZ39">
            <v>57502</v>
          </cell>
          <cell r="CA39">
            <v>24</v>
          </cell>
          <cell r="CB39">
            <v>48964</v>
          </cell>
          <cell r="CC39">
            <v>20</v>
          </cell>
          <cell r="CD39">
            <v>16818</v>
          </cell>
          <cell r="CE39">
            <v>7</v>
          </cell>
          <cell r="CF39">
            <v>22289</v>
          </cell>
          <cell r="CG39">
            <v>13</v>
          </cell>
          <cell r="CH39">
            <v>24334</v>
          </cell>
          <cell r="CI39">
            <v>10</v>
          </cell>
          <cell r="CJ39">
            <v>53939</v>
          </cell>
          <cell r="CK39">
            <v>27</v>
          </cell>
          <cell r="CL39">
            <v>236435</v>
          </cell>
          <cell r="CM39">
            <v>101</v>
          </cell>
          <cell r="CO39">
            <v>182497</v>
          </cell>
          <cell r="CP39">
            <v>125</v>
          </cell>
          <cell r="CR39">
            <v>323836</v>
          </cell>
          <cell r="CS39">
            <v>344</v>
          </cell>
          <cell r="CU39">
            <v>625173</v>
          </cell>
          <cell r="CV39">
            <v>223</v>
          </cell>
          <cell r="CX39">
            <v>6510</v>
          </cell>
          <cell r="CY39">
            <v>4</v>
          </cell>
          <cell r="CZ39">
            <v>4054.7</v>
          </cell>
          <cell r="DA39">
            <v>11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G39">
            <v>0</v>
          </cell>
          <cell r="EH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</row>
        <row r="40">
          <cell r="B40">
            <v>0</v>
          </cell>
          <cell r="E40">
            <v>937728</v>
          </cell>
          <cell r="F40">
            <v>761</v>
          </cell>
          <cell r="G40">
            <v>555</v>
          </cell>
          <cell r="H40">
            <v>100193.47</v>
          </cell>
          <cell r="I40">
            <v>476.47000000000116</v>
          </cell>
          <cell r="J40">
            <v>516</v>
          </cell>
          <cell r="K40">
            <v>164625</v>
          </cell>
          <cell r="L40">
            <v>0</v>
          </cell>
          <cell r="N40">
            <v>822048.6</v>
          </cell>
          <cell r="O40">
            <v>3.5999999999767169</v>
          </cell>
          <cell r="Q40">
            <v>191270</v>
          </cell>
          <cell r="R40">
            <v>85</v>
          </cell>
          <cell r="S40">
            <v>54947.85</v>
          </cell>
          <cell r="T40">
            <v>85.430000000000291</v>
          </cell>
          <cell r="U40">
            <v>16</v>
          </cell>
          <cell r="V40">
            <v>4176</v>
          </cell>
          <cell r="W40">
            <v>13</v>
          </cell>
          <cell r="AC40">
            <v>7231779.1200000001</v>
          </cell>
          <cell r="AD40">
            <v>1926</v>
          </cell>
          <cell r="AF40">
            <v>13854944.880000001</v>
          </cell>
          <cell r="AG40">
            <v>4725.8400000017136</v>
          </cell>
          <cell r="AI40">
            <v>13761743.52</v>
          </cell>
          <cell r="AJ40">
            <v>1510.320000000298</v>
          </cell>
          <cell r="AL40">
            <v>16751982.239999998</v>
          </cell>
          <cell r="AM40">
            <v>48.719999998807907</v>
          </cell>
          <cell r="AO40">
            <v>17184031.199999999</v>
          </cell>
          <cell r="AP40">
            <v>9305.519999999553</v>
          </cell>
          <cell r="AR40">
            <v>15612567.6</v>
          </cell>
          <cell r="AS40">
            <v>5700.2400000002235</v>
          </cell>
          <cell r="AU40">
            <v>13275176.880000001</v>
          </cell>
          <cell r="AV40">
            <v>4920.7200000006706</v>
          </cell>
          <cell r="AX40">
            <v>12759329.52</v>
          </cell>
          <cell r="AY40">
            <v>4287.359999999404</v>
          </cell>
          <cell r="BA40">
            <v>10165642.4</v>
          </cell>
          <cell r="BB40">
            <v>2894</v>
          </cell>
          <cell r="BD40">
            <v>15785621.039999999</v>
          </cell>
          <cell r="BE40">
            <v>5846.3999999985099</v>
          </cell>
          <cell r="BK40">
            <v>68270800</v>
          </cell>
          <cell r="BL40">
            <v>0</v>
          </cell>
          <cell r="BN40">
            <v>70700300</v>
          </cell>
          <cell r="BO40">
            <v>0</v>
          </cell>
          <cell r="BQ40">
            <v>65479500</v>
          </cell>
          <cell r="BR40">
            <v>48100</v>
          </cell>
          <cell r="BT40">
            <v>7819480</v>
          </cell>
          <cell r="BU40">
            <v>6380</v>
          </cell>
          <cell r="BW40">
            <v>0.6</v>
          </cell>
          <cell r="BX40">
            <v>8.0000000000000071E-2</v>
          </cell>
          <cell r="BZ40">
            <v>57522</v>
          </cell>
          <cell r="CA40">
            <v>20</v>
          </cell>
          <cell r="CB40">
            <v>48984</v>
          </cell>
          <cell r="CC40">
            <v>20</v>
          </cell>
          <cell r="CD40">
            <v>16823</v>
          </cell>
          <cell r="CE40">
            <v>5</v>
          </cell>
          <cell r="CF40">
            <v>22306</v>
          </cell>
          <cell r="CG40">
            <v>17</v>
          </cell>
          <cell r="CH40">
            <v>24342</v>
          </cell>
          <cell r="CI40">
            <v>8</v>
          </cell>
          <cell r="CJ40">
            <v>53965</v>
          </cell>
          <cell r="CK40">
            <v>26</v>
          </cell>
          <cell r="CL40">
            <v>236532.3</v>
          </cell>
          <cell r="CM40">
            <v>97.299999999988358</v>
          </cell>
          <cell r="CO40">
            <v>182625.88</v>
          </cell>
          <cell r="CP40">
            <v>128.88000000000466</v>
          </cell>
          <cell r="CR40">
            <v>324174.24</v>
          </cell>
          <cell r="CS40">
            <v>338.23999999999069</v>
          </cell>
          <cell r="CU40">
            <v>625387</v>
          </cell>
          <cell r="CV40">
            <v>214</v>
          </cell>
          <cell r="CX40">
            <v>6514</v>
          </cell>
          <cell r="CY40">
            <v>4</v>
          </cell>
          <cell r="CZ40">
            <v>4065.47</v>
          </cell>
          <cell r="DA40">
            <v>10.769999999999982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G40">
            <v>0</v>
          </cell>
          <cell r="EH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Q24" sqref="Q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1.91/0.52</f>
        <v>3.6730769230769229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>1.91/0.52</f>
        <v>3.6730769230769229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ref="H4:H32" si="1">1.91/0.52</f>
        <v>3.6730769230769229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0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1"/>
        <v>3.6730769230769229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0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1"/>
        <v>3.6730769230769229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0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1"/>
        <v>3.6730769230769229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0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1"/>
        <v>3.6730769230769229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 x14ac:dyDescent="0.25">
      <c r="A9" t="s">
        <v>59</v>
      </c>
      <c r="B9">
        <f t="shared" si="0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1"/>
        <v>3.6730769230769229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 x14ac:dyDescent="0.25">
      <c r="A10" t="s">
        <v>59</v>
      </c>
      <c r="B10">
        <f t="shared" si="0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1"/>
        <v>3.6730769230769229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 x14ac:dyDescent="0.25">
      <c r="A11" t="s">
        <v>59</v>
      </c>
      <c r="B11">
        <f t="shared" si="0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1"/>
        <v>3.6730769230769229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 x14ac:dyDescent="0.25">
      <c r="A12" t="s">
        <v>59</v>
      </c>
      <c r="B12">
        <f t="shared" si="0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1"/>
        <v>3.6730769230769229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 x14ac:dyDescent="0.25">
      <c r="A13" t="s">
        <v>59</v>
      </c>
      <c r="B13">
        <f t="shared" si="0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1"/>
        <v>3.6730769230769229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 x14ac:dyDescent="0.25">
      <c r="A14" t="s">
        <v>59</v>
      </c>
      <c r="B14">
        <f t="shared" si="0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1"/>
        <v>3.6730769230769229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 x14ac:dyDescent="0.25">
      <c r="A15" t="s">
        <v>59</v>
      </c>
      <c r="B15">
        <f t="shared" si="0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1"/>
        <v>3.6730769230769229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 x14ac:dyDescent="0.25">
      <c r="A16" t="s">
        <v>59</v>
      </c>
      <c r="B16">
        <f t="shared" si="0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40583.759999997914</v>
      </c>
      <c r="F16">
        <v>0.44447999999999999</v>
      </c>
      <c r="G16" s="3">
        <f>Submetering!Z16+Submetering!AA16+Submetering!AB16</f>
        <v>837.27</v>
      </c>
      <c r="H16" s="238">
        <f t="shared" si="1"/>
        <v>3.6730769230769229</v>
      </c>
      <c r="I16" s="3">
        <f>Submetering!G16</f>
        <v>746</v>
      </c>
      <c r="J16">
        <v>13.83</v>
      </c>
      <c r="K16" s="3">
        <f>Submetering!I16</f>
        <v>204</v>
      </c>
      <c r="L16">
        <v>1.2</v>
      </c>
      <c r="M16" s="238">
        <f>Submetering!E16</f>
        <v>191.97</v>
      </c>
      <c r="N16">
        <f>Submetering!F16</f>
        <v>349</v>
      </c>
    </row>
    <row r="17" spans="1:14" x14ac:dyDescent="0.25">
      <c r="A17" t="s">
        <v>59</v>
      </c>
      <c r="B17">
        <f t="shared" si="0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41119.680000003427</v>
      </c>
      <c r="F17">
        <v>0.44447999999999999</v>
      </c>
      <c r="G17" s="3">
        <f>Submetering!Z17+Submetering!AA17+Submetering!AB17</f>
        <v>833.49</v>
      </c>
      <c r="H17" s="238">
        <f t="shared" si="1"/>
        <v>3.6730769230769229</v>
      </c>
      <c r="I17" s="3">
        <f>Submetering!G17</f>
        <v>744</v>
      </c>
      <c r="J17">
        <v>13.83</v>
      </c>
      <c r="K17" s="3">
        <f>Submetering!I17</f>
        <v>191</v>
      </c>
      <c r="L17">
        <v>1.2</v>
      </c>
      <c r="M17" s="238">
        <f>Submetering!E17</f>
        <v>199.07999999999998</v>
      </c>
      <c r="N17">
        <f>Submetering!F17</f>
        <v>362</v>
      </c>
    </row>
    <row r="18" spans="1:14" x14ac:dyDescent="0.25">
      <c r="A18" t="s">
        <v>59</v>
      </c>
      <c r="B18">
        <f t="shared" si="0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41119.679999999702</v>
      </c>
      <c r="F18">
        <v>0.44447999999999999</v>
      </c>
      <c r="G18" s="3">
        <f>Submetering!Z18+Submetering!AA18+Submetering!AB18</f>
        <v>854.28</v>
      </c>
      <c r="H18" s="238">
        <f t="shared" si="1"/>
        <v>3.6730769230769229</v>
      </c>
      <c r="I18" s="3">
        <f>Submetering!G18</f>
        <v>717</v>
      </c>
      <c r="J18">
        <v>13.83</v>
      </c>
      <c r="K18" s="3">
        <f>Submetering!I18</f>
        <v>174</v>
      </c>
      <c r="L18">
        <v>1.2</v>
      </c>
      <c r="M18" s="238">
        <f>Submetering!E18</f>
        <v>180.12</v>
      </c>
      <c r="N18">
        <f>Submetering!F18</f>
        <v>363</v>
      </c>
    </row>
    <row r="19" spans="1:14" x14ac:dyDescent="0.25">
      <c r="A19" t="s">
        <v>59</v>
      </c>
      <c r="B19">
        <f t="shared" si="0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40827.360000003129</v>
      </c>
      <c r="F19">
        <v>0.44447999999999999</v>
      </c>
      <c r="G19" s="3">
        <f>Submetering!Z19+Submetering!AA19+Submetering!AB19</f>
        <v>854.28</v>
      </c>
      <c r="H19" s="238">
        <f t="shared" si="1"/>
        <v>3.6730769230769229</v>
      </c>
      <c r="I19" s="3">
        <f>Submetering!G19</f>
        <v>697</v>
      </c>
      <c r="J19">
        <v>13.83</v>
      </c>
      <c r="K19" s="3">
        <f>Submetering!I19</f>
        <v>195</v>
      </c>
      <c r="L19">
        <v>1.2</v>
      </c>
      <c r="M19" s="238">
        <f>Submetering!E19</f>
        <v>170.64</v>
      </c>
      <c r="N19">
        <f>Submetering!F19</f>
        <v>369</v>
      </c>
    </row>
    <row r="20" spans="1:14" x14ac:dyDescent="0.25">
      <c r="A20" t="s">
        <v>59</v>
      </c>
      <c r="B20">
        <f t="shared" si="0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39170.879999998026</v>
      </c>
      <c r="F20">
        <v>0.44447999999999999</v>
      </c>
      <c r="G20" s="3">
        <f>Submetering!Z20+Submetering!AA20+Submetering!AB20</f>
        <v>827.81999999999994</v>
      </c>
      <c r="H20" s="238">
        <f t="shared" si="1"/>
        <v>3.6730769230769229</v>
      </c>
      <c r="I20" s="3">
        <f>Submetering!G20</f>
        <v>677</v>
      </c>
      <c r="J20">
        <v>13.83</v>
      </c>
      <c r="K20" s="3">
        <f>Submetering!I20</f>
        <v>169</v>
      </c>
      <c r="L20">
        <v>1.2</v>
      </c>
      <c r="M20" s="238">
        <f>Submetering!E20</f>
        <v>170.64</v>
      </c>
      <c r="N20">
        <f>Submetering!F20</f>
        <v>375</v>
      </c>
    </row>
    <row r="21" spans="1:14" x14ac:dyDescent="0.25">
      <c r="A21" t="s">
        <v>59</v>
      </c>
      <c r="B21">
        <f t="shared" si="0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40340.159999997355</v>
      </c>
      <c r="F21">
        <v>0.44447999999999999</v>
      </c>
      <c r="G21" s="3">
        <f>Submetering!Z21+Submetering!AA21+Submetering!AB21</f>
        <v>844.82999999999993</v>
      </c>
      <c r="H21" s="238">
        <f t="shared" si="1"/>
        <v>3.6730769230769229</v>
      </c>
      <c r="I21" s="3">
        <f>Submetering!G21</f>
        <v>714</v>
      </c>
      <c r="J21">
        <v>13.83</v>
      </c>
      <c r="K21" s="3">
        <f>Submetering!I21</f>
        <v>182</v>
      </c>
      <c r="L21">
        <v>1.2</v>
      </c>
      <c r="M21" s="238">
        <f>Submetering!E21</f>
        <v>175.38</v>
      </c>
      <c r="N21">
        <f>Submetering!F21</f>
        <v>385</v>
      </c>
    </row>
    <row r="22" spans="1:14" x14ac:dyDescent="0.25">
      <c r="A22" t="s">
        <v>59</v>
      </c>
      <c r="B22">
        <f t="shared" si="0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40583.759999999776</v>
      </c>
      <c r="F22">
        <v>0.44447999999999999</v>
      </c>
      <c r="G22" s="3">
        <f>Submetering!Z22+Submetering!AA22+Submetering!AB22</f>
        <v>841.05</v>
      </c>
      <c r="H22" s="238">
        <f t="shared" si="1"/>
        <v>3.6730769230769229</v>
      </c>
      <c r="I22" s="3">
        <f>Submetering!G22</f>
        <v>770</v>
      </c>
      <c r="J22">
        <v>13.83</v>
      </c>
      <c r="K22" s="3">
        <f>Submetering!I22</f>
        <v>174</v>
      </c>
      <c r="L22">
        <v>1.2</v>
      </c>
      <c r="M22" s="238">
        <f>Submetering!E22</f>
        <v>191.97</v>
      </c>
      <c r="N22">
        <f>Submetering!F22</f>
        <v>413</v>
      </c>
    </row>
    <row r="23" spans="1:14" x14ac:dyDescent="0.25">
      <c r="A23" t="s">
        <v>59</v>
      </c>
      <c r="B23">
        <f t="shared" si="0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44822.39999999851</v>
      </c>
      <c r="F23">
        <v>0.44447999999999999</v>
      </c>
      <c r="G23" s="3">
        <f>Submetering!Z23+Submetering!AA23+Submetering!AB23</f>
        <v>910.98</v>
      </c>
      <c r="H23" s="238">
        <f t="shared" si="1"/>
        <v>3.6730769230769229</v>
      </c>
      <c r="I23" s="3">
        <f>Submetering!G23</f>
        <v>753</v>
      </c>
      <c r="J23">
        <v>13.83</v>
      </c>
      <c r="K23" s="3">
        <f>Submetering!I23</f>
        <v>185</v>
      </c>
      <c r="L23">
        <v>1.2</v>
      </c>
      <c r="M23" s="238">
        <f>Submetering!E23</f>
        <v>182.49</v>
      </c>
      <c r="N23">
        <f>Submetering!F23</f>
        <v>389</v>
      </c>
    </row>
    <row r="24" spans="1:14" x14ac:dyDescent="0.25">
      <c r="A24" t="s">
        <v>59</v>
      </c>
      <c r="B24">
        <f t="shared" si="0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41558.160000004806</v>
      </c>
      <c r="F24">
        <v>0.44447999999999999</v>
      </c>
      <c r="G24" s="3">
        <f>Submetering!Z24+Submetering!AA24+Submetering!AB24</f>
        <v>1277.6399999999999</v>
      </c>
      <c r="H24" s="238">
        <f t="shared" si="1"/>
        <v>3.6730769230769229</v>
      </c>
      <c r="I24" s="3">
        <f>Submetering!G24</f>
        <v>793</v>
      </c>
      <c r="J24">
        <v>13.83</v>
      </c>
      <c r="K24" s="3">
        <f>Submetering!I24</f>
        <v>239</v>
      </c>
      <c r="L24">
        <v>1.2</v>
      </c>
      <c r="M24" s="238">
        <f>Submetering!E24</f>
        <v>191.97</v>
      </c>
      <c r="N24">
        <f>Submetering!F24</f>
        <v>424</v>
      </c>
    </row>
    <row r="25" spans="1:14" x14ac:dyDescent="0.25">
      <c r="A25" t="s">
        <v>59</v>
      </c>
      <c r="B25">
        <f t="shared" si="0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43068.479999996722</v>
      </c>
      <c r="F25">
        <v>0.44447999999999999</v>
      </c>
      <c r="G25" s="3">
        <f>Submetering!Z25+Submetering!AA25+Submetering!AB25</f>
        <v>1107.54</v>
      </c>
      <c r="H25" s="238">
        <f t="shared" si="1"/>
        <v>3.6730769230769229</v>
      </c>
      <c r="I25" s="3">
        <f>Submetering!G25</f>
        <v>795</v>
      </c>
      <c r="J25">
        <v>13.83</v>
      </c>
      <c r="K25" s="3">
        <f>Submetering!I25</f>
        <v>167</v>
      </c>
      <c r="L25">
        <v>1.2</v>
      </c>
      <c r="M25" s="238">
        <f>Submetering!E25</f>
        <v>175.38</v>
      </c>
      <c r="N25">
        <f>Submetering!F25</f>
        <v>492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58415.280000001192</v>
      </c>
      <c r="F26">
        <v>0.44447999999999999</v>
      </c>
      <c r="G26" s="3">
        <f>Submetering!Z26+Submetering!AA26+Submetering!AB26</f>
        <v>1338.12</v>
      </c>
      <c r="H26" s="238">
        <f t="shared" si="1"/>
        <v>3.6730769230769229</v>
      </c>
      <c r="I26" s="3">
        <f>Submetering!G26</f>
        <v>910</v>
      </c>
      <c r="J26">
        <v>13.83</v>
      </c>
      <c r="K26" s="3">
        <f>Submetering!I26</f>
        <v>0</v>
      </c>
      <c r="L26">
        <v>1.2</v>
      </c>
      <c r="M26" s="238">
        <f>Submetering!E26</f>
        <v>170.64</v>
      </c>
      <c r="N26">
        <f>Submetering!F26</f>
        <v>414</v>
      </c>
    </row>
    <row r="27" spans="1:14" x14ac:dyDescent="0.25">
      <c r="A27" t="s">
        <v>59</v>
      </c>
      <c r="B27">
        <f t="shared" si="0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25529.280000000261</v>
      </c>
      <c r="F27">
        <v>0.44447999999999999</v>
      </c>
      <c r="G27" s="3">
        <f>Submetering!Z27+Submetering!AA27+Submetering!AB27</f>
        <v>833.49</v>
      </c>
      <c r="H27" s="238">
        <f t="shared" si="1"/>
        <v>3.6730769230769229</v>
      </c>
      <c r="I27" s="3">
        <f>Submetering!G27</f>
        <v>498</v>
      </c>
      <c r="J27">
        <v>13.83</v>
      </c>
      <c r="K27" s="3">
        <f>Submetering!I27</f>
        <v>74</v>
      </c>
      <c r="L27">
        <v>1.2</v>
      </c>
      <c r="M27" s="238">
        <f>Submetering!E27</f>
        <v>177.75</v>
      </c>
      <c r="N27">
        <f>Submetering!F27</f>
        <v>432</v>
      </c>
    </row>
    <row r="28" spans="1:14" x14ac:dyDescent="0.25">
      <c r="A28" t="s">
        <v>59</v>
      </c>
      <c r="B28">
        <f t="shared" si="0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41460.719999997877</v>
      </c>
      <c r="F28">
        <v>0.44447999999999999</v>
      </c>
      <c r="G28" s="3">
        <f>Submetering!Z28+Submetering!AA28+Submetering!AB28</f>
        <v>1185.03</v>
      </c>
      <c r="H28" s="238">
        <f t="shared" si="1"/>
        <v>3.6730769230769229</v>
      </c>
      <c r="I28" s="3">
        <f>Submetering!G28</f>
        <v>751</v>
      </c>
      <c r="J28">
        <v>13.83</v>
      </c>
      <c r="K28" s="3">
        <f>Submetering!I28</f>
        <v>250</v>
      </c>
      <c r="L28">
        <v>1.2</v>
      </c>
      <c r="M28" s="238">
        <f>Submetering!E28</f>
        <v>189.60000000000002</v>
      </c>
      <c r="N28">
        <f>Submetering!F28</f>
        <v>439</v>
      </c>
    </row>
    <row r="29" spans="1:14" x14ac:dyDescent="0.25">
      <c r="A29" t="s">
        <v>59</v>
      </c>
      <c r="B29">
        <f t="shared" si="0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43263.360000001267</v>
      </c>
      <c r="F29">
        <v>0.44447999999999999</v>
      </c>
      <c r="G29" s="3">
        <f>Submetering!Z29+Submetering!AA29+Submetering!AB29</f>
        <v>1182.9699000000064</v>
      </c>
      <c r="H29" s="238">
        <f t="shared" si="1"/>
        <v>3.6730769230769229</v>
      </c>
      <c r="I29" s="3">
        <f>Submetering!G29</f>
        <v>989</v>
      </c>
      <c r="J29">
        <v>13.83</v>
      </c>
      <c r="K29" s="3">
        <f>Submetering!I29</f>
        <v>347.5</v>
      </c>
      <c r="L29">
        <v>1.2</v>
      </c>
      <c r="M29" s="238">
        <f>Submetering!E29</f>
        <v>177.75</v>
      </c>
      <c r="N29">
        <f>Submetering!F29</f>
        <v>471</v>
      </c>
    </row>
    <row r="30" spans="1:14" x14ac:dyDescent="0.25">
      <c r="A30" t="s">
        <v>59</v>
      </c>
      <c r="B30">
        <f t="shared" si="0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37514.399999999441</v>
      </c>
      <c r="F30">
        <v>0.44447999999999999</v>
      </c>
      <c r="G30" s="3">
        <f>Submetering!Z30+Submetering!AA30+Submetering!AB30</f>
        <v>986.75009999999338</v>
      </c>
      <c r="H30" s="238">
        <f t="shared" si="1"/>
        <v>3.6730769230769229</v>
      </c>
      <c r="I30" s="3">
        <f>Submetering!G30</f>
        <v>769</v>
      </c>
      <c r="J30">
        <v>13.83</v>
      </c>
      <c r="K30" s="3">
        <f>Submetering!I30</f>
        <v>187.5</v>
      </c>
      <c r="L30">
        <v>1.2</v>
      </c>
      <c r="M30" s="238">
        <f>Submetering!E30</f>
        <v>191.97</v>
      </c>
      <c r="N30">
        <f>Submetering!F30</f>
        <v>460</v>
      </c>
    </row>
    <row r="31" spans="1:14" x14ac:dyDescent="0.25">
      <c r="A31" t="s">
        <v>59</v>
      </c>
      <c r="B31">
        <f t="shared" si="0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46381.440000002272</v>
      </c>
      <c r="F31">
        <v>0.44447999999999999</v>
      </c>
      <c r="G31" s="3">
        <f>Submetering!Z31+Submetering!AA31+Submetering!AB31</f>
        <v>1077.3</v>
      </c>
      <c r="H31" s="238">
        <f t="shared" si="1"/>
        <v>3.6730769230769229</v>
      </c>
      <c r="I31" s="3">
        <f>Submetering!G31</f>
        <v>828</v>
      </c>
      <c r="J31">
        <v>13.83</v>
      </c>
      <c r="K31" s="3">
        <f>Submetering!I31</f>
        <v>184</v>
      </c>
      <c r="L31">
        <v>1.2</v>
      </c>
      <c r="M31" s="238">
        <f>Submetering!E31</f>
        <v>199.07999999999998</v>
      </c>
      <c r="N31">
        <f>Submetering!F31</f>
        <v>447</v>
      </c>
    </row>
    <row r="32" spans="1:14" x14ac:dyDescent="0.25">
      <c r="A32" t="s">
        <v>59</v>
      </c>
      <c r="B32">
        <f t="shared" si="0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41165.11999999918</v>
      </c>
      <c r="F32">
        <v>0.44447999999999999</v>
      </c>
      <c r="G32" s="3">
        <f>Submetering!Z32+Submetering!AA32+Submetering!AB32</f>
        <v>1066.753799999969</v>
      </c>
      <c r="H32" s="238">
        <f t="shared" si="1"/>
        <v>3.6730769230769229</v>
      </c>
      <c r="I32" s="3">
        <f>Submetering!G32</f>
        <v>761</v>
      </c>
      <c r="J32">
        <v>13.83</v>
      </c>
      <c r="K32" s="3">
        <f>Submetering!I32</f>
        <v>3.5999999999767169</v>
      </c>
      <c r="L32">
        <v>1.2</v>
      </c>
      <c r="M32" s="238">
        <f>Submetering!E32</f>
        <v>208.56</v>
      </c>
      <c r="N32">
        <f>Submetering!F32</f>
        <v>457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E37" sqref="E3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237*0.81</f>
        <v>191.97</v>
      </c>
      <c r="F16" s="79">
        <f>307+42</f>
        <v>349</v>
      </c>
      <c r="G16" s="3">
        <f>'DJB Daily Readings'!C24-'DJB Daily Readings'!C23</f>
        <v>746</v>
      </c>
      <c r="H16" s="3">
        <f>'DJB Daily Readings'!F24-'DJB Daily Readings'!F23</f>
        <v>448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86.399999999994179</v>
      </c>
      <c r="L16" s="3">
        <f>'DJB Daily Readings'!R24-'DJB Daily Readings'!R23</f>
        <v>11</v>
      </c>
      <c r="M16" s="3">
        <f>'DJB Daily Readings'!U24-'DJB Daily Readings'!U23</f>
        <v>2192.4000000003725</v>
      </c>
      <c r="N16" s="3">
        <f>'DJB Daily Readings'!X24-'DJB Daily Readings'!X23</f>
        <v>4628.4000000003725</v>
      </c>
      <c r="O16" s="3">
        <f>'DJB Daily Readings'!AA24-'DJB Daily Readings'!AA23</f>
        <v>97.440000001341105</v>
      </c>
      <c r="P16" s="3">
        <f>'DJB Daily Readings'!AD24-'DJB Daily Readings'!AD23</f>
        <v>0</v>
      </c>
      <c r="Q16" s="3">
        <f>'DJB Daily Readings'!AG24-'DJB Daily Readings'!AG23</f>
        <v>10231.199999999255</v>
      </c>
      <c r="R16" s="3">
        <f>'DJB Daily Readings'!AJ24-'DJB Daily Readings'!AJ23</f>
        <v>5602.7999999988824</v>
      </c>
      <c r="S16" s="3">
        <f>'DJB Daily Readings'!AM24-'DJB Daily Readings'!AM23</f>
        <v>4579.679999999702</v>
      </c>
      <c r="T16" s="3">
        <f>'DJB Daily Readings'!AP24-'DJB Daily Readings'!AP23</f>
        <v>4384.7999999988824</v>
      </c>
      <c r="U16" s="3">
        <f>'DJB Daily Readings'!AS24-'DJB Daily Readings'!AS23</f>
        <v>3507.839999999851</v>
      </c>
      <c r="V16" s="3">
        <f>'DJB Daily Readings'!AV24-'DJB Daily Readings'!AV23</f>
        <v>5359.1999999992549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45700</v>
      </c>
      <c r="Z16" s="3">
        <f>('DJB Daily Readings'!CK24-'DJB Daily Readings'!CK23)*1.89</f>
        <v>200.34</v>
      </c>
      <c r="AA16" s="3">
        <f>('DJB Daily Readings'!CN24-'DJB Daily Readings'!CN23)*1.89</f>
        <v>221.13</v>
      </c>
      <c r="AB16" s="3">
        <f>('DJB Daily Readings'!CQ24-'DJB Daily Readings'!CQ23)*1.89</f>
        <v>415.79999999999995</v>
      </c>
      <c r="AC16" s="3">
        <f>'DJB Daily Readings'!CT24-'DJB Daily Readings'!CT23</f>
        <v>248</v>
      </c>
      <c r="AD16" s="84">
        <f>('DJB Daily Readings'!BY24-'DJB Daily Readings'!BY23)*1.89</f>
        <v>41.58</v>
      </c>
      <c r="AE16" s="84">
        <f>('DJB Daily Readings'!CA24-'DJB Daily Readings'!CA23)*1.89</f>
        <v>37.799999999999997</v>
      </c>
      <c r="AF16" s="84">
        <f>('DJB Daily Readings'!CC24-'DJB Daily Readings'!CC23)*1.89</f>
        <v>9.4499999999999993</v>
      </c>
      <c r="AG16" s="84">
        <f>('DJB Daily Readings'!CE24-'DJB Daily Readings'!CE23)*1.89</f>
        <v>24.57</v>
      </c>
      <c r="AH16" s="84">
        <f>('DJB Daily Readings'!CG24-'DJB Daily Readings'!CG23)*1.89</f>
        <v>30.24</v>
      </c>
      <c r="AI16" s="84">
        <f>('DJB Daily Readings'!CI24-'DJB Daily Readings'!CI23)*1.89</f>
        <v>41.58</v>
      </c>
      <c r="AJ16" s="81">
        <f>'DJB Daily Readings'!CY24-'DJB Daily Readings'!CY23</f>
        <v>9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</v>
      </c>
      <c r="AX16" s="82">
        <f>'DJB Daily Readings'!DZ24-'DJB Daily Readings'!DZ23</f>
        <v>7.5</v>
      </c>
      <c r="AY16" s="82">
        <f>'DJB Daily Readings'!EB24-'DJB Daily Readings'!EB23</f>
        <v>612</v>
      </c>
      <c r="AZ16" s="82">
        <f>'DJB Daily Readings'!ED24-'DJB Daily Readings'!ED23</f>
        <v>150.19999999998254</v>
      </c>
      <c r="BA16" s="82">
        <f>'DJB Daily Readings'!EG24-'DJB Daily Readings'!EG23</f>
        <v>3200</v>
      </c>
      <c r="BB16" s="82">
        <f>'DJB Daily Readings'!EI24-'DJB Daily Readings'!EI23</f>
        <v>230</v>
      </c>
      <c r="BC16" s="82">
        <f>'DJB Daily Readings'!EQ24-'DJB Daily Readings'!EQ23</f>
        <v>2100</v>
      </c>
      <c r="BD16" s="82">
        <f>'DJB Daily Readings'!EK24-'DJB Daily Readings'!EK23</f>
        <v>700</v>
      </c>
      <c r="BE16" s="82">
        <f>'DJB Daily Readings'!EM24-'DJB Daily Readings'!EM23</f>
        <v>400</v>
      </c>
      <c r="BF16" s="82">
        <f>'DJB Daily Readings'!EO24-'DJB Daily Readings'!EO23</f>
        <v>640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0.84*237</f>
        <v>199.07999999999998</v>
      </c>
      <c r="F17" s="79">
        <f>312+50</f>
        <v>362</v>
      </c>
      <c r="G17" s="3">
        <f>'DJB Daily Readings'!C25-'DJB Daily Readings'!C24</f>
        <v>744</v>
      </c>
      <c r="H17" s="3">
        <f>'DJB Daily Readings'!F25-'DJB Daily Readings'!F24</f>
        <v>453</v>
      </c>
      <c r="I17" s="3">
        <f>'DJB Daily Readings'!K25-'DJB Daily Readings'!K24</f>
        <v>191</v>
      </c>
      <c r="J17" s="3">
        <f>'DJB Daily Readings'!K25-'DJB Daily Readings'!K24</f>
        <v>191</v>
      </c>
      <c r="K17" s="3">
        <f>'DJB Daily Readings'!O25-'DJB Daily Readings'!O24</f>
        <v>84.400000000001455</v>
      </c>
      <c r="L17" s="3">
        <f>'DJB Daily Readings'!R25-'DJB Daily Readings'!R24</f>
        <v>11</v>
      </c>
      <c r="M17" s="3">
        <f>'DJB Daily Readings'!U25-'DJB Daily Readings'!U24</f>
        <v>2143.679999999702</v>
      </c>
      <c r="N17" s="3">
        <f>'DJB Daily Readings'!X25-'DJB Daily Readings'!X24</f>
        <v>4774.5600000005215</v>
      </c>
      <c r="O17" s="3">
        <f>'DJB Daily Readings'!AA25-'DJB Daily Readings'!AA24</f>
        <v>97.439999999478459</v>
      </c>
      <c r="P17" s="3">
        <f>'DJB Daily Readings'!AD25-'DJB Daily Readings'!AD24</f>
        <v>48.719999998807907</v>
      </c>
      <c r="Q17" s="3">
        <f>'DJB Daily Readings'!AG25-'DJB Daily Readings'!AG24</f>
        <v>10718.400000002235</v>
      </c>
      <c r="R17" s="3">
        <f>'DJB Daily Readings'!AJ25-'DJB Daily Readings'!AJ24</f>
        <v>5846.4000000003725</v>
      </c>
      <c r="S17" s="3">
        <f>'DJB Daily Readings'!AM25-'DJB Daily Readings'!AM24</f>
        <v>4336.0800000000745</v>
      </c>
      <c r="T17" s="3">
        <f>'DJB Daily Readings'!AP25-'DJB Daily Readings'!AP24</f>
        <v>4141.2000000011176</v>
      </c>
      <c r="U17" s="3">
        <f>'DJB Daily Readings'!AS25-'DJB Daily Readings'!AS24</f>
        <v>3410.4000000003725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45900</v>
      </c>
      <c r="Z17" s="3">
        <f>('DJB Daily Readings'!CK25-'DJB Daily Readings'!CK24)*1.89</f>
        <v>196.56</v>
      </c>
      <c r="AA17" s="3">
        <f>('DJB Daily Readings'!CN25-'DJB Daily Readings'!CN24)*1.89</f>
        <v>219.23999999999998</v>
      </c>
      <c r="AB17" s="3">
        <f>('DJB Daily Readings'!CQ25-'DJB Daily Readings'!CQ24)*1.89</f>
        <v>417.69</v>
      </c>
      <c r="AC17" s="3">
        <f>'DJB Daily Readings'!CT25-'DJB Daily Readings'!CT24</f>
        <v>243</v>
      </c>
      <c r="AD17" s="84">
        <f>('DJB Daily Readings'!BY25-'DJB Daily Readings'!BY24)*1.89</f>
        <v>39.69</v>
      </c>
      <c r="AE17" s="84">
        <f>('DJB Daily Readings'!CA25-'DJB Daily Readings'!CA24)*1.89</f>
        <v>35.909999999999997</v>
      </c>
      <c r="AF17" s="84">
        <f>('DJB Daily Readings'!CC25-'DJB Daily Readings'!CC24)*1.89</f>
        <v>11.34</v>
      </c>
      <c r="AG17" s="84">
        <f>('DJB Daily Readings'!CE25-'DJB Daily Readings'!CE24)*1.89</f>
        <v>22.68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10</v>
      </c>
      <c r="AK17" s="81">
        <f>'DJB Daily Readings'!CW25-'DJB Daily Readings'!CW24</f>
        <v>8</v>
      </c>
      <c r="AL17" s="82">
        <f>'DJB Daily Readings'!DC25-'DJB Daily Readings'!DC24</f>
        <v>16</v>
      </c>
      <c r="AM17" s="82">
        <f>'DJB Daily Readings'!DA25-'DJB Daily Readings'!DA24</f>
        <v>18</v>
      </c>
      <c r="AN17" s="82">
        <f>'DJB Daily Readings'!DG25-'DJB Daily Readings'!DG24</f>
        <v>9</v>
      </c>
      <c r="AO17" s="82">
        <f>'DJB Daily Readings'!DE25-'DJB Daily Readings'!DE24</f>
        <v>9</v>
      </c>
      <c r="AP17" s="82">
        <f>'DJB Daily Readings'!DK25-'DJB Daily Readings'!DK24</f>
        <v>16</v>
      </c>
      <c r="AQ17" s="82">
        <f>'DJB Daily Readings'!DI25-'DJB Daily Readings'!DI24</f>
        <v>10</v>
      </c>
      <c r="AR17" s="82">
        <f>'DJB Daily Readings'!DO25-'DJB Daily Readings'!DO24</f>
        <v>7</v>
      </c>
      <c r="AS17" s="82">
        <f>'DJB Daily Readings'!DM25-'DJB Daily Readings'!DM24</f>
        <v>3</v>
      </c>
      <c r="AT17" s="82">
        <f>'DJB Daily Readings'!DQ25-'DJB Daily Readings'!DQ24</f>
        <v>0</v>
      </c>
      <c r="AU17" s="82">
        <f>'DJB Daily Readings'!DT25-'DJB Daily Readings'!DT24</f>
        <v>9.1999999999998181</v>
      </c>
      <c r="AW17" s="82">
        <f>'DJB Daily Readings'!DX25-'DJB Daily Readings'!DX24</f>
        <v>6.3000000000001819</v>
      </c>
      <c r="AX17" s="82">
        <f>'DJB Daily Readings'!DZ25-'DJB Daily Readings'!DZ24</f>
        <v>8.0999999999999091</v>
      </c>
      <c r="AY17" s="82">
        <f>'DJB Daily Readings'!EB25-'DJB Daily Readings'!EB24</f>
        <v>597</v>
      </c>
      <c r="AZ17" s="82">
        <f>'DJB Daily Readings'!ED25-'DJB Daily Readings'!ED24</f>
        <v>156.30000000001746</v>
      </c>
      <c r="BA17" s="82">
        <f>'DJB Daily Readings'!EG25-'DJB Daily Readings'!EG24</f>
        <v>3100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700</v>
      </c>
      <c r="BE17" s="82">
        <f>'DJB Daily Readings'!EM25-'DJB Daily Readings'!EM24</f>
        <v>500</v>
      </c>
      <c r="BF17" s="82">
        <f>'DJB Daily Readings'!EO25-'DJB Daily Readings'!EO24</f>
        <v>590</v>
      </c>
      <c r="BG17" s="82">
        <f>('DJB Daily Readings'!ET25-'DJB Daily Readings'!ET24)*1.89</f>
        <v>30.24</v>
      </c>
      <c r="BH17" s="82">
        <f>('DJB Daily Readings'!EV25-'DJB Daily Readings'!EV24)*1.89</f>
        <v>26.459999999999997</v>
      </c>
      <c r="BI17" s="82">
        <f>('DJB Daily Readings'!EZ25-'DJB Daily Readings'!EZ24)*1.89</f>
        <v>32.129999999999995</v>
      </c>
      <c r="BJ17" s="82">
        <f>('DJB Daily Readings'!EX25-'DJB Daily Readings'!EX24)*1.89</f>
        <v>22.68</v>
      </c>
      <c r="BK17" s="82">
        <f>('DJB Daily Readings'!FB25-'DJB Daily Readings'!FB24)*1.89</f>
        <v>58.589999999999996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>
        <f>237*0.76</f>
        <v>180.12</v>
      </c>
      <c r="F18" s="79">
        <f>299+64</f>
        <v>363</v>
      </c>
      <c r="G18" s="3">
        <f>'DJB Daily Readings'!C26-'DJB Daily Readings'!C25</f>
        <v>717</v>
      </c>
      <c r="H18" s="3">
        <f>'DJB Daily Readings'!F26-'DJB Daily Readings'!F25</f>
        <v>457</v>
      </c>
      <c r="I18" s="3">
        <f>'DJB Daily Readings'!K26-'DJB Daily Readings'!K25</f>
        <v>174</v>
      </c>
      <c r="J18" s="3">
        <f>'DJB Daily Readings'!K26-'DJB Daily Readings'!K25</f>
        <v>174</v>
      </c>
      <c r="K18" s="3">
        <f>'DJB Daily Readings'!O26-'DJB Daily Readings'!O25</f>
        <v>87.980000000003201</v>
      </c>
      <c r="L18" s="3">
        <f>'DJB Daily Readings'!R26-'DJB Daily Readings'!R25</f>
        <v>12</v>
      </c>
      <c r="M18" s="3">
        <f>'DJB Daily Readings'!U26-'DJB Daily Readings'!U25</f>
        <v>1900.0800000000745</v>
      </c>
      <c r="N18" s="3">
        <f>'DJB Daily Readings'!X26-'DJB Daily Readings'!X25</f>
        <v>4677.1199999991804</v>
      </c>
      <c r="O18" s="3">
        <f>'DJB Daily Readings'!AA26-'DJB Daily Readings'!AA25</f>
        <v>97.440000001341105</v>
      </c>
      <c r="P18" s="3">
        <f>'DJB Daily Readings'!AD26-'DJB Daily Readings'!AD25</f>
        <v>48.719999998807907</v>
      </c>
      <c r="Q18" s="3">
        <f>'DJB Daily Readings'!AG26-'DJB Daily Readings'!AG25</f>
        <v>10864.560000002384</v>
      </c>
      <c r="R18" s="3">
        <f>'DJB Daily Readings'!AJ26-'DJB Daily Readings'!AJ25</f>
        <v>5651.5200000014156</v>
      </c>
      <c r="S18" s="3">
        <f>'DJB Daily Readings'!AM26-'DJB Daily Readings'!AM25</f>
        <v>4579.679999999702</v>
      </c>
      <c r="T18" s="3">
        <f>'DJB Daily Readings'!AP26-'DJB Daily Readings'!AP25</f>
        <v>4189.9199999980628</v>
      </c>
      <c r="U18" s="3">
        <f>'DJB Daily Readings'!AS26-'DJB Daily Readings'!AS25</f>
        <v>3556.5599999986589</v>
      </c>
      <c r="V18" s="3">
        <f>'DJB Daily Readings'!AV26-'DJB Daily Readings'!AV25</f>
        <v>5554.0800000000745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46300</v>
      </c>
      <c r="Z18" s="3">
        <f>('DJB Daily Readings'!CK26-'DJB Daily Readings'!CK25)*1.89</f>
        <v>200.34</v>
      </c>
      <c r="AA18" s="3">
        <f>('DJB Daily Readings'!CN26-'DJB Daily Readings'!CN25)*1.89</f>
        <v>232.47</v>
      </c>
      <c r="AB18" s="3">
        <f>('DJB Daily Readings'!CQ26-'DJB Daily Readings'!CQ25)*1.89</f>
        <v>421.46999999999997</v>
      </c>
      <c r="AC18" s="3">
        <f>'DJB Daily Readings'!CT26-'DJB Daily Readings'!CT25</f>
        <v>249</v>
      </c>
      <c r="AD18" s="84">
        <f>('DJB Daily Readings'!BY26-'DJB Daily Readings'!BY25)*1.89</f>
        <v>37.799999999999997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34.019999999999996</v>
      </c>
      <c r="AI18" s="84">
        <f>('DJB Daily Readings'!CI26-'DJB Daily Readings'!CI25)*1.89</f>
        <v>47.25</v>
      </c>
      <c r="AJ18" s="81">
        <f>'DJB Daily Readings'!CY26-'DJB Daily Readings'!CY25</f>
        <v>8</v>
      </c>
      <c r="AK18" s="81">
        <f>'DJB Daily Readings'!CW26-'DJB Daily Readings'!CW25</f>
        <v>10</v>
      </c>
      <c r="AL18" s="82">
        <f>'DJB Daily Readings'!DC26-'DJB Daily Readings'!DC25</f>
        <v>20</v>
      </c>
      <c r="AM18" s="82">
        <f>'DJB Daily Readings'!DA26-'DJB Daily Readings'!DA25</f>
        <v>13</v>
      </c>
      <c r="AN18" s="82">
        <f>'DJB Daily Readings'!DG26-'DJB Daily Readings'!DG25</f>
        <v>9</v>
      </c>
      <c r="AO18" s="82">
        <f>'DJB Daily Readings'!DE26-'DJB Daily Readings'!DE25</f>
        <v>9</v>
      </c>
      <c r="AP18" s="82">
        <f>'DJB Daily Readings'!DK26-'DJB Daily Readings'!DK25</f>
        <v>16</v>
      </c>
      <c r="AQ18" s="82">
        <f>'DJB Daily Readings'!DI26-'DJB Daily Readings'!DI25</f>
        <v>10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3</v>
      </c>
      <c r="AU18" s="82">
        <f>'DJB Daily Readings'!DT26-'DJB Daily Readings'!DT25</f>
        <v>9.4000000000000909</v>
      </c>
      <c r="AW18" s="82">
        <f>'DJB Daily Readings'!DX26-'DJB Daily Readings'!DX25</f>
        <v>6</v>
      </c>
      <c r="AX18" s="82">
        <f>'DJB Daily Readings'!DZ26-'DJB Daily Readings'!DZ25</f>
        <v>8.3000000000001819</v>
      </c>
      <c r="AY18" s="82">
        <f>'DJB Daily Readings'!EB26-'DJB Daily Readings'!EB25</f>
        <v>593</v>
      </c>
      <c r="AZ18" s="82">
        <f>'DJB Daily Readings'!ED26-'DJB Daily Readings'!ED25</f>
        <v>154.79999999998836</v>
      </c>
      <c r="BA18" s="82">
        <f>'DJB Daily Readings'!EG26-'DJB Daily Readings'!EG25</f>
        <v>3900</v>
      </c>
      <c r="BB18" s="82">
        <f>'DJB Daily Readings'!EI26-'DJB Daily Readings'!EI25</f>
        <v>300</v>
      </c>
      <c r="BC18" s="82">
        <f>'DJB Daily Readings'!EQ26-'DJB Daily Readings'!EQ25</f>
        <v>2300</v>
      </c>
      <c r="BD18" s="82">
        <f>'DJB Daily Readings'!EK26-'DJB Daily Readings'!EK25</f>
        <v>800</v>
      </c>
      <c r="BE18" s="82">
        <f>'DJB Daily Readings'!EM26-'DJB Daily Readings'!EM25</f>
        <v>400</v>
      </c>
      <c r="BF18" s="82">
        <f>'DJB Daily Readings'!EO26-'DJB Daily Readings'!EO25</f>
        <v>750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34.019999999999996</v>
      </c>
      <c r="BJ18" s="82">
        <f>('DJB Daily Readings'!EX26-'DJB Daily Readings'!EX25)*1.89</f>
        <v>30.24</v>
      </c>
      <c r="BK18" s="82">
        <f>('DJB Daily Readings'!FB26-'DJB Daily Readings'!FB25)*1.89</f>
        <v>64.259999999999991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>
        <f>0.72*237</f>
        <v>170.64</v>
      </c>
      <c r="F19" s="79">
        <f>289+80</f>
        <v>369</v>
      </c>
      <c r="G19" s="3">
        <f>'DJB Daily Readings'!C27-'DJB Daily Readings'!C26</f>
        <v>697</v>
      </c>
      <c r="H19" s="3">
        <f>'DJB Daily Readings'!F27-'DJB Daily Readings'!F26</f>
        <v>460</v>
      </c>
      <c r="I19" s="3">
        <f>'DJB Daily Readings'!K27-'DJB Daily Readings'!K26</f>
        <v>195</v>
      </c>
      <c r="J19" s="3">
        <f>'DJB Daily Readings'!K27-'DJB Daily Readings'!K26</f>
        <v>195</v>
      </c>
      <c r="K19" s="3">
        <f>'DJB Daily Readings'!O27-'DJB Daily Readings'!O26</f>
        <v>77.739999999997963</v>
      </c>
      <c r="L19" s="3">
        <f>'DJB Daily Readings'!R27-'DJB Daily Readings'!R26</f>
        <v>9</v>
      </c>
      <c r="M19" s="3">
        <f>'DJB Daily Readings'!U27-'DJB Daily Readings'!U26</f>
        <v>2971.9199999999255</v>
      </c>
      <c r="N19" s="3">
        <f>'DJB Daily Readings'!X27-'DJB Daily Readings'!X26</f>
        <v>4823.2800000011921</v>
      </c>
      <c r="O19" s="3">
        <f>'DJB Daily Readings'!AA27-'DJB Daily Readings'!AA26</f>
        <v>194.87999999895692</v>
      </c>
      <c r="P19" s="3">
        <f>'DJB Daily Readings'!AD27-'DJB Daily Readings'!AD26</f>
        <v>48.720000002533197</v>
      </c>
      <c r="Q19" s="3">
        <f>'DJB Daily Readings'!AG27-'DJB Daily Readings'!AG26</f>
        <v>9061.9199999980628</v>
      </c>
      <c r="R19" s="3">
        <f>'DJB Daily Readings'!AJ27-'DJB Daily Readings'!AJ26</f>
        <v>5846.4000000003725</v>
      </c>
      <c r="S19" s="3">
        <f>'DJB Daily Readings'!AM27-'DJB Daily Readings'!AM26</f>
        <v>4579.679999999702</v>
      </c>
      <c r="T19" s="3">
        <f>'DJB Daily Readings'!AP27-'DJB Daily Readings'!AP26</f>
        <v>4336.0800000019372</v>
      </c>
      <c r="U19" s="3">
        <f>'DJB Daily Readings'!AS27-'DJB Daily Readings'!AS26</f>
        <v>3361.679999999702</v>
      </c>
      <c r="V19" s="3">
        <f>'DJB Daily Readings'!AV27-'DJB Daily Readings'!AV26</f>
        <v>5602.8000000007451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42800</v>
      </c>
      <c r="Z19" s="3">
        <f>('DJB Daily Readings'!CK27-'DJB Daily Readings'!CK26)*1.89</f>
        <v>200.34</v>
      </c>
      <c r="AA19" s="3">
        <f>('DJB Daily Readings'!CN27-'DJB Daily Readings'!CN26)*1.89</f>
        <v>226.79999999999998</v>
      </c>
      <c r="AB19" s="3">
        <f>('DJB Daily Readings'!CQ27-'DJB Daily Readings'!CQ26)*1.89</f>
        <v>427.14</v>
      </c>
      <c r="AC19" s="3">
        <f>'DJB Daily Readings'!CT27-'DJB Daily Readings'!CT26</f>
        <v>248</v>
      </c>
      <c r="AD19" s="84">
        <f>('DJB Daily Readings'!BY27-'DJB Daily Readings'!BY26)*1.89</f>
        <v>37.799999999999997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47.25</v>
      </c>
      <c r="AJ19" s="81">
        <f>'DJB Daily Readings'!CY27-'DJB Daily Readings'!CY26</f>
        <v>8</v>
      </c>
      <c r="AK19" s="81">
        <f>'DJB Daily Readings'!CW27-'DJB Daily Readings'!CW26</f>
        <v>8</v>
      </c>
      <c r="AL19" s="82">
        <f>'DJB Daily Readings'!DC27-'DJB Daily Readings'!DC26</f>
        <v>18</v>
      </c>
      <c r="AM19" s="82">
        <f>'DJB Daily Readings'!DA27-'DJB Daily Readings'!DA26</f>
        <v>15</v>
      </c>
      <c r="AN19" s="82">
        <f>'DJB Daily Readings'!DG27-'DJB Daily Readings'!DG26</f>
        <v>9</v>
      </c>
      <c r="AO19" s="82">
        <f>'DJB Daily Readings'!DE27-'DJB Daily Readings'!DE26</f>
        <v>9</v>
      </c>
      <c r="AP19" s="82">
        <f>'DJB Daily Readings'!DK27-'DJB Daily Readings'!DK26</f>
        <v>13</v>
      </c>
      <c r="AQ19" s="82">
        <f>'DJB Daily Readings'!DI27-'DJB Daily Readings'!DI26</f>
        <v>9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8.2000000000002728</v>
      </c>
      <c r="AW19" s="82">
        <f>'DJB Daily Readings'!DX27-'DJB Daily Readings'!DX26</f>
        <v>6.4000000000000909</v>
      </c>
      <c r="AX19" s="82">
        <f>'DJB Daily Readings'!DZ27-'DJB Daily Readings'!DZ26</f>
        <v>7.0999999999999091</v>
      </c>
      <c r="AY19" s="82">
        <f>'DJB Daily Readings'!EB27-'DJB Daily Readings'!EB26</f>
        <v>585</v>
      </c>
      <c r="AZ19" s="82">
        <f>'DJB Daily Readings'!ED27-'DJB Daily Readings'!ED26</f>
        <v>152</v>
      </c>
      <c r="BA19" s="82">
        <f>'DJB Daily Readings'!EG27-'DJB Daily Readings'!EG26</f>
        <v>2400</v>
      </c>
      <c r="BB19" s="82">
        <f>'DJB Daily Readings'!EI27-'DJB Daily Readings'!EI26</f>
        <v>250</v>
      </c>
      <c r="BC19" s="82">
        <f>'DJB Daily Readings'!EQ27-'DJB Daily Readings'!EQ26</f>
        <v>1500</v>
      </c>
      <c r="BD19" s="82">
        <f>'DJB Daily Readings'!EK27-'DJB Daily Readings'!EK26</f>
        <v>600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30.24</v>
      </c>
      <c r="BJ19" s="82">
        <f>('DJB Daily Readings'!EX27-'DJB Daily Readings'!EX26)*1.89</f>
        <v>28.349999999999998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>
        <f>0.72*237</f>
        <v>170.64</v>
      </c>
      <c r="F20" s="79">
        <f>277+98</f>
        <v>375</v>
      </c>
      <c r="G20" s="3">
        <f>'DJB Daily Readings'!C28-'DJB Daily Readings'!C27</f>
        <v>677</v>
      </c>
      <c r="H20" s="3">
        <f>'DJB Daily Readings'!F28-'DJB Daily Readings'!F27</f>
        <v>413</v>
      </c>
      <c r="I20" s="3">
        <f>'DJB Daily Readings'!K28-'DJB Daily Readings'!K27</f>
        <v>169</v>
      </c>
      <c r="J20" s="3">
        <f>'DJB Daily Readings'!K28-'DJB Daily Readings'!K27</f>
        <v>169</v>
      </c>
      <c r="K20" s="3">
        <f>'DJB Daily Readings'!O28-'DJB Daily Readings'!O27</f>
        <v>81.569999999999709</v>
      </c>
      <c r="L20" s="3">
        <f>'DJB Daily Readings'!R28-'DJB Daily Readings'!R27</f>
        <v>13</v>
      </c>
      <c r="M20" s="3">
        <f>'DJB Daily Readings'!U28-'DJB Daily Readings'!U27</f>
        <v>2874.4799999995157</v>
      </c>
      <c r="N20" s="3">
        <f>'DJB Daily Readings'!X28-'DJB Daily Readings'!X27</f>
        <v>4677.1199999991804</v>
      </c>
      <c r="O20" s="3">
        <f>'DJB Daily Readings'!AA28-'DJB Daily Readings'!AA27</f>
        <v>243.59999999962747</v>
      </c>
      <c r="P20" s="3">
        <f>'DJB Daily Readings'!AD28-'DJB Daily Readings'!AD27</f>
        <v>48.720000000670552</v>
      </c>
      <c r="Q20" s="3">
        <f>'DJB Daily Readings'!AG28-'DJB Daily Readings'!AG27</f>
        <v>8769.6000000014901</v>
      </c>
      <c r="R20" s="3">
        <f>'DJB Daily Readings'!AJ28-'DJB Daily Readings'!AJ27</f>
        <v>5310.4799999985844</v>
      </c>
      <c r="S20" s="3">
        <f>'DJB Daily Readings'!AM28-'DJB Daily Readings'!AM27</f>
        <v>4384.8000000007451</v>
      </c>
      <c r="T20" s="3">
        <f>'DJB Daily Readings'!AP28-'DJB Daily Readings'!AP27</f>
        <v>4189.9199999980628</v>
      </c>
      <c r="U20" s="3">
        <f>'DJB Daily Readings'!AS28-'DJB Daily Readings'!AS27</f>
        <v>3410.4000000003725</v>
      </c>
      <c r="V20" s="3">
        <f>'DJB Daily Readings'!AV28-'DJB Daily Readings'!AV27</f>
        <v>5261.7599999997765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43700</v>
      </c>
      <c r="Z20" s="3">
        <f>('DJB Daily Readings'!CK28-'DJB Daily Readings'!CK27)*1.89</f>
        <v>196.56</v>
      </c>
      <c r="AA20" s="3">
        <f>('DJB Daily Readings'!CN28-'DJB Daily Readings'!CN27)*1.89</f>
        <v>223.01999999999998</v>
      </c>
      <c r="AB20" s="3">
        <f>('DJB Daily Readings'!CQ28-'DJB Daily Readings'!CQ27)*1.89</f>
        <v>408.23999999999995</v>
      </c>
      <c r="AC20" s="3">
        <f>'DJB Daily Readings'!CT28-'DJB Daily Readings'!CT27</f>
        <v>243</v>
      </c>
      <c r="AD20" s="84">
        <f>('DJB Daily Readings'!BY28-'DJB Daily Readings'!BY27)*1.89</f>
        <v>37.799999999999997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24.57</v>
      </c>
      <c r="AH20" s="84">
        <f>('DJB Daily Readings'!CG28-'DJB Daily Readings'!CG27)*1.89</f>
        <v>26.459999999999997</v>
      </c>
      <c r="AI20" s="84">
        <f>('DJB Daily Readings'!CI28-'DJB Daily Readings'!CI27)*1.89</f>
        <v>45.36</v>
      </c>
      <c r="AJ20" s="81">
        <f>'DJB Daily Readings'!CY28-'DJB Daily Readings'!CY27</f>
        <v>4</v>
      </c>
      <c r="AK20" s="81">
        <f>'DJB Daily Readings'!CW28-'DJB Daily Readings'!CW27</f>
        <v>8</v>
      </c>
      <c r="AL20" s="82">
        <f>'DJB Daily Readings'!DC28-'DJB Daily Readings'!DC27</f>
        <v>18</v>
      </c>
      <c r="AM20" s="82">
        <f>'DJB Daily Readings'!DA28-'DJB Daily Readings'!DA27</f>
        <v>15</v>
      </c>
      <c r="AN20" s="82">
        <f>'DJB Daily Readings'!DG28-'DJB Daily Readings'!DG27</f>
        <v>9</v>
      </c>
      <c r="AO20" s="82">
        <f>'DJB Daily Readings'!DE28-'DJB Daily Readings'!DE27</f>
        <v>9</v>
      </c>
      <c r="AP20" s="82">
        <f>'DJB Daily Readings'!DK28-'DJB Daily Readings'!DK27</f>
        <v>13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9.0999999999999091</v>
      </c>
      <c r="AW20" s="82">
        <f>'DJB Daily Readings'!DX28-'DJB Daily Readings'!DX27</f>
        <v>6.4000000000000909</v>
      </c>
      <c r="AX20" s="82">
        <f>'DJB Daily Readings'!DZ28-'DJB Daily Readings'!DZ27</f>
        <v>7.8000000000001819</v>
      </c>
      <c r="AY20" s="82">
        <f>'DJB Daily Readings'!EB28-'DJB Daily Readings'!EB27</f>
        <v>555</v>
      </c>
      <c r="AZ20" s="82">
        <f>'DJB Daily Readings'!ED28-'DJB Daily Readings'!ED27</f>
        <v>154.20000000001164</v>
      </c>
      <c r="BA20" s="82">
        <f>'DJB Daily Readings'!EG28-'DJB Daily Readings'!EG27</f>
        <v>3300</v>
      </c>
      <c r="BB20" s="82">
        <f>'DJB Daily Readings'!EI28-'DJB Daily Readings'!EI27</f>
        <v>280</v>
      </c>
      <c r="BC20" s="82">
        <f>'DJB Daily Readings'!EQ28-'DJB Daily Readings'!EQ27</f>
        <v>1500</v>
      </c>
      <c r="BD20" s="82">
        <f>'DJB Daily Readings'!EK28-'DJB Daily Readings'!EK27</f>
        <v>800</v>
      </c>
      <c r="BE20" s="82">
        <f>'DJB Daily Readings'!EM28-'DJB Daily Readings'!EM27</f>
        <v>300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18.899999999999999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>
        <f>0.74*237</f>
        <v>175.38</v>
      </c>
      <c r="F21" s="79">
        <f>289+96</f>
        <v>385</v>
      </c>
      <c r="G21" s="3">
        <f>'DJB Daily Readings'!C29-'DJB Daily Readings'!C28</f>
        <v>714</v>
      </c>
      <c r="H21" s="3">
        <f>'DJB Daily Readings'!F29-'DJB Daily Readings'!F28</f>
        <v>436</v>
      </c>
      <c r="I21" s="3">
        <f>'DJB Daily Readings'!K29-'DJB Daily Readings'!K28</f>
        <v>182</v>
      </c>
      <c r="J21" s="3">
        <f>'DJB Daily Readings'!K29-'DJB Daily Readings'!K28</f>
        <v>182</v>
      </c>
      <c r="K21" s="3">
        <f>'DJB Daily Readings'!O29-'DJB Daily Readings'!O28</f>
        <v>78.590000000003783</v>
      </c>
      <c r="L21" s="3">
        <f>'DJB Daily Readings'!R29-'DJB Daily Readings'!R28</f>
        <v>9</v>
      </c>
      <c r="M21" s="3">
        <f>'DJB Daily Readings'!U29-'DJB Daily Readings'!U28</f>
        <v>3069.3600000003353</v>
      </c>
      <c r="N21" s="3">
        <f>'DJB Daily Readings'!X29-'DJB Daily Readings'!X28</f>
        <v>4774.5600000005215</v>
      </c>
      <c r="O21" s="3">
        <f>'DJB Daily Readings'!AA29-'DJB Daily Readings'!AA28</f>
        <v>194.88000000081956</v>
      </c>
      <c r="P21" s="3">
        <f>'DJB Daily Readings'!AD29-'DJB Daily Readings'!AD28</f>
        <v>0</v>
      </c>
      <c r="Q21" s="3">
        <f>'DJB Daily Readings'!AG29-'DJB Daily Readings'!AG28</f>
        <v>9402.9599999971688</v>
      </c>
      <c r="R21" s="3">
        <f>'DJB Daily Readings'!AJ29-'DJB Daily Readings'!AJ28</f>
        <v>5895.1200000010431</v>
      </c>
      <c r="S21" s="3">
        <f>'DJB Daily Readings'!AM29-'DJB Daily Readings'!AM28</f>
        <v>4384.7999999988824</v>
      </c>
      <c r="T21" s="3">
        <f>'DJB Daily Readings'!AP29-'DJB Daily Readings'!AP28</f>
        <v>4141.2000000011176</v>
      </c>
      <c r="U21" s="3">
        <f>'DJB Daily Readings'!AS29-'DJB Daily Readings'!AS28</f>
        <v>3020.6399999987334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44100</v>
      </c>
      <c r="Z21" s="3">
        <f>('DJB Daily Readings'!CK29-'DJB Daily Readings'!CK28)*1.89</f>
        <v>198.45</v>
      </c>
      <c r="AA21" s="3">
        <f>('DJB Daily Readings'!CN29-'DJB Daily Readings'!CN28)*1.89</f>
        <v>223.01999999999998</v>
      </c>
      <c r="AB21" s="3">
        <f>('DJB Daily Readings'!CQ29-'DJB Daily Readings'!CQ28)*1.89</f>
        <v>423.35999999999996</v>
      </c>
      <c r="AC21" s="3">
        <f>'DJB Daily Readings'!CT29-'DJB Daily Readings'!CT28</f>
        <v>245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43.47</v>
      </c>
      <c r="AJ21" s="81">
        <f>'DJB Daily Readings'!CY29-'DJB Daily Readings'!CY28</f>
        <v>2</v>
      </c>
      <c r="AK21" s="81">
        <f>'DJB Daily Readings'!CW29-'DJB Daily Readings'!CW28</f>
        <v>4</v>
      </c>
      <c r="AL21" s="82">
        <f>'DJB Daily Readings'!DC29-'DJB Daily Readings'!DC28</f>
        <v>13</v>
      </c>
      <c r="AM21" s="82">
        <f>'DJB Daily Readings'!DA29-'DJB Daily Readings'!DA28</f>
        <v>16</v>
      </c>
      <c r="AN21" s="82">
        <f>'DJB Daily Readings'!DG29-'DJB Daily Readings'!DG28</f>
        <v>8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2</v>
      </c>
      <c r="AR21" s="82">
        <f>'DJB Daily Readings'!DO29-'DJB Daily Readings'!DO28</f>
        <v>1</v>
      </c>
      <c r="AS21" s="82">
        <f>'DJB Daily Readings'!DM29-'DJB Daily Readings'!DM28</f>
        <v>12</v>
      </c>
      <c r="AT21" s="82">
        <f>'DJB Daily Readings'!DQ29-'DJB Daily Readings'!DQ28</f>
        <v>9</v>
      </c>
      <c r="AU21" s="82">
        <f>'DJB Daily Readings'!DT29-'DJB Daily Readings'!DT28</f>
        <v>9.5</v>
      </c>
      <c r="AW21" s="82">
        <f>'DJB Daily Readings'!DX29-'DJB Daily Readings'!DX28</f>
        <v>6.1999999999998181</v>
      </c>
      <c r="AX21" s="82">
        <f>'DJB Daily Readings'!DZ29-'DJB Daily Readings'!DZ28</f>
        <v>7.6999999999998181</v>
      </c>
      <c r="AY21" s="82">
        <f>'DJB Daily Readings'!EB29-'DJB Daily Readings'!EB28</f>
        <v>578</v>
      </c>
      <c r="AZ21" s="82">
        <f>'DJB Daily Readings'!ED29-'DJB Daily Readings'!ED28</f>
        <v>149.29999999998836</v>
      </c>
      <c r="BA21" s="82">
        <f>'DJB Daily Readings'!EG29-'DJB Daily Readings'!EG28</f>
        <v>3100</v>
      </c>
      <c r="BB21" s="82">
        <f>'DJB Daily Readings'!EI29-'DJB Daily Readings'!EI28</f>
        <v>280</v>
      </c>
      <c r="BC21" s="82">
        <f>'DJB Daily Readings'!EQ29-'DJB Daily Readings'!EQ28</f>
        <v>1700</v>
      </c>
      <c r="BD21" s="82">
        <f>'DJB Daily Readings'!EK29-'DJB Daily Readings'!EK28</f>
        <v>600</v>
      </c>
      <c r="BE21" s="82">
        <f>'DJB Daily Readings'!EM29-'DJB Daily Readings'!EM28</f>
        <v>400</v>
      </c>
      <c r="BF21" s="82">
        <f>'DJB Daily Readings'!EO29-'DJB Daily Readings'!EO28</f>
        <v>680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20.79</v>
      </c>
      <c r="BK21" s="82">
        <f>('DJB Daily Readings'!FB29-'DJB Daily Readings'!FB28)*1.89</f>
        <v>64.259999999999991</v>
      </c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>
        <f>237*0.81</f>
        <v>191.97</v>
      </c>
      <c r="F22" s="79">
        <f>312+101</f>
        <v>413</v>
      </c>
      <c r="G22" s="3">
        <f>'DJB Daily Readings'!C30-'DJB Daily Readings'!C29</f>
        <v>770</v>
      </c>
      <c r="H22" s="3">
        <f>'DJB Daily Readings'!F30-'DJB Daily Readings'!F29</f>
        <v>455</v>
      </c>
      <c r="I22" s="3">
        <f>'DJB Daily Readings'!K30-'DJB Daily Readings'!K29</f>
        <v>174</v>
      </c>
      <c r="J22" s="3">
        <f>'DJB Daily Readings'!K30-'DJB Daily Readings'!K29</f>
        <v>174</v>
      </c>
      <c r="K22" s="3">
        <f>'DJB Daily Readings'!O30-'DJB Daily Readings'!O29</f>
        <v>88.57999999999447</v>
      </c>
      <c r="L22" s="3">
        <f>'DJB Daily Readings'!R30-'DJB Daily Readings'!R29</f>
        <v>12</v>
      </c>
      <c r="M22" s="3">
        <f>'DJB Daily Readings'!U30-'DJB Daily Readings'!U29</f>
        <v>2971.9199999999255</v>
      </c>
      <c r="N22" s="3">
        <f>'DJB Daily Readings'!X30-'DJB Daily Readings'!X29</f>
        <v>4774.5599999986589</v>
      </c>
      <c r="O22" s="3">
        <f>'DJB Daily Readings'!AA30-'DJB Daily Readings'!AA29</f>
        <v>243.59999999962747</v>
      </c>
      <c r="P22" s="3">
        <f>'DJB Daily Readings'!AD30-'DJB Daily Readings'!AD29</f>
        <v>48.719999998807907</v>
      </c>
      <c r="Q22" s="3">
        <f>'DJB Daily Readings'!AG30-'DJB Daily Readings'!AG29</f>
        <v>9402.9600000008941</v>
      </c>
      <c r="R22" s="3">
        <f>'DJB Daily Readings'!AJ30-'DJB Daily Readings'!AJ29</f>
        <v>5846.4000000003725</v>
      </c>
      <c r="S22" s="3">
        <f>'DJB Daily Readings'!AM30-'DJB Daily Readings'!AM29</f>
        <v>4433.519999999553</v>
      </c>
      <c r="T22" s="3">
        <f>'DJB Daily Readings'!AP30-'DJB Daily Readings'!AP29</f>
        <v>4287.359999999404</v>
      </c>
      <c r="U22" s="3">
        <f>'DJB Daily Readings'!AS30-'DJB Daily Readings'!AS29</f>
        <v>3215.5200000014156</v>
      </c>
      <c r="V22" s="3">
        <f>'DJB Daily Readings'!AV30-'DJB Daily Readings'!AV29</f>
        <v>5359.2000000011176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46000</v>
      </c>
      <c r="Z22" s="3">
        <f>('DJB Daily Readings'!CK30-'DJB Daily Readings'!CK29)*1.89</f>
        <v>198.45</v>
      </c>
      <c r="AA22" s="3">
        <f>('DJB Daily Readings'!CN30-'DJB Daily Readings'!CN29)*1.89</f>
        <v>221.13</v>
      </c>
      <c r="AB22" s="3">
        <f>('DJB Daily Readings'!CQ30-'DJB Daily Readings'!CQ29)*1.89</f>
        <v>421.46999999999997</v>
      </c>
      <c r="AC22" s="3">
        <f>'DJB Daily Readings'!CT30-'DJB Daily Readings'!CT29</f>
        <v>248</v>
      </c>
      <c r="AD22" s="84">
        <f>('DJB Daily Readings'!BY30-'DJB Daily Readings'!BY29)*1.89</f>
        <v>35.909999999999997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17.009999999999998</v>
      </c>
      <c r="AH22" s="84">
        <f>('DJB Daily Readings'!CG30-'DJB Daily Readings'!CG29)*1.89</f>
        <v>18.899999999999999</v>
      </c>
      <c r="AI22" s="84">
        <f>('DJB Daily Readings'!CI30-'DJB Daily Readings'!CI29)*1.89</f>
        <v>52.919999999999995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16</v>
      </c>
      <c r="AM22" s="82">
        <f>'DJB Daily Readings'!DA30-'DJB Daily Readings'!DA29</f>
        <v>15</v>
      </c>
      <c r="AN22" s="82">
        <f>'DJB Daily Readings'!DG30-'DJB Daily Readings'!DG29</f>
        <v>10</v>
      </c>
      <c r="AO22" s="82">
        <f>'DJB Daily Readings'!DE30-'DJB Daily Readings'!DE29</f>
        <v>9</v>
      </c>
      <c r="AP22" s="82">
        <f>'DJB Daily Readings'!DK30-'DJB Daily Readings'!DK29</f>
        <v>11</v>
      </c>
      <c r="AQ22" s="82">
        <f>'DJB Daily Readings'!DI30-'DJB Daily Readings'!DI29</f>
        <v>13</v>
      </c>
      <c r="AR22" s="82">
        <f>'DJB Daily Readings'!DO30-'DJB Daily Readings'!DO29</f>
        <v>7</v>
      </c>
      <c r="AS22" s="82">
        <f>'DJB Daily Readings'!DM30-'DJB Daily Readings'!DM29</f>
        <v>4</v>
      </c>
      <c r="AT22" s="82">
        <f>'DJB Daily Readings'!DQ30-'DJB Daily Readings'!DQ29</f>
        <v>5</v>
      </c>
      <c r="AU22" s="82">
        <f>'DJB Daily Readings'!DT30-'DJB Daily Readings'!DT29</f>
        <v>9.1999999999998181</v>
      </c>
      <c r="AW22" s="82">
        <f>'DJB Daily Readings'!DX30-'DJB Daily Readings'!DX29</f>
        <v>5.9000000000000909</v>
      </c>
      <c r="AX22" s="82">
        <f>'DJB Daily Readings'!DZ30-'DJB Daily Readings'!DZ29</f>
        <v>7.0999999999999091</v>
      </c>
      <c r="AY22" s="82">
        <f>'DJB Daily Readings'!EB30-'DJB Daily Readings'!EB29</f>
        <v>576</v>
      </c>
      <c r="AZ22" s="82">
        <f>'DJB Daily Readings'!ED30-'DJB Daily Readings'!ED29</f>
        <v>154.39999999999418</v>
      </c>
      <c r="BA22" s="82">
        <f>'DJB Daily Readings'!EG30-'DJB Daily Readings'!EG29</f>
        <v>3600</v>
      </c>
      <c r="BB22" s="82">
        <f>'DJB Daily Readings'!EI30-'DJB Daily Readings'!EI29</f>
        <v>300</v>
      </c>
      <c r="BC22" s="82">
        <f>'DJB Daily Readings'!EQ30-'DJB Daily Readings'!EQ29</f>
        <v>1700</v>
      </c>
      <c r="BD22" s="82">
        <f>'DJB Daily Readings'!EK30-'DJB Daily Readings'!EK29</f>
        <v>800</v>
      </c>
      <c r="BE22" s="82">
        <f>'DJB Daily Readings'!EM30-'DJB Daily Readings'!EM29</f>
        <v>500</v>
      </c>
      <c r="BF22" s="82">
        <f>'DJB Daily Readings'!EO30-'DJB Daily Readings'!EO29</f>
        <v>760</v>
      </c>
      <c r="BG22" s="82">
        <f>('DJB Daily Readings'!ET30-'DJB Daily Readings'!ET29)*1.89</f>
        <v>30.24</v>
      </c>
      <c r="BH22" s="82">
        <f>('DJB Daily Readings'!EV30-'DJB Daily Readings'!EV29)*1.89</f>
        <v>28.349999999999998</v>
      </c>
      <c r="BI22" s="82">
        <f>('DJB Daily Readings'!EZ30-'DJB Daily Readings'!EZ29)*1.89</f>
        <v>28.349999999999998</v>
      </c>
      <c r="BJ22" s="82">
        <f>('DJB Daily Readings'!EX30-'DJB Daily Readings'!EX29)*1.89</f>
        <v>20.79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>
        <f>0.77*237</f>
        <v>182.49</v>
      </c>
      <c r="F23" s="79">
        <f>292+97</f>
        <v>389</v>
      </c>
      <c r="G23" s="3">
        <f>'DJB Daily Readings'!C31-'DJB Daily Readings'!C30</f>
        <v>753</v>
      </c>
      <c r="H23" s="3">
        <f>'DJB Daily Readings'!F31-'DJB Daily Readings'!F30</f>
        <v>474</v>
      </c>
      <c r="I23" s="3">
        <f>'DJB Daily Readings'!K31-'DJB Daily Readings'!K30</f>
        <v>185</v>
      </c>
      <c r="J23" s="3">
        <f>'DJB Daily Readings'!K31-'DJB Daily Readings'!K30</f>
        <v>185</v>
      </c>
      <c r="K23" s="3">
        <f>'DJB Daily Readings'!O31-'DJB Daily Readings'!O30</f>
        <v>95.55000000000291</v>
      </c>
      <c r="L23" s="3">
        <f>'DJB Daily Readings'!R31-'DJB Daily Readings'!R30</f>
        <v>14</v>
      </c>
      <c r="M23" s="3">
        <f>'DJB Daily Readings'!U31-'DJB Daily Readings'!U30</f>
        <v>3654</v>
      </c>
      <c r="N23" s="3">
        <f>'DJB Daily Readings'!X31-'DJB Daily Readings'!X30</f>
        <v>5018.1600000020117</v>
      </c>
      <c r="O23" s="3">
        <f>'DJB Daily Readings'!AA31-'DJB Daily Readings'!AA30</f>
        <v>341.04000000096858</v>
      </c>
      <c r="P23" s="3">
        <f>'DJB Daily Readings'!AD31-'DJB Daily Readings'!AD30</f>
        <v>48.719999998807907</v>
      </c>
      <c r="Q23" s="3">
        <f>'DJB Daily Readings'!AG31-'DJB Daily Readings'!AG30</f>
        <v>11059.439999997616</v>
      </c>
      <c r="R23" s="3">
        <f>'DJB Daily Readings'!AJ31-'DJB Daily Readings'!AJ30</f>
        <v>5992.5599999986589</v>
      </c>
      <c r="S23" s="3">
        <f>'DJB Daily Readings'!AM31-'DJB Daily Readings'!AM30</f>
        <v>4823.2800000011921</v>
      </c>
      <c r="T23" s="3">
        <f>'DJB Daily Readings'!AP31-'DJB Daily Readings'!AP30</f>
        <v>4530.9600000008941</v>
      </c>
      <c r="U23" s="3">
        <f>'DJB Daily Readings'!AS31-'DJB Daily Readings'!AS30</f>
        <v>3459.1199999991804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52500</v>
      </c>
      <c r="Z23" s="3">
        <f>('DJB Daily Readings'!CK31-'DJB Daily Readings'!CK30)*1.89</f>
        <v>209.79</v>
      </c>
      <c r="AA23" s="3">
        <f>('DJB Daily Readings'!CN31-'DJB Daily Readings'!CN30)*1.89</f>
        <v>230.57999999999998</v>
      </c>
      <c r="AB23" s="3">
        <f>('DJB Daily Readings'!CQ31-'DJB Daily Readings'!CQ30)*1.89</f>
        <v>470.60999999999996</v>
      </c>
      <c r="AC23" s="3">
        <f>'DJB Daily Readings'!CT31-'DJB Daily Readings'!CT30</f>
        <v>263</v>
      </c>
      <c r="AD23" s="84">
        <f>('DJB Daily Readings'!BY31-'DJB Daily Readings'!BY30)*1.89</f>
        <v>45.36</v>
      </c>
      <c r="AE23" s="84">
        <f>('DJB Daily Readings'!CA31-'DJB Daily Readings'!CA30)*1.89</f>
        <v>35.909999999999997</v>
      </c>
      <c r="AF23" s="84">
        <f>('DJB Daily Readings'!CC31-'DJB Daily Readings'!CC30)*1.89</f>
        <v>13.229999999999999</v>
      </c>
      <c r="AG23" s="84">
        <f>('DJB Daily Readings'!CE31-'DJB Daily Readings'!CE30)*1.89</f>
        <v>18.899999999999999</v>
      </c>
      <c r="AH23" s="84">
        <f>('DJB Daily Readings'!CG31-'DJB Daily Readings'!CG30)*1.89</f>
        <v>15.12</v>
      </c>
      <c r="AI23" s="84">
        <f>('DJB Daily Readings'!CI31-'DJB Daily Readings'!CI30)*1.89</f>
        <v>52.919999999999995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20</v>
      </c>
      <c r="AN23" s="82">
        <f>'DJB Daily Readings'!DG31-'DJB Daily Readings'!DG30</f>
        <v>11</v>
      </c>
      <c r="AO23" s="82">
        <f>'DJB Daily Readings'!DE31-'DJB Daily Readings'!DE30</f>
        <v>9</v>
      </c>
      <c r="AP23" s="82">
        <f>'DJB Daily Readings'!DK31-'DJB Daily Readings'!DK30</f>
        <v>14</v>
      </c>
      <c r="AQ23" s="82">
        <f>'DJB Daily Readings'!DI31-'DJB Daily Readings'!DI30</f>
        <v>8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7</v>
      </c>
      <c r="AU23" s="82">
        <f>'DJB Daily Readings'!DT31-'DJB Daily Readings'!DT30</f>
        <v>9.2000000000002728</v>
      </c>
      <c r="AW23" s="82">
        <f>'DJB Daily Readings'!DX31-'DJB Daily Readings'!DX30</f>
        <v>6.6999999999998181</v>
      </c>
      <c r="AX23" s="82">
        <f>'DJB Daily Readings'!DZ31-'DJB Daily Readings'!DZ30</f>
        <v>7.7000000000002728</v>
      </c>
      <c r="AY23" s="82">
        <f>'DJB Daily Readings'!EB31-'DJB Daily Readings'!EB30</f>
        <v>577</v>
      </c>
      <c r="AZ23" s="82">
        <f>'DJB Daily Readings'!ED31-'DJB Daily Readings'!ED30</f>
        <v>155.5</v>
      </c>
      <c r="BA23" s="82">
        <f>'DJB Daily Readings'!EG31-'DJB Daily Readings'!EG30</f>
        <v>4100</v>
      </c>
      <c r="BB23" s="82">
        <f>'DJB Daily Readings'!EI31-'DJB Daily Readings'!EI30</f>
        <v>400</v>
      </c>
      <c r="BC23" s="82">
        <f>'DJB Daily Readings'!EQ31-'DJB Daily Readings'!EQ30</f>
        <v>2200</v>
      </c>
      <c r="BD23" s="82">
        <f>'DJB Daily Readings'!EK31-'DJB Daily Readings'!EK30</f>
        <v>700</v>
      </c>
      <c r="BE23" s="82">
        <f>'DJB Daily Readings'!EM31-'DJB Daily Readings'!EM30</f>
        <v>400</v>
      </c>
      <c r="BF23" s="82">
        <f>'DJB Daily Readings'!EO31-'DJB Daily Readings'!EO30</f>
        <v>820</v>
      </c>
      <c r="BG23" s="82">
        <f>('DJB Daily Readings'!ET31-'DJB Daily Readings'!ET30)*1.89</f>
        <v>30.24</v>
      </c>
      <c r="BH23" s="82">
        <f>('DJB Daily Readings'!EV31-'DJB Daily Readings'!EV30)*1.89</f>
        <v>28.349999999999998</v>
      </c>
      <c r="BI23" s="82">
        <f>('DJB Daily Readings'!EZ31-'DJB Daily Readings'!EZ30)*1.89</f>
        <v>45.36</v>
      </c>
      <c r="BJ23" s="82">
        <f>('DJB Daily Readings'!EX31-'DJB Daily Readings'!EX30)*1.89</f>
        <v>22.68</v>
      </c>
      <c r="BK23" s="82">
        <f>('DJB Daily Readings'!FB31-'DJB Daily Readings'!FB30)*1.89</f>
        <v>58.589999999999996</v>
      </c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>
        <f>0.81*237</f>
        <v>191.97</v>
      </c>
      <c r="F24" s="79">
        <f>318+106</f>
        <v>424</v>
      </c>
      <c r="G24" s="3">
        <f>'DJB Daily Readings'!C32-'DJB Daily Readings'!C31</f>
        <v>793</v>
      </c>
      <c r="H24" s="3">
        <f>'DJB Daily Readings'!F32-'DJB Daily Readings'!F31</f>
        <v>493</v>
      </c>
      <c r="I24" s="3">
        <f>'DJB Daily Readings'!K32-'DJB Daily Readings'!K31</f>
        <v>239</v>
      </c>
      <c r="J24" s="3">
        <f>'DJB Daily Readings'!K32-'DJB Daily Readings'!K31</f>
        <v>239</v>
      </c>
      <c r="K24" s="3">
        <f>'DJB Daily Readings'!O32-'DJB Daily Readings'!O31</f>
        <v>91.709999999999127</v>
      </c>
      <c r="L24" s="3">
        <f>'DJB Daily Readings'!R32-'DJB Daily Readings'!R31</f>
        <v>13</v>
      </c>
      <c r="M24" s="3">
        <f>'DJB Daily Readings'!U32-'DJB Daily Readings'!U31</f>
        <v>3459.1200000001118</v>
      </c>
      <c r="N24" s="3">
        <f>'DJB Daily Readings'!X32-'DJB Daily Readings'!X31</f>
        <v>4774.5599999986589</v>
      </c>
      <c r="O24" s="3">
        <f>'DJB Daily Readings'!AA32-'DJB Daily Readings'!AA31</f>
        <v>243.59999999962747</v>
      </c>
      <c r="P24" s="3">
        <f>'DJB Daily Readings'!AD32-'DJB Daily Readings'!AD31</f>
        <v>48.719999998807907</v>
      </c>
      <c r="Q24" s="3">
        <f>'DJB Daily Readings'!AG32-'DJB Daily Readings'!AG31</f>
        <v>9500.4000000022352</v>
      </c>
      <c r="R24" s="3">
        <f>'DJB Daily Readings'!AJ32-'DJB Daily Readings'!AJ31</f>
        <v>5748.9600000008941</v>
      </c>
      <c r="S24" s="3">
        <f>'DJB Daily Readings'!AM32-'DJB Daily Readings'!AM31</f>
        <v>4579.6800000015646</v>
      </c>
      <c r="T24" s="3">
        <f>'DJB Daily Readings'!AP32-'DJB Daily Readings'!AP31</f>
        <v>4189.9199999999255</v>
      </c>
      <c r="U24" s="3">
        <f>'DJB Daily Readings'!AS32-'DJB Daily Readings'!AS31</f>
        <v>3361.6800000015646</v>
      </c>
      <c r="V24" s="3">
        <f>'DJB Daily Readings'!AV32-'DJB Daily Readings'!AV31</f>
        <v>5651.5200000014156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48500</v>
      </c>
      <c r="Z24" s="3">
        <f>('DJB Daily Readings'!CK32-'DJB Daily Readings'!CK31)*1.89</f>
        <v>189</v>
      </c>
      <c r="AA24" s="3">
        <f>('DJB Daily Readings'!CN32-'DJB Daily Readings'!CN31)*1.89</f>
        <v>234.35999999999999</v>
      </c>
      <c r="AB24" s="3">
        <f>('DJB Daily Readings'!CQ32-'DJB Daily Readings'!CQ31)*1.89</f>
        <v>854.28</v>
      </c>
      <c r="AC24" s="3">
        <f>'DJB Daily Readings'!CT32-'DJB Daily Readings'!CT31</f>
        <v>163</v>
      </c>
      <c r="AD24" s="84">
        <f>('DJB Daily Readings'!BY32-'DJB Daily Readings'!BY31)*1.89</f>
        <v>41.58</v>
      </c>
      <c r="AE24" s="84">
        <f>('DJB Daily Readings'!CA32-'DJB Daily Readings'!CA31)*1.89</f>
        <v>39.69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22.68</v>
      </c>
      <c r="AI24" s="84">
        <f>('DJB Daily Readings'!CI32-'DJB Daily Readings'!CI31)*1.89</f>
        <v>49.14</v>
      </c>
      <c r="AJ24" s="81">
        <f>'DJB Daily Readings'!CY32-'DJB Daily Readings'!CY31</f>
        <v>9</v>
      </c>
      <c r="AK24" s="81">
        <f>'DJB Daily Readings'!CW32-'DJB Daily Readings'!CW31</f>
        <v>9</v>
      </c>
      <c r="AL24" s="82">
        <f>'DJB Daily Readings'!DC32-'DJB Daily Readings'!DC31</f>
        <v>11</v>
      </c>
      <c r="AM24" s="82">
        <f>'DJB Daily Readings'!DA32-'DJB Daily Readings'!DA31</f>
        <v>22</v>
      </c>
      <c r="AN24" s="82">
        <f>'DJB Daily Readings'!DG32-'DJB Daily Readings'!DG31</f>
        <v>13</v>
      </c>
      <c r="AO24" s="82">
        <f>'DJB Daily Readings'!DE32-'DJB Daily Readings'!DE31</f>
        <v>10</v>
      </c>
      <c r="AP24" s="82">
        <f>'DJB Daily Readings'!DK32-'DJB Daily Readings'!DK31</f>
        <v>15</v>
      </c>
      <c r="AQ24" s="82">
        <f>'DJB Daily Readings'!DI32-'DJB Daily Readings'!DI31</f>
        <v>9</v>
      </c>
      <c r="AR24" s="82">
        <f>'DJB Daily Readings'!DO32-'DJB Daily Readings'!DO31</f>
        <v>7</v>
      </c>
      <c r="AS24" s="82">
        <f>'DJB Daily Readings'!DM32-'DJB Daily Readings'!DM31</f>
        <v>4</v>
      </c>
      <c r="AT24" s="82">
        <f>'DJB Daily Readings'!DQ32-'DJB Daily Readings'!DQ31</f>
        <v>9</v>
      </c>
      <c r="AU24" s="82">
        <f>'DJB Daily Readings'!DT32-'DJB Daily Readings'!DT31</f>
        <v>9.5999999999999091</v>
      </c>
      <c r="AW24" s="82">
        <f>'DJB Daily Readings'!DX32-'DJB Daily Readings'!DX31</f>
        <v>7.2000000000002728</v>
      </c>
      <c r="AX24" s="82">
        <f>'DJB Daily Readings'!DZ32-'DJB Daily Readings'!DZ31</f>
        <v>7.5999999999999091</v>
      </c>
      <c r="AY24" s="82">
        <f>'DJB Daily Readings'!EB32-'DJB Daily Readings'!EB31</f>
        <v>621</v>
      </c>
      <c r="AZ24" s="82">
        <f>'DJB Daily Readings'!ED32-'DJB Daily Readings'!ED31</f>
        <v>159.5</v>
      </c>
      <c r="BA24" s="82">
        <f>'DJB Daily Readings'!EG32-'DJB Daily Readings'!EG31</f>
        <v>3400</v>
      </c>
      <c r="BB24" s="82">
        <f>'DJB Daily Readings'!EI32-'DJB Daily Readings'!EI31</f>
        <v>310</v>
      </c>
      <c r="BC24" s="82">
        <f>'DJB Daily Readings'!EQ32-'DJB Daily Readings'!EQ31</f>
        <v>1800</v>
      </c>
      <c r="BD24" s="82">
        <f>'DJB Daily Readings'!EK32-'DJB Daily Readings'!EK31</f>
        <v>700</v>
      </c>
      <c r="BE24" s="82">
        <f>'DJB Daily Readings'!EM32-'DJB Daily Readings'!EM31</f>
        <v>400</v>
      </c>
      <c r="BF24" s="82">
        <f>'DJB Daily Readings'!EO32-'DJB Daily Readings'!EO31</f>
        <v>700</v>
      </c>
      <c r="BG24" s="82">
        <f>('DJB Daily Readings'!ET32-'DJB Daily Readings'!ET31)*1.89</f>
        <v>30.24</v>
      </c>
      <c r="BH24" s="82">
        <f>('DJB Daily Readings'!EV32-'DJB Daily Readings'!EV31)*1.89</f>
        <v>32.129999999999995</v>
      </c>
      <c r="BI24" s="82">
        <f>('DJB Daily Readings'!EZ32-'DJB Daily Readings'!EZ31)*1.89</f>
        <v>37.799999999999997</v>
      </c>
      <c r="BJ24" s="82">
        <f>('DJB Daily Readings'!EX32-'DJB Daily Readings'!EX31)*1.89</f>
        <v>24.57</v>
      </c>
      <c r="BK24" s="82">
        <f>('DJB Daily Readings'!FB32-'DJB Daily Readings'!FB31)*1.89</f>
        <v>68.039999999999992</v>
      </c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>
        <f>237*0.74</f>
        <v>175.38</v>
      </c>
      <c r="F25" s="79">
        <f>397+95</f>
        <v>492</v>
      </c>
      <c r="G25" s="3">
        <f>'DJB Daily Readings'!C33-'DJB Daily Readings'!C32</f>
        <v>795</v>
      </c>
      <c r="H25" s="3">
        <f>'DJB Daily Readings'!F33-'DJB Daily Readings'!F32</f>
        <v>522</v>
      </c>
      <c r="I25" s="3">
        <f>'DJB Daily Readings'!K33-'DJB Daily Readings'!K32</f>
        <v>167</v>
      </c>
      <c r="J25" s="3">
        <f>'DJB Daily Readings'!K33-'DJB Daily Readings'!K32</f>
        <v>167</v>
      </c>
      <c r="K25" s="3">
        <f>'DJB Daily Readings'!O33-'DJB Daily Readings'!O32</f>
        <v>94.129999999997381</v>
      </c>
      <c r="L25" s="3">
        <f>'DJB Daily Readings'!R33-'DJB Daily Readings'!R32</f>
        <v>12</v>
      </c>
      <c r="M25" s="3">
        <f>'DJB Daily Readings'!U33-'DJB Daily Readings'!U32</f>
        <v>3654</v>
      </c>
      <c r="N25" s="3">
        <f>'DJB Daily Readings'!X33-'DJB Daily Readings'!X32</f>
        <v>4774.5600000005215</v>
      </c>
      <c r="O25" s="3">
        <f>'DJB Daily Readings'!AA33-'DJB Daily Readings'!AA32</f>
        <v>292.31999999843538</v>
      </c>
      <c r="P25" s="3">
        <f>'DJB Daily Readings'!AD33-'DJB Daily Readings'!AD32</f>
        <v>48.720000002533197</v>
      </c>
      <c r="Q25" s="3">
        <f>'DJB Daily Readings'!AG33-'DJB Daily Readings'!AG32</f>
        <v>10231.199999999255</v>
      </c>
      <c r="R25" s="3">
        <f>'DJB Daily Readings'!AJ33-'DJB Daily Readings'!AJ32</f>
        <v>5895.1200000010431</v>
      </c>
      <c r="S25" s="3">
        <f>'DJB Daily Readings'!AM33-'DJB Daily Readings'!AM32</f>
        <v>4628.3999999985099</v>
      </c>
      <c r="T25" s="3">
        <f>'DJB Daily Readings'!AP33-'DJB Daily Readings'!AP32</f>
        <v>4384.7999999988824</v>
      </c>
      <c r="U25" s="3">
        <f>'DJB Daily Readings'!AS33-'DJB Daily Readings'!AS32</f>
        <v>3264.2399999983609</v>
      </c>
      <c r="V25" s="3">
        <f>'DJB Daily Readings'!AV33-'DJB Daily Readings'!AV32</f>
        <v>5895.1199999991804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52300</v>
      </c>
      <c r="Z25" s="3">
        <f>('DJB Daily Readings'!CK33-'DJB Daily Readings'!CK32)*1.89</f>
        <v>179.54999999999998</v>
      </c>
      <c r="AA25" s="3">
        <f>('DJB Daily Readings'!CN33-'DJB Daily Readings'!CN32)*1.89</f>
        <v>228.69</v>
      </c>
      <c r="AB25" s="3">
        <f>('DJB Daily Readings'!CQ33-'DJB Daily Readings'!CQ32)*1.89</f>
        <v>699.3</v>
      </c>
      <c r="AC25" s="3">
        <f>'DJB Daily Readings'!CT33-'DJB Daily Readings'!CT32</f>
        <v>196</v>
      </c>
      <c r="AD25" s="84">
        <f>('DJB Daily Readings'!BY33-'DJB Daily Readings'!BY32)*1.89</f>
        <v>39.69</v>
      </c>
      <c r="AE25" s="84">
        <f>('DJB Daily Readings'!CA33-'DJB Daily Readings'!CA32)*1.89</f>
        <v>37.799999999999997</v>
      </c>
      <c r="AF25" s="84">
        <f>('DJB Daily Readings'!CC33-'DJB Daily Readings'!CC32)*1.89</f>
        <v>11.34</v>
      </c>
      <c r="AG25" s="84">
        <f>('DJB Daily Readings'!CE33-'DJB Daily Readings'!CE32)*1.89</f>
        <v>20.79</v>
      </c>
      <c r="AH25" s="84">
        <f>('DJB Daily Readings'!CG33-'DJB Daily Readings'!CG32)*1.89</f>
        <v>26.459999999999997</v>
      </c>
      <c r="AI25" s="84">
        <f>('DJB Daily Readings'!CI33-'DJB Daily Readings'!CI32)*1.89</f>
        <v>52.919999999999995</v>
      </c>
      <c r="AJ25" s="81">
        <f>'DJB Daily Readings'!CY33-'DJB Daily Readings'!CY32</f>
        <v>10</v>
      </c>
      <c r="AK25" s="81">
        <f>'DJB Daily Readings'!CW33-'DJB Daily Readings'!CW32</f>
        <v>10</v>
      </c>
      <c r="AL25" s="82">
        <f>'DJB Daily Readings'!DC33-'DJB Daily Readings'!DC32</f>
        <v>7</v>
      </c>
      <c r="AM25" s="82">
        <f>'DJB Daily Readings'!DA33-'DJB Daily Readings'!DA32</f>
        <v>23</v>
      </c>
      <c r="AN25" s="82">
        <f>'DJB Daily Readings'!DG33-'DJB Daily Readings'!DG32</f>
        <v>10</v>
      </c>
      <c r="AO25" s="82">
        <f>'DJB Daily Readings'!DE33-'DJB Daily Readings'!DE32</f>
        <v>10</v>
      </c>
      <c r="AP25" s="82">
        <f>'DJB Daily Readings'!DK33-'DJB Daily Readings'!DK32</f>
        <v>19</v>
      </c>
      <c r="AQ25" s="82">
        <f>'DJB Daily Readings'!DI33-'DJB Daily Readings'!DI32</f>
        <v>9</v>
      </c>
      <c r="AR25" s="82">
        <f>'DJB Daily Readings'!DO33-'DJB Daily Readings'!DO32</f>
        <v>9</v>
      </c>
      <c r="AS25" s="82">
        <f>'DJB Daily Readings'!DM33-'DJB Daily Readings'!DM32</f>
        <v>4</v>
      </c>
      <c r="AT25" s="82">
        <f>'DJB Daily Readings'!DQ33-'DJB Daily Readings'!DQ32</f>
        <v>3</v>
      </c>
      <c r="AU25" s="82">
        <f>'DJB Daily Readings'!DT33-'DJB Daily Readings'!DT32</f>
        <v>9.5</v>
      </c>
      <c r="AW25" s="82">
        <f>'DJB Daily Readings'!DX33-'DJB Daily Readings'!DX32</f>
        <v>7</v>
      </c>
      <c r="AX25" s="82">
        <f>'DJB Daily Readings'!DZ33-'DJB Daily Readings'!DZ32</f>
        <v>8.0999999999999091</v>
      </c>
      <c r="AY25" s="82">
        <f>'DJB Daily Readings'!EB33-'DJB Daily Readings'!EB32</f>
        <v>645</v>
      </c>
      <c r="AZ25" s="82">
        <f>'DJB Daily Readings'!ED33-'DJB Daily Readings'!ED32</f>
        <v>154.40000000002328</v>
      </c>
      <c r="BA25" s="82">
        <f>'DJB Daily Readings'!EG33-'DJB Daily Readings'!EG32</f>
        <v>3900</v>
      </c>
      <c r="BB25" s="82">
        <f>'DJB Daily Readings'!EI33-'DJB Daily Readings'!EI32</f>
        <v>310</v>
      </c>
      <c r="BC25" s="82">
        <f>'DJB Daily Readings'!EQ33-'DJB Daily Readings'!EQ32</f>
        <v>1700</v>
      </c>
      <c r="BD25" s="82">
        <f>'DJB Daily Readings'!EK33-'DJB Daily Readings'!EK32</f>
        <v>700</v>
      </c>
      <c r="BE25" s="82">
        <f>'DJB Daily Readings'!EM33-'DJB Daily Readings'!EM32</f>
        <v>400</v>
      </c>
      <c r="BF25" s="82">
        <f>'DJB Daily Readings'!EO33-'DJB Daily Readings'!EO32</f>
        <v>740</v>
      </c>
      <c r="BG25" s="82">
        <f>('DJB Daily Readings'!ET33-'DJB Daily Readings'!ET32)*1.89</f>
        <v>26.459999999999997</v>
      </c>
      <c r="BH25" s="82">
        <f>('DJB Daily Readings'!EV33-'DJB Daily Readings'!EV32)*1.89</f>
        <v>32.129999999999995</v>
      </c>
      <c r="BI25" s="82">
        <f>('DJB Daily Readings'!EZ33-'DJB Daily Readings'!EZ32)*1.89</f>
        <v>37.799999999999997</v>
      </c>
      <c r="BJ25" s="82">
        <f>('DJB Daily Readings'!EX33-'DJB Daily Readings'!EX32)*1.89</f>
        <v>30.24</v>
      </c>
      <c r="BK25" s="82">
        <f>('DJB Daily Readings'!FB33-'DJB Daily Readings'!FB32)*1.89</f>
        <v>66.149999999999991</v>
      </c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>
        <f>237*0.72</f>
        <v>170.64</v>
      </c>
      <c r="F26" s="79">
        <f>310+104</f>
        <v>414</v>
      </c>
      <c r="G26" s="3">
        <f>'DJB Daily Readings'!C34-'DJB Daily Readings'!C33</f>
        <v>910</v>
      </c>
      <c r="H26" s="3">
        <f>'DJB Daily Readings'!F34-'DJB Daily Readings'!F33</f>
        <v>620</v>
      </c>
      <c r="I26" s="3">
        <f>'DJB Daily Readings'!K34-'DJB Daily Readings'!K33</f>
        <v>0</v>
      </c>
      <c r="J26" s="3">
        <f>'DJB Daily Readings'!K34-'DJB Daily Readings'!K33</f>
        <v>0</v>
      </c>
      <c r="K26" s="3">
        <f>'DJB Daily Readings'!O34-'DJB Daily Readings'!O33</f>
        <v>102.55000000000291</v>
      </c>
      <c r="L26" s="3">
        <f>'DJB Daily Readings'!R34-'DJB Daily Readings'!R33</f>
        <v>16</v>
      </c>
      <c r="M26" s="3">
        <f>'DJB Daily Readings'!U34-'DJB Daily Readings'!U33</f>
        <v>3069.359999999404</v>
      </c>
      <c r="N26" s="3">
        <f>'DJB Daily Readings'!X34-'DJB Daily Readings'!X33</f>
        <v>6674.640000000596</v>
      </c>
      <c r="O26" s="3">
        <f>'DJB Daily Readings'!AA34-'DJB Daily Readings'!AA33</f>
        <v>15054.480000000447</v>
      </c>
      <c r="P26" s="3">
        <f>'DJB Daily Readings'!AD34-'DJB Daily Readings'!AD33</f>
        <v>341.03999999910593</v>
      </c>
      <c r="Q26" s="3">
        <f>'DJB Daily Readings'!AG34-'DJB Daily Readings'!AG33</f>
        <v>97.440000001341105</v>
      </c>
      <c r="R26" s="3">
        <f>'DJB Daily Readings'!AJ34-'DJB Daily Readings'!AJ33</f>
        <v>8038.7999999988824</v>
      </c>
      <c r="S26" s="3">
        <f>'DJB Daily Readings'!AM34-'DJB Daily Readings'!AM33</f>
        <v>6479.7599999997765</v>
      </c>
      <c r="T26" s="3">
        <f>'DJB Daily Readings'!AP34-'DJB Daily Readings'!AP33</f>
        <v>6090</v>
      </c>
      <c r="U26" s="3">
        <f>'DJB Daily Readings'!AS34-'DJB Daily Readings'!AS33</f>
        <v>4677.1200000010431</v>
      </c>
      <c r="V26" s="3">
        <f>'DJB Daily Readings'!AV34-'DJB Daily Readings'!AV33</f>
        <v>7892.640000000596</v>
      </c>
      <c r="W26" s="3">
        <f>'DJB Daily Readings'!AZ34-'DJB Daily Readings'!AZ33</f>
        <v>54500</v>
      </c>
      <c r="X26" s="3">
        <f>'DJB Daily Readings'!BC34-'DJB Daily Readings'!BC33</f>
        <v>0</v>
      </c>
      <c r="Y26" s="3">
        <f>'DJB Daily Readings'!BF34-'DJB Daily Readings'!BF33</f>
        <v>1900</v>
      </c>
      <c r="Z26" s="3">
        <f>('DJB Daily Readings'!CK34-'DJB Daily Readings'!CK33)*1.89</f>
        <v>240.03</v>
      </c>
      <c r="AA26" s="3">
        <f>('DJB Daily Readings'!CN34-'DJB Daily Readings'!CN33)*1.89</f>
        <v>253.26</v>
      </c>
      <c r="AB26" s="3">
        <f>('DJB Daily Readings'!CQ34-'DJB Daily Readings'!CQ33)*1.89</f>
        <v>844.82999999999993</v>
      </c>
      <c r="AC26" s="3">
        <f>'DJB Daily Readings'!CT34-'DJB Daily Readings'!CT33</f>
        <v>288</v>
      </c>
      <c r="AD26" s="84">
        <f>('DJB Daily Readings'!BY34-'DJB Daily Readings'!BY33)*1.89</f>
        <v>54.809999999999995</v>
      </c>
      <c r="AE26" s="84">
        <f>('DJB Daily Readings'!CA34-'DJB Daily Readings'!CA33)*1.89</f>
        <v>49.14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30.24</v>
      </c>
      <c r="AI26" s="84">
        <f>('DJB Daily Readings'!CI34-'DJB Daily Readings'!CI33)*1.89</f>
        <v>79.38</v>
      </c>
      <c r="AJ26" s="81">
        <f>'DJB Daily Readings'!CY34-'DJB Daily Readings'!CY33</f>
        <v>10</v>
      </c>
      <c r="AK26" s="81">
        <f>'DJB Daily Readings'!CW34-'DJB Daily Readings'!CW33</f>
        <v>3</v>
      </c>
      <c r="AL26" s="82">
        <f>'DJB Daily Readings'!DC34-'DJB Daily Readings'!DC33</f>
        <v>8</v>
      </c>
      <c r="AM26" s="82">
        <f>'DJB Daily Readings'!DA34-'DJB Daily Readings'!DA33</f>
        <v>20</v>
      </c>
      <c r="AN26" s="82">
        <f>'DJB Daily Readings'!DG34-'DJB Daily Readings'!DG33</f>
        <v>6</v>
      </c>
      <c r="AO26" s="82">
        <f>'DJB Daily Readings'!DE34-'DJB Daily Readings'!DE33</f>
        <v>10</v>
      </c>
      <c r="AP26" s="82">
        <f>'DJB Daily Readings'!DK34-'DJB Daily Readings'!DK33</f>
        <v>14</v>
      </c>
      <c r="AQ26" s="82">
        <f>'DJB Daily Readings'!DI34-'DJB Daily Readings'!DI33</f>
        <v>5</v>
      </c>
      <c r="AR26" s="82">
        <f>'DJB Daily Readings'!DO34-'DJB Daily Readings'!DO33</f>
        <v>8</v>
      </c>
      <c r="AS26" s="82">
        <f>'DJB Daily Readings'!DM34-'DJB Daily Readings'!DM33</f>
        <v>4</v>
      </c>
      <c r="AT26" s="82">
        <f>'DJB Daily Readings'!DQ34-'DJB Daily Readings'!DQ33</f>
        <v>1</v>
      </c>
      <c r="AU26" s="82">
        <f>'DJB Daily Readings'!DT34-'DJB Daily Readings'!DT33</f>
        <v>9.1999999999998181</v>
      </c>
      <c r="AW26" s="82">
        <f>'DJB Daily Readings'!DX34-'DJB Daily Readings'!DX33</f>
        <v>6.0999999999999091</v>
      </c>
      <c r="AX26" s="82">
        <f>'DJB Daily Readings'!DZ34-'DJB Daily Readings'!DZ33</f>
        <v>7.1999999999998181</v>
      </c>
      <c r="AY26" s="82">
        <f>'DJB Daily Readings'!EB34-'DJB Daily Readings'!EB33</f>
        <v>528.09999999997672</v>
      </c>
      <c r="AZ26" s="82">
        <f>'DJB Daily Readings'!ED34-'DJB Daily Readings'!ED33</f>
        <v>150.59999999997672</v>
      </c>
      <c r="BA26" s="82">
        <f>'DJB Daily Readings'!EG34-'DJB Daily Readings'!EG33</f>
        <v>2600</v>
      </c>
      <c r="BB26" s="82">
        <f>'DJB Daily Readings'!EI34-'DJB Daily Readings'!EI33</f>
        <v>283</v>
      </c>
      <c r="BC26" s="82">
        <f>'DJB Daily Readings'!EQ34-'DJB Daily Readings'!EQ33</f>
        <v>1900</v>
      </c>
      <c r="BD26" s="82">
        <f>'DJB Daily Readings'!EK34-'DJB Daily Readings'!EK33</f>
        <v>720</v>
      </c>
      <c r="BE26" s="82">
        <f>'DJB Daily Readings'!EM34-'DJB Daily Readings'!EM33</f>
        <v>360</v>
      </c>
      <c r="BF26" s="82">
        <f>'DJB Daily Readings'!EO34-'DJB Daily Readings'!EO33</f>
        <v>700</v>
      </c>
      <c r="BG26" s="82">
        <f>('DJB Daily Readings'!ET34-'DJB Daily Readings'!ET33)*1.89</f>
        <v>22.68</v>
      </c>
      <c r="BH26" s="82">
        <f>('DJB Daily Readings'!EV34-'DJB Daily Readings'!EV33)*1.89</f>
        <v>34.019999999999996</v>
      </c>
      <c r="BI26" s="82">
        <f>('DJB Daily Readings'!EZ34-'DJB Daily Readings'!EZ33)*1.89</f>
        <v>37.799999999999997</v>
      </c>
      <c r="BJ26" s="82">
        <f>('DJB Daily Readings'!EX34-'DJB Daily Readings'!EX33)*1.89</f>
        <v>20.79</v>
      </c>
      <c r="BK26" s="82">
        <f>('DJB Daily Readings'!FB34-'DJB Daily Readings'!FB33)*1.89</f>
        <v>60.48</v>
      </c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>
        <f>237*0.75</f>
        <v>177.75</v>
      </c>
      <c r="F27" s="79">
        <f>322+110</f>
        <v>432</v>
      </c>
      <c r="G27" s="3">
        <f>'DJB Daily Readings'!C35-'DJB Daily Readings'!C34</f>
        <v>498</v>
      </c>
      <c r="H27" s="3">
        <f>'DJB Daily Readings'!F35-'DJB Daily Readings'!F34</f>
        <v>509</v>
      </c>
      <c r="I27" s="3">
        <f>'DJB Daily Readings'!K35-'DJB Daily Readings'!K34</f>
        <v>74</v>
      </c>
      <c r="J27" s="3">
        <f>'DJB Daily Readings'!K35-'DJB Daily Readings'!K34</f>
        <v>74</v>
      </c>
      <c r="K27" s="3">
        <f>'DJB Daily Readings'!O35-'DJB Daily Readings'!O34</f>
        <v>103.05000000000291</v>
      </c>
      <c r="L27" s="3">
        <f>'DJB Daily Readings'!R35-'DJB Daily Readings'!R34</f>
        <v>9</v>
      </c>
      <c r="M27" s="3">
        <f>'DJB Daily Readings'!U35-'DJB Daily Readings'!U34</f>
        <v>1364.1600000010803</v>
      </c>
      <c r="N27" s="3">
        <f>'DJB Daily Readings'!X35-'DJB Daily Readings'!X34</f>
        <v>2728.3199999984354</v>
      </c>
      <c r="O27" s="3">
        <f>'DJB Daily Readings'!AA35-'DJB Daily Readings'!AA34</f>
        <v>6723.3600000012666</v>
      </c>
      <c r="P27" s="3">
        <f>'DJB Daily Readings'!AD35-'DJB Daily Readings'!AD34</f>
        <v>146.16000000201166</v>
      </c>
      <c r="Q27" s="3">
        <f>'DJB Daily Readings'!AG35-'DJB Daily Readings'!AG34</f>
        <v>48.719999998807907</v>
      </c>
      <c r="R27" s="3">
        <f>'DJB Daily Readings'!AJ35-'DJB Daily Readings'!AJ34</f>
        <v>3946.320000000298</v>
      </c>
      <c r="S27" s="3">
        <f>'DJB Daily Readings'!AM35-'DJB Daily Readings'!AM34</f>
        <v>2874.4799999985844</v>
      </c>
      <c r="T27" s="3">
        <f>'DJB Daily Readings'!AP35-'DJB Daily Readings'!AP34</f>
        <v>2630.8800000008196</v>
      </c>
      <c r="U27" s="3">
        <f>'DJB Daily Readings'!AS35-'DJB Daily Readings'!AS34</f>
        <v>1412.8799999989569</v>
      </c>
      <c r="V27" s="3">
        <f>'DJB Daily Readings'!AV35-'DJB Daily Readings'!AV34</f>
        <v>3654</v>
      </c>
      <c r="W27" s="3">
        <f>'DJB Daily Readings'!AZ35-'DJB Daily Readings'!AZ34</f>
        <v>54400</v>
      </c>
      <c r="X27" s="3">
        <f>'DJB Daily Readings'!BC35-'DJB Daily Readings'!BC34</f>
        <v>0</v>
      </c>
      <c r="Y27" s="3">
        <f>'DJB Daily Readings'!BF35-'DJB Daily Readings'!BF34</f>
        <v>0</v>
      </c>
      <c r="Z27" s="3">
        <f>('DJB Daily Readings'!CK35-'DJB Daily Readings'!CK34)*1.89</f>
        <v>126.63</v>
      </c>
      <c r="AA27" s="3">
        <f>('DJB Daily Readings'!CN35-'DJB Daily Readings'!CN34)*1.89</f>
        <v>170.1</v>
      </c>
      <c r="AB27" s="3">
        <f>('DJB Daily Readings'!CQ35-'DJB Daily Readings'!CQ34)*1.89</f>
        <v>536.76</v>
      </c>
      <c r="AC27" s="3">
        <f>'DJB Daily Readings'!CT35-'DJB Daily Readings'!CT34</f>
        <v>141</v>
      </c>
      <c r="AD27" s="84">
        <f>('DJB Daily Readings'!BY35-'DJB Daily Readings'!BY34)*1.89</f>
        <v>22.68</v>
      </c>
      <c r="AE27" s="84">
        <f>('DJB Daily Readings'!CA35-'DJB Daily Readings'!CA34)*1.89</f>
        <v>20.79</v>
      </c>
      <c r="AF27" s="84">
        <f>('DJB Daily Readings'!CC35-'DJB Daily Readings'!CC34)*1.89</f>
        <v>11.34</v>
      </c>
      <c r="AG27" s="84">
        <f>('DJB Daily Readings'!CE35-'DJB Daily Readings'!CE34)*1.89</f>
        <v>20.79</v>
      </c>
      <c r="AH27" s="84">
        <f>('DJB Daily Readings'!CG35-'DJB Daily Readings'!CG34)*1.89</f>
        <v>26.459999999999997</v>
      </c>
      <c r="AI27" s="84">
        <f>('DJB Daily Readings'!CI35-'DJB Daily Readings'!CI34)*1.89</f>
        <v>24.57</v>
      </c>
      <c r="AJ27" s="81">
        <f>'DJB Daily Readings'!CY35-'DJB Daily Readings'!CY34</f>
        <v>9</v>
      </c>
      <c r="AK27" s="81">
        <f>'DJB Daily Readings'!CW35-'DJB Daily Readings'!CW34</f>
        <v>5</v>
      </c>
      <c r="AL27" s="82">
        <f>'DJB Daily Readings'!DC35-'DJB Daily Readings'!DC34</f>
        <v>8</v>
      </c>
      <c r="AM27" s="82">
        <f>'DJB Daily Readings'!DA35-'DJB Daily Readings'!DA34</f>
        <v>22</v>
      </c>
      <c r="AN27" s="82">
        <f>'DJB Daily Readings'!DG35-'DJB Daily Readings'!DG34</f>
        <v>11</v>
      </c>
      <c r="AO27" s="82">
        <f>'DJB Daily Readings'!DE35-'DJB Daily Readings'!DE34</f>
        <v>10</v>
      </c>
      <c r="AP27" s="82">
        <f>'DJB Daily Readings'!DK35-'DJB Daily Readings'!DK34</f>
        <v>8</v>
      </c>
      <c r="AQ27" s="82">
        <f>'DJB Daily Readings'!DI35-'DJB Daily Readings'!DI34</f>
        <v>6</v>
      </c>
      <c r="AR27" s="82">
        <f>'DJB Daily Readings'!DO35-'DJB Daily Readings'!DO34</f>
        <v>8</v>
      </c>
      <c r="AS27" s="82">
        <f>'DJB Daily Readings'!DM35-'DJB Daily Readings'!DM34</f>
        <v>4</v>
      </c>
      <c r="AT27" s="82">
        <f>'DJB Daily Readings'!DQ35-'DJB Daily Readings'!DQ34</f>
        <v>3</v>
      </c>
      <c r="AU27" s="82">
        <f>'DJB Daily Readings'!DT35-'DJB Daily Readings'!DT34</f>
        <v>9.3000000000001819</v>
      </c>
      <c r="AW27" s="82">
        <f>'DJB Daily Readings'!DX35-'DJB Daily Readings'!DX34</f>
        <v>6.5999999999999091</v>
      </c>
      <c r="AX27" s="82">
        <f>'DJB Daily Readings'!DZ35-'DJB Daily Readings'!DZ34</f>
        <v>7.5</v>
      </c>
      <c r="AY27" s="82">
        <f>'DJB Daily Readings'!EB35-'DJB Daily Readings'!EB34</f>
        <v>747.90000000002328</v>
      </c>
      <c r="AZ27" s="82">
        <f>'DJB Daily Readings'!ED35-'DJB Daily Readings'!ED34</f>
        <v>154.10000000000582</v>
      </c>
      <c r="BA27" s="82">
        <f>'DJB Daily Readings'!EG35-'DJB Daily Readings'!EG34</f>
        <v>4600</v>
      </c>
      <c r="BB27" s="82">
        <f>'DJB Daily Readings'!EI35-'DJB Daily Readings'!EI34</f>
        <v>377</v>
      </c>
      <c r="BC27" s="82">
        <f>'DJB Daily Readings'!EQ35-'DJB Daily Readings'!EQ34</f>
        <v>3700</v>
      </c>
      <c r="BD27" s="82">
        <f>'DJB Daily Readings'!EK35-'DJB Daily Readings'!EK34</f>
        <v>780</v>
      </c>
      <c r="BE27" s="82">
        <f>'DJB Daily Readings'!EM35-'DJB Daily Readings'!EM34</f>
        <v>440</v>
      </c>
      <c r="BF27" s="82">
        <f>'DJB Daily Readings'!EO35-'DJB Daily Readings'!EO34</f>
        <v>760</v>
      </c>
      <c r="BG27" s="82">
        <f>('DJB Daily Readings'!ET35-'DJB Daily Readings'!ET34)*1.89</f>
        <v>30.24</v>
      </c>
      <c r="BH27" s="82">
        <f>('DJB Daily Readings'!EV35-'DJB Daily Readings'!EV34)*1.89</f>
        <v>35.909999999999997</v>
      </c>
      <c r="BI27" s="82">
        <f>('DJB Daily Readings'!EZ35-'DJB Daily Readings'!EZ34)*1.89</f>
        <v>34.019999999999996</v>
      </c>
      <c r="BJ27" s="82">
        <f>('DJB Daily Readings'!EX35-'DJB Daily Readings'!EX34)*1.89</f>
        <v>30.24</v>
      </c>
      <c r="BK27" s="82">
        <f>('DJB Daily Readings'!FB35-'DJB Daily Readings'!FB34)*1.89</f>
        <v>64.259999999999991</v>
      </c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>
        <f>237*0.8</f>
        <v>189.60000000000002</v>
      </c>
      <c r="F28" s="79">
        <f>330+109</f>
        <v>439</v>
      </c>
      <c r="G28" s="3">
        <f>'DJB Daily Readings'!C36-'DJB Daily Readings'!C35</f>
        <v>751</v>
      </c>
      <c r="H28" s="3">
        <f>'DJB Daily Readings'!F36-'DJB Daily Readings'!F35</f>
        <v>349</v>
      </c>
      <c r="I28" s="3">
        <f>'DJB Daily Readings'!K36-'DJB Daily Readings'!K35</f>
        <v>250</v>
      </c>
      <c r="J28" s="3">
        <f>'DJB Daily Readings'!K36-'DJB Daily Readings'!K35</f>
        <v>250</v>
      </c>
      <c r="K28" s="3">
        <f>'DJB Daily Readings'!O36-'DJB Daily Readings'!O35</f>
        <v>90.969999999993888</v>
      </c>
      <c r="L28" s="3">
        <f>'DJB Daily Readings'!R36-'DJB Daily Readings'!R35</f>
        <v>6</v>
      </c>
      <c r="M28" s="3">
        <f>'DJB Daily Readings'!U36-'DJB Daily Readings'!U35</f>
        <v>2338.5599999995902</v>
      </c>
      <c r="N28" s="3">
        <f>'DJB Daily Readings'!X36-'DJB Daily Readings'!X35</f>
        <v>4823.2800000011921</v>
      </c>
      <c r="O28" s="3">
        <f>'DJB Daily Readings'!AA36-'DJB Daily Readings'!AA35</f>
        <v>9792.7199999988079</v>
      </c>
      <c r="P28" s="3">
        <f>'DJB Daily Readings'!AD36-'DJB Daily Readings'!AD35</f>
        <v>48.719999998807907</v>
      </c>
      <c r="Q28" s="3">
        <f>'DJB Daily Readings'!AG36-'DJB Daily Readings'!AG35</f>
        <v>146.16000000014901</v>
      </c>
      <c r="R28" s="3">
        <f>'DJB Daily Readings'!AJ36-'DJB Daily Readings'!AJ35</f>
        <v>6090</v>
      </c>
      <c r="S28" s="3">
        <f>'DJB Daily Readings'!AM36-'DJB Daily Readings'!AM35</f>
        <v>4677.1200000029057</v>
      </c>
      <c r="T28" s="3">
        <f>'DJB Daily Readings'!AP36-'DJB Daily Readings'!AP35</f>
        <v>4238.6399999987334</v>
      </c>
      <c r="U28" s="3">
        <f>'DJB Daily Readings'!AS36-'DJB Daily Readings'!AS35</f>
        <v>3897.5999999996275</v>
      </c>
      <c r="V28" s="3">
        <f>'DJB Daily Readings'!AV36-'DJB Daily Readings'!AV35</f>
        <v>5407.9199999980628</v>
      </c>
      <c r="W28" s="3">
        <f>'DJB Daily Readings'!AZ36-'DJB Daily Readings'!AZ35</f>
        <v>51300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183.32999999999998</v>
      </c>
      <c r="AA28" s="3">
        <f>('DJB Daily Readings'!CN36-'DJB Daily Readings'!CN35)*1.89</f>
        <v>198.45</v>
      </c>
      <c r="AB28" s="3">
        <f>('DJB Daily Readings'!CQ36-'DJB Daily Readings'!CQ35)*1.89</f>
        <v>803.25</v>
      </c>
      <c r="AC28" s="3">
        <f>'DJB Daily Readings'!CT36-'DJB Daily Readings'!CT35</f>
        <v>194</v>
      </c>
      <c r="AD28" s="84">
        <f>('DJB Daily Readings'!BY36-'DJB Daily Readings'!BY35)*1.89</f>
        <v>39.69</v>
      </c>
      <c r="AE28" s="84">
        <f>('DJB Daily Readings'!CA36-'DJB Daily Readings'!CA35)*1.89</f>
        <v>37.799999999999997</v>
      </c>
      <c r="AF28" s="84">
        <f>('DJB Daily Readings'!CC36-'DJB Daily Readings'!CC35)*1.89</f>
        <v>7.56</v>
      </c>
      <c r="AG28" s="84">
        <f>('DJB Daily Readings'!CE36-'DJB Daily Readings'!CE35)*1.89</f>
        <v>20.79</v>
      </c>
      <c r="AH28" s="84">
        <f>('DJB Daily Readings'!CG36-'DJB Daily Readings'!CG35)*1.89</f>
        <v>18.899999999999999</v>
      </c>
      <c r="AI28" s="84">
        <f>('DJB Daily Readings'!CI36-'DJB Daily Readings'!CI35)*1.89</f>
        <v>51.029999999999994</v>
      </c>
      <c r="AJ28" s="81">
        <f>'DJB Daily Readings'!CY36-'DJB Daily Readings'!CY35</f>
        <v>9</v>
      </c>
      <c r="AK28" s="81">
        <f>'DJB Daily Readings'!CW36-'DJB Daily Readings'!CW35</f>
        <v>3</v>
      </c>
      <c r="AL28" s="82">
        <f>'DJB Daily Readings'!DC36-'DJB Daily Readings'!DC35</f>
        <v>18</v>
      </c>
      <c r="AM28" s="82">
        <f>'DJB Daily Readings'!DA36-'DJB Daily Readings'!DA35</f>
        <v>26</v>
      </c>
      <c r="AN28" s="82">
        <f>'DJB Daily Readings'!DG36-'DJB Daily Readings'!DG35</f>
        <v>13</v>
      </c>
      <c r="AO28" s="82">
        <f>'DJB Daily Readings'!DE36-'DJB Daily Readings'!DE35</f>
        <v>12</v>
      </c>
      <c r="AP28" s="82">
        <f>'DJB Daily Readings'!DK36-'DJB Daily Readings'!DK35</f>
        <v>24</v>
      </c>
      <c r="AQ28" s="82">
        <f>'DJB Daily Readings'!DI36-'DJB Daily Readings'!DI35</f>
        <v>15</v>
      </c>
      <c r="AR28" s="82">
        <f>'DJB Daily Readings'!DO36-'DJB Daily Readings'!DO35</f>
        <v>7</v>
      </c>
      <c r="AS28" s="82">
        <f>'DJB Daily Readings'!DM36-'DJB Daily Readings'!DM35</f>
        <v>5</v>
      </c>
      <c r="AT28" s="82">
        <f>'DJB Daily Readings'!DQ36-'DJB Daily Readings'!DQ35</f>
        <v>9</v>
      </c>
      <c r="AU28" s="82">
        <f>'DJB Daily Readings'!DT36-'DJB Daily Readings'!DT35</f>
        <v>9.1999999999998181</v>
      </c>
      <c r="AW28" s="82">
        <f>'DJB Daily Readings'!DX36-'DJB Daily Readings'!DX35</f>
        <v>9.6999999999998181</v>
      </c>
      <c r="AX28" s="82">
        <f>'DJB Daily Readings'!DZ36-'DJB Daily Readings'!DZ35</f>
        <v>5.9000000000000909</v>
      </c>
      <c r="AY28" s="82">
        <f>'DJB Daily Readings'!EB36-'DJB Daily Readings'!EB35</f>
        <v>571</v>
      </c>
      <c r="AZ28" s="82">
        <f>'DJB Daily Readings'!ED36-'DJB Daily Readings'!ED35</f>
        <v>152.80000000001746</v>
      </c>
      <c r="BA28" s="82">
        <f>'DJB Daily Readings'!EG36-'DJB Daily Readings'!EG35</f>
        <v>3400</v>
      </c>
      <c r="BB28" s="82">
        <f>'DJB Daily Readings'!EI36-'DJB Daily Readings'!EI35</f>
        <v>310</v>
      </c>
      <c r="BC28" s="82">
        <f>'DJB Daily Readings'!EQ36-'DJB Daily Readings'!EQ35</f>
        <v>3200</v>
      </c>
      <c r="BD28" s="82">
        <f>'DJB Daily Readings'!EK36-'DJB Daily Readings'!EK35</f>
        <v>700</v>
      </c>
      <c r="BE28" s="82">
        <f>'DJB Daily Readings'!EM36-'DJB Daily Readings'!EM35</f>
        <v>400</v>
      </c>
      <c r="BF28" s="82">
        <f>'DJB Daily Readings'!EO36-'DJB Daily Readings'!EO35</f>
        <v>750</v>
      </c>
      <c r="BG28" s="82">
        <f>('DJB Daily Readings'!ET36-'DJB Daily Readings'!ET35)*1.89</f>
        <v>28.349999999999998</v>
      </c>
      <c r="BH28" s="82">
        <f>('DJB Daily Readings'!EV36-'DJB Daily Readings'!EV35)*1.89</f>
        <v>35.909999999999997</v>
      </c>
      <c r="BI28" s="82">
        <f>('DJB Daily Readings'!EZ36-'DJB Daily Readings'!EZ35)*1.89</f>
        <v>35.909999999999997</v>
      </c>
      <c r="BJ28" s="82">
        <f>('DJB Daily Readings'!EX36-'DJB Daily Readings'!EX35)*1.89</f>
        <v>26.459999999999997</v>
      </c>
      <c r="BK28" s="82">
        <f>('DJB Daily Readings'!FB36-'DJB Daily Readings'!FB35)*1.89</f>
        <v>62.37</v>
      </c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>
        <f>237*0.75</f>
        <v>177.75</v>
      </c>
      <c r="F29" s="79">
        <f>359+112</f>
        <v>471</v>
      </c>
      <c r="G29" s="3">
        <f>'DJB Daily Readings'!C37-'DJB Daily Readings'!C36</f>
        <v>989</v>
      </c>
      <c r="H29" s="3">
        <f>'DJB Daily Readings'!F37-'DJB Daily Readings'!F36</f>
        <v>557.00999999999476</v>
      </c>
      <c r="I29" s="3">
        <f>'DJB Daily Readings'!K37-'DJB Daily Readings'!K36</f>
        <v>347.5</v>
      </c>
      <c r="J29" s="3">
        <f>'DJB Daily Readings'!K37-'DJB Daily Readings'!K36</f>
        <v>347.5</v>
      </c>
      <c r="K29" s="3">
        <f>'DJB Daily Readings'!O37-'DJB Daily Readings'!O36</f>
        <v>84.620000000002619</v>
      </c>
      <c r="L29" s="3">
        <f>'DJB Daily Readings'!R37-'DJB Daily Readings'!R36</f>
        <v>15</v>
      </c>
      <c r="M29" s="3">
        <f>'DJB Daily Readings'!U37-'DJB Daily Readings'!U36</f>
        <v>2046.2400000002235</v>
      </c>
      <c r="N29" s="3">
        <f>'DJB Daily Readings'!X37-'DJB Daily Readings'!X36</f>
        <v>5018.160000000149</v>
      </c>
      <c r="O29" s="3">
        <f>'DJB Daily Readings'!AA37-'DJB Daily Readings'!AA36</f>
        <v>10767.120000001043</v>
      </c>
      <c r="P29" s="3">
        <f>'DJB Daily Readings'!AD37-'DJB Daily Readings'!AD36</f>
        <v>97.439999999478459</v>
      </c>
      <c r="Q29" s="3">
        <f>'DJB Daily Readings'!AG37-'DJB Daily Readings'!AG36</f>
        <v>146.16000000014901</v>
      </c>
      <c r="R29" s="3">
        <f>'DJB Daily Readings'!AJ37-'DJB Daily Readings'!AJ36</f>
        <v>6187.4399999994785</v>
      </c>
      <c r="S29" s="3">
        <f>'DJB Daily Readings'!AM37-'DJB Daily Readings'!AM36</f>
        <v>4628.3999999985099</v>
      </c>
      <c r="T29" s="3">
        <f>'DJB Daily Readings'!AP37-'DJB Daily Readings'!AP36</f>
        <v>4774.5600000023842</v>
      </c>
      <c r="U29" s="3">
        <f>'DJB Daily Readings'!AS37-'DJB Daily Readings'!AS36</f>
        <v>3507.839999999851</v>
      </c>
      <c r="V29" s="3">
        <f>'DJB Daily Readings'!AV37-'DJB Daily Readings'!AV36</f>
        <v>6090</v>
      </c>
      <c r="W29" s="3">
        <f>'DJB Daily Readings'!AZ37-'DJB Daily Readings'!AZ36</f>
        <v>48200</v>
      </c>
      <c r="X29" s="3">
        <f>'DJB Daily Readings'!BC37-'DJB Daily Readings'!BC36</f>
        <v>0</v>
      </c>
      <c r="Y29" s="3">
        <f>'DJB Daily Readings'!BF37-'DJB Daily Readings'!BF36</f>
        <v>0</v>
      </c>
      <c r="Z29" s="3">
        <f>('DJB Daily Readings'!CK37-'DJB Daily Readings'!CK36)*1.89</f>
        <v>196.56</v>
      </c>
      <c r="AA29" s="3">
        <f>('DJB Daily Readings'!CN37-'DJB Daily Readings'!CN36)*1.89</f>
        <v>244.47150000001099</v>
      </c>
      <c r="AB29" s="3">
        <f>('DJB Daily Readings'!CQ37-'DJB Daily Readings'!CQ36)*1.89</f>
        <v>741.93839999999557</v>
      </c>
      <c r="AC29" s="3">
        <f>'DJB Daily Readings'!CT37-'DJB Daily Readings'!CT36</f>
        <v>233</v>
      </c>
      <c r="AD29" s="84">
        <f>('DJB Daily Readings'!BY37-'DJB Daily Readings'!BY36)*1.89</f>
        <v>37.799999999999997</v>
      </c>
      <c r="AE29" s="84">
        <f>('DJB Daily Readings'!CA37-'DJB Daily Readings'!CA36)*1.89</f>
        <v>37.799999999999997</v>
      </c>
      <c r="AF29" s="84">
        <f>('DJB Daily Readings'!CC37-'DJB Daily Readings'!CC36)*1.89</f>
        <v>11.34</v>
      </c>
      <c r="AG29" s="84">
        <f>('DJB Daily Readings'!CE37-'DJB Daily Readings'!CE36)*1.89</f>
        <v>18.899999999999999</v>
      </c>
      <c r="AH29" s="84">
        <f>('DJB Daily Readings'!CG37-'DJB Daily Readings'!CG36)*1.89</f>
        <v>18.899999999999999</v>
      </c>
      <c r="AI29" s="84">
        <f>('DJB Daily Readings'!CI37-'DJB Daily Readings'!CI36)*1.89</f>
        <v>54.809999999999995</v>
      </c>
      <c r="AJ29" s="81">
        <f>'DJB Daily Readings'!CY37-'DJB Daily Readings'!CY36</f>
        <v>8.6999999999998181</v>
      </c>
      <c r="AK29" s="81">
        <f>'DJB Daily Readings'!CW37-'DJB Daily Readings'!CW36</f>
        <v>3</v>
      </c>
      <c r="AL29" s="82">
        <f>'DJB Daily Readings'!DC37-'DJB Daily Readings'!DC36</f>
        <v>-27796</v>
      </c>
      <c r="AM29" s="82">
        <f>'DJB Daily Readings'!DA37-'DJB Daily Readings'!DA36</f>
        <v>-27112</v>
      </c>
      <c r="AN29" s="82">
        <f>'DJB Daily Readings'!DG37-'DJB Daily Readings'!DG36</f>
        <v>-21923</v>
      </c>
      <c r="AO29" s="82">
        <f>'DJB Daily Readings'!DE37-'DJB Daily Readings'!DE36</f>
        <v>-18807</v>
      </c>
      <c r="AP29" s="82">
        <f>'DJB Daily Readings'!DK37-'DJB Daily Readings'!DK36</f>
        <v>-6975</v>
      </c>
      <c r="AQ29" s="82">
        <f>'DJB Daily Readings'!DI37-'DJB Daily Readings'!DI36</f>
        <v>-3428</v>
      </c>
      <c r="AR29" s="82">
        <f>'DJB Daily Readings'!DO37-'DJB Daily Readings'!DO36</f>
        <v>-3705</v>
      </c>
      <c r="AS29" s="82">
        <f>'DJB Daily Readings'!DM37-'DJB Daily Readings'!DM36</f>
        <v>-1881</v>
      </c>
      <c r="AT29" s="82">
        <f>'DJB Daily Readings'!DQ37-'DJB Daily Readings'!DQ36</f>
        <v>-26380</v>
      </c>
      <c r="AU29" s="82">
        <f>'DJB Daily Readings'!DT37-'DJB Daily Readings'!DT36</f>
        <v>-3278.1</v>
      </c>
      <c r="AW29" s="82">
        <f>'DJB Daily Readings'!DX37-'DJB Daily Readings'!DX36</f>
        <v>-2465.1999999999998</v>
      </c>
      <c r="AX29" s="82">
        <f>'DJB Daily Readings'!DZ37-'DJB Daily Readings'!DZ36</f>
        <v>-2614.6</v>
      </c>
      <c r="AY29" s="82">
        <f>'DJB Daily Readings'!EB37-'DJB Daily Readings'!EB36</f>
        <v>-883584</v>
      </c>
      <c r="AZ29" s="82">
        <f>'DJB Daily Readings'!ED37-'DJB Daily Readings'!ED36</f>
        <v>-179166.2</v>
      </c>
      <c r="BA29" s="82">
        <f>'DJB Daily Readings'!EG37-'DJB Daily Readings'!EG36</f>
        <v>-10482600</v>
      </c>
      <c r="BB29" s="82">
        <f>'DJB Daily Readings'!EI37-'DJB Daily Readings'!EI36</f>
        <v>-831860</v>
      </c>
      <c r="BC29" s="82">
        <f>'DJB Daily Readings'!EQ37-'DJB Daily Readings'!EQ36</f>
        <v>-14348600</v>
      </c>
      <c r="BD29" s="82">
        <f>'DJB Daily Readings'!EK37-'DJB Daily Readings'!EK36</f>
        <v>-6422800</v>
      </c>
      <c r="BE29" s="82">
        <f>'DJB Daily Readings'!EM37-'DJB Daily Readings'!EM36</f>
        <v>-2257900</v>
      </c>
      <c r="BF29" s="82">
        <f>'DJB Daily Readings'!EO37-'DJB Daily Readings'!EO36</f>
        <v>-1007990</v>
      </c>
      <c r="BG29" s="82">
        <f>('DJB Daily Readings'!ET37-'DJB Daily Readings'!ET36)*1.89</f>
        <v>-71419.319999999992</v>
      </c>
      <c r="BH29" s="82">
        <f>('DJB Daily Readings'!EV37-'DJB Daily Readings'!EV36)*1.89</f>
        <v>-61772.759999999995</v>
      </c>
      <c r="BI29" s="82">
        <f>('DJB Daily Readings'!EZ37-'DJB Daily Readings'!EZ36)*1.89</f>
        <v>-102948.29999999999</v>
      </c>
      <c r="BJ29" s="82">
        <f>('DJB Daily Readings'!EX37-'DJB Daily Readings'!EX36)*1.89</f>
        <v>-7244.37</v>
      </c>
      <c r="BK29" s="82">
        <f>('DJB Daily Readings'!FB37-'DJB Daily Readings'!FB36)*1.89</f>
        <v>-72475.83</v>
      </c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>
        <f>237*0.81</f>
        <v>191.97</v>
      </c>
      <c r="F30" s="79">
        <f>358+102</f>
        <v>460</v>
      </c>
      <c r="G30" s="3">
        <f>'DJB Daily Readings'!C38-'DJB Daily Readings'!C37</f>
        <v>769</v>
      </c>
      <c r="H30" s="3">
        <f>'DJB Daily Readings'!F38-'DJB Daily Readings'!F37</f>
        <v>484.49000000000524</v>
      </c>
      <c r="I30" s="3">
        <f>'DJB Daily Readings'!K38-'DJB Daily Readings'!K37</f>
        <v>187.5</v>
      </c>
      <c r="J30" s="3">
        <f>'DJB Daily Readings'!K38-'DJB Daily Readings'!K37</f>
        <v>187.5</v>
      </c>
      <c r="K30" s="3">
        <f>'DJB Daily Readings'!O38-'DJB Daily Readings'!O37</f>
        <v>83.770000000004075</v>
      </c>
      <c r="L30" s="3">
        <f>'DJB Daily Readings'!R38-'DJB Daily Readings'!R37</f>
        <v>15</v>
      </c>
      <c r="M30" s="3">
        <f>'DJB Daily Readings'!U38-'DJB Daily Readings'!U37</f>
        <v>1705.2000000001863</v>
      </c>
      <c r="N30" s="3">
        <f>'DJB Daily Readings'!X38-'DJB Daily Readings'!X37</f>
        <v>4336.0800000000745</v>
      </c>
      <c r="O30" s="3">
        <f>'DJB Daily Readings'!AA38-'DJB Daily Readings'!AA37</f>
        <v>9597.839999999851</v>
      </c>
      <c r="P30" s="3">
        <f>'DJB Daily Readings'!AD38-'DJB Daily Readings'!AD37</f>
        <v>-48.720000000670552</v>
      </c>
      <c r="Q30" s="3">
        <f>'DJB Daily Readings'!AG38-'DJB Daily Readings'!AG37</f>
        <v>97.440000001341105</v>
      </c>
      <c r="R30" s="3">
        <f>'DJB Daily Readings'!AJ38-'DJB Daily Readings'!AJ37</f>
        <v>5505.359999999404</v>
      </c>
      <c r="S30" s="3">
        <f>'DJB Daily Readings'!AM38-'DJB Daily Readings'!AM37</f>
        <v>4092.4799999985844</v>
      </c>
      <c r="T30" s="3">
        <f>'DJB Daily Readings'!AP38-'DJB Daily Readings'!AP37</f>
        <v>3995.0399999972433</v>
      </c>
      <c r="U30" s="3">
        <f>'DJB Daily Readings'!AS38-'DJB Daily Readings'!AS37</f>
        <v>2971.9200000017881</v>
      </c>
      <c r="V30" s="3">
        <f>'DJB Daily Readings'!AV38-'DJB Daily Readings'!AV37</f>
        <v>5261.7600000016391</v>
      </c>
      <c r="W30" s="3">
        <f>'DJB Daily Readings'!AZ38-'DJB Daily Readings'!AZ37</f>
        <v>48700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170.1</v>
      </c>
      <c r="AA30" s="3">
        <f>('DJB Daily Readings'!CN38-'DJB Daily Readings'!CN37)*1.89</f>
        <v>226.13849999998899</v>
      </c>
      <c r="AB30" s="3">
        <f>('DJB Daily Readings'!CQ38-'DJB Daily Readings'!CQ37)*1.89</f>
        <v>590.51160000000436</v>
      </c>
      <c r="AC30" s="3">
        <f>'DJB Daily Readings'!CT38-'DJB Daily Readings'!CT37</f>
        <v>187</v>
      </c>
      <c r="AD30" s="84">
        <f>('DJB Daily Readings'!BY38-'DJB Daily Readings'!BY37)*1.89</f>
        <v>41.58</v>
      </c>
      <c r="AE30" s="84">
        <f>('DJB Daily Readings'!CA38-'DJB Daily Readings'!CA37)*1.89</f>
        <v>32.129999999999995</v>
      </c>
      <c r="AF30" s="84">
        <f>('DJB Daily Readings'!CC38-'DJB Daily Readings'!CC37)*1.89</f>
        <v>11.34</v>
      </c>
      <c r="AG30" s="84">
        <f>('DJB Daily Readings'!CE38-'DJB Daily Readings'!CE37)*1.89</f>
        <v>28.349999999999998</v>
      </c>
      <c r="AH30" s="84">
        <f>('DJB Daily Readings'!CG38-'DJB Daily Readings'!CG37)*1.89</f>
        <v>15.12</v>
      </c>
      <c r="AI30" s="84">
        <f>('DJB Daily Readings'!CI38-'DJB Daily Readings'!CI37)*1.89</f>
        <v>52.919999999999995</v>
      </c>
      <c r="AJ30" s="81">
        <f>'DJB Daily Readings'!CY38-'DJB Daily Readings'!CY37</f>
        <v>10</v>
      </c>
      <c r="AK30" s="81">
        <f>'DJB Daily Readings'!CW38-'DJB Daily Readings'!CW37</f>
        <v>2</v>
      </c>
      <c r="AL30" s="82">
        <f>'DJB Daily Readings'!DC38-'DJB Daily Readings'!DC37</f>
        <v>0</v>
      </c>
      <c r="AM30" s="82">
        <f>'DJB Daily Readings'!DA38-'DJB Daily Readings'!DA37</f>
        <v>0</v>
      </c>
      <c r="AN30" s="82">
        <f>'DJB Daily Readings'!DG38-'DJB Daily Readings'!DG37</f>
        <v>0</v>
      </c>
      <c r="AO30" s="82">
        <f>'DJB Daily Readings'!DE38-'DJB Daily Readings'!DE37</f>
        <v>0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0</v>
      </c>
      <c r="AT30" s="82">
        <f>'DJB Daily Readings'!DQ38-'DJB Daily Readings'!DQ37</f>
        <v>0</v>
      </c>
      <c r="AU30" s="82">
        <f>'DJB Daily Readings'!DT38-'DJB Daily Readings'!DT37</f>
        <v>0</v>
      </c>
      <c r="AW30" s="82">
        <f>'DJB Daily Readings'!DX38-'DJB Daily Readings'!DX37</f>
        <v>0</v>
      </c>
      <c r="AX30" s="82">
        <f>'DJB Daily Readings'!DZ38-'DJB Daily Readings'!DZ37</f>
        <v>0</v>
      </c>
      <c r="AY30" s="82">
        <f>'DJB Daily Readings'!EB38-'DJB Daily Readings'!EB37</f>
        <v>0</v>
      </c>
      <c r="AZ30" s="82">
        <f>'DJB Daily Readings'!ED38-'DJB Daily Readings'!ED37</f>
        <v>0</v>
      </c>
      <c r="BA30" s="82">
        <f>'DJB Daily Readings'!EG38-'DJB Daily Readings'!EG37</f>
        <v>0</v>
      </c>
      <c r="BB30" s="82">
        <f>'DJB Daily Readings'!EI38-'DJB Daily Readings'!EI37</f>
        <v>0</v>
      </c>
      <c r="BC30" s="82">
        <f>'DJB Daily Readings'!EQ38-'DJB Daily Readings'!EQ37</f>
        <v>0</v>
      </c>
      <c r="BD30" s="82">
        <f>'DJB Daily Readings'!EK38-'DJB Daily Readings'!EK37</f>
        <v>0</v>
      </c>
      <c r="BE30" s="82">
        <f>'DJB Daily Readings'!EM38-'DJB Daily Readings'!EM37</f>
        <v>0</v>
      </c>
      <c r="BF30" s="82">
        <f>'DJB Daily Readings'!EO38-'DJB Daily Readings'!EO37</f>
        <v>0</v>
      </c>
      <c r="BG30" s="82">
        <f>('DJB Daily Readings'!ET38-'DJB Daily Readings'!ET37)*1.89</f>
        <v>0</v>
      </c>
      <c r="BH30" s="82">
        <f>('DJB Daily Readings'!EV38-'DJB Daily Readings'!EV37)*1.89</f>
        <v>0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0</v>
      </c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>
        <f>237*0.84</f>
        <v>199.07999999999998</v>
      </c>
      <c r="F31" s="79">
        <f>348+99</f>
        <v>447</v>
      </c>
      <c r="G31" s="3">
        <f>'DJB Daily Readings'!C39-'DJB Daily Readings'!C38</f>
        <v>828</v>
      </c>
      <c r="H31" s="3">
        <f>'DJB Daily Readings'!F39-'DJB Daily Readings'!F38</f>
        <v>537.5</v>
      </c>
      <c r="I31" s="3">
        <f>'DJB Daily Readings'!K39-'DJB Daily Readings'!K38</f>
        <v>184</v>
      </c>
      <c r="J31" s="3">
        <f>'DJB Daily Readings'!K39-'DJB Daily Readings'!K38</f>
        <v>184</v>
      </c>
      <c r="K31" s="3">
        <f>'DJB Daily Readings'!O39-'DJB Daily Readings'!O38</f>
        <v>90.009999999994761</v>
      </c>
      <c r="L31" s="3">
        <f>'DJB Daily Readings'!R39-'DJB Daily Readings'!R38</f>
        <v>15</v>
      </c>
      <c r="M31" s="3">
        <f>'DJB Daily Readings'!U39-'DJB Daily Readings'!U38</f>
        <v>1948.7999999998137</v>
      </c>
      <c r="N31" s="3">
        <f>'DJB Daily Readings'!X39-'DJB Daily Readings'!X38</f>
        <v>4774.5599999986589</v>
      </c>
      <c r="O31" s="3">
        <f>'DJB Daily Readings'!AA39-'DJB Daily Readings'!AA38</f>
        <v>3459.1199999991804</v>
      </c>
      <c r="P31" s="3">
        <f>'DJB Daily Readings'!AD39-'DJB Daily Readings'!AD38</f>
        <v>48.720000000670552</v>
      </c>
      <c r="Q31" s="3">
        <f>'DJB Daily Readings'!AG39-'DJB Daily Readings'!AG38</f>
        <v>8574.7199999988079</v>
      </c>
      <c r="R31" s="3">
        <f>'DJB Daily Readings'!AJ39-'DJB Daily Readings'!AJ38</f>
        <v>5992.5600000005215</v>
      </c>
      <c r="S31" s="3">
        <f>'DJB Daily Readings'!AM39-'DJB Daily Readings'!AM38</f>
        <v>4482.2400000020862</v>
      </c>
      <c r="T31" s="3">
        <f>'DJB Daily Readings'!AP39-'DJB Daily Readings'!AP38</f>
        <v>4482.2400000020862</v>
      </c>
      <c r="U31" s="3">
        <f>'DJB Daily Readings'!AS39-'DJB Daily Readings'!AS38</f>
        <v>6625.9199999999255</v>
      </c>
      <c r="V31" s="3">
        <f>'DJB Daily Readings'!AV39-'DJB Daily Readings'!AV38</f>
        <v>5992.5600000005215</v>
      </c>
      <c r="W31" s="3">
        <f>'DJB Daily Readings'!AZ39-'DJB Daily Readings'!AZ38</f>
        <v>11300</v>
      </c>
      <c r="X31" s="3">
        <f>'DJB Daily Readings'!BC39-'DJB Daily Readings'!BC38</f>
        <v>0</v>
      </c>
      <c r="Y31" s="3">
        <f>'DJB Daily Readings'!BF39-'DJB Daily Readings'!BF38</f>
        <v>37400</v>
      </c>
      <c r="Z31" s="3">
        <f>('DJB Daily Readings'!CK39-'DJB Daily Readings'!CK38)*1.89</f>
        <v>190.89</v>
      </c>
      <c r="AA31" s="3">
        <f>('DJB Daily Readings'!CN39-'DJB Daily Readings'!CN38)*1.89</f>
        <v>236.25</v>
      </c>
      <c r="AB31" s="3">
        <f>('DJB Daily Readings'!CQ39-'DJB Daily Readings'!CQ38)*1.89</f>
        <v>650.16</v>
      </c>
      <c r="AC31" s="3">
        <f>'DJB Daily Readings'!CT39-'DJB Daily Readings'!CT38</f>
        <v>223</v>
      </c>
      <c r="AD31" s="84">
        <f>('DJB Daily Readings'!BY39-'DJB Daily Readings'!BY38)*1.89</f>
        <v>45.36</v>
      </c>
      <c r="AE31" s="84">
        <f>('DJB Daily Readings'!CA39-'DJB Daily Readings'!CA38)*1.89</f>
        <v>37.799999999999997</v>
      </c>
      <c r="AF31" s="84">
        <f>('DJB Daily Readings'!CC39-'DJB Daily Readings'!CC38)*1.89</f>
        <v>13.229999999999999</v>
      </c>
      <c r="AG31" s="84">
        <f>('DJB Daily Readings'!CE39-'DJB Daily Readings'!CE38)*1.89</f>
        <v>24.57</v>
      </c>
      <c r="AH31" s="84">
        <f>('DJB Daily Readings'!CG39-'DJB Daily Readings'!CG38)*1.89</f>
        <v>18.899999999999999</v>
      </c>
      <c r="AI31" s="84">
        <f>('DJB Daily Readings'!CI39-'DJB Daily Readings'!CI38)*1.89</f>
        <v>51.029999999999994</v>
      </c>
      <c r="AJ31" s="81">
        <f>'DJB Daily Readings'!CY39-'DJB Daily Readings'!CY38</f>
        <v>11</v>
      </c>
      <c r="AK31" s="81">
        <f>'DJB Daily Readings'!CW39-'DJB Daily Readings'!CW38</f>
        <v>4</v>
      </c>
      <c r="AL31" s="82">
        <f>'DJB Daily Readings'!DC39-'DJB Daily Readings'!DC38</f>
        <v>0</v>
      </c>
      <c r="AM31" s="82">
        <f>'DJB Daily Readings'!DA39-'DJB Daily Readings'!DA38</f>
        <v>0</v>
      </c>
      <c r="AN31" s="82">
        <f>'DJB Daily Readings'!DG39-'DJB Daily Readings'!DG38</f>
        <v>0</v>
      </c>
      <c r="AO31" s="82">
        <f>'DJB Daily Readings'!DE39-'DJB Daily Readings'!DE38</f>
        <v>0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0</v>
      </c>
      <c r="AS31" s="82">
        <f>'DJB Daily Readings'!DM39-'DJB Daily Readings'!DM38</f>
        <v>0</v>
      </c>
      <c r="AT31" s="82">
        <f>'DJB Daily Readings'!DQ39-'DJB Daily Readings'!DQ38</f>
        <v>0</v>
      </c>
      <c r="AU31" s="82">
        <f>'DJB Daily Readings'!DT39-'DJB Daily Readings'!DT38</f>
        <v>0</v>
      </c>
      <c r="AW31" s="82">
        <f>'DJB Daily Readings'!DX39-'DJB Daily Readings'!DX38</f>
        <v>0</v>
      </c>
      <c r="AX31" s="82">
        <f>'DJB Daily Readings'!DZ39-'DJB Daily Readings'!DZ38</f>
        <v>0</v>
      </c>
      <c r="AY31" s="82">
        <f>'DJB Daily Readings'!EB39-'DJB Daily Readings'!EB38</f>
        <v>0</v>
      </c>
      <c r="AZ31" s="82">
        <f>'DJB Daily Readings'!ED39-'DJB Daily Readings'!ED38</f>
        <v>0</v>
      </c>
      <c r="BA31" s="82">
        <f>'DJB Daily Readings'!EG39-'DJB Daily Readings'!EG38</f>
        <v>0</v>
      </c>
      <c r="BB31" s="82">
        <f>'DJB Daily Readings'!EI39-'DJB Daily Readings'!EI38</f>
        <v>0</v>
      </c>
      <c r="BC31" s="82">
        <f>'DJB Daily Readings'!EQ39-'DJB Daily Readings'!EQ38</f>
        <v>0</v>
      </c>
      <c r="BD31" s="82">
        <f>'DJB Daily Readings'!EK39-'DJB Daily Readings'!EK38</f>
        <v>0</v>
      </c>
      <c r="BE31" s="82">
        <f>'DJB Daily Readings'!EM39-'DJB Daily Readings'!EM38</f>
        <v>0</v>
      </c>
      <c r="BF31" s="82">
        <f>'DJB Daily Readings'!EO39-'DJB Daily Readings'!EO38</f>
        <v>0</v>
      </c>
      <c r="BG31" s="82">
        <f>('DJB Daily Readings'!ET39-'DJB Daily Readings'!ET38)*1.89</f>
        <v>0</v>
      </c>
      <c r="BH31" s="82">
        <f>('DJB Daily Readings'!EV39-'DJB Daily Readings'!EV38)*1.89</f>
        <v>0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0</v>
      </c>
    </row>
    <row r="32" spans="1:63" x14ac:dyDescent="0.25">
      <c r="A32" t="s">
        <v>59</v>
      </c>
      <c r="B32">
        <f t="shared" si="0"/>
        <v>31</v>
      </c>
      <c r="C32">
        <v>12</v>
      </c>
      <c r="D32">
        <v>2021</v>
      </c>
      <c r="E32" s="78">
        <f>237*0.88</f>
        <v>208.56</v>
      </c>
      <c r="F32" s="79">
        <f>357+100</f>
        <v>457</v>
      </c>
      <c r="G32" s="3">
        <f>'DJB Daily Readings'!C40-'DJB Daily Readings'!C39</f>
        <v>761</v>
      </c>
      <c r="H32" s="3">
        <f>'DJB Daily Readings'!F40-'DJB Daily Readings'!F39</f>
        <v>476.47000000000116</v>
      </c>
      <c r="I32" s="3">
        <f>'DJB Daily Readings'!K40-'DJB Daily Readings'!K39</f>
        <v>3.5999999999767169</v>
      </c>
      <c r="J32" s="3">
        <f>'DJB Daily Readings'!K40-'DJB Daily Readings'!K39</f>
        <v>3.5999999999767169</v>
      </c>
      <c r="K32" s="3">
        <f>'DJB Daily Readings'!O40-'DJB Daily Readings'!O39</f>
        <v>85.430000000000291</v>
      </c>
      <c r="L32" s="3">
        <f>'DJB Daily Readings'!R40-'DJB Daily Readings'!R39</f>
        <v>13</v>
      </c>
      <c r="M32" s="3">
        <f>'DJB Daily Readings'!U40-'DJB Daily Readings'!U39</f>
        <v>1926</v>
      </c>
      <c r="N32" s="3">
        <f>'DJB Daily Readings'!X40-'DJB Daily Readings'!X39</f>
        <v>4725.8400000017136</v>
      </c>
      <c r="O32" s="3">
        <f>'DJB Daily Readings'!AA40-'DJB Daily Readings'!AA39</f>
        <v>1510.320000000298</v>
      </c>
      <c r="P32" s="3">
        <f>'DJB Daily Readings'!AD40-'DJB Daily Readings'!AD39</f>
        <v>48.719999998807907</v>
      </c>
      <c r="Q32" s="3">
        <f>'DJB Daily Readings'!AG40-'DJB Daily Readings'!AG39</f>
        <v>9305.519999999553</v>
      </c>
      <c r="R32" s="3">
        <f>'DJB Daily Readings'!AJ40-'DJB Daily Readings'!AJ39</f>
        <v>5700.2400000002235</v>
      </c>
      <c r="S32" s="3">
        <f>'DJB Daily Readings'!AM40-'DJB Daily Readings'!AM39</f>
        <v>4920.7200000006706</v>
      </c>
      <c r="T32" s="3">
        <f>'DJB Daily Readings'!AP40-'DJB Daily Readings'!AP39</f>
        <v>4287.359999999404</v>
      </c>
      <c r="U32" s="3">
        <f>'DJB Daily Readings'!AS40-'DJB Daily Readings'!AS39</f>
        <v>2894</v>
      </c>
      <c r="V32" s="3">
        <f>'DJB Daily Readings'!AV40-'DJB Daily Readings'!AV39</f>
        <v>5846.3999999985099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48100</v>
      </c>
      <c r="Z32" s="3">
        <f>('DJB Daily Readings'!CK40-'DJB Daily Readings'!CK39)*1.89</f>
        <v>183.89699999997799</v>
      </c>
      <c r="AA32" s="3">
        <f>('DJB Daily Readings'!CN40-'DJB Daily Readings'!CN39)*1.89</f>
        <v>243.58320000000879</v>
      </c>
      <c r="AB32" s="3">
        <f>('DJB Daily Readings'!CQ40-'DJB Daily Readings'!CQ39)*1.89</f>
        <v>639.27359999998237</v>
      </c>
      <c r="AC32" s="3">
        <f>'DJB Daily Readings'!CT40-'DJB Daily Readings'!CT39</f>
        <v>214</v>
      </c>
      <c r="AD32" s="84">
        <f>('DJB Daily Readings'!BY40-'DJB Daily Readings'!BY39)*1.89</f>
        <v>37.799999999999997</v>
      </c>
      <c r="AE32" s="84">
        <f>('DJB Daily Readings'!CA40-'DJB Daily Readings'!CA39)*1.89</f>
        <v>37.799999999999997</v>
      </c>
      <c r="AF32" s="84">
        <f>('DJB Daily Readings'!CC40-'DJB Daily Readings'!CC39)*1.89</f>
        <v>9.4499999999999993</v>
      </c>
      <c r="AG32" s="84">
        <f>('DJB Daily Readings'!CE40-'DJB Daily Readings'!CE39)*1.89</f>
        <v>32.129999999999995</v>
      </c>
      <c r="AH32" s="84">
        <f>('DJB Daily Readings'!CG40-'DJB Daily Readings'!CG39)*1.89</f>
        <v>15.12</v>
      </c>
      <c r="AI32" s="84">
        <f>('DJB Daily Readings'!CI40-'DJB Daily Readings'!CI39)*1.89</f>
        <v>49.14</v>
      </c>
      <c r="AJ32" s="81">
        <f>'DJB Daily Readings'!CY40-'DJB Daily Readings'!CY39</f>
        <v>10.769999999999982</v>
      </c>
      <c r="AK32" s="81">
        <f>'DJB Daily Readings'!CW40-'DJB Daily Readings'!CW39</f>
        <v>4</v>
      </c>
      <c r="AL32" s="82">
        <f>'DJB Daily Readings'!DC40-'DJB Daily Readings'!DC39</f>
        <v>0</v>
      </c>
      <c r="AM32" s="82">
        <f>'DJB Daily Readings'!DA40-'DJB Daily Readings'!DA39</f>
        <v>0</v>
      </c>
      <c r="AN32" s="82">
        <f>'DJB Daily Readings'!DG40-'DJB Daily Readings'!DG39</f>
        <v>0</v>
      </c>
      <c r="AO32" s="82">
        <f>'DJB Daily Readings'!DE40-'DJB Daily Readings'!DE39</f>
        <v>0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0</v>
      </c>
      <c r="AS32" s="82">
        <f>'DJB Daily Readings'!DM40-'DJB Daily Readings'!DM39</f>
        <v>0</v>
      </c>
      <c r="AT32" s="82">
        <f>'DJB Daily Readings'!DQ40-'DJB Daily Readings'!DQ39</f>
        <v>0</v>
      </c>
      <c r="AU32" s="82">
        <f>'DJB Daily Readings'!DT40-'DJB Daily Readings'!DT39</f>
        <v>0</v>
      </c>
      <c r="AW32" s="82">
        <f>'DJB Daily Readings'!DX40-'DJB Daily Readings'!DX39</f>
        <v>0</v>
      </c>
      <c r="AX32" s="82">
        <f>'DJB Daily Readings'!DZ40-'DJB Daily Readings'!DZ39</f>
        <v>0</v>
      </c>
      <c r="AY32" s="82">
        <f>'DJB Daily Readings'!EB40-'DJB Daily Readings'!EB39</f>
        <v>0</v>
      </c>
      <c r="AZ32" s="82">
        <f>'DJB Daily Readings'!ED40-'DJB Daily Readings'!ED39</f>
        <v>0</v>
      </c>
      <c r="BA32" s="82">
        <f>'DJB Daily Readings'!EG40-'DJB Daily Readings'!EG39</f>
        <v>0</v>
      </c>
      <c r="BB32" s="82">
        <f>'DJB Daily Readings'!EI40-'DJB Daily Readings'!EI39</f>
        <v>0</v>
      </c>
      <c r="BC32" s="82">
        <f>'DJB Daily Readings'!EQ40-'DJB Daily Readings'!EQ39</f>
        <v>0</v>
      </c>
      <c r="BD32" s="82">
        <f>'DJB Daily Readings'!EK40-'DJB Daily Readings'!EK39</f>
        <v>0</v>
      </c>
      <c r="BE32" s="82">
        <f>'DJB Daily Readings'!EM40-'DJB Daily Readings'!EM39</f>
        <v>0</v>
      </c>
      <c r="BF32" s="82">
        <f>'DJB Daily Readings'!EO40-'DJB Daily Readings'!EO39</f>
        <v>0</v>
      </c>
      <c r="BG32" s="82">
        <f>('DJB Daily Readings'!ET40-'DJB Daily Readings'!ET39)*1.89</f>
        <v>0</v>
      </c>
      <c r="BH32" s="82">
        <f>('DJB Daily Readings'!EV40-'DJB Daily Readings'!EV39)*1.89</f>
        <v>0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Q23" activePane="bottomRight" state="frozen"/>
      <selection pane="topRight" activeCell="B1" sqref="B1"/>
      <selection pane="bottomLeft" activeCell="A9" sqref="A9"/>
      <selection pane="bottomRight" activeCell="CC29" sqref="CC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518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84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391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451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436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375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42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518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84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391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451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436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375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42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518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84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391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451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436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375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42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518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84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391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451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436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375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42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 x14ac:dyDescent="0.25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518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84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391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451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436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375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42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 x14ac:dyDescent="0.25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518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84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391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451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436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375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42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 x14ac:dyDescent="0.25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518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84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391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451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436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375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42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 x14ac:dyDescent="0.25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518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84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391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451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436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375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42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 x14ac:dyDescent="0.25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518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84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391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451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436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375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42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 x14ac:dyDescent="0.25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518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84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391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451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436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375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42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 x14ac:dyDescent="0.25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518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84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391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451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436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375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42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 x14ac:dyDescent="0.25">
      <c r="A24" s="207">
        <v>43845</v>
      </c>
      <c r="B24" s="209">
        <f>'[1]December - 2021'!B24</f>
        <v>0.81</v>
      </c>
      <c r="C24" s="250">
        <f>'[1]December - 2021'!E24</f>
        <v>925562</v>
      </c>
      <c r="D24" s="170">
        <f>'[1]December - 2021'!F24</f>
        <v>746</v>
      </c>
      <c r="E24" s="168">
        <f>'[1]December - 2021'!G24</f>
        <v>495</v>
      </c>
      <c r="F24" s="168">
        <f>'[1]December - 2021'!H24</f>
        <v>92497</v>
      </c>
      <c r="G24" s="170">
        <f>'[1]December - 2021'!I24</f>
        <v>448</v>
      </c>
      <c r="H24" s="168">
        <f>'[1]December - 2021'!J24</f>
        <v>405</v>
      </c>
      <c r="I24" s="168">
        <f>'[1]December - 2021'!K24</f>
        <v>164625</v>
      </c>
      <c r="J24" s="170">
        <f>'[1]December - 2021'!L24</f>
        <v>0</v>
      </c>
      <c r="K24" s="168">
        <f>'[1]December - 2021'!N24</f>
        <v>819326</v>
      </c>
      <c r="L24" s="170">
        <f>'[1]December - 2021'!O24</f>
        <v>204</v>
      </c>
      <c r="M24" s="168">
        <f>'[1]December - 2021'!Q24</f>
        <v>189084</v>
      </c>
      <c r="N24" s="170">
        <f>'[1]December - 2021'!R24</f>
        <v>161</v>
      </c>
      <c r="O24" s="168">
        <f>'[1]December - 2021'!S24</f>
        <v>53527.199999999997</v>
      </c>
      <c r="P24" s="170">
        <f>'[1]December - 2021'!T24</f>
        <v>86.399999999994179</v>
      </c>
      <c r="Q24" s="168">
        <f>'[1]December - 2021'!U24</f>
        <v>39</v>
      </c>
      <c r="R24" s="168">
        <f>'[1]December - 2021'!V24</f>
        <v>3982</v>
      </c>
      <c r="S24" s="208">
        <f>'[1]December - 2021'!W24</f>
        <v>11</v>
      </c>
      <c r="T24" s="518"/>
      <c r="U24" s="169">
        <f>'[1]December - 2021'!AC24</f>
        <v>7190682.2400000002</v>
      </c>
      <c r="V24" s="288">
        <f>'[1]December - 2021'!AD24</f>
        <v>2192.4000000003725</v>
      </c>
      <c r="W24" s="92">
        <f>'[1]December - 2021'!AD24</f>
        <v>2192.4000000003725</v>
      </c>
      <c r="X24" s="287">
        <f>'[1]December - 2021'!AF24</f>
        <v>13778795.52</v>
      </c>
      <c r="Y24" s="288">
        <f>'[1]December - 2021'!AG24</f>
        <v>4628.4000000003725</v>
      </c>
      <c r="Z24" s="92">
        <f>'[1]December - 2021'!AG24</f>
        <v>4628.4000000003725</v>
      </c>
      <c r="AA24" s="287">
        <f>'[1]December - 2021'!AI24</f>
        <v>13702889.76</v>
      </c>
      <c r="AB24" s="288">
        <f>'[1]December - 2021'!AJ24</f>
        <v>97.440000001341105</v>
      </c>
      <c r="AC24" s="92">
        <f>'[1]December - 2021'!AJ24</f>
        <v>97.440000001341105</v>
      </c>
      <c r="AD24" s="287">
        <f>'[1]December - 2021'!AL24</f>
        <v>16750910.4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17076603.599999998</v>
      </c>
      <c r="AH24" s="288">
        <f>'[1]December - 2021'!AP24</f>
        <v>10231.199999999255</v>
      </c>
      <c r="AI24" s="92">
        <f>'[1]December - 2021'!AP24</f>
        <v>10231.199999999255</v>
      </c>
      <c r="AJ24" s="287">
        <f>'[1]December - 2021'!AR24</f>
        <v>15519073.919999998</v>
      </c>
      <c r="AK24" s="288">
        <f>'[1]December - 2021'!AS24</f>
        <v>5602.7999999988824</v>
      </c>
      <c r="AL24" s="92">
        <f>'[1]December - 2021'!AS24</f>
        <v>5602.7999999988824</v>
      </c>
      <c r="AM24" s="287">
        <f>'[1]December - 2021'!AU24</f>
        <v>13202291.76</v>
      </c>
      <c r="AN24" s="288">
        <f>'[1]December - 2021'!AV24</f>
        <v>4579.679999999702</v>
      </c>
      <c r="AO24" s="92">
        <f>'[1]December - 2021'!AV24</f>
        <v>4579.679999999702</v>
      </c>
      <c r="AP24" s="287">
        <f>'[1]December - 2021'!AX24</f>
        <v>12690439.439999999</v>
      </c>
      <c r="AQ24" s="288">
        <f>'[1]December - 2021'!AY24</f>
        <v>4384.7999999988824</v>
      </c>
      <c r="AR24" s="92">
        <f>'[1]December - 2021'!AY24</f>
        <v>4384.7999999988824</v>
      </c>
      <c r="AS24" s="287">
        <f>'[1]December - 2021'!BA24</f>
        <v>10109594.880000001</v>
      </c>
      <c r="AT24" s="288">
        <f>'[1]December - 2021'!BB24</f>
        <v>3507.839999999851</v>
      </c>
      <c r="AU24" s="92">
        <f>'[1]December - 2021'!BB24</f>
        <v>3507.839999999851</v>
      </c>
      <c r="AV24" s="287">
        <f>'[1]December - 2021'!BD24</f>
        <v>15695196.719999999</v>
      </c>
      <c r="AW24" s="252">
        <f>'[1]December - 2021'!BE24</f>
        <v>5359.1999999992549</v>
      </c>
      <c r="AX24" s="253">
        <f>'[1]December - 2021'!BE24</f>
        <v>5359.1999999992549</v>
      </c>
      <c r="AY24" s="484"/>
      <c r="AZ24" s="272">
        <f>'[1]December - 2021'!BK24</f>
        <v>68002400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70700300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64970000</v>
      </c>
      <c r="BG24" s="245">
        <f>'[1]December - 2021'!BR24</f>
        <v>45700</v>
      </c>
      <c r="BH24" s="93">
        <f>'[1]December - 2021'!BR24</f>
        <v>45700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7718890</v>
      </c>
      <c r="BT24" s="185">
        <f>'[1]December - 2021'!BU24</f>
        <v>5170</v>
      </c>
      <c r="BU24" s="391"/>
      <c r="BV24" s="88">
        <f>'[1]December - 2021'!BW24</f>
        <v>0.64</v>
      </c>
      <c r="BW24" s="241">
        <f>'[1]December - 2021'!BX24</f>
        <v>7.999999999999996E-2</v>
      </c>
      <c r="BX24" s="88">
        <f>'[1]December - 2021'!BX24</f>
        <v>7.999999999999996E-2</v>
      </c>
      <c r="BY24" s="89">
        <f>'[1]December - 2021'!BZ24</f>
        <v>57187</v>
      </c>
      <c r="BZ24" s="191">
        <f>'[1]December - 2021'!CA24</f>
        <v>22</v>
      </c>
      <c r="CA24" s="89">
        <f>'[1]December - 2021'!CB24</f>
        <v>48678</v>
      </c>
      <c r="CB24" s="191">
        <f>'[1]December - 2021'!CC24</f>
        <v>20</v>
      </c>
      <c r="CC24" s="89">
        <f>'[1]December - 2021'!CD24</f>
        <v>16734</v>
      </c>
      <c r="CD24" s="191">
        <f>'[1]December - 2021'!CE24</f>
        <v>5</v>
      </c>
      <c r="CE24" s="89">
        <f>'[1]December - 2021'!CF24</f>
        <v>22122</v>
      </c>
      <c r="CF24" s="191">
        <f>'[1]December - 2021'!CG24</f>
        <v>13</v>
      </c>
      <c r="CG24" s="89">
        <f>'[1]December - 2021'!CH24</f>
        <v>24150</v>
      </c>
      <c r="CH24" s="191">
        <f>'[1]December - 2021'!CI24</f>
        <v>16</v>
      </c>
      <c r="CI24" s="89">
        <f>'[1]December - 2021'!CJ24</f>
        <v>53538</v>
      </c>
      <c r="CJ24" s="191">
        <f>'[1]December - 2021'!CK24</f>
        <v>22</v>
      </c>
      <c r="CK24" s="89">
        <f>'[1]December - 2021'!CL24</f>
        <v>234913</v>
      </c>
      <c r="CL24" s="246">
        <f>'[1]December - 2021'!CM24</f>
        <v>106</v>
      </c>
      <c r="CM24" s="89">
        <f>'[1]December - 2021'!CM24</f>
        <v>106</v>
      </c>
      <c r="CN24" s="89">
        <f>'[1]December - 2021'!CO24</f>
        <v>180715</v>
      </c>
      <c r="CO24" s="246">
        <f>'[1]December - 2021'!CP24</f>
        <v>117</v>
      </c>
      <c r="CP24" s="89">
        <f>'[1]December - 2021'!CP24</f>
        <v>117</v>
      </c>
      <c r="CQ24" s="89">
        <f>'[1]December - 2021'!CR24</f>
        <v>319227</v>
      </c>
      <c r="CR24" s="246">
        <f>'[1]December - 2021'!CS24</f>
        <v>220</v>
      </c>
      <c r="CS24" s="89">
        <f>'[1]December - 2021'!CS24</f>
        <v>220</v>
      </c>
      <c r="CT24" s="89">
        <f>'[1]December - 2021'!CU24</f>
        <v>621809</v>
      </c>
      <c r="CU24" s="191">
        <f>'[1]December - 2021'!CV24</f>
        <v>248</v>
      </c>
      <c r="CV24" s="451"/>
      <c r="CW24" s="256">
        <f>'[1]December - 2021'!CX24</f>
        <v>6417</v>
      </c>
      <c r="CX24" s="198">
        <f>'[1]December - 2021'!CY24</f>
        <v>7</v>
      </c>
      <c r="CY24" s="257">
        <f>'[1]December - 2021'!CZ24</f>
        <v>3934</v>
      </c>
      <c r="CZ24" s="198">
        <f>'[1]December - 2021'!DA24</f>
        <v>9</v>
      </c>
      <c r="DA24" s="257">
        <f>'[1]December - 2021'!DB24</f>
        <v>26887</v>
      </c>
      <c r="DB24" s="198">
        <f>'[1]December - 2021'!DC24</f>
        <v>16</v>
      </c>
      <c r="DC24" s="257">
        <f>'[1]December - 2021'!DD24</f>
        <v>27630</v>
      </c>
      <c r="DD24" s="198">
        <f>'[1]December - 2021'!DE24</f>
        <v>16</v>
      </c>
      <c r="DE24" s="257">
        <f>'[1]December - 2021'!DF24</f>
        <v>18692</v>
      </c>
      <c r="DF24" s="198">
        <f>'[1]December - 2021'!DG24</f>
        <v>8</v>
      </c>
      <c r="DG24" s="257">
        <f>'[1]December - 2021'!DH24</f>
        <v>21805</v>
      </c>
      <c r="DH24" s="198">
        <f>'[1]December - 2021'!DI24</f>
        <v>8</v>
      </c>
      <c r="DI24" s="257">
        <f>'[1]December - 2021'!DJ24</f>
        <v>3323</v>
      </c>
      <c r="DJ24" s="198">
        <f>'[1]December - 2021'!DK24</f>
        <v>8</v>
      </c>
      <c r="DK24" s="257">
        <f>'[1]December - 2021'!DL24</f>
        <v>6798</v>
      </c>
      <c r="DL24" s="198">
        <f>'[1]December - 2021'!DM24</f>
        <v>14</v>
      </c>
      <c r="DM24" s="257">
        <f>'[1]December - 2021'!DN24</f>
        <v>1822</v>
      </c>
      <c r="DN24" s="198">
        <f>'[1]December - 2021'!DO24</f>
        <v>5</v>
      </c>
      <c r="DO24" s="257">
        <f>'[1]December - 2021'!DP24</f>
        <v>3623</v>
      </c>
      <c r="DP24" s="198">
        <f>'[1]December - 2021'!DQ24</f>
        <v>8</v>
      </c>
      <c r="DQ24" s="257">
        <f>'[1]December - 2021'!DR24</f>
        <v>26322</v>
      </c>
      <c r="DR24" s="206">
        <f>'[1]December - 2021'!DS24</f>
        <v>7</v>
      </c>
      <c r="DS24" s="436"/>
      <c r="DT24" s="210">
        <f>'[1]December - 2021'!DU24</f>
        <v>3167.5</v>
      </c>
      <c r="DU24" s="221">
        <f>'[1]December - 2021'!DV24</f>
        <v>9</v>
      </c>
      <c r="DV24" s="91">
        <f>'[1]December - 2021'!DW24</f>
        <v>8259.1</v>
      </c>
      <c r="DW24" s="215">
        <f>'[1]December - 2021'!DX24</f>
        <v>6.7000000000007276</v>
      </c>
      <c r="DX24" s="91">
        <f>'[1]December - 2021'!DY24</f>
        <v>2384.6999999999998</v>
      </c>
      <c r="DY24" s="215">
        <f>'[1]December - 2021'!DZ24</f>
        <v>6</v>
      </c>
      <c r="DZ24" s="91">
        <f>'[1]December - 2021'!EA24</f>
        <v>2524.5</v>
      </c>
      <c r="EA24" s="215">
        <f>'[1]December - 2021'!EB24</f>
        <v>7.5</v>
      </c>
      <c r="EB24" s="91">
        <f>'[1]December - 2021'!EC24</f>
        <v>876410</v>
      </c>
      <c r="EC24" s="215">
        <f>'[1]December - 2021'!ED24</f>
        <v>612</v>
      </c>
      <c r="ED24" s="91">
        <f>'[1]December - 2021'!EG24</f>
        <v>177318.3</v>
      </c>
      <c r="EE24" s="229">
        <f>'[1]December - 2021'!EH24</f>
        <v>150.19999999998254</v>
      </c>
      <c r="EF24" s="375"/>
      <c r="EG24" s="235">
        <f>'[1]December - 2021'!EJ24</f>
        <v>10441200</v>
      </c>
      <c r="EH24" s="230">
        <f>'[1]December - 2021'!EK24</f>
        <v>3200</v>
      </c>
      <c r="EI24" s="90">
        <f>'[1]December - 2021'!EL24</f>
        <v>828230</v>
      </c>
      <c r="EJ24" s="230">
        <f>'[1]December - 2021'!EM24</f>
        <v>230</v>
      </c>
      <c r="EK24" s="90">
        <f>'[1]December - 2021'!EN24</f>
        <v>6414200</v>
      </c>
      <c r="EL24" s="230">
        <f>'[1]December - 2021'!EO24</f>
        <v>700</v>
      </c>
      <c r="EM24" s="90">
        <f>'[1]December - 2021'!EP24</f>
        <v>2253100</v>
      </c>
      <c r="EN24" s="230">
        <f>'[1]December - 2021'!EQ24</f>
        <v>400</v>
      </c>
      <c r="EO24" s="90">
        <f>'[1]December - 2021'!ER24</f>
        <v>999470</v>
      </c>
      <c r="EP24" s="230">
        <f>'[1]December - 2021'!ES24</f>
        <v>640</v>
      </c>
      <c r="EQ24" s="90">
        <f>'[1]December - 2021'!ET24</f>
        <v>14323100</v>
      </c>
      <c r="ER24" s="230">
        <f>'[1]December - 2021'!EU24</f>
        <v>2100</v>
      </c>
      <c r="ES24" s="423"/>
      <c r="ET24" s="281">
        <f>'[1]December - 2021'!EW24</f>
        <v>37605</v>
      </c>
      <c r="EU24" s="275">
        <f>'[1]December - 2021'!EX24</f>
        <v>15</v>
      </c>
      <c r="EV24" s="282">
        <f>'[1]December - 2021'!EY24</f>
        <v>32499</v>
      </c>
      <c r="EW24" s="275">
        <f>'[1]December - 2021'!EZ24</f>
        <v>12</v>
      </c>
      <c r="EX24" s="282">
        <f>'[1]December - 2021'!FA24</f>
        <v>3676</v>
      </c>
      <c r="EY24" s="275">
        <f>'[1]December - 2021'!FB24</f>
        <v>8</v>
      </c>
      <c r="EZ24" s="282">
        <f>'[1]December - 2021'!FC24</f>
        <v>54251</v>
      </c>
      <c r="FA24" s="275">
        <f>'[1]December - 2021'!FD24</f>
        <v>19</v>
      </c>
      <c r="FB24" s="282">
        <f>'[1]December - 2021'!FE24</f>
        <v>37951</v>
      </c>
      <c r="FC24" s="276">
        <f>'[1]December - 2021'!FF24</f>
        <v>31</v>
      </c>
    </row>
    <row r="25" spans="1:159" ht="30" customHeight="1" x14ac:dyDescent="0.25">
      <c r="A25" s="207">
        <v>43846</v>
      </c>
      <c r="B25" s="209">
        <f>'[1]December - 2021'!B25</f>
        <v>0.84</v>
      </c>
      <c r="C25" s="250">
        <f>'[1]December - 2021'!E25</f>
        <v>926306</v>
      </c>
      <c r="D25" s="170">
        <f>'[1]December - 2021'!F25</f>
        <v>744</v>
      </c>
      <c r="E25" s="168">
        <f>'[1]December - 2021'!G25</f>
        <v>483</v>
      </c>
      <c r="F25" s="168">
        <f>'[1]December - 2021'!H25</f>
        <v>92950</v>
      </c>
      <c r="G25" s="170">
        <f>'[1]December - 2021'!I25</f>
        <v>453</v>
      </c>
      <c r="H25" s="168">
        <f>'[1]December - 2021'!J25</f>
        <v>406</v>
      </c>
      <c r="I25" s="168">
        <f>'[1]December - 2021'!K25</f>
        <v>164625</v>
      </c>
      <c r="J25" s="170">
        <f>'[1]December - 2021'!L25</f>
        <v>0</v>
      </c>
      <c r="K25" s="168">
        <f>'[1]December - 2021'!N25</f>
        <v>819517</v>
      </c>
      <c r="L25" s="170">
        <f>'[1]December - 2021'!O25</f>
        <v>191</v>
      </c>
      <c r="M25" s="168">
        <f>'[1]December - 2021'!Q25</f>
        <v>189232</v>
      </c>
      <c r="N25" s="170">
        <f>'[1]December - 2021'!R25</f>
        <v>148</v>
      </c>
      <c r="O25" s="168">
        <f>'[1]December - 2021'!S25</f>
        <v>53611.6</v>
      </c>
      <c r="P25" s="170">
        <f>'[1]December - 2021'!T25</f>
        <v>84.400000000001455</v>
      </c>
      <c r="Q25" s="168">
        <f>'[1]December - 2021'!U25</f>
        <v>40</v>
      </c>
      <c r="R25" s="168">
        <f>'[1]December - 2021'!V25</f>
        <v>3993</v>
      </c>
      <c r="S25" s="208">
        <f>'[1]December - 2021'!W25</f>
        <v>11</v>
      </c>
      <c r="T25" s="518"/>
      <c r="U25" s="169">
        <f>'[1]December - 2021'!AC25</f>
        <v>7192825.9199999999</v>
      </c>
      <c r="V25" s="288">
        <f>'[1]December - 2021'!AD25</f>
        <v>2143.679999999702</v>
      </c>
      <c r="W25" s="92">
        <f>'[1]December - 2021'!AD25</f>
        <v>2143.679999999702</v>
      </c>
      <c r="X25" s="287">
        <f>'[1]December - 2021'!AF25</f>
        <v>13783570.08</v>
      </c>
      <c r="Y25" s="288">
        <f>'[1]December - 2021'!AG25</f>
        <v>4774.5600000005215</v>
      </c>
      <c r="Z25" s="92">
        <f>'[1]December - 2021'!AG25</f>
        <v>4774.5600000005215</v>
      </c>
      <c r="AA25" s="287">
        <f>'[1]December - 2021'!AI25</f>
        <v>13702987.199999999</v>
      </c>
      <c r="AB25" s="288">
        <f>'[1]December - 2021'!AJ25</f>
        <v>97.439999999478459</v>
      </c>
      <c r="AC25" s="92">
        <f>'[1]December - 2021'!AJ25</f>
        <v>97.439999999478459</v>
      </c>
      <c r="AD25" s="287">
        <f>'[1]December - 2021'!AL25</f>
        <v>16750959.119999999</v>
      </c>
      <c r="AE25" s="288">
        <f>'[1]December - 2021'!AM25</f>
        <v>48.719999998807907</v>
      </c>
      <c r="AF25" s="92">
        <f>'[1]December - 2021'!AM25</f>
        <v>48.719999998807907</v>
      </c>
      <c r="AG25" s="287">
        <f>'[1]December - 2021'!AO25</f>
        <v>17087322</v>
      </c>
      <c r="AH25" s="288">
        <f>'[1]December - 2021'!AP25</f>
        <v>10718.400000002235</v>
      </c>
      <c r="AI25" s="92">
        <f>'[1]December - 2021'!AP25</f>
        <v>10718.400000002235</v>
      </c>
      <c r="AJ25" s="287">
        <f>'[1]December - 2021'!AR25</f>
        <v>15524920.319999998</v>
      </c>
      <c r="AK25" s="288">
        <f>'[1]December - 2021'!AS25</f>
        <v>5846.4000000003725</v>
      </c>
      <c r="AL25" s="92">
        <f>'[1]December - 2021'!AS25</f>
        <v>5846.4000000003725</v>
      </c>
      <c r="AM25" s="287">
        <f>'[1]December - 2021'!AU25</f>
        <v>13206627.84</v>
      </c>
      <c r="AN25" s="288">
        <f>'[1]December - 2021'!AV25</f>
        <v>4336.0800000000745</v>
      </c>
      <c r="AO25" s="92">
        <f>'[1]December - 2021'!AV25</f>
        <v>4336.0800000000745</v>
      </c>
      <c r="AP25" s="287">
        <f>'[1]December - 2021'!AX25</f>
        <v>12694580.640000001</v>
      </c>
      <c r="AQ25" s="288">
        <f>'[1]December - 2021'!AY25</f>
        <v>4141.2000000011176</v>
      </c>
      <c r="AR25" s="92">
        <f>'[1]December - 2021'!AY25</f>
        <v>4141.2000000011176</v>
      </c>
      <c r="AS25" s="287">
        <f>'[1]December - 2021'!BA25</f>
        <v>10113005.280000001</v>
      </c>
      <c r="AT25" s="288">
        <f>'[1]December - 2021'!BB25</f>
        <v>3410.4000000003725</v>
      </c>
      <c r="AU25" s="92">
        <f>'[1]December - 2021'!BB25</f>
        <v>3410.4000000003725</v>
      </c>
      <c r="AV25" s="287">
        <f>'[1]December - 2021'!BD25</f>
        <v>15700799.52</v>
      </c>
      <c r="AW25" s="252">
        <f>'[1]December - 2021'!BE25</f>
        <v>5602.8000000007451</v>
      </c>
      <c r="AX25" s="253">
        <f>'[1]December - 2021'!BE25</f>
        <v>5602.8000000007451</v>
      </c>
      <c r="AY25" s="484"/>
      <c r="AZ25" s="272">
        <f>'[1]December - 2021'!BK25</f>
        <v>68002400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70700300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65015900</v>
      </c>
      <c r="BG25" s="245">
        <f>'[1]December - 2021'!BR25</f>
        <v>45900</v>
      </c>
      <c r="BH25" s="93">
        <f>'[1]December - 2021'!BR25</f>
        <v>45900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7724840</v>
      </c>
      <c r="BT25" s="185">
        <f>'[1]December - 2021'!BU25</f>
        <v>5950</v>
      </c>
      <c r="BU25" s="391"/>
      <c r="BV25" s="88">
        <f>'[1]December - 2021'!BW25</f>
        <v>0.57999999999999996</v>
      </c>
      <c r="BW25" s="241">
        <f>'[1]December - 2021'!BX25</f>
        <v>6.0000000000000053E-2</v>
      </c>
      <c r="BX25" s="88">
        <f>'[1]December - 2021'!BX25</f>
        <v>6.0000000000000053E-2</v>
      </c>
      <c r="BY25" s="89">
        <f>'[1]December - 2021'!BZ25</f>
        <v>57208</v>
      </c>
      <c r="BZ25" s="191">
        <f>'[1]December - 2021'!CA25</f>
        <v>21</v>
      </c>
      <c r="CA25" s="89">
        <f>'[1]December - 2021'!CB25</f>
        <v>48697</v>
      </c>
      <c r="CB25" s="191">
        <f>'[1]December - 2021'!CC25</f>
        <v>19</v>
      </c>
      <c r="CC25" s="89">
        <f>'[1]December - 2021'!CD25</f>
        <v>16740</v>
      </c>
      <c r="CD25" s="191">
        <f>'[1]December - 2021'!CE25</f>
        <v>6</v>
      </c>
      <c r="CE25" s="89">
        <f>'[1]December - 2021'!CF25</f>
        <v>22134</v>
      </c>
      <c r="CF25" s="191">
        <f>'[1]December - 2021'!CG25</f>
        <v>12</v>
      </c>
      <c r="CG25" s="89">
        <f>'[1]December - 2021'!CH25</f>
        <v>24162</v>
      </c>
      <c r="CH25" s="191">
        <f>'[1]December - 2021'!CI25</f>
        <v>12</v>
      </c>
      <c r="CI25" s="89">
        <f>'[1]December - 2021'!CJ25</f>
        <v>53566</v>
      </c>
      <c r="CJ25" s="191">
        <f>'[1]December - 2021'!CK25</f>
        <v>28</v>
      </c>
      <c r="CK25" s="89">
        <f>'[1]December - 2021'!CL25</f>
        <v>235017</v>
      </c>
      <c r="CL25" s="246">
        <f>'[1]December - 2021'!CM25</f>
        <v>104</v>
      </c>
      <c r="CM25" s="89">
        <f>'[1]December - 2021'!CM25</f>
        <v>104</v>
      </c>
      <c r="CN25" s="89">
        <f>'[1]December - 2021'!CO25</f>
        <v>180831</v>
      </c>
      <c r="CO25" s="246">
        <f>'[1]December - 2021'!CP25</f>
        <v>116</v>
      </c>
      <c r="CP25" s="89">
        <f>'[1]December - 2021'!CP25</f>
        <v>116</v>
      </c>
      <c r="CQ25" s="89">
        <f>'[1]December - 2021'!CR25</f>
        <v>319448</v>
      </c>
      <c r="CR25" s="246">
        <f>'[1]December - 2021'!CS25</f>
        <v>221</v>
      </c>
      <c r="CS25" s="89">
        <f>'[1]December - 2021'!CS25</f>
        <v>221</v>
      </c>
      <c r="CT25" s="89">
        <f>'[1]December - 2021'!CU25</f>
        <v>622052</v>
      </c>
      <c r="CU25" s="191">
        <f>'[1]December - 2021'!CV25</f>
        <v>243</v>
      </c>
      <c r="CV25" s="451"/>
      <c r="CW25" s="256">
        <f>'[1]December - 2021'!CX25</f>
        <v>6425</v>
      </c>
      <c r="CX25" s="198">
        <f>'[1]December - 2021'!CY25</f>
        <v>8</v>
      </c>
      <c r="CY25" s="257">
        <f>'[1]December - 2021'!CZ25</f>
        <v>3944</v>
      </c>
      <c r="CZ25" s="198">
        <f>'[1]December - 2021'!DA25</f>
        <v>10</v>
      </c>
      <c r="DA25" s="257">
        <f>'[1]December - 2021'!DB25</f>
        <v>26905</v>
      </c>
      <c r="DB25" s="198">
        <f>'[1]December - 2021'!DC25</f>
        <v>18</v>
      </c>
      <c r="DC25" s="257">
        <f>'[1]December - 2021'!DD25</f>
        <v>27646</v>
      </c>
      <c r="DD25" s="198">
        <f>'[1]December - 2021'!DE25</f>
        <v>16</v>
      </c>
      <c r="DE25" s="257">
        <f>'[1]December - 2021'!DF25</f>
        <v>18701</v>
      </c>
      <c r="DF25" s="198">
        <f>'[1]December - 2021'!DG25</f>
        <v>9</v>
      </c>
      <c r="DG25" s="257">
        <f>'[1]December - 2021'!DH25</f>
        <v>21814</v>
      </c>
      <c r="DH25" s="198">
        <f>'[1]December - 2021'!DI25</f>
        <v>9</v>
      </c>
      <c r="DI25" s="257">
        <f>'[1]December - 2021'!DJ25</f>
        <v>3333</v>
      </c>
      <c r="DJ25" s="198">
        <f>'[1]December - 2021'!DK25</f>
        <v>10</v>
      </c>
      <c r="DK25" s="257">
        <f>'[1]December - 2021'!DL25</f>
        <v>6814</v>
      </c>
      <c r="DL25" s="198">
        <f>'[1]December - 2021'!DM25</f>
        <v>16</v>
      </c>
      <c r="DM25" s="257">
        <f>'[1]December - 2021'!DN25</f>
        <v>1825</v>
      </c>
      <c r="DN25" s="198">
        <f>'[1]December - 2021'!DO25</f>
        <v>3</v>
      </c>
      <c r="DO25" s="257">
        <f>'[1]December - 2021'!DP25</f>
        <v>3630</v>
      </c>
      <c r="DP25" s="198">
        <f>'[1]December - 2021'!DQ25</f>
        <v>7</v>
      </c>
      <c r="DQ25" s="257">
        <f>'[1]December - 2021'!DR25</f>
        <v>26322</v>
      </c>
      <c r="DR25" s="206">
        <f>'[1]December - 2021'!DS25</f>
        <v>0</v>
      </c>
      <c r="DS25" s="436"/>
      <c r="DT25" s="210">
        <f>'[1]December - 2021'!DU25</f>
        <v>3176.7</v>
      </c>
      <c r="DU25" s="221">
        <f>'[1]December - 2021'!DV25</f>
        <v>9.1999999999998181</v>
      </c>
      <c r="DV25" s="91">
        <f>'[1]December - 2021'!DW25</f>
        <v>8265.7999999999993</v>
      </c>
      <c r="DW25" s="215">
        <f>'[1]December - 2021'!DX25</f>
        <v>6.6999999999989086</v>
      </c>
      <c r="DX25" s="91">
        <f>'[1]December - 2021'!DY25</f>
        <v>2391</v>
      </c>
      <c r="DY25" s="215">
        <f>'[1]December - 2021'!DZ25</f>
        <v>6.3000000000001819</v>
      </c>
      <c r="DZ25" s="91">
        <f>'[1]December - 2021'!EA25</f>
        <v>2532.6</v>
      </c>
      <c r="EA25" s="215">
        <f>'[1]December - 2021'!EB25</f>
        <v>8.0999999999999091</v>
      </c>
      <c r="EB25" s="91">
        <f>'[1]December - 2021'!EC25</f>
        <v>877007</v>
      </c>
      <c r="EC25" s="215">
        <f>'[1]December - 2021'!ED25</f>
        <v>597</v>
      </c>
      <c r="ED25" s="91">
        <f>'[1]December - 2021'!EG25</f>
        <v>177474.6</v>
      </c>
      <c r="EE25" s="229">
        <f>'[1]December - 2021'!EH25</f>
        <v>156.30000000001746</v>
      </c>
      <c r="EF25" s="375"/>
      <c r="EG25" s="235">
        <f>'[1]December - 2021'!EJ25</f>
        <v>10444300</v>
      </c>
      <c r="EH25" s="230">
        <f>'[1]December - 2021'!EK25</f>
        <v>3100</v>
      </c>
      <c r="EI25" s="90">
        <f>'[1]December - 2021'!EL25</f>
        <v>828460</v>
      </c>
      <c r="EJ25" s="230">
        <f>'[1]December - 2021'!EM25</f>
        <v>230</v>
      </c>
      <c r="EK25" s="90">
        <f>'[1]December - 2021'!EN25</f>
        <v>6414900</v>
      </c>
      <c r="EL25" s="230">
        <f>'[1]December - 2021'!EO25</f>
        <v>700</v>
      </c>
      <c r="EM25" s="90">
        <f>'[1]December - 2021'!EP25</f>
        <v>2253600</v>
      </c>
      <c r="EN25" s="230">
        <f>'[1]December - 2021'!EQ25</f>
        <v>500</v>
      </c>
      <c r="EO25" s="90">
        <f>'[1]December - 2021'!ER25</f>
        <v>1000060</v>
      </c>
      <c r="EP25" s="230">
        <f>'[1]December - 2021'!ES25</f>
        <v>590</v>
      </c>
      <c r="EQ25" s="90">
        <f>'[1]December - 2021'!ET25</f>
        <v>14325400</v>
      </c>
      <c r="ER25" s="230">
        <f>'[1]December - 2021'!EU25</f>
        <v>2300</v>
      </c>
      <c r="ES25" s="423"/>
      <c r="ET25" s="281">
        <f>'[1]December - 2021'!EW25</f>
        <v>37621</v>
      </c>
      <c r="EU25" s="275">
        <f>'[1]December - 2021'!EX25</f>
        <v>16</v>
      </c>
      <c r="EV25" s="282">
        <f>'[1]December - 2021'!EY25</f>
        <v>32513</v>
      </c>
      <c r="EW25" s="275">
        <f>'[1]December - 2021'!EZ25</f>
        <v>14</v>
      </c>
      <c r="EX25" s="282">
        <f>'[1]December - 2021'!FA25</f>
        <v>3688</v>
      </c>
      <c r="EY25" s="275">
        <f>'[1]December - 2021'!FB25</f>
        <v>12</v>
      </c>
      <c r="EZ25" s="282">
        <f>'[1]December - 2021'!FC25</f>
        <v>54268</v>
      </c>
      <c r="FA25" s="275">
        <f>'[1]December - 2021'!FD25</f>
        <v>17</v>
      </c>
      <c r="FB25" s="282">
        <f>'[1]December - 2021'!FE25</f>
        <v>37982</v>
      </c>
      <c r="FC25" s="276">
        <f>'[1]December - 2021'!FF25</f>
        <v>31</v>
      </c>
    </row>
    <row r="26" spans="1:159" ht="30" customHeight="1" x14ac:dyDescent="0.25">
      <c r="A26" s="207">
        <v>43847</v>
      </c>
      <c r="B26" s="209">
        <f>'[1]December - 2021'!B26</f>
        <v>0.76</v>
      </c>
      <c r="C26" s="250">
        <f>'[1]December - 2021'!E26</f>
        <v>927023</v>
      </c>
      <c r="D26" s="170">
        <f>'[1]December - 2021'!F26</f>
        <v>717</v>
      </c>
      <c r="E26" s="168">
        <f>'[1]December - 2021'!G26</f>
        <v>507</v>
      </c>
      <c r="F26" s="168">
        <f>'[1]December - 2021'!H26</f>
        <v>93407</v>
      </c>
      <c r="G26" s="170">
        <f>'[1]December - 2021'!I26</f>
        <v>457</v>
      </c>
      <c r="H26" s="168">
        <f>'[1]December - 2021'!J26</f>
        <v>410</v>
      </c>
      <c r="I26" s="168">
        <f>'[1]December - 2021'!K26</f>
        <v>164625</v>
      </c>
      <c r="J26" s="170">
        <f>'[1]December - 2021'!L26</f>
        <v>0</v>
      </c>
      <c r="K26" s="168">
        <f>'[1]December - 2021'!N26</f>
        <v>819691</v>
      </c>
      <c r="L26" s="170">
        <f>'[1]December - 2021'!O26</f>
        <v>174</v>
      </c>
      <c r="M26" s="168">
        <f>'[1]December - 2021'!Q26</f>
        <v>189341</v>
      </c>
      <c r="N26" s="170">
        <f>'[1]December - 2021'!R26</f>
        <v>109</v>
      </c>
      <c r="O26" s="168">
        <f>'[1]December - 2021'!S26</f>
        <v>53699.58</v>
      </c>
      <c r="P26" s="170">
        <f>'[1]December - 2021'!T26</f>
        <v>87.980000000003201</v>
      </c>
      <c r="Q26" s="168">
        <f>'[1]December - 2021'!U26</f>
        <v>43</v>
      </c>
      <c r="R26" s="168">
        <f>'[1]December - 2021'!V26</f>
        <v>4005</v>
      </c>
      <c r="S26" s="208">
        <f>'[1]December - 2021'!W26</f>
        <v>12</v>
      </c>
      <c r="T26" s="518"/>
      <c r="U26" s="169">
        <f>'[1]December - 2021'!AC26</f>
        <v>7194726</v>
      </c>
      <c r="V26" s="288">
        <f>'[1]December - 2021'!AD26</f>
        <v>1900.0800000000745</v>
      </c>
      <c r="W26" s="92">
        <f>'[1]December - 2021'!AD26</f>
        <v>1900.0800000000745</v>
      </c>
      <c r="X26" s="287">
        <f>'[1]December - 2021'!AF26</f>
        <v>13788247.199999999</v>
      </c>
      <c r="Y26" s="288">
        <f>'[1]December - 2021'!AG26</f>
        <v>4677.1199999991804</v>
      </c>
      <c r="Z26" s="92">
        <f>'[1]December - 2021'!AG26</f>
        <v>4677.1199999991804</v>
      </c>
      <c r="AA26" s="287">
        <f>'[1]December - 2021'!AI26</f>
        <v>13703084.640000001</v>
      </c>
      <c r="AB26" s="288">
        <f>'[1]December - 2021'!AJ26</f>
        <v>97.440000001341105</v>
      </c>
      <c r="AC26" s="92">
        <f>'[1]December - 2021'!AJ26</f>
        <v>97.440000001341105</v>
      </c>
      <c r="AD26" s="287">
        <f>'[1]December - 2021'!AL26</f>
        <v>16751007.839999998</v>
      </c>
      <c r="AE26" s="288">
        <f>'[1]December - 2021'!AM26</f>
        <v>48.719999998807907</v>
      </c>
      <c r="AF26" s="92">
        <f>'[1]December - 2021'!AM26</f>
        <v>48.719999998807907</v>
      </c>
      <c r="AG26" s="287">
        <f>'[1]December - 2021'!AO26</f>
        <v>17098186.560000002</v>
      </c>
      <c r="AH26" s="288">
        <f>'[1]December - 2021'!AP26</f>
        <v>10864.560000002384</v>
      </c>
      <c r="AI26" s="92">
        <f>'[1]December - 2021'!AP26</f>
        <v>10864.560000002384</v>
      </c>
      <c r="AJ26" s="287">
        <f>'[1]December - 2021'!AR26</f>
        <v>15530571.84</v>
      </c>
      <c r="AK26" s="288">
        <f>'[1]December - 2021'!AS26</f>
        <v>5651.5200000014156</v>
      </c>
      <c r="AL26" s="92">
        <f>'[1]December - 2021'!AS26</f>
        <v>5651.5200000014156</v>
      </c>
      <c r="AM26" s="287">
        <f>'[1]December - 2021'!AU26</f>
        <v>13211207.52</v>
      </c>
      <c r="AN26" s="288">
        <f>'[1]December - 2021'!AV26</f>
        <v>4579.679999999702</v>
      </c>
      <c r="AO26" s="92">
        <f>'[1]December - 2021'!AV26</f>
        <v>4579.679999999702</v>
      </c>
      <c r="AP26" s="287">
        <f>'[1]December - 2021'!AX26</f>
        <v>12698770.559999999</v>
      </c>
      <c r="AQ26" s="288">
        <f>'[1]December - 2021'!AY26</f>
        <v>4189.9199999980628</v>
      </c>
      <c r="AR26" s="92">
        <f>'[1]December - 2021'!AY26</f>
        <v>4189.9199999980628</v>
      </c>
      <c r="AS26" s="287">
        <f>'[1]December - 2021'!BA26</f>
        <v>10116561.84</v>
      </c>
      <c r="AT26" s="288">
        <f>'[1]December - 2021'!BB26</f>
        <v>3556.5599999986589</v>
      </c>
      <c r="AU26" s="92">
        <f>'[1]December - 2021'!BB26</f>
        <v>3556.5599999986589</v>
      </c>
      <c r="AV26" s="287">
        <f>'[1]December - 2021'!BD26</f>
        <v>15706353.6</v>
      </c>
      <c r="AW26" s="252">
        <f>'[1]December - 2021'!BE26</f>
        <v>5554.0800000000745</v>
      </c>
      <c r="AX26" s="253">
        <f>'[1]December - 2021'!BE26</f>
        <v>5554.0800000000745</v>
      </c>
      <c r="AY26" s="484"/>
      <c r="AZ26" s="272">
        <f>'[1]December - 2021'!BK26</f>
        <v>68002400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70700300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65062200</v>
      </c>
      <c r="BG26" s="245">
        <f>'[1]December - 2021'!BR26</f>
        <v>46300</v>
      </c>
      <c r="BH26" s="93">
        <f>'[1]December - 2021'!BR26</f>
        <v>46300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7730280</v>
      </c>
      <c r="BT26" s="185">
        <f>'[1]December - 2021'!BU26</f>
        <v>5440</v>
      </c>
      <c r="BU26" s="391"/>
      <c r="BV26" s="88">
        <f>'[1]December - 2021'!BW26</f>
        <v>0.68</v>
      </c>
      <c r="BW26" s="241">
        <f>'[1]December - 2021'!BX26</f>
        <v>-0.10000000000000009</v>
      </c>
      <c r="BX26" s="88">
        <f>'[1]December - 2021'!BX26</f>
        <v>-0.10000000000000009</v>
      </c>
      <c r="BY26" s="89">
        <f>'[1]December - 2021'!BZ26</f>
        <v>57228</v>
      </c>
      <c r="BZ26" s="191">
        <f>'[1]December - 2021'!CA26</f>
        <v>20</v>
      </c>
      <c r="CA26" s="89">
        <f>'[1]December - 2021'!CB26</f>
        <v>48716</v>
      </c>
      <c r="CB26" s="191">
        <f>'[1]December - 2021'!CC26</f>
        <v>19</v>
      </c>
      <c r="CC26" s="89">
        <f>'[1]December - 2021'!CD26</f>
        <v>16746</v>
      </c>
      <c r="CD26" s="191">
        <f>'[1]December - 2021'!CE26</f>
        <v>6</v>
      </c>
      <c r="CE26" s="89">
        <f>'[1]December - 2021'!CF26</f>
        <v>22145</v>
      </c>
      <c r="CF26" s="191">
        <f>'[1]December - 2021'!CG26</f>
        <v>11</v>
      </c>
      <c r="CG26" s="89">
        <f>'[1]December - 2021'!CH26</f>
        <v>24180</v>
      </c>
      <c r="CH26" s="191">
        <f>'[1]December - 2021'!CI26</f>
        <v>18</v>
      </c>
      <c r="CI26" s="89">
        <f>'[1]December - 2021'!CJ26</f>
        <v>53591</v>
      </c>
      <c r="CJ26" s="191">
        <f>'[1]December - 2021'!CK26</f>
        <v>25</v>
      </c>
      <c r="CK26" s="89">
        <f>'[1]December - 2021'!CL26</f>
        <v>235123</v>
      </c>
      <c r="CL26" s="246">
        <f>'[1]December - 2021'!CM26</f>
        <v>106</v>
      </c>
      <c r="CM26" s="89">
        <f>'[1]December - 2021'!CM26</f>
        <v>106</v>
      </c>
      <c r="CN26" s="89">
        <f>'[1]December - 2021'!CO26</f>
        <v>180954</v>
      </c>
      <c r="CO26" s="246">
        <f>'[1]December - 2021'!CP26</f>
        <v>123</v>
      </c>
      <c r="CP26" s="89">
        <f>'[1]December - 2021'!CP26</f>
        <v>123</v>
      </c>
      <c r="CQ26" s="89">
        <f>'[1]December - 2021'!CR26</f>
        <v>319671</v>
      </c>
      <c r="CR26" s="246">
        <f>'[1]December - 2021'!CS26</f>
        <v>223</v>
      </c>
      <c r="CS26" s="89">
        <f>'[1]December - 2021'!CS26</f>
        <v>223</v>
      </c>
      <c r="CT26" s="89">
        <f>'[1]December - 2021'!CU26</f>
        <v>622301</v>
      </c>
      <c r="CU26" s="191">
        <f>'[1]December - 2021'!CV26</f>
        <v>249</v>
      </c>
      <c r="CV26" s="451"/>
      <c r="CW26" s="256">
        <f>'[1]December - 2021'!CX26</f>
        <v>6435</v>
      </c>
      <c r="CX26" s="198">
        <f>'[1]December - 2021'!CY26</f>
        <v>10</v>
      </c>
      <c r="CY26" s="257">
        <f>'[1]December - 2021'!CZ26</f>
        <v>3952</v>
      </c>
      <c r="CZ26" s="198">
        <f>'[1]December - 2021'!DA26</f>
        <v>8</v>
      </c>
      <c r="DA26" s="257">
        <f>'[1]December - 2021'!DB26</f>
        <v>26918</v>
      </c>
      <c r="DB26" s="198">
        <f>'[1]December - 2021'!DC26</f>
        <v>13</v>
      </c>
      <c r="DC26" s="257">
        <f>'[1]December - 2021'!DD26</f>
        <v>27666</v>
      </c>
      <c r="DD26" s="198">
        <f>'[1]December - 2021'!DE26</f>
        <v>20</v>
      </c>
      <c r="DE26" s="257">
        <f>'[1]December - 2021'!DF26</f>
        <v>18710</v>
      </c>
      <c r="DF26" s="198">
        <f>'[1]December - 2021'!DG26</f>
        <v>9</v>
      </c>
      <c r="DG26" s="257">
        <f>'[1]December - 2021'!DH26</f>
        <v>21823</v>
      </c>
      <c r="DH26" s="198">
        <f>'[1]December - 2021'!DI26</f>
        <v>9</v>
      </c>
      <c r="DI26" s="257">
        <f>'[1]December - 2021'!DJ26</f>
        <v>3343</v>
      </c>
      <c r="DJ26" s="198">
        <f>'[1]December - 2021'!DK26</f>
        <v>10</v>
      </c>
      <c r="DK26" s="257">
        <f>'[1]December - 2021'!DL26</f>
        <v>6830</v>
      </c>
      <c r="DL26" s="198">
        <f>'[1]December - 2021'!DM26</f>
        <v>16</v>
      </c>
      <c r="DM26" s="257">
        <f>'[1]December - 2021'!DN26</f>
        <v>1830</v>
      </c>
      <c r="DN26" s="198">
        <f>'[1]December - 2021'!DO26</f>
        <v>5</v>
      </c>
      <c r="DO26" s="257">
        <f>'[1]December - 2021'!DP26</f>
        <v>3639</v>
      </c>
      <c r="DP26" s="198">
        <f>'[1]December - 2021'!DQ26</f>
        <v>9</v>
      </c>
      <c r="DQ26" s="257">
        <f>'[1]December - 2021'!DR26</f>
        <v>26325</v>
      </c>
      <c r="DR26" s="206">
        <f>'[1]December - 2021'!DS26</f>
        <v>3</v>
      </c>
      <c r="DS26" s="436"/>
      <c r="DT26" s="210">
        <f>'[1]December - 2021'!DU26</f>
        <v>3186.1</v>
      </c>
      <c r="DU26" s="221">
        <f>'[1]December - 2021'!DV26</f>
        <v>9.4000000000000909</v>
      </c>
      <c r="DV26" s="91">
        <f>'[1]December - 2021'!DW26</f>
        <v>8272.5</v>
      </c>
      <c r="DW26" s="215">
        <f>'[1]December - 2021'!DX26</f>
        <v>6.7000000000007276</v>
      </c>
      <c r="DX26" s="91">
        <f>'[1]December - 2021'!DY26</f>
        <v>2397</v>
      </c>
      <c r="DY26" s="215">
        <f>'[1]December - 2021'!DZ26</f>
        <v>6</v>
      </c>
      <c r="DZ26" s="91">
        <f>'[1]December - 2021'!EA26</f>
        <v>2540.9</v>
      </c>
      <c r="EA26" s="215">
        <f>'[1]December - 2021'!EB26</f>
        <v>8.3000000000001819</v>
      </c>
      <c r="EB26" s="91">
        <f>'[1]December - 2021'!EC26</f>
        <v>877600</v>
      </c>
      <c r="EC26" s="215">
        <f>'[1]December - 2021'!ED26</f>
        <v>593</v>
      </c>
      <c r="ED26" s="91">
        <f>'[1]December - 2021'!EG26</f>
        <v>177629.4</v>
      </c>
      <c r="EE26" s="229">
        <f>'[1]December - 2021'!EH26</f>
        <v>154.79999999998836</v>
      </c>
      <c r="EF26" s="375"/>
      <c r="EG26" s="235">
        <f>'[1]December - 2021'!EJ26</f>
        <v>10448200</v>
      </c>
      <c r="EH26" s="230">
        <f>'[1]December - 2021'!EK26</f>
        <v>3900</v>
      </c>
      <c r="EI26" s="90">
        <f>'[1]December - 2021'!EL26</f>
        <v>828760</v>
      </c>
      <c r="EJ26" s="230">
        <f>'[1]December - 2021'!EM26</f>
        <v>300</v>
      </c>
      <c r="EK26" s="90">
        <f>'[1]December - 2021'!EN26</f>
        <v>6415700</v>
      </c>
      <c r="EL26" s="230">
        <f>'[1]December - 2021'!EO26</f>
        <v>800</v>
      </c>
      <c r="EM26" s="90">
        <f>'[1]December - 2021'!EP26</f>
        <v>2254000</v>
      </c>
      <c r="EN26" s="230">
        <f>'[1]December - 2021'!EQ26</f>
        <v>400</v>
      </c>
      <c r="EO26" s="90">
        <f>'[1]December - 2021'!ER26</f>
        <v>1000810</v>
      </c>
      <c r="EP26" s="230">
        <f>'[1]December - 2021'!ES26</f>
        <v>750</v>
      </c>
      <c r="EQ26" s="90">
        <f>'[1]December - 2021'!ET26</f>
        <v>14327700</v>
      </c>
      <c r="ER26" s="230">
        <f>'[1]December - 2021'!EU26</f>
        <v>2300</v>
      </c>
      <c r="ES26" s="423"/>
      <c r="ET26" s="281">
        <f>'[1]December - 2021'!EW26</f>
        <v>37636</v>
      </c>
      <c r="EU26" s="275">
        <f>'[1]December - 2021'!EX26</f>
        <v>15</v>
      </c>
      <c r="EV26" s="282">
        <f>'[1]December - 2021'!EY26</f>
        <v>32526</v>
      </c>
      <c r="EW26" s="275">
        <f>'[1]December - 2021'!EZ26</f>
        <v>13</v>
      </c>
      <c r="EX26" s="282">
        <f>'[1]December - 2021'!FA26</f>
        <v>3704</v>
      </c>
      <c r="EY26" s="275">
        <f>'[1]December - 2021'!FB26</f>
        <v>16</v>
      </c>
      <c r="EZ26" s="282">
        <f>'[1]December - 2021'!FC26</f>
        <v>54286</v>
      </c>
      <c r="FA26" s="275">
        <f>'[1]December - 2021'!FD26</f>
        <v>18</v>
      </c>
      <c r="FB26" s="282">
        <f>'[1]December - 2021'!FE26</f>
        <v>38016</v>
      </c>
      <c r="FC26" s="276">
        <f>'[1]December - 2021'!FF26</f>
        <v>34</v>
      </c>
    </row>
    <row r="27" spans="1:159" ht="30" customHeight="1" x14ac:dyDescent="0.25">
      <c r="A27" s="207">
        <v>43848</v>
      </c>
      <c r="B27" s="209">
        <f>'[1]December - 2021'!B27</f>
        <v>0.72</v>
      </c>
      <c r="C27" s="250">
        <f>'[1]December - 2021'!E27</f>
        <v>927720</v>
      </c>
      <c r="D27" s="170">
        <f>'[1]December - 2021'!F27</f>
        <v>697</v>
      </c>
      <c r="E27" s="168">
        <f>'[1]December - 2021'!G27</f>
        <v>498</v>
      </c>
      <c r="F27" s="168">
        <f>'[1]December - 2021'!H27</f>
        <v>93867</v>
      </c>
      <c r="G27" s="170">
        <f>'[1]December - 2021'!I27</f>
        <v>460</v>
      </c>
      <c r="H27" s="168">
        <f>'[1]December - 2021'!J27</f>
        <v>436</v>
      </c>
      <c r="I27" s="168">
        <f>'[1]December - 2021'!K27</f>
        <v>164625</v>
      </c>
      <c r="J27" s="170">
        <f>'[1]December - 2021'!L27</f>
        <v>0</v>
      </c>
      <c r="K27" s="168">
        <f>'[1]December - 2021'!N27</f>
        <v>819886</v>
      </c>
      <c r="L27" s="170">
        <f>'[1]December - 2021'!O27</f>
        <v>195</v>
      </c>
      <c r="M27" s="168">
        <f>'[1]December - 2021'!Q27</f>
        <v>189475</v>
      </c>
      <c r="N27" s="170">
        <f>'[1]December - 2021'!R27</f>
        <v>134</v>
      </c>
      <c r="O27" s="168">
        <f>'[1]December - 2021'!S27</f>
        <v>53777.32</v>
      </c>
      <c r="P27" s="170">
        <f>'[1]December - 2021'!T27</f>
        <v>77.739999999997963</v>
      </c>
      <c r="Q27" s="168">
        <f>'[1]December - 2021'!U27</f>
        <v>42</v>
      </c>
      <c r="R27" s="168">
        <f>'[1]December - 2021'!V27</f>
        <v>4014</v>
      </c>
      <c r="S27" s="208">
        <f>'[1]December - 2021'!W27</f>
        <v>9</v>
      </c>
      <c r="T27" s="518"/>
      <c r="U27" s="169">
        <f>'[1]December - 2021'!AC27</f>
        <v>7197697.9199999999</v>
      </c>
      <c r="V27" s="288">
        <f>'[1]December - 2021'!AD27</f>
        <v>2971.9199999999255</v>
      </c>
      <c r="W27" s="92">
        <f>'[1]December - 2021'!AD27</f>
        <v>2971.9199999999255</v>
      </c>
      <c r="X27" s="287">
        <f>'[1]December - 2021'!AF27</f>
        <v>13793070.48</v>
      </c>
      <c r="Y27" s="288">
        <f>'[1]December - 2021'!AG27</f>
        <v>4823.2800000011921</v>
      </c>
      <c r="Z27" s="92">
        <f>'[1]December - 2021'!AG27</f>
        <v>4823.2800000011921</v>
      </c>
      <c r="AA27" s="287">
        <f>'[1]December - 2021'!AI27</f>
        <v>13703279.52</v>
      </c>
      <c r="AB27" s="288">
        <f>'[1]December - 2021'!AJ27</f>
        <v>194.87999999895692</v>
      </c>
      <c r="AC27" s="92">
        <f>'[1]December - 2021'!AJ27</f>
        <v>194.87999999895692</v>
      </c>
      <c r="AD27" s="287">
        <f>'[1]December - 2021'!AL27</f>
        <v>16751056.560000001</v>
      </c>
      <c r="AE27" s="288">
        <f>'[1]December - 2021'!AM27</f>
        <v>48.720000002533197</v>
      </c>
      <c r="AF27" s="92">
        <f>'[1]December - 2021'!AM27</f>
        <v>48.720000002533197</v>
      </c>
      <c r="AG27" s="287">
        <f>'[1]December - 2021'!AO27</f>
        <v>17107248.48</v>
      </c>
      <c r="AH27" s="288">
        <f>'[1]December - 2021'!AP27</f>
        <v>9061.9199999980628</v>
      </c>
      <c r="AI27" s="92">
        <f>'[1]December - 2021'!AP27</f>
        <v>9061.9199999980628</v>
      </c>
      <c r="AJ27" s="287">
        <f>'[1]December - 2021'!AR27</f>
        <v>15536418.24</v>
      </c>
      <c r="AK27" s="288">
        <f>'[1]December - 2021'!AS27</f>
        <v>5846.4000000003725</v>
      </c>
      <c r="AL27" s="92">
        <f>'[1]December - 2021'!AS27</f>
        <v>5846.4000000003725</v>
      </c>
      <c r="AM27" s="287">
        <f>'[1]December - 2021'!AU27</f>
        <v>13215787.199999999</v>
      </c>
      <c r="AN27" s="288">
        <f>'[1]December - 2021'!AV27</f>
        <v>4579.679999999702</v>
      </c>
      <c r="AO27" s="92">
        <f>'[1]December - 2021'!AV27</f>
        <v>4579.679999999702</v>
      </c>
      <c r="AP27" s="287">
        <f>'[1]December - 2021'!AX27</f>
        <v>12703106.640000001</v>
      </c>
      <c r="AQ27" s="288">
        <f>'[1]December - 2021'!AY27</f>
        <v>4336.0800000019372</v>
      </c>
      <c r="AR27" s="92">
        <f>'[1]December - 2021'!AY27</f>
        <v>4336.0800000019372</v>
      </c>
      <c r="AS27" s="287">
        <f>'[1]December - 2021'!BA27</f>
        <v>10119923.52</v>
      </c>
      <c r="AT27" s="288">
        <f>'[1]December - 2021'!BB27</f>
        <v>3361.679999999702</v>
      </c>
      <c r="AU27" s="92">
        <f>'[1]December - 2021'!BB27</f>
        <v>3361.679999999702</v>
      </c>
      <c r="AV27" s="287">
        <f>'[1]December - 2021'!BD27</f>
        <v>15711956.4</v>
      </c>
      <c r="AW27" s="252">
        <f>'[1]December - 2021'!BE27</f>
        <v>5602.8000000007451</v>
      </c>
      <c r="AX27" s="253">
        <f>'[1]December - 2021'!BE27</f>
        <v>5602.8000000007451</v>
      </c>
      <c r="AY27" s="484"/>
      <c r="AZ27" s="272">
        <f>'[1]December - 2021'!BK27</f>
        <v>68002400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70700300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65105000</v>
      </c>
      <c r="BG27" s="245">
        <f>'[1]December - 2021'!BR27</f>
        <v>42800</v>
      </c>
      <c r="BH27" s="93">
        <f>'[1]December - 2021'!BR27</f>
        <v>42800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7736230</v>
      </c>
      <c r="BT27" s="185">
        <f>'[1]December - 2021'!BU27</f>
        <v>5950</v>
      </c>
      <c r="BU27" s="391"/>
      <c r="BV27" s="88">
        <f>'[1]December - 2021'!BW27</f>
        <v>0.62</v>
      </c>
      <c r="BW27" s="241">
        <f>'[1]December - 2021'!BX27</f>
        <v>6.0000000000000053E-2</v>
      </c>
      <c r="BX27" s="88">
        <f>'[1]December - 2021'!BX27</f>
        <v>6.0000000000000053E-2</v>
      </c>
      <c r="BY27" s="89">
        <f>'[1]December - 2021'!BZ27</f>
        <v>57248</v>
      </c>
      <c r="BZ27" s="191">
        <f>'[1]December - 2021'!CA27</f>
        <v>20</v>
      </c>
      <c r="CA27" s="89">
        <f>'[1]December - 2021'!CB27</f>
        <v>48734</v>
      </c>
      <c r="CB27" s="191">
        <f>'[1]December - 2021'!CC27</f>
        <v>18</v>
      </c>
      <c r="CC27" s="89">
        <f>'[1]December - 2021'!CD27</f>
        <v>16751</v>
      </c>
      <c r="CD27" s="191">
        <f>'[1]December - 2021'!CE27</f>
        <v>5</v>
      </c>
      <c r="CE27" s="89">
        <f>'[1]December - 2021'!CF27</f>
        <v>22156</v>
      </c>
      <c r="CF27" s="191">
        <f>'[1]December - 2021'!CG27</f>
        <v>11</v>
      </c>
      <c r="CG27" s="89">
        <f>'[1]December - 2021'!CH27</f>
        <v>24196</v>
      </c>
      <c r="CH27" s="191">
        <f>'[1]December - 2021'!CI27</f>
        <v>16</v>
      </c>
      <c r="CI27" s="89">
        <f>'[1]December - 2021'!CJ27</f>
        <v>53616</v>
      </c>
      <c r="CJ27" s="191">
        <f>'[1]December - 2021'!CK27</f>
        <v>25</v>
      </c>
      <c r="CK27" s="89">
        <f>'[1]December - 2021'!CL27</f>
        <v>235229</v>
      </c>
      <c r="CL27" s="246">
        <f>'[1]December - 2021'!CM27</f>
        <v>106</v>
      </c>
      <c r="CM27" s="89">
        <f>'[1]December - 2021'!CM27</f>
        <v>106</v>
      </c>
      <c r="CN27" s="89">
        <f>'[1]December - 2021'!CO27</f>
        <v>181074</v>
      </c>
      <c r="CO27" s="246">
        <f>'[1]December - 2021'!CP27</f>
        <v>120</v>
      </c>
      <c r="CP27" s="89">
        <f>'[1]December - 2021'!CP27</f>
        <v>120</v>
      </c>
      <c r="CQ27" s="89">
        <f>'[1]December - 2021'!CR27</f>
        <v>319897</v>
      </c>
      <c r="CR27" s="246">
        <f>'[1]December - 2021'!CS27</f>
        <v>226</v>
      </c>
      <c r="CS27" s="89">
        <f>'[1]December - 2021'!CS27</f>
        <v>226</v>
      </c>
      <c r="CT27" s="89">
        <f>'[1]December - 2021'!CU27</f>
        <v>622549</v>
      </c>
      <c r="CU27" s="191">
        <f>'[1]December - 2021'!CV27</f>
        <v>248</v>
      </c>
      <c r="CV27" s="451"/>
      <c r="CW27" s="256">
        <f>'[1]December - 2021'!CX27</f>
        <v>6443</v>
      </c>
      <c r="CX27" s="198">
        <f>'[1]December - 2021'!CY27</f>
        <v>8</v>
      </c>
      <c r="CY27" s="257">
        <f>'[1]December - 2021'!CZ27</f>
        <v>3960</v>
      </c>
      <c r="CZ27" s="198">
        <f>'[1]December - 2021'!DA27</f>
        <v>8</v>
      </c>
      <c r="DA27" s="257">
        <f>'[1]December - 2021'!DB27</f>
        <v>26933</v>
      </c>
      <c r="DB27" s="198">
        <f>'[1]December - 2021'!DC27</f>
        <v>15</v>
      </c>
      <c r="DC27" s="257">
        <f>'[1]December - 2021'!DD27</f>
        <v>27684</v>
      </c>
      <c r="DD27" s="198">
        <f>'[1]December - 2021'!DE27</f>
        <v>18</v>
      </c>
      <c r="DE27" s="257">
        <f>'[1]December - 2021'!DF27</f>
        <v>18719</v>
      </c>
      <c r="DF27" s="198">
        <f>'[1]December - 2021'!DG27</f>
        <v>9</v>
      </c>
      <c r="DG27" s="257">
        <f>'[1]December - 2021'!DH27</f>
        <v>21832</v>
      </c>
      <c r="DH27" s="198">
        <f>'[1]December - 2021'!DI27</f>
        <v>9</v>
      </c>
      <c r="DI27" s="257">
        <f>'[1]December - 2021'!DJ27</f>
        <v>3352</v>
      </c>
      <c r="DJ27" s="198">
        <f>'[1]December - 2021'!DK27</f>
        <v>9</v>
      </c>
      <c r="DK27" s="257">
        <f>'[1]December - 2021'!DL27</f>
        <v>6843</v>
      </c>
      <c r="DL27" s="198">
        <f>'[1]December - 2021'!DM27</f>
        <v>13</v>
      </c>
      <c r="DM27" s="257">
        <f>'[1]December - 2021'!DN27</f>
        <v>1835</v>
      </c>
      <c r="DN27" s="198">
        <f>'[1]December - 2021'!DO27</f>
        <v>5</v>
      </c>
      <c r="DO27" s="257">
        <f>'[1]December - 2021'!DP27</f>
        <v>3648</v>
      </c>
      <c r="DP27" s="198">
        <f>'[1]December - 2021'!DQ27</f>
        <v>9</v>
      </c>
      <c r="DQ27" s="257">
        <f>'[1]December - 2021'!DR27</f>
        <v>26328</v>
      </c>
      <c r="DR27" s="206">
        <f>'[1]December - 2021'!DS27</f>
        <v>3</v>
      </c>
      <c r="DS27" s="436"/>
      <c r="DT27" s="210">
        <f>'[1]December - 2021'!DU27</f>
        <v>3194.3</v>
      </c>
      <c r="DU27" s="221">
        <f>'[1]December - 2021'!DV27</f>
        <v>8.2000000000002728</v>
      </c>
      <c r="DV27" s="91">
        <f>'[1]December - 2021'!DW27</f>
        <v>8279.2000000000007</v>
      </c>
      <c r="DW27" s="215">
        <f>'[1]December - 2021'!DX27</f>
        <v>6.7000000000007276</v>
      </c>
      <c r="DX27" s="91">
        <f>'[1]December - 2021'!DY27</f>
        <v>2403.4</v>
      </c>
      <c r="DY27" s="215">
        <f>'[1]December - 2021'!DZ27</f>
        <v>6.4000000000000909</v>
      </c>
      <c r="DZ27" s="91">
        <f>'[1]December - 2021'!EA27</f>
        <v>2548</v>
      </c>
      <c r="EA27" s="215">
        <f>'[1]December - 2021'!EB27</f>
        <v>7.0999999999999091</v>
      </c>
      <c r="EB27" s="91">
        <f>'[1]December - 2021'!EC27</f>
        <v>878185</v>
      </c>
      <c r="EC27" s="215">
        <f>'[1]December - 2021'!ED27</f>
        <v>585</v>
      </c>
      <c r="ED27" s="91">
        <f>'[1]December - 2021'!EG27</f>
        <v>177781.4</v>
      </c>
      <c r="EE27" s="229">
        <f>'[1]December - 2021'!EH27</f>
        <v>152</v>
      </c>
      <c r="EF27" s="375"/>
      <c r="EG27" s="235">
        <f>'[1]December - 2021'!EJ27</f>
        <v>10450600</v>
      </c>
      <c r="EH27" s="230">
        <f>'[1]December - 2021'!EK27</f>
        <v>2400</v>
      </c>
      <c r="EI27" s="90">
        <f>'[1]December - 2021'!EL27</f>
        <v>829010</v>
      </c>
      <c r="EJ27" s="230">
        <f>'[1]December - 2021'!EM27</f>
        <v>250</v>
      </c>
      <c r="EK27" s="90">
        <f>'[1]December - 2021'!EN27</f>
        <v>6416300</v>
      </c>
      <c r="EL27" s="230">
        <f>'[1]December - 2021'!EO27</f>
        <v>600</v>
      </c>
      <c r="EM27" s="90">
        <f>'[1]December - 2021'!EP27</f>
        <v>2254300</v>
      </c>
      <c r="EN27" s="230">
        <f>'[1]December - 2021'!EQ27</f>
        <v>300</v>
      </c>
      <c r="EO27" s="90">
        <f>'[1]December - 2021'!ER27</f>
        <v>1001430</v>
      </c>
      <c r="EP27" s="230">
        <f>'[1]December - 2021'!ES27</f>
        <v>620</v>
      </c>
      <c r="EQ27" s="90">
        <f>'[1]December - 2021'!ET27</f>
        <v>14329200</v>
      </c>
      <c r="ER27" s="230">
        <f>'[1]December - 2021'!EU27</f>
        <v>1500</v>
      </c>
      <c r="ES27" s="423"/>
      <c r="ET27" s="281">
        <f>'[1]December - 2021'!EW27</f>
        <v>37653</v>
      </c>
      <c r="EU27" s="275">
        <f>'[1]December - 2021'!EX27</f>
        <v>17</v>
      </c>
      <c r="EV27" s="282">
        <f>'[1]December - 2021'!EY27</f>
        <v>32538</v>
      </c>
      <c r="EW27" s="275">
        <f>'[1]December - 2021'!EZ27</f>
        <v>12</v>
      </c>
      <c r="EX27" s="282">
        <f>'[1]December - 2021'!FA27</f>
        <v>3719</v>
      </c>
      <c r="EY27" s="275">
        <f>'[1]December - 2021'!FB27</f>
        <v>15</v>
      </c>
      <c r="EZ27" s="282">
        <f>'[1]December - 2021'!FC27</f>
        <v>54302</v>
      </c>
      <c r="FA27" s="275">
        <f>'[1]December - 2021'!FD27</f>
        <v>16</v>
      </c>
      <c r="FB27" s="282">
        <f>'[1]December - 2021'!FE27</f>
        <v>38049</v>
      </c>
      <c r="FC27" s="276">
        <f>'[1]December - 2021'!FF27</f>
        <v>33</v>
      </c>
    </row>
    <row r="28" spans="1:159" ht="30" customHeight="1" x14ac:dyDescent="0.25">
      <c r="A28" s="207">
        <v>43849</v>
      </c>
      <c r="B28" s="209">
        <f>'[1]December - 2021'!B28</f>
        <v>0.72</v>
      </c>
      <c r="C28" s="250">
        <f>'[1]December - 2021'!E28</f>
        <v>928397</v>
      </c>
      <c r="D28" s="170">
        <f>'[1]December - 2021'!F28</f>
        <v>677</v>
      </c>
      <c r="E28" s="168">
        <f>'[1]December - 2021'!G28</f>
        <v>520</v>
      </c>
      <c r="F28" s="168">
        <f>'[1]December - 2021'!H28</f>
        <v>94280</v>
      </c>
      <c r="G28" s="170">
        <f>'[1]December - 2021'!I28</f>
        <v>413</v>
      </c>
      <c r="H28" s="168">
        <f>'[1]December - 2021'!J28</f>
        <v>405</v>
      </c>
      <c r="I28" s="168">
        <f>'[1]December - 2021'!K28</f>
        <v>164625</v>
      </c>
      <c r="J28" s="170">
        <f>'[1]December - 2021'!L28</f>
        <v>0</v>
      </c>
      <c r="K28" s="168">
        <f>'[1]December - 2021'!N28</f>
        <v>820055</v>
      </c>
      <c r="L28" s="170">
        <f>'[1]December - 2021'!O28</f>
        <v>169</v>
      </c>
      <c r="M28" s="168">
        <f>'[1]December - 2021'!Q28</f>
        <v>189596</v>
      </c>
      <c r="N28" s="170">
        <f>'[1]December - 2021'!R28</f>
        <v>121</v>
      </c>
      <c r="O28" s="168">
        <f>'[1]December - 2021'!S28</f>
        <v>53858.89</v>
      </c>
      <c r="P28" s="170">
        <f>'[1]December - 2021'!T28</f>
        <v>81.569999999999709</v>
      </c>
      <c r="Q28" s="168">
        <f>'[1]December - 2021'!U28</f>
        <v>50</v>
      </c>
      <c r="R28" s="168">
        <f>'[1]December - 2021'!V28</f>
        <v>4027</v>
      </c>
      <c r="S28" s="208">
        <f>'[1]December - 2021'!W28</f>
        <v>13</v>
      </c>
      <c r="T28" s="518"/>
      <c r="U28" s="169">
        <f>'[1]December - 2021'!AC28</f>
        <v>7200572.3999999994</v>
      </c>
      <c r="V28" s="288">
        <f>'[1]December - 2021'!AD28</f>
        <v>2874.4799999995157</v>
      </c>
      <c r="W28" s="92">
        <f>'[1]December - 2021'!AD28</f>
        <v>2874.4799999995157</v>
      </c>
      <c r="X28" s="287">
        <f>'[1]December - 2021'!AF28</f>
        <v>13797747.6</v>
      </c>
      <c r="Y28" s="288">
        <f>'[1]December - 2021'!AG28</f>
        <v>4677.1199999991804</v>
      </c>
      <c r="Z28" s="92">
        <f>'[1]December - 2021'!AG28</f>
        <v>4677.1199999991804</v>
      </c>
      <c r="AA28" s="287">
        <f>'[1]December - 2021'!AI28</f>
        <v>13703523.119999999</v>
      </c>
      <c r="AB28" s="288">
        <f>'[1]December - 2021'!AJ28</f>
        <v>243.59999999962747</v>
      </c>
      <c r="AC28" s="92">
        <f>'[1]December - 2021'!AJ28</f>
        <v>243.59999999962747</v>
      </c>
      <c r="AD28" s="287">
        <f>'[1]December - 2021'!AL28</f>
        <v>16751105.280000001</v>
      </c>
      <c r="AE28" s="288">
        <f>'[1]December - 2021'!AM28</f>
        <v>48.720000000670552</v>
      </c>
      <c r="AF28" s="92">
        <f>'[1]December - 2021'!AM28</f>
        <v>48.720000000670552</v>
      </c>
      <c r="AG28" s="287">
        <f>'[1]December - 2021'!AO28</f>
        <v>17116018.080000002</v>
      </c>
      <c r="AH28" s="288">
        <f>'[1]December - 2021'!AP28</f>
        <v>8769.6000000014901</v>
      </c>
      <c r="AI28" s="92">
        <f>'[1]December - 2021'!AP28</f>
        <v>8769.6000000014901</v>
      </c>
      <c r="AJ28" s="287">
        <f>'[1]December - 2021'!AR28</f>
        <v>15541728.719999999</v>
      </c>
      <c r="AK28" s="288">
        <f>'[1]December - 2021'!AS28</f>
        <v>5310.4799999985844</v>
      </c>
      <c r="AL28" s="92">
        <f>'[1]December - 2021'!AS28</f>
        <v>5310.4799999985844</v>
      </c>
      <c r="AM28" s="287">
        <f>'[1]December - 2021'!AU28</f>
        <v>13220172</v>
      </c>
      <c r="AN28" s="288">
        <f>'[1]December - 2021'!AV28</f>
        <v>4384.8000000007451</v>
      </c>
      <c r="AO28" s="92">
        <f>'[1]December - 2021'!AV28</f>
        <v>4384.8000000007451</v>
      </c>
      <c r="AP28" s="295">
        <f>'[1]December - 2021'!AX28</f>
        <v>12707296.559999999</v>
      </c>
      <c r="AQ28" s="288">
        <f>'[1]December - 2021'!AY28</f>
        <v>4189.9199999980628</v>
      </c>
      <c r="AR28" s="92">
        <f>'[1]December - 2021'!AY28</f>
        <v>4189.9199999980628</v>
      </c>
      <c r="AS28" s="287">
        <f>'[1]December - 2021'!BA28</f>
        <v>10123333.92</v>
      </c>
      <c r="AT28" s="288">
        <f>'[1]December - 2021'!BB28</f>
        <v>3410.4000000003725</v>
      </c>
      <c r="AU28" s="92">
        <f>'[1]December - 2021'!BB28</f>
        <v>3410.4000000003725</v>
      </c>
      <c r="AV28" s="287">
        <f>'[1]December - 2021'!BD28</f>
        <v>15717218.16</v>
      </c>
      <c r="AW28" s="252">
        <f>'[1]December - 2021'!BE28</f>
        <v>5261.7599999997765</v>
      </c>
      <c r="AX28" s="253">
        <f>'[1]December - 2021'!BE28</f>
        <v>5261.7599999997765</v>
      </c>
      <c r="AY28" s="484"/>
      <c r="AZ28" s="272">
        <f>'[1]December - 2021'!BK28</f>
        <v>68002400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70700300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65148700</v>
      </c>
      <c r="BG28" s="245">
        <f>'[1]December - 2021'!BR28</f>
        <v>43700</v>
      </c>
      <c r="BH28" s="93">
        <f>'[1]December - 2021'!BR28</f>
        <v>43700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7741200</v>
      </c>
      <c r="BT28" s="185">
        <f>'[1]December - 2021'!BU28</f>
        <v>4970</v>
      </c>
      <c r="BU28" s="391"/>
      <c r="BV28" s="88">
        <f>'[1]December - 2021'!BW28</f>
        <v>0.74</v>
      </c>
      <c r="BW28" s="241">
        <f>'[1]December - 2021'!BX28</f>
        <v>-0.12</v>
      </c>
      <c r="BX28" s="88">
        <f>'[1]December - 2021'!BX28</f>
        <v>-0.12</v>
      </c>
      <c r="BY28" s="89">
        <f>'[1]December - 2021'!BZ28</f>
        <v>57268</v>
      </c>
      <c r="BZ28" s="191">
        <f>'[1]December - 2021'!CA28</f>
        <v>20</v>
      </c>
      <c r="CA28" s="89">
        <f>'[1]December - 2021'!CB28</f>
        <v>48752</v>
      </c>
      <c r="CB28" s="191">
        <f>'[1]December - 2021'!CC28</f>
        <v>18</v>
      </c>
      <c r="CC28" s="89">
        <f>'[1]December - 2021'!CD28</f>
        <v>16755</v>
      </c>
      <c r="CD28" s="191">
        <f>'[1]December - 2021'!CE28</f>
        <v>4</v>
      </c>
      <c r="CE28" s="89">
        <f>'[1]December - 2021'!CF28</f>
        <v>22169</v>
      </c>
      <c r="CF28" s="191">
        <f>'[1]December - 2021'!CG28</f>
        <v>13</v>
      </c>
      <c r="CG28" s="89">
        <f>'[1]December - 2021'!CH28</f>
        <v>24210</v>
      </c>
      <c r="CH28" s="191">
        <f>'[1]December - 2021'!CI28</f>
        <v>14</v>
      </c>
      <c r="CI28" s="89">
        <f>'[1]December - 2021'!CJ28</f>
        <v>53640</v>
      </c>
      <c r="CJ28" s="191">
        <f>'[1]December - 2021'!CK28</f>
        <v>24</v>
      </c>
      <c r="CK28" s="89">
        <f>'[1]December - 2021'!CL28</f>
        <v>235333</v>
      </c>
      <c r="CL28" s="246">
        <f>'[1]December - 2021'!CM28</f>
        <v>104</v>
      </c>
      <c r="CM28" s="89">
        <f>'[1]December - 2021'!CM28</f>
        <v>104</v>
      </c>
      <c r="CN28" s="89">
        <f>'[1]December - 2021'!CO28</f>
        <v>181192</v>
      </c>
      <c r="CO28" s="246">
        <f>'[1]December - 2021'!CP28</f>
        <v>118</v>
      </c>
      <c r="CP28" s="89">
        <f>'[1]December - 2021'!CP28</f>
        <v>118</v>
      </c>
      <c r="CQ28" s="89">
        <f>'[1]December - 2021'!CR28</f>
        <v>320113</v>
      </c>
      <c r="CR28" s="246">
        <f>'[1]December - 2021'!CS28</f>
        <v>216</v>
      </c>
      <c r="CS28" s="89">
        <f>'[1]December - 2021'!CS28</f>
        <v>216</v>
      </c>
      <c r="CT28" s="89">
        <f>'[1]December - 2021'!CU28</f>
        <v>622792</v>
      </c>
      <c r="CU28" s="191">
        <f>'[1]December - 2021'!CV28</f>
        <v>243</v>
      </c>
      <c r="CV28" s="451"/>
      <c r="CW28" s="256">
        <f>'[1]December - 2021'!CX28</f>
        <v>6451</v>
      </c>
      <c r="CX28" s="198">
        <f>'[1]December - 2021'!CY28</f>
        <v>8</v>
      </c>
      <c r="CY28" s="257">
        <f>'[1]December - 2021'!CZ28</f>
        <v>3964</v>
      </c>
      <c r="CZ28" s="198">
        <f>'[1]December - 2021'!DA28</f>
        <v>4</v>
      </c>
      <c r="DA28" s="257">
        <f>'[1]December - 2021'!DB28</f>
        <v>26948</v>
      </c>
      <c r="DB28" s="198">
        <f>'[1]December - 2021'!DC28</f>
        <v>15</v>
      </c>
      <c r="DC28" s="257">
        <f>'[1]December - 2021'!DD28</f>
        <v>27702</v>
      </c>
      <c r="DD28" s="198">
        <f>'[1]December - 2021'!DE28</f>
        <v>18</v>
      </c>
      <c r="DE28" s="257">
        <f>'[1]December - 2021'!DF28</f>
        <v>18728</v>
      </c>
      <c r="DF28" s="198">
        <f>'[1]December - 2021'!DG28</f>
        <v>9</v>
      </c>
      <c r="DG28" s="257">
        <f>'[1]December - 2021'!DH28</f>
        <v>21841</v>
      </c>
      <c r="DH28" s="198">
        <f>'[1]December - 2021'!DI28</f>
        <v>9</v>
      </c>
      <c r="DI28" s="257">
        <f>'[1]December - 2021'!DJ28</f>
        <v>3361</v>
      </c>
      <c r="DJ28" s="198">
        <f>'[1]December - 2021'!DK28</f>
        <v>9</v>
      </c>
      <c r="DK28" s="257">
        <f>'[1]December - 2021'!DL28</f>
        <v>6856</v>
      </c>
      <c r="DL28" s="198">
        <f>'[1]December - 2021'!DM28</f>
        <v>13</v>
      </c>
      <c r="DM28" s="257">
        <f>'[1]December - 2021'!DN28</f>
        <v>1841</v>
      </c>
      <c r="DN28" s="198">
        <f>'[1]December - 2021'!DO28</f>
        <v>6</v>
      </c>
      <c r="DO28" s="257">
        <f>'[1]December - 2021'!DP28</f>
        <v>3650</v>
      </c>
      <c r="DP28" s="198">
        <f>'[1]December - 2021'!DQ28</f>
        <v>2</v>
      </c>
      <c r="DQ28" s="257">
        <f>'[1]December - 2021'!DR28</f>
        <v>26334</v>
      </c>
      <c r="DR28" s="206">
        <f>'[1]December - 2021'!DS28</f>
        <v>6</v>
      </c>
      <c r="DS28" s="436"/>
      <c r="DT28" s="210">
        <f>'[1]December - 2021'!DU28</f>
        <v>3203.4</v>
      </c>
      <c r="DU28" s="221">
        <f>'[1]December - 2021'!DV28</f>
        <v>9.0999999999999091</v>
      </c>
      <c r="DV28" s="91">
        <f>'[1]December - 2021'!DW28</f>
        <v>8285.5</v>
      </c>
      <c r="DW28" s="215">
        <f>'[1]December - 2021'!DX28</f>
        <v>6.2999999999992724</v>
      </c>
      <c r="DX28" s="91">
        <f>'[1]December - 2021'!DY28</f>
        <v>2409.8000000000002</v>
      </c>
      <c r="DY28" s="215">
        <f>'[1]December - 2021'!DZ28</f>
        <v>6.4000000000000909</v>
      </c>
      <c r="DZ28" s="91">
        <f>'[1]December - 2021'!EA28</f>
        <v>2555.8000000000002</v>
      </c>
      <c r="EA28" s="215">
        <f>'[1]December - 2021'!EB28</f>
        <v>7.8000000000001819</v>
      </c>
      <c r="EB28" s="91">
        <f>'[1]December - 2021'!EC28</f>
        <v>878740</v>
      </c>
      <c r="EC28" s="215">
        <f>'[1]December - 2021'!ED28</f>
        <v>555</v>
      </c>
      <c r="ED28" s="91">
        <f>'[1]December - 2021'!EG28</f>
        <v>177935.6</v>
      </c>
      <c r="EE28" s="229">
        <f>'[1]December - 2021'!EH28</f>
        <v>154.20000000001164</v>
      </c>
      <c r="EF28" s="375"/>
      <c r="EG28" s="235">
        <f>'[1]December - 2021'!EJ28</f>
        <v>10453900</v>
      </c>
      <c r="EH28" s="230">
        <f>'[1]December - 2021'!EK28</f>
        <v>3300</v>
      </c>
      <c r="EI28" s="90">
        <f>'[1]December - 2021'!EL28</f>
        <v>829290</v>
      </c>
      <c r="EJ28" s="230">
        <f>'[1]December - 2021'!EM28</f>
        <v>280</v>
      </c>
      <c r="EK28" s="90">
        <f>'[1]December - 2021'!EN28</f>
        <v>6417100</v>
      </c>
      <c r="EL28" s="230">
        <f>'[1]December - 2021'!EO28</f>
        <v>800</v>
      </c>
      <c r="EM28" s="90">
        <f>'[1]December - 2021'!EP28</f>
        <v>2254600</v>
      </c>
      <c r="EN28" s="230">
        <f>'[1]December - 2021'!EQ28</f>
        <v>300</v>
      </c>
      <c r="EO28" s="90">
        <f>'[1]December - 2021'!ER28</f>
        <v>1002080</v>
      </c>
      <c r="EP28" s="230">
        <f>'[1]December - 2021'!ES28</f>
        <v>650</v>
      </c>
      <c r="EQ28" s="90">
        <f>'[1]December - 2021'!ET28</f>
        <v>14330700</v>
      </c>
      <c r="ER28" s="230">
        <f>'[1]December - 2021'!EU28</f>
        <v>1500</v>
      </c>
      <c r="ES28" s="423"/>
      <c r="ET28" s="281">
        <f>'[1]December - 2021'!EW28</f>
        <v>37667</v>
      </c>
      <c r="EU28" s="275">
        <f>'[1]December - 2021'!EX28</f>
        <v>14</v>
      </c>
      <c r="EV28" s="282">
        <f>'[1]December - 2021'!EY28</f>
        <v>32551</v>
      </c>
      <c r="EW28" s="275">
        <f>'[1]December - 2021'!EZ28</f>
        <v>13</v>
      </c>
      <c r="EX28" s="282">
        <f>'[1]December - 2021'!FA28</f>
        <v>3729</v>
      </c>
      <c r="EY28" s="275">
        <f>'[1]December - 2021'!FB28</f>
        <v>10</v>
      </c>
      <c r="EZ28" s="282">
        <f>'[1]December - 2021'!FC28</f>
        <v>54319</v>
      </c>
      <c r="FA28" s="275">
        <f>'[1]December - 2021'!FD28</f>
        <v>17</v>
      </c>
      <c r="FB28" s="282">
        <f>'[1]December - 2021'!FE28</f>
        <v>38079</v>
      </c>
      <c r="FC28" s="276">
        <f>'[1]December - 2021'!FF28</f>
        <v>30</v>
      </c>
    </row>
    <row r="29" spans="1:159" ht="30" customHeight="1" x14ac:dyDescent="0.25">
      <c r="A29" s="207">
        <v>43850</v>
      </c>
      <c r="B29" s="209">
        <f>'[1]December - 2021'!B29</f>
        <v>0.74</v>
      </c>
      <c r="C29" s="250">
        <f>'[1]December - 2021'!E29</f>
        <v>929111</v>
      </c>
      <c r="D29" s="170">
        <f>'[1]December - 2021'!F29</f>
        <v>714</v>
      </c>
      <c r="E29" s="168">
        <f>'[1]December - 2021'!G29</f>
        <v>516</v>
      </c>
      <c r="F29" s="168">
        <f>'[1]December - 2021'!H29</f>
        <v>94716</v>
      </c>
      <c r="G29" s="170">
        <f>'[1]December - 2021'!I29</f>
        <v>436</v>
      </c>
      <c r="H29" s="168">
        <f>'[1]December - 2021'!J29</f>
        <v>415</v>
      </c>
      <c r="I29" s="168">
        <f>'[1]December - 2021'!K29</f>
        <v>164625</v>
      </c>
      <c r="J29" s="170">
        <f>'[1]December - 2021'!L29</f>
        <v>0</v>
      </c>
      <c r="K29" s="168">
        <f>'[1]December - 2021'!N29</f>
        <v>820237</v>
      </c>
      <c r="L29" s="170">
        <f>'[1]December - 2021'!O29</f>
        <v>182</v>
      </c>
      <c r="M29" s="168">
        <f>'[1]December - 2021'!Q29</f>
        <v>189759</v>
      </c>
      <c r="N29" s="170">
        <f>'[1]December - 2021'!R29</f>
        <v>163</v>
      </c>
      <c r="O29" s="168">
        <f>'[1]December - 2021'!S29</f>
        <v>53937.48</v>
      </c>
      <c r="P29" s="170">
        <f>'[1]December - 2021'!T29</f>
        <v>78.590000000003783</v>
      </c>
      <c r="Q29" s="168">
        <f>'[1]December - 2021'!U29</f>
        <v>44</v>
      </c>
      <c r="R29" s="168">
        <f>'[1]December - 2021'!V29</f>
        <v>4036</v>
      </c>
      <c r="S29" s="208">
        <f>'[1]December - 2021'!W29</f>
        <v>9</v>
      </c>
      <c r="T29" s="518"/>
      <c r="U29" s="169">
        <f>'[1]December - 2021'!AC29</f>
        <v>7203641.7599999998</v>
      </c>
      <c r="V29" s="288">
        <f>'[1]December - 2021'!AD29</f>
        <v>3069.3600000003353</v>
      </c>
      <c r="W29" s="92">
        <f>'[1]December - 2021'!AD29</f>
        <v>3069.3600000003353</v>
      </c>
      <c r="X29" s="287">
        <f>'[1]December - 2021'!AF29</f>
        <v>13802522.16</v>
      </c>
      <c r="Y29" s="288">
        <f>'[1]December - 2021'!AG29</f>
        <v>4774.5600000005215</v>
      </c>
      <c r="Z29" s="92">
        <f>'[1]December - 2021'!AG29</f>
        <v>4774.5600000005215</v>
      </c>
      <c r="AA29" s="287">
        <f>'[1]December - 2021'!AI29</f>
        <v>13703718</v>
      </c>
      <c r="AB29" s="288">
        <f>'[1]December - 2021'!AJ29</f>
        <v>194.88000000081956</v>
      </c>
      <c r="AC29" s="92">
        <f>'[1]December - 2021'!AJ29</f>
        <v>194.88000000081956</v>
      </c>
      <c r="AD29" s="287">
        <f>'[1]December - 2021'!AL29</f>
        <v>16751105.280000001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17125421.039999999</v>
      </c>
      <c r="AH29" s="288">
        <f>'[1]December - 2021'!AP29</f>
        <v>9402.9599999971688</v>
      </c>
      <c r="AI29" s="92">
        <f>'[1]December - 2021'!AP29</f>
        <v>9402.9599999971688</v>
      </c>
      <c r="AJ29" s="287">
        <f>'[1]December - 2021'!AR29</f>
        <v>15547623.84</v>
      </c>
      <c r="AK29" s="288">
        <f>'[1]December - 2021'!AS29</f>
        <v>5895.1200000010431</v>
      </c>
      <c r="AL29" s="92">
        <f>'[1]December - 2021'!AS29</f>
        <v>5895.1200000010431</v>
      </c>
      <c r="AM29" s="287">
        <f>'[1]December - 2021'!AU29</f>
        <v>13224556.799999999</v>
      </c>
      <c r="AN29" s="288">
        <f>'[1]December - 2021'!AV29</f>
        <v>4384.7999999988824</v>
      </c>
      <c r="AO29" s="92">
        <f>'[1]December - 2021'!AV29</f>
        <v>4384.7999999988824</v>
      </c>
      <c r="AP29" s="287">
        <f>'[1]December - 2021'!AX29</f>
        <v>12711437.76</v>
      </c>
      <c r="AQ29" s="288">
        <f>'[1]December - 2021'!AY29</f>
        <v>4141.2000000011176</v>
      </c>
      <c r="AR29" s="92">
        <f>'[1]December - 2021'!AY29</f>
        <v>4141.2000000011176</v>
      </c>
      <c r="AS29" s="287">
        <f>'[1]December - 2021'!BA29</f>
        <v>10126354.559999999</v>
      </c>
      <c r="AT29" s="288">
        <f>'[1]December - 2021'!BB29</f>
        <v>3020.6399999987334</v>
      </c>
      <c r="AU29" s="92">
        <f>'[1]December - 2021'!BB29</f>
        <v>3020.6399999987334</v>
      </c>
      <c r="AV29" s="287">
        <f>'[1]December - 2021'!BD29</f>
        <v>15722674.799999999</v>
      </c>
      <c r="AW29" s="252">
        <f>'[1]December - 2021'!BE29</f>
        <v>5456.6399999987334</v>
      </c>
      <c r="AX29" s="253">
        <f>'[1]December - 2021'!BE29</f>
        <v>5456.6399999987334</v>
      </c>
      <c r="AY29" s="484"/>
      <c r="AZ29" s="272">
        <f>'[1]December - 2021'!BK29</f>
        <v>68002400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70700300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65192800</v>
      </c>
      <c r="BG29" s="245">
        <f>'[1]December - 2021'!BR29</f>
        <v>44100</v>
      </c>
      <c r="BH29" s="93">
        <f>'[1]December - 2021'!BR29</f>
        <v>44100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7746840</v>
      </c>
      <c r="BT29" s="185">
        <f>'[1]December - 2021'!BU29</f>
        <v>5640</v>
      </c>
      <c r="BU29" s="391"/>
      <c r="BV29" s="88">
        <f>'[1]December - 2021'!BW29</f>
        <v>0.68</v>
      </c>
      <c r="BW29" s="241">
        <f>'[1]December - 2021'!BX29</f>
        <v>5.9999999999999942E-2</v>
      </c>
      <c r="BX29" s="88">
        <f>'[1]December - 2021'!BX29</f>
        <v>5.9999999999999942E-2</v>
      </c>
      <c r="BY29" s="89">
        <f>'[1]December - 2021'!BZ29</f>
        <v>57288</v>
      </c>
      <c r="BZ29" s="191">
        <f>'[1]December - 2021'!CA29</f>
        <v>20</v>
      </c>
      <c r="CA29" s="89">
        <f>'[1]December - 2021'!CB29</f>
        <v>48771</v>
      </c>
      <c r="CB29" s="191">
        <f>'[1]December - 2021'!CC29</f>
        <v>19</v>
      </c>
      <c r="CC29" s="89">
        <f>'[1]December - 2021'!CD29</f>
        <v>16760</v>
      </c>
      <c r="CD29" s="191">
        <f>'[1]December - 2021'!CE29</f>
        <v>5</v>
      </c>
      <c r="CE29" s="89">
        <f>'[1]December - 2021'!CF29</f>
        <v>22179</v>
      </c>
      <c r="CF29" s="191">
        <f>'[1]December - 2021'!CG29</f>
        <v>10</v>
      </c>
      <c r="CG29" s="89">
        <f>'[1]December - 2021'!CH29</f>
        <v>24222</v>
      </c>
      <c r="CH29" s="191">
        <f>'[1]December - 2021'!CI29</f>
        <v>12</v>
      </c>
      <c r="CI29" s="89">
        <f>'[1]December - 2021'!CJ29</f>
        <v>53663</v>
      </c>
      <c r="CJ29" s="191">
        <f>'[1]December - 2021'!CK29</f>
        <v>23</v>
      </c>
      <c r="CK29" s="89">
        <f>'[1]December - 2021'!CL29</f>
        <v>235438</v>
      </c>
      <c r="CL29" s="246">
        <f>'[1]December - 2021'!CM29</f>
        <v>105</v>
      </c>
      <c r="CM29" s="89">
        <f>'[1]December - 2021'!CM29</f>
        <v>105</v>
      </c>
      <c r="CN29" s="89">
        <f>'[1]December - 2021'!CO29</f>
        <v>181310</v>
      </c>
      <c r="CO29" s="246">
        <f>'[1]December - 2021'!CP29</f>
        <v>118</v>
      </c>
      <c r="CP29" s="89">
        <f>'[1]December - 2021'!CP29</f>
        <v>118</v>
      </c>
      <c r="CQ29" s="89">
        <f>'[1]December - 2021'!CR29</f>
        <v>320337</v>
      </c>
      <c r="CR29" s="246">
        <f>'[1]December - 2021'!CS29</f>
        <v>224</v>
      </c>
      <c r="CS29" s="89">
        <f>'[1]December - 2021'!CS29</f>
        <v>224</v>
      </c>
      <c r="CT29" s="89">
        <f>'[1]December - 2021'!CU29</f>
        <v>623037</v>
      </c>
      <c r="CU29" s="191">
        <f>'[1]December - 2021'!CV29</f>
        <v>245</v>
      </c>
      <c r="CV29" s="451"/>
      <c r="CW29" s="256">
        <f>'[1]December - 2021'!CX29</f>
        <v>6455</v>
      </c>
      <c r="CX29" s="198">
        <f>'[1]December - 2021'!CY29</f>
        <v>4</v>
      </c>
      <c r="CY29" s="257">
        <f>'[1]December - 2021'!CZ29</f>
        <v>3966</v>
      </c>
      <c r="CZ29" s="198">
        <f>'[1]December - 2021'!DA29</f>
        <v>2</v>
      </c>
      <c r="DA29" s="257">
        <f>'[1]December - 2021'!DB29</f>
        <v>26964</v>
      </c>
      <c r="DB29" s="198">
        <f>'[1]December - 2021'!DC29</f>
        <v>16</v>
      </c>
      <c r="DC29" s="257">
        <f>'[1]December - 2021'!DD29</f>
        <v>27715</v>
      </c>
      <c r="DD29" s="198">
        <f>'[1]December - 2021'!DE29</f>
        <v>13</v>
      </c>
      <c r="DE29" s="257">
        <f>'[1]December - 2021'!DF29</f>
        <v>18737</v>
      </c>
      <c r="DF29" s="198">
        <f>'[1]December - 2021'!DG29</f>
        <v>9</v>
      </c>
      <c r="DG29" s="257">
        <f>'[1]December - 2021'!DH29</f>
        <v>21849</v>
      </c>
      <c r="DH29" s="198">
        <f>'[1]December - 2021'!DI29</f>
        <v>8</v>
      </c>
      <c r="DI29" s="257">
        <f>'[1]December - 2021'!DJ29</f>
        <v>3363</v>
      </c>
      <c r="DJ29" s="198">
        <f>'[1]December - 2021'!DK29</f>
        <v>2</v>
      </c>
      <c r="DK29" s="257">
        <f>'[1]December - 2021'!DL29</f>
        <v>6870</v>
      </c>
      <c r="DL29" s="198">
        <f>'[1]December - 2021'!DM29</f>
        <v>14</v>
      </c>
      <c r="DM29" s="257">
        <f>'[1]December - 2021'!DN29</f>
        <v>1853</v>
      </c>
      <c r="DN29" s="198">
        <f>'[1]December - 2021'!DO29</f>
        <v>12</v>
      </c>
      <c r="DO29" s="257">
        <f>'[1]December - 2021'!DP29</f>
        <v>3651</v>
      </c>
      <c r="DP29" s="198">
        <f>'[1]December - 2021'!DQ29</f>
        <v>1</v>
      </c>
      <c r="DQ29" s="257">
        <f>'[1]December - 2021'!DR29</f>
        <v>26343</v>
      </c>
      <c r="DR29" s="206">
        <f>'[1]December - 2021'!DS29</f>
        <v>9</v>
      </c>
      <c r="DS29" s="436"/>
      <c r="DT29" s="210">
        <f>'[1]December - 2021'!DU29</f>
        <v>3212.9</v>
      </c>
      <c r="DU29" s="221">
        <f>'[1]December - 2021'!DV29</f>
        <v>9.5</v>
      </c>
      <c r="DV29" s="91">
        <f>'[1]December - 2021'!DW29</f>
        <v>8292.1</v>
      </c>
      <c r="DW29" s="215">
        <f>'[1]December - 2021'!DX29</f>
        <v>6.6000000000003638</v>
      </c>
      <c r="DX29" s="91">
        <f>'[1]December - 2021'!DY29</f>
        <v>2416</v>
      </c>
      <c r="DY29" s="215">
        <f>'[1]December - 2021'!DZ29</f>
        <v>6.1999999999998181</v>
      </c>
      <c r="DZ29" s="91">
        <f>'[1]December - 2021'!EA29</f>
        <v>2563.5</v>
      </c>
      <c r="EA29" s="215">
        <f>'[1]December - 2021'!EB29</f>
        <v>7.6999999999998181</v>
      </c>
      <c r="EB29" s="91">
        <f>'[1]December - 2021'!EC29</f>
        <v>879318</v>
      </c>
      <c r="EC29" s="215">
        <f>'[1]December - 2021'!ED29</f>
        <v>578</v>
      </c>
      <c r="ED29" s="91">
        <f>'[1]December - 2021'!EG29</f>
        <v>178084.9</v>
      </c>
      <c r="EE29" s="229">
        <f>'[1]December - 2021'!EH29</f>
        <v>149.29999999998836</v>
      </c>
      <c r="EF29" s="375"/>
      <c r="EG29" s="235">
        <f>'[1]December - 2021'!EJ29</f>
        <v>10457000</v>
      </c>
      <c r="EH29" s="230">
        <f>'[1]December - 2021'!EK29</f>
        <v>3100</v>
      </c>
      <c r="EI29" s="90">
        <f>'[1]December - 2021'!EL29</f>
        <v>829570</v>
      </c>
      <c r="EJ29" s="230">
        <f>'[1]December - 2021'!EM29</f>
        <v>280</v>
      </c>
      <c r="EK29" s="90">
        <f>'[1]December - 2021'!EN29</f>
        <v>6417700</v>
      </c>
      <c r="EL29" s="230">
        <f>'[1]December - 2021'!EO29</f>
        <v>600</v>
      </c>
      <c r="EM29" s="90">
        <f>'[1]December - 2021'!EP29</f>
        <v>2255000</v>
      </c>
      <c r="EN29" s="230">
        <f>'[1]December - 2021'!EQ29</f>
        <v>400</v>
      </c>
      <c r="EO29" s="90">
        <f>'[1]December - 2021'!ER29</f>
        <v>1002760</v>
      </c>
      <c r="EP29" s="230">
        <f>'[1]December - 2021'!ES29</f>
        <v>680</v>
      </c>
      <c r="EQ29" s="90">
        <f>'[1]December - 2021'!ET29</f>
        <v>14332400</v>
      </c>
      <c r="ER29" s="230">
        <f>'[1]December - 2021'!EU29</f>
        <v>1700</v>
      </c>
      <c r="ES29" s="423"/>
      <c r="ET29" s="281">
        <f>'[1]December - 2021'!EW29</f>
        <v>37683</v>
      </c>
      <c r="EU29" s="275">
        <f>'[1]December - 2021'!EX29</f>
        <v>16</v>
      </c>
      <c r="EV29" s="282">
        <f>'[1]December - 2021'!EY29</f>
        <v>32564</v>
      </c>
      <c r="EW29" s="275">
        <f>'[1]December - 2021'!EZ29</f>
        <v>13</v>
      </c>
      <c r="EX29" s="282">
        <f>'[1]December - 2021'!FA29</f>
        <v>3740</v>
      </c>
      <c r="EY29" s="275">
        <f>'[1]December - 2021'!FB29</f>
        <v>11</v>
      </c>
      <c r="EZ29" s="282">
        <f>'[1]December - 2021'!FC29</f>
        <v>54334</v>
      </c>
      <c r="FA29" s="275">
        <f>'[1]December - 2021'!FD29</f>
        <v>15</v>
      </c>
      <c r="FB29" s="282">
        <f>'[1]December - 2021'!FE29</f>
        <v>38113</v>
      </c>
      <c r="FC29" s="276">
        <f>'[1]December - 2021'!FF29</f>
        <v>34</v>
      </c>
    </row>
    <row r="30" spans="1:159" ht="30" customHeight="1" x14ac:dyDescent="0.25">
      <c r="A30" s="207">
        <v>43851</v>
      </c>
      <c r="B30" s="209">
        <f>'[1]December - 2021'!B30</f>
        <v>0.81</v>
      </c>
      <c r="C30" s="250">
        <f>'[1]December - 2021'!E30</f>
        <v>929881</v>
      </c>
      <c r="D30" s="170">
        <f>'[1]December - 2021'!F30</f>
        <v>770</v>
      </c>
      <c r="E30" s="168">
        <f>'[1]December - 2021'!G30</f>
        <v>501</v>
      </c>
      <c r="F30" s="168">
        <f>'[1]December - 2021'!H30</f>
        <v>95171</v>
      </c>
      <c r="G30" s="170">
        <f>'[1]December - 2021'!I30</f>
        <v>455</v>
      </c>
      <c r="H30" s="168">
        <f>'[1]December - 2021'!J30</f>
        <v>417</v>
      </c>
      <c r="I30" s="168">
        <f>'[1]December - 2021'!K30</f>
        <v>164625</v>
      </c>
      <c r="J30" s="170">
        <f>'[1]December - 2021'!L30</f>
        <v>0</v>
      </c>
      <c r="K30" s="168">
        <f>'[1]December - 2021'!N30</f>
        <v>820411</v>
      </c>
      <c r="L30" s="170">
        <f>'[1]December - 2021'!O30</f>
        <v>174</v>
      </c>
      <c r="M30" s="168">
        <f>'[1]December - 2021'!Q30</f>
        <v>189933</v>
      </c>
      <c r="N30" s="170">
        <f>'[1]December - 2021'!R30</f>
        <v>174</v>
      </c>
      <c r="O30" s="168">
        <f>'[1]December - 2021'!S30</f>
        <v>54026.06</v>
      </c>
      <c r="P30" s="170">
        <f>'[1]December - 2021'!T30</f>
        <v>88.57999999999447</v>
      </c>
      <c r="Q30" s="168">
        <f>'[1]December - 2021'!U30</f>
        <v>41</v>
      </c>
      <c r="R30" s="168">
        <f>'[1]December - 2021'!V30</f>
        <v>4048</v>
      </c>
      <c r="S30" s="208">
        <f>'[1]December - 2021'!W30</f>
        <v>12</v>
      </c>
      <c r="T30" s="518"/>
      <c r="U30" s="169">
        <f>'[1]December - 2021'!AC30</f>
        <v>7206613.6799999997</v>
      </c>
      <c r="V30" s="288">
        <f>'[1]December - 2021'!AD30</f>
        <v>2971.9199999999255</v>
      </c>
      <c r="W30" s="92">
        <f>'[1]December - 2021'!AD30</f>
        <v>2971.9199999999255</v>
      </c>
      <c r="X30" s="287">
        <f>'[1]December - 2021'!AF30</f>
        <v>13807296.719999999</v>
      </c>
      <c r="Y30" s="288">
        <f>'[1]December - 2021'!AG30</f>
        <v>4774.5599999986589</v>
      </c>
      <c r="Z30" s="92">
        <f>'[1]December - 2021'!AG30</f>
        <v>4774.5599999986589</v>
      </c>
      <c r="AA30" s="287">
        <f>'[1]December - 2021'!AI30</f>
        <v>13703961.6</v>
      </c>
      <c r="AB30" s="288">
        <f>'[1]December - 2021'!AJ30</f>
        <v>243.59999999962747</v>
      </c>
      <c r="AC30" s="92">
        <f>'[1]December - 2021'!AJ30</f>
        <v>243.59999999962747</v>
      </c>
      <c r="AD30" s="287">
        <f>'[1]December - 2021'!AL30</f>
        <v>16751154</v>
      </c>
      <c r="AE30" s="288">
        <f>'[1]December - 2021'!AM30</f>
        <v>48.719999998807907</v>
      </c>
      <c r="AF30" s="92">
        <f>'[1]December - 2021'!AM30</f>
        <v>48.719999998807907</v>
      </c>
      <c r="AG30" s="287">
        <f>'[1]December - 2021'!AO30</f>
        <v>17134824</v>
      </c>
      <c r="AH30" s="288">
        <f>'[1]December - 2021'!AP30</f>
        <v>9402.9600000008941</v>
      </c>
      <c r="AI30" s="92">
        <f>'[1]December - 2021'!AP30</f>
        <v>9402.9600000008941</v>
      </c>
      <c r="AJ30" s="287">
        <f>'[1]December - 2021'!AR30</f>
        <v>15553470.24</v>
      </c>
      <c r="AK30" s="288">
        <f>'[1]December - 2021'!AS30</f>
        <v>5846.4000000003725</v>
      </c>
      <c r="AL30" s="92">
        <f>'[1]December - 2021'!AS30</f>
        <v>5846.4000000003725</v>
      </c>
      <c r="AM30" s="287">
        <f>'[1]December - 2021'!AU30</f>
        <v>13228990.319999998</v>
      </c>
      <c r="AN30" s="288">
        <f>'[1]December - 2021'!AV30</f>
        <v>4433.519999999553</v>
      </c>
      <c r="AO30" s="92">
        <f>'[1]December - 2021'!AV30</f>
        <v>4433.519999999553</v>
      </c>
      <c r="AP30" s="287">
        <f>'[1]December - 2021'!AX30</f>
        <v>12715725.119999999</v>
      </c>
      <c r="AQ30" s="288">
        <f>'[1]December - 2021'!AY30</f>
        <v>4287.359999999404</v>
      </c>
      <c r="AR30" s="92">
        <f>'[1]December - 2021'!AY30</f>
        <v>4287.359999999404</v>
      </c>
      <c r="AS30" s="287">
        <f>'[1]December - 2021'!BA30</f>
        <v>10129570.08</v>
      </c>
      <c r="AT30" s="288">
        <f>'[1]December - 2021'!BB30</f>
        <v>3215.5200000014156</v>
      </c>
      <c r="AU30" s="92">
        <f>'[1]December - 2021'!BB30</f>
        <v>3215.5200000014156</v>
      </c>
      <c r="AV30" s="287">
        <f>'[1]December - 2021'!BD30</f>
        <v>15728034</v>
      </c>
      <c r="AW30" s="252">
        <f>'[1]December - 2021'!BE30</f>
        <v>5359.2000000011176</v>
      </c>
      <c r="AX30" s="253">
        <f>'[1]December - 2021'!BE30</f>
        <v>5359.2000000011176</v>
      </c>
      <c r="AY30" s="484"/>
      <c r="AZ30" s="272">
        <f>'[1]December - 2021'!BK30</f>
        <v>68002400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70700300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65238800</v>
      </c>
      <c r="BG30" s="245">
        <f>'[1]December - 2021'!BR30</f>
        <v>46000</v>
      </c>
      <c r="BH30" s="93">
        <f>'[1]December - 2021'!BR30</f>
        <v>46000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7752590</v>
      </c>
      <c r="BT30" s="185">
        <f>'[1]December - 2021'!BU30</f>
        <v>5750</v>
      </c>
      <c r="BU30" s="391"/>
      <c r="BV30" s="88">
        <f>'[1]December - 2021'!BW30</f>
        <v>0.76</v>
      </c>
      <c r="BW30" s="241">
        <f>'[1]December - 2021'!BX30</f>
        <v>-7.999999999999996E-2</v>
      </c>
      <c r="BX30" s="88">
        <f>'[1]December - 2021'!BX30</f>
        <v>-7.999999999999996E-2</v>
      </c>
      <c r="BY30" s="89">
        <f>'[1]December - 2021'!BZ30</f>
        <v>57307</v>
      </c>
      <c r="BZ30" s="191">
        <f>'[1]December - 2021'!CA30</f>
        <v>19</v>
      </c>
      <c r="CA30" s="89">
        <f>'[1]December - 2021'!CB30</f>
        <v>48790</v>
      </c>
      <c r="CB30" s="191">
        <f>'[1]December - 2021'!CC30</f>
        <v>19</v>
      </c>
      <c r="CC30" s="89">
        <f>'[1]December - 2021'!CD30</f>
        <v>16764</v>
      </c>
      <c r="CD30" s="191">
        <f>'[1]December - 2021'!CE30</f>
        <v>4</v>
      </c>
      <c r="CE30" s="89">
        <f>'[1]December - 2021'!CF30</f>
        <v>22188</v>
      </c>
      <c r="CF30" s="191">
        <f>'[1]December - 2021'!CG30</f>
        <v>9</v>
      </c>
      <c r="CG30" s="89">
        <f>'[1]December - 2021'!CH30</f>
        <v>24232</v>
      </c>
      <c r="CH30" s="191">
        <f>'[1]December - 2021'!CI30</f>
        <v>10</v>
      </c>
      <c r="CI30" s="89">
        <f>'[1]December - 2021'!CJ30</f>
        <v>53691</v>
      </c>
      <c r="CJ30" s="191">
        <f>'[1]December - 2021'!CK30</f>
        <v>28</v>
      </c>
      <c r="CK30" s="89">
        <f>'[1]December - 2021'!CL30</f>
        <v>235543</v>
      </c>
      <c r="CL30" s="246">
        <f>'[1]December - 2021'!CM30</f>
        <v>105</v>
      </c>
      <c r="CM30" s="89">
        <f>'[1]December - 2021'!CM30</f>
        <v>105</v>
      </c>
      <c r="CN30" s="89">
        <f>'[1]December - 2021'!CO30</f>
        <v>181427</v>
      </c>
      <c r="CO30" s="246">
        <f>'[1]December - 2021'!CP30</f>
        <v>117</v>
      </c>
      <c r="CP30" s="89">
        <f>'[1]December - 2021'!CP30</f>
        <v>117</v>
      </c>
      <c r="CQ30" s="89">
        <f>'[1]December - 2021'!CR30</f>
        <v>320560</v>
      </c>
      <c r="CR30" s="246">
        <f>'[1]December - 2021'!CS30</f>
        <v>223</v>
      </c>
      <c r="CS30" s="89">
        <f>'[1]December - 2021'!CS30</f>
        <v>223</v>
      </c>
      <c r="CT30" s="89">
        <f>'[1]December - 2021'!CU30</f>
        <v>623285</v>
      </c>
      <c r="CU30" s="191">
        <f>'[1]December - 2021'!CV30</f>
        <v>248</v>
      </c>
      <c r="CV30" s="451"/>
      <c r="CW30" s="256">
        <f>'[1]December - 2021'!CX30</f>
        <v>6462</v>
      </c>
      <c r="CX30" s="198">
        <f>'[1]December - 2021'!CY30</f>
        <v>7</v>
      </c>
      <c r="CY30" s="257">
        <f>'[1]December - 2021'!CZ30</f>
        <v>3970</v>
      </c>
      <c r="CZ30" s="198">
        <f>'[1]December - 2021'!DA30</f>
        <v>4</v>
      </c>
      <c r="DA30" s="257">
        <f>'[1]December - 2021'!DB30</f>
        <v>26979</v>
      </c>
      <c r="DB30" s="198">
        <f>'[1]December - 2021'!DC30</f>
        <v>15</v>
      </c>
      <c r="DC30" s="257">
        <f>'[1]December - 2021'!DD30</f>
        <v>27731</v>
      </c>
      <c r="DD30" s="198">
        <f>'[1]December - 2021'!DE30</f>
        <v>16</v>
      </c>
      <c r="DE30" s="257">
        <f>'[1]December - 2021'!DF30</f>
        <v>18746</v>
      </c>
      <c r="DF30" s="198">
        <f>'[1]December - 2021'!DG30</f>
        <v>9</v>
      </c>
      <c r="DG30" s="257">
        <f>'[1]December - 2021'!DH30</f>
        <v>21859</v>
      </c>
      <c r="DH30" s="198">
        <f>'[1]December - 2021'!DI30</f>
        <v>10</v>
      </c>
      <c r="DI30" s="257">
        <f>'[1]December - 2021'!DJ30</f>
        <v>3376</v>
      </c>
      <c r="DJ30" s="198">
        <f>'[1]December - 2021'!DK30</f>
        <v>13</v>
      </c>
      <c r="DK30" s="257">
        <f>'[1]December - 2021'!DL30</f>
        <v>6881</v>
      </c>
      <c r="DL30" s="198">
        <f>'[1]December - 2021'!DM30</f>
        <v>11</v>
      </c>
      <c r="DM30" s="257">
        <f>'[1]December - 2021'!DN30</f>
        <v>1857</v>
      </c>
      <c r="DN30" s="198">
        <f>'[1]December - 2021'!DO30</f>
        <v>4</v>
      </c>
      <c r="DO30" s="257">
        <f>'[1]December - 2021'!DP30</f>
        <v>3658</v>
      </c>
      <c r="DP30" s="198">
        <f>'[1]December - 2021'!DQ30</f>
        <v>7</v>
      </c>
      <c r="DQ30" s="257">
        <f>'[1]December - 2021'!DR30</f>
        <v>26348</v>
      </c>
      <c r="DR30" s="206">
        <f>'[1]December - 2021'!DS30</f>
        <v>5</v>
      </c>
      <c r="DS30" s="436"/>
      <c r="DT30" s="210">
        <f>'[1]December - 2021'!DU30</f>
        <v>3222.1</v>
      </c>
      <c r="DU30" s="221">
        <f>'[1]December - 2021'!DV30</f>
        <v>9.1999999999998181</v>
      </c>
      <c r="DV30" s="91">
        <f>'[1]December - 2021'!DW30</f>
        <v>8298.7000000000007</v>
      </c>
      <c r="DW30" s="215">
        <f>'[1]December - 2021'!DX30</f>
        <v>6.6000000000003638</v>
      </c>
      <c r="DX30" s="91">
        <f>'[1]December - 2021'!DY30</f>
        <v>2421.9</v>
      </c>
      <c r="DY30" s="215">
        <f>'[1]December - 2021'!DZ30</f>
        <v>5.9000000000000909</v>
      </c>
      <c r="DZ30" s="91">
        <f>'[1]December - 2021'!EA30</f>
        <v>2570.6</v>
      </c>
      <c r="EA30" s="215">
        <f>'[1]December - 2021'!EB30</f>
        <v>7.0999999999999091</v>
      </c>
      <c r="EB30" s="91">
        <f>'[1]December - 2021'!EC30</f>
        <v>879894</v>
      </c>
      <c r="EC30" s="215">
        <f>'[1]December - 2021'!ED30</f>
        <v>576</v>
      </c>
      <c r="ED30" s="91">
        <f>'[1]December - 2021'!EG30</f>
        <v>178239.3</v>
      </c>
      <c r="EE30" s="229">
        <f>'[1]December - 2021'!EH30</f>
        <v>154.39999999999418</v>
      </c>
      <c r="EF30" s="375"/>
      <c r="EG30" s="235">
        <f>'[1]December - 2021'!EJ30</f>
        <v>10460600</v>
      </c>
      <c r="EH30" s="230">
        <f>'[1]December - 2021'!EK30</f>
        <v>3600</v>
      </c>
      <c r="EI30" s="90">
        <f>'[1]December - 2021'!EL30</f>
        <v>829870</v>
      </c>
      <c r="EJ30" s="230">
        <f>'[1]December - 2021'!EM30</f>
        <v>300</v>
      </c>
      <c r="EK30" s="90">
        <f>'[1]December - 2021'!EN30</f>
        <v>6418500</v>
      </c>
      <c r="EL30" s="230">
        <f>'[1]December - 2021'!EO30</f>
        <v>800</v>
      </c>
      <c r="EM30" s="90">
        <f>'[1]December - 2021'!EP30</f>
        <v>2255500</v>
      </c>
      <c r="EN30" s="230">
        <f>'[1]December - 2021'!EQ30</f>
        <v>500</v>
      </c>
      <c r="EO30" s="90">
        <f>'[1]December - 2021'!ER30</f>
        <v>1003520</v>
      </c>
      <c r="EP30" s="230">
        <f>'[1]December - 2021'!ES30</f>
        <v>760</v>
      </c>
      <c r="EQ30" s="90">
        <f>'[1]December - 2021'!ET30</f>
        <v>14334100</v>
      </c>
      <c r="ER30" s="230">
        <f>'[1]December - 2021'!EU30</f>
        <v>1700</v>
      </c>
      <c r="ES30" s="423"/>
      <c r="ET30" s="281">
        <f>'[1]December - 2021'!EW30</f>
        <v>37699</v>
      </c>
      <c r="EU30" s="275">
        <f>'[1]December - 2021'!EX30</f>
        <v>16</v>
      </c>
      <c r="EV30" s="282">
        <f>'[1]December - 2021'!EY30</f>
        <v>32579</v>
      </c>
      <c r="EW30" s="275">
        <f>'[1]December - 2021'!EZ30</f>
        <v>15</v>
      </c>
      <c r="EX30" s="282">
        <f>'[1]December - 2021'!FA30</f>
        <v>3751</v>
      </c>
      <c r="EY30" s="275">
        <f>'[1]December - 2021'!FB30</f>
        <v>11</v>
      </c>
      <c r="EZ30" s="282">
        <f>'[1]December - 2021'!FC30</f>
        <v>54349</v>
      </c>
      <c r="FA30" s="275">
        <f>'[1]December - 2021'!FD30</f>
        <v>15</v>
      </c>
      <c r="FB30" s="282">
        <f>'[1]December - 2021'!FE30</f>
        <v>38146</v>
      </c>
      <c r="FC30" s="276">
        <f>'[1]December - 2021'!FF30</f>
        <v>33</v>
      </c>
    </row>
    <row r="31" spans="1:159" ht="30" customHeight="1" x14ac:dyDescent="0.25">
      <c r="A31" s="207">
        <v>43852</v>
      </c>
      <c r="B31" s="209">
        <f>'[1]December - 2021'!B31</f>
        <v>0.77</v>
      </c>
      <c r="C31" s="250">
        <f>'[1]December - 2021'!E31</f>
        <v>930634</v>
      </c>
      <c r="D31" s="170">
        <f>'[1]December - 2021'!F31</f>
        <v>753</v>
      </c>
      <c r="E31" s="168">
        <f>'[1]December - 2021'!G31</f>
        <v>502</v>
      </c>
      <c r="F31" s="168">
        <f>'[1]December - 2021'!H31</f>
        <v>95645</v>
      </c>
      <c r="G31" s="170">
        <f>'[1]December - 2021'!I31</f>
        <v>474</v>
      </c>
      <c r="H31" s="168">
        <f>'[1]December - 2021'!J31</f>
        <v>414</v>
      </c>
      <c r="I31" s="168">
        <f>'[1]December - 2021'!K31</f>
        <v>164625</v>
      </c>
      <c r="J31" s="170">
        <f>'[1]December - 2021'!L31</f>
        <v>0</v>
      </c>
      <c r="K31" s="168">
        <f>'[1]December - 2021'!N31</f>
        <v>820596</v>
      </c>
      <c r="L31" s="170">
        <f>'[1]December - 2021'!O31</f>
        <v>185</v>
      </c>
      <c r="M31" s="168">
        <f>'[1]December - 2021'!Q31</f>
        <v>190067</v>
      </c>
      <c r="N31" s="170">
        <f>'[1]December - 2021'!R31</f>
        <v>134</v>
      </c>
      <c r="O31" s="168">
        <f>'[1]December - 2021'!S31</f>
        <v>54121.61</v>
      </c>
      <c r="P31" s="170">
        <f>'[1]December - 2021'!T31</f>
        <v>95.55000000000291</v>
      </c>
      <c r="Q31" s="168">
        <f>'[1]December - 2021'!U31</f>
        <v>36</v>
      </c>
      <c r="R31" s="168">
        <f>'[1]December - 2021'!V31</f>
        <v>4062</v>
      </c>
      <c r="S31" s="208">
        <f>'[1]December - 2021'!W31</f>
        <v>14</v>
      </c>
      <c r="T31" s="518"/>
      <c r="U31" s="169">
        <f>'[1]December - 2021'!AC31</f>
        <v>7210267.6799999997</v>
      </c>
      <c r="V31" s="288">
        <f>'[1]December - 2021'!AD31</f>
        <v>3654</v>
      </c>
      <c r="W31" s="92">
        <f>'[1]December - 2021'!AD31</f>
        <v>3654</v>
      </c>
      <c r="X31" s="287">
        <f>'[1]December - 2021'!AF31</f>
        <v>13812314.880000001</v>
      </c>
      <c r="Y31" s="288">
        <f>'[1]December - 2021'!AG31</f>
        <v>5018.1600000020117</v>
      </c>
      <c r="Z31" s="92">
        <f>'[1]December - 2021'!AG31</f>
        <v>5018.1600000020117</v>
      </c>
      <c r="AA31" s="287">
        <f>'[1]December - 2021'!AI31</f>
        <v>13704302.640000001</v>
      </c>
      <c r="AB31" s="288">
        <f>'[1]December - 2021'!AJ31</f>
        <v>341.04000000096858</v>
      </c>
      <c r="AC31" s="92">
        <f>'[1]December - 2021'!AJ31</f>
        <v>341.04000000096858</v>
      </c>
      <c r="AD31" s="287">
        <f>'[1]December - 2021'!AL31</f>
        <v>16751202.719999999</v>
      </c>
      <c r="AE31" s="288">
        <f>'[1]December - 2021'!AM31</f>
        <v>48.719999998807907</v>
      </c>
      <c r="AF31" s="92">
        <f>'[1]December - 2021'!AM31</f>
        <v>48.719999998807907</v>
      </c>
      <c r="AG31" s="287">
        <f>'[1]December - 2021'!AO31</f>
        <v>17145883.439999998</v>
      </c>
      <c r="AH31" s="288">
        <f>'[1]December - 2021'!AP31</f>
        <v>11059.439999997616</v>
      </c>
      <c r="AI31" s="92">
        <f>'[1]December - 2021'!AP31</f>
        <v>11059.439999997616</v>
      </c>
      <c r="AJ31" s="287">
        <f>'[1]December - 2021'!AR31</f>
        <v>15559462.799999999</v>
      </c>
      <c r="AK31" s="288">
        <f>'[1]December - 2021'!AS31</f>
        <v>5992.5599999986589</v>
      </c>
      <c r="AL31" s="92">
        <f>'[1]December - 2021'!AS31</f>
        <v>5992.5599999986589</v>
      </c>
      <c r="AM31" s="287">
        <f>'[1]December - 2021'!AU31</f>
        <v>13233813.6</v>
      </c>
      <c r="AN31" s="288">
        <f>'[1]December - 2021'!AV31</f>
        <v>4823.2800000011921</v>
      </c>
      <c r="AO31" s="92">
        <f>'[1]December - 2021'!AV31</f>
        <v>4823.2800000011921</v>
      </c>
      <c r="AP31" s="287">
        <f>'[1]December - 2021'!AX31</f>
        <v>12720256.08</v>
      </c>
      <c r="AQ31" s="288">
        <f>'[1]December - 2021'!AY31</f>
        <v>4530.9600000008941</v>
      </c>
      <c r="AR31" s="92">
        <f>'[1]December - 2021'!AY31</f>
        <v>4530.9600000008941</v>
      </c>
      <c r="AS31" s="287">
        <f>'[1]December - 2021'!BA31</f>
        <v>10133029.199999999</v>
      </c>
      <c r="AT31" s="288">
        <f>'[1]December - 2021'!BB31</f>
        <v>3459.1199999991804</v>
      </c>
      <c r="AU31" s="92">
        <f>'[1]December - 2021'!BB31</f>
        <v>3459.1199999991804</v>
      </c>
      <c r="AV31" s="287">
        <f>'[1]December - 2021'!BD31</f>
        <v>15733929.119999999</v>
      </c>
      <c r="AW31" s="252">
        <f>'[1]December - 2021'!BE31</f>
        <v>5895.1199999991804</v>
      </c>
      <c r="AX31" s="253">
        <f>'[1]December - 2021'!BE31</f>
        <v>5895.1199999991804</v>
      </c>
      <c r="AY31" s="484"/>
      <c r="AZ31" s="272">
        <f>'[1]December - 2021'!BK31</f>
        <v>68002400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70700300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65291300</v>
      </c>
      <c r="BG31" s="245">
        <f>'[1]December - 2021'!BR31</f>
        <v>52500</v>
      </c>
      <c r="BH31" s="93">
        <f>'[1]December - 2021'!BR31</f>
        <v>52500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7758600</v>
      </c>
      <c r="BT31" s="185">
        <f>'[1]December - 2021'!BU31</f>
        <v>6010</v>
      </c>
      <c r="BU31" s="391"/>
      <c r="BV31" s="88">
        <f>'[1]December - 2021'!BW31</f>
        <v>0.67</v>
      </c>
      <c r="BW31" s="241">
        <f>'[1]December - 2021'!BX31</f>
        <v>8.9999999999999969E-2</v>
      </c>
      <c r="BX31" s="88">
        <f>'[1]December - 2021'!BX31</f>
        <v>8.9999999999999969E-2</v>
      </c>
      <c r="BY31" s="89">
        <f>'[1]December - 2021'!BZ31</f>
        <v>57331</v>
      </c>
      <c r="BZ31" s="191">
        <f>'[1]December - 2021'!CA31</f>
        <v>24</v>
      </c>
      <c r="CA31" s="89">
        <f>'[1]December - 2021'!CB31</f>
        <v>48809</v>
      </c>
      <c r="CB31" s="191">
        <f>'[1]December - 2021'!CC31</f>
        <v>19</v>
      </c>
      <c r="CC31" s="89">
        <f>'[1]December - 2021'!CD31</f>
        <v>16771</v>
      </c>
      <c r="CD31" s="191">
        <f>'[1]December - 2021'!CE31</f>
        <v>7</v>
      </c>
      <c r="CE31" s="89">
        <f>'[1]December - 2021'!CF31</f>
        <v>22198</v>
      </c>
      <c r="CF31" s="191">
        <f>'[1]December - 2021'!CG31</f>
        <v>10</v>
      </c>
      <c r="CG31" s="89">
        <f>'[1]December - 2021'!CH31</f>
        <v>24240</v>
      </c>
      <c r="CH31" s="191">
        <f>'[1]December - 2021'!CI31</f>
        <v>8</v>
      </c>
      <c r="CI31" s="89">
        <f>'[1]December - 2021'!CJ31</f>
        <v>53719</v>
      </c>
      <c r="CJ31" s="191">
        <f>'[1]December - 2021'!CK31</f>
        <v>28</v>
      </c>
      <c r="CK31" s="89">
        <f>'[1]December - 2021'!CL31</f>
        <v>235654</v>
      </c>
      <c r="CL31" s="246">
        <f>'[1]December - 2021'!CM31</f>
        <v>111</v>
      </c>
      <c r="CM31" s="89">
        <f>'[1]December - 2021'!CM31</f>
        <v>111</v>
      </c>
      <c r="CN31" s="89">
        <f>'[1]December - 2021'!CO31</f>
        <v>181549</v>
      </c>
      <c r="CO31" s="246">
        <f>'[1]December - 2021'!CP31</f>
        <v>122</v>
      </c>
      <c r="CP31" s="89">
        <f>'[1]December - 2021'!CP31</f>
        <v>122</v>
      </c>
      <c r="CQ31" s="89">
        <f>'[1]December - 2021'!CR31</f>
        <v>320809</v>
      </c>
      <c r="CR31" s="246">
        <f>'[1]December - 2021'!CS31</f>
        <v>249</v>
      </c>
      <c r="CS31" s="89">
        <f>'[1]December - 2021'!CS31</f>
        <v>249</v>
      </c>
      <c r="CT31" s="89">
        <f>'[1]December - 2021'!CU31</f>
        <v>623548</v>
      </c>
      <c r="CU31" s="191">
        <f>'[1]December - 2021'!CV31</f>
        <v>263</v>
      </c>
      <c r="CV31" s="451"/>
      <c r="CW31" s="256">
        <f>'[1]December - 2021'!CX31</f>
        <v>6471</v>
      </c>
      <c r="CX31" s="198">
        <f>'[1]December - 2021'!CY31</f>
        <v>9</v>
      </c>
      <c r="CY31" s="257">
        <f>'[1]December - 2021'!CZ31</f>
        <v>3978</v>
      </c>
      <c r="CZ31" s="198">
        <f>'[1]December - 2021'!DA31</f>
        <v>8</v>
      </c>
      <c r="DA31" s="257">
        <f>'[1]December - 2021'!DB31</f>
        <v>26999</v>
      </c>
      <c r="DB31" s="198">
        <f>'[1]December - 2021'!DC31</f>
        <v>20</v>
      </c>
      <c r="DC31" s="257">
        <f>'[1]December - 2021'!DD31</f>
        <v>27744</v>
      </c>
      <c r="DD31" s="198">
        <f>'[1]December - 2021'!DE31</f>
        <v>13</v>
      </c>
      <c r="DE31" s="257">
        <f>'[1]December - 2021'!DF31</f>
        <v>18755</v>
      </c>
      <c r="DF31" s="198">
        <f>'[1]December - 2021'!DG31</f>
        <v>9</v>
      </c>
      <c r="DG31" s="257">
        <f>'[1]December - 2021'!DH31</f>
        <v>21870</v>
      </c>
      <c r="DH31" s="198">
        <f>'[1]December - 2021'!DI31</f>
        <v>11</v>
      </c>
      <c r="DI31" s="257">
        <f>'[1]December - 2021'!DJ31</f>
        <v>3384</v>
      </c>
      <c r="DJ31" s="198">
        <f>'[1]December - 2021'!DK31</f>
        <v>8</v>
      </c>
      <c r="DK31" s="257">
        <f>'[1]December - 2021'!DL31</f>
        <v>6895</v>
      </c>
      <c r="DL31" s="198">
        <f>'[1]December - 2021'!DM31</f>
        <v>14</v>
      </c>
      <c r="DM31" s="257">
        <f>'[1]December - 2021'!DN31</f>
        <v>1860</v>
      </c>
      <c r="DN31" s="198">
        <f>'[1]December - 2021'!DO31</f>
        <v>3</v>
      </c>
      <c r="DO31" s="257">
        <f>'[1]December - 2021'!DP31</f>
        <v>3666</v>
      </c>
      <c r="DP31" s="198">
        <f>'[1]December - 2021'!DQ31</f>
        <v>8</v>
      </c>
      <c r="DQ31" s="257">
        <f>'[1]December - 2021'!DR31</f>
        <v>26355</v>
      </c>
      <c r="DR31" s="206">
        <f>'[1]December - 2021'!DS31</f>
        <v>7</v>
      </c>
      <c r="DS31" s="436"/>
      <c r="DT31" s="210">
        <f>'[1]December - 2021'!DU31</f>
        <v>3231.3</v>
      </c>
      <c r="DU31" s="221">
        <f>'[1]December - 2021'!DV31</f>
        <v>9.2000000000002728</v>
      </c>
      <c r="DV31" s="91">
        <f>'[1]December - 2021'!DW31</f>
        <v>8306.2000000000007</v>
      </c>
      <c r="DW31" s="215">
        <f>'[1]December - 2021'!DX31</f>
        <v>7.5</v>
      </c>
      <c r="DX31" s="91">
        <f>'[1]December - 2021'!DY31</f>
        <v>2428.6</v>
      </c>
      <c r="DY31" s="215">
        <f>'[1]December - 2021'!DZ31</f>
        <v>6.6999999999998181</v>
      </c>
      <c r="DZ31" s="91">
        <f>'[1]December - 2021'!EA31</f>
        <v>2578.3000000000002</v>
      </c>
      <c r="EA31" s="215">
        <f>'[1]December - 2021'!EB31</f>
        <v>7.7000000000002728</v>
      </c>
      <c r="EB31" s="91">
        <f>'[1]December - 2021'!EC31</f>
        <v>880471</v>
      </c>
      <c r="EC31" s="215">
        <f>'[1]December - 2021'!ED31</f>
        <v>577</v>
      </c>
      <c r="ED31" s="91">
        <f>'[1]December - 2021'!EG31</f>
        <v>178394.8</v>
      </c>
      <c r="EE31" s="229">
        <f>'[1]December - 2021'!EH31</f>
        <v>155.5</v>
      </c>
      <c r="EF31" s="375"/>
      <c r="EG31" s="235">
        <f>'[1]December - 2021'!EJ31</f>
        <v>10464700</v>
      </c>
      <c r="EH31" s="230">
        <f>'[1]December - 2021'!EK31</f>
        <v>4100</v>
      </c>
      <c r="EI31" s="90">
        <f>'[1]December - 2021'!EL31</f>
        <v>830270</v>
      </c>
      <c r="EJ31" s="230">
        <f>'[1]December - 2021'!EM31</f>
        <v>400</v>
      </c>
      <c r="EK31" s="90">
        <f>'[1]December - 2021'!EN31</f>
        <v>6419200</v>
      </c>
      <c r="EL31" s="230">
        <f>'[1]December - 2021'!EO31</f>
        <v>700</v>
      </c>
      <c r="EM31" s="90">
        <f>'[1]December - 2021'!EP31</f>
        <v>2255900</v>
      </c>
      <c r="EN31" s="230">
        <f>'[1]December - 2021'!EQ31</f>
        <v>400</v>
      </c>
      <c r="EO31" s="90">
        <f>'[1]December - 2021'!ER31</f>
        <v>1004340</v>
      </c>
      <c r="EP31" s="230">
        <f>'[1]December - 2021'!ES31</f>
        <v>820</v>
      </c>
      <c r="EQ31" s="90">
        <f>'[1]December - 2021'!ET31</f>
        <v>14336300</v>
      </c>
      <c r="ER31" s="230">
        <f>'[1]December - 2021'!EU31</f>
        <v>2200</v>
      </c>
      <c r="ES31" s="423"/>
      <c r="ET31" s="281">
        <f>'[1]December - 2021'!EW31</f>
        <v>37715</v>
      </c>
      <c r="EU31" s="275">
        <f>'[1]December - 2021'!EX31</f>
        <v>16</v>
      </c>
      <c r="EV31" s="282">
        <f>'[1]December - 2021'!EY31</f>
        <v>32594</v>
      </c>
      <c r="EW31" s="275">
        <f>'[1]December - 2021'!EZ31</f>
        <v>15</v>
      </c>
      <c r="EX31" s="282">
        <f>'[1]December - 2021'!FA31</f>
        <v>3763</v>
      </c>
      <c r="EY31" s="275">
        <f>'[1]December - 2021'!FB31</f>
        <v>12</v>
      </c>
      <c r="EZ31" s="282">
        <f>'[1]December - 2021'!FC31</f>
        <v>54373</v>
      </c>
      <c r="FA31" s="275">
        <f>'[1]December - 2021'!FD31</f>
        <v>24</v>
      </c>
      <c r="FB31" s="282">
        <f>'[1]December - 2021'!FE31</f>
        <v>38177</v>
      </c>
      <c r="FC31" s="276">
        <f>'[1]December - 2021'!FF31</f>
        <v>31</v>
      </c>
    </row>
    <row r="32" spans="1:159" ht="30" customHeight="1" x14ac:dyDescent="0.25">
      <c r="A32" s="207">
        <v>43853</v>
      </c>
      <c r="B32" s="209">
        <f>'[1]December - 2021'!B32</f>
        <v>0.81</v>
      </c>
      <c r="C32" s="250">
        <f>'[1]December - 2021'!E32</f>
        <v>931427</v>
      </c>
      <c r="D32" s="170">
        <f>'[1]December - 2021'!F32</f>
        <v>793</v>
      </c>
      <c r="E32" s="168">
        <f>'[1]December - 2021'!G32</f>
        <v>537</v>
      </c>
      <c r="F32" s="168">
        <f>'[1]December - 2021'!H32</f>
        <v>96138</v>
      </c>
      <c r="G32" s="170">
        <f>'[1]December - 2021'!I32</f>
        <v>493</v>
      </c>
      <c r="H32" s="168">
        <f>'[1]December - 2021'!J32</f>
        <v>459</v>
      </c>
      <c r="I32" s="168">
        <f>'[1]December - 2021'!K32</f>
        <v>164625</v>
      </c>
      <c r="J32" s="170">
        <f>'[1]December - 2021'!L32</f>
        <v>0</v>
      </c>
      <c r="K32" s="168">
        <f>'[1]December - 2021'!N32</f>
        <v>820835</v>
      </c>
      <c r="L32" s="170">
        <f>'[1]December - 2021'!O32</f>
        <v>239</v>
      </c>
      <c r="M32" s="168">
        <f>'[1]December - 2021'!Q32</f>
        <v>190212</v>
      </c>
      <c r="N32" s="170">
        <f>'[1]December - 2021'!R32</f>
        <v>145</v>
      </c>
      <c r="O32" s="168">
        <f>'[1]December - 2021'!S32</f>
        <v>54213.32</v>
      </c>
      <c r="P32" s="170">
        <f>'[1]December - 2021'!T32</f>
        <v>91.709999999999127</v>
      </c>
      <c r="Q32" s="168">
        <f>'[1]December - 2021'!U32</f>
        <v>38</v>
      </c>
      <c r="R32" s="168">
        <f>'[1]December - 2021'!V32</f>
        <v>4075</v>
      </c>
      <c r="S32" s="208">
        <f>'[1]December - 2021'!W32</f>
        <v>13</v>
      </c>
      <c r="T32" s="518"/>
      <c r="U32" s="169">
        <f>'[1]December - 2021'!AC32</f>
        <v>7213726.7999999998</v>
      </c>
      <c r="V32" s="288">
        <f>'[1]December - 2021'!AD32</f>
        <v>3459.1200000001118</v>
      </c>
      <c r="W32" s="92">
        <f>'[1]December - 2021'!AD32</f>
        <v>3459.1200000001118</v>
      </c>
      <c r="X32" s="287">
        <f>'[1]December - 2021'!AF32</f>
        <v>13817089.439999999</v>
      </c>
      <c r="Y32" s="288">
        <f>'[1]December - 2021'!AG32</f>
        <v>4774.5599999986589</v>
      </c>
      <c r="Z32" s="92">
        <f>'[1]December - 2021'!AG32</f>
        <v>4774.5599999986589</v>
      </c>
      <c r="AA32" s="287">
        <f>'[1]December - 2021'!AI32</f>
        <v>13704546.24</v>
      </c>
      <c r="AB32" s="288">
        <f>'[1]December - 2021'!AJ32</f>
        <v>243.59999999962747</v>
      </c>
      <c r="AC32" s="92">
        <f>'[1]December - 2021'!AJ32</f>
        <v>243.59999999962747</v>
      </c>
      <c r="AD32" s="287">
        <f>'[1]December - 2021'!AL32</f>
        <v>16751251.439999998</v>
      </c>
      <c r="AE32" s="288">
        <f>'[1]December - 2021'!AM32</f>
        <v>48.719999998807907</v>
      </c>
      <c r="AF32" s="92">
        <f>'[1]December - 2021'!AM32</f>
        <v>48.719999998807907</v>
      </c>
      <c r="AG32" s="287">
        <f>'[1]December - 2021'!AO32</f>
        <v>17155383.84</v>
      </c>
      <c r="AH32" s="288">
        <f>'[1]December - 2021'!AP32</f>
        <v>9500.4000000022352</v>
      </c>
      <c r="AI32" s="92">
        <f>'[1]December - 2021'!AP32</f>
        <v>9500.4000000022352</v>
      </c>
      <c r="AJ32" s="287">
        <f>'[1]December - 2021'!AR32</f>
        <v>15565211.76</v>
      </c>
      <c r="AK32" s="288">
        <f>'[1]December - 2021'!AS32</f>
        <v>5748.9600000008941</v>
      </c>
      <c r="AL32" s="92">
        <f>'[1]December - 2021'!AS32</f>
        <v>5748.9600000008941</v>
      </c>
      <c r="AM32" s="287">
        <f>'[1]December - 2021'!AU32</f>
        <v>13238393.280000001</v>
      </c>
      <c r="AN32" s="288">
        <f>'[1]December - 2021'!AV32</f>
        <v>4579.6800000015646</v>
      </c>
      <c r="AO32" s="92">
        <f>'[1]December - 2021'!AV32</f>
        <v>4579.6800000015646</v>
      </c>
      <c r="AP32" s="287">
        <f>'[1]December - 2021'!AX32</f>
        <v>12724446</v>
      </c>
      <c r="AQ32" s="288">
        <f>'[1]December - 2021'!AY32</f>
        <v>4189.9199999999255</v>
      </c>
      <c r="AR32" s="92">
        <f>'[1]December - 2021'!AY32</f>
        <v>4189.9199999999255</v>
      </c>
      <c r="AS32" s="287">
        <f>'[1]December - 2021'!BA32</f>
        <v>10136390.880000001</v>
      </c>
      <c r="AT32" s="288">
        <f>'[1]December - 2021'!BB32</f>
        <v>3361.6800000015646</v>
      </c>
      <c r="AU32" s="92">
        <f>'[1]December - 2021'!BB32</f>
        <v>3361.6800000015646</v>
      </c>
      <c r="AV32" s="287">
        <f>'[1]December - 2021'!BD32</f>
        <v>15739580.640000001</v>
      </c>
      <c r="AW32" s="252">
        <f>'[1]December - 2021'!BE32</f>
        <v>5651.5200000014156</v>
      </c>
      <c r="AX32" s="253">
        <f>'[1]December - 2021'!BE32</f>
        <v>5651.5200000014156</v>
      </c>
      <c r="AY32" s="484"/>
      <c r="AZ32" s="272">
        <f>'[1]December - 2021'!BK32</f>
        <v>68002400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70700300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65339800</v>
      </c>
      <c r="BG32" s="245">
        <f>'[1]December - 2021'!BR32</f>
        <v>48500</v>
      </c>
      <c r="BH32" s="93">
        <f>'[1]December - 2021'!BR32</f>
        <v>48500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7765020</v>
      </c>
      <c r="BT32" s="185">
        <f>'[1]December - 2021'!BU32</f>
        <v>6420</v>
      </c>
      <c r="BU32" s="391"/>
      <c r="BV32" s="88">
        <f>'[1]December - 2021'!BW32</f>
        <v>0.57999999999999996</v>
      </c>
      <c r="BW32" s="241">
        <f>'[1]December - 2021'!BX32</f>
        <v>9.000000000000008E-2</v>
      </c>
      <c r="BX32" s="88">
        <f>'[1]December - 2021'!BX32</f>
        <v>9.000000000000008E-2</v>
      </c>
      <c r="BY32" s="89">
        <f>'[1]December - 2021'!BZ32</f>
        <v>57353</v>
      </c>
      <c r="BZ32" s="191">
        <f>'[1]December - 2021'!CA32</f>
        <v>22</v>
      </c>
      <c r="CA32" s="89">
        <f>'[1]December - 2021'!CB32</f>
        <v>48830</v>
      </c>
      <c r="CB32" s="191">
        <f>'[1]December - 2021'!CC32</f>
        <v>21</v>
      </c>
      <c r="CC32" s="89">
        <f>'[1]December - 2021'!CD32</f>
        <v>16776</v>
      </c>
      <c r="CD32" s="191">
        <f>'[1]December - 2021'!CE32</f>
        <v>5</v>
      </c>
      <c r="CE32" s="89">
        <f>'[1]December - 2021'!CF32</f>
        <v>22208</v>
      </c>
      <c r="CF32" s="191">
        <f>'[1]December - 2021'!CG32</f>
        <v>10</v>
      </c>
      <c r="CG32" s="89">
        <f>'[1]December - 2021'!CH32</f>
        <v>24252</v>
      </c>
      <c r="CH32" s="191">
        <f>'[1]December - 2021'!CI32</f>
        <v>12</v>
      </c>
      <c r="CI32" s="89">
        <f>'[1]December - 2021'!CJ32</f>
        <v>53745</v>
      </c>
      <c r="CJ32" s="191">
        <f>'[1]December - 2021'!CK32</f>
        <v>26</v>
      </c>
      <c r="CK32" s="89">
        <f>'[1]December - 2021'!CL32</f>
        <v>235754</v>
      </c>
      <c r="CL32" s="246">
        <f>'[1]December - 2021'!CM32</f>
        <v>100</v>
      </c>
      <c r="CM32" s="89">
        <f>'[1]December - 2021'!CM32</f>
        <v>100</v>
      </c>
      <c r="CN32" s="89">
        <f>'[1]December - 2021'!CO32</f>
        <v>181673</v>
      </c>
      <c r="CO32" s="246">
        <f>'[1]December - 2021'!CP32</f>
        <v>124</v>
      </c>
      <c r="CP32" s="89">
        <f>'[1]December - 2021'!CP32</f>
        <v>124</v>
      </c>
      <c r="CQ32" s="89">
        <f>'[1]December - 2021'!CR32</f>
        <v>321261</v>
      </c>
      <c r="CR32" s="246">
        <f>'[1]December - 2021'!CS32</f>
        <v>452</v>
      </c>
      <c r="CS32" s="89">
        <f>'[1]December - 2021'!CS32</f>
        <v>452</v>
      </c>
      <c r="CT32" s="89">
        <f>'[1]December - 2021'!CU32</f>
        <v>623711</v>
      </c>
      <c r="CU32" s="191">
        <f>'[1]December - 2021'!CV32</f>
        <v>163</v>
      </c>
      <c r="CV32" s="451"/>
      <c r="CW32" s="256">
        <f>'[1]December - 2021'!CX32</f>
        <v>6480</v>
      </c>
      <c r="CX32" s="198">
        <f>'[1]December - 2021'!CY32</f>
        <v>9</v>
      </c>
      <c r="CY32" s="257">
        <f>'[1]December - 2021'!CZ32</f>
        <v>3987</v>
      </c>
      <c r="CZ32" s="198">
        <f>'[1]December - 2021'!DA32</f>
        <v>9</v>
      </c>
      <c r="DA32" s="257">
        <f>'[1]December - 2021'!DB32</f>
        <v>27021</v>
      </c>
      <c r="DB32" s="198">
        <f>'[1]December - 2021'!DC32</f>
        <v>22</v>
      </c>
      <c r="DC32" s="257">
        <f>'[1]December - 2021'!DD32</f>
        <v>27755</v>
      </c>
      <c r="DD32" s="198">
        <f>'[1]December - 2021'!DE32</f>
        <v>11</v>
      </c>
      <c r="DE32" s="257">
        <f>'[1]December - 2021'!DF32</f>
        <v>18765</v>
      </c>
      <c r="DF32" s="198">
        <f>'[1]December - 2021'!DG32</f>
        <v>10</v>
      </c>
      <c r="DG32" s="257">
        <f>'[1]December - 2021'!DH32</f>
        <v>21883</v>
      </c>
      <c r="DH32" s="198">
        <f>'[1]December - 2021'!DI32</f>
        <v>13</v>
      </c>
      <c r="DI32" s="257">
        <f>'[1]December - 2021'!DJ32</f>
        <v>3393</v>
      </c>
      <c r="DJ32" s="198">
        <f>'[1]December - 2021'!DK32</f>
        <v>9</v>
      </c>
      <c r="DK32" s="257">
        <f>'[1]December - 2021'!DL32</f>
        <v>6910</v>
      </c>
      <c r="DL32" s="198">
        <f>'[1]December - 2021'!DM32</f>
        <v>15</v>
      </c>
      <c r="DM32" s="257">
        <f>'[1]December - 2021'!DN32</f>
        <v>1864</v>
      </c>
      <c r="DN32" s="198">
        <f>'[1]December - 2021'!DO32</f>
        <v>4</v>
      </c>
      <c r="DO32" s="257">
        <f>'[1]December - 2021'!DP32</f>
        <v>3673</v>
      </c>
      <c r="DP32" s="198">
        <f>'[1]December - 2021'!DQ32</f>
        <v>7</v>
      </c>
      <c r="DQ32" s="257">
        <f>'[1]December - 2021'!DR32</f>
        <v>26364</v>
      </c>
      <c r="DR32" s="206">
        <f>'[1]December - 2021'!DS32</f>
        <v>9</v>
      </c>
      <c r="DS32" s="436"/>
      <c r="DT32" s="210">
        <f>'[1]December - 2021'!DU32</f>
        <v>3240.9</v>
      </c>
      <c r="DU32" s="221">
        <f>'[1]December - 2021'!DV32</f>
        <v>9.5999999999999091</v>
      </c>
      <c r="DV32" s="91">
        <f>'[1]December - 2021'!DW32</f>
        <v>8313.4</v>
      </c>
      <c r="DW32" s="215">
        <f>'[1]December - 2021'!DX32</f>
        <v>7.1999999999989086</v>
      </c>
      <c r="DX32" s="91">
        <f>'[1]December - 2021'!DY32</f>
        <v>2435.8000000000002</v>
      </c>
      <c r="DY32" s="215">
        <f>'[1]December - 2021'!DZ32</f>
        <v>7.2000000000002728</v>
      </c>
      <c r="DZ32" s="91">
        <f>'[1]December - 2021'!EA32</f>
        <v>2585.9</v>
      </c>
      <c r="EA32" s="215">
        <f>'[1]December - 2021'!EB32</f>
        <v>7.5999999999999091</v>
      </c>
      <c r="EB32" s="91">
        <f>'[1]December - 2021'!EC32</f>
        <v>881092</v>
      </c>
      <c r="EC32" s="215">
        <f>'[1]December - 2021'!ED32</f>
        <v>621</v>
      </c>
      <c r="ED32" s="91">
        <f>'[1]December - 2021'!EG32</f>
        <v>178554.3</v>
      </c>
      <c r="EE32" s="229">
        <f>'[1]December - 2021'!EH32</f>
        <v>159.5</v>
      </c>
      <c r="EF32" s="375"/>
      <c r="EG32" s="235">
        <f>'[1]December - 2021'!EJ32</f>
        <v>10468100</v>
      </c>
      <c r="EH32" s="230">
        <f>'[1]December - 2021'!EK32</f>
        <v>3400</v>
      </c>
      <c r="EI32" s="90">
        <f>'[1]December - 2021'!EL32</f>
        <v>830580</v>
      </c>
      <c r="EJ32" s="230">
        <f>'[1]December - 2021'!EM32</f>
        <v>310</v>
      </c>
      <c r="EK32" s="90">
        <f>'[1]December - 2021'!EN32</f>
        <v>6419900</v>
      </c>
      <c r="EL32" s="230">
        <f>'[1]December - 2021'!EO32</f>
        <v>700</v>
      </c>
      <c r="EM32" s="90">
        <f>'[1]December - 2021'!EP32</f>
        <v>2256300</v>
      </c>
      <c r="EN32" s="230">
        <f>'[1]December - 2021'!EQ32</f>
        <v>400</v>
      </c>
      <c r="EO32" s="90">
        <f>'[1]December - 2021'!ER32</f>
        <v>1005040</v>
      </c>
      <c r="EP32" s="230">
        <f>'[1]December - 2021'!ES32</f>
        <v>700</v>
      </c>
      <c r="EQ32" s="90">
        <f>'[1]December - 2021'!ET32</f>
        <v>14338100</v>
      </c>
      <c r="ER32" s="230">
        <f>'[1]December - 2021'!EU32</f>
        <v>1800</v>
      </c>
      <c r="ES32" s="423"/>
      <c r="ET32" s="281">
        <f>'[1]December - 2021'!EW32</f>
        <v>37731</v>
      </c>
      <c r="EU32" s="275">
        <f>'[1]December - 2021'!EX32</f>
        <v>16</v>
      </c>
      <c r="EV32" s="282">
        <f>'[1]December - 2021'!EY32</f>
        <v>32611</v>
      </c>
      <c r="EW32" s="275">
        <f>'[1]December - 2021'!EZ32</f>
        <v>17</v>
      </c>
      <c r="EX32" s="282">
        <f>'[1]December - 2021'!FA32</f>
        <v>3776</v>
      </c>
      <c r="EY32" s="275">
        <f>'[1]December - 2021'!FB32</f>
        <v>13</v>
      </c>
      <c r="EZ32" s="282">
        <f>'[1]December - 2021'!FC32</f>
        <v>54393</v>
      </c>
      <c r="FA32" s="275">
        <f>'[1]December - 2021'!FD32</f>
        <v>20</v>
      </c>
      <c r="FB32" s="282">
        <f>'[1]December - 2021'!FE32</f>
        <v>38213</v>
      </c>
      <c r="FC32" s="276">
        <f>'[1]December - 2021'!FF32</f>
        <v>36</v>
      </c>
    </row>
    <row r="33" spans="1:160" ht="30" customHeight="1" x14ac:dyDescent="0.25">
      <c r="A33" s="207">
        <v>43854</v>
      </c>
      <c r="B33" s="209">
        <f>'[1]December - 2021'!B33</f>
        <v>0.74</v>
      </c>
      <c r="C33" s="250">
        <f>'[1]December - 2021'!E33</f>
        <v>932222</v>
      </c>
      <c r="D33" s="170">
        <f>'[1]December - 2021'!F33</f>
        <v>795</v>
      </c>
      <c r="E33" s="168">
        <f>'[1]December - 2021'!G33</f>
        <v>514</v>
      </c>
      <c r="F33" s="168">
        <f>'[1]December - 2021'!H33</f>
        <v>96660</v>
      </c>
      <c r="G33" s="170">
        <f>'[1]December - 2021'!I33</f>
        <v>522</v>
      </c>
      <c r="H33" s="168">
        <f>'[1]December - 2021'!J33</f>
        <v>443</v>
      </c>
      <c r="I33" s="168">
        <f>'[1]December - 2021'!K33</f>
        <v>164625</v>
      </c>
      <c r="J33" s="170">
        <f>'[1]December - 2021'!L33</f>
        <v>0</v>
      </c>
      <c r="K33" s="168">
        <f>'[1]December - 2021'!N33</f>
        <v>821002</v>
      </c>
      <c r="L33" s="170">
        <f>'[1]December - 2021'!O33</f>
        <v>167</v>
      </c>
      <c r="M33" s="168">
        <f>'[1]December - 2021'!Q33</f>
        <v>190359</v>
      </c>
      <c r="N33" s="170">
        <f>'[1]December - 2021'!R33</f>
        <v>147</v>
      </c>
      <c r="O33" s="168">
        <f>'[1]December - 2021'!S33</f>
        <v>54307.45</v>
      </c>
      <c r="P33" s="170">
        <f>'[1]December - 2021'!T33</f>
        <v>94.129999999997381</v>
      </c>
      <c r="Q33" s="168">
        <f>'[1]December - 2021'!U33</f>
        <v>35</v>
      </c>
      <c r="R33" s="168">
        <f>'[1]December - 2021'!V33</f>
        <v>4087</v>
      </c>
      <c r="S33" s="208">
        <f>'[1]December - 2021'!W33</f>
        <v>12</v>
      </c>
      <c r="T33" s="518"/>
      <c r="U33" s="169">
        <f>'[1]December - 2021'!AC33</f>
        <v>7217380.7999999998</v>
      </c>
      <c r="V33" s="288">
        <f>'[1]December - 2021'!AD33</f>
        <v>3654</v>
      </c>
      <c r="W33" s="92">
        <f>'[1]December - 2021'!AD33</f>
        <v>3654</v>
      </c>
      <c r="X33" s="287">
        <f>'[1]December - 2021'!AF33</f>
        <v>13821864</v>
      </c>
      <c r="Y33" s="288">
        <f>'[1]December - 2021'!AG33</f>
        <v>4774.5600000005215</v>
      </c>
      <c r="Z33" s="92">
        <f>'[1]December - 2021'!AG33</f>
        <v>4774.5600000005215</v>
      </c>
      <c r="AA33" s="287">
        <f>'[1]December - 2021'!AI33</f>
        <v>13704838.559999999</v>
      </c>
      <c r="AB33" s="288">
        <f>'[1]December - 2021'!AJ33</f>
        <v>292.31999999843538</v>
      </c>
      <c r="AC33" s="92">
        <f>'[1]December - 2021'!AJ33</f>
        <v>292.31999999843538</v>
      </c>
      <c r="AD33" s="287">
        <f>'[1]December - 2021'!AL33</f>
        <v>16751300.16</v>
      </c>
      <c r="AE33" s="288">
        <f>'[1]December - 2021'!AM33</f>
        <v>48.720000002533197</v>
      </c>
      <c r="AF33" s="92">
        <f>'[1]December - 2021'!AM33</f>
        <v>48.720000002533197</v>
      </c>
      <c r="AG33" s="287">
        <f>'[1]December - 2021'!AO33</f>
        <v>17165615.039999999</v>
      </c>
      <c r="AH33" s="288">
        <f>'[1]December - 2021'!AP33</f>
        <v>10231.199999999255</v>
      </c>
      <c r="AI33" s="92">
        <f>'[1]December - 2021'!AP33</f>
        <v>10231.199999999255</v>
      </c>
      <c r="AJ33" s="287">
        <f>'[1]December - 2021'!AR33</f>
        <v>15571106.880000001</v>
      </c>
      <c r="AK33" s="288">
        <f>'[1]December - 2021'!AS33</f>
        <v>5895.1200000010431</v>
      </c>
      <c r="AL33" s="92">
        <f>'[1]December - 2021'!AS33</f>
        <v>5895.1200000010431</v>
      </c>
      <c r="AM33" s="287">
        <f>'[1]December - 2021'!AU33</f>
        <v>13243021.68</v>
      </c>
      <c r="AN33" s="288">
        <f>'[1]December - 2021'!AV33</f>
        <v>4628.3999999985099</v>
      </c>
      <c r="AO33" s="92">
        <f>'[1]December - 2021'!AV33</f>
        <v>4628.3999999985099</v>
      </c>
      <c r="AP33" s="287">
        <f>'[1]December - 2021'!AX33</f>
        <v>12728830.799999999</v>
      </c>
      <c r="AQ33" s="288">
        <f>'[1]December - 2021'!AY33</f>
        <v>4384.7999999988824</v>
      </c>
      <c r="AR33" s="92">
        <f>'[1]December - 2021'!AY33</f>
        <v>4384.7999999988824</v>
      </c>
      <c r="AS33" s="287">
        <f>'[1]December - 2021'!BA33</f>
        <v>10139655.119999999</v>
      </c>
      <c r="AT33" s="288">
        <f>'[1]December - 2021'!BB33</f>
        <v>3264.2399999983609</v>
      </c>
      <c r="AU33" s="92">
        <f>'[1]December - 2021'!BB33</f>
        <v>3264.2399999983609</v>
      </c>
      <c r="AV33" s="287">
        <f>'[1]December - 2021'!BD33</f>
        <v>15745475.76</v>
      </c>
      <c r="AW33" s="252">
        <f>'[1]December - 2021'!BE33</f>
        <v>5895.1199999991804</v>
      </c>
      <c r="AX33" s="253">
        <f>'[1]December - 2021'!BE33</f>
        <v>5895.1199999991804</v>
      </c>
      <c r="AY33" s="484"/>
      <c r="AZ33" s="272">
        <f>'[1]December - 2021'!BK33</f>
        <v>68002400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70700300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65392100</v>
      </c>
      <c r="BG33" s="245">
        <f>'[1]December - 2021'!BR33</f>
        <v>52300</v>
      </c>
      <c r="BH33" s="93">
        <f>'[1]December - 2021'!BR33</f>
        <v>52300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7771820</v>
      </c>
      <c r="BT33" s="185">
        <f>'[1]December - 2021'!BU33</f>
        <v>6800</v>
      </c>
      <c r="BU33" s="391"/>
      <c r="BV33" s="88">
        <f>'[1]December - 2021'!BW33</f>
        <v>0.48</v>
      </c>
      <c r="BW33" s="241">
        <f>'[1]December - 2021'!BX33</f>
        <v>9.9999999999999978E-2</v>
      </c>
      <c r="BX33" s="88">
        <f>'[1]December - 2021'!BX33</f>
        <v>9.9999999999999978E-2</v>
      </c>
      <c r="BY33" s="89">
        <f>'[1]December - 2021'!BZ33</f>
        <v>57374</v>
      </c>
      <c r="BZ33" s="191">
        <f>'[1]December - 2021'!CA33</f>
        <v>21</v>
      </c>
      <c r="CA33" s="89">
        <f>'[1]December - 2021'!CB33</f>
        <v>48850</v>
      </c>
      <c r="CB33" s="191">
        <f>'[1]December - 2021'!CC33</f>
        <v>20</v>
      </c>
      <c r="CC33" s="89">
        <f>'[1]December - 2021'!CD33</f>
        <v>16782</v>
      </c>
      <c r="CD33" s="191">
        <f>'[1]December - 2021'!CE33</f>
        <v>6</v>
      </c>
      <c r="CE33" s="89">
        <f>'[1]December - 2021'!CF33</f>
        <v>22219</v>
      </c>
      <c r="CF33" s="191">
        <f>'[1]December - 2021'!CG33</f>
        <v>11</v>
      </c>
      <c r="CG33" s="89">
        <f>'[1]December - 2021'!CH33</f>
        <v>24266</v>
      </c>
      <c r="CH33" s="191">
        <f>'[1]December - 2021'!CI33</f>
        <v>14</v>
      </c>
      <c r="CI33" s="89">
        <f>'[1]December - 2021'!CJ33</f>
        <v>53773</v>
      </c>
      <c r="CJ33" s="191">
        <f>'[1]December - 2021'!CK33</f>
        <v>28</v>
      </c>
      <c r="CK33" s="89">
        <f>'[1]December - 2021'!CL33</f>
        <v>235849</v>
      </c>
      <c r="CL33" s="246">
        <f>'[1]December - 2021'!CM33</f>
        <v>95</v>
      </c>
      <c r="CM33" s="89">
        <f>'[1]December - 2021'!CM33</f>
        <v>95</v>
      </c>
      <c r="CN33" s="89">
        <f>'[1]December - 2021'!CO33</f>
        <v>181794</v>
      </c>
      <c r="CO33" s="246">
        <f>'[1]December - 2021'!CP33</f>
        <v>121</v>
      </c>
      <c r="CP33" s="89">
        <f>'[1]December - 2021'!CP33</f>
        <v>121</v>
      </c>
      <c r="CQ33" s="89">
        <f>'[1]December - 2021'!CR33</f>
        <v>321631</v>
      </c>
      <c r="CR33" s="246">
        <f>'[1]December - 2021'!CS33</f>
        <v>370</v>
      </c>
      <c r="CS33" s="89">
        <f>'[1]December - 2021'!CS33</f>
        <v>370</v>
      </c>
      <c r="CT33" s="89">
        <f>'[1]December - 2021'!CU33</f>
        <v>623907</v>
      </c>
      <c r="CU33" s="191">
        <f>'[1]December - 2021'!CV33</f>
        <v>196</v>
      </c>
      <c r="CV33" s="451"/>
      <c r="CW33" s="256">
        <f>'[1]December - 2021'!CX33</f>
        <v>6490</v>
      </c>
      <c r="CX33" s="198">
        <f>'[1]December - 2021'!CY33</f>
        <v>10</v>
      </c>
      <c r="CY33" s="257">
        <f>'[1]December - 2021'!CZ33</f>
        <v>3997</v>
      </c>
      <c r="CZ33" s="198">
        <f>'[1]December - 2021'!DA33</f>
        <v>10</v>
      </c>
      <c r="DA33" s="257">
        <f>'[1]December - 2021'!DB33</f>
        <v>27044</v>
      </c>
      <c r="DB33" s="198">
        <f>'[1]December - 2021'!DC33</f>
        <v>23</v>
      </c>
      <c r="DC33" s="257">
        <f>'[1]December - 2021'!DD33</f>
        <v>27762</v>
      </c>
      <c r="DD33" s="198">
        <f>'[1]December - 2021'!DE33</f>
        <v>7</v>
      </c>
      <c r="DE33" s="257">
        <f>'[1]December - 2021'!DF33</f>
        <v>18775</v>
      </c>
      <c r="DF33" s="198">
        <f>'[1]December - 2021'!DG33</f>
        <v>10</v>
      </c>
      <c r="DG33" s="257">
        <f>'[1]December - 2021'!DH33</f>
        <v>21893</v>
      </c>
      <c r="DH33" s="198">
        <f>'[1]December - 2021'!DI33</f>
        <v>10</v>
      </c>
      <c r="DI33" s="257">
        <f>'[1]December - 2021'!DJ33</f>
        <v>3402</v>
      </c>
      <c r="DJ33" s="198">
        <f>'[1]December - 2021'!DK33</f>
        <v>9</v>
      </c>
      <c r="DK33" s="257">
        <f>'[1]December - 2021'!DL33</f>
        <v>6929</v>
      </c>
      <c r="DL33" s="198">
        <f>'[1]December - 2021'!DM33</f>
        <v>19</v>
      </c>
      <c r="DM33" s="257">
        <f>'[1]December - 2021'!DN33</f>
        <v>1868</v>
      </c>
      <c r="DN33" s="198">
        <f>'[1]December - 2021'!DO33</f>
        <v>4</v>
      </c>
      <c r="DO33" s="257">
        <f>'[1]December - 2021'!DP33</f>
        <v>3682</v>
      </c>
      <c r="DP33" s="198">
        <f>'[1]December - 2021'!DQ33</f>
        <v>17</v>
      </c>
      <c r="DQ33" s="257">
        <f>'[1]December - 2021'!DR33</f>
        <v>26367</v>
      </c>
      <c r="DR33" s="206">
        <f>'[1]December - 2021'!DS33</f>
        <v>3</v>
      </c>
      <c r="DS33" s="436"/>
      <c r="DT33" s="210">
        <f>'[1]December - 2021'!DU33</f>
        <v>3250.4</v>
      </c>
      <c r="DU33" s="221">
        <f>'[1]December - 2021'!DV33</f>
        <v>9.5</v>
      </c>
      <c r="DV33" s="91">
        <f>'[1]December - 2021'!DW33</f>
        <v>8320.7000000000007</v>
      </c>
      <c r="DW33" s="215">
        <f>'[1]December - 2021'!DX33</f>
        <v>7.3000000000010914</v>
      </c>
      <c r="DX33" s="91">
        <f>'[1]December - 2021'!DY33</f>
        <v>2442.8000000000002</v>
      </c>
      <c r="DY33" s="215">
        <f>'[1]December - 2021'!DZ33</f>
        <v>7</v>
      </c>
      <c r="DZ33" s="91">
        <f>'[1]December - 2021'!EA33</f>
        <v>2594</v>
      </c>
      <c r="EA33" s="215">
        <f>'[1]December - 2021'!EB33</f>
        <v>8.0999999999999091</v>
      </c>
      <c r="EB33" s="91">
        <f>'[1]December - 2021'!EC33</f>
        <v>881737</v>
      </c>
      <c r="EC33" s="215">
        <f>'[1]December - 2021'!ED33</f>
        <v>645</v>
      </c>
      <c r="ED33" s="91">
        <f>'[1]December - 2021'!EG33</f>
        <v>178708.7</v>
      </c>
      <c r="EE33" s="229">
        <f>'[1]December - 2021'!EH33</f>
        <v>154.40000000002328</v>
      </c>
      <c r="EF33" s="375"/>
      <c r="EG33" s="235">
        <f>'[1]December - 2021'!EJ33</f>
        <v>10472000</v>
      </c>
      <c r="EH33" s="230">
        <f>'[1]December - 2021'!EK33</f>
        <v>3900</v>
      </c>
      <c r="EI33" s="90">
        <f>'[1]December - 2021'!EL33</f>
        <v>830890</v>
      </c>
      <c r="EJ33" s="230">
        <f>'[1]December - 2021'!EM33</f>
        <v>310</v>
      </c>
      <c r="EK33" s="90">
        <f>'[1]December - 2021'!EN33</f>
        <v>6420600</v>
      </c>
      <c r="EL33" s="230">
        <f>'[1]December - 2021'!EO33</f>
        <v>700</v>
      </c>
      <c r="EM33" s="90">
        <f>'[1]December - 2021'!EP33</f>
        <v>2256700</v>
      </c>
      <c r="EN33" s="230">
        <f>'[1]December - 2021'!EQ33</f>
        <v>400</v>
      </c>
      <c r="EO33" s="90">
        <f>'[1]December - 2021'!ER33</f>
        <v>1005780</v>
      </c>
      <c r="EP33" s="230">
        <f>'[1]December - 2021'!ES33</f>
        <v>740</v>
      </c>
      <c r="EQ33" s="90">
        <f>'[1]December - 2021'!ET33</f>
        <v>14339800</v>
      </c>
      <c r="ER33" s="230">
        <f>'[1]December - 2021'!EU33</f>
        <v>1700</v>
      </c>
      <c r="ES33" s="423"/>
      <c r="ET33" s="281">
        <f>'[1]December - 2021'!EW33</f>
        <v>37745</v>
      </c>
      <c r="EU33" s="275">
        <f>'[1]December - 2021'!EX33</f>
        <v>14</v>
      </c>
      <c r="EV33" s="282">
        <f>'[1]December - 2021'!EY33</f>
        <v>32628</v>
      </c>
      <c r="EW33" s="275">
        <f>'[1]December - 2021'!EZ33</f>
        <v>17</v>
      </c>
      <c r="EX33" s="282">
        <f>'[1]December - 2021'!FA33</f>
        <v>3792</v>
      </c>
      <c r="EY33" s="275">
        <f>'[1]December - 2021'!FB33</f>
        <v>16</v>
      </c>
      <c r="EZ33" s="282">
        <f>'[1]December - 2021'!FC33</f>
        <v>54413</v>
      </c>
      <c r="FA33" s="275">
        <f>'[1]December - 2021'!FD33</f>
        <v>20</v>
      </c>
      <c r="FB33" s="282">
        <f>'[1]December - 2021'!FE33</f>
        <v>38248</v>
      </c>
      <c r="FC33" s="276">
        <f>'[1]December - 2021'!FF33</f>
        <v>35</v>
      </c>
    </row>
    <row r="34" spans="1:160" ht="30" customHeight="1" x14ac:dyDescent="0.25">
      <c r="A34" s="207">
        <v>43855</v>
      </c>
      <c r="B34" s="209">
        <f>'[1]December - 2021'!B34</f>
        <v>0.72</v>
      </c>
      <c r="C34" s="250">
        <f>'[1]December - 2021'!E34</f>
        <v>933132</v>
      </c>
      <c r="D34" s="170">
        <f>'[1]December - 2021'!F34</f>
        <v>910</v>
      </c>
      <c r="E34" s="168">
        <f>'[1]December - 2021'!G34</f>
        <v>550</v>
      </c>
      <c r="F34" s="168">
        <f>'[1]December - 2021'!H34</f>
        <v>97280</v>
      </c>
      <c r="G34" s="170">
        <f>'[1]December - 2021'!I34</f>
        <v>620</v>
      </c>
      <c r="H34" s="168">
        <f>'[1]December - 2021'!J34</f>
        <v>461</v>
      </c>
      <c r="I34" s="168">
        <f>'[1]December - 2021'!K34</f>
        <v>164625</v>
      </c>
      <c r="J34" s="170">
        <f>'[1]December - 2021'!L34</f>
        <v>0</v>
      </c>
      <c r="K34" s="168">
        <f>'[1]December - 2021'!N34</f>
        <v>821002</v>
      </c>
      <c r="L34" s="170">
        <f>'[1]December - 2021'!O34</f>
        <v>0</v>
      </c>
      <c r="M34" s="168">
        <f>'[1]December - 2021'!Q34</f>
        <v>190441</v>
      </c>
      <c r="N34" s="170">
        <f>'[1]December - 2021'!R34</f>
        <v>82</v>
      </c>
      <c r="O34" s="168">
        <f>'[1]December - 2021'!S34</f>
        <v>54410</v>
      </c>
      <c r="P34" s="170">
        <f>'[1]December - 2021'!T34</f>
        <v>102.55000000000291</v>
      </c>
      <c r="Q34" s="168">
        <f>'[1]December - 2021'!U34</f>
        <v>43</v>
      </c>
      <c r="R34" s="168">
        <f>'[1]December - 2021'!V34</f>
        <v>4103</v>
      </c>
      <c r="S34" s="208">
        <f>'[1]December - 2021'!W34</f>
        <v>16</v>
      </c>
      <c r="T34" s="518"/>
      <c r="U34" s="169">
        <f>'[1]December - 2021'!AC34</f>
        <v>7220450.1599999992</v>
      </c>
      <c r="V34" s="288">
        <f>'[1]December - 2021'!AD34</f>
        <v>3069.359999999404</v>
      </c>
      <c r="W34" s="92">
        <f>'[1]December - 2021'!AD34</f>
        <v>3069.359999999404</v>
      </c>
      <c r="X34" s="287">
        <f>'[1]December - 2021'!AF34</f>
        <v>13828538.640000001</v>
      </c>
      <c r="Y34" s="288">
        <f>'[1]December - 2021'!AG34</f>
        <v>6674.640000000596</v>
      </c>
      <c r="Z34" s="92">
        <f>'[1]December - 2021'!AG34</f>
        <v>6674.640000000596</v>
      </c>
      <c r="AA34" s="287">
        <f>'[1]December - 2021'!AI34</f>
        <v>13719893.039999999</v>
      </c>
      <c r="AB34" s="288">
        <f>'[1]December - 2021'!AJ34</f>
        <v>15054.480000000447</v>
      </c>
      <c r="AC34" s="92">
        <f>'[1]December - 2021'!AJ34</f>
        <v>15054.480000000447</v>
      </c>
      <c r="AD34" s="287">
        <f>'[1]December - 2021'!AL34</f>
        <v>16751641.199999999</v>
      </c>
      <c r="AE34" s="288">
        <f>'[1]December - 2021'!AM34</f>
        <v>341.03999999910593</v>
      </c>
      <c r="AF34" s="92">
        <f>'[1]December - 2021'!AM34</f>
        <v>341.03999999910593</v>
      </c>
      <c r="AG34" s="287">
        <f>'[1]December - 2021'!AO34</f>
        <v>17165712.48</v>
      </c>
      <c r="AH34" s="288">
        <f>'[1]December - 2021'!AP34</f>
        <v>97.440000001341105</v>
      </c>
      <c r="AI34" s="92">
        <f>'[1]December - 2021'!AP34</f>
        <v>97.440000001341105</v>
      </c>
      <c r="AJ34" s="287">
        <f>'[1]December - 2021'!AR34</f>
        <v>15579145.68</v>
      </c>
      <c r="AK34" s="288">
        <f>'[1]December - 2021'!AS34</f>
        <v>8038.7999999988824</v>
      </c>
      <c r="AL34" s="92">
        <f>'[1]December - 2021'!AS34</f>
        <v>8038.7999999988824</v>
      </c>
      <c r="AM34" s="287">
        <f>'[1]December - 2021'!AU34</f>
        <v>13249501.439999999</v>
      </c>
      <c r="AN34" s="288">
        <f>'[1]December - 2021'!AV34</f>
        <v>6479.7599999997765</v>
      </c>
      <c r="AO34" s="92">
        <f>'[1]December - 2021'!AV34</f>
        <v>6479.7599999997765</v>
      </c>
      <c r="AP34" s="287">
        <f>'[1]December - 2021'!AX34</f>
        <v>12734920.799999999</v>
      </c>
      <c r="AQ34" s="288">
        <f>'[1]December - 2021'!AY34</f>
        <v>6090</v>
      </c>
      <c r="AR34" s="92">
        <f>'[1]December - 2021'!AY34</f>
        <v>6090</v>
      </c>
      <c r="AS34" s="287">
        <f>'[1]December - 2021'!BA34</f>
        <v>10144332.24</v>
      </c>
      <c r="AT34" s="288">
        <f>'[1]December - 2021'!BB34</f>
        <v>4677.1200000010431</v>
      </c>
      <c r="AU34" s="92">
        <f>'[1]December - 2021'!BB34</f>
        <v>4677.1200000010431</v>
      </c>
      <c r="AV34" s="287">
        <f>'[1]December - 2021'!BD34</f>
        <v>15753368.4</v>
      </c>
      <c r="AW34" s="252">
        <f>'[1]December - 2021'!BE34</f>
        <v>7892.640000000596</v>
      </c>
      <c r="AX34" s="253">
        <f>'[1]December - 2021'!BE34</f>
        <v>7892.640000000596</v>
      </c>
      <c r="AY34" s="484"/>
      <c r="AZ34" s="272">
        <f>'[1]December - 2021'!BK34</f>
        <v>68056900</v>
      </c>
      <c r="BA34" s="179">
        <f>'[1]December - 2021'!BL34</f>
        <v>54500</v>
      </c>
      <c r="BB34" s="93">
        <f>'[1]December - 2021'!BL34</f>
        <v>54500</v>
      </c>
      <c r="BC34" s="272">
        <f>'[1]December - 2021'!BN34</f>
        <v>70700300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65394000</v>
      </c>
      <c r="BG34" s="245">
        <f>'[1]December - 2021'!BR34</f>
        <v>1900</v>
      </c>
      <c r="BH34" s="93">
        <f>'[1]December - 2021'!BR34</f>
        <v>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7780110</v>
      </c>
      <c r="BT34" s="185">
        <f>'[1]December - 2021'!BU34</f>
        <v>8290</v>
      </c>
      <c r="BU34" s="391"/>
      <c r="BV34" s="88">
        <f>'[1]December - 2021'!BW34</f>
        <v>0.52</v>
      </c>
      <c r="BW34" s="241">
        <f>'[1]December - 2021'!BX34</f>
        <v>-4.0000000000000036E-2</v>
      </c>
      <c r="BX34" s="88">
        <f>'[1]December - 2021'!BX34</f>
        <v>-4.0000000000000036E-2</v>
      </c>
      <c r="BY34" s="89">
        <f>'[1]December - 2021'!BZ34</f>
        <v>57403</v>
      </c>
      <c r="BZ34" s="191">
        <f>'[1]December - 2021'!CA34</f>
        <v>29</v>
      </c>
      <c r="CA34" s="89">
        <f>'[1]December - 2021'!CB34</f>
        <v>48876</v>
      </c>
      <c r="CB34" s="191">
        <f>'[1]December - 2021'!CC34</f>
        <v>26</v>
      </c>
      <c r="CC34" s="89">
        <f>'[1]December - 2021'!CD34</f>
        <v>16789</v>
      </c>
      <c r="CD34" s="191">
        <f>'[1]December - 2021'!CE34</f>
        <v>7</v>
      </c>
      <c r="CE34" s="89">
        <f>'[1]December - 2021'!CF34</f>
        <v>22229</v>
      </c>
      <c r="CF34" s="191">
        <f>'[1]December - 2021'!CG34</f>
        <v>10</v>
      </c>
      <c r="CG34" s="89">
        <f>'[1]December - 2021'!CH34</f>
        <v>24282</v>
      </c>
      <c r="CH34" s="191">
        <f>'[1]December - 2021'!CI34</f>
        <v>16</v>
      </c>
      <c r="CI34" s="89">
        <f>'[1]December - 2021'!CJ34</f>
        <v>53815</v>
      </c>
      <c r="CJ34" s="191">
        <f>'[1]December - 2021'!CK34</f>
        <v>42</v>
      </c>
      <c r="CK34" s="89">
        <f>'[1]December - 2021'!CL34</f>
        <v>235976</v>
      </c>
      <c r="CL34" s="246">
        <f>'[1]December - 2021'!CM34</f>
        <v>127</v>
      </c>
      <c r="CM34" s="89">
        <f>'[1]December - 2021'!CM34</f>
        <v>127</v>
      </c>
      <c r="CN34" s="89">
        <f>'[1]December - 2021'!CO34</f>
        <v>181928</v>
      </c>
      <c r="CO34" s="246">
        <f>'[1]December - 2021'!CP34</f>
        <v>134</v>
      </c>
      <c r="CP34" s="89">
        <f>'[1]December - 2021'!CP34</f>
        <v>134</v>
      </c>
      <c r="CQ34" s="89">
        <f>'[1]December - 2021'!CR34</f>
        <v>322078</v>
      </c>
      <c r="CR34" s="246">
        <f>'[1]December - 2021'!CS34</f>
        <v>447</v>
      </c>
      <c r="CS34" s="89">
        <f>'[1]December - 2021'!CS34</f>
        <v>447</v>
      </c>
      <c r="CT34" s="89">
        <f>'[1]December - 2021'!CU34</f>
        <v>624195</v>
      </c>
      <c r="CU34" s="191">
        <f>'[1]December - 2021'!CV34</f>
        <v>288</v>
      </c>
      <c r="CV34" s="451"/>
      <c r="CW34" s="256">
        <f>'[1]December - 2021'!CX34</f>
        <v>6493</v>
      </c>
      <c r="CX34" s="198">
        <f>'[1]December - 2021'!CY34</f>
        <v>3</v>
      </c>
      <c r="CY34" s="257">
        <f>'[1]December - 2021'!CZ34</f>
        <v>4007</v>
      </c>
      <c r="CZ34" s="198">
        <f>'[1]December - 2021'!DA34</f>
        <v>10</v>
      </c>
      <c r="DA34" s="257">
        <f>'[1]December - 2021'!DB34</f>
        <v>27064</v>
      </c>
      <c r="DB34" s="198">
        <f>'[1]December - 2021'!DC34</f>
        <v>20</v>
      </c>
      <c r="DC34" s="257">
        <f>'[1]December - 2021'!DD34</f>
        <v>27770</v>
      </c>
      <c r="DD34" s="198">
        <f>'[1]December - 2021'!DE34</f>
        <v>8</v>
      </c>
      <c r="DE34" s="257">
        <f>'[1]December - 2021'!DF34</f>
        <v>18785</v>
      </c>
      <c r="DF34" s="198">
        <f>'[1]December - 2021'!DG34</f>
        <v>10</v>
      </c>
      <c r="DG34" s="257">
        <f>'[1]December - 2021'!DH34</f>
        <v>21899</v>
      </c>
      <c r="DH34" s="198">
        <f>'[1]December - 2021'!DI34</f>
        <v>6</v>
      </c>
      <c r="DI34" s="257">
        <f>'[1]December - 2021'!DJ34</f>
        <v>3407</v>
      </c>
      <c r="DJ34" s="198">
        <f>'[1]December - 2021'!DK34</f>
        <v>5</v>
      </c>
      <c r="DK34" s="257">
        <f>'[1]December - 2021'!DL34</f>
        <v>6943</v>
      </c>
      <c r="DL34" s="198">
        <f>'[1]December - 2021'!DM34</f>
        <v>14</v>
      </c>
      <c r="DM34" s="257">
        <f>'[1]December - 2021'!DN34</f>
        <v>1872</v>
      </c>
      <c r="DN34" s="198">
        <f>'[1]December - 2021'!DO34</f>
        <v>4</v>
      </c>
      <c r="DO34" s="257">
        <f>'[1]December - 2021'!DP34</f>
        <v>3690</v>
      </c>
      <c r="DP34" s="198">
        <f>'[1]December - 2021'!DQ34</f>
        <v>16</v>
      </c>
      <c r="DQ34" s="257">
        <f>'[1]December - 2021'!DR34</f>
        <v>26368</v>
      </c>
      <c r="DR34" s="206">
        <f>'[1]December - 2021'!DS34</f>
        <v>1</v>
      </c>
      <c r="DS34" s="436"/>
      <c r="DT34" s="210">
        <f>'[1]December - 2021'!DU34</f>
        <v>3259.6</v>
      </c>
      <c r="DU34" s="221">
        <f>'[1]December - 2021'!DV34</f>
        <v>9.1999999999998181</v>
      </c>
      <c r="DV34" s="91">
        <f>'[1]December - 2021'!DW34</f>
        <v>8330.7000000000007</v>
      </c>
      <c r="DW34" s="215">
        <f>'[1]December - 2021'!DX34</f>
        <v>10</v>
      </c>
      <c r="DX34" s="91">
        <f>'[1]December - 2021'!DY34</f>
        <v>2448.9</v>
      </c>
      <c r="DY34" s="215">
        <f>'[1]December - 2021'!DZ34</f>
        <v>6.0999999999999091</v>
      </c>
      <c r="DZ34" s="91">
        <f>'[1]December - 2021'!EA34</f>
        <v>2601.1999999999998</v>
      </c>
      <c r="EA34" s="215">
        <f>'[1]December - 2021'!EB34</f>
        <v>7.1999999999998181</v>
      </c>
      <c r="EB34" s="91">
        <f>'[1]December - 2021'!EC34</f>
        <v>882265.1</v>
      </c>
      <c r="EC34" s="215">
        <f>'[1]December - 2021'!ED34</f>
        <v>528.09999999997672</v>
      </c>
      <c r="ED34" s="91">
        <f>'[1]December - 2021'!EG34</f>
        <v>178859.3</v>
      </c>
      <c r="EE34" s="229">
        <f>'[1]December - 2021'!EH34</f>
        <v>150.59999999997672</v>
      </c>
      <c r="EF34" s="375"/>
      <c r="EG34" s="235">
        <f>'[1]December - 2021'!EJ34</f>
        <v>10474600</v>
      </c>
      <c r="EH34" s="230">
        <f>'[1]December - 2021'!EK34</f>
        <v>2600</v>
      </c>
      <c r="EI34" s="90">
        <f>'[1]December - 2021'!EL34</f>
        <v>831173</v>
      </c>
      <c r="EJ34" s="230">
        <f>'[1]December - 2021'!EM34</f>
        <v>283</v>
      </c>
      <c r="EK34" s="90">
        <f>'[1]December - 2021'!EN34</f>
        <v>6421320</v>
      </c>
      <c r="EL34" s="230">
        <f>'[1]December - 2021'!EO34</f>
        <v>720</v>
      </c>
      <c r="EM34" s="90">
        <f>'[1]December - 2021'!EP34</f>
        <v>2257060</v>
      </c>
      <c r="EN34" s="230">
        <f>'[1]December - 2021'!EQ34</f>
        <v>360</v>
      </c>
      <c r="EO34" s="90">
        <f>'[1]December - 2021'!ER34</f>
        <v>1006480</v>
      </c>
      <c r="EP34" s="230">
        <f>'[1]December - 2021'!ES34</f>
        <v>700</v>
      </c>
      <c r="EQ34" s="90">
        <f>'[1]December - 2021'!ET34</f>
        <v>14341700</v>
      </c>
      <c r="ER34" s="230">
        <f>'[1]December - 2021'!EU34</f>
        <v>1900</v>
      </c>
      <c r="ES34" s="423"/>
      <c r="ET34" s="281">
        <f>'[1]December - 2021'!EW34</f>
        <v>37757</v>
      </c>
      <c r="EU34" s="275">
        <f>'[1]December - 2021'!EX34</f>
        <v>12</v>
      </c>
      <c r="EV34" s="282">
        <f>'[1]December - 2021'!EY34</f>
        <v>32646</v>
      </c>
      <c r="EW34" s="275">
        <f>'[1]December - 2021'!EZ34</f>
        <v>18</v>
      </c>
      <c r="EX34" s="282">
        <f>'[1]December - 2021'!FA34</f>
        <v>3803</v>
      </c>
      <c r="EY34" s="275">
        <f>'[1]December - 2021'!FB34</f>
        <v>11</v>
      </c>
      <c r="EZ34" s="282">
        <f>'[1]December - 2021'!FC34</f>
        <v>54433</v>
      </c>
      <c r="FA34" s="275">
        <f>'[1]December - 2021'!FD34</f>
        <v>20</v>
      </c>
      <c r="FB34" s="282">
        <f>'[1]December - 2021'!FE34</f>
        <v>38280</v>
      </c>
      <c r="FC34" s="276">
        <f>'[1]December - 2021'!FF34</f>
        <v>32</v>
      </c>
    </row>
    <row r="35" spans="1:160" ht="30" customHeight="1" x14ac:dyDescent="0.25">
      <c r="A35" s="207">
        <v>43856</v>
      </c>
      <c r="B35" s="209">
        <f>'[1]December - 2021'!B35</f>
        <v>0.75</v>
      </c>
      <c r="C35" s="250">
        <f>'[1]December - 2021'!E35</f>
        <v>933630</v>
      </c>
      <c r="D35" s="170">
        <f>'[1]December - 2021'!F35</f>
        <v>498</v>
      </c>
      <c r="E35" s="168">
        <f>'[1]December - 2021'!G35</f>
        <v>559</v>
      </c>
      <c r="F35" s="168">
        <f>'[1]December - 2021'!H35</f>
        <v>97789</v>
      </c>
      <c r="G35" s="170">
        <f>'[1]December - 2021'!I35</f>
        <v>509</v>
      </c>
      <c r="H35" s="168">
        <f>'[1]December - 2021'!J35</f>
        <v>483</v>
      </c>
      <c r="I35" s="168">
        <f>'[1]December - 2021'!K35</f>
        <v>164625</v>
      </c>
      <c r="J35" s="170">
        <f>'[1]December - 2021'!L35</f>
        <v>0</v>
      </c>
      <c r="K35" s="168">
        <f>'[1]December - 2021'!N35</f>
        <v>821076</v>
      </c>
      <c r="L35" s="170">
        <f>'[1]December - 2021'!O35</f>
        <v>74</v>
      </c>
      <c r="M35" s="168">
        <f>'[1]December - 2021'!Q35</f>
        <v>190441</v>
      </c>
      <c r="N35" s="170">
        <f>'[1]December - 2021'!R35</f>
        <v>0</v>
      </c>
      <c r="O35" s="168">
        <f>'[1]December - 2021'!S35</f>
        <v>54513.05</v>
      </c>
      <c r="P35" s="170">
        <f>'[1]December - 2021'!T35</f>
        <v>103.05000000000291</v>
      </c>
      <c r="Q35" s="168">
        <f>'[1]December - 2021'!U35</f>
        <v>35</v>
      </c>
      <c r="R35" s="168">
        <f>'[1]December - 2021'!V35</f>
        <v>4112</v>
      </c>
      <c r="S35" s="208">
        <f>'[1]December - 2021'!W35</f>
        <v>9</v>
      </c>
      <c r="T35" s="518"/>
      <c r="U35" s="169">
        <f>'[1]December - 2021'!AC35</f>
        <v>7221814.3200000003</v>
      </c>
      <c r="V35" s="288">
        <f>'[1]December - 2021'!AD35</f>
        <v>1364.1600000010803</v>
      </c>
      <c r="W35" s="92">
        <f>'[1]December - 2021'!AD35</f>
        <v>1364.1600000010803</v>
      </c>
      <c r="X35" s="287">
        <f>'[1]December - 2021'!AF35</f>
        <v>13831266.959999999</v>
      </c>
      <c r="Y35" s="288">
        <f>'[1]December - 2021'!AG35</f>
        <v>2728.3199999984354</v>
      </c>
      <c r="Z35" s="92">
        <f>'[1]December - 2021'!AG35</f>
        <v>2728.3199999984354</v>
      </c>
      <c r="AA35" s="287">
        <f>'[1]December - 2021'!AI35</f>
        <v>13726616.4</v>
      </c>
      <c r="AB35" s="288">
        <f>'[1]December - 2021'!AJ35</f>
        <v>6723.3600000012666</v>
      </c>
      <c r="AC35" s="92">
        <f>'[1]December - 2021'!AJ35</f>
        <v>6723.3600000012666</v>
      </c>
      <c r="AD35" s="287">
        <f>'[1]December - 2021'!AL35</f>
        <v>16751787.360000001</v>
      </c>
      <c r="AE35" s="288">
        <f>'[1]December - 2021'!AM35</f>
        <v>146.16000000201166</v>
      </c>
      <c r="AF35" s="92">
        <f>'[1]December - 2021'!AM35</f>
        <v>146.16000000201166</v>
      </c>
      <c r="AG35" s="287">
        <f>'[1]December - 2021'!AO35</f>
        <v>17165761.199999999</v>
      </c>
      <c r="AH35" s="288">
        <f>'[1]December - 2021'!AP35</f>
        <v>48.719999998807907</v>
      </c>
      <c r="AI35" s="92">
        <f>'[1]December - 2021'!AP35</f>
        <v>48.719999998807907</v>
      </c>
      <c r="AJ35" s="287">
        <f>'[1]December - 2021'!AR35</f>
        <v>15583092</v>
      </c>
      <c r="AK35" s="288">
        <f>'[1]December - 2021'!AS35</f>
        <v>3946.320000000298</v>
      </c>
      <c r="AL35" s="92">
        <f>'[1]December - 2021'!AS35</f>
        <v>3946.320000000298</v>
      </c>
      <c r="AM35" s="287">
        <f>'[1]December - 2021'!AU35</f>
        <v>13252375.919999998</v>
      </c>
      <c r="AN35" s="288">
        <f>'[1]December - 2021'!AV35</f>
        <v>2874.4799999985844</v>
      </c>
      <c r="AO35" s="92">
        <f>'[1]December - 2021'!AV35</f>
        <v>2874.4799999985844</v>
      </c>
      <c r="AP35" s="287">
        <f>'[1]December - 2021'!AX35</f>
        <v>12737551.68</v>
      </c>
      <c r="AQ35" s="288">
        <f>'[1]December - 2021'!AY35</f>
        <v>2630.8800000008196</v>
      </c>
      <c r="AR35" s="92">
        <f>'[1]December - 2021'!AY35</f>
        <v>2630.8800000008196</v>
      </c>
      <c r="AS35" s="287">
        <f>'[1]December - 2021'!BA35</f>
        <v>10145745.119999999</v>
      </c>
      <c r="AT35" s="288">
        <f>'[1]December - 2021'!BB35</f>
        <v>1412.8799999989569</v>
      </c>
      <c r="AU35" s="92">
        <f>'[1]December - 2021'!BB35</f>
        <v>1412.8799999989569</v>
      </c>
      <c r="AV35" s="287">
        <f>'[1]December - 2021'!BD35</f>
        <v>15757022.4</v>
      </c>
      <c r="AW35" s="252">
        <f>'[1]December - 2021'!BE35</f>
        <v>3654</v>
      </c>
      <c r="AX35" s="253">
        <f>'[1]December - 2021'!BE35</f>
        <v>3654</v>
      </c>
      <c r="AY35" s="484"/>
      <c r="AZ35" s="272">
        <f>'[1]December - 2021'!BK35</f>
        <v>68111300</v>
      </c>
      <c r="BA35" s="179">
        <f>'[1]December - 2021'!BL35</f>
        <v>54400</v>
      </c>
      <c r="BB35" s="93">
        <f>'[1]December - 2021'!BL35</f>
        <v>54400</v>
      </c>
      <c r="BC35" s="272">
        <f>'[1]December - 2021'!BN35</f>
        <v>70700300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65394000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7785350</v>
      </c>
      <c r="BT35" s="185">
        <f>'[1]December - 2021'!BU35</f>
        <v>5240</v>
      </c>
      <c r="BU35" s="391"/>
      <c r="BV35" s="88">
        <f>'[1]December - 2021'!BW35</f>
        <v>0.62</v>
      </c>
      <c r="BW35" s="241">
        <f>'[1]December - 2021'!BX35</f>
        <v>-9.9999999999999978E-2</v>
      </c>
      <c r="BX35" s="88">
        <f>'[1]December - 2021'!BX35</f>
        <v>-9.9999999999999978E-2</v>
      </c>
      <c r="BY35" s="89">
        <f>'[1]December - 2021'!BZ35</f>
        <v>57415</v>
      </c>
      <c r="BZ35" s="191">
        <f>'[1]December - 2021'!CA35</f>
        <v>12</v>
      </c>
      <c r="CA35" s="89">
        <f>'[1]December - 2021'!CB35</f>
        <v>48887</v>
      </c>
      <c r="CB35" s="191">
        <f>'[1]December - 2021'!CC35</f>
        <v>11</v>
      </c>
      <c r="CC35" s="89">
        <f>'[1]December - 2021'!CD35</f>
        <v>16795</v>
      </c>
      <c r="CD35" s="191">
        <f>'[1]December - 2021'!CE35</f>
        <v>6</v>
      </c>
      <c r="CE35" s="89">
        <f>'[1]December - 2021'!CF35</f>
        <v>22240</v>
      </c>
      <c r="CF35" s="191">
        <f>'[1]December - 2021'!CG35</f>
        <v>11</v>
      </c>
      <c r="CG35" s="89">
        <f>'[1]December - 2021'!CH35</f>
        <v>24296</v>
      </c>
      <c r="CH35" s="191">
        <f>'[1]December - 2021'!CI35</f>
        <v>14</v>
      </c>
      <c r="CI35" s="89">
        <f>'[1]December - 2021'!CJ35</f>
        <v>53828</v>
      </c>
      <c r="CJ35" s="191">
        <f>'[1]December - 2021'!CK35</f>
        <v>13</v>
      </c>
      <c r="CK35" s="89">
        <f>'[1]December - 2021'!CL35</f>
        <v>236043</v>
      </c>
      <c r="CL35" s="246">
        <f>'[1]December - 2021'!CM35</f>
        <v>67</v>
      </c>
      <c r="CM35" s="89">
        <f>'[1]December - 2021'!CM35</f>
        <v>67</v>
      </c>
      <c r="CN35" s="89">
        <f>'[1]December - 2021'!CO35</f>
        <v>182018</v>
      </c>
      <c r="CO35" s="246">
        <f>'[1]December - 2021'!CP35</f>
        <v>90</v>
      </c>
      <c r="CP35" s="89">
        <f>'[1]December - 2021'!CP35</f>
        <v>90</v>
      </c>
      <c r="CQ35" s="89">
        <f>'[1]December - 2021'!CR35</f>
        <v>322362</v>
      </c>
      <c r="CR35" s="246">
        <f>'[1]December - 2021'!CS35</f>
        <v>284</v>
      </c>
      <c r="CS35" s="89">
        <f>'[1]December - 2021'!CS35</f>
        <v>284</v>
      </c>
      <c r="CT35" s="89">
        <f>'[1]December - 2021'!CU35</f>
        <v>624336</v>
      </c>
      <c r="CU35" s="191">
        <f>'[1]December - 2021'!CV35</f>
        <v>141</v>
      </c>
      <c r="CV35" s="451"/>
      <c r="CW35" s="256">
        <f>'[1]December - 2021'!CX35</f>
        <v>6498</v>
      </c>
      <c r="CX35" s="198">
        <f>'[1]December - 2021'!CY35</f>
        <v>5</v>
      </c>
      <c r="CY35" s="257">
        <f>'[1]December - 2021'!CZ35</f>
        <v>4016</v>
      </c>
      <c r="CZ35" s="198">
        <f>'[1]December - 2021'!DA35</f>
        <v>9</v>
      </c>
      <c r="DA35" s="257">
        <f>'[1]December - 2021'!DB35</f>
        <v>27086</v>
      </c>
      <c r="DB35" s="198">
        <f>'[1]December - 2021'!DC35</f>
        <v>22</v>
      </c>
      <c r="DC35" s="257">
        <f>'[1]December - 2021'!DD35</f>
        <v>27778</v>
      </c>
      <c r="DD35" s="198">
        <f>'[1]December - 2021'!DE35</f>
        <v>8</v>
      </c>
      <c r="DE35" s="257">
        <f>'[1]December - 2021'!DF35</f>
        <v>18795</v>
      </c>
      <c r="DF35" s="198">
        <f>'[1]December - 2021'!DG35</f>
        <v>10</v>
      </c>
      <c r="DG35" s="257">
        <f>'[1]December - 2021'!DH35</f>
        <v>21910</v>
      </c>
      <c r="DH35" s="198">
        <f>'[1]December - 2021'!DI35</f>
        <v>11</v>
      </c>
      <c r="DI35" s="257">
        <f>'[1]December - 2021'!DJ35</f>
        <v>3413</v>
      </c>
      <c r="DJ35" s="198">
        <f>'[1]December - 2021'!DK35</f>
        <v>6</v>
      </c>
      <c r="DK35" s="257">
        <f>'[1]December - 2021'!DL35</f>
        <v>6951</v>
      </c>
      <c r="DL35" s="198">
        <f>'[1]December - 2021'!DM35</f>
        <v>8</v>
      </c>
      <c r="DM35" s="257">
        <f>'[1]December - 2021'!DN35</f>
        <v>1876</v>
      </c>
      <c r="DN35" s="198">
        <f>'[1]December - 2021'!DO35</f>
        <v>4</v>
      </c>
      <c r="DO35" s="257">
        <f>'[1]December - 2021'!DP35</f>
        <v>3698</v>
      </c>
      <c r="DP35" s="198">
        <f>'[1]December - 2021'!DQ35</f>
        <v>8</v>
      </c>
      <c r="DQ35" s="257">
        <f>'[1]December - 2021'!DR35</f>
        <v>26371</v>
      </c>
      <c r="DR35" s="206">
        <f>'[1]December - 2021'!DS35</f>
        <v>3</v>
      </c>
      <c r="DS35" s="436"/>
      <c r="DT35" s="210">
        <f>'[1]December - 2021'!DU35</f>
        <v>3268.9</v>
      </c>
      <c r="DU35" s="221">
        <f>'[1]December - 2021'!DV35</f>
        <v>9.3000000000001819</v>
      </c>
      <c r="DV35" s="91">
        <f>'[1]December - 2021'!DW35</f>
        <v>8338.2000000000007</v>
      </c>
      <c r="DW35" s="215">
        <f>'[1]December - 2021'!DX35</f>
        <v>7.5</v>
      </c>
      <c r="DX35" s="91">
        <f>'[1]December - 2021'!DY35</f>
        <v>2455.5</v>
      </c>
      <c r="DY35" s="215">
        <f>'[1]December - 2021'!DZ35</f>
        <v>6.5999999999999091</v>
      </c>
      <c r="DZ35" s="91">
        <f>'[1]December - 2021'!EA35</f>
        <v>2608.6999999999998</v>
      </c>
      <c r="EA35" s="215">
        <f>'[1]December - 2021'!EB35</f>
        <v>7.5</v>
      </c>
      <c r="EB35" s="91">
        <f>'[1]December - 2021'!EC35</f>
        <v>883013</v>
      </c>
      <c r="EC35" s="215">
        <f>'[1]December - 2021'!ED35</f>
        <v>747.90000000002328</v>
      </c>
      <c r="ED35" s="91">
        <f>'[1]December - 2021'!EG35</f>
        <v>179013.4</v>
      </c>
      <c r="EE35" s="229">
        <f>'[1]December - 2021'!EH35</f>
        <v>154.10000000000582</v>
      </c>
      <c r="EF35" s="375"/>
      <c r="EG35" s="235">
        <f>'[1]December - 2021'!EJ35</f>
        <v>10479200</v>
      </c>
      <c r="EH35" s="230">
        <f>'[1]December - 2021'!EK35</f>
        <v>4600</v>
      </c>
      <c r="EI35" s="90">
        <f>'[1]December - 2021'!EL35</f>
        <v>831550</v>
      </c>
      <c r="EJ35" s="230">
        <f>'[1]December - 2021'!EM35</f>
        <v>377</v>
      </c>
      <c r="EK35" s="90">
        <f>'[1]December - 2021'!EN35</f>
        <v>6422100</v>
      </c>
      <c r="EL35" s="230">
        <f>'[1]December - 2021'!EO35</f>
        <v>780</v>
      </c>
      <c r="EM35" s="90">
        <f>'[1]December - 2021'!EP35</f>
        <v>2257500</v>
      </c>
      <c r="EN35" s="230">
        <f>'[1]December - 2021'!EQ35</f>
        <v>440</v>
      </c>
      <c r="EO35" s="90">
        <f>'[1]December - 2021'!ER35</f>
        <v>1007240</v>
      </c>
      <c r="EP35" s="230">
        <f>'[1]December - 2021'!ES35</f>
        <v>760</v>
      </c>
      <c r="EQ35" s="90">
        <f>'[1]December - 2021'!ET35</f>
        <v>14345400</v>
      </c>
      <c r="ER35" s="230">
        <f>'[1]December - 2021'!EU35</f>
        <v>3700</v>
      </c>
      <c r="ES35" s="423"/>
      <c r="ET35" s="281">
        <f>'[1]December - 2021'!EW35</f>
        <v>37773</v>
      </c>
      <c r="EU35" s="275">
        <f>'[1]December - 2021'!EX35</f>
        <v>16</v>
      </c>
      <c r="EV35" s="282">
        <f>'[1]December - 2021'!EY35</f>
        <v>32665</v>
      </c>
      <c r="EW35" s="275">
        <f>'[1]December - 2021'!EZ35</f>
        <v>19</v>
      </c>
      <c r="EX35" s="282">
        <f>'[1]December - 2021'!FA35</f>
        <v>3819</v>
      </c>
      <c r="EY35" s="275">
        <f>'[1]December - 2021'!FB35</f>
        <v>16</v>
      </c>
      <c r="EZ35" s="282">
        <f>'[1]December - 2021'!FC35</f>
        <v>54451</v>
      </c>
      <c r="FA35" s="275">
        <f>'[1]December - 2021'!FD35</f>
        <v>18</v>
      </c>
      <c r="FB35" s="282">
        <f>'[1]December - 2021'!FE35</f>
        <v>38314</v>
      </c>
      <c r="FC35" s="276">
        <f>'[1]December - 2021'!FF35</f>
        <v>34</v>
      </c>
    </row>
    <row r="36" spans="1:160" ht="30" customHeight="1" x14ac:dyDescent="0.25">
      <c r="A36" s="207">
        <v>43857</v>
      </c>
      <c r="B36" s="209">
        <f>'[1]December - 2021'!B36</f>
        <v>0.8</v>
      </c>
      <c r="C36" s="250">
        <f>'[1]December - 2021'!E36</f>
        <v>934381</v>
      </c>
      <c r="D36" s="170">
        <f>'[1]December - 2021'!F36</f>
        <v>751</v>
      </c>
      <c r="E36" s="168">
        <f>'[1]December - 2021'!G36</f>
        <v>527</v>
      </c>
      <c r="F36" s="168">
        <f>'[1]December - 2021'!H36</f>
        <v>98138</v>
      </c>
      <c r="G36" s="170">
        <f>'[1]December - 2021'!I36</f>
        <v>349</v>
      </c>
      <c r="H36" s="168">
        <f>'[1]December - 2021'!J36</f>
        <v>440</v>
      </c>
      <c r="I36" s="168">
        <f>'[1]December - 2021'!K36</f>
        <v>164625</v>
      </c>
      <c r="J36" s="170">
        <f>'[1]December - 2021'!L36</f>
        <v>0</v>
      </c>
      <c r="K36" s="168">
        <f>'[1]December - 2021'!N36</f>
        <v>821326</v>
      </c>
      <c r="L36" s="170">
        <f>'[1]December - 2021'!O36</f>
        <v>250</v>
      </c>
      <c r="M36" s="168">
        <f>'[1]December - 2021'!Q36</f>
        <v>190558</v>
      </c>
      <c r="N36" s="170">
        <f>'[1]December - 2021'!R36</f>
        <v>117</v>
      </c>
      <c r="O36" s="168">
        <f>'[1]December - 2021'!S36</f>
        <v>54604.02</v>
      </c>
      <c r="P36" s="170">
        <f>'[1]December - 2021'!T36</f>
        <v>90.969999999993888</v>
      </c>
      <c r="Q36" s="168">
        <f>'[1]December - 2021'!U36</f>
        <v>35</v>
      </c>
      <c r="R36" s="168">
        <f>'[1]December - 2021'!V36</f>
        <v>4118</v>
      </c>
      <c r="S36" s="208">
        <f>'[1]December - 2021'!W36</f>
        <v>6</v>
      </c>
      <c r="T36" s="518"/>
      <c r="U36" s="169">
        <f>'[1]December - 2021'!AC36</f>
        <v>7224152.8799999999</v>
      </c>
      <c r="V36" s="288">
        <f>'[1]December - 2021'!AD36</f>
        <v>2338.5599999995902</v>
      </c>
      <c r="W36" s="92">
        <f>'[1]December - 2021'!AD36</f>
        <v>2338.5599999995902</v>
      </c>
      <c r="X36" s="287">
        <f>'[1]December - 2021'!AF36</f>
        <v>13836090.24</v>
      </c>
      <c r="Y36" s="288">
        <f>'[1]December - 2021'!AG36</f>
        <v>4823.2800000011921</v>
      </c>
      <c r="Z36" s="92">
        <f>'[1]December - 2021'!AG36</f>
        <v>4823.2800000011921</v>
      </c>
      <c r="AA36" s="287">
        <f>'[1]December - 2021'!AI36</f>
        <v>13736409.119999999</v>
      </c>
      <c r="AB36" s="288">
        <f>'[1]December - 2021'!AJ36</f>
        <v>9792.7199999988079</v>
      </c>
      <c r="AC36" s="92">
        <f>'[1]December - 2021'!AJ36</f>
        <v>9792.7199999988079</v>
      </c>
      <c r="AD36" s="287">
        <f>'[1]December - 2021'!AL36</f>
        <v>16751836.08</v>
      </c>
      <c r="AE36" s="288">
        <f>'[1]December - 2021'!AM36</f>
        <v>48.719999998807907</v>
      </c>
      <c r="AF36" s="92">
        <f>'[1]December - 2021'!AM36</f>
        <v>48.719999998807907</v>
      </c>
      <c r="AG36" s="287">
        <f>'[1]December - 2021'!AO36</f>
        <v>17165907.359999999</v>
      </c>
      <c r="AH36" s="288">
        <f>'[1]December - 2021'!AP36</f>
        <v>146.16000000014901</v>
      </c>
      <c r="AI36" s="92">
        <f>'[1]December - 2021'!AP36</f>
        <v>146.16000000014901</v>
      </c>
      <c r="AJ36" s="287">
        <f>'[1]December - 2021'!AR36</f>
        <v>15589182</v>
      </c>
      <c r="AK36" s="288">
        <f>'[1]December - 2021'!AS36</f>
        <v>6090</v>
      </c>
      <c r="AL36" s="92">
        <f>'[1]December - 2021'!AS36</f>
        <v>6090</v>
      </c>
      <c r="AM36" s="287">
        <f>'[1]December - 2021'!AU36</f>
        <v>13257053.040000001</v>
      </c>
      <c r="AN36" s="288">
        <f>'[1]December - 2021'!AV36</f>
        <v>4677.1200000029057</v>
      </c>
      <c r="AO36" s="92">
        <f>'[1]December - 2021'!AV36</f>
        <v>4677.1200000029057</v>
      </c>
      <c r="AP36" s="287">
        <f>'[1]December - 2021'!AX36</f>
        <v>12741790.319999998</v>
      </c>
      <c r="AQ36" s="288">
        <f>'[1]December - 2021'!AY36</f>
        <v>4238.6399999987334</v>
      </c>
      <c r="AR36" s="92">
        <f>'[1]December - 2021'!AY36</f>
        <v>4238.6399999987334</v>
      </c>
      <c r="AS36" s="287">
        <f>'[1]December - 2021'!BA36</f>
        <v>10149642.719999999</v>
      </c>
      <c r="AT36" s="288">
        <f>'[1]December - 2021'!BB36</f>
        <v>3897.5999999996275</v>
      </c>
      <c r="AU36" s="92">
        <f>'[1]December - 2021'!BB36</f>
        <v>3897.5999999996275</v>
      </c>
      <c r="AV36" s="287">
        <f>'[1]December - 2021'!BD36</f>
        <v>15762430.319999998</v>
      </c>
      <c r="AW36" s="252">
        <f>'[1]December - 2021'!BE36</f>
        <v>5407.9199999980628</v>
      </c>
      <c r="AX36" s="253">
        <f>'[1]December - 2021'!BE36</f>
        <v>5407.9199999980628</v>
      </c>
      <c r="AY36" s="484"/>
      <c r="AZ36" s="272">
        <f>'[1]December - 2021'!BK36</f>
        <v>68162600</v>
      </c>
      <c r="BA36" s="179">
        <f>'[1]December - 2021'!BL36</f>
        <v>51300</v>
      </c>
      <c r="BB36" s="93">
        <f>'[1]December - 2021'!BL36</f>
        <v>51300</v>
      </c>
      <c r="BC36" s="272">
        <f>'[1]December - 2021'!BN36</f>
        <v>70700300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65394000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7791750</v>
      </c>
      <c r="BT36" s="185">
        <f>'[1]December - 2021'!BU36</f>
        <v>6400</v>
      </c>
      <c r="BU36" s="391"/>
      <c r="BV36" s="88">
        <f>'[1]December - 2021'!BW36</f>
        <v>0.53</v>
      </c>
      <c r="BW36" s="241">
        <f>'[1]December - 2021'!BX36</f>
        <v>8.9999999999999969E-2</v>
      </c>
      <c r="BX36" s="88">
        <f>'[1]December - 2021'!BX36</f>
        <v>8.9999999999999969E-2</v>
      </c>
      <c r="BY36" s="89">
        <f>'[1]December - 2021'!BZ36</f>
        <v>57436</v>
      </c>
      <c r="BZ36" s="191">
        <f>'[1]December - 2021'!CA36</f>
        <v>21</v>
      </c>
      <c r="CA36" s="89">
        <f>'[1]December - 2021'!CB36</f>
        <v>48907</v>
      </c>
      <c r="CB36" s="191">
        <f>'[1]December - 2021'!CC36</f>
        <v>20</v>
      </c>
      <c r="CC36" s="89">
        <f>'[1]December - 2021'!CD36</f>
        <v>16799</v>
      </c>
      <c r="CD36" s="191">
        <f>'[1]December - 2021'!CE36</f>
        <v>4</v>
      </c>
      <c r="CE36" s="89">
        <f>'[1]December - 2021'!CF36</f>
        <v>22251</v>
      </c>
      <c r="CF36" s="191">
        <f>'[1]December - 2021'!CG36</f>
        <v>11</v>
      </c>
      <c r="CG36" s="89">
        <f>'[1]December - 2021'!CH36</f>
        <v>24306</v>
      </c>
      <c r="CH36" s="191">
        <f>'[1]December - 2021'!CI36</f>
        <v>10</v>
      </c>
      <c r="CI36" s="89">
        <f>'[1]December - 2021'!CJ36</f>
        <v>53855</v>
      </c>
      <c r="CJ36" s="191">
        <f>'[1]December - 2021'!CK36</f>
        <v>27</v>
      </c>
      <c r="CK36" s="89">
        <f>'[1]December - 2021'!CL36</f>
        <v>236140</v>
      </c>
      <c r="CL36" s="246">
        <f>'[1]December - 2021'!CM36</f>
        <v>97</v>
      </c>
      <c r="CM36" s="89">
        <f>'[1]December - 2021'!CM36</f>
        <v>97</v>
      </c>
      <c r="CN36" s="89">
        <f>'[1]December - 2021'!CO36</f>
        <v>182123</v>
      </c>
      <c r="CO36" s="246">
        <f>'[1]December - 2021'!CP36</f>
        <v>105</v>
      </c>
      <c r="CP36" s="89">
        <f>'[1]December - 2021'!CP36</f>
        <v>105</v>
      </c>
      <c r="CQ36" s="89">
        <f>'[1]December - 2021'!CR36</f>
        <v>322787</v>
      </c>
      <c r="CR36" s="246">
        <f>'[1]December - 2021'!CS36</f>
        <v>425</v>
      </c>
      <c r="CS36" s="89">
        <f>'[1]December - 2021'!CS36</f>
        <v>425</v>
      </c>
      <c r="CT36" s="89">
        <f>'[1]December - 2021'!CU36</f>
        <v>624530</v>
      </c>
      <c r="CU36" s="191">
        <f>'[1]December - 2021'!CV36</f>
        <v>194</v>
      </c>
      <c r="CV36" s="451"/>
      <c r="CW36" s="256">
        <f>'[1]December - 2021'!CX36</f>
        <v>6501</v>
      </c>
      <c r="CX36" s="198">
        <f>'[1]December - 2021'!CY36</f>
        <v>3</v>
      </c>
      <c r="CY36" s="257">
        <f>'[1]December - 2021'!CZ36</f>
        <v>4025</v>
      </c>
      <c r="CZ36" s="198">
        <f>'[1]December - 2021'!DA36</f>
        <v>9</v>
      </c>
      <c r="DA36" s="257">
        <f>'[1]December - 2021'!DB36</f>
        <v>27112</v>
      </c>
      <c r="DB36" s="198">
        <f>'[1]December - 2021'!DC36</f>
        <v>26</v>
      </c>
      <c r="DC36" s="257">
        <f>'[1]December - 2021'!DD36</f>
        <v>27796</v>
      </c>
      <c r="DD36" s="198">
        <f>'[1]December - 2021'!DE36</f>
        <v>18</v>
      </c>
      <c r="DE36" s="257">
        <f>'[1]December - 2021'!DF36</f>
        <v>18807</v>
      </c>
      <c r="DF36" s="198">
        <f>'[1]December - 2021'!DG36</f>
        <v>12</v>
      </c>
      <c r="DG36" s="257">
        <f>'[1]December - 2021'!DH36</f>
        <v>21923</v>
      </c>
      <c r="DH36" s="198">
        <f>'[1]December - 2021'!DI36</f>
        <v>13</v>
      </c>
      <c r="DI36" s="257">
        <f>'[1]December - 2021'!DJ36</f>
        <v>3428</v>
      </c>
      <c r="DJ36" s="198">
        <f>'[1]December - 2021'!DK36</f>
        <v>15</v>
      </c>
      <c r="DK36" s="257">
        <f>'[1]December - 2021'!DL36</f>
        <v>6975</v>
      </c>
      <c r="DL36" s="198">
        <f>'[1]December - 2021'!DM36</f>
        <v>24</v>
      </c>
      <c r="DM36" s="257">
        <f>'[1]December - 2021'!DN36</f>
        <v>1881</v>
      </c>
      <c r="DN36" s="198">
        <f>'[1]December - 2021'!DO36</f>
        <v>5</v>
      </c>
      <c r="DO36" s="257">
        <f>'[1]December - 2021'!DP36</f>
        <v>3705</v>
      </c>
      <c r="DP36" s="198">
        <f>'[1]December - 2021'!DQ36</f>
        <v>7</v>
      </c>
      <c r="DQ36" s="257">
        <f>'[1]December - 2021'!DR36</f>
        <v>26380</v>
      </c>
      <c r="DR36" s="206">
        <f>'[1]December - 2021'!DS36</f>
        <v>9</v>
      </c>
      <c r="DS36" s="436"/>
      <c r="DT36" s="210">
        <f>'[1]December - 2021'!DU36</f>
        <v>3278.1</v>
      </c>
      <c r="DU36" s="221">
        <f>'[1]December - 2021'!DV36</f>
        <v>9.1999999999998181</v>
      </c>
      <c r="DV36" s="91">
        <f>'[1]December - 2021'!DW36</f>
        <v>8342.2000000000007</v>
      </c>
      <c r="DW36" s="215">
        <f>'[1]December - 2021'!DX36</f>
        <v>4</v>
      </c>
      <c r="DX36" s="91">
        <f>'[1]December - 2021'!DY36</f>
        <v>2465.1999999999998</v>
      </c>
      <c r="DY36" s="215">
        <f>'[1]December - 2021'!DZ36</f>
        <v>9.6999999999998181</v>
      </c>
      <c r="DZ36" s="91">
        <f>'[1]December - 2021'!EA36</f>
        <v>2614.6</v>
      </c>
      <c r="EA36" s="215">
        <f>'[1]December - 2021'!EB36</f>
        <v>5.9000000000000909</v>
      </c>
      <c r="EB36" s="91">
        <f>'[1]December - 2021'!EC36</f>
        <v>883584</v>
      </c>
      <c r="EC36" s="215">
        <f>'[1]December - 2021'!ED36</f>
        <v>571</v>
      </c>
      <c r="ED36" s="91">
        <f>'[1]December - 2021'!EG36</f>
        <v>179166.2</v>
      </c>
      <c r="EE36" s="229">
        <f>'[1]December - 2021'!EH36</f>
        <v>152.80000000001746</v>
      </c>
      <c r="EF36" s="375"/>
      <c r="EG36" s="235">
        <f>'[1]December - 2021'!EJ36</f>
        <v>10482600</v>
      </c>
      <c r="EH36" s="230">
        <f>'[1]December - 2021'!EK36</f>
        <v>3400</v>
      </c>
      <c r="EI36" s="90">
        <f>'[1]December - 2021'!EL36</f>
        <v>831860</v>
      </c>
      <c r="EJ36" s="230">
        <f>'[1]December - 2021'!EM36</f>
        <v>310</v>
      </c>
      <c r="EK36" s="90">
        <f>'[1]December - 2021'!EN36</f>
        <v>6422800</v>
      </c>
      <c r="EL36" s="230">
        <f>'[1]December - 2021'!EO36</f>
        <v>700</v>
      </c>
      <c r="EM36" s="90">
        <f>'[1]December - 2021'!EP36</f>
        <v>2257900</v>
      </c>
      <c r="EN36" s="230">
        <f>'[1]December - 2021'!EQ36</f>
        <v>400</v>
      </c>
      <c r="EO36" s="90">
        <f>'[1]December - 2021'!ER36</f>
        <v>1007990</v>
      </c>
      <c r="EP36" s="230">
        <f>'[1]December - 2021'!ES36</f>
        <v>750</v>
      </c>
      <c r="EQ36" s="90">
        <f>'[1]December - 2021'!ET36</f>
        <v>14348600</v>
      </c>
      <c r="ER36" s="230">
        <f>'[1]December - 2021'!EU36</f>
        <v>3200</v>
      </c>
      <c r="ES36" s="423"/>
      <c r="ET36" s="281">
        <f>'[1]December - 2021'!EW36</f>
        <v>37788</v>
      </c>
      <c r="EU36" s="275">
        <f>'[1]December - 2021'!EX36</f>
        <v>15</v>
      </c>
      <c r="EV36" s="282">
        <f>'[1]December - 2021'!EY36</f>
        <v>32684</v>
      </c>
      <c r="EW36" s="275">
        <f>'[1]December - 2021'!EZ36</f>
        <v>19</v>
      </c>
      <c r="EX36" s="282">
        <f>'[1]December - 2021'!FA36</f>
        <v>3833</v>
      </c>
      <c r="EY36" s="275">
        <f>'[1]December - 2021'!FB36</f>
        <v>14</v>
      </c>
      <c r="EZ36" s="282">
        <f>'[1]December - 2021'!FC36</f>
        <v>54470</v>
      </c>
      <c r="FA36" s="275">
        <f>'[1]December - 2021'!FD36</f>
        <v>19</v>
      </c>
      <c r="FB36" s="282">
        <f>'[1]December - 2021'!FE36</f>
        <v>38347</v>
      </c>
      <c r="FC36" s="276">
        <f>'[1]December - 2021'!FF36</f>
        <v>33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935370</v>
      </c>
      <c r="D37" s="170">
        <f>'[1]December - 2021'!F37</f>
        <v>989</v>
      </c>
      <c r="E37" s="168">
        <f>'[1]December - 2021'!G37</f>
        <v>550</v>
      </c>
      <c r="F37" s="168">
        <f>'[1]December - 2021'!H37</f>
        <v>98695.01</v>
      </c>
      <c r="G37" s="170">
        <f>'[1]December - 2021'!I37</f>
        <v>557.00999999999476</v>
      </c>
      <c r="H37" s="168">
        <f>'[1]December - 2021'!J37</f>
        <v>475</v>
      </c>
      <c r="I37" s="168">
        <f>'[1]December - 2021'!K37</f>
        <v>164625</v>
      </c>
      <c r="J37" s="170">
        <f>'[1]December - 2021'!L37</f>
        <v>0</v>
      </c>
      <c r="K37" s="168">
        <f>'[1]December - 2021'!N37</f>
        <v>821673.5</v>
      </c>
      <c r="L37" s="170">
        <f>'[1]December - 2021'!O37</f>
        <v>347.5</v>
      </c>
      <c r="M37" s="168">
        <f>'[1]December - 2021'!Q37</f>
        <v>190885</v>
      </c>
      <c r="N37" s="170">
        <f>'[1]December - 2021'!R37</f>
        <v>327</v>
      </c>
      <c r="O37" s="168">
        <f>'[1]December - 2021'!S37</f>
        <v>54688.639999999999</v>
      </c>
      <c r="P37" s="170">
        <f>'[1]December - 2021'!T37</f>
        <v>84.620000000002619</v>
      </c>
      <c r="Q37" s="168">
        <f>'[1]December - 2021'!U37</f>
        <v>39</v>
      </c>
      <c r="R37" s="168">
        <f>'[1]December - 2021'!V37</f>
        <v>4133</v>
      </c>
      <c r="S37" s="208">
        <f>'[1]December - 2021'!W37</f>
        <v>15</v>
      </c>
      <c r="T37" s="518"/>
      <c r="U37" s="169">
        <f>'[1]December - 2021'!AC37</f>
        <v>7226199.1200000001</v>
      </c>
      <c r="V37" s="288">
        <f>'[1]December - 2021'!AD37</f>
        <v>2046.2400000002235</v>
      </c>
      <c r="W37" s="92">
        <f>'[1]December - 2021'!AD37</f>
        <v>2046.2400000002235</v>
      </c>
      <c r="X37" s="287">
        <f>'[1]December - 2021'!AF37</f>
        <v>13841108.4</v>
      </c>
      <c r="Y37" s="288">
        <f>'[1]December - 2021'!AG37</f>
        <v>5018.160000000149</v>
      </c>
      <c r="Z37" s="92">
        <f>'[1]December - 2021'!AG37</f>
        <v>5018.160000000149</v>
      </c>
      <c r="AA37" s="287">
        <f>'[1]December - 2021'!AI37</f>
        <v>13747176.24</v>
      </c>
      <c r="AB37" s="288">
        <f>'[1]December - 2021'!AJ37</f>
        <v>10767.120000001043</v>
      </c>
      <c r="AC37" s="92">
        <f>'[1]December - 2021'!AJ37</f>
        <v>10767.120000001043</v>
      </c>
      <c r="AD37" s="287">
        <f>'[1]December - 2021'!AL37</f>
        <v>16751933.52</v>
      </c>
      <c r="AE37" s="288">
        <f>'[1]December - 2021'!AM37</f>
        <v>97.439999999478459</v>
      </c>
      <c r="AF37" s="92">
        <f>'[1]December - 2021'!AM37</f>
        <v>97.439999999478459</v>
      </c>
      <c r="AG37" s="287">
        <f>'[1]December - 2021'!AO37</f>
        <v>17166053.52</v>
      </c>
      <c r="AH37" s="288">
        <f>'[1]December - 2021'!AP37</f>
        <v>146.16000000014901</v>
      </c>
      <c r="AI37" s="92">
        <f>'[1]December - 2021'!AP37</f>
        <v>146.16000000014901</v>
      </c>
      <c r="AJ37" s="287">
        <f>'[1]December - 2021'!AR37</f>
        <v>15595369.439999999</v>
      </c>
      <c r="AK37" s="288">
        <f>'[1]December - 2021'!AS37</f>
        <v>6187.4399999994785</v>
      </c>
      <c r="AL37" s="92">
        <f>'[1]December - 2021'!AS37</f>
        <v>6187.4399999994785</v>
      </c>
      <c r="AM37" s="287">
        <f>'[1]December - 2021'!AU37</f>
        <v>13261681.439999999</v>
      </c>
      <c r="AN37" s="288">
        <f>'[1]December - 2021'!AV37</f>
        <v>4628.3999999985099</v>
      </c>
      <c r="AO37" s="92">
        <f>'[1]December - 2021'!AV37</f>
        <v>4628.3999999985099</v>
      </c>
      <c r="AP37" s="287">
        <f>'[1]December - 2021'!AX37</f>
        <v>12746564.880000001</v>
      </c>
      <c r="AQ37" s="288">
        <f>'[1]December - 2021'!AY37</f>
        <v>4774.5600000023842</v>
      </c>
      <c r="AR37" s="92">
        <f>'[1]December - 2021'!AY37</f>
        <v>4774.5600000023842</v>
      </c>
      <c r="AS37" s="287">
        <f>'[1]December - 2021'!BA37</f>
        <v>10153150.559999999</v>
      </c>
      <c r="AT37" s="288">
        <f>'[1]December - 2021'!BB37</f>
        <v>3507.839999999851</v>
      </c>
      <c r="AU37" s="92">
        <f>'[1]December - 2021'!BB37</f>
        <v>3507.839999999851</v>
      </c>
      <c r="AV37" s="287">
        <f>'[1]December - 2021'!BD37</f>
        <v>15768520.319999998</v>
      </c>
      <c r="AW37" s="252">
        <f>'[1]December - 2021'!BE37</f>
        <v>6090</v>
      </c>
      <c r="AX37" s="253">
        <f>'[1]December - 2021'!BE37</f>
        <v>6090</v>
      </c>
      <c r="AY37" s="484"/>
      <c r="AZ37" s="272">
        <f>'[1]December - 2021'!BK37</f>
        <v>68210800</v>
      </c>
      <c r="BA37" s="179">
        <f>'[1]December - 2021'!BL37</f>
        <v>48200</v>
      </c>
      <c r="BB37" s="93">
        <f>'[1]December - 2021'!BL37</f>
        <v>48200</v>
      </c>
      <c r="BC37" s="272">
        <f>'[1]December - 2021'!BN37</f>
        <v>70700300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65394000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7799160</v>
      </c>
      <c r="BT37" s="185">
        <f>'[1]December - 2021'!BU37</f>
        <v>7410</v>
      </c>
      <c r="BU37" s="391"/>
      <c r="BV37" s="88">
        <f>'[1]December - 2021'!BW37</f>
        <v>0.57999999999999996</v>
      </c>
      <c r="BW37" s="241">
        <f>'[1]December - 2021'!BX37</f>
        <v>-4.9999999999999933E-2</v>
      </c>
      <c r="BX37" s="88">
        <f>'[1]December - 2021'!BX37</f>
        <v>-4.9999999999999933E-2</v>
      </c>
      <c r="BY37" s="89">
        <f>'[1]December - 2021'!BZ37</f>
        <v>57456</v>
      </c>
      <c r="BZ37" s="191">
        <f>'[1]December - 2021'!CA37</f>
        <v>20</v>
      </c>
      <c r="CA37" s="89">
        <f>'[1]December - 2021'!CB37</f>
        <v>48927</v>
      </c>
      <c r="CB37" s="191">
        <f>'[1]December - 2021'!CC37</f>
        <v>20</v>
      </c>
      <c r="CC37" s="89">
        <f>'[1]December - 2021'!CD37</f>
        <v>16805</v>
      </c>
      <c r="CD37" s="191">
        <f>'[1]December - 2021'!CE37</f>
        <v>6</v>
      </c>
      <c r="CE37" s="89">
        <f>'[1]December - 2021'!CF37</f>
        <v>22261</v>
      </c>
      <c r="CF37" s="191">
        <f>'[1]December - 2021'!CG37</f>
        <v>10</v>
      </c>
      <c r="CG37" s="89">
        <f>'[1]December - 2021'!CH37</f>
        <v>24316</v>
      </c>
      <c r="CH37" s="191">
        <f>'[1]December - 2021'!CI37</f>
        <v>10</v>
      </c>
      <c r="CI37" s="89">
        <f>'[1]December - 2021'!CJ37</f>
        <v>53884</v>
      </c>
      <c r="CJ37" s="191">
        <f>'[1]December - 2021'!CK37</f>
        <v>29</v>
      </c>
      <c r="CK37" s="89">
        <f>'[1]December - 2021'!CL37</f>
        <v>236244</v>
      </c>
      <c r="CL37" s="246">
        <f>'[1]December - 2021'!CM37</f>
        <v>104</v>
      </c>
      <c r="CM37" s="89">
        <f>'[1]December - 2021'!CM37</f>
        <v>104</v>
      </c>
      <c r="CN37" s="89">
        <f>'[1]December - 2021'!CO37</f>
        <v>182252.35</v>
      </c>
      <c r="CO37" s="246">
        <f>'[1]December - 2021'!CP37</f>
        <v>129.35000000000582</v>
      </c>
      <c r="CP37" s="89">
        <f>'[1]December - 2021'!CP37</f>
        <v>129.35000000000582</v>
      </c>
      <c r="CQ37" s="89">
        <f>'[1]December - 2021'!CR37</f>
        <v>323179.56</v>
      </c>
      <c r="CR37" s="246">
        <f>'[1]December - 2021'!CS37</f>
        <v>392.55999999999767</v>
      </c>
      <c r="CS37" s="89">
        <f>'[1]December - 2021'!CS37</f>
        <v>392.55999999999767</v>
      </c>
      <c r="CT37" s="89">
        <f>'[1]December - 2021'!CU37</f>
        <v>624763</v>
      </c>
      <c r="CU37" s="191">
        <f>'[1]December - 2021'!CV37</f>
        <v>233</v>
      </c>
      <c r="CV37" s="451"/>
      <c r="CW37" s="256">
        <f>'[1]December - 2021'!CX37</f>
        <v>6504</v>
      </c>
      <c r="CX37" s="198">
        <f>'[1]December - 2021'!CY37</f>
        <v>3</v>
      </c>
      <c r="CY37" s="257">
        <f>'[1]December - 2021'!CZ37</f>
        <v>4033.7</v>
      </c>
      <c r="CZ37" s="198">
        <f>'[1]December - 2021'!DA37</f>
        <v>8.6999999999998181</v>
      </c>
      <c r="DA37" s="257">
        <f>'[1]December - 2021'!DB37</f>
        <v>0</v>
      </c>
      <c r="DB37" s="198">
        <f>'[1]December - 2021'!DC37</f>
        <v>-27112</v>
      </c>
      <c r="DC37" s="257">
        <f>'[1]December - 2021'!DD37</f>
        <v>0</v>
      </c>
      <c r="DD37" s="198">
        <f>'[1]December - 2021'!DE37</f>
        <v>-27796</v>
      </c>
      <c r="DE37" s="257">
        <f>'[1]December - 2021'!DF37</f>
        <v>0</v>
      </c>
      <c r="DF37" s="198">
        <f>'[1]December - 2021'!DG37</f>
        <v>-18807</v>
      </c>
      <c r="DG37" s="257">
        <f>'[1]December - 2021'!DH37</f>
        <v>0</v>
      </c>
      <c r="DH37" s="198">
        <f>'[1]December - 2021'!DI37</f>
        <v>-21923</v>
      </c>
      <c r="DI37" s="257">
        <f>'[1]December - 2021'!DJ37</f>
        <v>0</v>
      </c>
      <c r="DJ37" s="198">
        <f>'[1]December - 2021'!DK37</f>
        <v>-3428</v>
      </c>
      <c r="DK37" s="257">
        <f>'[1]December - 2021'!DL37</f>
        <v>0</v>
      </c>
      <c r="DL37" s="198">
        <f>'[1]December - 2021'!DM37</f>
        <v>-6975</v>
      </c>
      <c r="DM37" s="257">
        <f>'[1]December - 2021'!DN37</f>
        <v>0</v>
      </c>
      <c r="DN37" s="198">
        <f>'[1]December - 2021'!DO37</f>
        <v>-1881</v>
      </c>
      <c r="DO37" s="257">
        <f>'[1]December - 2021'!DP37</f>
        <v>0</v>
      </c>
      <c r="DP37" s="198">
        <f>'[1]December - 2021'!DQ37</f>
        <v>-3705</v>
      </c>
      <c r="DQ37" s="257">
        <f>'[1]December - 2021'!DR37</f>
        <v>0</v>
      </c>
      <c r="DR37" s="206">
        <f>'[1]December - 2021'!DS37</f>
        <v>-26380</v>
      </c>
      <c r="DS37" s="436"/>
      <c r="DT37" s="210">
        <f>'[1]December - 2021'!DU37</f>
        <v>0</v>
      </c>
      <c r="DU37" s="221">
        <f>'[1]December - 2021'!DV37</f>
        <v>-3278.1</v>
      </c>
      <c r="DV37" s="91">
        <f>'[1]December - 2021'!DW37</f>
        <v>0</v>
      </c>
      <c r="DW37" s="215">
        <f>'[1]December - 2021'!DX37</f>
        <v>-8342.2000000000007</v>
      </c>
      <c r="DX37" s="91">
        <f>'[1]December - 2021'!DY37</f>
        <v>0</v>
      </c>
      <c r="DY37" s="215">
        <f>'[1]December - 2021'!DZ37</f>
        <v>-2465.1999999999998</v>
      </c>
      <c r="DZ37" s="91">
        <f>'[1]December - 2021'!EA37</f>
        <v>0</v>
      </c>
      <c r="EA37" s="215">
        <f>'[1]December - 2021'!EB37</f>
        <v>-2614.6</v>
      </c>
      <c r="EB37" s="91">
        <f>'[1]December - 2021'!EC37</f>
        <v>0</v>
      </c>
      <c r="EC37" s="215">
        <f>'[1]December - 2021'!ED37</f>
        <v>-883584</v>
      </c>
      <c r="ED37" s="91">
        <f>'[1]December - 2021'!EG37</f>
        <v>0</v>
      </c>
      <c r="EE37" s="229">
        <f>'[1]December - 2021'!EH37</f>
        <v>-179166.2</v>
      </c>
      <c r="EF37" s="375"/>
      <c r="EG37" s="235">
        <f>'[1]December - 2021'!EJ37</f>
        <v>0</v>
      </c>
      <c r="EH37" s="230">
        <f>'[1]December - 2021'!EK37</f>
        <v>-10482600</v>
      </c>
      <c r="EI37" s="90">
        <f>'[1]December - 2021'!EL37</f>
        <v>0</v>
      </c>
      <c r="EJ37" s="230">
        <f>'[1]December - 2021'!EM37</f>
        <v>-831860</v>
      </c>
      <c r="EK37" s="90">
        <f>'[1]December - 2021'!EN37</f>
        <v>0</v>
      </c>
      <c r="EL37" s="230">
        <f>'[1]December - 2021'!EO37</f>
        <v>-6422800</v>
      </c>
      <c r="EM37" s="90">
        <f>'[1]December - 2021'!EP37</f>
        <v>0</v>
      </c>
      <c r="EN37" s="230">
        <f>'[1]December - 2021'!EQ37</f>
        <v>-2257900</v>
      </c>
      <c r="EO37" s="90">
        <f>'[1]December - 2021'!ER37</f>
        <v>0</v>
      </c>
      <c r="EP37" s="230">
        <f>'[1]December - 2021'!ES37</f>
        <v>-1007990</v>
      </c>
      <c r="EQ37" s="90">
        <f>'[1]December - 2021'!ET37</f>
        <v>0</v>
      </c>
      <c r="ER37" s="230">
        <f>'[1]December - 2021'!EU37</f>
        <v>-14348600</v>
      </c>
      <c r="ES37" s="423"/>
      <c r="ET37" s="281">
        <f>'[1]December - 2021'!EW37</f>
        <v>0</v>
      </c>
      <c r="EU37" s="275">
        <f>'[1]December - 2021'!EX37</f>
        <v>-37788</v>
      </c>
      <c r="EV37" s="282">
        <f>'[1]December - 2021'!EY37</f>
        <v>0</v>
      </c>
      <c r="EW37" s="275">
        <f>'[1]December - 2021'!EZ37</f>
        <v>-32684</v>
      </c>
      <c r="EX37" s="282">
        <f>'[1]December - 2021'!FA37</f>
        <v>0</v>
      </c>
      <c r="EY37" s="275">
        <f>'[1]December - 2021'!FB37</f>
        <v>-3833</v>
      </c>
      <c r="EZ37" s="282">
        <f>'[1]December - 2021'!FC37</f>
        <v>0</v>
      </c>
      <c r="FA37" s="275">
        <f>'[1]December - 2021'!FD37</f>
        <v>-54470</v>
      </c>
      <c r="FB37" s="282">
        <f>'[1]December - 2021'!FE37</f>
        <v>0</v>
      </c>
      <c r="FC37" s="276">
        <f>'[1]December - 2021'!FF37</f>
        <v>-38347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936139</v>
      </c>
      <c r="D38" s="170">
        <f>'[1]December - 2021'!F38</f>
        <v>769</v>
      </c>
      <c r="E38" s="168">
        <f>'[1]December - 2021'!G38</f>
        <v>598</v>
      </c>
      <c r="F38" s="168">
        <f>'[1]December - 2021'!H38</f>
        <v>99179.5</v>
      </c>
      <c r="G38" s="170">
        <f>'[1]December - 2021'!I38</f>
        <v>484.49000000000524</v>
      </c>
      <c r="H38" s="168">
        <f>'[1]December - 2021'!J38</f>
        <v>534</v>
      </c>
      <c r="I38" s="168">
        <f>'[1]December - 2021'!K38</f>
        <v>164625</v>
      </c>
      <c r="J38" s="170">
        <f>'[1]December - 2021'!L38</f>
        <v>0</v>
      </c>
      <c r="K38" s="168">
        <f>'[1]December - 2021'!N38</f>
        <v>821861</v>
      </c>
      <c r="L38" s="170">
        <f>'[1]December - 2021'!O38</f>
        <v>187.5</v>
      </c>
      <c r="M38" s="168">
        <f>'[1]December - 2021'!Q38</f>
        <v>191022</v>
      </c>
      <c r="N38" s="170">
        <f>'[1]December - 2021'!R38</f>
        <v>137</v>
      </c>
      <c r="O38" s="168">
        <f>'[1]December - 2021'!S38</f>
        <v>54772.41</v>
      </c>
      <c r="P38" s="170">
        <f>'[1]December - 2021'!T38</f>
        <v>83.770000000004075</v>
      </c>
      <c r="Q38" s="168">
        <f>'[1]December - 2021'!U38</f>
        <v>12</v>
      </c>
      <c r="R38" s="168">
        <f>'[1]December - 2021'!V38</f>
        <v>4148</v>
      </c>
      <c r="S38" s="208">
        <f>'[1]December - 2021'!W38</f>
        <v>15</v>
      </c>
      <c r="T38" s="518"/>
      <c r="U38" s="169">
        <f>'[1]December - 2021'!AC38</f>
        <v>7227904.3200000003</v>
      </c>
      <c r="V38" s="288">
        <f>'[1]December - 2021'!AD38</f>
        <v>1705.2000000001863</v>
      </c>
      <c r="W38" s="92">
        <f>'[1]December - 2021'!AD38</f>
        <v>1705.2000000001863</v>
      </c>
      <c r="X38" s="287">
        <f>'[1]December - 2021'!AF38</f>
        <v>13845444.48</v>
      </c>
      <c r="Y38" s="288">
        <f>'[1]December - 2021'!AG38</f>
        <v>4336.0800000000745</v>
      </c>
      <c r="Z38" s="92">
        <f>'[1]December - 2021'!AG38</f>
        <v>4336.0800000000745</v>
      </c>
      <c r="AA38" s="287">
        <f>'[1]December - 2021'!AI38</f>
        <v>13756774.08</v>
      </c>
      <c r="AB38" s="288">
        <f>'[1]December - 2021'!AJ38</f>
        <v>9597.839999999851</v>
      </c>
      <c r="AC38" s="92">
        <f>'[1]December - 2021'!AJ38</f>
        <v>9597.839999999851</v>
      </c>
      <c r="AD38" s="287">
        <f>'[1]December - 2021'!AL38</f>
        <v>16751884.799999999</v>
      </c>
      <c r="AE38" s="288">
        <f>'[1]December - 2021'!AM38</f>
        <v>-48.720000000670552</v>
      </c>
      <c r="AF38" s="92">
        <f>'[1]December - 2021'!AM38</f>
        <v>-48.720000000670552</v>
      </c>
      <c r="AG38" s="287">
        <f>'[1]December - 2021'!AO38</f>
        <v>17166150.960000001</v>
      </c>
      <c r="AH38" s="288">
        <f>'[1]December - 2021'!AP38</f>
        <v>97.440000001341105</v>
      </c>
      <c r="AI38" s="92">
        <f>'[1]December - 2021'!AP38</f>
        <v>97.440000001341105</v>
      </c>
      <c r="AJ38" s="287">
        <f>'[1]December - 2021'!AR38</f>
        <v>15600874.799999999</v>
      </c>
      <c r="AK38" s="288">
        <f>'[1]December - 2021'!AS38</f>
        <v>5505.359999999404</v>
      </c>
      <c r="AL38" s="92">
        <f>'[1]December - 2021'!AS38</f>
        <v>5505.359999999404</v>
      </c>
      <c r="AM38" s="287">
        <f>'[1]December - 2021'!AU38</f>
        <v>13265773.919999998</v>
      </c>
      <c r="AN38" s="288">
        <f>'[1]December - 2021'!AV38</f>
        <v>4092.4799999985844</v>
      </c>
      <c r="AO38" s="92">
        <f>'[1]December - 2021'!AV38</f>
        <v>4092.4799999985844</v>
      </c>
      <c r="AP38" s="287">
        <f>'[1]December - 2021'!AX38</f>
        <v>12750559.919999998</v>
      </c>
      <c r="AQ38" s="288">
        <f>'[1]December - 2021'!AY38</f>
        <v>3995.0399999972433</v>
      </c>
      <c r="AR38" s="92">
        <f>'[1]December - 2021'!AY38</f>
        <v>3995.0399999972433</v>
      </c>
      <c r="AS38" s="287">
        <f>'[1]December - 2021'!BA38</f>
        <v>10156122.48</v>
      </c>
      <c r="AT38" s="288">
        <f>'[1]December - 2021'!BB38</f>
        <v>2971.9200000017881</v>
      </c>
      <c r="AU38" s="92">
        <f>'[1]December - 2021'!BB38</f>
        <v>2971.9200000017881</v>
      </c>
      <c r="AV38" s="287">
        <f>'[1]December - 2021'!BD38</f>
        <v>15773782.08</v>
      </c>
      <c r="AW38" s="252">
        <f>'[1]December - 2021'!BE38</f>
        <v>5261.7600000016391</v>
      </c>
      <c r="AX38" s="253">
        <f>'[1]December - 2021'!BE38</f>
        <v>5261.7600000016391</v>
      </c>
      <c r="AY38" s="484"/>
      <c r="AZ38" s="272">
        <f>'[1]December - 2021'!BK38</f>
        <v>68259500</v>
      </c>
      <c r="BA38" s="179">
        <f>'[1]December - 2021'!BL38</f>
        <v>48700</v>
      </c>
      <c r="BB38" s="93">
        <f>'[1]December - 2021'!BL38</f>
        <v>48700</v>
      </c>
      <c r="BC38" s="272">
        <f>'[1]December - 2021'!BN38</f>
        <v>70700300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65394000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7806110</v>
      </c>
      <c r="BT38" s="185">
        <f>'[1]December - 2021'!BU38</f>
        <v>6950</v>
      </c>
      <c r="BU38" s="391"/>
      <c r="BV38" s="88">
        <f>'[1]December - 2021'!BW38</f>
        <v>0.62</v>
      </c>
      <c r="BW38" s="241">
        <f>'[1]December - 2021'!BX38</f>
        <v>-4.0000000000000036E-2</v>
      </c>
      <c r="BX38" s="88">
        <f>'[1]December - 2021'!BX38</f>
        <v>-4.0000000000000036E-2</v>
      </c>
      <c r="BY38" s="89">
        <f>'[1]December - 2021'!BZ38</f>
        <v>57478</v>
      </c>
      <c r="BZ38" s="191">
        <f>'[1]December - 2021'!CA38</f>
        <v>22</v>
      </c>
      <c r="CA38" s="89">
        <f>'[1]December - 2021'!CB38</f>
        <v>48944</v>
      </c>
      <c r="CB38" s="191">
        <f>'[1]December - 2021'!CC38</f>
        <v>17</v>
      </c>
      <c r="CC38" s="89">
        <f>'[1]December - 2021'!CD38</f>
        <v>16811</v>
      </c>
      <c r="CD38" s="191">
        <f>'[1]December - 2021'!CE38</f>
        <v>6</v>
      </c>
      <c r="CE38" s="89">
        <f>'[1]December - 2021'!CF38</f>
        <v>22276</v>
      </c>
      <c r="CF38" s="191">
        <f>'[1]December - 2021'!CG38</f>
        <v>15</v>
      </c>
      <c r="CG38" s="89">
        <f>'[1]December - 2021'!CH38</f>
        <v>24324</v>
      </c>
      <c r="CH38" s="191">
        <f>'[1]December - 2021'!CI38</f>
        <v>8</v>
      </c>
      <c r="CI38" s="89">
        <f>'[1]December - 2021'!CJ38</f>
        <v>53912</v>
      </c>
      <c r="CJ38" s="191">
        <f>'[1]December - 2021'!CK38</f>
        <v>28</v>
      </c>
      <c r="CK38" s="89">
        <f>'[1]December - 2021'!CL38</f>
        <v>236334</v>
      </c>
      <c r="CL38" s="246">
        <f>'[1]December - 2021'!CM38</f>
        <v>90</v>
      </c>
      <c r="CM38" s="89">
        <f>'[1]December - 2021'!CM38</f>
        <v>90</v>
      </c>
      <c r="CN38" s="89">
        <f>'[1]December - 2021'!CO38</f>
        <v>182372</v>
      </c>
      <c r="CO38" s="246">
        <f>'[1]December - 2021'!CP38</f>
        <v>119.64999999999418</v>
      </c>
      <c r="CP38" s="89">
        <f>'[1]December - 2021'!CP38</f>
        <v>119.64999999999418</v>
      </c>
      <c r="CQ38" s="89">
        <f>'[1]December - 2021'!CR38</f>
        <v>323492</v>
      </c>
      <c r="CR38" s="246">
        <f>'[1]December - 2021'!CS38</f>
        <v>312.44000000000233</v>
      </c>
      <c r="CS38" s="89">
        <f>'[1]December - 2021'!CS38</f>
        <v>312.44000000000233</v>
      </c>
      <c r="CT38" s="89">
        <f>'[1]December - 2021'!CU38</f>
        <v>624950</v>
      </c>
      <c r="CU38" s="191">
        <f>'[1]December - 2021'!CV38</f>
        <v>187</v>
      </c>
      <c r="CV38" s="451"/>
      <c r="CW38" s="256">
        <f>'[1]December - 2021'!CX38</f>
        <v>6506</v>
      </c>
      <c r="CX38" s="198">
        <f>'[1]December - 2021'!CY38</f>
        <v>2</v>
      </c>
      <c r="CY38" s="257">
        <f>'[1]December - 2021'!CZ38</f>
        <v>4043.7</v>
      </c>
      <c r="CZ38" s="198">
        <f>'[1]December - 2021'!DA38</f>
        <v>10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936967</v>
      </c>
      <c r="D39" s="170">
        <f>'[1]December - 2021'!F39</f>
        <v>828</v>
      </c>
      <c r="E39" s="168">
        <f>'[1]December - 2021'!G39</f>
        <v>581</v>
      </c>
      <c r="F39" s="168">
        <f>'[1]December - 2021'!H39</f>
        <v>99717</v>
      </c>
      <c r="G39" s="170">
        <f>'[1]December - 2021'!I39</f>
        <v>537.5</v>
      </c>
      <c r="H39" s="168">
        <f>'[1]December - 2021'!J39</f>
        <v>547</v>
      </c>
      <c r="I39" s="168">
        <f>'[1]December - 2021'!K39</f>
        <v>164625</v>
      </c>
      <c r="J39" s="170">
        <f>'[1]December - 2021'!L39</f>
        <v>0</v>
      </c>
      <c r="K39" s="168">
        <f>'[1]December - 2021'!N39</f>
        <v>822045</v>
      </c>
      <c r="L39" s="170">
        <f>'[1]December - 2021'!O39</f>
        <v>184</v>
      </c>
      <c r="M39" s="168">
        <f>'[1]December - 2021'!Q39</f>
        <v>191185</v>
      </c>
      <c r="N39" s="170">
        <f>'[1]December - 2021'!R39</f>
        <v>163</v>
      </c>
      <c r="O39" s="168">
        <f>'[1]December - 2021'!S39</f>
        <v>54862.42</v>
      </c>
      <c r="P39" s="170">
        <f>'[1]December - 2021'!T39</f>
        <v>90.009999999994761</v>
      </c>
      <c r="Q39" s="168">
        <f>'[1]December - 2021'!U39</f>
        <v>14</v>
      </c>
      <c r="R39" s="168">
        <f>'[1]December - 2021'!V39</f>
        <v>4163</v>
      </c>
      <c r="S39" s="208">
        <f>'[1]December - 2021'!W39</f>
        <v>15</v>
      </c>
      <c r="T39" s="518"/>
      <c r="U39" s="169">
        <f>'[1]December - 2021'!AC39</f>
        <v>7229853.1200000001</v>
      </c>
      <c r="V39" s="288">
        <f>'[1]December - 2021'!AD39</f>
        <v>1948.7999999998137</v>
      </c>
      <c r="W39" s="92">
        <f>'[1]December - 2021'!AD39</f>
        <v>1948.7999999998137</v>
      </c>
      <c r="X39" s="287">
        <f>'[1]December - 2021'!AF39</f>
        <v>13850219.039999999</v>
      </c>
      <c r="Y39" s="288">
        <f>'[1]December - 2021'!AG39</f>
        <v>4774.5599999986589</v>
      </c>
      <c r="Z39" s="92">
        <f>'[1]December - 2021'!AG39</f>
        <v>4774.5599999986589</v>
      </c>
      <c r="AA39" s="287">
        <f>'[1]December - 2021'!AI39</f>
        <v>13760233.199999999</v>
      </c>
      <c r="AB39" s="288">
        <f>'[1]December - 2021'!AJ39</f>
        <v>3459.1199999991804</v>
      </c>
      <c r="AC39" s="92">
        <f>'[1]December - 2021'!AJ39</f>
        <v>3459.1199999991804</v>
      </c>
      <c r="AD39" s="287">
        <f>'[1]December - 2021'!AL39</f>
        <v>16751933.52</v>
      </c>
      <c r="AE39" s="288">
        <f>'[1]December - 2021'!AM39</f>
        <v>48.720000000670552</v>
      </c>
      <c r="AF39" s="92">
        <f>'[1]December - 2021'!AM39</f>
        <v>48.720000000670552</v>
      </c>
      <c r="AG39" s="287">
        <f>'[1]December - 2021'!AO39</f>
        <v>17174725.68</v>
      </c>
      <c r="AH39" s="288">
        <f>'[1]December - 2021'!AP39</f>
        <v>8574.7199999988079</v>
      </c>
      <c r="AI39" s="92">
        <f>'[1]December - 2021'!AP39</f>
        <v>8574.7199999988079</v>
      </c>
      <c r="AJ39" s="287">
        <f>'[1]December - 2021'!AR39</f>
        <v>15606867.359999999</v>
      </c>
      <c r="AK39" s="288">
        <f>'[1]December - 2021'!AS39</f>
        <v>5992.5600000005215</v>
      </c>
      <c r="AL39" s="92">
        <f>'[1]December - 2021'!AS39</f>
        <v>5992.5600000005215</v>
      </c>
      <c r="AM39" s="287">
        <f>'[1]December - 2021'!AU39</f>
        <v>13270256.16</v>
      </c>
      <c r="AN39" s="288">
        <f>'[1]December - 2021'!AV39</f>
        <v>4482.2400000020862</v>
      </c>
      <c r="AO39" s="92">
        <f>'[1]December - 2021'!AV39</f>
        <v>4482.2400000020862</v>
      </c>
      <c r="AP39" s="287">
        <f>'[1]December - 2021'!AX39</f>
        <v>12755042.16</v>
      </c>
      <c r="AQ39" s="288">
        <f>'[1]December - 2021'!AY39</f>
        <v>4482.2400000020862</v>
      </c>
      <c r="AR39" s="92">
        <f>'[1]December - 2021'!AY39</f>
        <v>4482.2400000020862</v>
      </c>
      <c r="AS39" s="287">
        <f>'[1]December - 2021'!BA39</f>
        <v>10162748.4</v>
      </c>
      <c r="AT39" s="288">
        <f>'[1]December - 2021'!BB39</f>
        <v>6625.9199999999255</v>
      </c>
      <c r="AU39" s="92">
        <f>'[1]December - 2021'!BB39</f>
        <v>6625.9199999999255</v>
      </c>
      <c r="AV39" s="287">
        <f>'[1]December - 2021'!BD39</f>
        <v>15779774.640000001</v>
      </c>
      <c r="AW39" s="252">
        <f>'[1]December - 2021'!BE39</f>
        <v>5992.5600000005215</v>
      </c>
      <c r="AX39" s="253">
        <f>'[1]December - 2021'!BE39</f>
        <v>5992.5600000005215</v>
      </c>
      <c r="AY39" s="484"/>
      <c r="AZ39" s="272">
        <f>'[1]December - 2021'!BK39</f>
        <v>68270800</v>
      </c>
      <c r="BA39" s="179">
        <f>'[1]December - 2021'!BL39</f>
        <v>11300</v>
      </c>
      <c r="BB39" s="93">
        <f>'[1]December - 2021'!BL39</f>
        <v>11300</v>
      </c>
      <c r="BC39" s="272">
        <f>'[1]December - 2021'!BN39</f>
        <v>70700300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65431400</v>
      </c>
      <c r="BG39" s="245">
        <f>'[1]December - 2021'!BR39</f>
        <v>37400</v>
      </c>
      <c r="BH39" s="93">
        <f>'[1]December - 2021'!BR39</f>
        <v>37400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7813100</v>
      </c>
      <c r="BT39" s="185">
        <f>'[1]December - 2021'!BU39</f>
        <v>6990</v>
      </c>
      <c r="BU39" s="392"/>
      <c r="BV39" s="88">
        <f>'[1]December - 2021'!BW39</f>
        <v>0.68</v>
      </c>
      <c r="BW39" s="241">
        <f>'[1]December - 2021'!BX39</f>
        <v>-6.0000000000000053E-2</v>
      </c>
      <c r="BX39" s="88">
        <f>'[1]December - 2021'!BX39</f>
        <v>-6.0000000000000053E-2</v>
      </c>
      <c r="BY39" s="89">
        <f>'[1]December - 2021'!BZ39</f>
        <v>57502</v>
      </c>
      <c r="BZ39" s="191">
        <f>'[1]December - 2021'!CA39</f>
        <v>24</v>
      </c>
      <c r="CA39" s="89">
        <f>'[1]December - 2021'!CB39</f>
        <v>48964</v>
      </c>
      <c r="CB39" s="191">
        <f>'[1]December - 2021'!CC39</f>
        <v>20</v>
      </c>
      <c r="CC39" s="89">
        <f>'[1]December - 2021'!CD39</f>
        <v>16818</v>
      </c>
      <c r="CD39" s="191">
        <f>'[1]December - 2021'!CE39</f>
        <v>7</v>
      </c>
      <c r="CE39" s="89">
        <f>'[1]December - 2021'!CF39</f>
        <v>22289</v>
      </c>
      <c r="CF39" s="191">
        <f>'[1]December - 2021'!CG39</f>
        <v>13</v>
      </c>
      <c r="CG39" s="89">
        <f>'[1]December - 2021'!CH39</f>
        <v>24334</v>
      </c>
      <c r="CH39" s="191">
        <f>'[1]December - 2021'!CI39</f>
        <v>10</v>
      </c>
      <c r="CI39" s="89">
        <f>'[1]December - 2021'!CJ39</f>
        <v>53939</v>
      </c>
      <c r="CJ39" s="191">
        <f>'[1]December - 2021'!CK39</f>
        <v>27</v>
      </c>
      <c r="CK39" s="89">
        <f>'[1]December - 2021'!CL39</f>
        <v>236435</v>
      </c>
      <c r="CL39" s="246">
        <f>'[1]December - 2021'!CM39</f>
        <v>101</v>
      </c>
      <c r="CM39" s="89">
        <f>'[1]December - 2021'!CM39</f>
        <v>101</v>
      </c>
      <c r="CN39" s="89">
        <f>'[1]December - 2021'!CO39</f>
        <v>182497</v>
      </c>
      <c r="CO39" s="246">
        <f>'[1]December - 2021'!CP39</f>
        <v>125</v>
      </c>
      <c r="CP39" s="89">
        <f>'[1]December - 2021'!CP39</f>
        <v>125</v>
      </c>
      <c r="CQ39" s="89">
        <f>'[1]December - 2021'!CR39</f>
        <v>323836</v>
      </c>
      <c r="CR39" s="246">
        <f>'[1]December - 2021'!CS39</f>
        <v>344</v>
      </c>
      <c r="CS39" s="89">
        <f>'[1]December - 2021'!CS39</f>
        <v>344</v>
      </c>
      <c r="CT39" s="89">
        <f>'[1]December - 2021'!CU39</f>
        <v>625173</v>
      </c>
      <c r="CU39" s="191">
        <f>'[1]December - 2021'!CV39</f>
        <v>223</v>
      </c>
      <c r="CV39" s="451"/>
      <c r="CW39" s="256">
        <f>'[1]December - 2021'!CX39</f>
        <v>6510</v>
      </c>
      <c r="CX39" s="198">
        <f>'[1]December - 2021'!CY39</f>
        <v>4</v>
      </c>
      <c r="CY39" s="257">
        <f>'[1]December - 2021'!CZ39</f>
        <v>4054.7</v>
      </c>
      <c r="CZ39" s="198">
        <f>'[1]December - 2021'!DA39</f>
        <v>11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937728</v>
      </c>
      <c r="D40" s="170">
        <f>'[1]December - 2021'!F40</f>
        <v>761</v>
      </c>
      <c r="E40" s="168">
        <f>'[1]December - 2021'!G40</f>
        <v>555</v>
      </c>
      <c r="F40" s="168">
        <f>'[1]December - 2021'!H40</f>
        <v>100193.47</v>
      </c>
      <c r="G40" s="170">
        <f>'[1]December - 2021'!I40</f>
        <v>476.47000000000116</v>
      </c>
      <c r="H40" s="168">
        <f>'[1]December - 2021'!J40</f>
        <v>516</v>
      </c>
      <c r="I40" s="168">
        <f>'[1]December - 2021'!K40</f>
        <v>164625</v>
      </c>
      <c r="J40" s="170">
        <f>'[1]December - 2021'!L40</f>
        <v>0</v>
      </c>
      <c r="K40" s="168">
        <f>'[1]December - 2021'!N40</f>
        <v>822048.6</v>
      </c>
      <c r="L40" s="170">
        <f>'[1]December - 2021'!O40</f>
        <v>3.5999999999767169</v>
      </c>
      <c r="M40" s="168">
        <f>'[1]December - 2021'!Q40</f>
        <v>191270</v>
      </c>
      <c r="N40" s="170">
        <f>'[1]December - 2021'!R40</f>
        <v>85</v>
      </c>
      <c r="O40" s="168">
        <f>'[1]December - 2021'!S40</f>
        <v>54947.85</v>
      </c>
      <c r="P40" s="170">
        <f>'[1]December - 2021'!T40</f>
        <v>85.430000000000291</v>
      </c>
      <c r="Q40" s="168">
        <f>'[1]December - 2021'!U40</f>
        <v>16</v>
      </c>
      <c r="R40" s="168">
        <f>'[1]December - 2021'!V40</f>
        <v>4176</v>
      </c>
      <c r="S40" s="208">
        <f>'[1]December - 2021'!W40</f>
        <v>13</v>
      </c>
      <c r="T40" s="284"/>
      <c r="U40" s="291">
        <f>'[1]December - 2021'!AC40</f>
        <v>7231779.1200000001</v>
      </c>
      <c r="V40" s="292">
        <f>'[1]December - 2021'!AD40</f>
        <v>1926</v>
      </c>
      <c r="W40" s="293">
        <f>'[1]December - 2021'!AD40</f>
        <v>1926</v>
      </c>
      <c r="X40" s="294">
        <f>'[1]December - 2021'!AF40</f>
        <v>13854944.880000001</v>
      </c>
      <c r="Y40" s="292">
        <f>'[1]December - 2021'!AG40</f>
        <v>4725.8400000017136</v>
      </c>
      <c r="Z40" s="293">
        <f>'[1]December - 2021'!AG40</f>
        <v>4725.8400000017136</v>
      </c>
      <c r="AA40" s="294">
        <f>'[1]December - 2021'!AI40</f>
        <v>13761743.52</v>
      </c>
      <c r="AB40" s="292">
        <f>'[1]December - 2021'!AJ40</f>
        <v>1510.320000000298</v>
      </c>
      <c r="AC40" s="293">
        <f>'[1]December - 2021'!AJ40</f>
        <v>1510.320000000298</v>
      </c>
      <c r="AD40" s="294">
        <f>'[1]December - 2021'!AL40</f>
        <v>16751982.239999998</v>
      </c>
      <c r="AE40" s="292">
        <f>'[1]December - 2021'!AM40</f>
        <v>48.719999998807907</v>
      </c>
      <c r="AF40" s="293">
        <f>'[1]December - 2021'!AM40</f>
        <v>48.719999998807907</v>
      </c>
      <c r="AG40" s="294">
        <f>'[1]December - 2021'!AO40</f>
        <v>17184031.199999999</v>
      </c>
      <c r="AH40" s="292">
        <f>'[1]December - 2021'!AP40</f>
        <v>9305.519999999553</v>
      </c>
      <c r="AI40" s="293">
        <f>'[1]December - 2021'!AP40</f>
        <v>9305.519999999553</v>
      </c>
      <c r="AJ40" s="294">
        <f>'[1]December - 2021'!AR40</f>
        <v>15612567.6</v>
      </c>
      <c r="AK40" s="292">
        <f>'[1]December - 2021'!AS40</f>
        <v>5700.2400000002235</v>
      </c>
      <c r="AL40" s="293">
        <f>'[1]December - 2021'!AS40</f>
        <v>5700.2400000002235</v>
      </c>
      <c r="AM40" s="294">
        <f>'[1]December - 2021'!AU40</f>
        <v>13275176.880000001</v>
      </c>
      <c r="AN40" s="292">
        <f>'[1]December - 2021'!AV40</f>
        <v>4920.7200000006706</v>
      </c>
      <c r="AO40" s="293">
        <f>'[1]December - 2021'!AV40</f>
        <v>4920.7200000006706</v>
      </c>
      <c r="AP40" s="294">
        <f>'[1]December - 2021'!AX40</f>
        <v>12759329.52</v>
      </c>
      <c r="AQ40" s="292">
        <f>'[1]December - 2021'!AY40</f>
        <v>4287.359999999404</v>
      </c>
      <c r="AR40" s="293">
        <f>'[1]December - 2021'!AY40</f>
        <v>4287.359999999404</v>
      </c>
      <c r="AS40" s="294">
        <f>'[1]December - 2021'!BA40</f>
        <v>10165642.4</v>
      </c>
      <c r="AT40" s="292">
        <f>'[1]December - 2021'!BB40</f>
        <v>2894</v>
      </c>
      <c r="AU40" s="293">
        <f>'[1]December - 2021'!BB40</f>
        <v>2894</v>
      </c>
      <c r="AV40" s="294">
        <f>'[1]December - 2021'!BD40</f>
        <v>15785621.039999999</v>
      </c>
      <c r="AW40" s="252">
        <f>'[1]December - 2021'!BE40</f>
        <v>5846.3999999985099</v>
      </c>
      <c r="AX40" s="253">
        <f>'[1]December - 2021'!BE40</f>
        <v>5846.3999999985099</v>
      </c>
      <c r="AY40" s="285"/>
      <c r="AZ40" s="272">
        <f>'[1]December - 2021'!BK40</f>
        <v>68270800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70700300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65479500</v>
      </c>
      <c r="BG40" s="245">
        <f>'[1]December - 2021'!BR40</f>
        <v>48100</v>
      </c>
      <c r="BH40" s="93">
        <f>'[1]December - 2021'!BR40</f>
        <v>48100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7819480</v>
      </c>
      <c r="BT40" s="185">
        <f>'[1]December - 2021'!BU40</f>
        <v>6380</v>
      </c>
      <c r="BU40" s="286"/>
      <c r="BV40" s="88">
        <f>'[1]December - 2021'!BW40</f>
        <v>0.6</v>
      </c>
      <c r="BW40" s="241">
        <f>'[1]December - 2021'!BX40</f>
        <v>8.0000000000000071E-2</v>
      </c>
      <c r="BX40" s="88">
        <f>'[1]December - 2021'!BX40</f>
        <v>8.0000000000000071E-2</v>
      </c>
      <c r="BY40" s="89">
        <f>'[1]December - 2021'!BZ40</f>
        <v>57522</v>
      </c>
      <c r="BZ40" s="191">
        <f>'[1]December - 2021'!CA40</f>
        <v>20</v>
      </c>
      <c r="CA40" s="89">
        <f>'[1]December - 2021'!CB40</f>
        <v>48984</v>
      </c>
      <c r="CB40" s="191">
        <f>'[1]December - 2021'!CC40</f>
        <v>20</v>
      </c>
      <c r="CC40" s="89">
        <f>'[1]December - 2021'!CD40</f>
        <v>16823</v>
      </c>
      <c r="CD40" s="191">
        <f>'[1]December - 2021'!CE40</f>
        <v>5</v>
      </c>
      <c r="CE40" s="89">
        <f>'[1]December - 2021'!CF40</f>
        <v>22306</v>
      </c>
      <c r="CF40" s="191">
        <f>'[1]December - 2021'!CG40</f>
        <v>17</v>
      </c>
      <c r="CG40" s="89">
        <f>'[1]December - 2021'!CH40</f>
        <v>24342</v>
      </c>
      <c r="CH40" s="191">
        <f>'[1]December - 2021'!CI40</f>
        <v>8</v>
      </c>
      <c r="CI40" s="89">
        <f>'[1]December - 2021'!CJ40</f>
        <v>53965</v>
      </c>
      <c r="CJ40" s="191">
        <f>'[1]December - 2021'!CK40</f>
        <v>26</v>
      </c>
      <c r="CK40" s="89">
        <f>'[1]December - 2021'!CL40</f>
        <v>236532.3</v>
      </c>
      <c r="CL40" s="246">
        <f>'[1]December - 2021'!CM40</f>
        <v>97.299999999988358</v>
      </c>
      <c r="CM40" s="89">
        <f>'[1]December - 2021'!CM40</f>
        <v>97.299999999988358</v>
      </c>
      <c r="CN40" s="89">
        <f>'[1]December - 2021'!CO40</f>
        <v>182625.88</v>
      </c>
      <c r="CO40" s="246">
        <f>'[1]December - 2021'!CP40</f>
        <v>128.88000000000466</v>
      </c>
      <c r="CP40" s="89">
        <f>'[1]December - 2021'!CP40</f>
        <v>128.88000000000466</v>
      </c>
      <c r="CQ40" s="89">
        <f>'[1]December - 2021'!CR40</f>
        <v>324174.24</v>
      </c>
      <c r="CR40" s="246">
        <f>'[1]December - 2021'!CS40</f>
        <v>338.23999999999069</v>
      </c>
      <c r="CS40" s="89">
        <f>'[1]December - 2021'!CS40</f>
        <v>338.23999999999069</v>
      </c>
      <c r="CT40" s="89">
        <f>'[1]December - 2021'!CU40</f>
        <v>625387</v>
      </c>
      <c r="CU40" s="191">
        <f>'[1]December - 2021'!CV40</f>
        <v>214</v>
      </c>
      <c r="CV40" s="451"/>
      <c r="CW40" s="256">
        <f>'[1]December - 2021'!CX40</f>
        <v>6514</v>
      </c>
      <c r="CX40" s="198">
        <f>'[1]December - 2021'!CY40</f>
        <v>4</v>
      </c>
      <c r="CY40" s="257">
        <f>'[1]December - 2021'!CZ40</f>
        <v>4065.47</v>
      </c>
      <c r="CZ40" s="198">
        <f>'[1]December - 2021'!DA40</f>
        <v>10.769999999999982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32496.240000000224</v>
      </c>
      <c r="V44" s="361"/>
      <c r="W44" s="362"/>
      <c r="X44" s="360">
        <f>SUM(Z9:Z24)</f>
        <v>70741.439999999478</v>
      </c>
      <c r="Y44" s="361"/>
      <c r="Z44" s="362"/>
      <c r="AA44" s="360">
        <f>SUM(AC9:AC24)</f>
        <v>32447.519999999553</v>
      </c>
      <c r="AB44" s="361"/>
      <c r="AC44" s="362"/>
      <c r="AD44" s="360">
        <f>SUM(AF9:AF24)</f>
        <v>76392.960000002757</v>
      </c>
      <c r="AE44" s="361"/>
      <c r="AF44" s="362"/>
      <c r="AG44" s="360">
        <f>SUM(AI9:AI24)</f>
        <v>47063.519999995828</v>
      </c>
      <c r="AH44" s="361"/>
      <c r="AI44" s="362"/>
      <c r="AJ44" s="360">
        <f>SUM(AL9:AL24)</f>
        <v>87647.279999997467</v>
      </c>
      <c r="AK44" s="361"/>
      <c r="AL44" s="362"/>
      <c r="AM44" s="360">
        <f>SUM(AO9:AO24)</f>
        <v>68305.440000001341</v>
      </c>
      <c r="AN44" s="361"/>
      <c r="AO44" s="362"/>
      <c r="AP44" s="360">
        <f>SUM(AR9:AR24)</f>
        <v>63823.199999999255</v>
      </c>
      <c r="AQ44" s="361"/>
      <c r="AR44" s="362"/>
      <c r="AS44" s="360">
        <f>SUM(AU9:AU24)</f>
        <v>49207.200000001118</v>
      </c>
      <c r="AT44" s="361"/>
      <c r="AU44" s="362"/>
      <c r="AV44" s="360">
        <f>SUM(AX9:AX24)</f>
        <v>83359.919999999925</v>
      </c>
      <c r="AW44" s="361"/>
      <c r="AX44" s="361"/>
      <c r="AY44" s="582"/>
      <c r="AZ44" s="361">
        <f>SUM(BB9:BB24)</f>
        <v>170000</v>
      </c>
      <c r="BA44" s="361"/>
      <c r="BB44" s="361"/>
      <c r="BC44" s="360">
        <f>SUM(BE9:BE24)</f>
        <v>368800</v>
      </c>
      <c r="BD44" s="361"/>
      <c r="BE44" s="361"/>
      <c r="BF44" s="355">
        <f>SUM(BH9:BH24)</f>
        <v>181600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1575</v>
      </c>
      <c r="CL44" s="355"/>
      <c r="CM44" s="355"/>
      <c r="CN44" s="355">
        <f>SUM(CP9:CP24)</f>
        <v>1731</v>
      </c>
      <c r="CO44" s="355"/>
      <c r="CP44" s="355"/>
      <c r="CQ44" s="355">
        <f>SUM(CS9:CS24)</f>
        <v>3375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10438</v>
      </c>
      <c r="D45" s="357"/>
      <c r="E45" s="358"/>
      <c r="F45" s="357">
        <f>SUM(G9:G24)</f>
        <v>6583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1333.0399999999936</v>
      </c>
      <c r="P45" s="357"/>
      <c r="Q45" s="358"/>
      <c r="R45" s="363"/>
      <c r="S45" s="364"/>
      <c r="T45" s="524"/>
      <c r="U45" s="348">
        <f>SUM(V9:V24)</f>
        <v>32496.240000000224</v>
      </c>
      <c r="V45" s="348"/>
      <c r="W45" s="349"/>
      <c r="X45" s="348">
        <f>SUM(Y9:Y24)</f>
        <v>70741.439999999478</v>
      </c>
      <c r="Y45" s="348"/>
      <c r="Z45" s="349"/>
      <c r="AA45" s="348">
        <f>SUM(AB9:AB24)</f>
        <v>32447.519999999553</v>
      </c>
      <c r="AB45" s="348"/>
      <c r="AC45" s="349"/>
      <c r="AD45" s="348">
        <f>SUM(AE9:AE24)</f>
        <v>76392.960000002757</v>
      </c>
      <c r="AE45" s="348"/>
      <c r="AF45" s="349"/>
      <c r="AG45" s="348">
        <f>SUM(AH9:AH24)</f>
        <v>47063.519999995828</v>
      </c>
      <c r="AH45" s="348"/>
      <c r="AI45" s="349"/>
      <c r="AJ45" s="348">
        <f>SUM(AK9:AK24)</f>
        <v>87647.279999997467</v>
      </c>
      <c r="AK45" s="348"/>
      <c r="AL45" s="349"/>
      <c r="AM45" s="348">
        <f>SUM(AN9:AN24)</f>
        <v>68305.440000001341</v>
      </c>
      <c r="AN45" s="348"/>
      <c r="AO45" s="349"/>
      <c r="AP45" s="348">
        <f>SUM(AQ9:AQ24)</f>
        <v>63823.199999999255</v>
      </c>
      <c r="AQ45" s="348"/>
      <c r="AR45" s="349"/>
      <c r="AS45" s="348">
        <f>SUM(AT9:AT24)</f>
        <v>49207.200000001118</v>
      </c>
      <c r="AT45" s="348"/>
      <c r="AU45" s="349"/>
      <c r="AV45" s="348">
        <f>SUM(AW9:AW24)</f>
        <v>83359.919999999925</v>
      </c>
      <c r="AW45" s="348"/>
      <c r="AX45" s="348"/>
      <c r="AY45" s="582"/>
      <c r="AZ45" s="349">
        <f>SUM(BA9:BA24)</f>
        <v>170000</v>
      </c>
      <c r="BA45" s="355"/>
      <c r="BB45" s="355"/>
      <c r="BC45" s="355">
        <f>SUM(BD9:BD24)</f>
        <v>368800</v>
      </c>
      <c r="BD45" s="355"/>
      <c r="BE45" s="355"/>
      <c r="BF45" s="355">
        <f>SUM(BG9:BG24)</f>
        <v>181600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1575</v>
      </c>
      <c r="CL45" s="355"/>
      <c r="CM45" s="355"/>
      <c r="CN45" s="355">
        <f>SUM(CO9:CO24)</f>
        <v>1731</v>
      </c>
      <c r="CO45" s="355"/>
      <c r="CP45" s="355"/>
      <c r="CQ45" s="355">
        <f>SUM(CR9:CR24)</f>
        <v>3375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71667.120000000112</v>
      </c>
      <c r="V47" s="348"/>
      <c r="W47" s="349"/>
      <c r="X47" s="347">
        <f>SUM(Z9:Z39)</f>
        <v>142164.95999999903</v>
      </c>
      <c r="Y47" s="348"/>
      <c r="Z47" s="349"/>
      <c r="AA47" s="347">
        <f>SUM(AC9:AC39)</f>
        <v>89790.959999999031</v>
      </c>
      <c r="AB47" s="348"/>
      <c r="AC47" s="349"/>
      <c r="AD47" s="347">
        <f>SUM(AF9:AF39)</f>
        <v>77416.080000001937</v>
      </c>
      <c r="AE47" s="348"/>
      <c r="AF47" s="349"/>
      <c r="AG47" s="347">
        <f>SUM(AI9:AI39)</f>
        <v>145185.59999999776</v>
      </c>
      <c r="AH47" s="348"/>
      <c r="AI47" s="349"/>
      <c r="AJ47" s="347">
        <f>SUM(AL9:AL39)</f>
        <v>175440.71999999881</v>
      </c>
      <c r="AK47" s="348"/>
      <c r="AL47" s="349"/>
      <c r="AM47" s="347">
        <f>SUM(AO9:AO39)</f>
        <v>136269.84000000171</v>
      </c>
      <c r="AN47" s="348"/>
      <c r="AO47" s="349"/>
      <c r="AP47" s="347">
        <f>SUM(AR9:AR39)</f>
        <v>128425.91999999993</v>
      </c>
      <c r="AQ47" s="348"/>
      <c r="AR47" s="349"/>
      <c r="AS47" s="347">
        <f>SUM(AU9:AU39)</f>
        <v>102360.72000000067</v>
      </c>
      <c r="AT47" s="348"/>
      <c r="AU47" s="349"/>
      <c r="AV47" s="347">
        <f>SUM(AX9:AX39)</f>
        <v>167937.84000000171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3097</v>
      </c>
      <c r="CL47" s="348"/>
      <c r="CM47" s="349"/>
      <c r="CN47" s="347">
        <f>SUM(CP9:CP39)</f>
        <v>3513</v>
      </c>
      <c r="CO47" s="348"/>
      <c r="CP47" s="349"/>
      <c r="CQ47" s="347">
        <f>SUM(CS9:CS39)</f>
        <v>7984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21267</v>
      </c>
      <c r="D48" s="574"/>
      <c r="E48" s="575"/>
      <c r="F48" s="573">
        <f>SUM(G9:G39)</f>
        <v>13803</v>
      </c>
      <c r="G48" s="574"/>
      <c r="H48" s="575"/>
      <c r="I48" s="573">
        <f>SUM(J10:J39)</f>
        <v>0</v>
      </c>
      <c r="J48" s="575"/>
      <c r="K48" s="573">
        <f>SUM(L9:L39)</f>
        <v>5495</v>
      </c>
      <c r="L48" s="575"/>
      <c r="M48" s="573"/>
      <c r="N48" s="575"/>
      <c r="O48" s="573">
        <f>SUM(P9:P39)</f>
        <v>2668.2599999999948</v>
      </c>
      <c r="P48" s="574"/>
      <c r="Q48" s="575"/>
      <c r="R48" s="573">
        <f>SUM(S9:S39)</f>
        <v>379</v>
      </c>
      <c r="S48" s="574"/>
      <c r="T48" s="583"/>
      <c r="U48" s="584">
        <f>SUM(V9:V39)</f>
        <v>71667.120000000112</v>
      </c>
      <c r="V48" s="585"/>
      <c r="W48" s="586"/>
      <c r="X48" s="584">
        <f>SUM(Y9:Y39)</f>
        <v>142164.95999999903</v>
      </c>
      <c r="Y48" s="585"/>
      <c r="Z48" s="586"/>
      <c r="AA48" s="337">
        <f>SUM(AB9:AB39)</f>
        <v>89790.959999999031</v>
      </c>
      <c r="AB48" s="338"/>
      <c r="AC48" s="339"/>
      <c r="AD48" s="337">
        <f>SUM(AE9:AE39)</f>
        <v>77416.080000001937</v>
      </c>
      <c r="AE48" s="338"/>
      <c r="AF48" s="339"/>
      <c r="AG48" s="337">
        <f>SUM(AH9:AH39)</f>
        <v>145185.59999999776</v>
      </c>
      <c r="AH48" s="338"/>
      <c r="AI48" s="339"/>
      <c r="AJ48" s="337">
        <f>SUM(AK9:AK39)</f>
        <v>175440.71999999881</v>
      </c>
      <c r="AK48" s="338"/>
      <c r="AL48" s="339"/>
      <c r="AM48" s="337">
        <f>SUM(AN9:AN39)</f>
        <v>136269.84000000171</v>
      </c>
      <c r="AN48" s="338"/>
      <c r="AO48" s="339"/>
      <c r="AP48" s="337">
        <f>SUM(AQ9:AQ39)</f>
        <v>128425.91999999993</v>
      </c>
      <c r="AQ48" s="338"/>
      <c r="AR48" s="339"/>
      <c r="AS48" s="337">
        <f>SUM(AT9:AT39)</f>
        <v>102360.72000000067</v>
      </c>
      <c r="AT48" s="338"/>
      <c r="AU48" s="339"/>
      <c r="AV48" s="337">
        <f>SUM(AW9:AW39)</f>
        <v>167937.84000000171</v>
      </c>
      <c r="AW48" s="338"/>
      <c r="AX48" s="338"/>
      <c r="AY48" s="582"/>
      <c r="AZ48" s="333">
        <f>SUM(BA9:BA40)</f>
        <v>438400</v>
      </c>
      <c r="BA48" s="333"/>
      <c r="BB48" s="334"/>
      <c r="BC48" s="333">
        <f t="shared" ref="BC48" si="0">SUM(BD9:BD40)</f>
        <v>368800</v>
      </c>
      <c r="BD48" s="333"/>
      <c r="BE48" s="334"/>
      <c r="BF48" s="333">
        <f t="shared" ref="BF48" si="1">SUM(BG9:BG40)</f>
        <v>691100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176000</v>
      </c>
      <c r="BT48" s="340"/>
      <c r="BU48" s="563"/>
      <c r="BV48" s="350"/>
      <c r="BW48" s="351"/>
      <c r="BX48" s="117"/>
      <c r="BY48" s="345">
        <f>SUM(BZ9:BZ39)</f>
        <v>614</v>
      </c>
      <c r="BZ48" s="346"/>
      <c r="CA48" s="345">
        <f>SUM(CB9:CB39)</f>
        <v>572</v>
      </c>
      <c r="CB48" s="346"/>
      <c r="CC48" s="345">
        <f>SUM(CD9:CD39)</f>
        <v>156</v>
      </c>
      <c r="CD48" s="346"/>
      <c r="CE48" s="345">
        <f>SUM(CF9:CF39)</f>
        <v>340</v>
      </c>
      <c r="CF48" s="346"/>
      <c r="CG48" s="345">
        <f>SUM(CH9:CH39)</f>
        <v>390</v>
      </c>
      <c r="CH48" s="346"/>
      <c r="CI48" s="345">
        <f>SUM(CJ9:CJ39)</f>
        <v>783</v>
      </c>
      <c r="CJ48" s="346"/>
      <c r="CK48" s="345">
        <f>SUM(CL9:CL39)</f>
        <v>3097</v>
      </c>
      <c r="CL48" s="352"/>
      <c r="CM48" s="346"/>
      <c r="CN48" s="345">
        <f>SUM(CO9:CO39)</f>
        <v>3513</v>
      </c>
      <c r="CO48" s="352"/>
      <c r="CP48" s="346"/>
      <c r="CQ48" s="345">
        <f>SUM(CR9:CR39)</f>
        <v>7984</v>
      </c>
      <c r="CR48" s="352"/>
      <c r="CS48" s="346"/>
      <c r="CT48" s="345">
        <f>SUM(CU9:CU39)</f>
        <v>7107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-5665</v>
      </c>
      <c r="D49" s="301"/>
      <c r="E49" s="302"/>
      <c r="F49" s="300">
        <f>F47-F48</f>
        <v>-970</v>
      </c>
      <c r="G49" s="301"/>
      <c r="H49" s="302"/>
      <c r="I49" s="300">
        <f>I47-I48</f>
        <v>7048.9</v>
      </c>
      <c r="J49" s="302"/>
      <c r="K49" s="300">
        <f>K47-K48</f>
        <v>2207.2000000000116</v>
      </c>
      <c r="L49" s="302"/>
      <c r="M49" s="300"/>
      <c r="N49" s="302"/>
      <c r="O49" s="587">
        <f>O47-O48</f>
        <v>-1345.2599999999948</v>
      </c>
      <c r="P49" s="587"/>
      <c r="Q49" s="587"/>
      <c r="R49" s="300">
        <f>R47-R48</f>
        <v>97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91100</v>
      </c>
      <c r="BA49" s="333"/>
      <c r="BB49" s="334"/>
      <c r="BC49" s="333">
        <f t="shared" ref="BC49" si="2">BC48-BC47</f>
        <v>7700</v>
      </c>
      <c r="BD49" s="333"/>
      <c r="BE49" s="334"/>
      <c r="BF49" s="333">
        <f t="shared" ref="BF49" si="3">BF48-BF47</f>
        <v>132258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-3213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1236659.7600000007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1236659.7600000007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611484.71999999695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611484.71999999695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1498300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2022-01-06T05:04:57Z</dcterms:modified>
</cp:coreProperties>
</file>