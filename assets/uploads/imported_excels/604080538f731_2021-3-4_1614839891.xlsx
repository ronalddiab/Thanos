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<sst xmlns="http://schemas.openxmlformats.org/spreadsheetml/2006/main" count="313" uniqueCount="148">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</sst>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 t="str">
        <f>'FS Desroches Daily'!P6</f>
        <v/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0</v>
      </c>
      <c r="O4" s="31" t="str">
        <f>'FS Desroches Daily'!X7</f>
        <v/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>
        <f>'FS Desroches Daily'!P7</f>
        <v>0</v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2299.9999999999686</v>
      </c>
      <c r="F33" s="17">
        <f t="shared" ref="F33:BC33" si="1">SUM(F2:F32)</f>
        <v>3499.9999999998372</v>
      </c>
      <c r="G33" s="17">
        <f t="shared" si="1"/>
        <v>5700.0000000000382</v>
      </c>
      <c r="H33" s="17">
        <f t="shared" si="1"/>
        <v>3000.0000000001137</v>
      </c>
      <c r="I33" s="17">
        <f t="shared" si="1"/>
        <v>5900.0000000000164</v>
      </c>
      <c r="J33" s="17">
        <f t="shared" si="1"/>
        <v>1799.9999999998017</v>
      </c>
      <c r="K33" s="17">
        <f t="shared" si="1"/>
        <v>0</v>
      </c>
      <c r="L33" s="17">
        <f t="shared" si="1"/>
        <v>15</v>
      </c>
      <c r="M33" s="17">
        <f t="shared" si="1"/>
        <v>895</v>
      </c>
      <c r="N33" s="17">
        <f t="shared" si="1"/>
        <v>409.59999999997672</v>
      </c>
      <c r="O33" s="17">
        <f t="shared" si="1"/>
        <v>210.00000000003638</v>
      </c>
      <c r="P33" s="17">
        <f t="shared" si="1"/>
        <v>2999.9999999996699</v>
      </c>
      <c r="Q33" s="17">
        <f t="shared" si="1"/>
        <v>449.99999999998863</v>
      </c>
      <c r="R33" s="17">
        <f t="shared" si="1"/>
        <v>460.00000000003638</v>
      </c>
      <c r="S33" s="17">
        <f t="shared" si="1"/>
        <v>590.00000000003183</v>
      </c>
      <c r="T33" s="17">
        <f t="shared" si="1"/>
        <v>98</v>
      </c>
      <c r="U33" s="35">
        <f t="shared" si="1"/>
        <v>799.99999999995453</v>
      </c>
      <c r="V33" s="35">
        <f t="shared" si="1"/>
        <v>270.00000000001023</v>
      </c>
      <c r="W33" s="35">
        <f t="shared" si="1"/>
        <v>69.999999999993179</v>
      </c>
      <c r="X33" s="35">
        <f t="shared" si="1"/>
        <v>60.000000000002274</v>
      </c>
      <c r="Y33" s="35">
        <f t="shared" si="1"/>
        <v>90.000000000003411</v>
      </c>
      <c r="Z33" s="35">
        <f t="shared" si="1"/>
        <v>69.999999999993179</v>
      </c>
      <c r="AA33" s="35">
        <f t="shared" si="1"/>
        <v>69.999999999993179</v>
      </c>
      <c r="AB33" s="35">
        <f t="shared" si="1"/>
        <v>69.999999999993179</v>
      </c>
      <c r="AC33" s="35">
        <f t="shared" si="1"/>
        <v>49.999999999954525</v>
      </c>
      <c r="AD33" s="35">
        <f t="shared" si="1"/>
        <v>50.000000000011369</v>
      </c>
      <c r="AE33" s="35">
        <f t="shared" si="1"/>
        <v>30.000000000001137</v>
      </c>
      <c r="AF33" s="17">
        <f t="shared" si="1"/>
        <v>100</v>
      </c>
      <c r="AG33" s="32">
        <f t="shared" si="1"/>
        <v>90.000000000003411</v>
      </c>
      <c r="AH33" s="32">
        <f t="shared" si="1"/>
        <v>100.00000000002274</v>
      </c>
      <c r="AI33" s="32">
        <f t="shared" si="1"/>
        <v>30.000000000001137</v>
      </c>
      <c r="AJ33" s="32">
        <f t="shared" si="1"/>
        <v>120.00000000000455</v>
      </c>
      <c r="AK33" s="32">
        <f t="shared" si="1"/>
        <v>100.00000000002274</v>
      </c>
      <c r="AL33" s="32">
        <f t="shared" si="1"/>
        <v>92</v>
      </c>
      <c r="AM33" s="32">
        <f t="shared" si="1"/>
        <v>90.000000000003411</v>
      </c>
      <c r="AN33" s="32">
        <f t="shared" si="1"/>
        <v>82</v>
      </c>
      <c r="AO33" s="32">
        <f t="shared" si="1"/>
        <v>60.000000000002274</v>
      </c>
      <c r="AP33" s="32">
        <f t="shared" si="1"/>
        <v>107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103.09999999999854</v>
      </c>
      <c r="AU33" s="17">
        <f t="shared" si="1"/>
        <v>549</v>
      </c>
      <c r="AV33" s="17">
        <f t="shared" si="1"/>
        <v>1309.9999999999454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0.3092229093842489</v>
      </c>
      <c r="G35" s="29">
        <f>G33-M36</f>
        <v>4395.4000000000615</v>
      </c>
      <c r="AE35" s="35">
        <f>SUM(U33:AE33)</f>
        <v>1629.9999999999102</v>
      </c>
      <c r="AG35" s="32">
        <f>SUM(AG33:AP33)</f>
        <v>871.00000000006025</v>
      </c>
    </row>
    <row r="36" spans="5:55" x14ac:dyDescent="0.25">
      <c r="G36" s="29">
        <f>G35-633*14</f>
        <v>-4466.5999999999385</v>
      </c>
      <c r="M36" s="29">
        <f>M33+N33</f>
        <v>1304.5999999999767</v>
      </c>
    </row>
    <row r="37" spans="5:55" x14ac:dyDescent="0.25">
      <c r="E37" s="17">
        <f>E33+F33+G33+H33+J33-633*14</f>
        <v>7437.9999999997581</v>
      </c>
      <c r="G37" s="37">
        <f>M36/E37</f>
        <v>0.17539661199247367</v>
      </c>
      <c r="M37" s="35">
        <f>AE35</f>
        <v>1629.9999999999102</v>
      </c>
    </row>
    <row r="38" spans="5:55" x14ac:dyDescent="0.25">
      <c r="L38" s="27">
        <f>M38/E37</f>
        <v>0.11710137133639266</v>
      </c>
      <c r="M38" s="29">
        <f>AG35</f>
        <v>871.00000000006025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55" zoomScaleNormal="55" workbookViewId="0">
      <pane ySplit="1" topLeftCell="A2" activePane="bottomLeft" state="frozen"/>
      <selection pane="bottomLeft" activeCell="DA6" sqref="DA6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/>
      <c r="P6" s="67" t="str">
        <f t="shared" si="5"/>
        <v/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/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12032</v>
      </c>
      <c r="CW6" s="67" t="str">
        <f t="shared" si="38"/>
        <v/>
      </c>
    </row>
    <row r="7" spans="1:102" ht="25.5" customHeight="1" thickBot="1" x14ac:dyDescent="0.45">
      <c r="A7" s="63">
        <v>44259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39"/>
        <v>0</v>
      </c>
      <c r="M7" s="58"/>
      <c r="N7" s="64" t="str">
        <f t="shared" si="4"/>
        <v/>
      </c>
      <c r="O7" s="58"/>
      <c r="P7" s="67">
        <f t="shared" si="5"/>
        <v>0</v>
      </c>
      <c r="Q7" s="58"/>
      <c r="R7" s="67" t="str">
        <f t="shared" si="6"/>
        <v/>
      </c>
      <c r="S7" s="58"/>
      <c r="T7" s="67" t="str">
        <f t="shared" si="7"/>
        <v/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5"/>
        <v/>
      </c>
      <c r="AM7" s="58"/>
      <c r="AN7" s="65" t="str">
        <f t="shared" si="15"/>
        <v/>
      </c>
      <c r="AO7" s="58"/>
      <c r="AP7" s="65" t="str">
        <f t="shared" si="15"/>
        <v/>
      </c>
      <c r="AQ7" s="58"/>
      <c r="AR7" s="65" t="str">
        <f t="shared" si="16"/>
        <v/>
      </c>
      <c r="AS7" s="58"/>
      <c r="AT7" s="65" t="str">
        <f t="shared" si="17"/>
        <v/>
      </c>
      <c r="AU7" s="58"/>
      <c r="AV7" s="65" t="str">
        <f t="shared" si="18"/>
        <v/>
      </c>
      <c r="AW7" s="58"/>
      <c r="AX7" s="65" t="str">
        <f t="shared" si="19"/>
        <v/>
      </c>
      <c r="AY7" s="58"/>
      <c r="AZ7" s="65" t="str">
        <f t="shared" si="20"/>
        <v/>
      </c>
      <c r="BA7" s="58"/>
      <c r="BB7" s="65" t="str">
        <f t="shared" si="21"/>
        <v/>
      </c>
      <c r="BC7" s="58"/>
      <c r="BD7" s="65" t="str">
        <f t="shared" si="22"/>
        <v/>
      </c>
      <c r="BE7" s="59"/>
      <c r="BF7" s="67" t="str">
        <f t="shared" si="40"/>
        <v/>
      </c>
      <c r="BG7" s="60"/>
      <c r="BH7" s="65" t="str">
        <f t="shared" si="23"/>
        <v/>
      </c>
      <c r="BI7" s="60"/>
      <c r="BJ7" s="65" t="str">
        <f t="shared" si="41"/>
        <v/>
      </c>
      <c r="BK7" s="60"/>
      <c r="BL7" s="65" t="str">
        <f t="shared" si="24"/>
        <v/>
      </c>
      <c r="BM7" s="60"/>
      <c r="BN7" s="65" t="str">
        <f t="shared" si="25"/>
        <v/>
      </c>
      <c r="BO7" s="60"/>
      <c r="BP7" s="65" t="str">
        <f t="shared" si="26"/>
        <v/>
      </c>
      <c r="BQ7" s="60"/>
      <c r="BR7" s="65" t="str">
        <f t="shared" si="27"/>
        <v/>
      </c>
      <c r="BS7" s="60"/>
      <c r="BT7" s="65" t="str">
        <f t="shared" si="42"/>
        <v/>
      </c>
      <c r="BU7" s="60"/>
      <c r="BV7" s="65" t="str">
        <f t="shared" si="28"/>
        <v/>
      </c>
      <c r="BW7" s="60"/>
      <c r="BX7" s="65" t="str">
        <f t="shared" si="29"/>
        <v/>
      </c>
      <c r="BY7" s="60"/>
      <c r="BZ7" s="67" t="str">
        <f t="shared" si="30"/>
        <v/>
      </c>
      <c r="CA7" s="60"/>
      <c r="CB7" s="67" t="str">
        <f t="shared" si="31"/>
        <v/>
      </c>
      <c r="CC7" s="60"/>
      <c r="CD7" s="67" t="str">
        <f t="shared" si="32"/>
        <v/>
      </c>
      <c r="CE7" s="60"/>
      <c r="CF7" s="67" t="str">
        <f t="shared" si="33"/>
        <v/>
      </c>
      <c r="CG7" s="60"/>
      <c r="CH7" s="67" t="str">
        <f t="shared" si="34"/>
        <v/>
      </c>
      <c r="CI7" s="60"/>
      <c r="CJ7" s="67" t="str">
        <f t="shared" si="35"/>
        <v/>
      </c>
      <c r="CK7" s="60"/>
      <c r="CL7" s="64" t="str">
        <f t="shared" si="36"/>
        <v/>
      </c>
      <c r="CM7" s="65" t="e">
        <f t="shared" si="37"/>
        <v>#VALUE!</v>
      </c>
      <c r="CN7" s="62">
        <v>0</v>
      </c>
      <c r="CO7" s="62">
        <v>0</v>
      </c>
      <c r="CP7" s="68"/>
      <c r="CQ7" s="67" t="str">
        <f t="shared" si="38"/>
        <v/>
      </c>
      <c r="CR7" s="68"/>
      <c r="CS7" s="67" t="str">
        <f t="shared" si="38"/>
        <v/>
      </c>
      <c r="CT7" s="75"/>
      <c r="CU7" s="67" t="str">
        <f t="shared" si="38"/>
        <v/>
      </c>
      <c r="CV7" s="68"/>
      <c r="CW7" s="67" t="str">
        <f t="shared" si="38"/>
        <v/>
      </c>
    </row>
    <row r="8" spans="1:102" ht="25.5" customHeight="1" thickBot="1" x14ac:dyDescent="0.45">
      <c r="A8" s="63">
        <v>44260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39"/>
        <v>0</v>
      </c>
      <c r="M8" s="58"/>
      <c r="N8" s="64">
        <f t="shared" si="4"/>
        <v>0</v>
      </c>
      <c r="O8" s="58"/>
      <c r="P8" s="67">
        <f t="shared" si="5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40"/>
        <v>0</v>
      </c>
      <c r="BG8" s="60"/>
      <c r="BH8" s="65">
        <f t="shared" si="23"/>
        <v>0</v>
      </c>
      <c r="BI8" s="60"/>
      <c r="BJ8" s="65">
        <f t="shared" si="41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8"/>
        <v>0</v>
      </c>
      <c r="BW8" s="60"/>
      <c r="BX8" s="65">
        <f t="shared" si="29"/>
        <v>0</v>
      </c>
      <c r="BY8" s="60"/>
      <c r="BZ8" s="67">
        <f t="shared" si="30"/>
        <v>0</v>
      </c>
      <c r="CA8" s="60"/>
      <c r="CB8" s="67">
        <f t="shared" si="31"/>
        <v>0</v>
      </c>
      <c r="CC8" s="60"/>
      <c r="CD8" s="67">
        <f>IF((CC8-CC7&lt;0), "",CC8-CC7)</f>
        <v>0</v>
      </c>
      <c r="CE8" s="60"/>
      <c r="CF8" s="67">
        <f t="shared" si="33"/>
        <v>0</v>
      </c>
      <c r="CG8" s="60"/>
      <c r="CH8" s="67">
        <f t="shared" si="34"/>
        <v>0</v>
      </c>
      <c r="CI8" s="60"/>
      <c r="CJ8" s="67">
        <f t="shared" si="35"/>
        <v>0</v>
      </c>
      <c r="CK8" s="60"/>
      <c r="CL8" s="64">
        <f t="shared" si="36"/>
        <v>0</v>
      </c>
      <c r="CM8" s="65">
        <f t="shared" si="37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44261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9"/>
        <v>0</v>
      </c>
      <c r="M9" s="58"/>
      <c r="N9" s="64">
        <f t="shared" si="4"/>
        <v>0</v>
      </c>
      <c r="O9" s="58"/>
      <c r="P9" s="67">
        <f t="shared" si="5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40"/>
        <v>0</v>
      </c>
      <c r="BG9" s="60"/>
      <c r="BH9" s="65">
        <f t="shared" si="23"/>
        <v>0</v>
      </c>
      <c r="BI9" s="60"/>
      <c r="BJ9" s="65">
        <f t="shared" si="41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8"/>
        <v>0</v>
      </c>
      <c r="BW9" s="60"/>
      <c r="BX9" s="65">
        <f t="shared" si="29"/>
        <v>0</v>
      </c>
      <c r="BY9" s="60"/>
      <c r="BZ9" s="67">
        <f t="shared" si="30"/>
        <v>0</v>
      </c>
      <c r="CA9" s="60"/>
      <c r="CB9" s="67">
        <f t="shared" si="31"/>
        <v>0</v>
      </c>
      <c r="CC9" s="60"/>
      <c r="CD9" s="67">
        <f>IF((CC9-CC8&lt;0), "",CC9-CC8)</f>
        <v>0</v>
      </c>
      <c r="CE9" s="60"/>
      <c r="CF9" s="67">
        <f t="shared" si="33"/>
        <v>0</v>
      </c>
      <c r="CG9" s="60"/>
      <c r="CH9" s="67">
        <f t="shared" si="34"/>
        <v>0</v>
      </c>
      <c r="CI9" s="60"/>
      <c r="CJ9" s="67">
        <f t="shared" si="35"/>
        <v>0</v>
      </c>
      <c r="CK9" s="60"/>
      <c r="CL9" s="64">
        <f t="shared" si="36"/>
        <v>0</v>
      </c>
      <c r="CM9" s="65">
        <f t="shared" si="37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44262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9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40"/>
        <v>0</v>
      </c>
      <c r="BG10" s="60"/>
      <c r="BH10" s="65">
        <f t="shared" si="23"/>
        <v>0</v>
      </c>
      <c r="BI10" s="60"/>
      <c r="BJ10" s="65">
        <f t="shared" si="41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>IF((CC10-CC9&lt;0), "",CC10-CC9)</f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37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44263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9"/>
        <v>0</v>
      </c>
      <c r="M11" s="58"/>
      <c r="N11" s="64">
        <f t="shared" si="4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40"/>
        <v>0</v>
      </c>
      <c r="BG11" s="60"/>
      <c r="BH11" s="65">
        <f t="shared" si="23"/>
        <v>0</v>
      </c>
      <c r="BI11" s="60"/>
      <c r="BJ11" s="65">
        <f t="shared" si="41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37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44264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44265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44266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44267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zoomScaleNormal="100" workbookViewId="0">
      <selection activeCell="R10" sqref="R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1373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/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/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/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1"/>
        <v>-197</v>
      </c>
    </row>
    <row r="12" spans="1:20" x14ac:dyDescent="0.25">
      <c r="A12" s="73">
        <v>44261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1"/>
        <v>0</v>
      </c>
    </row>
    <row r="13" spans="1:20" x14ac:dyDescent="0.25">
      <c r="A13" s="73">
        <v>44262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1"/>
        <v>0</v>
      </c>
    </row>
    <row r="14" spans="1:20" x14ac:dyDescent="0.25">
      <c r="A14" s="73">
        <v>44263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1"/>
        <v>0</v>
      </c>
    </row>
    <row r="15" spans="1:20" x14ac:dyDescent="0.25">
      <c r="A15" s="73">
        <v>44264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1"/>
        <v>0</v>
      </c>
    </row>
    <row r="16" spans="1:20" x14ac:dyDescent="0.25">
      <c r="A16" s="73">
        <v>44265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1"/>
        <v>0</v>
      </c>
    </row>
    <row r="17" spans="1:20" x14ac:dyDescent="0.25">
      <c r="A17" s="73">
        <v>44266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1"/>
        <v>0</v>
      </c>
    </row>
    <row r="18" spans="1:20" x14ac:dyDescent="0.25">
      <c r="A18" s="73">
        <v>44267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1"/>
        <v>0</v>
      </c>
    </row>
    <row r="19" spans="1:20" x14ac:dyDescent="0.25">
      <c r="A19" s="73">
        <v>44268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0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2021-03-04T06:11:48Z</dcterms:modified>
</cp:coreProperties>
</file>