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<sst xmlns="http://schemas.openxmlformats.org/spreadsheetml/2006/main" count="315" uniqueCount="148">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</sst>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7.3259999999999996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 t="e">
        <f>Submetering!E10+Submetering!F10+Submetering!G10+Submetering!H10+Submetering!J10-Submetering!AV10</f>
        <v>#VALUE!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 t="e">
        <f>'FS Desroches Daily'!CM12</f>
        <v>#VALUE!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28099.999999999789</v>
      </c>
      <c r="F33" s="17">
        <f t="shared" ref="F33:BC33" si="0">SUM(F2:F32)</f>
        <v>30499.999999999971</v>
      </c>
      <c r="G33" s="17">
        <f t="shared" si="0"/>
        <v>26699.999999999945</v>
      </c>
      <c r="H33" s="17">
        <f t="shared" si="0"/>
        <v>15200.000000000102</v>
      </c>
      <c r="I33" s="17">
        <f t="shared" si="0"/>
        <v>20199.999999999993</v>
      </c>
      <c r="J33" s="17">
        <f t="shared" si="0"/>
        <v>17099.999999999894</v>
      </c>
      <c r="K33" s="17">
        <f t="shared" si="0"/>
        <v>353</v>
      </c>
      <c r="L33" s="17">
        <f t="shared" si="0"/>
        <v>54</v>
      </c>
      <c r="M33" s="17">
        <f t="shared" si="0"/>
        <v>10.100000000000136</v>
      </c>
      <c r="N33" s="17">
        <f t="shared" si="0"/>
        <v>3963.5999999999767</v>
      </c>
      <c r="O33" s="17">
        <f t="shared" si="0"/>
        <v>3560.0000000000023</v>
      </c>
      <c r="P33" s="17">
        <f t="shared" si="0"/>
        <v>27000.000000000131</v>
      </c>
      <c r="Q33" s="17">
        <f t="shared" si="0"/>
        <v>3389.9999999999864</v>
      </c>
      <c r="R33" s="17">
        <f t="shared" si="0"/>
        <v>4639.9999999999864</v>
      </c>
      <c r="S33" s="17">
        <f t="shared" si="0"/>
        <v>8259.9999999999909</v>
      </c>
      <c r="T33" s="17">
        <f t="shared" si="0"/>
        <v>396</v>
      </c>
      <c r="U33" s="35">
        <f t="shared" si="0"/>
        <v>6399.9999999999773</v>
      </c>
      <c r="V33" s="35">
        <f t="shared" si="0"/>
        <v>2520.0000000000387</v>
      </c>
      <c r="W33" s="35">
        <f t="shared" si="0"/>
        <v>1780.0000000000011</v>
      </c>
      <c r="X33" s="35">
        <f t="shared" si="0"/>
        <v>2181.9799999999955</v>
      </c>
      <c r="Y33" s="35">
        <f t="shared" si="0"/>
        <v>1739.9999999999523</v>
      </c>
      <c r="Z33" s="35">
        <f t="shared" si="0"/>
        <v>1620.0000000000045</v>
      </c>
      <c r="AA33" s="35">
        <f t="shared" si="0"/>
        <v>1620.0000000000045</v>
      </c>
      <c r="AB33" s="35">
        <f t="shared" si="0"/>
        <v>2269.9999999999818</v>
      </c>
      <c r="AC33" s="35">
        <f t="shared" si="0"/>
        <v>2170.0000000000159</v>
      </c>
      <c r="AD33" s="35">
        <f t="shared" si="0"/>
        <v>1750</v>
      </c>
      <c r="AE33" s="35">
        <f t="shared" si="0"/>
        <v>1250</v>
      </c>
      <c r="AF33" s="17">
        <f t="shared" si="0"/>
        <v>317</v>
      </c>
      <c r="AG33" s="32">
        <f t="shared" si="0"/>
        <v>399.99999999997726</v>
      </c>
      <c r="AH33" s="32">
        <f t="shared" si="0"/>
        <v>289.99999999996362</v>
      </c>
      <c r="AI33" s="32">
        <f t="shared" si="0"/>
        <v>469.99999999999886</v>
      </c>
      <c r="AJ33" s="32">
        <f t="shared" si="0"/>
        <v>349.99999999999432</v>
      </c>
      <c r="AK33" s="32">
        <f t="shared" si="0"/>
        <v>519.99999999998181</v>
      </c>
      <c r="AL33" s="32">
        <f t="shared" si="0"/>
        <v>399</v>
      </c>
      <c r="AM33" s="32">
        <f t="shared" si="0"/>
        <v>400.00000000000568</v>
      </c>
      <c r="AN33" s="32">
        <f t="shared" si="0"/>
        <v>417</v>
      </c>
      <c r="AO33" s="32">
        <f t="shared" si="0"/>
        <v>550.00000000001137</v>
      </c>
      <c r="AP33" s="32">
        <f t="shared" si="0"/>
        <v>409</v>
      </c>
      <c r="AQ33" s="17">
        <f t="shared" si="0"/>
        <v>418.19999999999709</v>
      </c>
      <c r="AR33" s="17">
        <f t="shared" si="0"/>
        <v>133</v>
      </c>
      <c r="AS33" s="17">
        <f t="shared" si="0"/>
        <v>37.199999999999818</v>
      </c>
      <c r="AT33" s="17">
        <f t="shared" si="0"/>
        <v>418.19999999999709</v>
      </c>
      <c r="AU33" s="17">
        <f t="shared" si="0"/>
        <v>3094</v>
      </c>
      <c r="AV33" s="17">
        <f t="shared" si="0"/>
        <v>6639.9999999999864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54.945</v>
      </c>
      <c r="BC33" s="17">
        <f t="shared" si="0"/>
        <v>252</v>
      </c>
    </row>
    <row r="35" spans="5:55" x14ac:dyDescent="0.25">
      <c r="E35" s="38">
        <f>E33/E37</f>
        <v>0.25841931983299182</v>
      </c>
      <c r="G35" s="29">
        <f>G33-M36</f>
        <v>22726.299999999967</v>
      </c>
      <c r="AE35" s="35">
        <f>SUM(U33:AE33)</f>
        <v>25301.97999999997</v>
      </c>
      <c r="AG35" s="32">
        <f>SUM(AG33:AP33)</f>
        <v>4204.9999999999327</v>
      </c>
    </row>
    <row r="36" spans="5:55" x14ac:dyDescent="0.25">
      <c r="G36" s="29">
        <f>G35-633*14</f>
        <v>13864.299999999967</v>
      </c>
      <c r="M36" s="29">
        <f>M33+N33</f>
        <v>3973.6999999999771</v>
      </c>
    </row>
    <row r="37" spans="5:55" x14ac:dyDescent="0.25">
      <c r="E37" s="17">
        <f>E33+F33+G33+H33+J33-633*14</f>
        <v>108737.99999999971</v>
      </c>
      <c r="G37" s="37">
        <f>M36/E37</f>
        <v>3.6543802534532432E-2</v>
      </c>
      <c r="M37" s="35">
        <f>AE35</f>
        <v>25301.97999999997</v>
      </c>
    </row>
    <row r="38" spans="5:55" x14ac:dyDescent="0.25">
      <c r="L38" s="27">
        <f>M38/E37</f>
        <v>3.8670933804189372E-2</v>
      </c>
      <c r="M38" s="29">
        <f>AG35</f>
        <v>4204.9999999999327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topLeftCell="AW1" zoomScale="85" zoomScaleNormal="85" workbookViewId="0">
      <pane ySplit="1" topLeftCell="A2" activePane="bottomLeft" state="frozen"/>
      <selection pane="bottomLeft" activeCell="BE12" sqref="BE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/>
      <c r="D12" s="64" t="str">
        <f t="shared" si="50"/>
        <v>0</v>
      </c>
      <c r="E12" s="58"/>
      <c r="F12" s="64" t="str">
        <f t="shared" si="51"/>
        <v>0</v>
      </c>
      <c r="G12" s="58"/>
      <c r="H12" s="64" t="str">
        <f t="shared" si="52"/>
        <v>0</v>
      </c>
      <c r="I12" s="58"/>
      <c r="J12" s="64" t="str">
        <f t="shared" si="53"/>
        <v>0</v>
      </c>
      <c r="K12" s="58"/>
      <c r="L12" s="64" t="str">
        <f t="shared" si="54"/>
        <v>0</v>
      </c>
      <c r="M12" s="58"/>
      <c r="N12" s="64" t="str">
        <f t="shared" si="55"/>
        <v/>
      </c>
      <c r="O12" s="58"/>
      <c r="P12" s="67" t="str">
        <f t="shared" si="56"/>
        <v/>
      </c>
      <c r="Q12" s="58"/>
      <c r="R12" s="67" t="str">
        <f t="shared" si="57"/>
        <v/>
      </c>
      <c r="S12" s="58"/>
      <c r="T12" s="67" t="str">
        <f t="shared" si="58"/>
        <v/>
      </c>
      <c r="U12" s="58"/>
      <c r="V12" s="67" t="str">
        <f t="shared" si="59"/>
        <v/>
      </c>
      <c r="W12" s="58"/>
      <c r="X12" s="65" t="str">
        <f t="shared" si="60"/>
        <v/>
      </c>
      <c r="Y12" s="58"/>
      <c r="Z12" s="65" t="str">
        <f t="shared" si="61"/>
        <v/>
      </c>
      <c r="AA12" s="58"/>
      <c r="AB12" s="65" t="str">
        <f t="shared" si="62"/>
        <v/>
      </c>
      <c r="AC12" s="58"/>
      <c r="AD12" s="65" t="str">
        <f t="shared" si="63"/>
        <v/>
      </c>
      <c r="AE12" s="58"/>
      <c r="AF12" s="65" t="str">
        <f t="shared" si="64"/>
        <v/>
      </c>
      <c r="AG12" s="58"/>
      <c r="AH12" s="67" t="str">
        <f t="shared" si="65"/>
        <v/>
      </c>
      <c r="AI12" s="58"/>
      <c r="AJ12" s="65" t="str">
        <f t="shared" si="66"/>
        <v/>
      </c>
      <c r="AK12" s="58"/>
      <c r="AL12" s="65" t="str">
        <f t="shared" si="67"/>
        <v/>
      </c>
      <c r="AM12" s="58"/>
      <c r="AN12" s="65" t="str">
        <f t="shared" si="68"/>
        <v/>
      </c>
      <c r="AO12" s="58"/>
      <c r="AP12" s="65" t="str">
        <f t="shared" si="69"/>
        <v/>
      </c>
      <c r="AQ12" s="58"/>
      <c r="AR12" s="65" t="str">
        <f t="shared" si="70"/>
        <v/>
      </c>
      <c r="AS12" s="58"/>
      <c r="AT12" s="65" t="str">
        <f t="shared" si="71"/>
        <v/>
      </c>
      <c r="AU12" s="58"/>
      <c r="AV12" s="65" t="str">
        <f t="shared" si="72"/>
        <v/>
      </c>
      <c r="AW12" s="58"/>
      <c r="AX12" s="65" t="str">
        <f t="shared" si="73"/>
        <v/>
      </c>
      <c r="AY12" s="58"/>
      <c r="AZ12" s="65" t="str">
        <f t="shared" si="74"/>
        <v/>
      </c>
      <c r="BA12" s="58"/>
      <c r="BB12" s="65" t="str">
        <f t="shared" si="75"/>
        <v/>
      </c>
      <c r="BC12" s="58"/>
      <c r="BD12" s="65" t="str">
        <f t="shared" si="76"/>
        <v/>
      </c>
      <c r="BE12" s="59"/>
      <c r="BF12" s="67" t="str">
        <f t="shared" si="77"/>
        <v/>
      </c>
      <c r="BG12" s="60"/>
      <c r="BH12" s="65" t="str">
        <f t="shared" si="78"/>
        <v/>
      </c>
      <c r="BI12" s="60"/>
      <c r="BJ12" s="65" t="str">
        <f t="shared" si="79"/>
        <v/>
      </c>
      <c r="BK12" s="60"/>
      <c r="BL12" s="65" t="str">
        <f t="shared" si="80"/>
        <v/>
      </c>
      <c r="BM12" s="60"/>
      <c r="BN12" s="65" t="str">
        <f t="shared" si="81"/>
        <v/>
      </c>
      <c r="BO12" s="60"/>
      <c r="BP12" s="65" t="str">
        <f t="shared" si="82"/>
        <v/>
      </c>
      <c r="BQ12" s="60"/>
      <c r="BR12" s="65" t="str">
        <f t="shared" si="83"/>
        <v/>
      </c>
      <c r="BS12" s="60"/>
      <c r="BT12" s="65" t="str">
        <f t="shared" si="84"/>
        <v/>
      </c>
      <c r="BU12" s="60"/>
      <c r="BV12" s="65" t="str">
        <f t="shared" si="85"/>
        <v/>
      </c>
      <c r="BW12" s="60"/>
      <c r="BX12" s="65" t="str">
        <f t="shared" si="86"/>
        <v/>
      </c>
      <c r="BY12" s="60"/>
      <c r="BZ12" s="67" t="str">
        <f t="shared" si="87"/>
        <v/>
      </c>
      <c r="CA12" s="60"/>
      <c r="CB12" s="67" t="str">
        <f t="shared" si="88"/>
        <v/>
      </c>
      <c r="CC12" s="60"/>
      <c r="CD12" s="67" t="str">
        <f t="shared" si="89"/>
        <v/>
      </c>
      <c r="CE12" s="60"/>
      <c r="CF12" s="67" t="str">
        <f t="shared" si="90"/>
        <v/>
      </c>
      <c r="CG12" s="60"/>
      <c r="CH12" s="67" t="str">
        <f t="shared" si="91"/>
        <v/>
      </c>
      <c r="CI12" s="60"/>
      <c r="CJ12" s="67" t="str">
        <f t="shared" si="92"/>
        <v/>
      </c>
      <c r="CK12" s="60"/>
      <c r="CL12" s="64" t="str">
        <f t="shared" si="93"/>
        <v/>
      </c>
      <c r="CM12" s="65" t="e">
        <f t="shared" si="94"/>
        <v>#VALUE!</v>
      </c>
      <c r="CN12" s="62"/>
      <c r="CO12" s="62"/>
      <c r="CP12" s="68"/>
      <c r="CQ12" s="67" t="str">
        <f t="shared" si="95"/>
        <v/>
      </c>
      <c r="CR12" s="68"/>
      <c r="CS12" s="67" t="str">
        <f t="shared" si="96"/>
        <v/>
      </c>
      <c r="CT12" s="75"/>
      <c r="CU12" s="67" t="str">
        <f t="shared" si="97"/>
        <v/>
      </c>
      <c r="CV12" s="68"/>
      <c r="CW12" s="67" t="str">
        <f t="shared" si="98"/>
        <v/>
      </c>
      <c r="CX12" s="58"/>
      <c r="CY12" s="67" t="str">
        <f t="shared" si="99"/>
        <v/>
      </c>
    </row>
    <row r="13" spans="1:103" ht="25.5" customHeight="1" thickBot="1" x14ac:dyDescent="0.45">
      <c r="A13" s="63">
        <v>44661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44662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44663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44664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44665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44666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44667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44668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44669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44670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44671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44672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M23" sqref="M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-227</v>
      </c>
    </row>
    <row r="17" spans="1:20" x14ac:dyDescent="0.25">
      <c r="A17" s="73">
        <v>44661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44662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44663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44664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44665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44666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44667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44668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44669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44670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44671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2022-04-09T17:51:49Z</dcterms:modified>
</cp:coreProperties>
</file>