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 Jimbaran July 2022" sheetId="14" r:id="rId3"/>
    <sheet name="RNs &amp; Covers July 2022" sheetId="10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F2" i="11"/>
  <c r="BM33" i="11"/>
  <c r="BN33" i="11"/>
  <c r="AT45" i="14" l="1"/>
  <c r="AS45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P30" i="11"/>
  <c r="BP31" i="11"/>
  <c r="BP32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O30" i="11"/>
  <c r="BO31" i="11"/>
  <c r="BO32" i="11"/>
  <c r="BP2" i="11"/>
  <c r="BP33" i="11" s="1"/>
  <c r="BO2" i="11"/>
  <c r="BO33" i="11" s="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30" i="11"/>
  <c r="BL31" i="11"/>
  <c r="BL32" i="11"/>
  <c r="BL2" i="11"/>
  <c r="BL33" i="11" s="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0" i="11"/>
  <c r="BK31" i="11"/>
  <c r="BK32" i="11"/>
  <c r="BK2" i="11"/>
  <c r="BK33" i="11" s="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2" i="11"/>
  <c r="BJ33" i="11" s="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2" i="11"/>
  <c r="BI33" i="11" s="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2" i="11"/>
  <c r="BH33" i="11" s="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2" i="11"/>
  <c r="BG33" i="11" s="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2" i="11"/>
  <c r="BF33" i="11" s="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E33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2" i="11"/>
  <c r="BD33" i="11" s="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BC33" i="11" s="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2" i="11"/>
  <c r="BB33" i="11" s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BA33" i="11" s="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2" i="11"/>
  <c r="AZ33" i="11" s="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2" i="11"/>
  <c r="AY33" i="11" s="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2" i="11"/>
  <c r="AX33" i="11" s="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AW33" i="11" s="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2" i="11"/>
  <c r="AV33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2" i="11"/>
  <c r="AU33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30" i="11"/>
  <c r="AT31" i="11"/>
  <c r="AT32" i="11"/>
  <c r="AT2" i="11"/>
  <c r="AT33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2" i="11"/>
  <c r="AS33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2" i="11"/>
  <c r="AR33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30" i="11"/>
  <c r="AQ31" i="11"/>
  <c r="AQ32" i="11"/>
  <c r="AQ2" i="11"/>
  <c r="AQ33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2" i="11"/>
  <c r="AP33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2" i="11"/>
  <c r="AO33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2" i="11"/>
  <c r="AN33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2" i="11"/>
  <c r="AM33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2" i="11"/>
  <c r="AL33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2" i="11"/>
  <c r="AK33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2" i="11"/>
  <c r="AJ33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2" i="11"/>
  <c r="AH33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2" i="11"/>
  <c r="AG33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2" i="11"/>
  <c r="AF33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2" i="11"/>
  <c r="AE33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2" i="11"/>
  <c r="AD33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2" i="11"/>
  <c r="AC33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2" i="11"/>
  <c r="AB33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2" i="11"/>
  <c r="AA33" i="11" s="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Z33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2" i="11"/>
  <c r="Y33" i="11" s="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2" i="11"/>
  <c r="X33" i="11" s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W33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2" i="11"/>
  <c r="V33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2" i="11"/>
  <c r="U33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2" i="11"/>
  <c r="T33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2" i="11"/>
  <c r="S33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2" i="11"/>
  <c r="R33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2" i="11"/>
  <c r="Q33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P33" i="11" s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O33" i="11" s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N33" i="11" s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M33" i="11" s="1"/>
  <c r="L3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2" i="11"/>
  <c r="L33" i="11" s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K33" i="11" s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J33" i="11" s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I33" i="1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H33" i="11" s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F32" i="11"/>
  <c r="F3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3" i="11"/>
  <c r="E33" i="11"/>
  <c r="Z45" i="14"/>
  <c r="AK45" i="14"/>
  <c r="AI45" i="14"/>
  <c r="AC45" i="14"/>
  <c r="Y45" i="14"/>
  <c r="U45" i="14"/>
  <c r="S45" i="14"/>
  <c r="Q45" i="14"/>
  <c r="K45" i="14"/>
  <c r="G45" i="14"/>
  <c r="I45" i="14"/>
  <c r="E45" i="14"/>
  <c r="C45" i="14"/>
  <c r="AI33" i="11" l="1"/>
  <c r="D45" i="14" l="1"/>
  <c r="C37" i="10" l="1"/>
  <c r="B37" i="10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<sst xmlns="http://schemas.openxmlformats.org/spreadsheetml/2006/main" count="258" uniqueCount="81">
  <si>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</si>
  <si>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</si>
  <si>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</si>
  <si>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</si>
  <si>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</si>
  <si>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</si>
  <si>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</si>
  <si>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</si>
  <si>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</si>
  <si>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</si>
  <si>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</si>
  <si>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</si>
  <si>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</si>
  <si>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</si>
  <si>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</si>
  <si>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</si>
  <si>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</si>
  <si>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</si>
  <si>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</si>
  <si>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</si>
  <si>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</si>
  <si>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</si>
  <si>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</si>
  <si>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</si>
  <si>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</si>
  <si>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</si>
  <si>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</si>
  <si>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</si>
  <si>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</si>
  <si>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</si>
  <si>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</si>
  <si>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</si>
  <si>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</si>
  <si>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</si>
  <si>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</si>
  <si>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</si>
  <si>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</si>
  <si>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</si>
  <si>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</si>
  <si>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</si>
  <si>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</si>
  <si>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</si>
  <si>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</si>
  <si>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</si>
  <si>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</si>
  <si>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</si>
  <si>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</si>
  <si>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</si>
  <si>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</si>
  <si>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</si>
  <si>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</si>
  <si>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</si>
  <si>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</si>
  <si>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</si>
  <si>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</si>
  <si>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</si>
  <si>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</si>
  <si>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</si>
  <si>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</si>
  <si>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</si>
  <si>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</si>
  <si>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</si>
  <si>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</si>
  <si>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</si>
  <si>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</si>
  <si>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</si>
  <si>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</si>
  <si>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</si>
  <si>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</si>
  <si>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</si>
  <si>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July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</si>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</sst>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rgb="FF000000"/>
      <name val="Book Antiqua"/>
      <family val="1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0" fontId="17" fillId="0" borderId="0"/>
  </cellStyleXfs>
  <cellXfs count="96">
    <xf numFmtId="0" fontId="0" fillId="0" borderId="0" xfId="0"/>
    <xf numFmtId="166" fontId="0" fillId="0" borderId="0" xfId="1" applyNumberFormat="1" applyFont="1"/>
    <xf numFmtId="166" fontId="1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6" fontId="0" fillId="0" borderId="7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7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6" fontId="2" fillId="0" borderId="0" xfId="1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/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16" fillId="0" borderId="2" xfId="0" applyFont="1" applyBorder="1"/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8" xfId="0" applyNumberFormat="1" applyFill="1" applyBorder="1"/>
    <xf numFmtId="166" fontId="0" fillId="0" borderId="18" xfId="0" applyNumberFormat="1" applyBorder="1"/>
    <xf numFmtId="0" fontId="0" fillId="0" borderId="18" xfId="0" applyBorder="1" applyAlignment="1">
      <alignment vertical="center"/>
    </xf>
    <xf numFmtId="0" fontId="0" fillId="0" borderId="5" xfId="0" applyBorder="1" applyAlignment="1">
      <alignment vertical="center"/>
    </xf>
    <xf numFmtId="0" fontId="13" fillId="0" borderId="5" xfId="0" applyFont="1" applyBorder="1"/>
    <xf numFmtId="0" fontId="0" fillId="0" borderId="6" xfId="0" applyBorder="1" applyAlignment="1">
      <alignment vertical="center"/>
    </xf>
    <xf numFmtId="0" fontId="16" fillId="0" borderId="5" xfId="0" applyFont="1" applyBorder="1"/>
    <xf numFmtId="0" fontId="0" fillId="3" borderId="5" xfId="0" applyFill="1" applyBorder="1" applyAlignment="1">
      <alignment vertical="center"/>
    </xf>
    <xf numFmtId="0" fontId="0" fillId="3" borderId="18" xfId="0" applyFill="1" applyBorder="1" applyAlignment="1">
      <alignment vertical="center"/>
    </xf>
    <xf numFmtId="166" fontId="0" fillId="3" borderId="18" xfId="1" applyNumberFormat="1" applyFont="1" applyFill="1" applyBorder="1" applyAlignment="1">
      <alignment vertical="center"/>
    </xf>
    <xf numFmtId="0" fontId="15" fillId="0" borderId="18" xfId="0" applyFont="1" applyBorder="1"/>
    <xf numFmtId="1" fontId="0" fillId="0" borderId="0" xfId="0" applyNumberFormat="1"/>
    <xf numFmtId="0" fontId="0" fillId="0" borderId="0" xfId="0" applyAlignment="1">
      <alignment vertical="center" wrapText="1"/>
    </xf>
    <xf numFmtId="167" fontId="12" fillId="0" borderId="0" xfId="8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/>
    </xf>
    <xf numFmtId="0" fontId="8" fillId="7" borderId="13" xfId="0" applyFont="1" applyFill="1" applyBorder="1" applyAlignment="1">
      <alignment horizontal="center" vertical="center" shrinkToFit="1"/>
    </xf>
    <xf numFmtId="0" fontId="18" fillId="0" borderId="2" xfId="0" applyFont="1" applyBorder="1"/>
    <xf numFmtId="0" fontId="18" fillId="0" borderId="4" xfId="0" applyFont="1" applyBorder="1"/>
    <xf numFmtId="0" fontId="18" fillId="0" borderId="19" xfId="0" applyFont="1" applyBorder="1"/>
    <xf numFmtId="0" fontId="18" fillId="0" borderId="20" xfId="0" applyFont="1" applyBorder="1"/>
    <xf numFmtId="0" fontId="8" fillId="7" borderId="14" xfId="0" applyFont="1" applyFill="1" applyBorder="1" applyAlignment="1">
      <alignment horizontal="center" vertical="center" shrinkToFit="1"/>
    </xf>
    <xf numFmtId="0" fontId="18" fillId="0" borderId="21" xfId="0" applyFont="1" applyBorder="1"/>
    <xf numFmtId="0" fontId="18" fillId="0" borderId="22" xfId="0" applyFont="1" applyBorder="1"/>
    <xf numFmtId="0" fontId="8" fillId="7" borderId="23" xfId="0" applyFont="1" applyFill="1" applyBorder="1" applyAlignment="1">
      <alignment horizontal="center" vertical="center" shrinkToFit="1"/>
    </xf>
    <xf numFmtId="0" fontId="18" fillId="0" borderId="24" xfId="0" applyFont="1" applyBorder="1"/>
    <xf numFmtId="0" fontId="18" fillId="0" borderId="25" xfId="0" applyFont="1" applyBorder="1"/>
    <xf numFmtId="0" fontId="0" fillId="5" borderId="15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43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17" fontId="4" fillId="3" borderId="16" xfId="0" applyNumberFormat="1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</cellXfs>
  <cellStyles count="9">
    <cellStyle name="Comma" xfId="1" builtinId="3"/>
    <cellStyle name="Comma [0] 2" xfId="5"/>
    <cellStyle name="Comma 10" xfId="2"/>
    <cellStyle name="Comma 2" xfId="3"/>
    <cellStyle name="Comma 3" xfId="7"/>
    <cellStyle name="Hyperlink 2" xfId="4"/>
    <cellStyle name="Normal" xfId="0" builtinId="0"/>
    <cellStyle name="Normal 2" xfId="6"/>
    <cellStyle name="Normal 2 3" xfId="8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workbookViewId="0">
      <selection activeCell="F15" sqref="F15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</row>
    <row r="2" spans="1:67" x14ac:dyDescent="0.25">
      <c r="A2" t="s">
        <v>67</v>
      </c>
      <c r="B2" s="57">
        <v>1</v>
      </c>
      <c r="C2" s="57">
        <v>2022</v>
      </c>
      <c r="D2" s="22">
        <v>784</v>
      </c>
      <c r="E2" s="22">
        <v>0</v>
      </c>
      <c r="F2" s="22">
        <v>123.09999999999998</v>
      </c>
      <c r="G2" s="22">
        <v>0</v>
      </c>
      <c r="H2" s="22">
        <v>136.49999999999997</v>
      </c>
      <c r="I2" s="22">
        <v>0</v>
      </c>
      <c r="J2" s="22">
        <v>784</v>
      </c>
      <c r="K2" s="22">
        <v>0</v>
      </c>
      <c r="L2" s="22">
        <v>16</v>
      </c>
      <c r="M2" s="22">
        <v>0</v>
      </c>
      <c r="N2" s="22">
        <v>58.699999999999996</v>
      </c>
      <c r="O2" s="22">
        <v>0</v>
      </c>
      <c r="P2" s="22">
        <v>0</v>
      </c>
      <c r="Q2" s="22">
        <v>0</v>
      </c>
      <c r="R2" s="22">
        <v>0</v>
      </c>
      <c r="S2" s="22">
        <v>0</v>
      </c>
      <c r="T2" s="22">
        <v>0</v>
      </c>
      <c r="U2" s="22">
        <v>0</v>
      </c>
      <c r="V2" s="22">
        <v>5420</v>
      </c>
      <c r="W2" s="22">
        <v>11555278</v>
      </c>
      <c r="X2" s="22">
        <v>0</v>
      </c>
      <c r="Y2" s="22">
        <v>0</v>
      </c>
      <c r="Z2" s="22">
        <v>0</v>
      </c>
      <c r="AA2" s="22">
        <v>0</v>
      </c>
      <c r="AB2" s="22">
        <v>0</v>
      </c>
      <c r="AC2" s="22">
        <v>0</v>
      </c>
      <c r="AD2" s="22">
        <v>0</v>
      </c>
      <c r="AE2" s="22">
        <v>0</v>
      </c>
      <c r="AF2" s="22">
        <v>0</v>
      </c>
      <c r="AG2" s="22">
        <v>0</v>
      </c>
      <c r="AH2" s="22">
        <v>0</v>
      </c>
      <c r="AI2" s="22">
        <v>0</v>
      </c>
      <c r="AJ2" s="22">
        <v>0</v>
      </c>
      <c r="AK2" s="22">
        <v>0</v>
      </c>
      <c r="AL2" s="22">
        <v>0</v>
      </c>
      <c r="AM2" s="22">
        <v>0</v>
      </c>
      <c r="AN2" s="22">
        <v>0</v>
      </c>
      <c r="AO2" s="22">
        <v>0</v>
      </c>
      <c r="AP2" s="22">
        <v>0</v>
      </c>
      <c r="AQ2" s="22">
        <v>0</v>
      </c>
      <c r="AR2" s="22">
        <v>0</v>
      </c>
      <c r="AS2" s="22">
        <v>0</v>
      </c>
      <c r="AT2" s="22">
        <v>0</v>
      </c>
      <c r="AU2" s="22">
        <v>0</v>
      </c>
      <c r="AV2" s="22">
        <v>123.09999999999998</v>
      </c>
      <c r="AW2" s="22">
        <v>0</v>
      </c>
      <c r="AX2" s="22">
        <v>0</v>
      </c>
      <c r="AY2" s="22">
        <v>0</v>
      </c>
      <c r="AZ2" s="22">
        <v>0</v>
      </c>
      <c r="BA2" s="22">
        <v>0</v>
      </c>
      <c r="BB2" s="22">
        <v>11508.5</v>
      </c>
      <c r="BC2" s="22">
        <v>0</v>
      </c>
      <c r="BD2" s="22">
        <v>0</v>
      </c>
      <c r="BE2" s="22">
        <v>0</v>
      </c>
      <c r="BF2" s="22">
        <v>0</v>
      </c>
      <c r="BG2" s="22">
        <v>0</v>
      </c>
      <c r="BH2" s="22">
        <v>0</v>
      </c>
      <c r="BI2" s="22">
        <v>0</v>
      </c>
      <c r="BJ2" s="22">
        <v>0</v>
      </c>
      <c r="BK2" s="22">
        <v>0</v>
      </c>
      <c r="BL2" s="22">
        <v>6.65</v>
      </c>
      <c r="BM2" s="22">
        <v>437500</v>
      </c>
      <c r="BN2" s="22">
        <v>24.6</v>
      </c>
      <c r="BO2" s="22">
        <v>0</v>
      </c>
    </row>
    <row r="3" spans="1:67" x14ac:dyDescent="0.25">
      <c r="A3" t="s">
        <v>67</v>
      </c>
      <c r="B3" s="57">
        <v>2</v>
      </c>
      <c r="C3" s="57">
        <v>2022</v>
      </c>
      <c r="D3" s="22">
        <v>412</v>
      </c>
      <c r="E3" s="22">
        <v>0</v>
      </c>
      <c r="F3" s="22">
        <v>7.4999999999999991</v>
      </c>
      <c r="G3" s="22">
        <v>0</v>
      </c>
      <c r="H3" s="22">
        <v>172.89999999999998</v>
      </c>
      <c r="I3" s="22">
        <v>0</v>
      </c>
      <c r="J3" s="22">
        <v>581</v>
      </c>
      <c r="K3" s="22">
        <v>0</v>
      </c>
      <c r="L3" s="22">
        <v>13</v>
      </c>
      <c r="M3" s="22">
        <v>0</v>
      </c>
      <c r="N3" s="22">
        <v>53.499999999999993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6183</v>
      </c>
      <c r="W3" s="22">
        <v>11555278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  <c r="AT3" s="22">
        <v>0</v>
      </c>
      <c r="AU3" s="22">
        <v>0</v>
      </c>
      <c r="AV3" s="22">
        <v>109.49999999999999</v>
      </c>
      <c r="AW3" s="22">
        <v>0</v>
      </c>
      <c r="AX3" s="22">
        <v>0</v>
      </c>
      <c r="AY3" s="22">
        <v>0</v>
      </c>
      <c r="AZ3" s="22">
        <v>0</v>
      </c>
      <c r="BA3" s="22">
        <v>0</v>
      </c>
      <c r="BB3" s="22">
        <v>10212</v>
      </c>
      <c r="BC3" s="22">
        <v>0</v>
      </c>
      <c r="BD3" s="22">
        <v>65.500000000000014</v>
      </c>
      <c r="BE3" s="22">
        <v>0</v>
      </c>
      <c r="BF3" s="22">
        <v>0</v>
      </c>
      <c r="BG3" s="22">
        <v>0</v>
      </c>
      <c r="BH3" s="22">
        <v>0</v>
      </c>
      <c r="BI3" s="22">
        <v>0</v>
      </c>
      <c r="BJ3" s="22">
        <v>0</v>
      </c>
      <c r="BK3" s="22">
        <v>0</v>
      </c>
      <c r="BL3" s="22">
        <v>6.65</v>
      </c>
      <c r="BM3" s="22">
        <v>437500</v>
      </c>
      <c r="BN3" s="22">
        <v>18.7</v>
      </c>
      <c r="BO3" s="22">
        <v>0</v>
      </c>
    </row>
    <row r="4" spans="1:67" x14ac:dyDescent="0.25">
      <c r="A4" t="s">
        <v>67</v>
      </c>
      <c r="B4" s="57">
        <v>3</v>
      </c>
      <c r="C4" s="57">
        <v>2022</v>
      </c>
      <c r="D4" s="34">
        <v>479</v>
      </c>
      <c r="E4" s="58">
        <v>0</v>
      </c>
      <c r="F4" s="22">
        <v>9.9</v>
      </c>
      <c r="G4" s="58">
        <v>0</v>
      </c>
      <c r="H4" s="34">
        <v>95.59999999999998</v>
      </c>
      <c r="I4" s="58">
        <v>0</v>
      </c>
      <c r="J4" s="34">
        <v>479</v>
      </c>
      <c r="K4" s="58">
        <v>0</v>
      </c>
      <c r="L4" s="58">
        <v>16</v>
      </c>
      <c r="M4" s="58">
        <v>0</v>
      </c>
      <c r="N4" s="22">
        <v>58.7</v>
      </c>
      <c r="O4" s="58">
        <v>0</v>
      </c>
      <c r="P4" s="58">
        <v>0</v>
      </c>
      <c r="Q4" s="58">
        <v>0</v>
      </c>
      <c r="R4" s="58">
        <v>0</v>
      </c>
      <c r="S4" s="58">
        <v>0</v>
      </c>
      <c r="T4" s="58">
        <v>0</v>
      </c>
      <c r="U4" s="58">
        <v>0</v>
      </c>
      <c r="V4" s="22">
        <v>4020</v>
      </c>
      <c r="W4" s="58">
        <v>11555278</v>
      </c>
      <c r="X4" s="58">
        <v>0</v>
      </c>
      <c r="Y4" s="58">
        <v>0</v>
      </c>
      <c r="Z4" s="58">
        <v>0</v>
      </c>
      <c r="AA4" s="58">
        <v>0</v>
      </c>
      <c r="AB4" s="58">
        <v>0</v>
      </c>
      <c r="AC4" s="58">
        <v>0</v>
      </c>
      <c r="AD4" s="58">
        <v>0</v>
      </c>
      <c r="AE4" s="58">
        <v>0</v>
      </c>
      <c r="AF4" s="58">
        <v>0</v>
      </c>
      <c r="AG4" s="58">
        <v>0</v>
      </c>
      <c r="AH4" s="58">
        <v>0</v>
      </c>
      <c r="AI4" s="58">
        <v>0</v>
      </c>
      <c r="AJ4" s="58">
        <v>0</v>
      </c>
      <c r="AK4" s="58">
        <v>0</v>
      </c>
      <c r="AL4" s="58">
        <v>0</v>
      </c>
      <c r="AM4" s="58">
        <v>0</v>
      </c>
      <c r="AN4" s="58">
        <v>0</v>
      </c>
      <c r="AO4" s="58">
        <v>0</v>
      </c>
      <c r="AP4" s="58">
        <v>0</v>
      </c>
      <c r="AQ4" s="58">
        <v>0</v>
      </c>
      <c r="AR4" s="58">
        <v>0</v>
      </c>
      <c r="AS4" s="58">
        <v>0</v>
      </c>
      <c r="AT4" s="58">
        <v>0</v>
      </c>
      <c r="AU4" s="58">
        <v>0</v>
      </c>
      <c r="AV4" s="58">
        <v>81.199999999999989</v>
      </c>
      <c r="AW4" s="58">
        <v>0</v>
      </c>
      <c r="AX4" s="58">
        <v>0</v>
      </c>
      <c r="AY4" s="58">
        <v>0</v>
      </c>
      <c r="AZ4" s="58">
        <v>0</v>
      </c>
      <c r="BA4" s="58">
        <v>0</v>
      </c>
      <c r="BB4" s="60">
        <v>11523</v>
      </c>
      <c r="BC4" s="58">
        <v>0</v>
      </c>
      <c r="BD4" s="58">
        <v>76.2</v>
      </c>
      <c r="BE4" s="58">
        <v>0</v>
      </c>
      <c r="BF4" s="58">
        <v>0</v>
      </c>
      <c r="BG4" s="58">
        <v>0</v>
      </c>
      <c r="BH4" s="58">
        <v>0</v>
      </c>
      <c r="BI4" s="58">
        <v>0</v>
      </c>
      <c r="BJ4" s="58">
        <v>0</v>
      </c>
      <c r="BK4" s="58">
        <v>0</v>
      </c>
      <c r="BL4" s="58">
        <v>6.65</v>
      </c>
      <c r="BM4" s="58">
        <v>437500</v>
      </c>
      <c r="BN4" s="58">
        <v>24.6</v>
      </c>
      <c r="BO4" s="58">
        <v>0</v>
      </c>
    </row>
    <row r="5" spans="1:67" x14ac:dyDescent="0.25">
      <c r="A5" t="s">
        <v>67</v>
      </c>
      <c r="B5" s="57">
        <v>4</v>
      </c>
      <c r="C5" s="57">
        <v>2022</v>
      </c>
      <c r="D5" s="58">
        <v>200.59999999999997</v>
      </c>
      <c r="E5" s="58">
        <v>0</v>
      </c>
      <c r="F5" s="58">
        <v>110.6</v>
      </c>
      <c r="G5" s="34">
        <v>0</v>
      </c>
      <c r="H5" s="58">
        <v>215</v>
      </c>
      <c r="I5" s="34">
        <v>0</v>
      </c>
      <c r="J5" s="58">
        <v>64.100000000000009</v>
      </c>
      <c r="K5" s="58">
        <v>0</v>
      </c>
      <c r="L5" s="58">
        <v>0</v>
      </c>
      <c r="M5" s="59">
        <v>0</v>
      </c>
      <c r="N5" s="58">
        <v>78.499999999999986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22">
        <v>0</v>
      </c>
      <c r="V5" s="34">
        <v>5116</v>
      </c>
      <c r="W5" s="58">
        <v>11555278</v>
      </c>
      <c r="X5" s="58">
        <v>0</v>
      </c>
      <c r="Y5" s="58">
        <v>0</v>
      </c>
      <c r="Z5" s="58">
        <v>0</v>
      </c>
      <c r="AA5" s="58">
        <v>0</v>
      </c>
      <c r="AB5" s="58">
        <v>0</v>
      </c>
      <c r="AC5" s="58">
        <v>0</v>
      </c>
      <c r="AD5" s="58">
        <v>0</v>
      </c>
      <c r="AE5" s="58">
        <v>0</v>
      </c>
      <c r="AF5" s="58">
        <v>0</v>
      </c>
      <c r="AG5" s="58">
        <v>0</v>
      </c>
      <c r="AH5" s="58">
        <v>0</v>
      </c>
      <c r="AI5" s="58">
        <v>0</v>
      </c>
      <c r="AJ5" s="58">
        <v>0</v>
      </c>
      <c r="AK5" s="58">
        <v>0</v>
      </c>
      <c r="AL5" s="58">
        <v>0</v>
      </c>
      <c r="AM5" s="58">
        <v>0</v>
      </c>
      <c r="AN5" s="58">
        <v>0</v>
      </c>
      <c r="AO5" s="58">
        <v>0</v>
      </c>
      <c r="AP5" s="58">
        <v>0</v>
      </c>
      <c r="AQ5" s="58">
        <v>0</v>
      </c>
      <c r="AR5" s="58">
        <v>0</v>
      </c>
      <c r="AS5" s="58">
        <v>0</v>
      </c>
      <c r="AT5" s="58">
        <v>0</v>
      </c>
      <c r="AU5" s="58">
        <v>0</v>
      </c>
      <c r="AV5" s="58">
        <v>0</v>
      </c>
      <c r="AW5" s="58">
        <v>0</v>
      </c>
      <c r="AX5" s="58">
        <v>0</v>
      </c>
      <c r="AY5" s="58">
        <v>0</v>
      </c>
      <c r="AZ5" s="58">
        <v>0</v>
      </c>
      <c r="BA5" s="60">
        <v>0</v>
      </c>
      <c r="BB5" s="58">
        <v>13278.059999999998</v>
      </c>
      <c r="BC5" s="58">
        <v>0</v>
      </c>
      <c r="BD5" s="58">
        <v>0</v>
      </c>
      <c r="BE5" s="58">
        <v>0</v>
      </c>
      <c r="BF5" s="58">
        <v>0</v>
      </c>
      <c r="BG5" s="58">
        <v>0</v>
      </c>
      <c r="BH5" s="58">
        <v>0</v>
      </c>
      <c r="BI5" s="58">
        <v>0</v>
      </c>
      <c r="BJ5" s="58">
        <v>0</v>
      </c>
      <c r="BK5" s="58">
        <v>0</v>
      </c>
      <c r="BL5" s="58">
        <v>0</v>
      </c>
      <c r="BM5" s="58">
        <v>0</v>
      </c>
      <c r="BN5" s="58">
        <v>0</v>
      </c>
      <c r="BO5">
        <v>0</v>
      </c>
    </row>
    <row r="6" spans="1:67" x14ac:dyDescent="0.25">
      <c r="A6" t="s">
        <v>67</v>
      </c>
      <c r="B6" s="57">
        <v>5</v>
      </c>
      <c r="C6" s="57">
        <v>2022</v>
      </c>
      <c r="D6" s="22">
        <v>198.30000000000004</v>
      </c>
      <c r="E6" s="22">
        <v>0</v>
      </c>
      <c r="F6" s="22">
        <v>118.19999999999999</v>
      </c>
      <c r="G6" s="22">
        <v>0</v>
      </c>
      <c r="H6" s="22">
        <v>260.8</v>
      </c>
      <c r="I6" s="22">
        <v>0</v>
      </c>
      <c r="J6" s="22">
        <v>106.69999999999999</v>
      </c>
      <c r="K6" s="22">
        <v>0</v>
      </c>
      <c r="L6" s="22">
        <v>0</v>
      </c>
      <c r="M6" s="22">
        <v>0</v>
      </c>
      <c r="N6" s="22">
        <v>58.600000000000009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7190</v>
      </c>
      <c r="W6" s="58">
        <v>11555278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0</v>
      </c>
      <c r="AI6" s="22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0</v>
      </c>
      <c r="BA6" s="22">
        <v>0</v>
      </c>
      <c r="BB6" s="22">
        <v>16080</v>
      </c>
      <c r="BC6" s="22">
        <v>0</v>
      </c>
      <c r="BD6" s="22">
        <v>0</v>
      </c>
      <c r="BE6" s="22">
        <v>0</v>
      </c>
      <c r="BF6" s="22">
        <v>0</v>
      </c>
      <c r="BG6" s="22">
        <v>0</v>
      </c>
      <c r="BH6" s="22">
        <v>0</v>
      </c>
      <c r="BI6" s="22">
        <v>0</v>
      </c>
      <c r="BJ6" s="22">
        <v>0</v>
      </c>
      <c r="BK6" s="22">
        <v>0</v>
      </c>
      <c r="BL6" s="22">
        <v>0</v>
      </c>
      <c r="BM6" s="22">
        <v>0</v>
      </c>
      <c r="BN6" s="22">
        <v>0</v>
      </c>
      <c r="BO6" s="22">
        <v>0</v>
      </c>
    </row>
    <row r="7" spans="1:67" x14ac:dyDescent="0.25">
      <c r="A7" t="s">
        <v>67</v>
      </c>
      <c r="B7" s="57">
        <v>6</v>
      </c>
      <c r="C7" s="57">
        <v>2022</v>
      </c>
      <c r="D7" s="34">
        <v>489.20000000000005</v>
      </c>
      <c r="E7" s="34">
        <v>0</v>
      </c>
      <c r="F7" s="34">
        <v>367.59999999999991</v>
      </c>
      <c r="G7" s="34">
        <v>0</v>
      </c>
      <c r="H7" s="34">
        <v>140.89999999999998</v>
      </c>
      <c r="I7" s="34">
        <v>0</v>
      </c>
      <c r="J7" s="34">
        <v>121.7</v>
      </c>
      <c r="K7" s="34">
        <v>0</v>
      </c>
      <c r="L7" s="34">
        <v>121.7</v>
      </c>
      <c r="M7" s="34">
        <v>0</v>
      </c>
      <c r="N7" s="34">
        <v>297.69999999999993</v>
      </c>
      <c r="O7" s="34">
        <v>0</v>
      </c>
      <c r="P7" s="34">
        <v>0</v>
      </c>
      <c r="Q7" s="34">
        <v>0</v>
      </c>
      <c r="R7" s="61">
        <v>0</v>
      </c>
      <c r="S7" s="34">
        <v>0</v>
      </c>
      <c r="T7" s="34">
        <v>0</v>
      </c>
      <c r="U7" s="34">
        <v>0</v>
      </c>
      <c r="V7" s="34">
        <v>8278</v>
      </c>
      <c r="W7" s="34">
        <v>11555278</v>
      </c>
      <c r="X7" s="34">
        <v>0</v>
      </c>
      <c r="Y7" s="34">
        <v>0</v>
      </c>
      <c r="Z7" s="62">
        <v>0</v>
      </c>
      <c r="AA7" s="34">
        <v>0</v>
      </c>
      <c r="AB7" s="62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  <c r="AR7" s="34">
        <v>0</v>
      </c>
      <c r="AS7" s="34">
        <v>0</v>
      </c>
      <c r="AT7" s="34">
        <v>0</v>
      </c>
      <c r="AU7" s="34">
        <v>0</v>
      </c>
      <c r="AV7" s="34">
        <v>0</v>
      </c>
      <c r="AW7" s="34">
        <v>0</v>
      </c>
      <c r="AX7" s="34">
        <v>0</v>
      </c>
      <c r="AY7" s="34">
        <v>0</v>
      </c>
      <c r="AZ7" s="34">
        <v>0</v>
      </c>
      <c r="BA7" s="34">
        <v>0</v>
      </c>
      <c r="BB7" s="34">
        <v>13981.4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0</v>
      </c>
      <c r="BN7" s="34">
        <v>0</v>
      </c>
      <c r="BO7" s="34">
        <v>0</v>
      </c>
    </row>
    <row r="8" spans="1:67" x14ac:dyDescent="0.25">
      <c r="A8" t="s">
        <v>67</v>
      </c>
      <c r="B8" s="57">
        <v>7</v>
      </c>
      <c r="C8" s="57">
        <v>2022</v>
      </c>
      <c r="D8" s="22">
        <v>664</v>
      </c>
      <c r="E8" s="22">
        <v>0</v>
      </c>
      <c r="F8" s="22">
        <v>29.900000000000002</v>
      </c>
      <c r="G8" s="22">
        <v>0</v>
      </c>
      <c r="H8" s="22">
        <v>142.69999999999996</v>
      </c>
      <c r="I8" s="22">
        <v>0</v>
      </c>
      <c r="J8" s="22">
        <v>664</v>
      </c>
      <c r="K8" s="22">
        <v>0</v>
      </c>
      <c r="L8" s="22">
        <v>16</v>
      </c>
      <c r="M8" s="22">
        <v>0</v>
      </c>
      <c r="N8" s="22">
        <v>102.3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6960</v>
      </c>
      <c r="W8" s="22">
        <v>11555278</v>
      </c>
      <c r="X8" s="22">
        <v>76.2</v>
      </c>
      <c r="Y8" s="22">
        <v>0</v>
      </c>
      <c r="Z8" s="22">
        <v>31.900000000000002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137.19999999999999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11523</v>
      </c>
      <c r="BC8" s="22">
        <v>0</v>
      </c>
      <c r="BD8" s="22">
        <v>76.2</v>
      </c>
      <c r="BE8" s="22">
        <v>0</v>
      </c>
      <c r="BF8" s="22">
        <v>0</v>
      </c>
      <c r="BG8" s="22">
        <v>0</v>
      </c>
      <c r="BH8" s="22">
        <v>0</v>
      </c>
      <c r="BI8" s="22">
        <v>0</v>
      </c>
      <c r="BJ8" s="22">
        <v>0</v>
      </c>
      <c r="BK8" s="22">
        <v>0</v>
      </c>
      <c r="BL8" s="22">
        <v>6.65</v>
      </c>
      <c r="BM8" s="22">
        <v>437500</v>
      </c>
      <c r="BN8" s="22">
        <v>95.299999999999969</v>
      </c>
      <c r="BO8" s="22">
        <v>0</v>
      </c>
    </row>
    <row r="9" spans="1:67" x14ac:dyDescent="0.25">
      <c r="A9" t="s">
        <v>67</v>
      </c>
      <c r="B9" s="57">
        <v>8</v>
      </c>
      <c r="C9" s="57">
        <v>2022</v>
      </c>
    </row>
    <row r="10" spans="1:67" x14ac:dyDescent="0.25">
      <c r="A10" t="s">
        <v>67</v>
      </c>
      <c r="B10" s="57">
        <v>9</v>
      </c>
      <c r="C10" s="57">
        <v>2022</v>
      </c>
    </row>
    <row r="11" spans="1:67" x14ac:dyDescent="0.25">
      <c r="A11" t="s">
        <v>67</v>
      </c>
      <c r="B11" s="57">
        <v>10</v>
      </c>
      <c r="C11" s="57">
        <v>2022</v>
      </c>
    </row>
    <row r="12" spans="1:67" x14ac:dyDescent="0.25">
      <c r="A12" t="s">
        <v>67</v>
      </c>
      <c r="B12" s="57">
        <v>11</v>
      </c>
      <c r="C12" s="57">
        <v>2022</v>
      </c>
    </row>
    <row r="13" spans="1:67" x14ac:dyDescent="0.25">
      <c r="A13" t="s">
        <v>67</v>
      </c>
      <c r="B13" s="57">
        <v>12</v>
      </c>
      <c r="C13" s="57">
        <v>2022</v>
      </c>
    </row>
  </sheetData>
  <sheetProtection algorithmName="SHA-512" hashValue="BPsZQAxXjLV3FshBtBdO+popbKax6v/z5VDJztbz5YQfB1nBegE1K3oX676qeQMDdjz5SDmj76dbGYJ1koBn+A==" saltValue="GG+cJ3wJmbr0GQlCFxWlm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50"/>
  <sheetViews>
    <sheetView topLeftCell="BK19" workbookViewId="0">
      <selection activeCell="E33" sqref="E33:BP33"/>
    </sheetView>
  </sheetViews>
  <sheetFormatPr defaultColWidth="11.5703125" defaultRowHeight="15" x14ac:dyDescent="0.25"/>
  <cols>
    <col min="1" max="1" width="18.42578125" style="19" customWidth="1"/>
    <col min="2" max="2" width="8.28515625" style="20" customWidth="1"/>
    <col min="3" max="3" width="7.5703125" style="21" customWidth="1"/>
    <col min="4" max="4" width="13.42578125" style="20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15" customFormat="1" ht="113.25" customHeight="1" x14ac:dyDescent="0.25">
      <c r="A1" s="13" t="s">
        <v>0</v>
      </c>
      <c r="B1" s="13" t="s">
        <v>68</v>
      </c>
      <c r="C1" s="14" t="s">
        <v>1</v>
      </c>
      <c r="D1" s="31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17</v>
      </c>
      <c r="T1" s="30" t="s">
        <v>18</v>
      </c>
      <c r="U1" s="30" t="s">
        <v>19</v>
      </c>
      <c r="V1" s="30" t="s">
        <v>20</v>
      </c>
      <c r="W1" s="30" t="s">
        <v>21</v>
      </c>
      <c r="X1" s="30" t="s">
        <v>22</v>
      </c>
      <c r="Y1" s="30" t="s">
        <v>23</v>
      </c>
      <c r="Z1" s="30" t="s">
        <v>24</v>
      </c>
      <c r="AA1" s="30" t="s">
        <v>25</v>
      </c>
      <c r="AB1" s="30" t="s">
        <v>26</v>
      </c>
      <c r="AC1" s="30" t="s">
        <v>27</v>
      </c>
      <c r="AD1" s="30" t="s">
        <v>28</v>
      </c>
      <c r="AE1" s="30" t="s">
        <v>29</v>
      </c>
      <c r="AF1" s="30" t="s">
        <v>30</v>
      </c>
      <c r="AG1" s="30" t="s">
        <v>31</v>
      </c>
      <c r="AH1" s="30" t="s">
        <v>32</v>
      </c>
      <c r="AI1" s="30" t="s">
        <v>33</v>
      </c>
      <c r="AJ1" s="30" t="s">
        <v>34</v>
      </c>
      <c r="AK1" s="30" t="s">
        <v>35</v>
      </c>
      <c r="AL1" s="30" t="s">
        <v>36</v>
      </c>
      <c r="AM1" s="30" t="s">
        <v>37</v>
      </c>
      <c r="AN1" s="30" t="s">
        <v>38</v>
      </c>
      <c r="AO1" s="30" t="s">
        <v>39</v>
      </c>
      <c r="AP1" s="30" t="s">
        <v>40</v>
      </c>
      <c r="AQ1" s="30" t="s">
        <v>41</v>
      </c>
      <c r="AR1" s="30" t="s">
        <v>42</v>
      </c>
      <c r="AS1" s="30" t="s">
        <v>43</v>
      </c>
      <c r="AT1" s="30" t="s">
        <v>44</v>
      </c>
      <c r="AU1" s="30" t="s">
        <v>45</v>
      </c>
      <c r="AV1" s="30" t="s">
        <v>46</v>
      </c>
      <c r="AW1" s="30" t="s">
        <v>47</v>
      </c>
      <c r="AX1" s="30" t="s">
        <v>48</v>
      </c>
      <c r="AY1" s="30" t="s">
        <v>49</v>
      </c>
      <c r="AZ1" s="30" t="s">
        <v>50</v>
      </c>
      <c r="BA1" s="30" t="s">
        <v>51</v>
      </c>
      <c r="BB1" s="30" t="s">
        <v>52</v>
      </c>
      <c r="BC1" s="30" t="s">
        <v>53</v>
      </c>
      <c r="BD1" s="30" t="s">
        <v>54</v>
      </c>
      <c r="BE1" s="30" t="s">
        <v>55</v>
      </c>
      <c r="BF1" s="30" t="s">
        <v>56</v>
      </c>
      <c r="BG1" s="30" t="s">
        <v>57</v>
      </c>
      <c r="BH1" s="30" t="s">
        <v>58</v>
      </c>
      <c r="BI1" s="30" t="s">
        <v>59</v>
      </c>
      <c r="BJ1" s="30" t="s">
        <v>60</v>
      </c>
      <c r="BK1" s="30" t="s">
        <v>61</v>
      </c>
      <c r="BL1" s="30" t="s">
        <v>62</v>
      </c>
      <c r="BM1" s="30" t="s">
        <v>63</v>
      </c>
      <c r="BN1" s="30" t="s">
        <v>64</v>
      </c>
      <c r="BO1" s="33" t="s">
        <v>65</v>
      </c>
      <c r="BP1" s="30" t="s">
        <v>66</v>
      </c>
    </row>
    <row r="2" spans="1:68" x14ac:dyDescent="0.25">
      <c r="A2" s="16" t="s">
        <v>67</v>
      </c>
      <c r="B2" s="17">
        <v>1</v>
      </c>
      <c r="C2" s="18">
        <v>7</v>
      </c>
      <c r="D2" s="32">
        <v>2022</v>
      </c>
      <c r="E2" s="30">
        <f>'FS Jimbaran July 2022'!K12</f>
        <v>25</v>
      </c>
      <c r="F2" s="30">
        <f>'FS Jimbaran July 2022'!N12</f>
        <v>0</v>
      </c>
      <c r="G2" s="30">
        <f>'FS Jimbaran July 2022'!G12</f>
        <v>5</v>
      </c>
      <c r="H2" s="30">
        <f>'FS Jimbaran July 2022'!H12</f>
        <v>0</v>
      </c>
      <c r="I2" s="30">
        <f>'FS Jimbaran July 2022'!I12</f>
        <v>10.3</v>
      </c>
      <c r="J2" s="30">
        <f>'FS Jimbaran July 2022'!J12</f>
        <v>0</v>
      </c>
      <c r="K2" s="30">
        <f>'FS Jimbaran July 2022'!K12</f>
        <v>25</v>
      </c>
      <c r="L2" s="30">
        <f>'FS Jimbaran July 2022'!L12</f>
        <v>0</v>
      </c>
      <c r="M2" s="30">
        <f>'FS Jimbaran July 2022'!S12</f>
        <v>1</v>
      </c>
      <c r="N2" s="30">
        <f>'FS Jimbaran July 2022'!T12</f>
        <v>0</v>
      </c>
      <c r="O2" s="30">
        <f>'FS Jimbaran July 2022'!U12</f>
        <v>2.2999999999999998</v>
      </c>
      <c r="P2" s="30">
        <f>'FS Jimbaran July 2022'!V12</f>
        <v>0</v>
      </c>
      <c r="Q2" s="30">
        <f>'FS Jimbaran July 2022'!BE12</f>
        <v>0</v>
      </c>
      <c r="R2" s="30">
        <f>'FS Jimbaran July 2022'!BF12</f>
        <v>0</v>
      </c>
      <c r="S2" s="30">
        <f>'FS Jimbaran July 2022'!BH12</f>
        <v>0</v>
      </c>
      <c r="T2" s="30">
        <f>'FS Jimbaran July 2022'!BH12</f>
        <v>0</v>
      </c>
      <c r="U2" s="30">
        <f>'FS Jimbaran July 2022'!BI12</f>
        <v>0</v>
      </c>
      <c r="V2" s="30">
        <f>'FS Jimbaran July 2022'!BJ12</f>
        <v>0</v>
      </c>
      <c r="W2" s="30">
        <f>'FS Jimbaran July 2022'!Y12</f>
        <v>247</v>
      </c>
      <c r="X2" s="30">
        <f>'FS Jimbaran July 2022'!Z12</f>
        <v>11555278</v>
      </c>
      <c r="Y2" s="30">
        <f>'FS Jimbaran July 2022'!AA12</f>
        <v>4.2</v>
      </c>
      <c r="Z2" s="30">
        <f>'FS Jimbaran July 2022'!AB12</f>
        <v>0</v>
      </c>
      <c r="AA2" s="30">
        <f>'FS Jimbaran July 2022'!AC12</f>
        <v>1.5</v>
      </c>
      <c r="AB2" s="30">
        <f>'FS Jimbaran July 2022'!AD12</f>
        <v>0</v>
      </c>
      <c r="AC2" s="30">
        <f>'FS Jimbaran July 2022'!AE12</f>
        <v>0</v>
      </c>
      <c r="AD2" s="30">
        <f>'FS Jimbaran July 2022'!AF12</f>
        <v>0</v>
      </c>
      <c r="AE2" s="30">
        <f>'FS Jimbaran July 2022'!AG12</f>
        <v>0</v>
      </c>
      <c r="AF2" s="30">
        <f>'FS Jimbaran July 2022'!AH12</f>
        <v>0</v>
      </c>
      <c r="AG2" s="30">
        <f>'FS Jimbaran July 2022'!AM12</f>
        <v>0</v>
      </c>
      <c r="AH2" s="30">
        <f>'FS Jimbaran July 2022'!AR12</f>
        <v>0</v>
      </c>
      <c r="AI2" s="30">
        <f>'FS Jimbaran July 2022'!AQ12</f>
        <v>0</v>
      </c>
      <c r="AJ2" s="30">
        <f>'FS Jimbaran July 2022'!AR12</f>
        <v>0</v>
      </c>
      <c r="AK2" s="30">
        <f>'FS Jimbaran July 2022'!AY12</f>
        <v>0</v>
      </c>
      <c r="AL2" s="30">
        <f>'FS Jimbaran July 2022'!AZ12</f>
        <v>0</v>
      </c>
      <c r="AM2" s="30">
        <f>'FS Jimbaran July 2022'!BB12</f>
        <v>0</v>
      </c>
      <c r="AN2" s="30">
        <f>'FS Jimbaran July 2022'!BB12</f>
        <v>0</v>
      </c>
      <c r="AO2" s="30">
        <f>'FS Jimbaran July 2022'!BK12</f>
        <v>0</v>
      </c>
      <c r="AP2" s="30">
        <f>'FS Jimbaran July 2022'!BL12</f>
        <v>0</v>
      </c>
      <c r="AQ2" s="30">
        <f>'FS Jimbaran July 2022'!BC12</f>
        <v>0</v>
      </c>
      <c r="AR2" s="30">
        <f>'FS Jimbaran July 2022'!BD12</f>
        <v>0</v>
      </c>
      <c r="AS2" s="30">
        <f>'FS Jimbaran July 2022'!BM12</f>
        <v>0</v>
      </c>
      <c r="AT2" s="30">
        <f>'FS Jimbaran July 2022'!BN12</f>
        <v>0</v>
      </c>
      <c r="AU2" s="30">
        <f>'FS Jimbaran July 2022'!BO12</f>
        <v>0</v>
      </c>
      <c r="AV2" s="30">
        <f>'FS Jimbaran July 2022'!BP12</f>
        <v>0</v>
      </c>
      <c r="AW2" s="30">
        <f>'FS Jimbaran July 2022'!E12</f>
        <v>5.3</v>
      </c>
      <c r="AX2" s="30">
        <f>'FS Jimbaran July 2022'!F12</f>
        <v>0</v>
      </c>
      <c r="AY2" s="30">
        <f>'FS Jimbaran July 2022'!O12</f>
        <v>0</v>
      </c>
      <c r="AZ2" s="30">
        <f>'FS Jimbaran July 2022'!P12</f>
        <v>0</v>
      </c>
      <c r="BA2" s="30">
        <f>'FS Jimbaran July 2022'!W12</f>
        <v>0</v>
      </c>
      <c r="BB2" s="30">
        <f>'FS Jimbaran July 2022'!X12</f>
        <v>0</v>
      </c>
      <c r="BC2" s="30">
        <f>'FS Jimbaran July 2022'!AI12</f>
        <v>402.5</v>
      </c>
      <c r="BD2" s="30">
        <f>'FS Jimbaran July 2022'!AJ12</f>
        <v>0</v>
      </c>
      <c r="BE2" s="30">
        <f>'FS Jimbaran July 2022'!AK12</f>
        <v>4.2</v>
      </c>
      <c r="BF2" s="30">
        <f>'FS Jimbaran July 2022'!AL12</f>
        <v>0</v>
      </c>
      <c r="BG2" s="30">
        <f>'FS Jimbaran July 2022'!AM12</f>
        <v>0</v>
      </c>
      <c r="BH2" s="30">
        <f>'FS Jimbaran July 2022'!AN12</f>
        <v>0</v>
      </c>
      <c r="BI2" s="30">
        <f>'FS Jimbaran July 2022'!AO12</f>
        <v>0</v>
      </c>
      <c r="BJ2" s="30">
        <f>'FS Jimbaran July 2022'!AO12</f>
        <v>0</v>
      </c>
      <c r="BK2" s="30">
        <f>'FS Jimbaran July 2022'!AQ12</f>
        <v>0</v>
      </c>
      <c r="BL2" s="30">
        <f>'FS Jimbaran July 2022'!AR12</f>
        <v>0</v>
      </c>
      <c r="BM2" s="30">
        <v>6.65</v>
      </c>
      <c r="BN2" s="30">
        <v>437500</v>
      </c>
      <c r="BO2" s="33">
        <f>'FS Jimbaran July 2022'!Q12</f>
        <v>10</v>
      </c>
      <c r="BP2" s="30">
        <f>'FS Jimbaran July 2022'!R12</f>
        <v>0</v>
      </c>
    </row>
    <row r="3" spans="1:68" x14ac:dyDescent="0.25">
      <c r="A3" s="16" t="s">
        <v>67</v>
      </c>
      <c r="B3" s="17">
        <f>B2+1</f>
        <v>2</v>
      </c>
      <c r="C3" s="18">
        <v>7</v>
      </c>
      <c r="D3" s="32">
        <v>2022</v>
      </c>
      <c r="E3" s="30">
        <f>'FS Jimbaran July 2022'!K13</f>
        <v>26</v>
      </c>
      <c r="F3" s="30">
        <f>'FS Jimbaran July 2022'!N13</f>
        <v>0</v>
      </c>
      <c r="G3" s="30">
        <f>'FS Jimbaran July 2022'!G13</f>
        <v>0</v>
      </c>
      <c r="H3" s="30">
        <f>'FS Jimbaran July 2022'!H13</f>
        <v>0</v>
      </c>
      <c r="I3" s="30">
        <f>'FS Jimbaran July 2022'!I13</f>
        <v>2</v>
      </c>
      <c r="J3" s="30">
        <f>'FS Jimbaran July 2022'!J13</f>
        <v>0</v>
      </c>
      <c r="K3" s="30">
        <f>'FS Jimbaran July 2022'!K13</f>
        <v>26</v>
      </c>
      <c r="L3" s="30">
        <f>'FS Jimbaran July 2022'!L13</f>
        <v>0</v>
      </c>
      <c r="M3" s="30">
        <f>'FS Jimbaran July 2022'!S13</f>
        <v>0</v>
      </c>
      <c r="N3" s="30">
        <f>'FS Jimbaran July 2022'!T13</f>
        <v>0</v>
      </c>
      <c r="O3" s="30">
        <f>'FS Jimbaran July 2022'!U13</f>
        <v>2.5</v>
      </c>
      <c r="P3" s="30">
        <f>'FS Jimbaran July 2022'!V13</f>
        <v>0</v>
      </c>
      <c r="Q3" s="30">
        <f>'FS Jimbaran July 2022'!BE13</f>
        <v>0</v>
      </c>
      <c r="R3" s="30">
        <f>'FS Jimbaran July 2022'!BF13</f>
        <v>0</v>
      </c>
      <c r="S3" s="30">
        <f>'FS Jimbaran July 2022'!BH13</f>
        <v>0</v>
      </c>
      <c r="T3" s="30">
        <f>'FS Jimbaran July 2022'!BH13</f>
        <v>0</v>
      </c>
      <c r="U3" s="30">
        <f>'FS Jimbaran July 2022'!BI13</f>
        <v>0</v>
      </c>
      <c r="V3" s="30">
        <f>'FS Jimbaran July 2022'!BJ13</f>
        <v>0</v>
      </c>
      <c r="W3" s="30">
        <f>'FS Jimbaran July 2022'!Y13</f>
        <v>247</v>
      </c>
      <c r="X3" s="30">
        <f>'FS Jimbaran July 2022'!Z13</f>
        <v>0</v>
      </c>
      <c r="Y3" s="30">
        <f>'FS Jimbaran July 2022'!AA13</f>
        <v>0</v>
      </c>
      <c r="Z3" s="30">
        <f>'FS Jimbaran July 2022'!AB13</f>
        <v>0</v>
      </c>
      <c r="AA3" s="30">
        <f>'FS Jimbaran July 2022'!AC13</f>
        <v>0</v>
      </c>
      <c r="AB3" s="30">
        <f>'FS Jimbaran July 2022'!AD13</f>
        <v>0</v>
      </c>
      <c r="AC3" s="30">
        <f>'FS Jimbaran July 2022'!AE13</f>
        <v>0</v>
      </c>
      <c r="AD3" s="30">
        <f>'FS Jimbaran July 2022'!AF13</f>
        <v>0</v>
      </c>
      <c r="AE3" s="30">
        <f>'FS Jimbaran July 2022'!AG13</f>
        <v>0</v>
      </c>
      <c r="AF3" s="30">
        <f>'FS Jimbaran July 2022'!AH13</f>
        <v>0</v>
      </c>
      <c r="AG3" s="30">
        <f>'FS Jimbaran July 2022'!AM13</f>
        <v>0</v>
      </c>
      <c r="AH3" s="30">
        <f>'FS Jimbaran July 2022'!AR13</f>
        <v>0</v>
      </c>
      <c r="AI3" s="30">
        <f>'FS Jimbaran July 2022'!AQ13</f>
        <v>0</v>
      </c>
      <c r="AJ3" s="30">
        <f>'FS Jimbaran July 2022'!AR13</f>
        <v>0</v>
      </c>
      <c r="AK3" s="30">
        <f>'FS Jimbaran July 2022'!AY13</f>
        <v>0</v>
      </c>
      <c r="AL3" s="30">
        <f>'FS Jimbaran July 2022'!AZ13</f>
        <v>0</v>
      </c>
      <c r="AM3" s="30">
        <f>'FS Jimbaran July 2022'!BB13</f>
        <v>0</v>
      </c>
      <c r="AN3" s="30">
        <f>'FS Jimbaran July 2022'!BB13</f>
        <v>0</v>
      </c>
      <c r="AO3" s="30">
        <f>'FS Jimbaran July 2022'!BK13</f>
        <v>0</v>
      </c>
      <c r="AP3" s="30">
        <f>'FS Jimbaran July 2022'!BL13</f>
        <v>0</v>
      </c>
      <c r="AQ3" s="30">
        <f>'FS Jimbaran July 2022'!BC13</f>
        <v>0</v>
      </c>
      <c r="AR3" s="30">
        <f>'FS Jimbaran July 2022'!BD13</f>
        <v>0</v>
      </c>
      <c r="AS3" s="30">
        <f>'FS Jimbaran July 2022'!BM13</f>
        <v>0</v>
      </c>
      <c r="AT3" s="30">
        <f>'FS Jimbaran July 2022'!BN13</f>
        <v>0</v>
      </c>
      <c r="AU3" s="30">
        <f>'FS Jimbaran July 2022'!BO13</f>
        <v>0</v>
      </c>
      <c r="AV3" s="30">
        <f>'FS Jimbaran July 2022'!BP13</f>
        <v>0</v>
      </c>
      <c r="AW3" s="30">
        <f>'FS Jimbaran July 2022'!E13</f>
        <v>8</v>
      </c>
      <c r="AX3" s="30">
        <f>'FS Jimbaran July 2022'!F13</f>
        <v>0</v>
      </c>
      <c r="AY3" s="30">
        <f>'FS Jimbaran July 2022'!O13</f>
        <v>0</v>
      </c>
      <c r="AZ3" s="30">
        <f>'FS Jimbaran July 2022'!P13</f>
        <v>0</v>
      </c>
      <c r="BA3" s="30">
        <f>'FS Jimbaran July 2022'!W13</f>
        <v>0</v>
      </c>
      <c r="BB3" s="30">
        <f>'FS Jimbaran July 2022'!X13</f>
        <v>0</v>
      </c>
      <c r="BC3" s="30">
        <f>'FS Jimbaran July 2022'!AI13</f>
        <v>414</v>
      </c>
      <c r="BD3" s="30">
        <f>'FS Jimbaran July 2022'!AJ13</f>
        <v>0</v>
      </c>
      <c r="BE3" s="30">
        <f>'FS Jimbaran July 2022'!AK13</f>
        <v>0</v>
      </c>
      <c r="BF3" s="30">
        <f>'FS Jimbaran July 2022'!AL13</f>
        <v>0</v>
      </c>
      <c r="BG3" s="30">
        <f>'FS Jimbaran July 2022'!AM13</f>
        <v>0</v>
      </c>
      <c r="BH3" s="30">
        <f>'FS Jimbaran July 2022'!AN13</f>
        <v>0</v>
      </c>
      <c r="BI3" s="30">
        <f>'FS Jimbaran July 2022'!AO13</f>
        <v>0</v>
      </c>
      <c r="BJ3" s="30">
        <f>'FS Jimbaran July 2022'!AO13</f>
        <v>0</v>
      </c>
      <c r="BK3" s="30">
        <f>'FS Jimbaran July 2022'!AQ13</f>
        <v>0</v>
      </c>
      <c r="BL3" s="30">
        <f>'FS Jimbaran July 2022'!AR13</f>
        <v>0</v>
      </c>
      <c r="BM3" s="30">
        <v>0</v>
      </c>
      <c r="BN3" s="30">
        <v>0</v>
      </c>
      <c r="BO3" s="33">
        <f>'FS Jimbaran July 2022'!Q13</f>
        <v>15</v>
      </c>
      <c r="BP3" s="30">
        <f>'FS Jimbaran July 2022'!R13</f>
        <v>0</v>
      </c>
    </row>
    <row r="4" spans="1:68" x14ac:dyDescent="0.25">
      <c r="A4" s="16" t="s">
        <v>67</v>
      </c>
      <c r="B4" s="17">
        <f t="shared" ref="B4:B32" si="0">B3+1</f>
        <v>3</v>
      </c>
      <c r="C4" s="18">
        <v>7</v>
      </c>
      <c r="D4" s="32">
        <v>2022</v>
      </c>
      <c r="E4" s="30">
        <f>'FS Jimbaran July 2022'!K14</f>
        <v>30</v>
      </c>
      <c r="F4" s="30">
        <f>'FS Jimbaran July 2022'!N14</f>
        <v>0</v>
      </c>
      <c r="G4" s="30">
        <f>'FS Jimbaran July 2022'!G14</f>
        <v>6</v>
      </c>
      <c r="H4" s="30">
        <f>'FS Jimbaran July 2022'!H14</f>
        <v>0</v>
      </c>
      <c r="I4" s="30">
        <f>'FS Jimbaran July 2022'!I14</f>
        <v>5.2</v>
      </c>
      <c r="J4" s="30">
        <f>'FS Jimbaran July 2022'!J14</f>
        <v>0</v>
      </c>
      <c r="K4" s="30">
        <f>'FS Jimbaran July 2022'!K14</f>
        <v>30</v>
      </c>
      <c r="L4" s="30">
        <f>'FS Jimbaran July 2022'!L14</f>
        <v>0</v>
      </c>
      <c r="M4" s="30">
        <f>'FS Jimbaran July 2022'!S14</f>
        <v>2</v>
      </c>
      <c r="N4" s="30">
        <f>'FS Jimbaran July 2022'!T14</f>
        <v>0</v>
      </c>
      <c r="O4" s="30">
        <f>'FS Jimbaran July 2022'!U14</f>
        <v>1.6</v>
      </c>
      <c r="P4" s="30">
        <f>'FS Jimbaran July 2022'!V14</f>
        <v>0</v>
      </c>
      <c r="Q4" s="30">
        <f>'FS Jimbaran July 2022'!BE14</f>
        <v>0</v>
      </c>
      <c r="R4" s="30">
        <f>'FS Jimbaran July 2022'!BF14</f>
        <v>0</v>
      </c>
      <c r="S4" s="30">
        <f>'FS Jimbaran July 2022'!BH14</f>
        <v>0</v>
      </c>
      <c r="T4" s="30">
        <f>'FS Jimbaran July 2022'!BH14</f>
        <v>0</v>
      </c>
      <c r="U4" s="30">
        <f>'FS Jimbaran July 2022'!BI14</f>
        <v>0</v>
      </c>
      <c r="V4" s="30">
        <f>'FS Jimbaran July 2022'!BJ14</f>
        <v>0</v>
      </c>
      <c r="W4" s="30">
        <f>'FS Jimbaran July 2022'!Y14</f>
        <v>155</v>
      </c>
      <c r="X4" s="30">
        <f>'FS Jimbaran July 2022'!Z14</f>
        <v>0</v>
      </c>
      <c r="Y4" s="30">
        <f>'FS Jimbaran July 2022'!AA14</f>
        <v>5.2</v>
      </c>
      <c r="Z4" s="30">
        <f>'FS Jimbaran July 2022'!AB14</f>
        <v>0</v>
      </c>
      <c r="AA4" s="30">
        <f>'FS Jimbaran July 2022'!AC14</f>
        <v>2.2999999999999998</v>
      </c>
      <c r="AB4" s="30">
        <f>'FS Jimbaran July 2022'!AD14</f>
        <v>0</v>
      </c>
      <c r="AC4" s="30">
        <f>'FS Jimbaran July 2022'!AE14</f>
        <v>0</v>
      </c>
      <c r="AD4" s="30">
        <f>'FS Jimbaran July 2022'!AF14</f>
        <v>0</v>
      </c>
      <c r="AE4" s="30">
        <f>'FS Jimbaran July 2022'!AG14</f>
        <v>0</v>
      </c>
      <c r="AF4" s="30">
        <f>'FS Jimbaran July 2022'!AH14</f>
        <v>0</v>
      </c>
      <c r="AG4" s="30">
        <f>'FS Jimbaran July 2022'!AM14</f>
        <v>0</v>
      </c>
      <c r="AH4" s="30">
        <f>'FS Jimbaran July 2022'!AR14</f>
        <v>0</v>
      </c>
      <c r="AI4" s="30">
        <f>'FS Jimbaran July 2022'!AQ14</f>
        <v>0</v>
      </c>
      <c r="AJ4" s="30">
        <f>'FS Jimbaran July 2022'!AR14</f>
        <v>0</v>
      </c>
      <c r="AK4" s="30">
        <f>'FS Jimbaran July 2022'!AY14</f>
        <v>0</v>
      </c>
      <c r="AL4" s="30">
        <f>'FS Jimbaran July 2022'!AZ14</f>
        <v>0</v>
      </c>
      <c r="AM4" s="30">
        <f>'FS Jimbaran July 2022'!BB14</f>
        <v>0</v>
      </c>
      <c r="AN4" s="30">
        <f>'FS Jimbaran July 2022'!BB14</f>
        <v>0</v>
      </c>
      <c r="AO4" s="30">
        <f>'FS Jimbaran July 2022'!BK14</f>
        <v>0</v>
      </c>
      <c r="AP4" s="30">
        <f>'FS Jimbaran July 2022'!BL14</f>
        <v>0</v>
      </c>
      <c r="AQ4" s="30">
        <f>'FS Jimbaran July 2022'!BC14</f>
        <v>0</v>
      </c>
      <c r="AR4" s="30">
        <f>'FS Jimbaran July 2022'!BD14</f>
        <v>0</v>
      </c>
      <c r="AS4" s="30">
        <f>'FS Jimbaran July 2022'!BM14</f>
        <v>0</v>
      </c>
      <c r="AT4" s="30">
        <f>'FS Jimbaran July 2022'!BN14</f>
        <v>0</v>
      </c>
      <c r="AU4" s="30">
        <f>'FS Jimbaran July 2022'!BO14</f>
        <v>0</v>
      </c>
      <c r="AV4" s="30">
        <f>'FS Jimbaran July 2022'!BP14</f>
        <v>0</v>
      </c>
      <c r="AW4" s="30">
        <f>'FS Jimbaran July 2022'!E14</f>
        <v>4.0999999999999996</v>
      </c>
      <c r="AX4" s="30">
        <f>'FS Jimbaran July 2022'!F14</f>
        <v>0</v>
      </c>
      <c r="AY4" s="30">
        <f>'FS Jimbaran July 2022'!O14</f>
        <v>0</v>
      </c>
      <c r="AZ4" s="30">
        <f>'FS Jimbaran July 2022'!P14</f>
        <v>0</v>
      </c>
      <c r="BA4" s="30">
        <f>'FS Jimbaran July 2022'!W14</f>
        <v>0</v>
      </c>
      <c r="BB4" s="30">
        <f>'FS Jimbaran July 2022'!X14</f>
        <v>0</v>
      </c>
      <c r="BC4" s="30">
        <f>'FS Jimbaran July 2022'!AI14</f>
        <v>276</v>
      </c>
      <c r="BD4" s="30">
        <f>'FS Jimbaran July 2022'!AJ14</f>
        <v>0</v>
      </c>
      <c r="BE4" s="30">
        <f>'FS Jimbaran July 2022'!AK14</f>
        <v>5.2</v>
      </c>
      <c r="BF4" s="30">
        <f>'FS Jimbaran July 2022'!AL14</f>
        <v>0</v>
      </c>
      <c r="BG4" s="30">
        <f>'FS Jimbaran July 2022'!AM14</f>
        <v>0</v>
      </c>
      <c r="BH4" s="30">
        <f>'FS Jimbaran July 2022'!AN14</f>
        <v>0</v>
      </c>
      <c r="BI4" s="30">
        <f>'FS Jimbaran July 2022'!AO14</f>
        <v>0</v>
      </c>
      <c r="BJ4" s="30">
        <f>'FS Jimbaran July 2022'!AO14</f>
        <v>0</v>
      </c>
      <c r="BK4" s="30">
        <f>'FS Jimbaran July 2022'!AQ14</f>
        <v>0</v>
      </c>
      <c r="BL4" s="30">
        <f>'FS Jimbaran July 2022'!AR14</f>
        <v>0</v>
      </c>
      <c r="BM4" s="30">
        <v>0</v>
      </c>
      <c r="BN4" s="30">
        <v>0</v>
      </c>
      <c r="BO4" s="33">
        <f>'FS Jimbaran July 2022'!Q14</f>
        <v>16</v>
      </c>
      <c r="BP4" s="30">
        <f>'FS Jimbaran July 2022'!R14</f>
        <v>0</v>
      </c>
    </row>
    <row r="5" spans="1:68" x14ac:dyDescent="0.25">
      <c r="A5" s="16" t="s">
        <v>67</v>
      </c>
      <c r="B5" s="17">
        <f t="shared" si="0"/>
        <v>4</v>
      </c>
      <c r="C5" s="18">
        <v>7</v>
      </c>
      <c r="D5" s="32">
        <v>2022</v>
      </c>
      <c r="E5" s="30">
        <f>'FS Jimbaran July 2022'!K15</f>
        <v>30</v>
      </c>
      <c r="F5" s="30">
        <f>'FS Jimbaran July 2022'!N15</f>
        <v>0</v>
      </c>
      <c r="G5" s="30">
        <f>'FS Jimbaran July 2022'!G15</f>
        <v>0</v>
      </c>
      <c r="H5" s="30">
        <f>'FS Jimbaran July 2022'!H15</f>
        <v>0</v>
      </c>
      <c r="I5" s="30">
        <f>'FS Jimbaran July 2022'!I15</f>
        <v>2.2999999999999998</v>
      </c>
      <c r="J5" s="30">
        <f>'FS Jimbaran July 2022'!J15</f>
        <v>0</v>
      </c>
      <c r="K5" s="30">
        <f>'FS Jimbaran July 2022'!K15</f>
        <v>30</v>
      </c>
      <c r="L5" s="30">
        <f>'FS Jimbaran July 2022'!L15</f>
        <v>0</v>
      </c>
      <c r="M5" s="30">
        <f>'FS Jimbaran July 2022'!S15</f>
        <v>0</v>
      </c>
      <c r="N5" s="30">
        <f>'FS Jimbaran July 2022'!T15</f>
        <v>0</v>
      </c>
      <c r="O5" s="30">
        <f>'FS Jimbaran July 2022'!U15</f>
        <v>2.5</v>
      </c>
      <c r="P5" s="30">
        <f>'FS Jimbaran July 2022'!V15</f>
        <v>0</v>
      </c>
      <c r="Q5" s="30">
        <f>'FS Jimbaran July 2022'!BE15</f>
        <v>0</v>
      </c>
      <c r="R5" s="30">
        <f>'FS Jimbaran July 2022'!BF15</f>
        <v>0</v>
      </c>
      <c r="S5" s="30">
        <f>'FS Jimbaran July 2022'!BH15</f>
        <v>0</v>
      </c>
      <c r="T5" s="30">
        <f>'FS Jimbaran July 2022'!BH15</f>
        <v>0</v>
      </c>
      <c r="U5" s="30">
        <f>'FS Jimbaran July 2022'!BI15</f>
        <v>0</v>
      </c>
      <c r="V5" s="30">
        <f>'FS Jimbaran July 2022'!BJ15</f>
        <v>0</v>
      </c>
      <c r="W5" s="30">
        <f>'FS Jimbaran July 2022'!Y15</f>
        <v>160</v>
      </c>
      <c r="X5" s="30">
        <f>'FS Jimbaran July 2022'!Z15</f>
        <v>0</v>
      </c>
      <c r="Y5" s="30">
        <f>'FS Jimbaran July 2022'!AA15</f>
        <v>0</v>
      </c>
      <c r="Z5" s="30">
        <f>'FS Jimbaran July 2022'!AB15</f>
        <v>0</v>
      </c>
      <c r="AA5" s="30">
        <f>'FS Jimbaran July 2022'!AC15</f>
        <v>0</v>
      </c>
      <c r="AB5" s="30">
        <f>'FS Jimbaran July 2022'!AD15</f>
        <v>0</v>
      </c>
      <c r="AC5" s="30">
        <f>'FS Jimbaran July 2022'!AE15</f>
        <v>0</v>
      </c>
      <c r="AD5" s="30">
        <f>'FS Jimbaran July 2022'!AF15</f>
        <v>0</v>
      </c>
      <c r="AE5" s="30">
        <f>'FS Jimbaran July 2022'!AG15</f>
        <v>0</v>
      </c>
      <c r="AF5" s="30">
        <f>'FS Jimbaran July 2022'!AH15</f>
        <v>0</v>
      </c>
      <c r="AG5" s="30">
        <f>'FS Jimbaran July 2022'!AM15</f>
        <v>0</v>
      </c>
      <c r="AH5" s="30">
        <f>'FS Jimbaran July 2022'!AR15</f>
        <v>0</v>
      </c>
      <c r="AI5" s="30">
        <f>'FS Jimbaran July 2022'!AQ15</f>
        <v>0</v>
      </c>
      <c r="AJ5" s="30">
        <f>'FS Jimbaran July 2022'!AR15</f>
        <v>0</v>
      </c>
      <c r="AK5" s="30">
        <f>'FS Jimbaran July 2022'!AY15</f>
        <v>0</v>
      </c>
      <c r="AL5" s="30">
        <f>'FS Jimbaran July 2022'!AZ15</f>
        <v>0</v>
      </c>
      <c r="AM5" s="30">
        <f>'FS Jimbaran July 2022'!BB15</f>
        <v>0</v>
      </c>
      <c r="AN5" s="30">
        <f>'FS Jimbaran July 2022'!BB15</f>
        <v>0</v>
      </c>
      <c r="AO5" s="30">
        <f>'FS Jimbaran July 2022'!BK15</f>
        <v>0</v>
      </c>
      <c r="AP5" s="30">
        <f>'FS Jimbaran July 2022'!BL15</f>
        <v>0</v>
      </c>
      <c r="AQ5" s="30">
        <f>'FS Jimbaran July 2022'!BC15</f>
        <v>0</v>
      </c>
      <c r="AR5" s="30">
        <f>'FS Jimbaran July 2022'!BD15</f>
        <v>0</v>
      </c>
      <c r="AS5" s="30">
        <f>'FS Jimbaran July 2022'!BM15</f>
        <v>0</v>
      </c>
      <c r="AT5" s="30">
        <f>'FS Jimbaran July 2022'!BN15</f>
        <v>0</v>
      </c>
      <c r="AU5" s="30">
        <f>'FS Jimbaran July 2022'!BO15</f>
        <v>0</v>
      </c>
      <c r="AV5" s="30">
        <f>'FS Jimbaran July 2022'!BP15</f>
        <v>0</v>
      </c>
      <c r="AW5" s="30">
        <f>'FS Jimbaran July 2022'!E15</f>
        <v>10</v>
      </c>
      <c r="AX5" s="30">
        <f>'FS Jimbaran July 2022'!F15</f>
        <v>0</v>
      </c>
      <c r="AY5" s="30">
        <f>'FS Jimbaran July 2022'!O15</f>
        <v>0</v>
      </c>
      <c r="AZ5" s="30">
        <f>'FS Jimbaran July 2022'!P15</f>
        <v>0</v>
      </c>
      <c r="BA5" s="30">
        <f>'FS Jimbaran July 2022'!W15</f>
        <v>0</v>
      </c>
      <c r="BB5" s="30">
        <f>'FS Jimbaran July 2022'!X15</f>
        <v>0</v>
      </c>
      <c r="BC5" s="30">
        <f>'FS Jimbaran July 2022'!AI15</f>
        <v>379.5</v>
      </c>
      <c r="BD5" s="30">
        <f>'FS Jimbaran July 2022'!AJ15</f>
        <v>0</v>
      </c>
      <c r="BE5" s="30">
        <f>'FS Jimbaran July 2022'!AK15</f>
        <v>0</v>
      </c>
      <c r="BF5" s="30">
        <f>'FS Jimbaran July 2022'!AL15</f>
        <v>0</v>
      </c>
      <c r="BG5" s="30">
        <f>'FS Jimbaran July 2022'!AM15</f>
        <v>0</v>
      </c>
      <c r="BH5" s="30">
        <f>'FS Jimbaran July 2022'!AN15</f>
        <v>0</v>
      </c>
      <c r="BI5" s="30">
        <f>'FS Jimbaran July 2022'!AO15</f>
        <v>0</v>
      </c>
      <c r="BJ5" s="30">
        <f>'FS Jimbaran July 2022'!AO15</f>
        <v>0</v>
      </c>
      <c r="BK5" s="30">
        <f>'FS Jimbaran July 2022'!AQ15</f>
        <v>0</v>
      </c>
      <c r="BL5" s="30">
        <f>'FS Jimbaran July 2022'!AR15</f>
        <v>0</v>
      </c>
      <c r="BM5" s="30">
        <v>0</v>
      </c>
      <c r="BN5" s="30">
        <v>0</v>
      </c>
      <c r="BO5" s="33">
        <f>'FS Jimbaran July 2022'!Q15</f>
        <v>7</v>
      </c>
      <c r="BP5" s="30">
        <f>'FS Jimbaran July 2022'!R15</f>
        <v>0</v>
      </c>
    </row>
    <row r="6" spans="1:68" x14ac:dyDescent="0.25">
      <c r="A6" s="16" t="s">
        <v>67</v>
      </c>
      <c r="B6" s="17">
        <f t="shared" si="0"/>
        <v>5</v>
      </c>
      <c r="C6" s="18">
        <v>7</v>
      </c>
      <c r="D6" s="32">
        <v>2022</v>
      </c>
      <c r="E6" s="30">
        <f>'FS Jimbaran July 2022'!K16</f>
        <v>28</v>
      </c>
      <c r="F6" s="30">
        <f>'FS Jimbaran July 2022'!N16</f>
        <v>0</v>
      </c>
      <c r="G6" s="30">
        <f>'FS Jimbaran July 2022'!G16</f>
        <v>1.3</v>
      </c>
      <c r="H6" s="30">
        <f>'FS Jimbaran July 2022'!H16</f>
        <v>0</v>
      </c>
      <c r="I6" s="30">
        <f>'FS Jimbaran July 2022'!I16</f>
        <v>6.3</v>
      </c>
      <c r="J6" s="30">
        <f>'FS Jimbaran July 2022'!J16</f>
        <v>0</v>
      </c>
      <c r="K6" s="30">
        <f>'FS Jimbaran July 2022'!K16</f>
        <v>28</v>
      </c>
      <c r="L6" s="30">
        <f>'FS Jimbaran July 2022'!L16</f>
        <v>0</v>
      </c>
      <c r="M6" s="30">
        <f>'FS Jimbaran July 2022'!S16</f>
        <v>1</v>
      </c>
      <c r="N6" s="30">
        <f>'FS Jimbaran July 2022'!T16</f>
        <v>0</v>
      </c>
      <c r="O6" s="30">
        <f>'FS Jimbaran July 2022'!U16</f>
        <v>2.4</v>
      </c>
      <c r="P6" s="30">
        <f>'FS Jimbaran July 2022'!V16</f>
        <v>0</v>
      </c>
      <c r="Q6" s="30">
        <f>'FS Jimbaran July 2022'!BE16</f>
        <v>0</v>
      </c>
      <c r="R6" s="30">
        <f>'FS Jimbaran July 2022'!BF16</f>
        <v>0</v>
      </c>
      <c r="S6" s="30">
        <f>'FS Jimbaran July 2022'!BH16</f>
        <v>0</v>
      </c>
      <c r="T6" s="30">
        <f>'FS Jimbaran July 2022'!BH16</f>
        <v>0</v>
      </c>
      <c r="U6" s="30">
        <f>'FS Jimbaran July 2022'!BI16</f>
        <v>0</v>
      </c>
      <c r="V6" s="30">
        <f>'FS Jimbaran July 2022'!BJ16</f>
        <v>0</v>
      </c>
      <c r="W6" s="30">
        <f>'FS Jimbaran July 2022'!Y16</f>
        <v>237</v>
      </c>
      <c r="X6" s="30">
        <f>'FS Jimbaran July 2022'!Z16</f>
        <v>0</v>
      </c>
      <c r="Y6" s="30">
        <f>'FS Jimbaran July 2022'!AA16</f>
        <v>4.0999999999999996</v>
      </c>
      <c r="Z6" s="30">
        <f>'FS Jimbaran July 2022'!AB16</f>
        <v>0</v>
      </c>
      <c r="AA6" s="30">
        <f>'FS Jimbaran July 2022'!AC16</f>
        <v>1.6</v>
      </c>
      <c r="AB6" s="30">
        <f>'FS Jimbaran July 2022'!AD16</f>
        <v>0</v>
      </c>
      <c r="AC6" s="30">
        <f>'FS Jimbaran July 2022'!AE16</f>
        <v>0</v>
      </c>
      <c r="AD6" s="30">
        <f>'FS Jimbaran July 2022'!AF16</f>
        <v>0</v>
      </c>
      <c r="AE6" s="30">
        <f>'FS Jimbaran July 2022'!AG16</f>
        <v>0</v>
      </c>
      <c r="AF6" s="30">
        <f>'FS Jimbaran July 2022'!AH16</f>
        <v>0</v>
      </c>
      <c r="AG6" s="30">
        <f>'FS Jimbaran July 2022'!AM16</f>
        <v>0</v>
      </c>
      <c r="AH6" s="30">
        <f>'FS Jimbaran July 2022'!AR16</f>
        <v>0</v>
      </c>
      <c r="AI6" s="30">
        <f>'FS Jimbaran July 2022'!AQ16</f>
        <v>0</v>
      </c>
      <c r="AJ6" s="30">
        <f>'FS Jimbaran July 2022'!AR16</f>
        <v>0</v>
      </c>
      <c r="AK6" s="30">
        <f>'FS Jimbaran July 2022'!AY16</f>
        <v>0</v>
      </c>
      <c r="AL6" s="30">
        <f>'FS Jimbaran July 2022'!AZ16</f>
        <v>0</v>
      </c>
      <c r="AM6" s="30">
        <f>'FS Jimbaran July 2022'!BB16</f>
        <v>0</v>
      </c>
      <c r="AN6" s="30">
        <f>'FS Jimbaran July 2022'!BB16</f>
        <v>0</v>
      </c>
      <c r="AO6" s="30">
        <f>'FS Jimbaran July 2022'!BK16</f>
        <v>0</v>
      </c>
      <c r="AP6" s="30">
        <f>'FS Jimbaran July 2022'!BL16</f>
        <v>0</v>
      </c>
      <c r="AQ6" s="30">
        <f>'FS Jimbaran July 2022'!BC16</f>
        <v>0</v>
      </c>
      <c r="AR6" s="30">
        <f>'FS Jimbaran July 2022'!BD16</f>
        <v>0</v>
      </c>
      <c r="AS6" s="30">
        <f>'FS Jimbaran July 2022'!BM16</f>
        <v>0</v>
      </c>
      <c r="AT6" s="30">
        <f>'FS Jimbaran July 2022'!BN16</f>
        <v>0</v>
      </c>
      <c r="AU6" s="30">
        <f>'FS Jimbaran July 2022'!BO16</f>
        <v>0</v>
      </c>
      <c r="AV6" s="30">
        <f>'FS Jimbaran July 2022'!BP16</f>
        <v>0</v>
      </c>
      <c r="AW6" s="30">
        <f>'FS Jimbaran July 2022'!E16</f>
        <v>7.2</v>
      </c>
      <c r="AX6" s="30">
        <f>'FS Jimbaran July 2022'!F16</f>
        <v>0</v>
      </c>
      <c r="AY6" s="30">
        <f>'FS Jimbaran July 2022'!O16</f>
        <v>0</v>
      </c>
      <c r="AZ6" s="30">
        <f>'FS Jimbaran July 2022'!P16</f>
        <v>0</v>
      </c>
      <c r="BA6" s="30">
        <f>'FS Jimbaran July 2022'!W16</f>
        <v>0</v>
      </c>
      <c r="BB6" s="30">
        <f>'FS Jimbaran July 2022'!X16</f>
        <v>0</v>
      </c>
      <c r="BC6" s="30">
        <f>'FS Jimbaran July 2022'!AI16</f>
        <v>471.5</v>
      </c>
      <c r="BD6" s="30">
        <f>'FS Jimbaran July 2022'!AJ16</f>
        <v>0</v>
      </c>
      <c r="BE6" s="30">
        <f>'FS Jimbaran July 2022'!AK16</f>
        <v>4.0999999999999996</v>
      </c>
      <c r="BF6" s="30">
        <f>'FS Jimbaran July 2022'!AL16</f>
        <v>0</v>
      </c>
      <c r="BG6" s="30">
        <f>'FS Jimbaran July 2022'!AM16</f>
        <v>0</v>
      </c>
      <c r="BH6" s="30">
        <f>'FS Jimbaran July 2022'!AN16</f>
        <v>0</v>
      </c>
      <c r="BI6" s="30">
        <f>'FS Jimbaran July 2022'!AO16</f>
        <v>0</v>
      </c>
      <c r="BJ6" s="30">
        <f>'FS Jimbaran July 2022'!AO16</f>
        <v>0</v>
      </c>
      <c r="BK6" s="30">
        <f>'FS Jimbaran July 2022'!AQ16</f>
        <v>0</v>
      </c>
      <c r="BL6" s="30">
        <f>'FS Jimbaran July 2022'!AR16</f>
        <v>0</v>
      </c>
      <c r="BM6" s="30">
        <v>0</v>
      </c>
      <c r="BN6" s="30">
        <v>0</v>
      </c>
      <c r="BO6" s="33">
        <f>'FS Jimbaran July 2022'!Q16</f>
        <v>1.5</v>
      </c>
      <c r="BP6" s="30">
        <f>'FS Jimbaran July 2022'!R16</f>
        <v>0</v>
      </c>
    </row>
    <row r="7" spans="1:68" x14ac:dyDescent="0.25">
      <c r="A7" s="16" t="s">
        <v>67</v>
      </c>
      <c r="B7" s="17">
        <f t="shared" si="0"/>
        <v>6</v>
      </c>
      <c r="C7" s="18">
        <v>7</v>
      </c>
      <c r="D7" s="32">
        <v>2022</v>
      </c>
      <c r="E7" s="30">
        <f>'FS Jimbaran July 2022'!K17</f>
        <v>25</v>
      </c>
      <c r="F7" s="30">
        <f>'FS Jimbaran July 2022'!N17</f>
        <v>0</v>
      </c>
      <c r="G7" s="30">
        <f>'FS Jimbaran July 2022'!G17</f>
        <v>0</v>
      </c>
      <c r="H7" s="30">
        <f>'FS Jimbaran July 2022'!H17</f>
        <v>0</v>
      </c>
      <c r="I7" s="30">
        <f>'FS Jimbaran July 2022'!I17</f>
        <v>8</v>
      </c>
      <c r="J7" s="30">
        <f>'FS Jimbaran July 2022'!J17</f>
        <v>0</v>
      </c>
      <c r="K7" s="30">
        <f>'FS Jimbaran July 2022'!K17</f>
        <v>25</v>
      </c>
      <c r="L7" s="30">
        <f>'FS Jimbaran July 2022'!L17</f>
        <v>0</v>
      </c>
      <c r="M7" s="30">
        <f>'FS Jimbaran July 2022'!S17</f>
        <v>0</v>
      </c>
      <c r="N7" s="30">
        <f>'FS Jimbaran July 2022'!T17</f>
        <v>0</v>
      </c>
      <c r="O7" s="30">
        <f>'FS Jimbaran July 2022'!U17</f>
        <v>2.6</v>
      </c>
      <c r="P7" s="30">
        <f>'FS Jimbaran July 2022'!V17</f>
        <v>0</v>
      </c>
      <c r="Q7" s="30">
        <f>'FS Jimbaran July 2022'!BE17</f>
        <v>0</v>
      </c>
      <c r="R7" s="30">
        <f>'FS Jimbaran July 2022'!BF17</f>
        <v>0</v>
      </c>
      <c r="S7" s="30">
        <f>'FS Jimbaran July 2022'!BH17</f>
        <v>0</v>
      </c>
      <c r="T7" s="30">
        <f>'FS Jimbaran July 2022'!BH17</f>
        <v>0</v>
      </c>
      <c r="U7" s="30">
        <f>'FS Jimbaran July 2022'!BI17</f>
        <v>0</v>
      </c>
      <c r="V7" s="30">
        <f>'FS Jimbaran July 2022'!BJ17</f>
        <v>0</v>
      </c>
      <c r="W7" s="30">
        <f>'FS Jimbaran July 2022'!Y17</f>
        <v>239</v>
      </c>
      <c r="X7" s="30">
        <f>'FS Jimbaran July 2022'!Z17</f>
        <v>0</v>
      </c>
      <c r="Y7" s="30">
        <f>'FS Jimbaran July 2022'!AA17</f>
        <v>0</v>
      </c>
      <c r="Z7" s="30">
        <f>'FS Jimbaran July 2022'!AB17</f>
        <v>0</v>
      </c>
      <c r="AA7" s="30">
        <f>'FS Jimbaran July 2022'!AC17</f>
        <v>0</v>
      </c>
      <c r="AB7" s="30">
        <f>'FS Jimbaran July 2022'!AD17</f>
        <v>0</v>
      </c>
      <c r="AC7" s="30">
        <f>'FS Jimbaran July 2022'!AE17</f>
        <v>0</v>
      </c>
      <c r="AD7" s="30">
        <f>'FS Jimbaran July 2022'!AF17</f>
        <v>0</v>
      </c>
      <c r="AE7" s="30">
        <f>'FS Jimbaran July 2022'!AG17</f>
        <v>0</v>
      </c>
      <c r="AF7" s="30">
        <f>'FS Jimbaran July 2022'!AH17</f>
        <v>0</v>
      </c>
      <c r="AG7" s="30">
        <f>'FS Jimbaran July 2022'!AM17</f>
        <v>0</v>
      </c>
      <c r="AH7" s="30">
        <f>'FS Jimbaran July 2022'!AR17</f>
        <v>0</v>
      </c>
      <c r="AI7" s="30">
        <f>'FS Jimbaran July 2022'!AQ17</f>
        <v>0</v>
      </c>
      <c r="AJ7" s="30">
        <f>'FS Jimbaran July 2022'!AR17</f>
        <v>0</v>
      </c>
      <c r="AK7" s="30">
        <f>'FS Jimbaran July 2022'!AY17</f>
        <v>0</v>
      </c>
      <c r="AL7" s="30">
        <f>'FS Jimbaran July 2022'!AZ17</f>
        <v>0</v>
      </c>
      <c r="AM7" s="30">
        <f>'FS Jimbaran July 2022'!BB17</f>
        <v>0</v>
      </c>
      <c r="AN7" s="30">
        <f>'FS Jimbaran July 2022'!BB17</f>
        <v>0</v>
      </c>
      <c r="AO7" s="30">
        <f>'FS Jimbaran July 2022'!BK17</f>
        <v>0</v>
      </c>
      <c r="AP7" s="30">
        <f>'FS Jimbaran July 2022'!BL17</f>
        <v>0</v>
      </c>
      <c r="AQ7" s="30">
        <f>'FS Jimbaran July 2022'!BC17</f>
        <v>0</v>
      </c>
      <c r="AR7" s="30">
        <f>'FS Jimbaran July 2022'!BD17</f>
        <v>0</v>
      </c>
      <c r="AS7" s="30">
        <f>'FS Jimbaran July 2022'!BM17</f>
        <v>0</v>
      </c>
      <c r="AT7" s="30">
        <f>'FS Jimbaran July 2022'!BN17</f>
        <v>0</v>
      </c>
      <c r="AU7" s="30">
        <f>'FS Jimbaran July 2022'!BO17</f>
        <v>0</v>
      </c>
      <c r="AV7" s="30">
        <f>'FS Jimbaran July 2022'!BP17</f>
        <v>0</v>
      </c>
      <c r="AW7" s="30">
        <f>'FS Jimbaran July 2022'!E17</f>
        <v>8</v>
      </c>
      <c r="AX7" s="30">
        <f>'FS Jimbaran July 2022'!F17</f>
        <v>0</v>
      </c>
      <c r="AY7" s="30">
        <f>'FS Jimbaran July 2022'!O17</f>
        <v>0</v>
      </c>
      <c r="AZ7" s="30">
        <f>'FS Jimbaran July 2022'!P17</f>
        <v>0</v>
      </c>
      <c r="BA7" s="30">
        <f>'FS Jimbaran July 2022'!W17</f>
        <v>0</v>
      </c>
      <c r="BB7" s="30">
        <f>'FS Jimbaran July 2022'!X17</f>
        <v>0</v>
      </c>
      <c r="BC7" s="30">
        <f>'FS Jimbaran July 2022'!AI17</f>
        <v>264.5</v>
      </c>
      <c r="BD7" s="30">
        <f>'FS Jimbaran July 2022'!AJ17</f>
        <v>0</v>
      </c>
      <c r="BE7" s="30">
        <f>'FS Jimbaran July 2022'!AK17</f>
        <v>0</v>
      </c>
      <c r="BF7" s="30">
        <f>'FS Jimbaran July 2022'!AL17</f>
        <v>0</v>
      </c>
      <c r="BG7" s="30">
        <f>'FS Jimbaran July 2022'!AM17</f>
        <v>0</v>
      </c>
      <c r="BH7" s="30">
        <f>'FS Jimbaran July 2022'!AN17</f>
        <v>0</v>
      </c>
      <c r="BI7" s="30">
        <f>'FS Jimbaran July 2022'!AO17</f>
        <v>0</v>
      </c>
      <c r="BJ7" s="30">
        <f>'FS Jimbaran July 2022'!AO17</f>
        <v>0</v>
      </c>
      <c r="BK7" s="30">
        <f>'FS Jimbaran July 2022'!AQ17</f>
        <v>0</v>
      </c>
      <c r="BL7" s="30">
        <f>'FS Jimbaran July 2022'!AR17</f>
        <v>0</v>
      </c>
      <c r="BM7" s="30">
        <v>0</v>
      </c>
      <c r="BN7" s="30">
        <v>0</v>
      </c>
      <c r="BO7" s="33">
        <f>'FS Jimbaran July 2022'!Q17</f>
        <v>2.2999999999999998</v>
      </c>
      <c r="BP7" s="30">
        <f>'FS Jimbaran July 2022'!R17</f>
        <v>0</v>
      </c>
    </row>
    <row r="8" spans="1:68" x14ac:dyDescent="0.25">
      <c r="A8" s="16" t="s">
        <v>67</v>
      </c>
      <c r="B8" s="17">
        <f t="shared" si="0"/>
        <v>7</v>
      </c>
      <c r="C8" s="18">
        <v>7</v>
      </c>
      <c r="D8" s="32">
        <v>2022</v>
      </c>
      <c r="E8" s="30">
        <f>'FS Jimbaran July 2022'!K18</f>
        <v>24</v>
      </c>
      <c r="F8" s="30">
        <f>'FS Jimbaran July 2022'!N18</f>
        <v>0</v>
      </c>
      <c r="G8" s="30">
        <f>'FS Jimbaran July 2022'!G18</f>
        <v>1.5</v>
      </c>
      <c r="H8" s="30">
        <f>'FS Jimbaran July 2022'!H18</f>
        <v>0</v>
      </c>
      <c r="I8" s="30">
        <f>'FS Jimbaran July 2022'!I18</f>
        <v>8.4</v>
      </c>
      <c r="J8" s="30">
        <f>'FS Jimbaran July 2022'!J18</f>
        <v>0</v>
      </c>
      <c r="K8" s="30">
        <f>'FS Jimbaran July 2022'!K18</f>
        <v>24</v>
      </c>
      <c r="L8" s="30">
        <f>'FS Jimbaran July 2022'!L18</f>
        <v>0</v>
      </c>
      <c r="M8" s="30">
        <f>'FS Jimbaran July 2022'!S18</f>
        <v>1</v>
      </c>
      <c r="N8" s="30">
        <f>'FS Jimbaran July 2022'!T18</f>
        <v>0</v>
      </c>
      <c r="O8" s="30">
        <f>'FS Jimbaran July 2022'!U18</f>
        <v>1.7</v>
      </c>
      <c r="P8" s="30">
        <f>'FS Jimbaran July 2022'!V18</f>
        <v>0</v>
      </c>
      <c r="Q8" s="30">
        <f>'FS Jimbaran July 2022'!BE18</f>
        <v>0</v>
      </c>
      <c r="R8" s="30">
        <f>'FS Jimbaran July 2022'!BF18</f>
        <v>0</v>
      </c>
      <c r="S8" s="30">
        <f>'FS Jimbaran July 2022'!BH18</f>
        <v>0</v>
      </c>
      <c r="T8" s="30">
        <f>'FS Jimbaran July 2022'!BH18</f>
        <v>0</v>
      </c>
      <c r="U8" s="30">
        <f>'FS Jimbaran July 2022'!BI18</f>
        <v>0</v>
      </c>
      <c r="V8" s="30">
        <f>'FS Jimbaran July 2022'!BJ18</f>
        <v>0</v>
      </c>
      <c r="W8" s="30">
        <f>'FS Jimbaran July 2022'!Y18</f>
        <v>275</v>
      </c>
      <c r="X8" s="30">
        <f>'FS Jimbaran July 2022'!Z18</f>
        <v>0</v>
      </c>
      <c r="Y8" s="30">
        <f>'FS Jimbaran July 2022'!AA18</f>
        <v>6.1</v>
      </c>
      <c r="Z8" s="30">
        <f>'FS Jimbaran July 2022'!AB18</f>
        <v>0</v>
      </c>
      <c r="AA8" s="30">
        <f>'FS Jimbaran July 2022'!AC18</f>
        <v>1.3</v>
      </c>
      <c r="AB8" s="30">
        <f>'FS Jimbaran July 2022'!AD18</f>
        <v>0</v>
      </c>
      <c r="AC8" s="30">
        <f>'FS Jimbaran July 2022'!AE18</f>
        <v>0</v>
      </c>
      <c r="AD8" s="30">
        <f>'FS Jimbaran July 2022'!AF18</f>
        <v>0</v>
      </c>
      <c r="AE8" s="30">
        <f>'FS Jimbaran July 2022'!AG18</f>
        <v>0</v>
      </c>
      <c r="AF8" s="30">
        <f>'FS Jimbaran July 2022'!AH18</f>
        <v>0</v>
      </c>
      <c r="AG8" s="30">
        <f>'FS Jimbaran July 2022'!AM18</f>
        <v>0</v>
      </c>
      <c r="AH8" s="30">
        <f>'FS Jimbaran July 2022'!AR18</f>
        <v>0</v>
      </c>
      <c r="AI8" s="30">
        <f>'FS Jimbaran July 2022'!AQ18</f>
        <v>0</v>
      </c>
      <c r="AJ8" s="30">
        <f>'FS Jimbaran July 2022'!AR18</f>
        <v>0</v>
      </c>
      <c r="AK8" s="30">
        <f>'FS Jimbaran July 2022'!AY18</f>
        <v>0</v>
      </c>
      <c r="AL8" s="30">
        <f>'FS Jimbaran July 2022'!AZ18</f>
        <v>0</v>
      </c>
      <c r="AM8" s="30">
        <f>'FS Jimbaran July 2022'!BB18</f>
        <v>0</v>
      </c>
      <c r="AN8" s="30">
        <f>'FS Jimbaran July 2022'!BB18</f>
        <v>0</v>
      </c>
      <c r="AO8" s="30">
        <f>'FS Jimbaran July 2022'!BK18</f>
        <v>0</v>
      </c>
      <c r="AP8" s="30">
        <f>'FS Jimbaran July 2022'!BL18</f>
        <v>0</v>
      </c>
      <c r="AQ8" s="30">
        <f>'FS Jimbaran July 2022'!BC18</f>
        <v>0</v>
      </c>
      <c r="AR8" s="30">
        <f>'FS Jimbaran July 2022'!BD18</f>
        <v>0</v>
      </c>
      <c r="AS8" s="30">
        <f>'FS Jimbaran July 2022'!BM18</f>
        <v>0</v>
      </c>
      <c r="AT8" s="30">
        <f>'FS Jimbaran July 2022'!BN18</f>
        <v>0</v>
      </c>
      <c r="AU8" s="30">
        <f>'FS Jimbaran July 2022'!BO18</f>
        <v>0</v>
      </c>
      <c r="AV8" s="30">
        <f>'FS Jimbaran July 2022'!BP18</f>
        <v>0</v>
      </c>
      <c r="AW8" s="30">
        <f>'FS Jimbaran July 2022'!E18</f>
        <v>5.0999999999999996</v>
      </c>
      <c r="AX8" s="30">
        <f>'FS Jimbaran July 2022'!F18</f>
        <v>0</v>
      </c>
      <c r="AY8" s="30">
        <f>'FS Jimbaran July 2022'!O18</f>
        <v>0</v>
      </c>
      <c r="AZ8" s="30">
        <f>'FS Jimbaran July 2022'!P18</f>
        <v>0</v>
      </c>
      <c r="BA8" s="30">
        <f>'FS Jimbaran July 2022'!W18</f>
        <v>0</v>
      </c>
      <c r="BB8" s="30">
        <f>'FS Jimbaran July 2022'!X18</f>
        <v>0</v>
      </c>
      <c r="BC8" s="30">
        <f>'FS Jimbaran July 2022'!AI18</f>
        <v>356.5</v>
      </c>
      <c r="BD8" s="30">
        <f>'FS Jimbaran July 2022'!AJ18</f>
        <v>0</v>
      </c>
      <c r="BE8" s="30">
        <f>'FS Jimbaran July 2022'!AK18</f>
        <v>6.1</v>
      </c>
      <c r="BF8" s="30">
        <f>'FS Jimbaran July 2022'!AL18</f>
        <v>0</v>
      </c>
      <c r="BG8" s="30">
        <f>'FS Jimbaran July 2022'!AM18</f>
        <v>0</v>
      </c>
      <c r="BH8" s="30">
        <f>'FS Jimbaran July 2022'!AN18</f>
        <v>0</v>
      </c>
      <c r="BI8" s="30">
        <f>'FS Jimbaran July 2022'!AO18</f>
        <v>0</v>
      </c>
      <c r="BJ8" s="30">
        <f>'FS Jimbaran July 2022'!AO18</f>
        <v>0</v>
      </c>
      <c r="BK8" s="30">
        <f>'FS Jimbaran July 2022'!AQ18</f>
        <v>0</v>
      </c>
      <c r="BL8" s="30">
        <f>'FS Jimbaran July 2022'!AR18</f>
        <v>0</v>
      </c>
      <c r="BM8" s="30">
        <v>0</v>
      </c>
      <c r="BN8" s="30">
        <v>0</v>
      </c>
      <c r="BO8" s="33">
        <f>'FS Jimbaran July 2022'!Q18</f>
        <v>1</v>
      </c>
      <c r="BP8" s="30">
        <f>'FS Jimbaran July 2022'!R18</f>
        <v>0</v>
      </c>
    </row>
    <row r="9" spans="1:68" x14ac:dyDescent="0.25">
      <c r="A9" s="16" t="s">
        <v>67</v>
      </c>
      <c r="B9" s="17">
        <f t="shared" si="0"/>
        <v>8</v>
      </c>
      <c r="C9" s="18">
        <v>7</v>
      </c>
      <c r="D9" s="32">
        <v>2022</v>
      </c>
      <c r="E9" s="30">
        <f>'FS Jimbaran July 2022'!K19</f>
        <v>0</v>
      </c>
      <c r="F9" s="30">
        <f>'FS Jimbaran July 2022'!N19</f>
        <v>0</v>
      </c>
      <c r="G9" s="30">
        <f>'FS Jimbaran July 2022'!G19</f>
        <v>0</v>
      </c>
      <c r="H9" s="30">
        <f>'FS Jimbaran July 2022'!H19</f>
        <v>0</v>
      </c>
      <c r="I9" s="30">
        <f>'FS Jimbaran July 2022'!I19</f>
        <v>0</v>
      </c>
      <c r="J9" s="30">
        <f>'FS Jimbaran July 2022'!J19</f>
        <v>0</v>
      </c>
      <c r="K9" s="30">
        <f>'FS Jimbaran July 2022'!K19</f>
        <v>0</v>
      </c>
      <c r="L9" s="30">
        <f>'FS Jimbaran July 2022'!L19</f>
        <v>0</v>
      </c>
      <c r="M9" s="30">
        <f>'FS Jimbaran July 2022'!S19</f>
        <v>0</v>
      </c>
      <c r="N9" s="30">
        <f>'FS Jimbaran July 2022'!T19</f>
        <v>0</v>
      </c>
      <c r="O9" s="30">
        <f>'FS Jimbaran July 2022'!U19</f>
        <v>1.8</v>
      </c>
      <c r="P9" s="30">
        <f>'FS Jimbaran July 2022'!V19</f>
        <v>0</v>
      </c>
      <c r="Q9" s="30">
        <f>'FS Jimbaran July 2022'!BE19</f>
        <v>0</v>
      </c>
      <c r="R9" s="30">
        <f>'FS Jimbaran July 2022'!BF19</f>
        <v>0</v>
      </c>
      <c r="S9" s="30">
        <f>'FS Jimbaran July 2022'!BH19</f>
        <v>0</v>
      </c>
      <c r="T9" s="30">
        <f>'FS Jimbaran July 2022'!BH19</f>
        <v>0</v>
      </c>
      <c r="U9" s="30">
        <f>'FS Jimbaran July 2022'!BI19</f>
        <v>0</v>
      </c>
      <c r="V9" s="30">
        <f>'FS Jimbaran July 2022'!BJ19</f>
        <v>0</v>
      </c>
      <c r="W9" s="30">
        <f>'FS Jimbaran July 2022'!Y19</f>
        <v>200</v>
      </c>
      <c r="X9" s="30">
        <f>'FS Jimbaran July 2022'!Z19</f>
        <v>0</v>
      </c>
      <c r="Y9" s="30">
        <f>'FS Jimbaran July 2022'!AA19</f>
        <v>0</v>
      </c>
      <c r="Z9" s="30">
        <f>'FS Jimbaran July 2022'!AB19</f>
        <v>0</v>
      </c>
      <c r="AA9" s="30">
        <f>'FS Jimbaran July 2022'!AC19</f>
        <v>0</v>
      </c>
      <c r="AB9" s="30">
        <f>'FS Jimbaran July 2022'!AD19</f>
        <v>0</v>
      </c>
      <c r="AC9" s="30">
        <f>'FS Jimbaran July 2022'!AE19</f>
        <v>0</v>
      </c>
      <c r="AD9" s="30">
        <f>'FS Jimbaran July 2022'!AF19</f>
        <v>0</v>
      </c>
      <c r="AE9" s="30">
        <f>'FS Jimbaran July 2022'!AG19</f>
        <v>0</v>
      </c>
      <c r="AF9" s="30">
        <f>'FS Jimbaran July 2022'!AH19</f>
        <v>0</v>
      </c>
      <c r="AG9" s="30">
        <f>'FS Jimbaran July 2022'!AM19</f>
        <v>0</v>
      </c>
      <c r="AH9" s="30">
        <f>'FS Jimbaran July 2022'!AR19</f>
        <v>0</v>
      </c>
      <c r="AI9" s="30">
        <f>'FS Jimbaran July 2022'!AQ19</f>
        <v>0</v>
      </c>
      <c r="AJ9" s="30">
        <f>'FS Jimbaran July 2022'!AR19</f>
        <v>0</v>
      </c>
      <c r="AK9" s="30">
        <f>'FS Jimbaran July 2022'!AY19</f>
        <v>0</v>
      </c>
      <c r="AL9" s="30">
        <f>'FS Jimbaran July 2022'!AZ19</f>
        <v>0</v>
      </c>
      <c r="AM9" s="30">
        <f>'FS Jimbaran July 2022'!BB19</f>
        <v>0</v>
      </c>
      <c r="AN9" s="30">
        <f>'FS Jimbaran July 2022'!BB19</f>
        <v>0</v>
      </c>
      <c r="AO9" s="30">
        <f>'FS Jimbaran July 2022'!BK19</f>
        <v>0</v>
      </c>
      <c r="AP9" s="30">
        <f>'FS Jimbaran July 2022'!BL19</f>
        <v>0</v>
      </c>
      <c r="AQ9" s="30">
        <f>'FS Jimbaran July 2022'!BC19</f>
        <v>0</v>
      </c>
      <c r="AR9" s="30">
        <f>'FS Jimbaran July 2022'!BD19</f>
        <v>0</v>
      </c>
      <c r="AS9" s="30">
        <f>'FS Jimbaran July 2022'!BM19</f>
        <v>0</v>
      </c>
      <c r="AT9" s="30">
        <f>'FS Jimbaran July 2022'!BN19</f>
        <v>0</v>
      </c>
      <c r="AU9" s="30">
        <f>'FS Jimbaran July 2022'!BO19</f>
        <v>0</v>
      </c>
      <c r="AV9" s="30">
        <f>'FS Jimbaran July 2022'!BP19</f>
        <v>0</v>
      </c>
      <c r="AW9" s="30">
        <f>'FS Jimbaran July 2022'!E19</f>
        <v>0</v>
      </c>
      <c r="AX9" s="30">
        <f>'FS Jimbaran July 2022'!F19</f>
        <v>0</v>
      </c>
      <c r="AY9" s="30">
        <f>'FS Jimbaran July 2022'!O19</f>
        <v>0</v>
      </c>
      <c r="AZ9" s="30">
        <f>'FS Jimbaran July 2022'!P19</f>
        <v>0</v>
      </c>
      <c r="BA9" s="30">
        <f>'FS Jimbaran July 2022'!W19</f>
        <v>0</v>
      </c>
      <c r="BB9" s="30">
        <f>'FS Jimbaran July 2022'!X19</f>
        <v>0</v>
      </c>
      <c r="BC9" s="30">
        <f>'FS Jimbaran July 2022'!AI19</f>
        <v>483</v>
      </c>
      <c r="BD9" s="30">
        <f>'FS Jimbaran July 2022'!AJ19</f>
        <v>0</v>
      </c>
      <c r="BE9" s="30">
        <f>'FS Jimbaran July 2022'!AK19</f>
        <v>0</v>
      </c>
      <c r="BF9" s="30">
        <f>'FS Jimbaran July 2022'!AL19</f>
        <v>0</v>
      </c>
      <c r="BG9" s="30">
        <f>'FS Jimbaran July 2022'!AM19</f>
        <v>0</v>
      </c>
      <c r="BH9" s="30">
        <f>'FS Jimbaran July 2022'!AN19</f>
        <v>0</v>
      </c>
      <c r="BI9" s="30">
        <f>'FS Jimbaran July 2022'!AO19</f>
        <v>0</v>
      </c>
      <c r="BJ9" s="30">
        <f>'FS Jimbaran July 2022'!AO19</f>
        <v>0</v>
      </c>
      <c r="BK9" s="30">
        <f>'FS Jimbaran July 2022'!AQ19</f>
        <v>0</v>
      </c>
      <c r="BL9" s="30">
        <f>'FS Jimbaran July 2022'!AR19</f>
        <v>0</v>
      </c>
      <c r="BM9" s="30">
        <v>0</v>
      </c>
      <c r="BN9" s="30">
        <v>0</v>
      </c>
      <c r="BO9" s="33">
        <f>'FS Jimbaran July 2022'!Q19</f>
        <v>0</v>
      </c>
      <c r="BP9" s="30">
        <f>'FS Jimbaran July 2022'!R19</f>
        <v>0</v>
      </c>
    </row>
    <row r="10" spans="1:68" x14ac:dyDescent="0.25">
      <c r="A10" s="16" t="s">
        <v>67</v>
      </c>
      <c r="B10" s="17">
        <f t="shared" si="0"/>
        <v>9</v>
      </c>
      <c r="C10" s="18">
        <v>7</v>
      </c>
      <c r="D10" s="32">
        <v>2022</v>
      </c>
      <c r="E10" s="30">
        <f>'FS Jimbaran July 2022'!K20</f>
        <v>25</v>
      </c>
      <c r="F10" s="30">
        <f>'FS Jimbaran July 2022'!N20</f>
        <v>0</v>
      </c>
      <c r="G10" s="30">
        <f>'FS Jimbaran July 2022'!G20</f>
        <v>7.5</v>
      </c>
      <c r="H10" s="30">
        <f>'FS Jimbaran July 2022'!H20</f>
        <v>0</v>
      </c>
      <c r="I10" s="30">
        <f>'FS Jimbaran July 2022'!I20</f>
        <v>10.1</v>
      </c>
      <c r="J10" s="30">
        <f>'FS Jimbaran July 2022'!J20</f>
        <v>0</v>
      </c>
      <c r="K10" s="30">
        <f>'FS Jimbaran July 2022'!K20</f>
        <v>25</v>
      </c>
      <c r="L10" s="30">
        <f>'FS Jimbaran July 2022'!L20</f>
        <v>0</v>
      </c>
      <c r="M10" s="30">
        <f>'FS Jimbaran July 2022'!S20</f>
        <v>2</v>
      </c>
      <c r="N10" s="30">
        <f>'FS Jimbaran July 2022'!T20</f>
        <v>0</v>
      </c>
      <c r="O10" s="30">
        <f>'FS Jimbaran July 2022'!U20</f>
        <v>6.2</v>
      </c>
      <c r="P10" s="30">
        <f>'FS Jimbaran July 2022'!V20</f>
        <v>0</v>
      </c>
      <c r="Q10" s="30">
        <f>'FS Jimbaran July 2022'!BE20</f>
        <v>0</v>
      </c>
      <c r="R10" s="30">
        <f>'FS Jimbaran July 2022'!BF20</f>
        <v>0</v>
      </c>
      <c r="S10" s="30">
        <f>'FS Jimbaran July 2022'!BH20</f>
        <v>0</v>
      </c>
      <c r="T10" s="30">
        <f>'FS Jimbaran July 2022'!BH20</f>
        <v>0</v>
      </c>
      <c r="U10" s="30">
        <f>'FS Jimbaran July 2022'!BI20</f>
        <v>0</v>
      </c>
      <c r="V10" s="30">
        <f>'FS Jimbaran July 2022'!BJ20</f>
        <v>0</v>
      </c>
      <c r="W10" s="30">
        <f>'FS Jimbaran July 2022'!Y20</f>
        <v>262</v>
      </c>
      <c r="X10" s="30">
        <f>'FS Jimbaran July 2022'!Z20</f>
        <v>0</v>
      </c>
      <c r="Y10" s="30">
        <f>'FS Jimbaran July 2022'!AA20</f>
        <v>4.2</v>
      </c>
      <c r="Z10" s="30">
        <f>'FS Jimbaran July 2022'!AB20</f>
        <v>0</v>
      </c>
      <c r="AA10" s="30">
        <f>'FS Jimbaran July 2022'!AC20</f>
        <v>2.5</v>
      </c>
      <c r="AB10" s="30">
        <f>'FS Jimbaran July 2022'!AD20</f>
        <v>0</v>
      </c>
      <c r="AC10" s="30">
        <f>'FS Jimbaran July 2022'!AE20</f>
        <v>0</v>
      </c>
      <c r="AD10" s="30">
        <f>'FS Jimbaran July 2022'!AF20</f>
        <v>0</v>
      </c>
      <c r="AE10" s="30">
        <f>'FS Jimbaran July 2022'!AG20</f>
        <v>0</v>
      </c>
      <c r="AF10" s="30">
        <f>'FS Jimbaran July 2022'!AH20</f>
        <v>0</v>
      </c>
      <c r="AG10" s="30">
        <f>'FS Jimbaran July 2022'!AM20</f>
        <v>0</v>
      </c>
      <c r="AH10" s="30">
        <f>'FS Jimbaran July 2022'!AR20</f>
        <v>0</v>
      </c>
      <c r="AI10" s="30">
        <f>'FS Jimbaran July 2022'!AQ20</f>
        <v>0</v>
      </c>
      <c r="AJ10" s="30">
        <f>'FS Jimbaran July 2022'!AR20</f>
        <v>0</v>
      </c>
      <c r="AK10" s="30">
        <f>'FS Jimbaran July 2022'!AY20</f>
        <v>0</v>
      </c>
      <c r="AL10" s="30">
        <f>'FS Jimbaran July 2022'!AZ20</f>
        <v>0</v>
      </c>
      <c r="AM10" s="30">
        <f>'FS Jimbaran July 2022'!BB20</f>
        <v>0</v>
      </c>
      <c r="AN10" s="30">
        <f>'FS Jimbaran July 2022'!BB20</f>
        <v>0</v>
      </c>
      <c r="AO10" s="30">
        <f>'FS Jimbaran July 2022'!BK20</f>
        <v>0</v>
      </c>
      <c r="AP10" s="30">
        <f>'FS Jimbaran July 2022'!BL20</f>
        <v>0</v>
      </c>
      <c r="AQ10" s="30">
        <f>'FS Jimbaran July 2022'!BC20</f>
        <v>0</v>
      </c>
      <c r="AR10" s="30">
        <f>'FS Jimbaran July 2022'!BD20</f>
        <v>0</v>
      </c>
      <c r="AS10" s="30">
        <f>'FS Jimbaran July 2022'!BM20</f>
        <v>0</v>
      </c>
      <c r="AT10" s="30">
        <f>'FS Jimbaran July 2022'!BN20</f>
        <v>0</v>
      </c>
      <c r="AU10" s="30">
        <f>'FS Jimbaran July 2022'!BO20</f>
        <v>0</v>
      </c>
      <c r="AV10" s="30">
        <f>'FS Jimbaran July 2022'!BP20</f>
        <v>0</v>
      </c>
      <c r="AW10" s="30">
        <f>'FS Jimbaran July 2022'!E20</f>
        <v>5.4</v>
      </c>
      <c r="AX10" s="30">
        <f>'FS Jimbaran July 2022'!F20</f>
        <v>0</v>
      </c>
      <c r="AY10" s="30">
        <f>'FS Jimbaran July 2022'!O20</f>
        <v>0</v>
      </c>
      <c r="AZ10" s="30">
        <f>'FS Jimbaran July 2022'!P20</f>
        <v>0</v>
      </c>
      <c r="BA10" s="30">
        <f>'FS Jimbaran July 2022'!W20</f>
        <v>0</v>
      </c>
      <c r="BB10" s="30">
        <f>'FS Jimbaran July 2022'!X20</f>
        <v>0</v>
      </c>
      <c r="BC10" s="30">
        <f>'FS Jimbaran July 2022'!AI20</f>
        <v>437</v>
      </c>
      <c r="BD10" s="30">
        <f>'FS Jimbaran July 2022'!AJ20</f>
        <v>0</v>
      </c>
      <c r="BE10" s="30">
        <f>'FS Jimbaran July 2022'!AK20</f>
        <v>4.2</v>
      </c>
      <c r="BF10" s="30">
        <f>'FS Jimbaran July 2022'!AL20</f>
        <v>0</v>
      </c>
      <c r="BG10" s="30">
        <f>'FS Jimbaran July 2022'!AM20</f>
        <v>0</v>
      </c>
      <c r="BH10" s="30">
        <f>'FS Jimbaran July 2022'!AN20</f>
        <v>0</v>
      </c>
      <c r="BI10" s="30">
        <f>'FS Jimbaran July 2022'!AO20</f>
        <v>0</v>
      </c>
      <c r="BJ10" s="30">
        <f>'FS Jimbaran July 2022'!AO20</f>
        <v>0</v>
      </c>
      <c r="BK10" s="30">
        <f>'FS Jimbaran July 2022'!AQ20</f>
        <v>0</v>
      </c>
      <c r="BL10" s="30">
        <f>'FS Jimbaran July 2022'!AR20</f>
        <v>0</v>
      </c>
      <c r="BM10" s="30">
        <v>0</v>
      </c>
      <c r="BN10" s="30">
        <v>0</v>
      </c>
      <c r="BO10" s="33">
        <f>'FS Jimbaran July 2022'!Q20</f>
        <v>0</v>
      </c>
      <c r="BP10" s="30">
        <f>'FS Jimbaran July 2022'!R20</f>
        <v>0</v>
      </c>
    </row>
    <row r="11" spans="1:68" x14ac:dyDescent="0.25">
      <c r="A11" s="16" t="s">
        <v>67</v>
      </c>
      <c r="B11" s="17">
        <f t="shared" si="0"/>
        <v>10</v>
      </c>
      <c r="C11" s="18">
        <v>7</v>
      </c>
      <c r="D11" s="32">
        <v>2022</v>
      </c>
      <c r="E11" s="30">
        <f>'FS Jimbaran July 2022'!K21</f>
        <v>0</v>
      </c>
      <c r="F11" s="30">
        <f>'FS Jimbaran July 2022'!N21</f>
        <v>0</v>
      </c>
      <c r="G11" s="30">
        <f>'FS Jimbaran July 2022'!G21</f>
        <v>0</v>
      </c>
      <c r="H11" s="30">
        <f>'FS Jimbaran July 2022'!H21</f>
        <v>0</v>
      </c>
      <c r="I11" s="30">
        <f>'FS Jimbaran July 2022'!I21</f>
        <v>15</v>
      </c>
      <c r="J11" s="30">
        <f>'FS Jimbaran July 2022'!J21</f>
        <v>0</v>
      </c>
      <c r="K11" s="30">
        <f>'FS Jimbaran July 2022'!K21</f>
        <v>0</v>
      </c>
      <c r="L11" s="30">
        <f>'FS Jimbaran July 2022'!L21</f>
        <v>0</v>
      </c>
      <c r="M11" s="30">
        <f>'FS Jimbaran July 2022'!S21</f>
        <v>0</v>
      </c>
      <c r="N11" s="30">
        <f>'FS Jimbaran July 2022'!T21</f>
        <v>0</v>
      </c>
      <c r="O11" s="30">
        <f>'FS Jimbaran July 2022'!U21</f>
        <v>8</v>
      </c>
      <c r="P11" s="30">
        <f>'FS Jimbaran July 2022'!V21</f>
        <v>0</v>
      </c>
      <c r="Q11" s="30">
        <f>'FS Jimbaran July 2022'!BE21</f>
        <v>0</v>
      </c>
      <c r="R11" s="30">
        <f>'FS Jimbaran July 2022'!BF21</f>
        <v>0</v>
      </c>
      <c r="S11" s="30">
        <f>'FS Jimbaran July 2022'!BH21</f>
        <v>0</v>
      </c>
      <c r="T11" s="30">
        <f>'FS Jimbaran July 2022'!BH21</f>
        <v>0</v>
      </c>
      <c r="U11" s="30">
        <f>'FS Jimbaran July 2022'!BI21</f>
        <v>0</v>
      </c>
      <c r="V11" s="30">
        <f>'FS Jimbaran July 2022'!BJ21</f>
        <v>0</v>
      </c>
      <c r="W11" s="30">
        <f>'FS Jimbaran July 2022'!Y21</f>
        <v>200</v>
      </c>
      <c r="X11" s="30">
        <f>'FS Jimbaran July 2022'!Z21</f>
        <v>0</v>
      </c>
      <c r="Y11" s="30">
        <f>'FS Jimbaran July 2022'!AA21</f>
        <v>0</v>
      </c>
      <c r="Z11" s="30">
        <f>'FS Jimbaran July 2022'!AB21</f>
        <v>0</v>
      </c>
      <c r="AA11" s="30">
        <f>'FS Jimbaran July 2022'!AC21</f>
        <v>0</v>
      </c>
      <c r="AB11" s="30">
        <f>'FS Jimbaran July 2022'!AD21</f>
        <v>0</v>
      </c>
      <c r="AC11" s="30">
        <f>'FS Jimbaran July 2022'!AE21</f>
        <v>0</v>
      </c>
      <c r="AD11" s="30">
        <f>'FS Jimbaran July 2022'!AF21</f>
        <v>0</v>
      </c>
      <c r="AE11" s="30">
        <f>'FS Jimbaran July 2022'!AG21</f>
        <v>0</v>
      </c>
      <c r="AF11" s="30">
        <f>'FS Jimbaran July 2022'!AH21</f>
        <v>0</v>
      </c>
      <c r="AG11" s="30">
        <f>'FS Jimbaran July 2022'!AM21</f>
        <v>0</v>
      </c>
      <c r="AH11" s="30">
        <f>'FS Jimbaran July 2022'!AR21</f>
        <v>0</v>
      </c>
      <c r="AI11" s="30">
        <f>'FS Jimbaran July 2022'!AQ21</f>
        <v>0</v>
      </c>
      <c r="AJ11" s="30">
        <f>'FS Jimbaran July 2022'!AR21</f>
        <v>0</v>
      </c>
      <c r="AK11" s="30">
        <f>'FS Jimbaran July 2022'!AY21</f>
        <v>0</v>
      </c>
      <c r="AL11" s="30">
        <f>'FS Jimbaran July 2022'!AZ21</f>
        <v>0</v>
      </c>
      <c r="AM11" s="30">
        <f>'FS Jimbaran July 2022'!BB21</f>
        <v>0</v>
      </c>
      <c r="AN11" s="30">
        <f>'FS Jimbaran July 2022'!BB21</f>
        <v>0</v>
      </c>
      <c r="AO11" s="30">
        <f>'FS Jimbaran July 2022'!BK21</f>
        <v>0</v>
      </c>
      <c r="AP11" s="30">
        <f>'FS Jimbaran July 2022'!BL21</f>
        <v>0</v>
      </c>
      <c r="AQ11" s="30">
        <f>'FS Jimbaran July 2022'!BC21</f>
        <v>0</v>
      </c>
      <c r="AR11" s="30">
        <f>'FS Jimbaran July 2022'!BD21</f>
        <v>0</v>
      </c>
      <c r="AS11" s="30">
        <f>'FS Jimbaran July 2022'!BM21</f>
        <v>0</v>
      </c>
      <c r="AT11" s="30">
        <f>'FS Jimbaran July 2022'!BN21</f>
        <v>0</v>
      </c>
      <c r="AU11" s="30">
        <f>'FS Jimbaran July 2022'!BO21</f>
        <v>0</v>
      </c>
      <c r="AV11" s="30">
        <f>'FS Jimbaran July 2022'!BP21</f>
        <v>0</v>
      </c>
      <c r="AW11" s="30">
        <f>'FS Jimbaran July 2022'!E21</f>
        <v>0</v>
      </c>
      <c r="AX11" s="30">
        <f>'FS Jimbaran July 2022'!F21</f>
        <v>0</v>
      </c>
      <c r="AY11" s="30">
        <f>'FS Jimbaran July 2022'!O21</f>
        <v>0</v>
      </c>
      <c r="AZ11" s="30">
        <f>'FS Jimbaran July 2022'!P21</f>
        <v>0</v>
      </c>
      <c r="BA11" s="30">
        <f>'FS Jimbaran July 2022'!W21</f>
        <v>0</v>
      </c>
      <c r="BB11" s="30">
        <f>'FS Jimbaran July 2022'!X21</f>
        <v>0</v>
      </c>
      <c r="BC11" s="30">
        <f>'FS Jimbaran July 2022'!AI21</f>
        <v>402.5</v>
      </c>
      <c r="BD11" s="30">
        <f>'FS Jimbaran July 2022'!AJ21</f>
        <v>0</v>
      </c>
      <c r="BE11" s="30">
        <f>'FS Jimbaran July 2022'!AK21</f>
        <v>0</v>
      </c>
      <c r="BF11" s="30">
        <f>'FS Jimbaran July 2022'!AL21</f>
        <v>0</v>
      </c>
      <c r="BG11" s="30">
        <f>'FS Jimbaran July 2022'!AM21</f>
        <v>0</v>
      </c>
      <c r="BH11" s="30">
        <f>'FS Jimbaran July 2022'!AN21</f>
        <v>0</v>
      </c>
      <c r="BI11" s="30">
        <f>'FS Jimbaran July 2022'!AO21</f>
        <v>0</v>
      </c>
      <c r="BJ11" s="30">
        <f>'FS Jimbaran July 2022'!AO21</f>
        <v>0</v>
      </c>
      <c r="BK11" s="30">
        <f>'FS Jimbaran July 2022'!AQ21</f>
        <v>0</v>
      </c>
      <c r="BL11" s="30">
        <f>'FS Jimbaran July 2022'!AR21</f>
        <v>0</v>
      </c>
      <c r="BM11" s="30">
        <v>0</v>
      </c>
      <c r="BN11" s="30">
        <v>0</v>
      </c>
      <c r="BO11" s="33">
        <f>'FS Jimbaran July 2022'!Q21</f>
        <v>5.6</v>
      </c>
      <c r="BP11" s="30">
        <f>'FS Jimbaran July 2022'!R21</f>
        <v>0</v>
      </c>
    </row>
    <row r="12" spans="1:68" x14ac:dyDescent="0.25">
      <c r="A12" s="16" t="s">
        <v>67</v>
      </c>
      <c r="B12" s="17">
        <f t="shared" si="0"/>
        <v>11</v>
      </c>
      <c r="C12" s="18">
        <v>7</v>
      </c>
      <c r="D12" s="32">
        <v>2022</v>
      </c>
      <c r="E12" s="30">
        <f>'FS Jimbaran July 2022'!K22</f>
        <v>15</v>
      </c>
      <c r="F12" s="30">
        <f>'FS Jimbaran July 2022'!N22</f>
        <v>0</v>
      </c>
      <c r="G12" s="30">
        <f>'FS Jimbaran July 2022'!G22</f>
        <v>2.2999999999999998</v>
      </c>
      <c r="H12" s="30">
        <f>'FS Jimbaran July 2022'!H22</f>
        <v>0</v>
      </c>
      <c r="I12" s="30">
        <f>'FS Jimbaran July 2022'!I22</f>
        <v>15.2</v>
      </c>
      <c r="J12" s="30">
        <f>'FS Jimbaran July 2022'!J22</f>
        <v>0</v>
      </c>
      <c r="K12" s="30">
        <f>'FS Jimbaran July 2022'!K22</f>
        <v>15</v>
      </c>
      <c r="L12" s="30">
        <f>'FS Jimbaran July 2022'!L22</f>
        <v>0</v>
      </c>
      <c r="M12" s="30">
        <f>'FS Jimbaran July 2022'!S22</f>
        <v>1</v>
      </c>
      <c r="N12" s="30">
        <f>'FS Jimbaran July 2022'!T22</f>
        <v>0</v>
      </c>
      <c r="O12" s="30">
        <f>'FS Jimbaran July 2022'!U22</f>
        <v>5.6</v>
      </c>
      <c r="P12" s="30">
        <f>'FS Jimbaran July 2022'!V22</f>
        <v>0</v>
      </c>
      <c r="Q12" s="30">
        <f>'FS Jimbaran July 2022'!BE22</f>
        <v>0</v>
      </c>
      <c r="R12" s="30">
        <f>'FS Jimbaran July 2022'!BF22</f>
        <v>0</v>
      </c>
      <c r="S12" s="30">
        <f>'FS Jimbaran July 2022'!BH22</f>
        <v>0</v>
      </c>
      <c r="T12" s="30">
        <f>'FS Jimbaran July 2022'!BH22</f>
        <v>0</v>
      </c>
      <c r="U12" s="30">
        <f>'FS Jimbaran July 2022'!BI22</f>
        <v>0</v>
      </c>
      <c r="V12" s="30">
        <f>'FS Jimbaran July 2022'!BJ22</f>
        <v>0</v>
      </c>
      <c r="W12" s="30">
        <f>'FS Jimbaran July 2022'!Y22</f>
        <v>254</v>
      </c>
      <c r="X12" s="30">
        <f>'FS Jimbaran July 2022'!Z22</f>
        <v>0</v>
      </c>
      <c r="Y12" s="30">
        <f>'FS Jimbaran July 2022'!AA22</f>
        <v>3.1</v>
      </c>
      <c r="Z12" s="30">
        <f>'FS Jimbaran July 2022'!AB22</f>
        <v>0</v>
      </c>
      <c r="AA12" s="30">
        <f>'FS Jimbaran July 2022'!AC22</f>
        <v>1.5</v>
      </c>
      <c r="AB12" s="30">
        <f>'FS Jimbaran July 2022'!AD22</f>
        <v>0</v>
      </c>
      <c r="AC12" s="30">
        <f>'FS Jimbaran July 2022'!AE22</f>
        <v>0</v>
      </c>
      <c r="AD12" s="30">
        <f>'FS Jimbaran July 2022'!AF22</f>
        <v>0</v>
      </c>
      <c r="AE12" s="30">
        <f>'FS Jimbaran July 2022'!AG22</f>
        <v>0</v>
      </c>
      <c r="AF12" s="30">
        <f>'FS Jimbaran July 2022'!AH22</f>
        <v>0</v>
      </c>
      <c r="AG12" s="30">
        <f>'FS Jimbaran July 2022'!AM22</f>
        <v>0</v>
      </c>
      <c r="AH12" s="30">
        <f>'FS Jimbaran July 2022'!AR22</f>
        <v>0</v>
      </c>
      <c r="AI12" s="30">
        <f>'FS Jimbaran July 2022'!AQ22</f>
        <v>0</v>
      </c>
      <c r="AJ12" s="30">
        <f>'FS Jimbaran July 2022'!AR22</f>
        <v>0</v>
      </c>
      <c r="AK12" s="30">
        <f>'FS Jimbaran July 2022'!AY22</f>
        <v>0</v>
      </c>
      <c r="AL12" s="30">
        <f>'FS Jimbaran July 2022'!AZ22</f>
        <v>0</v>
      </c>
      <c r="AM12" s="30">
        <f>'FS Jimbaran July 2022'!BB22</f>
        <v>0</v>
      </c>
      <c r="AN12" s="30">
        <f>'FS Jimbaran July 2022'!BB22</f>
        <v>0</v>
      </c>
      <c r="AO12" s="30">
        <f>'FS Jimbaran July 2022'!BK22</f>
        <v>0</v>
      </c>
      <c r="AP12" s="30">
        <f>'FS Jimbaran July 2022'!BL22</f>
        <v>0</v>
      </c>
      <c r="AQ12" s="30">
        <f>'FS Jimbaran July 2022'!BC22</f>
        <v>0</v>
      </c>
      <c r="AR12" s="30">
        <f>'FS Jimbaran July 2022'!BD22</f>
        <v>0</v>
      </c>
      <c r="AS12" s="30">
        <f>'FS Jimbaran July 2022'!BM22</f>
        <v>0</v>
      </c>
      <c r="AT12" s="30">
        <f>'FS Jimbaran July 2022'!BN22</f>
        <v>0</v>
      </c>
      <c r="AU12" s="30">
        <f>'FS Jimbaran July 2022'!BO22</f>
        <v>0</v>
      </c>
      <c r="AV12" s="30">
        <f>'FS Jimbaran July 2022'!BP22</f>
        <v>0</v>
      </c>
      <c r="AW12" s="30">
        <f>'FS Jimbaran July 2022'!E22</f>
        <v>2.2000000000000002</v>
      </c>
      <c r="AX12" s="30">
        <f>'FS Jimbaran July 2022'!F22</f>
        <v>0</v>
      </c>
      <c r="AY12" s="30">
        <f>'FS Jimbaran July 2022'!O22</f>
        <v>0</v>
      </c>
      <c r="AZ12" s="30">
        <f>'FS Jimbaran July 2022'!P22</f>
        <v>0</v>
      </c>
      <c r="BA12" s="30">
        <f>'FS Jimbaran July 2022'!W22</f>
        <v>0</v>
      </c>
      <c r="BB12" s="30">
        <f>'FS Jimbaran July 2022'!X22</f>
        <v>0</v>
      </c>
      <c r="BC12" s="30">
        <f>'FS Jimbaran July 2022'!AI22</f>
        <v>276</v>
      </c>
      <c r="BD12" s="30">
        <f>'FS Jimbaran July 2022'!AJ22</f>
        <v>0</v>
      </c>
      <c r="BE12" s="30">
        <f>'FS Jimbaran July 2022'!AK22</f>
        <v>3.1</v>
      </c>
      <c r="BF12" s="30">
        <f>'FS Jimbaran July 2022'!AL22</f>
        <v>0</v>
      </c>
      <c r="BG12" s="30">
        <f>'FS Jimbaran July 2022'!AM22</f>
        <v>0</v>
      </c>
      <c r="BH12" s="30">
        <f>'FS Jimbaran July 2022'!AN22</f>
        <v>0</v>
      </c>
      <c r="BI12" s="30">
        <f>'FS Jimbaran July 2022'!AO22</f>
        <v>0</v>
      </c>
      <c r="BJ12" s="30">
        <f>'FS Jimbaran July 2022'!AO22</f>
        <v>0</v>
      </c>
      <c r="BK12" s="30">
        <f>'FS Jimbaran July 2022'!AQ22</f>
        <v>0</v>
      </c>
      <c r="BL12" s="30">
        <f>'FS Jimbaran July 2022'!AR22</f>
        <v>0</v>
      </c>
      <c r="BM12" s="30">
        <v>0</v>
      </c>
      <c r="BN12" s="30">
        <v>0</v>
      </c>
      <c r="BO12" s="33">
        <f>'FS Jimbaran July 2022'!Q22</f>
        <v>3.6</v>
      </c>
      <c r="BP12" s="30">
        <f>'FS Jimbaran July 2022'!R22</f>
        <v>0</v>
      </c>
    </row>
    <row r="13" spans="1:68" x14ac:dyDescent="0.25">
      <c r="A13" s="16" t="s">
        <v>67</v>
      </c>
      <c r="B13" s="17">
        <f t="shared" si="0"/>
        <v>12</v>
      </c>
      <c r="C13" s="18">
        <v>7</v>
      </c>
      <c r="D13" s="32">
        <v>2022</v>
      </c>
      <c r="E13" s="30">
        <f>'FS Jimbaran July 2022'!K23</f>
        <v>12</v>
      </c>
      <c r="F13" s="30">
        <f>'FS Jimbaran July 2022'!N23</f>
        <v>0</v>
      </c>
      <c r="G13" s="30">
        <f>'FS Jimbaran July 2022'!G23</f>
        <v>0</v>
      </c>
      <c r="H13" s="30">
        <f>'FS Jimbaran July 2022'!H23</f>
        <v>0</v>
      </c>
      <c r="I13" s="30">
        <f>'FS Jimbaran July 2022'!I23</f>
        <v>0</v>
      </c>
      <c r="J13" s="30">
        <f>'FS Jimbaran July 2022'!J23</f>
        <v>0</v>
      </c>
      <c r="K13" s="30">
        <f>'FS Jimbaran July 2022'!K23</f>
        <v>12</v>
      </c>
      <c r="L13" s="30">
        <f>'FS Jimbaran July 2022'!L23</f>
        <v>0</v>
      </c>
      <c r="M13" s="30">
        <f>'FS Jimbaran July 2022'!S23</f>
        <v>0</v>
      </c>
      <c r="N13" s="30">
        <f>'FS Jimbaran July 2022'!T23</f>
        <v>0</v>
      </c>
      <c r="O13" s="30">
        <f>'FS Jimbaran July 2022'!U23</f>
        <v>6</v>
      </c>
      <c r="P13" s="30">
        <f>'FS Jimbaran July 2022'!V23</f>
        <v>0</v>
      </c>
      <c r="Q13" s="30">
        <f>'FS Jimbaran July 2022'!BE23</f>
        <v>0</v>
      </c>
      <c r="R13" s="30">
        <f>'FS Jimbaran July 2022'!BF23</f>
        <v>0</v>
      </c>
      <c r="S13" s="30">
        <f>'FS Jimbaran July 2022'!BH23</f>
        <v>0</v>
      </c>
      <c r="T13" s="30">
        <f>'FS Jimbaran July 2022'!BH23</f>
        <v>0</v>
      </c>
      <c r="U13" s="30">
        <f>'FS Jimbaran July 2022'!BI23</f>
        <v>0</v>
      </c>
      <c r="V13" s="30">
        <f>'FS Jimbaran July 2022'!BJ23</f>
        <v>0</v>
      </c>
      <c r="W13" s="30">
        <f>'FS Jimbaran July 2022'!Y23</f>
        <v>205</v>
      </c>
      <c r="X13" s="30">
        <f>'FS Jimbaran July 2022'!Z23</f>
        <v>0</v>
      </c>
      <c r="Y13" s="30">
        <f>'FS Jimbaran July 2022'!AA23</f>
        <v>0</v>
      </c>
      <c r="Z13" s="30">
        <f>'FS Jimbaran July 2022'!AB23</f>
        <v>0</v>
      </c>
      <c r="AA13" s="30">
        <f>'FS Jimbaran July 2022'!AC23</f>
        <v>0</v>
      </c>
      <c r="AB13" s="30">
        <f>'FS Jimbaran July 2022'!AD23</f>
        <v>0</v>
      </c>
      <c r="AC13" s="30">
        <f>'FS Jimbaran July 2022'!AE23</f>
        <v>0</v>
      </c>
      <c r="AD13" s="30">
        <f>'FS Jimbaran July 2022'!AF23</f>
        <v>0</v>
      </c>
      <c r="AE13" s="30">
        <f>'FS Jimbaran July 2022'!AG23</f>
        <v>0</v>
      </c>
      <c r="AF13" s="30">
        <f>'FS Jimbaran July 2022'!AH23</f>
        <v>0</v>
      </c>
      <c r="AG13" s="30">
        <f>'FS Jimbaran July 2022'!AM23</f>
        <v>0</v>
      </c>
      <c r="AH13" s="30">
        <f>'FS Jimbaran July 2022'!AR23</f>
        <v>0</v>
      </c>
      <c r="AI13" s="30">
        <f>'FS Jimbaran July 2022'!AQ23</f>
        <v>0</v>
      </c>
      <c r="AJ13" s="30">
        <f>'FS Jimbaran July 2022'!AR23</f>
        <v>0</v>
      </c>
      <c r="AK13" s="30">
        <f>'FS Jimbaran July 2022'!AY23</f>
        <v>0</v>
      </c>
      <c r="AL13" s="30">
        <f>'FS Jimbaran July 2022'!AZ23</f>
        <v>0</v>
      </c>
      <c r="AM13" s="30">
        <f>'FS Jimbaran July 2022'!BB23</f>
        <v>0</v>
      </c>
      <c r="AN13" s="30">
        <f>'FS Jimbaran July 2022'!BB23</f>
        <v>0</v>
      </c>
      <c r="AO13" s="30">
        <f>'FS Jimbaran July 2022'!BK23</f>
        <v>0</v>
      </c>
      <c r="AP13" s="30">
        <f>'FS Jimbaran July 2022'!BL23</f>
        <v>0</v>
      </c>
      <c r="AQ13" s="30">
        <f>'FS Jimbaran July 2022'!BC23</f>
        <v>0</v>
      </c>
      <c r="AR13" s="30">
        <f>'FS Jimbaran July 2022'!BD23</f>
        <v>0</v>
      </c>
      <c r="AS13" s="30">
        <f>'FS Jimbaran July 2022'!BM23</f>
        <v>0</v>
      </c>
      <c r="AT13" s="30">
        <f>'FS Jimbaran July 2022'!BN23</f>
        <v>0</v>
      </c>
      <c r="AU13" s="30">
        <f>'FS Jimbaran July 2022'!BO23</f>
        <v>0</v>
      </c>
      <c r="AV13" s="30">
        <f>'FS Jimbaran July 2022'!BP23</f>
        <v>0</v>
      </c>
      <c r="AW13" s="30">
        <f>'FS Jimbaran July 2022'!E23</f>
        <v>0</v>
      </c>
      <c r="AX13" s="30">
        <f>'FS Jimbaran July 2022'!F23</f>
        <v>0</v>
      </c>
      <c r="AY13" s="30">
        <f>'FS Jimbaran July 2022'!O23</f>
        <v>0</v>
      </c>
      <c r="AZ13" s="30">
        <f>'FS Jimbaran July 2022'!P23</f>
        <v>0</v>
      </c>
      <c r="BA13" s="30">
        <f>'FS Jimbaran July 2022'!W23</f>
        <v>0</v>
      </c>
      <c r="BB13" s="30">
        <f>'FS Jimbaran July 2022'!X23</f>
        <v>0</v>
      </c>
      <c r="BC13" s="30">
        <f>'FS Jimbaran July 2022'!AI23</f>
        <v>356.5</v>
      </c>
      <c r="BD13" s="30">
        <f>'FS Jimbaran July 2022'!AJ23</f>
        <v>0</v>
      </c>
      <c r="BE13" s="30">
        <f>'FS Jimbaran July 2022'!AK23</f>
        <v>0</v>
      </c>
      <c r="BF13" s="30">
        <f>'FS Jimbaran July 2022'!AL23</f>
        <v>0</v>
      </c>
      <c r="BG13" s="30">
        <f>'FS Jimbaran July 2022'!AM23</f>
        <v>0</v>
      </c>
      <c r="BH13" s="30">
        <f>'FS Jimbaran July 2022'!AN23</f>
        <v>0</v>
      </c>
      <c r="BI13" s="30">
        <f>'FS Jimbaran July 2022'!AO23</f>
        <v>0</v>
      </c>
      <c r="BJ13" s="30">
        <f>'FS Jimbaran July 2022'!AO23</f>
        <v>0</v>
      </c>
      <c r="BK13" s="30">
        <f>'FS Jimbaran July 2022'!AQ23</f>
        <v>0</v>
      </c>
      <c r="BL13" s="30">
        <f>'FS Jimbaran July 2022'!AR23</f>
        <v>0</v>
      </c>
      <c r="BM13" s="30">
        <v>0</v>
      </c>
      <c r="BN13" s="30">
        <v>0</v>
      </c>
      <c r="BO13" s="33">
        <f>'FS Jimbaran July 2022'!Q23</f>
        <v>0</v>
      </c>
      <c r="BP13" s="30">
        <f>'FS Jimbaran July 2022'!R23</f>
        <v>0</v>
      </c>
    </row>
    <row r="14" spans="1:68" x14ac:dyDescent="0.25">
      <c r="A14" s="16" t="s">
        <v>67</v>
      </c>
      <c r="B14" s="17">
        <f t="shared" si="0"/>
        <v>13</v>
      </c>
      <c r="C14" s="18">
        <v>7</v>
      </c>
      <c r="D14" s="32">
        <v>2022</v>
      </c>
      <c r="E14" s="30">
        <f>'FS Jimbaran July 2022'!K24</f>
        <v>11</v>
      </c>
      <c r="F14" s="30">
        <f>'FS Jimbaran July 2022'!N24</f>
        <v>0</v>
      </c>
      <c r="G14" s="30">
        <f>'FS Jimbaran July 2022'!G24</f>
        <v>0</v>
      </c>
      <c r="H14" s="30">
        <f>'FS Jimbaran July 2022'!H24</f>
        <v>0</v>
      </c>
      <c r="I14" s="30">
        <f>'FS Jimbaran July 2022'!I24</f>
        <v>4.0999999999999996</v>
      </c>
      <c r="J14" s="30">
        <f>'FS Jimbaran July 2022'!J24</f>
        <v>0</v>
      </c>
      <c r="K14" s="30">
        <f>'FS Jimbaran July 2022'!K24</f>
        <v>11</v>
      </c>
      <c r="L14" s="30">
        <f>'FS Jimbaran July 2022'!L24</f>
        <v>0</v>
      </c>
      <c r="M14" s="30">
        <f>'FS Jimbaran July 2022'!S24</f>
        <v>1</v>
      </c>
      <c r="N14" s="30">
        <f>'FS Jimbaran July 2022'!T24</f>
        <v>0</v>
      </c>
      <c r="O14" s="30">
        <f>'FS Jimbaran July 2022'!U24</f>
        <v>6.2</v>
      </c>
      <c r="P14" s="30">
        <f>'FS Jimbaran July 2022'!V24</f>
        <v>0</v>
      </c>
      <c r="Q14" s="30">
        <f>'FS Jimbaran July 2022'!BE24</f>
        <v>0</v>
      </c>
      <c r="R14" s="30">
        <f>'FS Jimbaran July 2022'!BF24</f>
        <v>0</v>
      </c>
      <c r="S14" s="30">
        <f>'FS Jimbaran July 2022'!BH24</f>
        <v>0</v>
      </c>
      <c r="T14" s="30">
        <f>'FS Jimbaran July 2022'!BH24</f>
        <v>0</v>
      </c>
      <c r="U14" s="30">
        <f>'FS Jimbaran July 2022'!BI24</f>
        <v>0</v>
      </c>
      <c r="V14" s="30">
        <f>'FS Jimbaran July 2022'!BJ24</f>
        <v>0</v>
      </c>
      <c r="W14" s="30">
        <f>'FS Jimbaran July 2022'!Y24</f>
        <v>260</v>
      </c>
      <c r="X14" s="30">
        <f>'FS Jimbaran July 2022'!Z24</f>
        <v>0</v>
      </c>
      <c r="Y14" s="30">
        <f>'FS Jimbaran July 2022'!AA24</f>
        <v>4.0999999999999996</v>
      </c>
      <c r="Z14" s="30">
        <f>'FS Jimbaran July 2022'!AB24</f>
        <v>0</v>
      </c>
      <c r="AA14" s="30">
        <f>'FS Jimbaran July 2022'!AC24</f>
        <v>1.6</v>
      </c>
      <c r="AB14" s="30">
        <f>'FS Jimbaran July 2022'!AD24</f>
        <v>0</v>
      </c>
      <c r="AC14" s="30">
        <f>'FS Jimbaran July 2022'!AE24</f>
        <v>0</v>
      </c>
      <c r="AD14" s="30">
        <f>'FS Jimbaran July 2022'!AF24</f>
        <v>0</v>
      </c>
      <c r="AE14" s="30">
        <f>'FS Jimbaran July 2022'!AG24</f>
        <v>0</v>
      </c>
      <c r="AF14" s="30">
        <f>'FS Jimbaran July 2022'!AH24</f>
        <v>0</v>
      </c>
      <c r="AG14" s="30">
        <f>'FS Jimbaran July 2022'!AM24</f>
        <v>0</v>
      </c>
      <c r="AH14" s="30">
        <f>'FS Jimbaran July 2022'!AR24</f>
        <v>0</v>
      </c>
      <c r="AI14" s="30">
        <f>'FS Jimbaran July 2022'!AQ24</f>
        <v>0</v>
      </c>
      <c r="AJ14" s="30">
        <f>'FS Jimbaran July 2022'!AR24</f>
        <v>0</v>
      </c>
      <c r="AK14" s="30">
        <f>'FS Jimbaran July 2022'!AY24</f>
        <v>0</v>
      </c>
      <c r="AL14" s="30">
        <f>'FS Jimbaran July 2022'!AZ24</f>
        <v>0</v>
      </c>
      <c r="AM14" s="30">
        <f>'FS Jimbaran July 2022'!BB24</f>
        <v>0</v>
      </c>
      <c r="AN14" s="30">
        <f>'FS Jimbaran July 2022'!BB24</f>
        <v>0</v>
      </c>
      <c r="AO14" s="30">
        <f>'FS Jimbaran July 2022'!BK24</f>
        <v>0</v>
      </c>
      <c r="AP14" s="30">
        <f>'FS Jimbaran July 2022'!BL24</f>
        <v>0</v>
      </c>
      <c r="AQ14" s="30">
        <f>'FS Jimbaran July 2022'!BC24</f>
        <v>0</v>
      </c>
      <c r="AR14" s="30">
        <f>'FS Jimbaran July 2022'!BD24</f>
        <v>0</v>
      </c>
      <c r="AS14" s="30">
        <f>'FS Jimbaran July 2022'!BM24</f>
        <v>0</v>
      </c>
      <c r="AT14" s="30">
        <f>'FS Jimbaran July 2022'!BN24</f>
        <v>0</v>
      </c>
      <c r="AU14" s="30">
        <f>'FS Jimbaran July 2022'!BO24</f>
        <v>0</v>
      </c>
      <c r="AV14" s="30">
        <f>'FS Jimbaran July 2022'!BP24</f>
        <v>0</v>
      </c>
      <c r="AW14" s="30">
        <f>'FS Jimbaran July 2022'!E24</f>
        <v>2.5</v>
      </c>
      <c r="AX14" s="30">
        <f>'FS Jimbaran July 2022'!F24</f>
        <v>0</v>
      </c>
      <c r="AY14" s="30">
        <f>'FS Jimbaran July 2022'!O24</f>
        <v>0</v>
      </c>
      <c r="AZ14" s="30">
        <f>'FS Jimbaran July 2022'!P24</f>
        <v>0</v>
      </c>
      <c r="BA14" s="30">
        <f>'FS Jimbaran July 2022'!W24</f>
        <v>0</v>
      </c>
      <c r="BB14" s="30">
        <f>'FS Jimbaran July 2022'!X24</f>
        <v>0</v>
      </c>
      <c r="BC14" s="30">
        <f>'FS Jimbaran July 2022'!AI24</f>
        <v>333.5</v>
      </c>
      <c r="BD14" s="30">
        <f>'FS Jimbaran July 2022'!AJ24</f>
        <v>0</v>
      </c>
      <c r="BE14" s="30">
        <f>'FS Jimbaran July 2022'!AK24</f>
        <v>4.0999999999999996</v>
      </c>
      <c r="BF14" s="30">
        <f>'FS Jimbaran July 2022'!AL24</f>
        <v>0</v>
      </c>
      <c r="BG14" s="30">
        <f>'FS Jimbaran July 2022'!AM24</f>
        <v>0</v>
      </c>
      <c r="BH14" s="30">
        <f>'FS Jimbaran July 2022'!AN24</f>
        <v>0</v>
      </c>
      <c r="BI14" s="30">
        <f>'FS Jimbaran July 2022'!AO24</f>
        <v>0</v>
      </c>
      <c r="BJ14" s="30">
        <f>'FS Jimbaran July 2022'!AO24</f>
        <v>0</v>
      </c>
      <c r="BK14" s="30">
        <f>'FS Jimbaran July 2022'!AQ24</f>
        <v>0</v>
      </c>
      <c r="BL14" s="30">
        <f>'FS Jimbaran July 2022'!AR24</f>
        <v>0</v>
      </c>
      <c r="BM14" s="30">
        <v>0</v>
      </c>
      <c r="BN14" s="30">
        <v>0</v>
      </c>
      <c r="BO14" s="33">
        <f>'FS Jimbaran July 2022'!Q24</f>
        <v>0</v>
      </c>
      <c r="BP14" s="30">
        <f>'FS Jimbaran July 2022'!R24</f>
        <v>0</v>
      </c>
    </row>
    <row r="15" spans="1:68" x14ac:dyDescent="0.25">
      <c r="A15" s="16" t="s">
        <v>67</v>
      </c>
      <c r="B15" s="17">
        <f t="shared" si="0"/>
        <v>14</v>
      </c>
      <c r="C15" s="18">
        <v>7</v>
      </c>
      <c r="D15" s="32">
        <v>2022</v>
      </c>
      <c r="E15" s="30">
        <f>'FS Jimbaran July 2022'!K25</f>
        <v>8</v>
      </c>
      <c r="F15" s="30">
        <f>'FS Jimbaran July 2022'!N25</f>
        <v>0</v>
      </c>
      <c r="G15" s="30">
        <f>'FS Jimbaran July 2022'!G25</f>
        <v>0</v>
      </c>
      <c r="H15" s="30">
        <f>'FS Jimbaran July 2022'!H25</f>
        <v>0</v>
      </c>
      <c r="I15" s="30">
        <f>'FS Jimbaran July 2022'!I25</f>
        <v>2</v>
      </c>
      <c r="J15" s="30">
        <f>'FS Jimbaran July 2022'!J25</f>
        <v>0</v>
      </c>
      <c r="K15" s="30">
        <f>'FS Jimbaran July 2022'!K25</f>
        <v>8</v>
      </c>
      <c r="L15" s="30">
        <f>'FS Jimbaran July 2022'!L25</f>
        <v>0</v>
      </c>
      <c r="M15" s="30">
        <f>'FS Jimbaran July 2022'!S25</f>
        <v>0</v>
      </c>
      <c r="N15" s="30">
        <f>'FS Jimbaran July 2022'!T25</f>
        <v>0</v>
      </c>
      <c r="O15" s="30">
        <f>'FS Jimbaran July 2022'!U25</f>
        <v>3</v>
      </c>
      <c r="P15" s="30">
        <f>'FS Jimbaran July 2022'!V25</f>
        <v>0</v>
      </c>
      <c r="Q15" s="30">
        <f>'FS Jimbaran July 2022'!BE25</f>
        <v>0</v>
      </c>
      <c r="R15" s="30">
        <f>'FS Jimbaran July 2022'!BF25</f>
        <v>0</v>
      </c>
      <c r="S15" s="30">
        <f>'FS Jimbaran July 2022'!BH25</f>
        <v>0</v>
      </c>
      <c r="T15" s="30">
        <f>'FS Jimbaran July 2022'!BH25</f>
        <v>0</v>
      </c>
      <c r="U15" s="30">
        <f>'FS Jimbaran July 2022'!BI25</f>
        <v>0</v>
      </c>
      <c r="V15" s="30">
        <f>'FS Jimbaran July 2022'!BJ25</f>
        <v>0</v>
      </c>
      <c r="W15" s="30">
        <f>'FS Jimbaran July 2022'!Y25</f>
        <v>260</v>
      </c>
      <c r="X15" s="30">
        <f>'FS Jimbaran July 2022'!Z25</f>
        <v>0</v>
      </c>
      <c r="Y15" s="30">
        <f>'FS Jimbaran July 2022'!AA25</f>
        <v>0</v>
      </c>
      <c r="Z15" s="30">
        <f>'FS Jimbaran July 2022'!AB25</f>
        <v>0</v>
      </c>
      <c r="AA15" s="30">
        <f>'FS Jimbaran July 2022'!AC25</f>
        <v>0</v>
      </c>
      <c r="AB15" s="30">
        <f>'FS Jimbaran July 2022'!AD25</f>
        <v>0</v>
      </c>
      <c r="AC15" s="30">
        <f>'FS Jimbaran July 2022'!AE25</f>
        <v>0</v>
      </c>
      <c r="AD15" s="30">
        <f>'FS Jimbaran July 2022'!AF25</f>
        <v>0</v>
      </c>
      <c r="AE15" s="30">
        <f>'FS Jimbaran July 2022'!AG25</f>
        <v>0</v>
      </c>
      <c r="AF15" s="30">
        <f>'FS Jimbaran July 2022'!AH25</f>
        <v>0</v>
      </c>
      <c r="AG15" s="30">
        <f>'FS Jimbaran July 2022'!AM25</f>
        <v>0</v>
      </c>
      <c r="AH15" s="30">
        <f>'FS Jimbaran July 2022'!AR25</f>
        <v>0</v>
      </c>
      <c r="AI15" s="30">
        <f>'FS Jimbaran July 2022'!AQ25</f>
        <v>0</v>
      </c>
      <c r="AJ15" s="30">
        <f>'FS Jimbaran July 2022'!AR25</f>
        <v>0</v>
      </c>
      <c r="AK15" s="30">
        <f>'FS Jimbaran July 2022'!AY25</f>
        <v>0</v>
      </c>
      <c r="AL15" s="30">
        <f>'FS Jimbaran July 2022'!AZ25</f>
        <v>0</v>
      </c>
      <c r="AM15" s="30">
        <f>'FS Jimbaran July 2022'!BB25</f>
        <v>0</v>
      </c>
      <c r="AN15" s="30">
        <f>'FS Jimbaran July 2022'!BB25</f>
        <v>0</v>
      </c>
      <c r="AO15" s="30">
        <f>'FS Jimbaran July 2022'!BK25</f>
        <v>0</v>
      </c>
      <c r="AP15" s="30">
        <f>'FS Jimbaran July 2022'!BL25</f>
        <v>0</v>
      </c>
      <c r="AQ15" s="30">
        <f>'FS Jimbaran July 2022'!BC25</f>
        <v>0</v>
      </c>
      <c r="AR15" s="30">
        <f>'FS Jimbaran July 2022'!BD25</f>
        <v>0</v>
      </c>
      <c r="AS15" s="30">
        <f>'FS Jimbaran July 2022'!BM25</f>
        <v>0</v>
      </c>
      <c r="AT15" s="30">
        <f>'FS Jimbaran July 2022'!BN25</f>
        <v>0</v>
      </c>
      <c r="AU15" s="30">
        <f>'FS Jimbaran July 2022'!BO25</f>
        <v>0</v>
      </c>
      <c r="AV15" s="30">
        <f>'FS Jimbaran July 2022'!BP25</f>
        <v>0</v>
      </c>
      <c r="AW15" s="30">
        <f>'FS Jimbaran July 2022'!E25</f>
        <v>0</v>
      </c>
      <c r="AX15" s="30">
        <f>'FS Jimbaran July 2022'!F25</f>
        <v>0</v>
      </c>
      <c r="AY15" s="30">
        <f>'FS Jimbaran July 2022'!O25</f>
        <v>0</v>
      </c>
      <c r="AZ15" s="30">
        <f>'FS Jimbaran July 2022'!P25</f>
        <v>0</v>
      </c>
      <c r="BA15" s="30">
        <f>'FS Jimbaran July 2022'!W25</f>
        <v>0</v>
      </c>
      <c r="BB15" s="30">
        <f>'FS Jimbaran July 2022'!X25</f>
        <v>0</v>
      </c>
      <c r="BC15" s="30">
        <f>'FS Jimbaran July 2022'!AI25</f>
        <v>414</v>
      </c>
      <c r="BD15" s="30">
        <f>'FS Jimbaran July 2022'!AJ25</f>
        <v>0</v>
      </c>
      <c r="BE15" s="30">
        <f>'FS Jimbaran July 2022'!AK25</f>
        <v>0</v>
      </c>
      <c r="BF15" s="30">
        <f>'FS Jimbaran July 2022'!AL25</f>
        <v>0</v>
      </c>
      <c r="BG15" s="30">
        <f>'FS Jimbaran July 2022'!AM25</f>
        <v>0</v>
      </c>
      <c r="BH15" s="30">
        <f>'FS Jimbaran July 2022'!AN25</f>
        <v>0</v>
      </c>
      <c r="BI15" s="30">
        <f>'FS Jimbaran July 2022'!AO25</f>
        <v>0</v>
      </c>
      <c r="BJ15" s="30">
        <f>'FS Jimbaran July 2022'!AO25</f>
        <v>0</v>
      </c>
      <c r="BK15" s="30">
        <f>'FS Jimbaran July 2022'!AQ25</f>
        <v>0</v>
      </c>
      <c r="BL15" s="30">
        <f>'FS Jimbaran July 2022'!AR25</f>
        <v>0</v>
      </c>
      <c r="BM15" s="30">
        <v>0</v>
      </c>
      <c r="BN15" s="30">
        <v>0</v>
      </c>
      <c r="BO15" s="33">
        <f>'FS Jimbaran July 2022'!Q25</f>
        <v>7.3</v>
      </c>
      <c r="BP15" s="30">
        <f>'FS Jimbaran July 2022'!R25</f>
        <v>0</v>
      </c>
    </row>
    <row r="16" spans="1:68" x14ac:dyDescent="0.25">
      <c r="A16" s="16" t="s">
        <v>67</v>
      </c>
      <c r="B16" s="17">
        <f t="shared" si="0"/>
        <v>15</v>
      </c>
      <c r="C16" s="18">
        <v>7</v>
      </c>
      <c r="D16" s="32">
        <v>2022</v>
      </c>
      <c r="E16" s="30">
        <f>'FS Jimbaran July 2022'!K26</f>
        <v>32</v>
      </c>
      <c r="F16" s="30">
        <f>'FS Jimbaran July 2022'!N26</f>
        <v>0</v>
      </c>
      <c r="G16" s="30">
        <f>'FS Jimbaran July 2022'!G26</f>
        <v>0</v>
      </c>
      <c r="H16" s="30">
        <f>'FS Jimbaran July 2022'!H26</f>
        <v>0</v>
      </c>
      <c r="I16" s="30">
        <f>'FS Jimbaran July 2022'!I26</f>
        <v>6.5</v>
      </c>
      <c r="J16" s="30">
        <f>'FS Jimbaran July 2022'!J26</f>
        <v>0</v>
      </c>
      <c r="K16" s="30">
        <f>'FS Jimbaran July 2022'!K26</f>
        <v>32</v>
      </c>
      <c r="L16" s="30">
        <f>'FS Jimbaran July 2022'!L26</f>
        <v>0</v>
      </c>
      <c r="M16" s="30">
        <f>'FS Jimbaran July 2022'!S26</f>
        <v>0</v>
      </c>
      <c r="N16" s="30">
        <f>'FS Jimbaran July 2022'!T26</f>
        <v>0</v>
      </c>
      <c r="O16" s="30">
        <f>'FS Jimbaran July 2022'!U26</f>
        <v>7.3</v>
      </c>
      <c r="P16" s="30">
        <f>'FS Jimbaran July 2022'!V26</f>
        <v>0</v>
      </c>
      <c r="Q16" s="30">
        <f>'FS Jimbaran July 2022'!BE26</f>
        <v>0</v>
      </c>
      <c r="R16" s="30">
        <f>'FS Jimbaran July 2022'!BF26</f>
        <v>0</v>
      </c>
      <c r="S16" s="30">
        <f>'FS Jimbaran July 2022'!BH26</f>
        <v>0</v>
      </c>
      <c r="T16" s="30">
        <f>'FS Jimbaran July 2022'!BH26</f>
        <v>0</v>
      </c>
      <c r="U16" s="30">
        <f>'FS Jimbaran July 2022'!BI26</f>
        <v>0</v>
      </c>
      <c r="V16" s="30">
        <f>'FS Jimbaran July 2022'!BJ26</f>
        <v>0</v>
      </c>
      <c r="W16" s="30">
        <f>'FS Jimbaran July 2022'!Y26</f>
        <v>252</v>
      </c>
      <c r="X16" s="30">
        <f>'FS Jimbaran July 2022'!Z26</f>
        <v>0</v>
      </c>
      <c r="Y16" s="30">
        <f>'FS Jimbaran July 2022'!AA26</f>
        <v>5.2</v>
      </c>
      <c r="Z16" s="30">
        <f>'FS Jimbaran July 2022'!AB26</f>
        <v>0</v>
      </c>
      <c r="AA16" s="30">
        <f>'FS Jimbaran July 2022'!AC26</f>
        <v>2.6</v>
      </c>
      <c r="AB16" s="30">
        <f>'FS Jimbaran July 2022'!AD26</f>
        <v>0</v>
      </c>
      <c r="AC16" s="30">
        <f>'FS Jimbaran July 2022'!AE26</f>
        <v>0</v>
      </c>
      <c r="AD16" s="30">
        <f>'FS Jimbaran July 2022'!AF26</f>
        <v>0</v>
      </c>
      <c r="AE16" s="30">
        <f>'FS Jimbaran July 2022'!AG26</f>
        <v>0</v>
      </c>
      <c r="AF16" s="30">
        <f>'FS Jimbaran July 2022'!AH26</f>
        <v>0</v>
      </c>
      <c r="AG16" s="30">
        <f>'FS Jimbaran July 2022'!AM26</f>
        <v>0</v>
      </c>
      <c r="AH16" s="30">
        <f>'FS Jimbaran July 2022'!AR26</f>
        <v>0</v>
      </c>
      <c r="AI16" s="30">
        <f>'FS Jimbaran July 2022'!AQ26</f>
        <v>0</v>
      </c>
      <c r="AJ16" s="30">
        <f>'FS Jimbaran July 2022'!AR26</f>
        <v>0</v>
      </c>
      <c r="AK16" s="30">
        <f>'FS Jimbaran July 2022'!AY26</f>
        <v>0</v>
      </c>
      <c r="AL16" s="30">
        <f>'FS Jimbaran July 2022'!AZ26</f>
        <v>0</v>
      </c>
      <c r="AM16" s="30">
        <f>'FS Jimbaran July 2022'!BB26</f>
        <v>0</v>
      </c>
      <c r="AN16" s="30">
        <f>'FS Jimbaran July 2022'!BB26</f>
        <v>0</v>
      </c>
      <c r="AO16" s="30">
        <f>'FS Jimbaran July 2022'!BK26</f>
        <v>0</v>
      </c>
      <c r="AP16" s="30">
        <f>'FS Jimbaran July 2022'!BL26</f>
        <v>0</v>
      </c>
      <c r="AQ16" s="30">
        <f>'FS Jimbaran July 2022'!BC26</f>
        <v>0</v>
      </c>
      <c r="AR16" s="30">
        <f>'FS Jimbaran July 2022'!BD26</f>
        <v>0</v>
      </c>
      <c r="AS16" s="30">
        <f>'FS Jimbaran July 2022'!BM26</f>
        <v>0</v>
      </c>
      <c r="AT16" s="30">
        <f>'FS Jimbaran July 2022'!BN26</f>
        <v>0</v>
      </c>
      <c r="AU16" s="30">
        <f>'FS Jimbaran July 2022'!BO26</f>
        <v>0</v>
      </c>
      <c r="AV16" s="30">
        <f>'FS Jimbaran July 2022'!BP26</f>
        <v>0</v>
      </c>
      <c r="AW16" s="30">
        <f>'FS Jimbaran July 2022'!E26</f>
        <v>3.1</v>
      </c>
      <c r="AX16" s="30">
        <f>'FS Jimbaran July 2022'!F26</f>
        <v>0</v>
      </c>
      <c r="AY16" s="30">
        <f>'FS Jimbaran July 2022'!O26</f>
        <v>0</v>
      </c>
      <c r="AZ16" s="30">
        <f>'FS Jimbaran July 2022'!P26</f>
        <v>0</v>
      </c>
      <c r="BA16" s="30">
        <f>'FS Jimbaran July 2022'!W26</f>
        <v>0</v>
      </c>
      <c r="BB16" s="30">
        <f>'FS Jimbaran July 2022'!X26</f>
        <v>0</v>
      </c>
      <c r="BC16" s="30">
        <f>'FS Jimbaran July 2022'!AI26</f>
        <v>253</v>
      </c>
      <c r="BD16" s="30">
        <f>'FS Jimbaran July 2022'!AJ26</f>
        <v>0</v>
      </c>
      <c r="BE16" s="30">
        <f>'FS Jimbaran July 2022'!AK26</f>
        <v>5.2</v>
      </c>
      <c r="BF16" s="30">
        <f>'FS Jimbaran July 2022'!AL26</f>
        <v>0</v>
      </c>
      <c r="BG16" s="30">
        <f>'FS Jimbaran July 2022'!AM26</f>
        <v>0</v>
      </c>
      <c r="BH16" s="30">
        <f>'FS Jimbaran July 2022'!AN26</f>
        <v>0</v>
      </c>
      <c r="BI16" s="30">
        <f>'FS Jimbaran July 2022'!AO26</f>
        <v>0</v>
      </c>
      <c r="BJ16" s="30">
        <f>'FS Jimbaran July 2022'!AO26</f>
        <v>0</v>
      </c>
      <c r="BK16" s="30">
        <f>'FS Jimbaran July 2022'!AQ26</f>
        <v>0</v>
      </c>
      <c r="BL16" s="30">
        <f>'FS Jimbaran July 2022'!AR26</f>
        <v>0</v>
      </c>
      <c r="BM16" s="30">
        <v>0</v>
      </c>
      <c r="BN16" s="30">
        <v>0</v>
      </c>
      <c r="BO16" s="33">
        <f>'FS Jimbaran July 2022'!Q26</f>
        <v>2.5</v>
      </c>
      <c r="BP16" s="30">
        <f>'FS Jimbaran July 2022'!R26</f>
        <v>0</v>
      </c>
    </row>
    <row r="17" spans="1:68" x14ac:dyDescent="0.25">
      <c r="A17" s="16" t="s">
        <v>67</v>
      </c>
      <c r="B17" s="17">
        <f t="shared" si="0"/>
        <v>16</v>
      </c>
      <c r="C17" s="18">
        <v>7</v>
      </c>
      <c r="D17" s="32">
        <v>2022</v>
      </c>
      <c r="E17" s="30">
        <f>'FS Jimbaran July 2022'!K27</f>
        <v>0</v>
      </c>
      <c r="F17" s="30">
        <f>'FS Jimbaran July 2022'!N27</f>
        <v>0</v>
      </c>
      <c r="G17" s="30">
        <f>'FS Jimbaran July 2022'!G27</f>
        <v>0</v>
      </c>
      <c r="H17" s="30">
        <f>'FS Jimbaran July 2022'!H27</f>
        <v>0</v>
      </c>
      <c r="I17" s="30">
        <f>'FS Jimbaran July 2022'!I27</f>
        <v>0</v>
      </c>
      <c r="J17" s="30">
        <f>'FS Jimbaran July 2022'!J27</f>
        <v>0</v>
      </c>
      <c r="K17" s="30">
        <f>'FS Jimbaran July 2022'!K27</f>
        <v>0</v>
      </c>
      <c r="L17" s="30">
        <f>'FS Jimbaran July 2022'!L27</f>
        <v>0</v>
      </c>
      <c r="M17" s="30">
        <f>'FS Jimbaran July 2022'!S27</f>
        <v>0</v>
      </c>
      <c r="N17" s="30">
        <f>'FS Jimbaran July 2022'!T27</f>
        <v>0</v>
      </c>
      <c r="O17" s="30">
        <f>'FS Jimbaran July 2022'!U27</f>
        <v>4.2</v>
      </c>
      <c r="P17" s="30">
        <f>'FS Jimbaran July 2022'!V27</f>
        <v>0</v>
      </c>
      <c r="Q17" s="30">
        <f>'FS Jimbaran July 2022'!BE27</f>
        <v>0</v>
      </c>
      <c r="R17" s="30">
        <f>'FS Jimbaran July 2022'!BF27</f>
        <v>0</v>
      </c>
      <c r="S17" s="30">
        <f>'FS Jimbaran July 2022'!BH27</f>
        <v>0</v>
      </c>
      <c r="T17" s="30">
        <f>'FS Jimbaran July 2022'!BH27</f>
        <v>0</v>
      </c>
      <c r="U17" s="30">
        <f>'FS Jimbaran July 2022'!BI27</f>
        <v>0</v>
      </c>
      <c r="V17" s="30">
        <f>'FS Jimbaran July 2022'!BJ27</f>
        <v>0</v>
      </c>
      <c r="W17" s="30">
        <f>'FS Jimbaran July 2022'!Y27</f>
        <v>230</v>
      </c>
      <c r="X17" s="30">
        <f>'FS Jimbaran July 2022'!Z27</f>
        <v>0</v>
      </c>
      <c r="Y17" s="30">
        <f>'FS Jimbaran July 2022'!AA27</f>
        <v>0</v>
      </c>
      <c r="Z17" s="30">
        <f>'FS Jimbaran July 2022'!AB27</f>
        <v>0</v>
      </c>
      <c r="AA17" s="30">
        <f>'FS Jimbaran July 2022'!AC27</f>
        <v>0</v>
      </c>
      <c r="AB17" s="30">
        <f>'FS Jimbaran July 2022'!AD27</f>
        <v>0</v>
      </c>
      <c r="AC17" s="30">
        <f>'FS Jimbaran July 2022'!AE27</f>
        <v>0</v>
      </c>
      <c r="AD17" s="30">
        <f>'FS Jimbaran July 2022'!AF27</f>
        <v>0</v>
      </c>
      <c r="AE17" s="30">
        <f>'FS Jimbaran July 2022'!AG27</f>
        <v>0</v>
      </c>
      <c r="AF17" s="30">
        <f>'FS Jimbaran July 2022'!AH27</f>
        <v>0</v>
      </c>
      <c r="AG17" s="30">
        <f>'FS Jimbaran July 2022'!AM27</f>
        <v>0</v>
      </c>
      <c r="AH17" s="30">
        <f>'FS Jimbaran July 2022'!AR27</f>
        <v>0</v>
      </c>
      <c r="AI17" s="30">
        <f>'FS Jimbaran July 2022'!AQ27</f>
        <v>0</v>
      </c>
      <c r="AJ17" s="30">
        <f>'FS Jimbaran July 2022'!AR27</f>
        <v>0</v>
      </c>
      <c r="AK17" s="30">
        <f>'FS Jimbaran July 2022'!AY27</f>
        <v>0</v>
      </c>
      <c r="AL17" s="30">
        <f>'FS Jimbaran July 2022'!AZ27</f>
        <v>0</v>
      </c>
      <c r="AM17" s="30">
        <f>'FS Jimbaran July 2022'!BB27</f>
        <v>0</v>
      </c>
      <c r="AN17" s="30">
        <f>'FS Jimbaran July 2022'!BB27</f>
        <v>0</v>
      </c>
      <c r="AO17" s="30">
        <f>'FS Jimbaran July 2022'!BK27</f>
        <v>0</v>
      </c>
      <c r="AP17" s="30">
        <f>'FS Jimbaran July 2022'!BL27</f>
        <v>0</v>
      </c>
      <c r="AQ17" s="30">
        <f>'FS Jimbaran July 2022'!BC27</f>
        <v>0</v>
      </c>
      <c r="AR17" s="30">
        <f>'FS Jimbaran July 2022'!BD27</f>
        <v>0</v>
      </c>
      <c r="AS17" s="30">
        <f>'FS Jimbaran July 2022'!BM27</f>
        <v>0</v>
      </c>
      <c r="AT17" s="30">
        <f>'FS Jimbaran July 2022'!BN27</f>
        <v>0</v>
      </c>
      <c r="AU17" s="30">
        <f>'FS Jimbaran July 2022'!BO27</f>
        <v>0</v>
      </c>
      <c r="AV17" s="30">
        <f>'FS Jimbaran July 2022'!BP27</f>
        <v>0</v>
      </c>
      <c r="AW17" s="30">
        <f>'FS Jimbaran July 2022'!E27</f>
        <v>0</v>
      </c>
      <c r="AX17" s="30">
        <f>'FS Jimbaran July 2022'!F27</f>
        <v>0</v>
      </c>
      <c r="AY17" s="30">
        <f>'FS Jimbaran July 2022'!O27</f>
        <v>0</v>
      </c>
      <c r="AZ17" s="30">
        <f>'FS Jimbaran July 2022'!P27</f>
        <v>0</v>
      </c>
      <c r="BA17" s="30">
        <f>'FS Jimbaran July 2022'!W27</f>
        <v>0</v>
      </c>
      <c r="BB17" s="30">
        <f>'FS Jimbaran July 2022'!X27</f>
        <v>0</v>
      </c>
      <c r="BC17" s="30">
        <f>'FS Jimbaran July 2022'!AI27</f>
        <v>379.5</v>
      </c>
      <c r="BD17" s="30">
        <f>'FS Jimbaran July 2022'!AJ27</f>
        <v>0</v>
      </c>
      <c r="BE17" s="30">
        <f>'FS Jimbaran July 2022'!AK27</f>
        <v>0</v>
      </c>
      <c r="BF17" s="30">
        <f>'FS Jimbaran July 2022'!AL27</f>
        <v>0</v>
      </c>
      <c r="BG17" s="30">
        <f>'FS Jimbaran July 2022'!AM27</f>
        <v>0</v>
      </c>
      <c r="BH17" s="30">
        <f>'FS Jimbaran July 2022'!AN27</f>
        <v>0</v>
      </c>
      <c r="BI17" s="30">
        <f>'FS Jimbaran July 2022'!AO27</f>
        <v>0</v>
      </c>
      <c r="BJ17" s="30">
        <f>'FS Jimbaran July 2022'!AO27</f>
        <v>0</v>
      </c>
      <c r="BK17" s="30">
        <f>'FS Jimbaran July 2022'!AQ27</f>
        <v>0</v>
      </c>
      <c r="BL17" s="30">
        <f>'FS Jimbaran July 2022'!AR27</f>
        <v>0</v>
      </c>
      <c r="BM17" s="30">
        <v>0</v>
      </c>
      <c r="BN17" s="30">
        <v>0</v>
      </c>
      <c r="BO17" s="33">
        <f>'FS Jimbaran July 2022'!Q27</f>
        <v>0</v>
      </c>
      <c r="BP17" s="30">
        <f>'FS Jimbaran July 2022'!R27</f>
        <v>0</v>
      </c>
    </row>
    <row r="18" spans="1:68" x14ac:dyDescent="0.25">
      <c r="A18" s="16" t="s">
        <v>67</v>
      </c>
      <c r="B18" s="17">
        <f t="shared" si="0"/>
        <v>17</v>
      </c>
      <c r="C18" s="18">
        <v>7</v>
      </c>
      <c r="D18" s="32">
        <v>2022</v>
      </c>
      <c r="E18" s="30">
        <f>'FS Jimbaran July 2022'!K28</f>
        <v>45</v>
      </c>
      <c r="F18" s="30">
        <f>'FS Jimbaran July 2022'!N28</f>
        <v>0</v>
      </c>
      <c r="G18" s="30">
        <f>'FS Jimbaran July 2022'!G28</f>
        <v>0</v>
      </c>
      <c r="H18" s="30">
        <f>'FS Jimbaran July 2022'!H28</f>
        <v>0</v>
      </c>
      <c r="I18" s="30">
        <f>'FS Jimbaran July 2022'!I28</f>
        <v>1.5</v>
      </c>
      <c r="J18" s="30">
        <f>'FS Jimbaran July 2022'!J28</f>
        <v>0</v>
      </c>
      <c r="K18" s="30">
        <f>'FS Jimbaran July 2022'!K28</f>
        <v>45</v>
      </c>
      <c r="L18" s="30">
        <f>'FS Jimbaran July 2022'!L28</f>
        <v>0</v>
      </c>
      <c r="M18" s="30">
        <f>'FS Jimbaran July 2022'!S28</f>
        <v>0</v>
      </c>
      <c r="N18" s="30">
        <f>'FS Jimbaran July 2022'!T28</f>
        <v>0</v>
      </c>
      <c r="O18" s="30">
        <f>'FS Jimbaran July 2022'!U28</f>
        <v>4.3</v>
      </c>
      <c r="P18" s="30">
        <f>'FS Jimbaran July 2022'!V28</f>
        <v>0</v>
      </c>
      <c r="Q18" s="30">
        <f>'FS Jimbaran July 2022'!BE28</f>
        <v>0</v>
      </c>
      <c r="R18" s="30">
        <f>'FS Jimbaran July 2022'!BF28</f>
        <v>0</v>
      </c>
      <c r="S18" s="30">
        <f>'FS Jimbaran July 2022'!BH28</f>
        <v>0</v>
      </c>
      <c r="T18" s="30">
        <f>'FS Jimbaran July 2022'!BH28</f>
        <v>0</v>
      </c>
      <c r="U18" s="30">
        <f>'FS Jimbaran July 2022'!BI28</f>
        <v>0</v>
      </c>
      <c r="V18" s="30">
        <f>'FS Jimbaran July 2022'!BJ28</f>
        <v>0</v>
      </c>
      <c r="W18" s="30">
        <f>'FS Jimbaran July 2022'!Y28</f>
        <v>269</v>
      </c>
      <c r="X18" s="30">
        <f>'FS Jimbaran July 2022'!Z28</f>
        <v>0</v>
      </c>
      <c r="Y18" s="30">
        <f>'FS Jimbaran July 2022'!AA28</f>
        <v>6.2</v>
      </c>
      <c r="Z18" s="30">
        <f>'FS Jimbaran July 2022'!AB28</f>
        <v>0</v>
      </c>
      <c r="AA18" s="30">
        <f>'FS Jimbaran July 2022'!AC28</f>
        <v>1.5</v>
      </c>
      <c r="AB18" s="30">
        <f>'FS Jimbaran July 2022'!AD28</f>
        <v>0</v>
      </c>
      <c r="AC18" s="30">
        <f>'FS Jimbaran July 2022'!AE28</f>
        <v>0</v>
      </c>
      <c r="AD18" s="30">
        <f>'FS Jimbaran July 2022'!AF28</f>
        <v>0</v>
      </c>
      <c r="AE18" s="30">
        <f>'FS Jimbaran July 2022'!AG28</f>
        <v>0</v>
      </c>
      <c r="AF18" s="30">
        <f>'FS Jimbaran July 2022'!AH28</f>
        <v>0</v>
      </c>
      <c r="AG18" s="30">
        <f>'FS Jimbaran July 2022'!AM28</f>
        <v>0</v>
      </c>
      <c r="AH18" s="30">
        <f>'FS Jimbaran July 2022'!AR28</f>
        <v>0</v>
      </c>
      <c r="AI18" s="30">
        <f>'FS Jimbaran July 2022'!AQ28</f>
        <v>0</v>
      </c>
      <c r="AJ18" s="30">
        <f>'FS Jimbaran July 2022'!AR28</f>
        <v>0</v>
      </c>
      <c r="AK18" s="30">
        <f>'FS Jimbaran July 2022'!AY28</f>
        <v>0</v>
      </c>
      <c r="AL18" s="30">
        <f>'FS Jimbaran July 2022'!AZ28</f>
        <v>0</v>
      </c>
      <c r="AM18" s="30">
        <f>'FS Jimbaran July 2022'!BB28</f>
        <v>0</v>
      </c>
      <c r="AN18" s="30">
        <f>'FS Jimbaran July 2022'!BB28</f>
        <v>0</v>
      </c>
      <c r="AO18" s="30">
        <f>'FS Jimbaran July 2022'!BK28</f>
        <v>0</v>
      </c>
      <c r="AP18" s="30">
        <f>'FS Jimbaran July 2022'!BL28</f>
        <v>0</v>
      </c>
      <c r="AQ18" s="30">
        <f>'FS Jimbaran July 2022'!BC28</f>
        <v>0</v>
      </c>
      <c r="AR18" s="30">
        <f>'FS Jimbaran July 2022'!BD28</f>
        <v>0</v>
      </c>
      <c r="AS18" s="30">
        <f>'FS Jimbaran July 2022'!BM28</f>
        <v>0</v>
      </c>
      <c r="AT18" s="30">
        <f>'FS Jimbaran July 2022'!BN28</f>
        <v>0</v>
      </c>
      <c r="AU18" s="30">
        <f>'FS Jimbaran July 2022'!BO28</f>
        <v>0</v>
      </c>
      <c r="AV18" s="30">
        <f>'FS Jimbaran July 2022'!BP28</f>
        <v>0</v>
      </c>
      <c r="AW18" s="30">
        <f>'FS Jimbaran July 2022'!E28</f>
        <v>4.2</v>
      </c>
      <c r="AX18" s="30">
        <f>'FS Jimbaran July 2022'!F28</f>
        <v>0</v>
      </c>
      <c r="AY18" s="30">
        <f>'FS Jimbaran July 2022'!O28</f>
        <v>0</v>
      </c>
      <c r="AZ18" s="30">
        <f>'FS Jimbaran July 2022'!P28</f>
        <v>0</v>
      </c>
      <c r="BA18" s="30">
        <f>'FS Jimbaran July 2022'!W28</f>
        <v>0</v>
      </c>
      <c r="BB18" s="30">
        <f>'FS Jimbaran July 2022'!X28</f>
        <v>0</v>
      </c>
      <c r="BC18" s="30">
        <f>'FS Jimbaran July 2022'!AI28</f>
        <v>460</v>
      </c>
      <c r="BD18" s="30">
        <f>'FS Jimbaran July 2022'!AJ28</f>
        <v>0</v>
      </c>
      <c r="BE18" s="30">
        <f>'FS Jimbaran July 2022'!AK28</f>
        <v>6.2</v>
      </c>
      <c r="BF18" s="30">
        <f>'FS Jimbaran July 2022'!AL28</f>
        <v>0</v>
      </c>
      <c r="BG18" s="30">
        <f>'FS Jimbaran July 2022'!AM28</f>
        <v>0</v>
      </c>
      <c r="BH18" s="30">
        <f>'FS Jimbaran July 2022'!AN28</f>
        <v>0</v>
      </c>
      <c r="BI18" s="30">
        <f>'FS Jimbaran July 2022'!AO28</f>
        <v>0</v>
      </c>
      <c r="BJ18" s="30">
        <f>'FS Jimbaran July 2022'!AO28</f>
        <v>0</v>
      </c>
      <c r="BK18" s="30">
        <f>'FS Jimbaran July 2022'!AQ28</f>
        <v>0</v>
      </c>
      <c r="BL18" s="30">
        <f>'FS Jimbaran July 2022'!AR28</f>
        <v>0</v>
      </c>
      <c r="BM18" s="30">
        <v>0</v>
      </c>
      <c r="BN18" s="30">
        <v>0</v>
      </c>
      <c r="BO18" s="33">
        <f>'FS Jimbaran July 2022'!Q28</f>
        <v>1.6</v>
      </c>
      <c r="BP18" s="30">
        <f>'FS Jimbaran July 2022'!R28</f>
        <v>0</v>
      </c>
    </row>
    <row r="19" spans="1:68" x14ac:dyDescent="0.25">
      <c r="A19" s="16" t="s">
        <v>67</v>
      </c>
      <c r="B19" s="17">
        <f t="shared" si="0"/>
        <v>18</v>
      </c>
      <c r="C19" s="18">
        <v>7</v>
      </c>
      <c r="D19" s="32">
        <v>2022</v>
      </c>
      <c r="E19" s="30">
        <f>'FS Jimbaran July 2022'!K29</f>
        <v>3</v>
      </c>
      <c r="F19" s="30">
        <f>'FS Jimbaran July 2022'!N29</f>
        <v>0</v>
      </c>
      <c r="G19" s="30">
        <f>'FS Jimbaran July 2022'!G29</f>
        <v>0</v>
      </c>
      <c r="H19" s="30">
        <f>'FS Jimbaran July 2022'!H29</f>
        <v>0</v>
      </c>
      <c r="I19" s="30">
        <f>'FS Jimbaran July 2022'!I29</f>
        <v>0</v>
      </c>
      <c r="J19" s="30">
        <f>'FS Jimbaran July 2022'!J29</f>
        <v>0</v>
      </c>
      <c r="K19" s="30">
        <f>'FS Jimbaran July 2022'!K29</f>
        <v>3</v>
      </c>
      <c r="L19" s="30">
        <f>'FS Jimbaran July 2022'!L29</f>
        <v>0</v>
      </c>
      <c r="M19" s="30">
        <f>'FS Jimbaran July 2022'!S29</f>
        <v>0</v>
      </c>
      <c r="N19" s="30">
        <f>'FS Jimbaran July 2022'!T29</f>
        <v>0</v>
      </c>
      <c r="O19" s="30">
        <f>'FS Jimbaran July 2022'!U29</f>
        <v>5.3</v>
      </c>
      <c r="P19" s="30">
        <f>'FS Jimbaran July 2022'!V29</f>
        <v>0</v>
      </c>
      <c r="Q19" s="30">
        <f>'FS Jimbaran July 2022'!BE29</f>
        <v>0</v>
      </c>
      <c r="R19" s="30">
        <f>'FS Jimbaran July 2022'!BF29</f>
        <v>0</v>
      </c>
      <c r="S19" s="30">
        <f>'FS Jimbaran July 2022'!BH29</f>
        <v>0</v>
      </c>
      <c r="T19" s="30">
        <f>'FS Jimbaran July 2022'!BH29</f>
        <v>0</v>
      </c>
      <c r="U19" s="30">
        <f>'FS Jimbaran July 2022'!BI29</f>
        <v>0</v>
      </c>
      <c r="V19" s="30">
        <f>'FS Jimbaran July 2022'!BJ29</f>
        <v>0</v>
      </c>
      <c r="W19" s="30">
        <f>'FS Jimbaran July 2022'!Y29</f>
        <v>240</v>
      </c>
      <c r="X19" s="30">
        <f>'FS Jimbaran July 2022'!Z29</f>
        <v>0</v>
      </c>
      <c r="Y19" s="30">
        <f>'FS Jimbaran July 2022'!AA29</f>
        <v>0</v>
      </c>
      <c r="Z19" s="30">
        <f>'FS Jimbaran July 2022'!AB29</f>
        <v>0</v>
      </c>
      <c r="AA19" s="30">
        <f>'FS Jimbaran July 2022'!AC29</f>
        <v>0</v>
      </c>
      <c r="AB19" s="30">
        <f>'FS Jimbaran July 2022'!AD29</f>
        <v>0</v>
      </c>
      <c r="AC19" s="30">
        <f>'FS Jimbaran July 2022'!AE29</f>
        <v>0</v>
      </c>
      <c r="AD19" s="30">
        <f>'FS Jimbaran July 2022'!AF29</f>
        <v>0</v>
      </c>
      <c r="AE19" s="30">
        <f>'FS Jimbaran July 2022'!AG29</f>
        <v>0</v>
      </c>
      <c r="AF19" s="30">
        <f>'FS Jimbaran July 2022'!AH29</f>
        <v>0</v>
      </c>
      <c r="AG19" s="30">
        <f>'FS Jimbaran July 2022'!AM29</f>
        <v>0</v>
      </c>
      <c r="AH19" s="30">
        <f>'FS Jimbaran July 2022'!AR29</f>
        <v>0</v>
      </c>
      <c r="AI19" s="30">
        <f>'FS Jimbaran July 2022'!AQ29</f>
        <v>0</v>
      </c>
      <c r="AJ19" s="30">
        <f>'FS Jimbaran July 2022'!AR29</f>
        <v>0</v>
      </c>
      <c r="AK19" s="30">
        <f>'FS Jimbaran July 2022'!AY29</f>
        <v>0</v>
      </c>
      <c r="AL19" s="30">
        <f>'FS Jimbaran July 2022'!AZ29</f>
        <v>0</v>
      </c>
      <c r="AM19" s="30">
        <f>'FS Jimbaran July 2022'!BB29</f>
        <v>0</v>
      </c>
      <c r="AN19" s="30">
        <f>'FS Jimbaran July 2022'!BB29</f>
        <v>0</v>
      </c>
      <c r="AO19" s="30">
        <f>'FS Jimbaran July 2022'!BK29</f>
        <v>0</v>
      </c>
      <c r="AP19" s="30">
        <f>'FS Jimbaran July 2022'!BL29</f>
        <v>0</v>
      </c>
      <c r="AQ19" s="30">
        <f>'FS Jimbaran July 2022'!BC29</f>
        <v>0</v>
      </c>
      <c r="AR19" s="30">
        <f>'FS Jimbaran July 2022'!BD29</f>
        <v>0</v>
      </c>
      <c r="AS19" s="30">
        <f>'FS Jimbaran July 2022'!BM29</f>
        <v>0</v>
      </c>
      <c r="AT19" s="30">
        <f>'FS Jimbaran July 2022'!BN29</f>
        <v>0</v>
      </c>
      <c r="AU19" s="30">
        <f>'FS Jimbaran July 2022'!BO29</f>
        <v>0</v>
      </c>
      <c r="AV19" s="30">
        <f>'FS Jimbaran July 2022'!BP29</f>
        <v>0</v>
      </c>
      <c r="AW19" s="30">
        <f>'FS Jimbaran July 2022'!E29</f>
        <v>0</v>
      </c>
      <c r="AX19" s="30">
        <f>'FS Jimbaran July 2022'!F29</f>
        <v>0</v>
      </c>
      <c r="AY19" s="30">
        <f>'FS Jimbaran July 2022'!O29</f>
        <v>0</v>
      </c>
      <c r="AZ19" s="30">
        <f>'FS Jimbaran July 2022'!P29</f>
        <v>0</v>
      </c>
      <c r="BA19" s="30">
        <f>'FS Jimbaran July 2022'!W29</f>
        <v>0</v>
      </c>
      <c r="BB19" s="30">
        <f>'FS Jimbaran July 2022'!X29</f>
        <v>0</v>
      </c>
      <c r="BC19" s="30">
        <f>'FS Jimbaran July 2022'!AI29</f>
        <v>264.5</v>
      </c>
      <c r="BD19" s="30">
        <f>'FS Jimbaran July 2022'!AJ29</f>
        <v>0</v>
      </c>
      <c r="BE19" s="30">
        <f>'FS Jimbaran July 2022'!AK29</f>
        <v>0</v>
      </c>
      <c r="BF19" s="30">
        <f>'FS Jimbaran July 2022'!AL29</f>
        <v>0</v>
      </c>
      <c r="BG19" s="30">
        <f>'FS Jimbaran July 2022'!AM29</f>
        <v>0</v>
      </c>
      <c r="BH19" s="30">
        <f>'FS Jimbaran July 2022'!AN29</f>
        <v>0</v>
      </c>
      <c r="BI19" s="30">
        <f>'FS Jimbaran July 2022'!AO29</f>
        <v>0</v>
      </c>
      <c r="BJ19" s="30">
        <f>'FS Jimbaran July 2022'!AO29</f>
        <v>0</v>
      </c>
      <c r="BK19" s="30">
        <f>'FS Jimbaran July 2022'!AQ29</f>
        <v>0</v>
      </c>
      <c r="BL19" s="30">
        <f>'FS Jimbaran July 2022'!AR29</f>
        <v>0</v>
      </c>
      <c r="BM19" s="30">
        <v>0</v>
      </c>
      <c r="BN19" s="30">
        <v>0</v>
      </c>
      <c r="BO19" s="33">
        <f>'FS Jimbaran July 2022'!Q29</f>
        <v>0</v>
      </c>
      <c r="BP19" s="30">
        <f>'FS Jimbaran July 2022'!R29</f>
        <v>0</v>
      </c>
    </row>
    <row r="20" spans="1:68" x14ac:dyDescent="0.25">
      <c r="A20" s="16" t="s">
        <v>67</v>
      </c>
      <c r="B20" s="17">
        <f t="shared" si="0"/>
        <v>19</v>
      </c>
      <c r="C20" s="18">
        <v>7</v>
      </c>
      <c r="D20" s="32">
        <v>2022</v>
      </c>
      <c r="E20" s="30">
        <f>'FS Jimbaran July 2022'!K30</f>
        <v>40</v>
      </c>
      <c r="F20" s="30">
        <f>'FS Jimbaran July 2022'!N30</f>
        <v>0</v>
      </c>
      <c r="G20" s="30">
        <f>'FS Jimbaran July 2022'!G30</f>
        <v>0</v>
      </c>
      <c r="H20" s="30">
        <f>'FS Jimbaran July 2022'!H30</f>
        <v>0</v>
      </c>
      <c r="I20" s="30">
        <f>'FS Jimbaran July 2022'!I30</f>
        <v>2.5</v>
      </c>
      <c r="J20" s="30">
        <f>'FS Jimbaran July 2022'!J30</f>
        <v>0</v>
      </c>
      <c r="K20" s="30">
        <f>'FS Jimbaran July 2022'!K30</f>
        <v>40</v>
      </c>
      <c r="L20" s="30">
        <f>'FS Jimbaran July 2022'!L30</f>
        <v>0</v>
      </c>
      <c r="M20" s="30">
        <f>'FS Jimbaran July 2022'!S30</f>
        <v>0</v>
      </c>
      <c r="N20" s="30">
        <f>'FS Jimbaran July 2022'!T30</f>
        <v>0</v>
      </c>
      <c r="O20" s="30">
        <f>'FS Jimbaran July 2022'!U30</f>
        <v>5.0999999999999996</v>
      </c>
      <c r="P20" s="30">
        <f>'FS Jimbaran July 2022'!V30</f>
        <v>0</v>
      </c>
      <c r="Q20" s="30">
        <f>'FS Jimbaran July 2022'!BE30</f>
        <v>0</v>
      </c>
      <c r="R20" s="30">
        <f>'FS Jimbaran July 2022'!BF30</f>
        <v>0</v>
      </c>
      <c r="S20" s="30">
        <f>'FS Jimbaran July 2022'!BH30</f>
        <v>0</v>
      </c>
      <c r="T20" s="30">
        <f>'FS Jimbaran July 2022'!BH30</f>
        <v>0</v>
      </c>
      <c r="U20" s="30">
        <f>'FS Jimbaran July 2022'!BI30</f>
        <v>0</v>
      </c>
      <c r="V20" s="30">
        <f>'FS Jimbaran July 2022'!BJ30</f>
        <v>0</v>
      </c>
      <c r="W20" s="30">
        <f>'FS Jimbaran July 2022'!Y30</f>
        <v>254</v>
      </c>
      <c r="X20" s="30">
        <f>'FS Jimbaran July 2022'!Z30</f>
        <v>0</v>
      </c>
      <c r="Y20" s="30">
        <f>'FS Jimbaran July 2022'!AA30</f>
        <v>4.0999999999999996</v>
      </c>
      <c r="Z20" s="30">
        <f>'FS Jimbaran July 2022'!AB30</f>
        <v>0</v>
      </c>
      <c r="AA20" s="30">
        <f>'FS Jimbaran July 2022'!AC30</f>
        <v>2.5</v>
      </c>
      <c r="AB20" s="30">
        <f>'FS Jimbaran July 2022'!AD30</f>
        <v>0</v>
      </c>
      <c r="AC20" s="30">
        <f>'FS Jimbaran July 2022'!AE30</f>
        <v>0</v>
      </c>
      <c r="AD20" s="30">
        <f>'FS Jimbaran July 2022'!AF30</f>
        <v>0</v>
      </c>
      <c r="AE20" s="30">
        <f>'FS Jimbaran July 2022'!AG30</f>
        <v>0</v>
      </c>
      <c r="AF20" s="30">
        <f>'FS Jimbaran July 2022'!AH30</f>
        <v>0</v>
      </c>
      <c r="AG20" s="30">
        <f>'FS Jimbaran July 2022'!AM30</f>
        <v>0</v>
      </c>
      <c r="AH20" s="30">
        <f>'FS Jimbaran July 2022'!AR30</f>
        <v>0</v>
      </c>
      <c r="AI20" s="30">
        <f>'FS Jimbaran July 2022'!AQ30</f>
        <v>0</v>
      </c>
      <c r="AJ20" s="30">
        <f>'FS Jimbaran July 2022'!AR30</f>
        <v>0</v>
      </c>
      <c r="AK20" s="30">
        <f>'FS Jimbaran July 2022'!AY30</f>
        <v>0</v>
      </c>
      <c r="AL20" s="30">
        <f>'FS Jimbaran July 2022'!AZ30</f>
        <v>0</v>
      </c>
      <c r="AM20" s="30">
        <f>'FS Jimbaran July 2022'!BB30</f>
        <v>0</v>
      </c>
      <c r="AN20" s="30">
        <f>'FS Jimbaran July 2022'!BB30</f>
        <v>0</v>
      </c>
      <c r="AO20" s="30">
        <f>'FS Jimbaran July 2022'!BK30</f>
        <v>0</v>
      </c>
      <c r="AP20" s="30">
        <f>'FS Jimbaran July 2022'!BL30</f>
        <v>0</v>
      </c>
      <c r="AQ20" s="30">
        <f>'FS Jimbaran July 2022'!BC30</f>
        <v>0</v>
      </c>
      <c r="AR20" s="30">
        <f>'FS Jimbaran July 2022'!BD30</f>
        <v>0</v>
      </c>
      <c r="AS20" s="30">
        <f>'FS Jimbaran July 2022'!BM30</f>
        <v>0</v>
      </c>
      <c r="AT20" s="30">
        <f>'FS Jimbaran July 2022'!BN30</f>
        <v>0</v>
      </c>
      <c r="AU20" s="30">
        <f>'FS Jimbaran July 2022'!BO30</f>
        <v>0</v>
      </c>
      <c r="AV20" s="30">
        <f>'FS Jimbaran July 2022'!BP30</f>
        <v>0</v>
      </c>
      <c r="AW20" s="30">
        <f>'FS Jimbaran July 2022'!E30</f>
        <v>6.3</v>
      </c>
      <c r="AX20" s="30">
        <f>'FS Jimbaran July 2022'!F30</f>
        <v>0</v>
      </c>
      <c r="AY20" s="30">
        <f>'FS Jimbaran July 2022'!O30</f>
        <v>0</v>
      </c>
      <c r="AZ20" s="30">
        <f>'FS Jimbaran July 2022'!P30</f>
        <v>0</v>
      </c>
      <c r="BA20" s="30">
        <f>'FS Jimbaran July 2022'!W30</f>
        <v>0</v>
      </c>
      <c r="BB20" s="30">
        <f>'FS Jimbaran July 2022'!X30</f>
        <v>0</v>
      </c>
      <c r="BC20" s="30">
        <f>'FS Jimbaran July 2022'!AI30</f>
        <v>414</v>
      </c>
      <c r="BD20" s="30">
        <f>'FS Jimbaran July 2022'!AJ30</f>
        <v>0</v>
      </c>
      <c r="BE20" s="30">
        <f>'FS Jimbaran July 2022'!AK30</f>
        <v>4.0999999999999996</v>
      </c>
      <c r="BF20" s="30">
        <f>'FS Jimbaran July 2022'!AL30</f>
        <v>0</v>
      </c>
      <c r="BG20" s="30">
        <f>'FS Jimbaran July 2022'!AM30</f>
        <v>0</v>
      </c>
      <c r="BH20" s="30">
        <f>'FS Jimbaran July 2022'!AN30</f>
        <v>0</v>
      </c>
      <c r="BI20" s="30">
        <f>'FS Jimbaran July 2022'!AO30</f>
        <v>0</v>
      </c>
      <c r="BJ20" s="30">
        <f>'FS Jimbaran July 2022'!AO30</f>
        <v>0</v>
      </c>
      <c r="BK20" s="30">
        <f>'FS Jimbaran July 2022'!AQ30</f>
        <v>0</v>
      </c>
      <c r="BL20" s="30">
        <f>'FS Jimbaran July 2022'!AR30</f>
        <v>0</v>
      </c>
      <c r="BM20" s="30">
        <v>0</v>
      </c>
      <c r="BN20" s="30">
        <v>0</v>
      </c>
      <c r="BO20" s="33">
        <f>'FS Jimbaran July 2022'!Q30</f>
        <v>0</v>
      </c>
      <c r="BP20" s="30">
        <f>'FS Jimbaran July 2022'!R30</f>
        <v>0</v>
      </c>
    </row>
    <row r="21" spans="1:68" x14ac:dyDescent="0.25">
      <c r="A21" s="16" t="s">
        <v>67</v>
      </c>
      <c r="B21" s="17">
        <f t="shared" si="0"/>
        <v>20</v>
      </c>
      <c r="C21" s="18">
        <v>7</v>
      </c>
      <c r="D21" s="32">
        <v>2022</v>
      </c>
      <c r="E21" s="30">
        <f>'FS Jimbaran July 2022'!K31</f>
        <v>0</v>
      </c>
      <c r="F21" s="30">
        <f>'FS Jimbaran July 2022'!N31</f>
        <v>0</v>
      </c>
      <c r="G21" s="30">
        <f>'FS Jimbaran July 2022'!G31</f>
        <v>0</v>
      </c>
      <c r="H21" s="30">
        <f>'FS Jimbaran July 2022'!H31</f>
        <v>0</v>
      </c>
      <c r="I21" s="30">
        <f>'FS Jimbaran July 2022'!I31</f>
        <v>5</v>
      </c>
      <c r="J21" s="30">
        <f>'FS Jimbaran July 2022'!J31</f>
        <v>0</v>
      </c>
      <c r="K21" s="30">
        <f>'FS Jimbaran July 2022'!K31</f>
        <v>0</v>
      </c>
      <c r="L21" s="30">
        <f>'FS Jimbaran July 2022'!L31</f>
        <v>0</v>
      </c>
      <c r="M21" s="30">
        <f>'FS Jimbaran July 2022'!S31</f>
        <v>0</v>
      </c>
      <c r="N21" s="30">
        <f>'FS Jimbaran July 2022'!T31</f>
        <v>0</v>
      </c>
      <c r="O21" s="30">
        <f>'FS Jimbaran July 2022'!U31</f>
        <v>5.2</v>
      </c>
      <c r="P21" s="30">
        <f>'FS Jimbaran July 2022'!V31</f>
        <v>0</v>
      </c>
      <c r="Q21" s="30">
        <f>'FS Jimbaran July 2022'!BE31</f>
        <v>0</v>
      </c>
      <c r="R21" s="30">
        <f>'FS Jimbaran July 2022'!BF31</f>
        <v>0</v>
      </c>
      <c r="S21" s="30">
        <f>'FS Jimbaran July 2022'!BH31</f>
        <v>0</v>
      </c>
      <c r="T21" s="30">
        <f>'FS Jimbaran July 2022'!BH31</f>
        <v>0</v>
      </c>
      <c r="U21" s="30">
        <f>'FS Jimbaran July 2022'!BI31</f>
        <v>0</v>
      </c>
      <c r="V21" s="30">
        <f>'FS Jimbaran July 2022'!BJ31</f>
        <v>0</v>
      </c>
      <c r="W21" s="30">
        <f>'FS Jimbaran July 2022'!Y31</f>
        <v>0</v>
      </c>
      <c r="X21" s="30">
        <f>'FS Jimbaran July 2022'!Z31</f>
        <v>0</v>
      </c>
      <c r="Y21" s="30">
        <f>'FS Jimbaran July 2022'!AA31</f>
        <v>0</v>
      </c>
      <c r="Z21" s="30">
        <f>'FS Jimbaran July 2022'!AB31</f>
        <v>0</v>
      </c>
      <c r="AA21" s="30">
        <f>'FS Jimbaran July 2022'!AC31</f>
        <v>0</v>
      </c>
      <c r="AB21" s="30">
        <f>'FS Jimbaran July 2022'!AD31</f>
        <v>0</v>
      </c>
      <c r="AC21" s="30">
        <f>'FS Jimbaran July 2022'!AE31</f>
        <v>0</v>
      </c>
      <c r="AD21" s="30">
        <f>'FS Jimbaran July 2022'!AF31</f>
        <v>0</v>
      </c>
      <c r="AE21" s="30">
        <f>'FS Jimbaran July 2022'!AG31</f>
        <v>0</v>
      </c>
      <c r="AF21" s="30">
        <f>'FS Jimbaran July 2022'!AH31</f>
        <v>0</v>
      </c>
      <c r="AG21" s="30">
        <f>'FS Jimbaran July 2022'!AM31</f>
        <v>0</v>
      </c>
      <c r="AH21" s="30">
        <f>'FS Jimbaran July 2022'!AR31</f>
        <v>0</v>
      </c>
      <c r="AI21" s="30">
        <f>'FS Jimbaran July 2022'!AQ31</f>
        <v>0</v>
      </c>
      <c r="AJ21" s="30">
        <f>'FS Jimbaran July 2022'!AR31</f>
        <v>0</v>
      </c>
      <c r="AK21" s="30">
        <f>'FS Jimbaran July 2022'!AY31</f>
        <v>0</v>
      </c>
      <c r="AL21" s="30">
        <f>'FS Jimbaran July 2022'!AZ31</f>
        <v>0</v>
      </c>
      <c r="AM21" s="30">
        <f>'FS Jimbaran July 2022'!BB31</f>
        <v>0</v>
      </c>
      <c r="AN21" s="30">
        <f>'FS Jimbaran July 2022'!BB31</f>
        <v>0</v>
      </c>
      <c r="AO21" s="30">
        <f>'FS Jimbaran July 2022'!BK31</f>
        <v>0</v>
      </c>
      <c r="AP21" s="30">
        <f>'FS Jimbaran July 2022'!BL31</f>
        <v>0</v>
      </c>
      <c r="AQ21" s="30">
        <f>'FS Jimbaran July 2022'!BC31</f>
        <v>0</v>
      </c>
      <c r="AR21" s="30">
        <f>'FS Jimbaran July 2022'!BD31</f>
        <v>0</v>
      </c>
      <c r="AS21" s="30">
        <f>'FS Jimbaran July 2022'!BM31</f>
        <v>0</v>
      </c>
      <c r="AT21" s="30">
        <f>'FS Jimbaran July 2022'!BN31</f>
        <v>0</v>
      </c>
      <c r="AU21" s="30">
        <f>'FS Jimbaran July 2022'!BO31</f>
        <v>0</v>
      </c>
      <c r="AV21" s="30">
        <f>'FS Jimbaran July 2022'!BP31</f>
        <v>0</v>
      </c>
      <c r="AW21" s="30">
        <f>'FS Jimbaran July 2022'!E31</f>
        <v>0</v>
      </c>
      <c r="AX21" s="30">
        <f>'FS Jimbaran July 2022'!F31</f>
        <v>0</v>
      </c>
      <c r="AY21" s="30">
        <f>'FS Jimbaran July 2022'!O31</f>
        <v>0</v>
      </c>
      <c r="AZ21" s="30">
        <f>'FS Jimbaran July 2022'!P31</f>
        <v>0</v>
      </c>
      <c r="BA21" s="30">
        <f>'FS Jimbaran July 2022'!W31</f>
        <v>0</v>
      </c>
      <c r="BB21" s="30">
        <f>'FS Jimbaran July 2022'!X31</f>
        <v>0</v>
      </c>
      <c r="BC21" s="30">
        <f>'FS Jimbaran July 2022'!AI31</f>
        <v>253</v>
      </c>
      <c r="BD21" s="30">
        <f>'FS Jimbaran July 2022'!AJ31</f>
        <v>0</v>
      </c>
      <c r="BE21" s="30">
        <f>'FS Jimbaran July 2022'!AK31</f>
        <v>0</v>
      </c>
      <c r="BF21" s="30">
        <f>'FS Jimbaran July 2022'!AL31</f>
        <v>0</v>
      </c>
      <c r="BG21" s="30">
        <f>'FS Jimbaran July 2022'!AM31</f>
        <v>0</v>
      </c>
      <c r="BH21" s="30">
        <f>'FS Jimbaran July 2022'!AN31</f>
        <v>0</v>
      </c>
      <c r="BI21" s="30">
        <f>'FS Jimbaran July 2022'!AO31</f>
        <v>0</v>
      </c>
      <c r="BJ21" s="30">
        <f>'FS Jimbaran July 2022'!AO31</f>
        <v>0</v>
      </c>
      <c r="BK21" s="30">
        <f>'FS Jimbaran July 2022'!AQ31</f>
        <v>0</v>
      </c>
      <c r="BL21" s="30">
        <f>'FS Jimbaran July 2022'!AR31</f>
        <v>0</v>
      </c>
      <c r="BM21" s="30">
        <v>0</v>
      </c>
      <c r="BN21" s="30">
        <v>0</v>
      </c>
      <c r="BO21" s="33">
        <f>'FS Jimbaran July 2022'!Q31</f>
        <v>2.2999999999999998</v>
      </c>
      <c r="BP21" s="30">
        <f>'FS Jimbaran July 2022'!R31</f>
        <v>0</v>
      </c>
    </row>
    <row r="22" spans="1:68" x14ac:dyDescent="0.25">
      <c r="A22" s="16" t="s">
        <v>67</v>
      </c>
      <c r="B22" s="17">
        <f t="shared" si="0"/>
        <v>21</v>
      </c>
      <c r="C22" s="18">
        <v>7</v>
      </c>
      <c r="D22" s="32">
        <v>2022</v>
      </c>
      <c r="E22" s="30">
        <f>'FS Jimbaran July 2022'!K32</f>
        <v>36</v>
      </c>
      <c r="F22" s="30">
        <f>'FS Jimbaran July 2022'!N32</f>
        <v>0</v>
      </c>
      <c r="G22" s="30">
        <f>'FS Jimbaran July 2022'!G32</f>
        <v>0</v>
      </c>
      <c r="H22" s="30">
        <f>'FS Jimbaran July 2022'!H32</f>
        <v>0</v>
      </c>
      <c r="I22" s="30">
        <f>'FS Jimbaran July 2022'!I32</f>
        <v>5.3</v>
      </c>
      <c r="J22" s="30">
        <f>'FS Jimbaran July 2022'!J32</f>
        <v>0</v>
      </c>
      <c r="K22" s="30">
        <f>'FS Jimbaran July 2022'!K32</f>
        <v>36</v>
      </c>
      <c r="L22" s="30">
        <f>'FS Jimbaran July 2022'!L32</f>
        <v>0</v>
      </c>
      <c r="M22" s="30">
        <f>'FS Jimbaran July 2022'!S32</f>
        <v>2</v>
      </c>
      <c r="N22" s="30">
        <f>'FS Jimbaran July 2022'!T32</f>
        <v>0</v>
      </c>
      <c r="O22" s="30">
        <f>'FS Jimbaran July 2022'!U32</f>
        <v>4.5</v>
      </c>
      <c r="P22" s="30">
        <f>'FS Jimbaran July 2022'!V32</f>
        <v>0</v>
      </c>
      <c r="Q22" s="30">
        <f>'FS Jimbaran July 2022'!BE32</f>
        <v>0</v>
      </c>
      <c r="R22" s="30">
        <f>'FS Jimbaran July 2022'!BF32</f>
        <v>0</v>
      </c>
      <c r="S22" s="30">
        <f>'FS Jimbaran July 2022'!BH32</f>
        <v>0</v>
      </c>
      <c r="T22" s="30">
        <f>'FS Jimbaran July 2022'!BH32</f>
        <v>0</v>
      </c>
      <c r="U22" s="30">
        <f>'FS Jimbaran July 2022'!BI32</f>
        <v>0</v>
      </c>
      <c r="V22" s="30">
        <f>'FS Jimbaran July 2022'!BJ32</f>
        <v>0</v>
      </c>
      <c r="W22" s="30">
        <f>'FS Jimbaran July 2022'!Y32</f>
        <v>257</v>
      </c>
      <c r="X22" s="30">
        <f>'FS Jimbaran July 2022'!Z32</f>
        <v>0</v>
      </c>
      <c r="Y22" s="30">
        <f>'FS Jimbaran July 2022'!AA32</f>
        <v>5.3</v>
      </c>
      <c r="Z22" s="30">
        <f>'FS Jimbaran July 2022'!AB32</f>
        <v>0</v>
      </c>
      <c r="AA22" s="30">
        <f>'FS Jimbaran July 2022'!AC32</f>
        <v>2.2000000000000002</v>
      </c>
      <c r="AB22" s="30">
        <f>'FS Jimbaran July 2022'!AD32</f>
        <v>0</v>
      </c>
      <c r="AC22" s="30">
        <f>'FS Jimbaran July 2022'!AE32</f>
        <v>0</v>
      </c>
      <c r="AD22" s="30">
        <f>'FS Jimbaran July 2022'!AF32</f>
        <v>0</v>
      </c>
      <c r="AE22" s="30">
        <f>'FS Jimbaran July 2022'!AG32</f>
        <v>0</v>
      </c>
      <c r="AF22" s="30">
        <f>'FS Jimbaran July 2022'!AH32</f>
        <v>0</v>
      </c>
      <c r="AG22" s="30">
        <f>'FS Jimbaran July 2022'!AM32</f>
        <v>0</v>
      </c>
      <c r="AH22" s="30">
        <f>'FS Jimbaran July 2022'!AR32</f>
        <v>0</v>
      </c>
      <c r="AI22" s="30">
        <f>'FS Jimbaran July 2022'!AQ32</f>
        <v>0</v>
      </c>
      <c r="AJ22" s="30">
        <f>'FS Jimbaran July 2022'!AR32</f>
        <v>0</v>
      </c>
      <c r="AK22" s="30">
        <f>'FS Jimbaran July 2022'!AY32</f>
        <v>0</v>
      </c>
      <c r="AL22" s="30">
        <f>'FS Jimbaran July 2022'!AZ32</f>
        <v>0</v>
      </c>
      <c r="AM22" s="30">
        <f>'FS Jimbaran July 2022'!BB32</f>
        <v>0</v>
      </c>
      <c r="AN22" s="30">
        <f>'FS Jimbaran July 2022'!BB32</f>
        <v>0</v>
      </c>
      <c r="AO22" s="30">
        <f>'FS Jimbaran July 2022'!BK32</f>
        <v>0</v>
      </c>
      <c r="AP22" s="30">
        <f>'FS Jimbaran July 2022'!BL32</f>
        <v>0</v>
      </c>
      <c r="AQ22" s="30">
        <f>'FS Jimbaran July 2022'!BC32</f>
        <v>0</v>
      </c>
      <c r="AR22" s="30">
        <f>'FS Jimbaran July 2022'!BD32</f>
        <v>0</v>
      </c>
      <c r="AS22" s="30">
        <f>'FS Jimbaran July 2022'!BM32</f>
        <v>0</v>
      </c>
      <c r="AT22" s="30">
        <f>'FS Jimbaran July 2022'!BN32</f>
        <v>0</v>
      </c>
      <c r="AU22" s="30">
        <f>'FS Jimbaran July 2022'!BO32</f>
        <v>0</v>
      </c>
      <c r="AV22" s="30">
        <f>'FS Jimbaran July 2022'!BP32</f>
        <v>0</v>
      </c>
      <c r="AW22" s="30">
        <f>'FS Jimbaran July 2022'!E32</f>
        <v>7.2</v>
      </c>
      <c r="AX22" s="30">
        <f>'FS Jimbaran July 2022'!F32</f>
        <v>0</v>
      </c>
      <c r="AY22" s="30">
        <f>'FS Jimbaran July 2022'!O32</f>
        <v>0</v>
      </c>
      <c r="AZ22" s="30">
        <f>'FS Jimbaran July 2022'!P32</f>
        <v>0</v>
      </c>
      <c r="BA22" s="30">
        <f>'FS Jimbaran July 2022'!W32</f>
        <v>0</v>
      </c>
      <c r="BB22" s="30">
        <f>'FS Jimbaran July 2022'!X32</f>
        <v>0</v>
      </c>
      <c r="BC22" s="30">
        <f>'FS Jimbaran July 2022'!AI32</f>
        <v>391</v>
      </c>
      <c r="BD22" s="30">
        <f>'FS Jimbaran July 2022'!AJ32</f>
        <v>0</v>
      </c>
      <c r="BE22" s="30">
        <f>'FS Jimbaran July 2022'!AK32</f>
        <v>5.3</v>
      </c>
      <c r="BF22" s="30">
        <f>'FS Jimbaran July 2022'!AL32</f>
        <v>0</v>
      </c>
      <c r="BG22" s="30">
        <f>'FS Jimbaran July 2022'!AM32</f>
        <v>0</v>
      </c>
      <c r="BH22" s="30">
        <f>'FS Jimbaran July 2022'!AN32</f>
        <v>0</v>
      </c>
      <c r="BI22" s="30">
        <f>'FS Jimbaran July 2022'!AO32</f>
        <v>0</v>
      </c>
      <c r="BJ22" s="30">
        <f>'FS Jimbaran July 2022'!AO32</f>
        <v>0</v>
      </c>
      <c r="BK22" s="30">
        <f>'FS Jimbaran July 2022'!AQ32</f>
        <v>0</v>
      </c>
      <c r="BL22" s="30">
        <f>'FS Jimbaran July 2022'!AR32</f>
        <v>0</v>
      </c>
      <c r="BM22" s="30">
        <v>0</v>
      </c>
      <c r="BN22" s="30">
        <v>0</v>
      </c>
      <c r="BO22" s="33">
        <f>'FS Jimbaran July 2022'!Q32</f>
        <v>2.6</v>
      </c>
      <c r="BP22" s="30">
        <f>'FS Jimbaran July 2022'!R32</f>
        <v>0</v>
      </c>
    </row>
    <row r="23" spans="1:68" x14ac:dyDescent="0.25">
      <c r="A23" s="16" t="s">
        <v>67</v>
      </c>
      <c r="B23" s="17">
        <f t="shared" si="0"/>
        <v>22</v>
      </c>
      <c r="C23" s="18">
        <v>7</v>
      </c>
      <c r="D23" s="32">
        <v>2022</v>
      </c>
      <c r="E23" s="30">
        <f>'FS Jimbaran July 2022'!K33</f>
        <v>0</v>
      </c>
      <c r="F23" s="30">
        <f>'FS Jimbaran July 2022'!N33</f>
        <v>0</v>
      </c>
      <c r="G23" s="30">
        <f>'FS Jimbaran July 2022'!G33</f>
        <v>0</v>
      </c>
      <c r="H23" s="30">
        <f>'FS Jimbaran July 2022'!H33</f>
        <v>0</v>
      </c>
      <c r="I23" s="30">
        <f>'FS Jimbaran July 2022'!I33</f>
        <v>5.6</v>
      </c>
      <c r="J23" s="30">
        <f>'FS Jimbaran July 2022'!J33</f>
        <v>0</v>
      </c>
      <c r="K23" s="30">
        <f>'FS Jimbaran July 2022'!K33</f>
        <v>0</v>
      </c>
      <c r="L23" s="30">
        <f>'FS Jimbaran July 2022'!L33</f>
        <v>0</v>
      </c>
      <c r="M23" s="30">
        <f>'FS Jimbaran July 2022'!S33</f>
        <v>0</v>
      </c>
      <c r="N23" s="30">
        <f>'FS Jimbaran July 2022'!T33</f>
        <v>0</v>
      </c>
      <c r="O23" s="30">
        <f>'FS Jimbaran July 2022'!U33</f>
        <v>2.5</v>
      </c>
      <c r="P23" s="30">
        <f>'FS Jimbaran July 2022'!V33</f>
        <v>0</v>
      </c>
      <c r="Q23" s="30">
        <f>'FS Jimbaran July 2022'!BE33</f>
        <v>0</v>
      </c>
      <c r="R23" s="30">
        <f>'FS Jimbaran July 2022'!BF33</f>
        <v>0</v>
      </c>
      <c r="S23" s="30">
        <f>'FS Jimbaran July 2022'!BH33</f>
        <v>0</v>
      </c>
      <c r="T23" s="30">
        <f>'FS Jimbaran July 2022'!BH33</f>
        <v>0</v>
      </c>
      <c r="U23" s="30">
        <f>'FS Jimbaran July 2022'!BI33</f>
        <v>0</v>
      </c>
      <c r="V23" s="30">
        <f>'FS Jimbaran July 2022'!BJ33</f>
        <v>0</v>
      </c>
      <c r="W23" s="30">
        <f>'FS Jimbaran July 2022'!Y33</f>
        <v>0</v>
      </c>
      <c r="X23" s="30">
        <f>'FS Jimbaran July 2022'!Z33</f>
        <v>0</v>
      </c>
      <c r="Y23" s="30">
        <f>'FS Jimbaran July 2022'!AA33</f>
        <v>0</v>
      </c>
      <c r="Z23" s="30">
        <f>'FS Jimbaran July 2022'!AB33</f>
        <v>0</v>
      </c>
      <c r="AA23" s="30">
        <f>'FS Jimbaran July 2022'!AC33</f>
        <v>0</v>
      </c>
      <c r="AB23" s="30">
        <f>'FS Jimbaran July 2022'!AD33</f>
        <v>0</v>
      </c>
      <c r="AC23" s="30">
        <f>'FS Jimbaran July 2022'!AE33</f>
        <v>0</v>
      </c>
      <c r="AD23" s="30">
        <f>'FS Jimbaran July 2022'!AF33</f>
        <v>0</v>
      </c>
      <c r="AE23" s="30">
        <f>'FS Jimbaran July 2022'!AG33</f>
        <v>0</v>
      </c>
      <c r="AF23" s="30">
        <f>'FS Jimbaran July 2022'!AH33</f>
        <v>0</v>
      </c>
      <c r="AG23" s="30">
        <f>'FS Jimbaran July 2022'!AM33</f>
        <v>0</v>
      </c>
      <c r="AH23" s="30">
        <f>'FS Jimbaran July 2022'!AR33</f>
        <v>0</v>
      </c>
      <c r="AI23" s="30">
        <f>'FS Jimbaran July 2022'!AQ33</f>
        <v>0</v>
      </c>
      <c r="AJ23" s="30">
        <f>'FS Jimbaran July 2022'!AR33</f>
        <v>0</v>
      </c>
      <c r="AK23" s="30">
        <f>'FS Jimbaran July 2022'!AY33</f>
        <v>0</v>
      </c>
      <c r="AL23" s="30">
        <f>'FS Jimbaran July 2022'!AZ33</f>
        <v>0</v>
      </c>
      <c r="AM23" s="30">
        <f>'FS Jimbaran July 2022'!BB33</f>
        <v>0</v>
      </c>
      <c r="AN23" s="30">
        <f>'FS Jimbaran July 2022'!BB33</f>
        <v>0</v>
      </c>
      <c r="AO23" s="30">
        <f>'FS Jimbaran July 2022'!BK33</f>
        <v>0</v>
      </c>
      <c r="AP23" s="30">
        <f>'FS Jimbaran July 2022'!BL33</f>
        <v>0</v>
      </c>
      <c r="AQ23" s="30">
        <f>'FS Jimbaran July 2022'!BC33</f>
        <v>0</v>
      </c>
      <c r="AR23" s="30">
        <f>'FS Jimbaran July 2022'!BD33</f>
        <v>0</v>
      </c>
      <c r="AS23" s="30">
        <f>'FS Jimbaran July 2022'!BM33</f>
        <v>0</v>
      </c>
      <c r="AT23" s="30">
        <f>'FS Jimbaran July 2022'!BN33</f>
        <v>0</v>
      </c>
      <c r="AU23" s="30">
        <f>'FS Jimbaran July 2022'!BO33</f>
        <v>0</v>
      </c>
      <c r="AV23" s="30">
        <f>'FS Jimbaran July 2022'!BP33</f>
        <v>0</v>
      </c>
      <c r="AW23" s="30">
        <f>'FS Jimbaran July 2022'!E33</f>
        <v>0</v>
      </c>
      <c r="AX23" s="30">
        <f>'FS Jimbaran July 2022'!F33</f>
        <v>0</v>
      </c>
      <c r="AY23" s="30">
        <f>'FS Jimbaran July 2022'!O33</f>
        <v>0</v>
      </c>
      <c r="AZ23" s="30">
        <f>'FS Jimbaran July 2022'!P33</f>
        <v>0</v>
      </c>
      <c r="BA23" s="30">
        <f>'FS Jimbaran July 2022'!W33</f>
        <v>0</v>
      </c>
      <c r="BB23" s="30">
        <f>'FS Jimbaran July 2022'!X33</f>
        <v>0</v>
      </c>
      <c r="BC23" s="30">
        <f>'FS Jimbaran July 2022'!AI33</f>
        <v>241.5</v>
      </c>
      <c r="BD23" s="30">
        <f>'FS Jimbaran July 2022'!AJ33</f>
        <v>0</v>
      </c>
      <c r="BE23" s="30">
        <f>'FS Jimbaran July 2022'!AK33</f>
        <v>0</v>
      </c>
      <c r="BF23" s="30">
        <f>'FS Jimbaran July 2022'!AL33</f>
        <v>0</v>
      </c>
      <c r="BG23" s="30">
        <f>'FS Jimbaran July 2022'!AM33</f>
        <v>0</v>
      </c>
      <c r="BH23" s="30">
        <f>'FS Jimbaran July 2022'!AN33</f>
        <v>0</v>
      </c>
      <c r="BI23" s="30">
        <f>'FS Jimbaran July 2022'!AO33</f>
        <v>0</v>
      </c>
      <c r="BJ23" s="30">
        <f>'FS Jimbaran July 2022'!AO33</f>
        <v>0</v>
      </c>
      <c r="BK23" s="30">
        <f>'FS Jimbaran July 2022'!AQ33</f>
        <v>0</v>
      </c>
      <c r="BL23" s="30">
        <f>'FS Jimbaran July 2022'!AR33</f>
        <v>0</v>
      </c>
      <c r="BM23" s="30">
        <v>0</v>
      </c>
      <c r="BN23" s="30">
        <v>0</v>
      </c>
      <c r="BO23" s="33">
        <f>'FS Jimbaran July 2022'!Q33</f>
        <v>0</v>
      </c>
      <c r="BP23" s="30">
        <f>'FS Jimbaran July 2022'!R33</f>
        <v>0</v>
      </c>
    </row>
    <row r="24" spans="1:68" x14ac:dyDescent="0.25">
      <c r="A24" s="16" t="s">
        <v>67</v>
      </c>
      <c r="B24" s="17">
        <f t="shared" si="0"/>
        <v>23</v>
      </c>
      <c r="C24" s="18">
        <v>7</v>
      </c>
      <c r="D24" s="32">
        <v>2022</v>
      </c>
      <c r="E24" s="30">
        <f>'FS Jimbaran July 2022'!K34</f>
        <v>45</v>
      </c>
      <c r="F24" s="30">
        <f>'FS Jimbaran July 2022'!N34</f>
        <v>0</v>
      </c>
      <c r="G24" s="30">
        <f>'FS Jimbaran July 2022'!G34</f>
        <v>1.6</v>
      </c>
      <c r="H24" s="30">
        <f>'FS Jimbaran July 2022'!H34</f>
        <v>0</v>
      </c>
      <c r="I24" s="30">
        <f>'FS Jimbaran July 2022'!I34</f>
        <v>4.2</v>
      </c>
      <c r="J24" s="30">
        <f>'FS Jimbaran July 2022'!J34</f>
        <v>0</v>
      </c>
      <c r="K24" s="30">
        <f>'FS Jimbaran July 2022'!K34</f>
        <v>45</v>
      </c>
      <c r="L24" s="30">
        <f>'FS Jimbaran July 2022'!L34</f>
        <v>0</v>
      </c>
      <c r="M24" s="30">
        <f>'FS Jimbaran July 2022'!S34</f>
        <v>1</v>
      </c>
      <c r="N24" s="30">
        <f>'FS Jimbaran July 2022'!T34</f>
        <v>0</v>
      </c>
      <c r="O24" s="30">
        <f>'FS Jimbaran July 2022'!U34</f>
        <v>1.6</v>
      </c>
      <c r="P24" s="30">
        <f>'FS Jimbaran July 2022'!V34</f>
        <v>0</v>
      </c>
      <c r="Q24" s="30">
        <f>'FS Jimbaran July 2022'!BE34</f>
        <v>0</v>
      </c>
      <c r="R24" s="30">
        <f>'FS Jimbaran July 2022'!BF34</f>
        <v>0</v>
      </c>
      <c r="S24" s="30">
        <f>'FS Jimbaran July 2022'!BH34</f>
        <v>0</v>
      </c>
      <c r="T24" s="30">
        <f>'FS Jimbaran July 2022'!BH34</f>
        <v>0</v>
      </c>
      <c r="U24" s="30">
        <f>'FS Jimbaran July 2022'!BI34</f>
        <v>0</v>
      </c>
      <c r="V24" s="30">
        <f>'FS Jimbaran July 2022'!BJ34</f>
        <v>0</v>
      </c>
      <c r="W24" s="30">
        <f>'FS Jimbaran July 2022'!Y34</f>
        <v>247</v>
      </c>
      <c r="X24" s="30">
        <f>'FS Jimbaran July 2022'!Z34</f>
        <v>0</v>
      </c>
      <c r="Y24" s="30">
        <f>'FS Jimbaran July 2022'!AA34</f>
        <v>4.0999999999999996</v>
      </c>
      <c r="Z24" s="30">
        <f>'FS Jimbaran July 2022'!AB34</f>
        <v>0</v>
      </c>
      <c r="AA24" s="30">
        <f>'FS Jimbaran July 2022'!AC34</f>
        <v>1.6</v>
      </c>
      <c r="AB24" s="30">
        <f>'FS Jimbaran July 2022'!AD34</f>
        <v>0</v>
      </c>
      <c r="AC24" s="30">
        <f>'FS Jimbaran July 2022'!AE34</f>
        <v>0</v>
      </c>
      <c r="AD24" s="30">
        <f>'FS Jimbaran July 2022'!AF34</f>
        <v>0</v>
      </c>
      <c r="AE24" s="30">
        <f>'FS Jimbaran July 2022'!AG34</f>
        <v>0</v>
      </c>
      <c r="AF24" s="30">
        <f>'FS Jimbaran July 2022'!AH34</f>
        <v>0</v>
      </c>
      <c r="AG24" s="30">
        <f>'FS Jimbaran July 2022'!AM34</f>
        <v>0</v>
      </c>
      <c r="AH24" s="30">
        <f>'FS Jimbaran July 2022'!AR34</f>
        <v>0</v>
      </c>
      <c r="AI24" s="30">
        <f>'FS Jimbaran July 2022'!AQ34</f>
        <v>0</v>
      </c>
      <c r="AJ24" s="30">
        <f>'FS Jimbaran July 2022'!AR34</f>
        <v>0</v>
      </c>
      <c r="AK24" s="30">
        <f>'FS Jimbaran July 2022'!AY34</f>
        <v>0</v>
      </c>
      <c r="AL24" s="30">
        <f>'FS Jimbaran July 2022'!AZ34</f>
        <v>0</v>
      </c>
      <c r="AM24" s="30">
        <f>'FS Jimbaran July 2022'!BB34</f>
        <v>0</v>
      </c>
      <c r="AN24" s="30">
        <f>'FS Jimbaran July 2022'!BB34</f>
        <v>0</v>
      </c>
      <c r="AO24" s="30">
        <f>'FS Jimbaran July 2022'!BK34</f>
        <v>0</v>
      </c>
      <c r="AP24" s="30">
        <f>'FS Jimbaran July 2022'!BL34</f>
        <v>0</v>
      </c>
      <c r="AQ24" s="30">
        <f>'FS Jimbaran July 2022'!BC34</f>
        <v>0</v>
      </c>
      <c r="AR24" s="30">
        <f>'FS Jimbaran July 2022'!BD34</f>
        <v>0</v>
      </c>
      <c r="AS24" s="30">
        <f>'FS Jimbaran July 2022'!BM34</f>
        <v>0</v>
      </c>
      <c r="AT24" s="30">
        <f>'FS Jimbaran July 2022'!BN34</f>
        <v>0</v>
      </c>
      <c r="AU24" s="30">
        <f>'FS Jimbaran July 2022'!BO34</f>
        <v>0</v>
      </c>
      <c r="AV24" s="30">
        <f>'FS Jimbaran July 2022'!BP34</f>
        <v>0</v>
      </c>
      <c r="AW24" s="30">
        <f>'FS Jimbaran July 2022'!E34</f>
        <v>8.3000000000000007</v>
      </c>
      <c r="AX24" s="30">
        <f>'FS Jimbaran July 2022'!F34</f>
        <v>0</v>
      </c>
      <c r="AY24" s="30">
        <f>'FS Jimbaran July 2022'!O34</f>
        <v>0</v>
      </c>
      <c r="AZ24" s="30">
        <f>'FS Jimbaran July 2022'!P34</f>
        <v>0</v>
      </c>
      <c r="BA24" s="30">
        <f>'FS Jimbaran July 2022'!W34</f>
        <v>0</v>
      </c>
      <c r="BB24" s="30">
        <f>'FS Jimbaran July 2022'!X34</f>
        <v>0</v>
      </c>
      <c r="BC24" s="30">
        <f>'FS Jimbaran July 2022'!AI34</f>
        <v>287.5</v>
      </c>
      <c r="BD24" s="30">
        <f>'FS Jimbaran July 2022'!AJ34</f>
        <v>0</v>
      </c>
      <c r="BE24" s="30">
        <f>'FS Jimbaran July 2022'!AK34</f>
        <v>4.0999999999999996</v>
      </c>
      <c r="BF24" s="30">
        <f>'FS Jimbaran July 2022'!AL34</f>
        <v>0</v>
      </c>
      <c r="BG24" s="30">
        <f>'FS Jimbaran July 2022'!AM34</f>
        <v>0</v>
      </c>
      <c r="BH24" s="30">
        <f>'FS Jimbaran July 2022'!AN34</f>
        <v>0</v>
      </c>
      <c r="BI24" s="30">
        <f>'FS Jimbaran July 2022'!AO34</f>
        <v>0</v>
      </c>
      <c r="BJ24" s="30">
        <f>'FS Jimbaran July 2022'!AO34</f>
        <v>0</v>
      </c>
      <c r="BK24" s="30">
        <f>'FS Jimbaran July 2022'!AQ34</f>
        <v>0</v>
      </c>
      <c r="BL24" s="30">
        <f>'FS Jimbaran July 2022'!AR34</f>
        <v>0</v>
      </c>
      <c r="BM24" s="30">
        <v>0</v>
      </c>
      <c r="BN24" s="30">
        <v>0</v>
      </c>
      <c r="BO24" s="33">
        <f>'FS Jimbaran July 2022'!Q34</f>
        <v>0</v>
      </c>
      <c r="BP24" s="30">
        <f>'FS Jimbaran July 2022'!R34</f>
        <v>0</v>
      </c>
    </row>
    <row r="25" spans="1:68" x14ac:dyDescent="0.25">
      <c r="A25" s="16" t="s">
        <v>67</v>
      </c>
      <c r="B25" s="17">
        <f t="shared" si="0"/>
        <v>24</v>
      </c>
      <c r="C25" s="18">
        <v>7</v>
      </c>
      <c r="D25" s="32">
        <v>2022</v>
      </c>
      <c r="E25" s="30">
        <f>'FS Jimbaran July 2022'!K35</f>
        <v>0</v>
      </c>
      <c r="F25" s="30">
        <f>'FS Jimbaran July 2022'!N35</f>
        <v>0</v>
      </c>
      <c r="G25" s="30">
        <f>'FS Jimbaran July 2022'!G35</f>
        <v>0</v>
      </c>
      <c r="H25" s="30">
        <f>'FS Jimbaran July 2022'!H35</f>
        <v>0</v>
      </c>
      <c r="I25" s="30">
        <f>'FS Jimbaran July 2022'!I35</f>
        <v>7.2</v>
      </c>
      <c r="J25" s="30">
        <f>'FS Jimbaran July 2022'!J35</f>
        <v>0</v>
      </c>
      <c r="K25" s="30">
        <f>'FS Jimbaran July 2022'!K35</f>
        <v>0</v>
      </c>
      <c r="L25" s="30">
        <f>'FS Jimbaran July 2022'!L35</f>
        <v>0</v>
      </c>
      <c r="M25" s="30">
        <f>'FS Jimbaran July 2022'!S35</f>
        <v>0</v>
      </c>
      <c r="N25" s="30">
        <f>'FS Jimbaran July 2022'!T35</f>
        <v>0</v>
      </c>
      <c r="O25" s="30">
        <f>'FS Jimbaran July 2022'!U35</f>
        <v>0</v>
      </c>
      <c r="P25" s="30">
        <f>'FS Jimbaran July 2022'!V35</f>
        <v>0</v>
      </c>
      <c r="Q25" s="30">
        <f>'FS Jimbaran July 2022'!BE35</f>
        <v>0</v>
      </c>
      <c r="R25" s="30">
        <f>'FS Jimbaran July 2022'!BF35</f>
        <v>0</v>
      </c>
      <c r="S25" s="30">
        <f>'FS Jimbaran July 2022'!BH35</f>
        <v>0</v>
      </c>
      <c r="T25" s="30">
        <f>'FS Jimbaran July 2022'!BH35</f>
        <v>0</v>
      </c>
      <c r="U25" s="30">
        <f>'FS Jimbaran July 2022'!BI35</f>
        <v>0</v>
      </c>
      <c r="V25" s="30">
        <f>'FS Jimbaran July 2022'!BJ35</f>
        <v>0</v>
      </c>
      <c r="W25" s="30">
        <f>'FS Jimbaran July 2022'!Y35</f>
        <v>250</v>
      </c>
      <c r="X25" s="30">
        <f>'FS Jimbaran July 2022'!Z35</f>
        <v>0</v>
      </c>
      <c r="Y25" s="30">
        <f>'FS Jimbaran July 2022'!AA35</f>
        <v>0</v>
      </c>
      <c r="Z25" s="30">
        <f>'FS Jimbaran July 2022'!AB35</f>
        <v>0</v>
      </c>
      <c r="AA25" s="30">
        <f>'FS Jimbaran July 2022'!AC35</f>
        <v>0</v>
      </c>
      <c r="AB25" s="30">
        <f>'FS Jimbaran July 2022'!AD35</f>
        <v>0</v>
      </c>
      <c r="AC25" s="30">
        <f>'FS Jimbaran July 2022'!AE35</f>
        <v>0</v>
      </c>
      <c r="AD25" s="30">
        <f>'FS Jimbaran July 2022'!AF35</f>
        <v>0</v>
      </c>
      <c r="AE25" s="30">
        <f>'FS Jimbaran July 2022'!AG35</f>
        <v>0</v>
      </c>
      <c r="AF25" s="30">
        <f>'FS Jimbaran July 2022'!AH35</f>
        <v>0</v>
      </c>
      <c r="AG25" s="30">
        <f>'FS Jimbaran July 2022'!AM35</f>
        <v>0</v>
      </c>
      <c r="AH25" s="30">
        <f>'FS Jimbaran July 2022'!AR35</f>
        <v>0</v>
      </c>
      <c r="AI25" s="30">
        <f>'FS Jimbaran July 2022'!AQ35</f>
        <v>0</v>
      </c>
      <c r="AJ25" s="30">
        <f>'FS Jimbaran July 2022'!AR35</f>
        <v>0</v>
      </c>
      <c r="AK25" s="30">
        <f>'FS Jimbaran July 2022'!AY35</f>
        <v>0</v>
      </c>
      <c r="AL25" s="30">
        <f>'FS Jimbaran July 2022'!AZ35</f>
        <v>0</v>
      </c>
      <c r="AM25" s="30">
        <f>'FS Jimbaran July 2022'!BB35</f>
        <v>0</v>
      </c>
      <c r="AN25" s="30">
        <f>'FS Jimbaran July 2022'!BB35</f>
        <v>0</v>
      </c>
      <c r="AO25" s="30">
        <f>'FS Jimbaran July 2022'!BK35</f>
        <v>0</v>
      </c>
      <c r="AP25" s="30">
        <f>'FS Jimbaran July 2022'!BL35</f>
        <v>0</v>
      </c>
      <c r="AQ25" s="30">
        <f>'FS Jimbaran July 2022'!BC35</f>
        <v>0</v>
      </c>
      <c r="AR25" s="30">
        <f>'FS Jimbaran July 2022'!BD35</f>
        <v>0</v>
      </c>
      <c r="AS25" s="30">
        <f>'FS Jimbaran July 2022'!BM35</f>
        <v>0</v>
      </c>
      <c r="AT25" s="30">
        <f>'FS Jimbaran July 2022'!BN35</f>
        <v>0</v>
      </c>
      <c r="AU25" s="30">
        <f>'FS Jimbaran July 2022'!BO35</f>
        <v>0</v>
      </c>
      <c r="AV25" s="30">
        <f>'FS Jimbaran July 2022'!BP35</f>
        <v>0</v>
      </c>
      <c r="AW25" s="30">
        <f>'FS Jimbaran July 2022'!E35</f>
        <v>15</v>
      </c>
      <c r="AX25" s="30">
        <f>'FS Jimbaran July 2022'!F35</f>
        <v>0</v>
      </c>
      <c r="AY25" s="30">
        <f>'FS Jimbaran July 2022'!O35</f>
        <v>0</v>
      </c>
      <c r="AZ25" s="30">
        <f>'FS Jimbaran July 2022'!P35</f>
        <v>0</v>
      </c>
      <c r="BA25" s="30">
        <f>'FS Jimbaran July 2022'!W35</f>
        <v>0</v>
      </c>
      <c r="BB25" s="30">
        <f>'FS Jimbaran July 2022'!X35</f>
        <v>0</v>
      </c>
      <c r="BC25" s="30">
        <f>'FS Jimbaran July 2022'!AI35</f>
        <v>253</v>
      </c>
      <c r="BD25" s="30">
        <f>'FS Jimbaran July 2022'!AJ35</f>
        <v>0</v>
      </c>
      <c r="BE25" s="30">
        <f>'FS Jimbaran July 2022'!AK35</f>
        <v>0</v>
      </c>
      <c r="BF25" s="30">
        <f>'FS Jimbaran July 2022'!AL35</f>
        <v>0</v>
      </c>
      <c r="BG25" s="30">
        <f>'FS Jimbaran July 2022'!AM35</f>
        <v>0</v>
      </c>
      <c r="BH25" s="30">
        <f>'FS Jimbaran July 2022'!AN35</f>
        <v>0</v>
      </c>
      <c r="BI25" s="30">
        <f>'FS Jimbaran July 2022'!AO35</f>
        <v>0</v>
      </c>
      <c r="BJ25" s="30">
        <f>'FS Jimbaran July 2022'!AO35</f>
        <v>0</v>
      </c>
      <c r="BK25" s="30">
        <f>'FS Jimbaran July 2022'!AQ35</f>
        <v>0</v>
      </c>
      <c r="BL25" s="30">
        <f>'FS Jimbaran July 2022'!AR35</f>
        <v>0</v>
      </c>
      <c r="BM25" s="30">
        <v>0</v>
      </c>
      <c r="BN25" s="30">
        <v>0</v>
      </c>
      <c r="BO25" s="33">
        <f>'FS Jimbaran July 2022'!Q35</f>
        <v>4.2</v>
      </c>
      <c r="BP25" s="30">
        <f>'FS Jimbaran July 2022'!R35</f>
        <v>0</v>
      </c>
    </row>
    <row r="26" spans="1:68" x14ac:dyDescent="0.25">
      <c r="A26" s="16" t="s">
        <v>67</v>
      </c>
      <c r="B26" s="17">
        <f>B25+1</f>
        <v>25</v>
      </c>
      <c r="C26" s="18">
        <v>7</v>
      </c>
      <c r="D26" s="32">
        <v>2022</v>
      </c>
      <c r="E26" s="30">
        <f>'FS Jimbaran July 2022'!K36</f>
        <v>35</v>
      </c>
      <c r="F26" s="30">
        <f>'FS Jimbaran July 2022'!N36</f>
        <v>0</v>
      </c>
      <c r="G26" s="30">
        <f>'FS Jimbaran July 2022'!G36</f>
        <v>0</v>
      </c>
      <c r="H26" s="30">
        <f>'FS Jimbaran July 2022'!H36</f>
        <v>0</v>
      </c>
      <c r="I26" s="30">
        <f>'FS Jimbaran July 2022'!I36</f>
        <v>4.5999999999999996</v>
      </c>
      <c r="J26" s="30">
        <f>'FS Jimbaran July 2022'!J36</f>
        <v>0</v>
      </c>
      <c r="K26" s="30">
        <f>'FS Jimbaran July 2022'!K36</f>
        <v>35</v>
      </c>
      <c r="L26" s="30">
        <f>'FS Jimbaran July 2022'!L36</f>
        <v>0</v>
      </c>
      <c r="M26" s="30">
        <f>'FS Jimbaran July 2022'!S36</f>
        <v>0</v>
      </c>
      <c r="N26" s="30">
        <f>'FS Jimbaran July 2022'!T36</f>
        <v>0</v>
      </c>
      <c r="O26" s="30">
        <f>'FS Jimbaran July 2022'!U36</f>
        <v>2.9</v>
      </c>
      <c r="P26" s="30">
        <f>'FS Jimbaran July 2022'!V36</f>
        <v>0</v>
      </c>
      <c r="Q26" s="30">
        <f>'FS Jimbaran July 2022'!BE36</f>
        <v>0</v>
      </c>
      <c r="R26" s="30">
        <f>'FS Jimbaran July 2022'!BF36</f>
        <v>0</v>
      </c>
      <c r="S26" s="30">
        <f>'FS Jimbaran July 2022'!BH36</f>
        <v>0</v>
      </c>
      <c r="T26" s="30">
        <f>'FS Jimbaran July 2022'!BH36</f>
        <v>0</v>
      </c>
      <c r="U26" s="30">
        <f>'FS Jimbaran July 2022'!BI36</f>
        <v>0</v>
      </c>
      <c r="V26" s="30">
        <f>'FS Jimbaran July 2022'!BJ36</f>
        <v>0</v>
      </c>
      <c r="W26" s="30">
        <f>'FS Jimbaran July 2022'!Y36</f>
        <v>252</v>
      </c>
      <c r="X26" s="30">
        <f>'FS Jimbaran July 2022'!Z36</f>
        <v>0</v>
      </c>
      <c r="Y26" s="30">
        <f>'FS Jimbaran July 2022'!AA36</f>
        <v>6.2</v>
      </c>
      <c r="Z26" s="30">
        <f>'FS Jimbaran July 2022'!AB36</f>
        <v>0</v>
      </c>
      <c r="AA26" s="30">
        <f>'FS Jimbaran July 2022'!AC36</f>
        <v>2.5</v>
      </c>
      <c r="AB26" s="30">
        <f>'FS Jimbaran July 2022'!AD36</f>
        <v>0</v>
      </c>
      <c r="AC26" s="30">
        <f>'FS Jimbaran July 2022'!AE36</f>
        <v>0</v>
      </c>
      <c r="AD26" s="30">
        <f>'FS Jimbaran July 2022'!AF36</f>
        <v>0</v>
      </c>
      <c r="AE26" s="30">
        <f>'FS Jimbaran July 2022'!AG36</f>
        <v>0</v>
      </c>
      <c r="AF26" s="30">
        <f>'FS Jimbaran July 2022'!AH36</f>
        <v>0</v>
      </c>
      <c r="AG26" s="30">
        <f>'FS Jimbaran July 2022'!AM36</f>
        <v>0</v>
      </c>
      <c r="AH26" s="30">
        <f>'FS Jimbaran July 2022'!AR36</f>
        <v>0</v>
      </c>
      <c r="AI26" s="30">
        <f>'FS Jimbaran July 2022'!AQ36</f>
        <v>0</v>
      </c>
      <c r="AJ26" s="30">
        <f>'FS Jimbaran July 2022'!AR36</f>
        <v>0</v>
      </c>
      <c r="AK26" s="30">
        <f>'FS Jimbaran July 2022'!AY36</f>
        <v>0</v>
      </c>
      <c r="AL26" s="30">
        <f>'FS Jimbaran July 2022'!AZ36</f>
        <v>0</v>
      </c>
      <c r="AM26" s="30">
        <f>'FS Jimbaran July 2022'!BB36</f>
        <v>0</v>
      </c>
      <c r="AN26" s="30">
        <f>'FS Jimbaran July 2022'!BB36</f>
        <v>0</v>
      </c>
      <c r="AO26" s="30">
        <f>'FS Jimbaran July 2022'!BK36</f>
        <v>0</v>
      </c>
      <c r="AP26" s="30">
        <f>'FS Jimbaran July 2022'!BL36</f>
        <v>0</v>
      </c>
      <c r="AQ26" s="30">
        <f>'FS Jimbaran July 2022'!BC36</f>
        <v>0</v>
      </c>
      <c r="AR26" s="30">
        <f>'FS Jimbaran July 2022'!BD36</f>
        <v>0</v>
      </c>
      <c r="AS26" s="30">
        <f>'FS Jimbaran July 2022'!BM36</f>
        <v>0</v>
      </c>
      <c r="AT26" s="30">
        <f>'FS Jimbaran July 2022'!BN36</f>
        <v>0</v>
      </c>
      <c r="AU26" s="30">
        <f>'FS Jimbaran July 2022'!BO36</f>
        <v>0</v>
      </c>
      <c r="AV26" s="30">
        <f>'FS Jimbaran July 2022'!BP36</f>
        <v>0</v>
      </c>
      <c r="AW26" s="30">
        <f>'FS Jimbaran July 2022'!E36</f>
        <v>7.3</v>
      </c>
      <c r="AX26" s="30">
        <f>'FS Jimbaran July 2022'!F36</f>
        <v>0</v>
      </c>
      <c r="AY26" s="30">
        <f>'FS Jimbaran July 2022'!O36</f>
        <v>0</v>
      </c>
      <c r="AZ26" s="30">
        <f>'FS Jimbaran July 2022'!P36</f>
        <v>0</v>
      </c>
      <c r="BA26" s="30">
        <f>'FS Jimbaran July 2022'!W36</f>
        <v>0</v>
      </c>
      <c r="BB26" s="30">
        <f>'FS Jimbaran July 2022'!X36</f>
        <v>0</v>
      </c>
      <c r="BC26" s="30">
        <f>'FS Jimbaran July 2022'!AI36</f>
        <v>425.5</v>
      </c>
      <c r="BD26" s="30">
        <f>'FS Jimbaran July 2022'!AJ36</f>
        <v>0</v>
      </c>
      <c r="BE26" s="30">
        <f>'FS Jimbaran July 2022'!AK36</f>
        <v>6.2</v>
      </c>
      <c r="BF26" s="30">
        <f>'FS Jimbaran July 2022'!AL36</f>
        <v>0</v>
      </c>
      <c r="BG26" s="30">
        <f>'FS Jimbaran July 2022'!AM36</f>
        <v>0</v>
      </c>
      <c r="BH26" s="30">
        <f>'FS Jimbaran July 2022'!AN36</f>
        <v>0</v>
      </c>
      <c r="BI26" s="30">
        <f>'FS Jimbaran July 2022'!AO36</f>
        <v>0</v>
      </c>
      <c r="BJ26" s="30">
        <f>'FS Jimbaran July 2022'!AO36</f>
        <v>0</v>
      </c>
      <c r="BK26" s="30">
        <f>'FS Jimbaran July 2022'!AQ36</f>
        <v>0</v>
      </c>
      <c r="BL26" s="30">
        <f>'FS Jimbaran July 2022'!AR36</f>
        <v>0</v>
      </c>
      <c r="BM26" s="30">
        <v>0</v>
      </c>
      <c r="BN26" s="30">
        <v>0</v>
      </c>
      <c r="BO26" s="33">
        <f>'FS Jimbaran July 2022'!Q36</f>
        <v>4.3</v>
      </c>
      <c r="BP26" s="30">
        <f>'FS Jimbaran July 2022'!R36</f>
        <v>0</v>
      </c>
    </row>
    <row r="27" spans="1:68" x14ac:dyDescent="0.25">
      <c r="A27" s="16" t="s">
        <v>67</v>
      </c>
      <c r="B27" s="17">
        <f t="shared" si="0"/>
        <v>26</v>
      </c>
      <c r="C27" s="18">
        <v>7</v>
      </c>
      <c r="D27" s="32">
        <v>2022</v>
      </c>
      <c r="E27" s="30">
        <f>'FS Jimbaran July 2022'!K37</f>
        <v>0</v>
      </c>
      <c r="F27" s="30">
        <f>'FS Jimbaran July 2022'!N37</f>
        <v>0</v>
      </c>
      <c r="G27" s="30">
        <f>'FS Jimbaran July 2022'!G37</f>
        <v>0</v>
      </c>
      <c r="H27" s="30">
        <f>'FS Jimbaran July 2022'!H37</f>
        <v>0</v>
      </c>
      <c r="I27" s="30">
        <f>'FS Jimbaran July 2022'!I37</f>
        <v>0</v>
      </c>
      <c r="J27" s="30">
        <f>'FS Jimbaran July 2022'!J37</f>
        <v>0</v>
      </c>
      <c r="K27" s="30">
        <f>'FS Jimbaran July 2022'!K37</f>
        <v>0</v>
      </c>
      <c r="L27" s="30">
        <f>'FS Jimbaran July 2022'!L37</f>
        <v>0</v>
      </c>
      <c r="M27" s="30">
        <f>'FS Jimbaran July 2022'!S37</f>
        <v>0</v>
      </c>
      <c r="N27" s="30">
        <f>'FS Jimbaran July 2022'!T37</f>
        <v>0</v>
      </c>
      <c r="O27" s="30">
        <f>'FS Jimbaran July 2022'!U37</f>
        <v>0</v>
      </c>
      <c r="P27" s="30">
        <f>'FS Jimbaran July 2022'!V37</f>
        <v>0</v>
      </c>
      <c r="Q27" s="30">
        <f>'FS Jimbaran July 2022'!BE37</f>
        <v>0</v>
      </c>
      <c r="R27" s="30">
        <f>'FS Jimbaran July 2022'!BF37</f>
        <v>0</v>
      </c>
      <c r="S27" s="30">
        <f>'FS Jimbaran July 2022'!BH37</f>
        <v>0</v>
      </c>
      <c r="T27" s="30">
        <f>'FS Jimbaran July 2022'!BH37</f>
        <v>0</v>
      </c>
      <c r="U27" s="30">
        <f>'FS Jimbaran July 2022'!BI37</f>
        <v>0</v>
      </c>
      <c r="V27" s="30">
        <f>'FS Jimbaran July 2022'!BJ37</f>
        <v>0</v>
      </c>
      <c r="W27" s="30">
        <f>'FS Jimbaran July 2022'!Y37</f>
        <v>230</v>
      </c>
      <c r="X27" s="30">
        <f>'FS Jimbaran July 2022'!Z37</f>
        <v>0</v>
      </c>
      <c r="Y27" s="30">
        <f>'FS Jimbaran July 2022'!AA37</f>
        <v>0</v>
      </c>
      <c r="Z27" s="30">
        <f>'FS Jimbaran July 2022'!AB37</f>
        <v>0</v>
      </c>
      <c r="AA27" s="30">
        <f>'FS Jimbaran July 2022'!AC37</f>
        <v>0</v>
      </c>
      <c r="AB27" s="30">
        <f>'FS Jimbaran July 2022'!AD37</f>
        <v>0</v>
      </c>
      <c r="AC27" s="30">
        <f>'FS Jimbaran July 2022'!AE37</f>
        <v>0</v>
      </c>
      <c r="AD27" s="30">
        <f>'FS Jimbaran July 2022'!AF37</f>
        <v>0</v>
      </c>
      <c r="AE27" s="30">
        <f>'FS Jimbaran July 2022'!AG37</f>
        <v>0</v>
      </c>
      <c r="AF27" s="30">
        <f>'FS Jimbaran July 2022'!AH37</f>
        <v>0</v>
      </c>
      <c r="AG27" s="30">
        <f>'FS Jimbaran July 2022'!AM37</f>
        <v>0</v>
      </c>
      <c r="AH27" s="30">
        <f>'FS Jimbaran July 2022'!AR37</f>
        <v>0</v>
      </c>
      <c r="AI27" s="30">
        <f>'FS Jimbaran July 2022'!AQ37</f>
        <v>0</v>
      </c>
      <c r="AJ27" s="30">
        <f>'FS Jimbaran July 2022'!AR37</f>
        <v>0</v>
      </c>
      <c r="AK27" s="30">
        <f>'FS Jimbaran July 2022'!AY37</f>
        <v>0</v>
      </c>
      <c r="AL27" s="30">
        <f>'FS Jimbaran July 2022'!AZ37</f>
        <v>0</v>
      </c>
      <c r="AM27" s="30">
        <f>'FS Jimbaran July 2022'!BB37</f>
        <v>0</v>
      </c>
      <c r="AN27" s="30">
        <f>'FS Jimbaran July 2022'!BB37</f>
        <v>0</v>
      </c>
      <c r="AO27" s="30">
        <f>'FS Jimbaran July 2022'!BK37</f>
        <v>0</v>
      </c>
      <c r="AP27" s="30">
        <f>'FS Jimbaran July 2022'!BL37</f>
        <v>0</v>
      </c>
      <c r="AQ27" s="30">
        <f>'FS Jimbaran July 2022'!BC37</f>
        <v>0</v>
      </c>
      <c r="AR27" s="30">
        <f>'FS Jimbaran July 2022'!BD37</f>
        <v>0</v>
      </c>
      <c r="AS27" s="30">
        <f>'FS Jimbaran July 2022'!BM37</f>
        <v>0</v>
      </c>
      <c r="AT27" s="30">
        <f>'FS Jimbaran July 2022'!BN37</f>
        <v>0</v>
      </c>
      <c r="AU27" s="30">
        <f>'FS Jimbaran July 2022'!BO37</f>
        <v>0</v>
      </c>
      <c r="AV27" s="30">
        <f>'FS Jimbaran July 2022'!BP37</f>
        <v>0</v>
      </c>
      <c r="AW27" s="30">
        <f>'FS Jimbaran July 2022'!E37</f>
        <v>8</v>
      </c>
      <c r="AX27" s="30">
        <f>'FS Jimbaran July 2022'!F37</f>
        <v>0</v>
      </c>
      <c r="AY27" s="30">
        <f>'FS Jimbaran July 2022'!O37</f>
        <v>0</v>
      </c>
      <c r="AZ27" s="30">
        <f>'FS Jimbaran July 2022'!P37</f>
        <v>0</v>
      </c>
      <c r="BA27" s="30">
        <f>'FS Jimbaran July 2022'!W37</f>
        <v>0</v>
      </c>
      <c r="BB27" s="30">
        <f>'FS Jimbaran July 2022'!X37</f>
        <v>0</v>
      </c>
      <c r="BC27" s="30">
        <f>'FS Jimbaran July 2022'!AI37</f>
        <v>264.5</v>
      </c>
      <c r="BD27" s="30">
        <f>'FS Jimbaran July 2022'!AJ37</f>
        <v>0</v>
      </c>
      <c r="BE27" s="30">
        <f>'FS Jimbaran July 2022'!AK37</f>
        <v>0</v>
      </c>
      <c r="BF27" s="30">
        <f>'FS Jimbaran July 2022'!AL37</f>
        <v>0</v>
      </c>
      <c r="BG27" s="30">
        <f>'FS Jimbaran July 2022'!AM37</f>
        <v>0</v>
      </c>
      <c r="BH27" s="30">
        <f>'FS Jimbaran July 2022'!AN37</f>
        <v>0</v>
      </c>
      <c r="BI27" s="30">
        <f>'FS Jimbaran July 2022'!AO37</f>
        <v>0</v>
      </c>
      <c r="BJ27" s="30">
        <f>'FS Jimbaran July 2022'!AO37</f>
        <v>0</v>
      </c>
      <c r="BK27" s="30">
        <f>'FS Jimbaran July 2022'!AQ37</f>
        <v>0</v>
      </c>
      <c r="BL27" s="30">
        <f>'FS Jimbaran July 2022'!AR37</f>
        <v>0</v>
      </c>
      <c r="BM27" s="30">
        <v>0</v>
      </c>
      <c r="BN27" s="30">
        <v>0</v>
      </c>
      <c r="BO27" s="33">
        <f>'FS Jimbaran July 2022'!Q37</f>
        <v>0</v>
      </c>
      <c r="BP27" s="30">
        <f>'FS Jimbaran July 2022'!R37</f>
        <v>0</v>
      </c>
    </row>
    <row r="28" spans="1:68" x14ac:dyDescent="0.25">
      <c r="A28" s="16" t="s">
        <v>67</v>
      </c>
      <c r="B28" s="17">
        <f t="shared" si="0"/>
        <v>27</v>
      </c>
      <c r="C28" s="18">
        <v>7</v>
      </c>
      <c r="D28" s="32">
        <v>2022</v>
      </c>
      <c r="E28" s="30">
        <f>'FS Jimbaran July 2022'!K38</f>
        <v>21</v>
      </c>
      <c r="F28" s="30">
        <f>'FS Jimbaran July 2022'!N38</f>
        <v>0</v>
      </c>
      <c r="G28" s="30">
        <f>'FS Jimbaran July 2022'!G38</f>
        <v>2.2999999999999998</v>
      </c>
      <c r="H28" s="30">
        <f>'FS Jimbaran July 2022'!H38</f>
        <v>0</v>
      </c>
      <c r="I28" s="30">
        <f>'FS Jimbaran July 2022'!I38</f>
        <v>2.6</v>
      </c>
      <c r="J28" s="30">
        <f>'FS Jimbaran July 2022'!J38</f>
        <v>0</v>
      </c>
      <c r="K28" s="30">
        <f>'FS Jimbaran July 2022'!K38</f>
        <v>21</v>
      </c>
      <c r="L28" s="30">
        <f>'FS Jimbaran July 2022'!L38</f>
        <v>0</v>
      </c>
      <c r="M28" s="30">
        <f>'FS Jimbaran July 2022'!S38</f>
        <v>1</v>
      </c>
      <c r="N28" s="30">
        <f>'FS Jimbaran July 2022'!T38</f>
        <v>0</v>
      </c>
      <c r="O28" s="30">
        <f>'FS Jimbaran July 2022'!U38</f>
        <v>1.8</v>
      </c>
      <c r="P28" s="30">
        <f>'FS Jimbaran July 2022'!V38</f>
        <v>0</v>
      </c>
      <c r="Q28" s="30">
        <f>'FS Jimbaran July 2022'!BE38</f>
        <v>0</v>
      </c>
      <c r="R28" s="30">
        <f>'FS Jimbaran July 2022'!BF38</f>
        <v>0</v>
      </c>
      <c r="S28" s="30">
        <f>'FS Jimbaran July 2022'!BH38</f>
        <v>0</v>
      </c>
      <c r="T28" s="30">
        <f>'FS Jimbaran July 2022'!BH38</f>
        <v>0</v>
      </c>
      <c r="U28" s="30">
        <f>'FS Jimbaran July 2022'!BI38</f>
        <v>0</v>
      </c>
      <c r="V28" s="30">
        <f>'FS Jimbaran July 2022'!BJ38</f>
        <v>0</v>
      </c>
      <c r="W28" s="30">
        <f>'FS Jimbaran July 2022'!Y38</f>
        <v>283</v>
      </c>
      <c r="X28" s="30">
        <f>'FS Jimbaran July 2022'!Z38</f>
        <v>0</v>
      </c>
      <c r="Y28" s="30">
        <f>'FS Jimbaran July 2022'!AA38</f>
        <v>3.4</v>
      </c>
      <c r="Z28" s="30">
        <f>'FS Jimbaran July 2022'!AB38</f>
        <v>0</v>
      </c>
      <c r="AA28" s="30">
        <f>'FS Jimbaran July 2022'!AC38</f>
        <v>2.8</v>
      </c>
      <c r="AB28" s="30">
        <f>'FS Jimbaran July 2022'!AD38</f>
        <v>0</v>
      </c>
      <c r="AC28" s="30">
        <f>'FS Jimbaran July 2022'!AE38</f>
        <v>0</v>
      </c>
      <c r="AD28" s="30">
        <f>'FS Jimbaran July 2022'!AF38</f>
        <v>0</v>
      </c>
      <c r="AE28" s="30">
        <f>'FS Jimbaran July 2022'!AG38</f>
        <v>0</v>
      </c>
      <c r="AF28" s="30">
        <f>'FS Jimbaran July 2022'!AH38</f>
        <v>0</v>
      </c>
      <c r="AG28" s="30">
        <f>'FS Jimbaran July 2022'!AM38</f>
        <v>0</v>
      </c>
      <c r="AH28" s="30">
        <f>'FS Jimbaran July 2022'!AR38</f>
        <v>0</v>
      </c>
      <c r="AI28" s="30">
        <f>'FS Jimbaran July 2022'!AQ38</f>
        <v>0</v>
      </c>
      <c r="AJ28" s="30">
        <f>'FS Jimbaran July 2022'!AR38</f>
        <v>0</v>
      </c>
      <c r="AK28" s="30">
        <f>'FS Jimbaran July 2022'!AY38</f>
        <v>0</v>
      </c>
      <c r="AL28" s="30">
        <f>'FS Jimbaran July 2022'!AZ38</f>
        <v>0</v>
      </c>
      <c r="AM28" s="30">
        <f>'FS Jimbaran July 2022'!BB38</f>
        <v>0</v>
      </c>
      <c r="AN28" s="30">
        <f>'FS Jimbaran July 2022'!BB38</f>
        <v>0</v>
      </c>
      <c r="AO28" s="30">
        <f>'FS Jimbaran July 2022'!BK38</f>
        <v>0</v>
      </c>
      <c r="AP28" s="30">
        <f>'FS Jimbaran July 2022'!BL38</f>
        <v>0</v>
      </c>
      <c r="AQ28" s="30">
        <f>'FS Jimbaran July 2022'!BC38</f>
        <v>0</v>
      </c>
      <c r="AR28" s="30">
        <f>'FS Jimbaran July 2022'!BD38</f>
        <v>0</v>
      </c>
      <c r="AS28" s="30">
        <f>'FS Jimbaran July 2022'!BM38</f>
        <v>0</v>
      </c>
      <c r="AT28" s="30">
        <f>'FS Jimbaran July 2022'!BN38</f>
        <v>0</v>
      </c>
      <c r="AU28" s="30">
        <f>'FS Jimbaran July 2022'!BO38</f>
        <v>0</v>
      </c>
      <c r="AV28" s="30">
        <f>'FS Jimbaran July 2022'!BP38</f>
        <v>0</v>
      </c>
      <c r="AW28" s="30">
        <f>'FS Jimbaran July 2022'!E38</f>
        <v>5.2</v>
      </c>
      <c r="AX28" s="30">
        <f>'FS Jimbaran July 2022'!F38</f>
        <v>0</v>
      </c>
      <c r="AY28" s="30">
        <f>'FS Jimbaran July 2022'!O38</f>
        <v>0</v>
      </c>
      <c r="AZ28" s="30">
        <f>'FS Jimbaran July 2022'!P38</f>
        <v>0</v>
      </c>
      <c r="BA28" s="30">
        <f>'FS Jimbaran July 2022'!W38</f>
        <v>0</v>
      </c>
      <c r="BB28" s="30">
        <f>'FS Jimbaran July 2022'!X38</f>
        <v>0</v>
      </c>
      <c r="BC28" s="30">
        <f>'FS Jimbaran July 2022'!AI38</f>
        <v>552</v>
      </c>
      <c r="BD28" s="30">
        <f>'FS Jimbaran July 2022'!AJ38</f>
        <v>0</v>
      </c>
      <c r="BE28" s="30">
        <f>'FS Jimbaran July 2022'!AK38</f>
        <v>3.4</v>
      </c>
      <c r="BF28" s="30">
        <f>'FS Jimbaran July 2022'!AL38</f>
        <v>0</v>
      </c>
      <c r="BG28" s="30">
        <f>'FS Jimbaran July 2022'!AM38</f>
        <v>0</v>
      </c>
      <c r="BH28" s="30">
        <f>'FS Jimbaran July 2022'!AN38</f>
        <v>0</v>
      </c>
      <c r="BI28" s="30">
        <f>'FS Jimbaran July 2022'!AO38</f>
        <v>0</v>
      </c>
      <c r="BJ28" s="30">
        <f>'FS Jimbaran July 2022'!AO38</f>
        <v>0</v>
      </c>
      <c r="BK28" s="30">
        <f>'FS Jimbaran July 2022'!AQ38</f>
        <v>0</v>
      </c>
      <c r="BL28" s="30">
        <f>'FS Jimbaran July 2022'!AR38</f>
        <v>0</v>
      </c>
      <c r="BM28" s="30">
        <v>0</v>
      </c>
      <c r="BN28" s="30">
        <v>0</v>
      </c>
      <c r="BO28" s="33">
        <f>'FS Jimbaran July 2022'!Q38</f>
        <v>0</v>
      </c>
      <c r="BP28" s="30">
        <f>'FS Jimbaran July 2022'!R38</f>
        <v>0</v>
      </c>
    </row>
    <row r="29" spans="1:68" x14ac:dyDescent="0.25">
      <c r="A29" s="16" t="s">
        <v>67</v>
      </c>
      <c r="B29" s="17">
        <f t="shared" si="0"/>
        <v>28</v>
      </c>
      <c r="C29" s="18">
        <v>7</v>
      </c>
      <c r="D29" s="32">
        <v>2022</v>
      </c>
      <c r="E29" s="30">
        <f>'FS Jimbaran July 2022'!K39</f>
        <v>56</v>
      </c>
      <c r="F29" s="30">
        <f>'FS Jimbaran July 2022'!N39</f>
        <v>0</v>
      </c>
      <c r="G29" s="30">
        <f>'FS Jimbaran July 2022'!G39</f>
        <v>0</v>
      </c>
      <c r="H29" s="30">
        <f>'FS Jimbaran July 2022'!H39</f>
        <v>0</v>
      </c>
      <c r="I29" s="30">
        <f>'FS Jimbaran July 2022'!I39</f>
        <v>0</v>
      </c>
      <c r="J29" s="30">
        <f>'FS Jimbaran July 2022'!J39</f>
        <v>0</v>
      </c>
      <c r="K29" s="30">
        <f>'FS Jimbaran July 2022'!K39</f>
        <v>56</v>
      </c>
      <c r="L29" s="30">
        <f>'FS Jimbaran July 2022'!L39</f>
        <v>0</v>
      </c>
      <c r="M29" s="30">
        <f>'FS Jimbaran July 2022'!S39</f>
        <v>0</v>
      </c>
      <c r="N29" s="30">
        <f>'FS Jimbaran July 2022'!T39</f>
        <v>0</v>
      </c>
      <c r="O29" s="30">
        <f>'FS Jimbaran July 2022'!U39</f>
        <v>0</v>
      </c>
      <c r="P29" s="30">
        <f>'FS Jimbaran July 2022'!V39</f>
        <v>0</v>
      </c>
      <c r="Q29" s="30">
        <f>'FS Jimbaran July 2022'!BE39</f>
        <v>0</v>
      </c>
      <c r="R29" s="30">
        <f>'FS Jimbaran July 2022'!BF39</f>
        <v>0</v>
      </c>
      <c r="S29" s="30">
        <f>'FS Jimbaran July 2022'!BH39</f>
        <v>0</v>
      </c>
      <c r="T29" s="30">
        <f>'FS Jimbaran July 2022'!BH39</f>
        <v>0</v>
      </c>
      <c r="U29" s="30">
        <f>'FS Jimbaran July 2022'!BI39</f>
        <v>0</v>
      </c>
      <c r="V29" s="30">
        <f>'FS Jimbaran July 2022'!BJ39</f>
        <v>0</v>
      </c>
      <c r="W29" s="30">
        <f>'FS Jimbaran July 2022'!Y39</f>
        <v>234</v>
      </c>
      <c r="X29" s="30">
        <f>'FS Jimbaran July 2022'!Z39</f>
        <v>0</v>
      </c>
      <c r="Y29" s="30">
        <f>'FS Jimbaran July 2022'!AA39</f>
        <v>0</v>
      </c>
      <c r="Z29" s="30">
        <f>'FS Jimbaran July 2022'!AB39</f>
        <v>0</v>
      </c>
      <c r="AA29" s="30">
        <f>'FS Jimbaran July 2022'!AC39</f>
        <v>0</v>
      </c>
      <c r="AB29" s="30">
        <f>'FS Jimbaran July 2022'!AD39</f>
        <v>0</v>
      </c>
      <c r="AC29" s="30">
        <f>'FS Jimbaran July 2022'!AE39</f>
        <v>0</v>
      </c>
      <c r="AD29" s="30">
        <f>'FS Jimbaran July 2022'!AF39</f>
        <v>0</v>
      </c>
      <c r="AE29" s="30">
        <f>'FS Jimbaran July 2022'!AG39</f>
        <v>0</v>
      </c>
      <c r="AF29" s="30">
        <f>'FS Jimbaran July 2022'!AH39</f>
        <v>0</v>
      </c>
      <c r="AG29" s="30">
        <f>'FS Jimbaran July 2022'!AM39</f>
        <v>0</v>
      </c>
      <c r="AH29" s="30">
        <f>'FS Jimbaran July 2022'!AR39</f>
        <v>0</v>
      </c>
      <c r="AI29" s="30">
        <f>'FS Jimbaran July 2022'!AQ39</f>
        <v>0</v>
      </c>
      <c r="AJ29" s="30">
        <f>'FS Jimbaran July 2022'!AR39</f>
        <v>0</v>
      </c>
      <c r="AK29" s="30">
        <f>'FS Jimbaran July 2022'!AY39</f>
        <v>0</v>
      </c>
      <c r="AL29" s="30">
        <f>'FS Jimbaran July 2022'!AZ39</f>
        <v>0</v>
      </c>
      <c r="AM29" s="30">
        <f>'FS Jimbaran July 2022'!BB39</f>
        <v>0</v>
      </c>
      <c r="AN29" s="30">
        <f>'FS Jimbaran July 2022'!BB39</f>
        <v>0</v>
      </c>
      <c r="AO29" s="30">
        <f>'FS Jimbaran July 2022'!BK39</f>
        <v>0</v>
      </c>
      <c r="AP29" s="30">
        <f>'FS Jimbaran July 2022'!BL39</f>
        <v>0</v>
      </c>
      <c r="AQ29" s="30">
        <f>'FS Jimbaran July 2022'!BC39</f>
        <v>0</v>
      </c>
      <c r="AR29" s="30">
        <f>'FS Jimbaran July 2022'!BD39</f>
        <v>0</v>
      </c>
      <c r="AS29" s="30">
        <f>'FS Jimbaran July 2022'!BM39</f>
        <v>0</v>
      </c>
      <c r="AT29" s="30">
        <f>'FS Jimbaran July 2022'!BN39</f>
        <v>0</v>
      </c>
      <c r="AU29" s="30">
        <f>'FS Jimbaran July 2022'!BO39</f>
        <v>0</v>
      </c>
      <c r="AV29" s="30">
        <f>'FS Jimbaran July 2022'!BP39</f>
        <v>0</v>
      </c>
      <c r="AW29" s="30">
        <f>'FS Jimbaran July 2022'!E39</f>
        <v>3</v>
      </c>
      <c r="AX29" s="30">
        <f>'FS Jimbaran July 2022'!F39</f>
        <v>0</v>
      </c>
      <c r="AY29" s="30">
        <f>'FS Jimbaran July 2022'!O39</f>
        <v>0</v>
      </c>
      <c r="AZ29" s="30">
        <f>'FS Jimbaran July 2022'!P39</f>
        <v>0</v>
      </c>
      <c r="BA29" s="30">
        <f>'FS Jimbaran July 2022'!W39</f>
        <v>0</v>
      </c>
      <c r="BB29" s="30">
        <f>'FS Jimbaran July 2022'!X39</f>
        <v>0</v>
      </c>
      <c r="BC29" s="30">
        <f>'FS Jimbaran July 2022'!AI39</f>
        <v>506</v>
      </c>
      <c r="BD29" s="30">
        <f>'FS Jimbaran July 2022'!AJ39</f>
        <v>0</v>
      </c>
      <c r="BE29" s="30">
        <f>'FS Jimbaran July 2022'!AK39</f>
        <v>0</v>
      </c>
      <c r="BF29" s="30">
        <f>'FS Jimbaran July 2022'!AL39</f>
        <v>0</v>
      </c>
      <c r="BG29" s="30">
        <f>'FS Jimbaran July 2022'!AM39</f>
        <v>0</v>
      </c>
      <c r="BH29" s="30">
        <f>'FS Jimbaran July 2022'!AN39</f>
        <v>0</v>
      </c>
      <c r="BI29" s="30">
        <f>'FS Jimbaran July 2022'!AO39</f>
        <v>0</v>
      </c>
      <c r="BJ29" s="30">
        <f>'FS Jimbaran July 2022'!AO39</f>
        <v>0</v>
      </c>
      <c r="BK29" s="30">
        <f>'FS Jimbaran July 2022'!AQ39</f>
        <v>0</v>
      </c>
      <c r="BL29" s="30">
        <f>'FS Jimbaran July 2022'!AR39</f>
        <v>0</v>
      </c>
      <c r="BM29" s="30">
        <v>0</v>
      </c>
      <c r="BN29" s="30">
        <v>0</v>
      </c>
      <c r="BO29" s="33">
        <f>'FS Jimbaran July 2022'!Q39</f>
        <v>0</v>
      </c>
      <c r="BP29" s="30">
        <f>'FS Jimbaran July 2022'!R39</f>
        <v>0</v>
      </c>
    </row>
    <row r="30" spans="1:68" x14ac:dyDescent="0.25">
      <c r="A30" s="16" t="s">
        <v>67</v>
      </c>
      <c r="B30" s="17">
        <f t="shared" si="0"/>
        <v>29</v>
      </c>
      <c r="C30" s="18">
        <v>7</v>
      </c>
      <c r="D30" s="32">
        <v>2022</v>
      </c>
      <c r="E30" s="30">
        <f>'FS Jimbaran July 2022'!K40</f>
        <v>37</v>
      </c>
      <c r="F30" s="30">
        <f>'FS Jimbaran July 2022'!N40</f>
        <v>0</v>
      </c>
      <c r="G30" s="30">
        <f>'FS Jimbaran July 2022'!G40</f>
        <v>0</v>
      </c>
      <c r="H30" s="30">
        <f>'FS Jimbaran July 2022'!H40</f>
        <v>0</v>
      </c>
      <c r="I30" s="30">
        <f>'FS Jimbaran July 2022'!I40</f>
        <v>5.0999999999999996</v>
      </c>
      <c r="J30" s="30">
        <f>'FS Jimbaran July 2022'!J40</f>
        <v>0</v>
      </c>
      <c r="K30" s="30">
        <f>'FS Jimbaran July 2022'!K40</f>
        <v>37</v>
      </c>
      <c r="L30" s="30">
        <f>'FS Jimbaran July 2022'!L40</f>
        <v>0</v>
      </c>
      <c r="M30" s="30">
        <f>'FS Jimbaran July 2022'!S40</f>
        <v>2</v>
      </c>
      <c r="N30" s="30">
        <f>'FS Jimbaran July 2022'!T40</f>
        <v>0</v>
      </c>
      <c r="O30" s="30">
        <f>'FS Jimbaran July 2022'!U40</f>
        <v>2.5</v>
      </c>
      <c r="P30" s="30">
        <f>'FS Jimbaran July 2022'!V40</f>
        <v>0</v>
      </c>
      <c r="Q30" s="30">
        <f>'FS Jimbaran July 2022'!BE40</f>
        <v>0</v>
      </c>
      <c r="R30" s="30">
        <f>'FS Jimbaran July 2022'!BF40</f>
        <v>0</v>
      </c>
      <c r="S30" s="30">
        <f>'FS Jimbaran July 2022'!BH40</f>
        <v>0</v>
      </c>
      <c r="T30" s="30">
        <f>'FS Jimbaran July 2022'!BH40</f>
        <v>0</v>
      </c>
      <c r="U30" s="30">
        <f>'FS Jimbaran July 2022'!BI40</f>
        <v>0</v>
      </c>
      <c r="V30" s="30">
        <f>'FS Jimbaran July 2022'!BJ40</f>
        <v>0</v>
      </c>
      <c r="W30" s="30">
        <f>'FS Jimbaran July 2022'!Y40</f>
        <v>276</v>
      </c>
      <c r="X30" s="30">
        <f>'FS Jimbaran July 2022'!Z40</f>
        <v>0</v>
      </c>
      <c r="Y30" s="30">
        <f>'FS Jimbaran July 2022'!AA40</f>
        <v>4.0999999999999996</v>
      </c>
      <c r="Z30" s="30">
        <f>'FS Jimbaran July 2022'!AB40</f>
        <v>0</v>
      </c>
      <c r="AA30" s="30">
        <f>'FS Jimbaran July 2022'!AC40</f>
        <v>1.6</v>
      </c>
      <c r="AB30" s="30">
        <f>'FS Jimbaran July 2022'!AD40</f>
        <v>0</v>
      </c>
      <c r="AC30" s="30">
        <f>'FS Jimbaran July 2022'!AE40</f>
        <v>0</v>
      </c>
      <c r="AD30" s="30">
        <f>'FS Jimbaran July 2022'!AF40</f>
        <v>0</v>
      </c>
      <c r="AE30" s="30">
        <f>'FS Jimbaran July 2022'!AG40</f>
        <v>0</v>
      </c>
      <c r="AF30" s="30">
        <f>'FS Jimbaran July 2022'!AH40</f>
        <v>0</v>
      </c>
      <c r="AG30" s="30">
        <f>'FS Jimbaran July 2022'!AM40</f>
        <v>0</v>
      </c>
      <c r="AH30" s="30">
        <f>'FS Jimbaran July 2022'!AR40</f>
        <v>0</v>
      </c>
      <c r="AI30" s="30">
        <f>'FS Jimbaran July 2022'!AQ40</f>
        <v>0</v>
      </c>
      <c r="AJ30" s="30">
        <f>'FS Jimbaran July 2022'!AR40</f>
        <v>0</v>
      </c>
      <c r="AK30" s="30">
        <f>'FS Jimbaran July 2022'!AY40</f>
        <v>0</v>
      </c>
      <c r="AL30" s="30">
        <f>'FS Jimbaran July 2022'!AZ40</f>
        <v>0</v>
      </c>
      <c r="AM30" s="30">
        <f>'FS Jimbaran July 2022'!BB40</f>
        <v>0</v>
      </c>
      <c r="AN30" s="30">
        <f>'FS Jimbaran July 2022'!BB40</f>
        <v>0</v>
      </c>
      <c r="AO30" s="30">
        <f>'FS Jimbaran July 2022'!BK40</f>
        <v>0</v>
      </c>
      <c r="AP30" s="30">
        <f>'FS Jimbaran July 2022'!BL40</f>
        <v>0</v>
      </c>
      <c r="AQ30" s="30">
        <f>'FS Jimbaran July 2022'!BC40</f>
        <v>0</v>
      </c>
      <c r="AR30" s="30">
        <f>'FS Jimbaran July 2022'!BD40</f>
        <v>0</v>
      </c>
      <c r="AS30" s="30">
        <f>'FS Jimbaran July 2022'!BM40</f>
        <v>0</v>
      </c>
      <c r="AT30" s="30">
        <f>'FS Jimbaran July 2022'!BN40</f>
        <v>0</v>
      </c>
      <c r="AU30" s="30">
        <f>'FS Jimbaran July 2022'!BO40</f>
        <v>0</v>
      </c>
      <c r="AV30" s="30">
        <f>'FS Jimbaran July 2022'!BP40</f>
        <v>0</v>
      </c>
      <c r="AW30" s="30">
        <f>'FS Jimbaran July 2022'!E40</f>
        <v>3.7</v>
      </c>
      <c r="AX30" s="30">
        <f>'FS Jimbaran July 2022'!F40</f>
        <v>0</v>
      </c>
      <c r="AY30" s="30">
        <f>'FS Jimbaran July 2022'!O40</f>
        <v>0</v>
      </c>
      <c r="AZ30" s="30">
        <f>'FS Jimbaran July 2022'!P40</f>
        <v>0</v>
      </c>
      <c r="BA30" s="30">
        <f>'FS Jimbaran July 2022'!W40</f>
        <v>0</v>
      </c>
      <c r="BB30" s="30">
        <f>'FS Jimbaran July 2022'!X40</f>
        <v>0</v>
      </c>
      <c r="BC30" s="30">
        <f>'FS Jimbaran July 2022'!AI40</f>
        <v>414</v>
      </c>
      <c r="BD30" s="30">
        <f>'FS Jimbaran July 2022'!AJ40</f>
        <v>0</v>
      </c>
      <c r="BE30" s="30">
        <f>'FS Jimbaran July 2022'!AK40</f>
        <v>4.0999999999999996</v>
      </c>
      <c r="BF30" s="30">
        <f>'FS Jimbaran July 2022'!AL40</f>
        <v>0</v>
      </c>
      <c r="BG30" s="30">
        <f>'FS Jimbaran July 2022'!AM40</f>
        <v>0</v>
      </c>
      <c r="BH30" s="30">
        <f>'FS Jimbaran July 2022'!AN40</f>
        <v>0</v>
      </c>
      <c r="BI30" s="30">
        <f>'FS Jimbaran July 2022'!AO40</f>
        <v>0</v>
      </c>
      <c r="BJ30" s="30">
        <f>'FS Jimbaran July 2022'!AO40</f>
        <v>0</v>
      </c>
      <c r="BK30" s="30">
        <f>'FS Jimbaran July 2022'!AQ40</f>
        <v>0</v>
      </c>
      <c r="BL30" s="30">
        <f>'FS Jimbaran July 2022'!AR40</f>
        <v>0</v>
      </c>
      <c r="BM30" s="30">
        <v>0</v>
      </c>
      <c r="BN30" s="30">
        <v>0</v>
      </c>
      <c r="BO30" s="33">
        <f>'FS Jimbaran July 2022'!Q40</f>
        <v>2.8</v>
      </c>
      <c r="BP30" s="30">
        <f>'FS Jimbaran July 2022'!R40</f>
        <v>0</v>
      </c>
    </row>
    <row r="31" spans="1:68" x14ac:dyDescent="0.25">
      <c r="A31" s="16" t="s">
        <v>67</v>
      </c>
      <c r="B31" s="17">
        <f t="shared" si="0"/>
        <v>30</v>
      </c>
      <c r="C31" s="18">
        <v>7</v>
      </c>
      <c r="D31" s="32">
        <v>2022</v>
      </c>
      <c r="E31" s="30">
        <f>'FS Jimbaran July 2022'!K41</f>
        <v>25</v>
      </c>
      <c r="F31" s="30">
        <f>'FS Jimbaran July 2022'!N41</f>
        <v>0</v>
      </c>
      <c r="G31" s="30">
        <f>'FS Jimbaran July 2022'!G41</f>
        <v>0</v>
      </c>
      <c r="H31" s="30">
        <f>'FS Jimbaran July 2022'!H41</f>
        <v>0</v>
      </c>
      <c r="I31" s="30">
        <f>'FS Jimbaran July 2022'!I41</f>
        <v>0</v>
      </c>
      <c r="J31" s="30">
        <f>'FS Jimbaran July 2022'!J41</f>
        <v>0</v>
      </c>
      <c r="K31" s="30">
        <f>'FS Jimbaran July 2022'!K41</f>
        <v>25</v>
      </c>
      <c r="L31" s="30">
        <f>'FS Jimbaran July 2022'!L41</f>
        <v>0</v>
      </c>
      <c r="M31" s="30">
        <f>'FS Jimbaran July 2022'!S41</f>
        <v>0</v>
      </c>
      <c r="N31" s="30">
        <f>'FS Jimbaran July 2022'!T41</f>
        <v>0</v>
      </c>
      <c r="O31" s="30">
        <f>'FS Jimbaran July 2022'!U41</f>
        <v>0</v>
      </c>
      <c r="P31" s="30">
        <f>'FS Jimbaran July 2022'!V41</f>
        <v>0</v>
      </c>
      <c r="Q31" s="30">
        <f>'FS Jimbaran July 2022'!BE41</f>
        <v>0</v>
      </c>
      <c r="R31" s="30">
        <f>'FS Jimbaran July 2022'!BF41</f>
        <v>0</v>
      </c>
      <c r="S31" s="30">
        <f>'FS Jimbaran July 2022'!BH41</f>
        <v>0</v>
      </c>
      <c r="T31" s="30">
        <f>'FS Jimbaran July 2022'!BH41</f>
        <v>0</v>
      </c>
      <c r="U31" s="30">
        <f>'FS Jimbaran July 2022'!BI41</f>
        <v>0</v>
      </c>
      <c r="V31" s="30">
        <f>'FS Jimbaran July 2022'!BJ41</f>
        <v>0</v>
      </c>
      <c r="W31" s="30">
        <f>'FS Jimbaran July 2022'!Y41</f>
        <v>245</v>
      </c>
      <c r="X31" s="30">
        <f>'FS Jimbaran July 2022'!Z41</f>
        <v>0</v>
      </c>
      <c r="Y31" s="30">
        <f>'FS Jimbaran July 2022'!AA41</f>
        <v>0</v>
      </c>
      <c r="Z31" s="30">
        <f>'FS Jimbaran July 2022'!AB41</f>
        <v>0</v>
      </c>
      <c r="AA31" s="30">
        <f>'FS Jimbaran July 2022'!AC41</f>
        <v>0</v>
      </c>
      <c r="AB31" s="30">
        <f>'FS Jimbaran July 2022'!AD41</f>
        <v>0</v>
      </c>
      <c r="AC31" s="30">
        <f>'FS Jimbaran July 2022'!AE41</f>
        <v>0</v>
      </c>
      <c r="AD31" s="30">
        <f>'FS Jimbaran July 2022'!AF41</f>
        <v>0</v>
      </c>
      <c r="AE31" s="30">
        <f>'FS Jimbaran July 2022'!AG41</f>
        <v>0</v>
      </c>
      <c r="AF31" s="30">
        <f>'FS Jimbaran July 2022'!AH41</f>
        <v>0</v>
      </c>
      <c r="AG31" s="30">
        <f>'FS Jimbaran July 2022'!AM41</f>
        <v>0</v>
      </c>
      <c r="AH31" s="30">
        <f>'FS Jimbaran July 2022'!AR41</f>
        <v>0</v>
      </c>
      <c r="AI31" s="30">
        <f>'FS Jimbaran July 2022'!AQ41</f>
        <v>0</v>
      </c>
      <c r="AJ31" s="30">
        <f>'FS Jimbaran July 2022'!AR41</f>
        <v>0</v>
      </c>
      <c r="AK31" s="30">
        <f>'FS Jimbaran July 2022'!AY41</f>
        <v>0</v>
      </c>
      <c r="AL31" s="30">
        <f>'FS Jimbaran July 2022'!AZ41</f>
        <v>0</v>
      </c>
      <c r="AM31" s="30">
        <f>'FS Jimbaran July 2022'!BB41</f>
        <v>0</v>
      </c>
      <c r="AN31" s="30">
        <f>'FS Jimbaran July 2022'!BB41</f>
        <v>0</v>
      </c>
      <c r="AO31" s="30">
        <f>'FS Jimbaran July 2022'!BK41</f>
        <v>0</v>
      </c>
      <c r="AP31" s="30">
        <f>'FS Jimbaran July 2022'!BL41</f>
        <v>0</v>
      </c>
      <c r="AQ31" s="30">
        <f>'FS Jimbaran July 2022'!BC41</f>
        <v>0</v>
      </c>
      <c r="AR31" s="30">
        <f>'FS Jimbaran July 2022'!BD41</f>
        <v>0</v>
      </c>
      <c r="AS31" s="30">
        <f>'FS Jimbaran July 2022'!BM41</f>
        <v>0</v>
      </c>
      <c r="AT31" s="30">
        <f>'FS Jimbaran July 2022'!BN41</f>
        <v>0</v>
      </c>
      <c r="AU31" s="30">
        <f>'FS Jimbaran July 2022'!BO41</f>
        <v>0</v>
      </c>
      <c r="AV31" s="30">
        <f>'FS Jimbaran July 2022'!BP41</f>
        <v>0</v>
      </c>
      <c r="AW31" s="30">
        <f>'FS Jimbaran July 2022'!E41</f>
        <v>4</v>
      </c>
      <c r="AX31" s="30">
        <f>'FS Jimbaran July 2022'!F41</f>
        <v>0</v>
      </c>
      <c r="AY31" s="30">
        <f>'FS Jimbaran July 2022'!O41</f>
        <v>0</v>
      </c>
      <c r="AZ31" s="30">
        <f>'FS Jimbaran July 2022'!P41</f>
        <v>0</v>
      </c>
      <c r="BA31" s="30">
        <f>'FS Jimbaran July 2022'!W41</f>
        <v>0</v>
      </c>
      <c r="BB31" s="30">
        <f>'FS Jimbaran July 2022'!X41</f>
        <v>0</v>
      </c>
      <c r="BC31" s="30">
        <f>'FS Jimbaran July 2022'!AI41</f>
        <v>425.5</v>
      </c>
      <c r="BD31" s="30">
        <f>'FS Jimbaran July 2022'!AJ41</f>
        <v>0</v>
      </c>
      <c r="BE31" s="30">
        <f>'FS Jimbaran July 2022'!AK41</f>
        <v>0</v>
      </c>
      <c r="BF31" s="30">
        <f>'FS Jimbaran July 2022'!AL41</f>
        <v>0</v>
      </c>
      <c r="BG31" s="30">
        <f>'FS Jimbaran July 2022'!AM41</f>
        <v>0</v>
      </c>
      <c r="BH31" s="30">
        <f>'FS Jimbaran July 2022'!AN41</f>
        <v>0</v>
      </c>
      <c r="BI31" s="30">
        <f>'FS Jimbaran July 2022'!AO41</f>
        <v>0</v>
      </c>
      <c r="BJ31" s="30">
        <f>'FS Jimbaran July 2022'!AO41</f>
        <v>0</v>
      </c>
      <c r="BK31" s="30">
        <f>'FS Jimbaran July 2022'!AQ41</f>
        <v>0</v>
      </c>
      <c r="BL31" s="30">
        <f>'FS Jimbaran July 2022'!AR41</f>
        <v>0</v>
      </c>
      <c r="BM31" s="30">
        <v>0</v>
      </c>
      <c r="BN31" s="30">
        <v>0</v>
      </c>
      <c r="BO31" s="33">
        <f>'FS Jimbaran July 2022'!Q41</f>
        <v>2.6</v>
      </c>
      <c r="BP31" s="30">
        <f>'FS Jimbaran July 2022'!R41</f>
        <v>0</v>
      </c>
    </row>
    <row r="32" spans="1:68" x14ac:dyDescent="0.25">
      <c r="A32" s="16" t="s">
        <v>67</v>
      </c>
      <c r="B32" s="17">
        <f t="shared" si="0"/>
        <v>31</v>
      </c>
      <c r="C32" s="18">
        <v>7</v>
      </c>
      <c r="D32" s="32">
        <v>2022</v>
      </c>
      <c r="E32" s="30">
        <f>'FS Jimbaran July 2022'!K42</f>
        <v>30</v>
      </c>
      <c r="F32" s="30">
        <f>'FS Jimbaran July 2022'!N42</f>
        <v>0</v>
      </c>
      <c r="G32" s="30">
        <f>'FS Jimbaran July 2022'!G42</f>
        <v>2.4</v>
      </c>
      <c r="H32" s="30">
        <f>'FS Jimbaran July 2022'!H42</f>
        <v>0</v>
      </c>
      <c r="I32" s="30">
        <f>'FS Jimbaran July 2022'!I42</f>
        <v>3.7</v>
      </c>
      <c r="J32" s="30">
        <f>'FS Jimbaran July 2022'!J42</f>
        <v>0</v>
      </c>
      <c r="K32" s="30">
        <f>'FS Jimbaran July 2022'!K42</f>
        <v>30</v>
      </c>
      <c r="L32" s="30">
        <f>'FS Jimbaran July 2022'!L42</f>
        <v>0</v>
      </c>
      <c r="M32" s="30">
        <f>'FS Jimbaran July 2022'!S42</f>
        <v>1</v>
      </c>
      <c r="N32" s="30">
        <f>'FS Jimbaran July 2022'!T42</f>
        <v>0</v>
      </c>
      <c r="O32" s="30">
        <f>'FS Jimbaran July 2022'!U42</f>
        <v>2.7</v>
      </c>
      <c r="P32" s="30">
        <f>'FS Jimbaran July 2022'!V42</f>
        <v>0</v>
      </c>
      <c r="Q32" s="30">
        <f>'FS Jimbaran July 2022'!BE42</f>
        <v>0</v>
      </c>
      <c r="R32" s="30">
        <f>'FS Jimbaran July 2022'!BF42</f>
        <v>0</v>
      </c>
      <c r="S32" s="30">
        <f>'FS Jimbaran July 2022'!BH42</f>
        <v>0</v>
      </c>
      <c r="T32" s="30">
        <f>'FS Jimbaran July 2022'!BH42</f>
        <v>0</v>
      </c>
      <c r="U32" s="30">
        <f>'FS Jimbaran July 2022'!BI42</f>
        <v>0</v>
      </c>
      <c r="V32" s="30">
        <f>'FS Jimbaran July 2022'!BJ42</f>
        <v>0</v>
      </c>
      <c r="W32" s="30">
        <f>'FS Jimbaran July 2022'!Y42</f>
        <v>240</v>
      </c>
      <c r="X32" s="30">
        <f>'FS Jimbaran July 2022'!Z42</f>
        <v>0</v>
      </c>
      <c r="Y32" s="30">
        <f>'FS Jimbaran July 2022'!AA42</f>
        <v>6.6</v>
      </c>
      <c r="Z32" s="30">
        <f>'FS Jimbaran July 2022'!AB42</f>
        <v>0</v>
      </c>
      <c r="AA32" s="30">
        <f>'FS Jimbaran July 2022'!AC42</f>
        <v>2.2999999999999998</v>
      </c>
      <c r="AB32" s="30">
        <f>'FS Jimbaran July 2022'!AD42</f>
        <v>0</v>
      </c>
      <c r="AC32" s="30">
        <f>'FS Jimbaran July 2022'!AE42</f>
        <v>0</v>
      </c>
      <c r="AD32" s="30">
        <f>'FS Jimbaran July 2022'!AF42</f>
        <v>0</v>
      </c>
      <c r="AE32" s="30">
        <f>'FS Jimbaran July 2022'!AG42</f>
        <v>0</v>
      </c>
      <c r="AF32" s="30">
        <f>'FS Jimbaran July 2022'!AH42</f>
        <v>0</v>
      </c>
      <c r="AG32" s="30">
        <f>'FS Jimbaran July 2022'!AM42</f>
        <v>0</v>
      </c>
      <c r="AH32" s="30">
        <f>'FS Jimbaran July 2022'!AR42</f>
        <v>0</v>
      </c>
      <c r="AI32" s="30">
        <f>'FS Jimbaran July 2022'!AQ42</f>
        <v>0</v>
      </c>
      <c r="AJ32" s="30">
        <f>'FS Jimbaran July 2022'!AR42</f>
        <v>0</v>
      </c>
      <c r="AK32" s="30">
        <f>'FS Jimbaran July 2022'!AY42</f>
        <v>0</v>
      </c>
      <c r="AL32" s="30">
        <f>'FS Jimbaran July 2022'!AZ42</f>
        <v>0</v>
      </c>
      <c r="AM32" s="30">
        <f>'FS Jimbaran July 2022'!BB42</f>
        <v>0</v>
      </c>
      <c r="AN32" s="30">
        <f>'FS Jimbaran July 2022'!BB42</f>
        <v>0</v>
      </c>
      <c r="AO32" s="30">
        <f>'FS Jimbaran July 2022'!BK42</f>
        <v>0</v>
      </c>
      <c r="AP32" s="30">
        <f>'FS Jimbaran July 2022'!BL42</f>
        <v>0</v>
      </c>
      <c r="AQ32" s="30">
        <f>'FS Jimbaran July 2022'!BC42</f>
        <v>0</v>
      </c>
      <c r="AR32" s="30">
        <f>'FS Jimbaran July 2022'!BD42</f>
        <v>0</v>
      </c>
      <c r="AS32" s="30">
        <f>'FS Jimbaran July 2022'!BM42</f>
        <v>0</v>
      </c>
      <c r="AT32" s="30">
        <f>'FS Jimbaran July 2022'!BN42</f>
        <v>0</v>
      </c>
      <c r="AU32" s="30">
        <f>'FS Jimbaran July 2022'!BO42</f>
        <v>0</v>
      </c>
      <c r="AV32" s="30">
        <f>'FS Jimbaran July 2022'!BP42</f>
        <v>0</v>
      </c>
      <c r="AW32" s="30">
        <f>'FS Jimbaran July 2022'!E42</f>
        <v>4.0999999999999996</v>
      </c>
      <c r="AX32" s="30">
        <f>'FS Jimbaran July 2022'!F42</f>
        <v>0</v>
      </c>
      <c r="AY32" s="30">
        <f>'FS Jimbaran July 2022'!O42</f>
        <v>0</v>
      </c>
      <c r="AZ32" s="30">
        <f>'FS Jimbaran July 2022'!P42</f>
        <v>0</v>
      </c>
      <c r="BA32" s="30">
        <f>'FS Jimbaran July 2022'!W42</f>
        <v>0</v>
      </c>
      <c r="BB32" s="30">
        <f>'FS Jimbaran July 2022'!X42</f>
        <v>0</v>
      </c>
      <c r="BC32" s="30">
        <f>'FS Jimbaran July 2022'!AI42</f>
        <v>471.5</v>
      </c>
      <c r="BD32" s="30">
        <f>'FS Jimbaran July 2022'!AJ42</f>
        <v>0</v>
      </c>
      <c r="BE32" s="30">
        <f>'FS Jimbaran July 2022'!AK42</f>
        <v>6.6</v>
      </c>
      <c r="BF32" s="30">
        <f>'FS Jimbaran July 2022'!AL42</f>
        <v>0</v>
      </c>
      <c r="BG32" s="30">
        <f>'FS Jimbaran July 2022'!AM42</f>
        <v>0</v>
      </c>
      <c r="BH32" s="30">
        <f>'FS Jimbaran July 2022'!AN42</f>
        <v>0</v>
      </c>
      <c r="BI32" s="30">
        <f>'FS Jimbaran July 2022'!AO42</f>
        <v>0</v>
      </c>
      <c r="BJ32" s="30">
        <f>'FS Jimbaran July 2022'!AO42</f>
        <v>0</v>
      </c>
      <c r="BK32" s="30">
        <f>'FS Jimbaran July 2022'!AQ42</f>
        <v>0</v>
      </c>
      <c r="BL32" s="30">
        <f>'FS Jimbaran July 2022'!AR42</f>
        <v>0</v>
      </c>
      <c r="BM32" s="30">
        <v>0</v>
      </c>
      <c r="BN32" s="30">
        <v>0</v>
      </c>
      <c r="BO32" s="33">
        <f>'FS Jimbaran July 2022'!Q42</f>
        <v>3.1</v>
      </c>
      <c r="BP32" s="30">
        <f>'FS Jimbaran July 2022'!R42</f>
        <v>0</v>
      </c>
    </row>
    <row r="33" spans="5:68" x14ac:dyDescent="0.25">
      <c r="E33" s="22">
        <f>SUM(E2:E32)</f>
        <v>664</v>
      </c>
      <c r="F33" s="22">
        <f t="shared" ref="F33:BP33" si="1">SUM(F2:F32)</f>
        <v>0</v>
      </c>
      <c r="G33" s="22">
        <f t="shared" si="1"/>
        <v>29.900000000000002</v>
      </c>
      <c r="H33" s="22">
        <f t="shared" si="1"/>
        <v>0</v>
      </c>
      <c r="I33" s="22">
        <f t="shared" si="1"/>
        <v>142.69999999999996</v>
      </c>
      <c r="J33" s="22">
        <f t="shared" si="1"/>
        <v>0</v>
      </c>
      <c r="K33" s="22">
        <f t="shared" si="1"/>
        <v>664</v>
      </c>
      <c r="L33" s="22">
        <f t="shared" si="1"/>
        <v>0</v>
      </c>
      <c r="M33" s="22">
        <f t="shared" si="1"/>
        <v>16</v>
      </c>
      <c r="N33" s="22">
        <f t="shared" si="1"/>
        <v>0</v>
      </c>
      <c r="O33" s="22">
        <f t="shared" si="1"/>
        <v>102.3</v>
      </c>
      <c r="P33" s="22">
        <f t="shared" si="1"/>
        <v>0</v>
      </c>
      <c r="Q33" s="22">
        <f t="shared" si="1"/>
        <v>0</v>
      </c>
      <c r="R33" s="22">
        <f t="shared" si="1"/>
        <v>0</v>
      </c>
      <c r="S33" s="22">
        <f t="shared" si="1"/>
        <v>0</v>
      </c>
      <c r="T33" s="22">
        <f t="shared" si="1"/>
        <v>0</v>
      </c>
      <c r="U33" s="22">
        <f t="shared" si="1"/>
        <v>0</v>
      </c>
      <c r="V33" s="22">
        <f t="shared" si="1"/>
        <v>0</v>
      </c>
      <c r="W33" s="22">
        <f t="shared" si="1"/>
        <v>6960</v>
      </c>
      <c r="X33" s="22">
        <f t="shared" si="1"/>
        <v>11555278</v>
      </c>
      <c r="Y33" s="22">
        <f t="shared" si="1"/>
        <v>76.2</v>
      </c>
      <c r="Z33" s="22">
        <f t="shared" si="1"/>
        <v>0</v>
      </c>
      <c r="AA33" s="22">
        <f t="shared" si="1"/>
        <v>31.900000000000002</v>
      </c>
      <c r="AB33" s="22">
        <f t="shared" si="1"/>
        <v>0</v>
      </c>
      <c r="AC33" s="22">
        <f t="shared" si="1"/>
        <v>0</v>
      </c>
      <c r="AD33" s="22">
        <f t="shared" si="1"/>
        <v>0</v>
      </c>
      <c r="AE33" s="22">
        <f t="shared" si="1"/>
        <v>0</v>
      </c>
      <c r="AF33" s="22">
        <f t="shared" si="1"/>
        <v>0</v>
      </c>
      <c r="AG33" s="22">
        <f t="shared" si="1"/>
        <v>0</v>
      </c>
      <c r="AH33" s="22">
        <f t="shared" si="1"/>
        <v>0</v>
      </c>
      <c r="AI33" s="22">
        <f t="shared" si="1"/>
        <v>0</v>
      </c>
      <c r="AJ33" s="22">
        <f t="shared" si="1"/>
        <v>0</v>
      </c>
      <c r="AK33" s="22">
        <f t="shared" si="1"/>
        <v>0</v>
      </c>
      <c r="AL33" s="22">
        <f t="shared" si="1"/>
        <v>0</v>
      </c>
      <c r="AM33" s="22">
        <f t="shared" si="1"/>
        <v>0</v>
      </c>
      <c r="AN33" s="22">
        <f t="shared" si="1"/>
        <v>0</v>
      </c>
      <c r="AO33" s="22">
        <f t="shared" si="1"/>
        <v>0</v>
      </c>
      <c r="AP33" s="22">
        <f t="shared" si="1"/>
        <v>0</v>
      </c>
      <c r="AQ33" s="22">
        <f t="shared" si="1"/>
        <v>0</v>
      </c>
      <c r="AR33" s="22">
        <f t="shared" si="1"/>
        <v>0</v>
      </c>
      <c r="AS33" s="22">
        <f t="shared" si="1"/>
        <v>0</v>
      </c>
      <c r="AT33" s="22">
        <f t="shared" si="1"/>
        <v>0</v>
      </c>
      <c r="AU33" s="22">
        <f t="shared" si="1"/>
        <v>0</v>
      </c>
      <c r="AV33" s="22">
        <f t="shared" si="1"/>
        <v>0</v>
      </c>
      <c r="AW33" s="22">
        <f t="shared" si="1"/>
        <v>137.19999999999999</v>
      </c>
      <c r="AX33" s="22">
        <f t="shared" si="1"/>
        <v>0</v>
      </c>
      <c r="AY33" s="22">
        <f t="shared" si="1"/>
        <v>0</v>
      </c>
      <c r="AZ33" s="22">
        <f t="shared" si="1"/>
        <v>0</v>
      </c>
      <c r="BA33" s="22">
        <f t="shared" si="1"/>
        <v>0</v>
      </c>
      <c r="BB33" s="22">
        <f t="shared" si="1"/>
        <v>0</v>
      </c>
      <c r="BC33" s="22">
        <f t="shared" si="1"/>
        <v>11523</v>
      </c>
      <c r="BD33" s="22">
        <f t="shared" si="1"/>
        <v>0</v>
      </c>
      <c r="BE33" s="22">
        <f t="shared" si="1"/>
        <v>76.2</v>
      </c>
      <c r="BF33" s="22">
        <f t="shared" si="1"/>
        <v>0</v>
      </c>
      <c r="BG33" s="22">
        <f t="shared" si="1"/>
        <v>0</v>
      </c>
      <c r="BH33" s="22">
        <f t="shared" si="1"/>
        <v>0</v>
      </c>
      <c r="BI33" s="22">
        <f t="shared" si="1"/>
        <v>0</v>
      </c>
      <c r="BJ33" s="22">
        <f t="shared" si="1"/>
        <v>0</v>
      </c>
      <c r="BK33" s="22">
        <f t="shared" si="1"/>
        <v>0</v>
      </c>
      <c r="BL33" s="22">
        <f t="shared" si="1"/>
        <v>0</v>
      </c>
      <c r="BM33" s="22">
        <f t="shared" si="1"/>
        <v>6.65</v>
      </c>
      <c r="BN33" s="22">
        <f t="shared" si="1"/>
        <v>437500</v>
      </c>
      <c r="BO33" s="22">
        <f t="shared" si="1"/>
        <v>95.299999999999969</v>
      </c>
      <c r="BP33" s="22">
        <f t="shared" si="1"/>
        <v>0</v>
      </c>
    </row>
    <row r="34" spans="5:68" x14ac:dyDescent="0.25"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</row>
    <row r="35" spans="5:68" x14ac:dyDescent="0.25"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</row>
    <row r="36" spans="5:68" x14ac:dyDescent="0.25"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</row>
    <row r="37" spans="5:68" x14ac:dyDescent="0.25"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</row>
    <row r="38" spans="5:68" x14ac:dyDescent="0.25"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</row>
    <row r="39" spans="5:68" x14ac:dyDescent="0.25"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</row>
    <row r="40" spans="5:68" x14ac:dyDescent="0.25"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</row>
    <row r="41" spans="5:68" x14ac:dyDescent="0.25"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</row>
    <row r="42" spans="5:68" x14ac:dyDescent="0.25"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</row>
    <row r="43" spans="5:68" x14ac:dyDescent="0.25"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</row>
    <row r="44" spans="5:68" x14ac:dyDescent="0.25"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</row>
    <row r="45" spans="5:68" x14ac:dyDescent="0.25"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</row>
    <row r="46" spans="5:68" x14ac:dyDescent="0.25"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</row>
    <row r="47" spans="5:68" x14ac:dyDescent="0.25"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</row>
    <row r="48" spans="5:68" x14ac:dyDescent="0.25"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</row>
    <row r="49" spans="5:68" x14ac:dyDescent="0.25"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</row>
    <row r="50" spans="5:68" x14ac:dyDescent="0.25"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6"/>
  <sheetViews>
    <sheetView zoomScale="85" zoomScaleNormal="85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E45" sqref="E45:I45"/>
    </sheetView>
  </sheetViews>
  <sheetFormatPr defaultRowHeight="15" x14ac:dyDescent="0.25"/>
  <cols>
    <col min="1" max="1" width="3.7109375" style="3" customWidth="1"/>
    <col min="2" max="2" width="8.7109375" style="3" customWidth="1"/>
    <col min="3" max="3" width="7.28515625" style="1" customWidth="1"/>
    <col min="4" max="4" width="7.28515625" customWidth="1"/>
    <col min="5" max="5" width="9.5703125" style="34" customWidth="1"/>
    <col min="6" max="6" width="9.42578125" style="34" customWidth="1"/>
    <col min="7" max="7" width="10" style="34" customWidth="1"/>
    <col min="8" max="68" width="14.28515625" style="34" customWidth="1"/>
  </cols>
  <sheetData>
    <row r="6" spans="1:68" s="6" customFormat="1" ht="19.5" thickBot="1" x14ac:dyDescent="0.35">
      <c r="B6" s="6" t="s">
        <v>69</v>
      </c>
      <c r="C6" s="1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</row>
    <row r="7" spans="1:68" s="4" customFormat="1" ht="16.5" thickBot="1" x14ac:dyDescent="0.3">
      <c r="A7" s="8"/>
      <c r="B7" s="76" t="s">
        <v>70</v>
      </c>
      <c r="C7" s="77"/>
      <c r="D7" s="77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</row>
    <row r="8" spans="1:68" s="7" customFormat="1" ht="15.75" customHeight="1" x14ac:dyDescent="0.25">
      <c r="A8" s="24"/>
      <c r="B8" s="78" t="s">
        <v>71</v>
      </c>
      <c r="C8" s="81" t="s">
        <v>72</v>
      </c>
      <c r="D8" s="84" t="s">
        <v>73</v>
      </c>
      <c r="E8" s="74" t="s">
        <v>74</v>
      </c>
      <c r="F8" s="75"/>
      <c r="G8" s="75"/>
      <c r="H8" s="75"/>
      <c r="I8" s="75"/>
      <c r="J8" s="75"/>
      <c r="K8" s="90" t="s">
        <v>75</v>
      </c>
      <c r="L8" s="90"/>
      <c r="M8" s="91" t="s">
        <v>76</v>
      </c>
      <c r="N8" s="91"/>
      <c r="O8" s="91"/>
      <c r="P8" s="91"/>
      <c r="Q8" s="91"/>
      <c r="R8" s="91"/>
      <c r="S8" s="91"/>
      <c r="T8" s="91"/>
      <c r="U8" s="86" t="s">
        <v>77</v>
      </c>
      <c r="V8" s="86"/>
      <c r="W8" s="86"/>
      <c r="X8" s="86"/>
      <c r="Y8" s="87" t="s">
        <v>78</v>
      </c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8" t="s">
        <v>79</v>
      </c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9" t="s">
        <v>80</v>
      </c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</row>
    <row r="9" spans="1:68" s="25" customFormat="1" ht="15" customHeight="1" x14ac:dyDescent="0.25">
      <c r="A9" s="7"/>
      <c r="B9" s="79"/>
      <c r="C9" s="82"/>
      <c r="D9" s="85"/>
      <c r="E9" s="74"/>
      <c r="F9" s="75"/>
      <c r="G9" s="75"/>
      <c r="H9" s="75"/>
      <c r="I9" s="75"/>
      <c r="J9" s="75"/>
      <c r="K9" s="90"/>
      <c r="L9" s="90"/>
      <c r="M9" s="91"/>
      <c r="N9" s="91"/>
      <c r="O9" s="91"/>
      <c r="P9" s="91"/>
      <c r="Q9" s="91"/>
      <c r="R9" s="91"/>
      <c r="S9" s="91"/>
      <c r="T9" s="91"/>
      <c r="U9" s="86"/>
      <c r="V9" s="86"/>
      <c r="W9" s="86"/>
      <c r="X9" s="86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</row>
    <row r="10" spans="1:68" s="25" customFormat="1" ht="61.5" customHeight="1" thickBot="1" x14ac:dyDescent="0.3">
      <c r="A10" s="7"/>
      <c r="B10" s="80"/>
      <c r="C10" s="83"/>
      <c r="D10" s="85"/>
      <c r="E10" s="29" t="s">
        <v>47</v>
      </c>
      <c r="F10" s="29" t="s">
        <v>48</v>
      </c>
      <c r="G10" s="29" t="s">
        <v>5</v>
      </c>
      <c r="H10" s="29" t="s">
        <v>6</v>
      </c>
      <c r="I10" s="29" t="s">
        <v>7</v>
      </c>
      <c r="J10" s="29" t="s">
        <v>8</v>
      </c>
      <c r="K10" s="29" t="s">
        <v>9</v>
      </c>
      <c r="L10" s="29" t="s">
        <v>10</v>
      </c>
      <c r="M10" s="30" t="s">
        <v>3</v>
      </c>
      <c r="N10" s="30" t="s">
        <v>4</v>
      </c>
      <c r="O10" s="30" t="s">
        <v>49</v>
      </c>
      <c r="P10" s="30" t="s">
        <v>50</v>
      </c>
      <c r="Q10" s="30" t="s">
        <v>65</v>
      </c>
      <c r="R10" s="30" t="s">
        <v>66</v>
      </c>
      <c r="S10" s="30" t="s">
        <v>11</v>
      </c>
      <c r="T10" s="30" t="s">
        <v>12</v>
      </c>
      <c r="U10" s="30" t="s">
        <v>51</v>
      </c>
      <c r="V10" s="30" t="s">
        <v>52</v>
      </c>
      <c r="W10" s="30" t="s">
        <v>13</v>
      </c>
      <c r="X10" s="30" t="s">
        <v>14</v>
      </c>
      <c r="Y10" s="30" t="s">
        <v>21</v>
      </c>
      <c r="Z10" s="30" t="s">
        <v>22</v>
      </c>
      <c r="AA10" s="30" t="s">
        <v>23</v>
      </c>
      <c r="AB10" s="30" t="s">
        <v>24</v>
      </c>
      <c r="AC10" s="30" t="s">
        <v>25</v>
      </c>
      <c r="AD10" s="30" t="s">
        <v>26</v>
      </c>
      <c r="AE10" s="30" t="s">
        <v>27</v>
      </c>
      <c r="AF10" s="30" t="s">
        <v>28</v>
      </c>
      <c r="AG10" s="30" t="s">
        <v>29</v>
      </c>
      <c r="AH10" s="30" t="s">
        <v>30</v>
      </c>
      <c r="AI10" s="30" t="s">
        <v>53</v>
      </c>
      <c r="AJ10" s="30" t="s">
        <v>54</v>
      </c>
      <c r="AK10" s="30" t="s">
        <v>55</v>
      </c>
      <c r="AL10" s="30" t="s">
        <v>56</v>
      </c>
      <c r="AM10" s="30" t="s">
        <v>57</v>
      </c>
      <c r="AN10" s="30" t="s">
        <v>58</v>
      </c>
      <c r="AO10" s="30" t="s">
        <v>59</v>
      </c>
      <c r="AP10" s="30" t="s">
        <v>60</v>
      </c>
      <c r="AQ10" s="30" t="s">
        <v>61</v>
      </c>
      <c r="AR10" s="30" t="s">
        <v>62</v>
      </c>
      <c r="AS10" s="30" t="s">
        <v>63</v>
      </c>
      <c r="AT10" s="30" t="s">
        <v>64</v>
      </c>
      <c r="AU10" s="30" t="s">
        <v>31</v>
      </c>
      <c r="AV10" s="30" t="s">
        <v>32</v>
      </c>
      <c r="AW10" s="30" t="s">
        <v>33</v>
      </c>
      <c r="AX10" s="30" t="s">
        <v>34</v>
      </c>
      <c r="AY10" s="30" t="s">
        <v>35</v>
      </c>
      <c r="AZ10" s="30" t="s">
        <v>36</v>
      </c>
      <c r="BA10" s="30" t="s">
        <v>37</v>
      </c>
      <c r="BB10" s="30" t="s">
        <v>38</v>
      </c>
      <c r="BC10" s="30" t="s">
        <v>41</v>
      </c>
      <c r="BD10" s="30" t="s">
        <v>42</v>
      </c>
      <c r="BE10" s="30" t="s">
        <v>15</v>
      </c>
      <c r="BF10" s="30" t="s">
        <v>16</v>
      </c>
      <c r="BG10" s="30" t="s">
        <v>17</v>
      </c>
      <c r="BH10" s="30" t="s">
        <v>18</v>
      </c>
      <c r="BI10" s="30" t="s">
        <v>19</v>
      </c>
      <c r="BJ10" s="30" t="s">
        <v>20</v>
      </c>
      <c r="BK10" s="30" t="s">
        <v>39</v>
      </c>
      <c r="BL10" s="30" t="s">
        <v>40</v>
      </c>
      <c r="BM10" s="30" t="s">
        <v>43</v>
      </c>
      <c r="BN10" s="30" t="s">
        <v>44</v>
      </c>
      <c r="BO10" s="30" t="s">
        <v>45</v>
      </c>
      <c r="BP10" s="30" t="s">
        <v>46</v>
      </c>
    </row>
    <row r="11" spans="1:68" x14ac:dyDescent="0.25">
      <c r="A11" s="7"/>
      <c r="B11" s="11"/>
      <c r="C11" s="12"/>
      <c r="D11" s="23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</row>
    <row r="12" spans="1:68" x14ac:dyDescent="0.25">
      <c r="A12" s="9"/>
      <c r="B12" s="63">
        <v>1</v>
      </c>
      <c r="C12" s="64">
        <v>49</v>
      </c>
      <c r="D12" s="65">
        <v>583</v>
      </c>
      <c r="E12" s="42">
        <v>5.3</v>
      </c>
      <c r="F12" s="42">
        <v>0</v>
      </c>
      <c r="G12" s="42">
        <v>5</v>
      </c>
      <c r="H12" s="42">
        <v>0</v>
      </c>
      <c r="I12" s="42">
        <v>10.3</v>
      </c>
      <c r="J12" s="42">
        <v>0</v>
      </c>
      <c r="K12" s="37">
        <v>25</v>
      </c>
      <c r="L12" s="44">
        <v>0</v>
      </c>
      <c r="M12" s="42">
        <v>0</v>
      </c>
      <c r="N12" s="42">
        <v>0</v>
      </c>
      <c r="O12" s="42">
        <v>0</v>
      </c>
      <c r="P12" s="42">
        <v>0</v>
      </c>
      <c r="Q12" s="38">
        <v>10</v>
      </c>
      <c r="R12" s="42">
        <v>0</v>
      </c>
      <c r="S12" s="39">
        <v>1</v>
      </c>
      <c r="T12" s="42">
        <v>0</v>
      </c>
      <c r="U12" s="38">
        <v>2.2999999999999998</v>
      </c>
      <c r="V12" s="42">
        <v>0</v>
      </c>
      <c r="W12" s="42">
        <v>0</v>
      </c>
      <c r="X12" s="42">
        <v>0</v>
      </c>
      <c r="Y12" s="39">
        <v>247</v>
      </c>
      <c r="Z12" s="42">
        <v>11555278</v>
      </c>
      <c r="AA12" s="38">
        <v>4.2</v>
      </c>
      <c r="AB12" s="42">
        <v>0</v>
      </c>
      <c r="AC12" s="38">
        <v>1.5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3">
        <v>402.5</v>
      </c>
      <c r="AJ12" s="42">
        <v>0</v>
      </c>
      <c r="AK12" s="38">
        <v>4.2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6.65</v>
      </c>
      <c r="AT12" s="42">
        <v>437500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42">
        <v>0</v>
      </c>
      <c r="BB12" s="42">
        <v>0</v>
      </c>
      <c r="BC12" s="42">
        <v>0</v>
      </c>
      <c r="BD12" s="42">
        <v>0</v>
      </c>
      <c r="BE12" s="42">
        <v>0</v>
      </c>
      <c r="BF12" s="42">
        <v>0</v>
      </c>
      <c r="BG12" s="42">
        <v>0</v>
      </c>
      <c r="BH12" s="42">
        <v>0</v>
      </c>
      <c r="BI12" s="42">
        <v>0</v>
      </c>
      <c r="BJ12" s="42">
        <v>0</v>
      </c>
      <c r="BK12" s="42">
        <v>0</v>
      </c>
      <c r="BL12" s="42">
        <v>0</v>
      </c>
      <c r="BM12" s="42">
        <v>0</v>
      </c>
      <c r="BN12" s="42">
        <v>0</v>
      </c>
      <c r="BO12" s="42">
        <v>0</v>
      </c>
      <c r="BP12" s="42">
        <v>0</v>
      </c>
    </row>
    <row r="13" spans="1:68" x14ac:dyDescent="0.25">
      <c r="A13" s="9"/>
      <c r="B13" s="63">
        <v>2</v>
      </c>
      <c r="C13" s="66">
        <v>53</v>
      </c>
      <c r="D13" s="67">
        <v>563</v>
      </c>
      <c r="E13" s="42">
        <v>8</v>
      </c>
      <c r="F13" s="42">
        <v>0</v>
      </c>
      <c r="G13" s="42">
        <v>0</v>
      </c>
      <c r="H13" s="42">
        <v>0</v>
      </c>
      <c r="I13" s="42">
        <v>2</v>
      </c>
      <c r="J13" s="42">
        <v>0</v>
      </c>
      <c r="K13" s="37">
        <v>26</v>
      </c>
      <c r="L13" s="44">
        <v>0</v>
      </c>
      <c r="M13" s="42">
        <v>0</v>
      </c>
      <c r="N13" s="42">
        <v>0</v>
      </c>
      <c r="O13" s="42">
        <v>0</v>
      </c>
      <c r="P13" s="42">
        <v>0</v>
      </c>
      <c r="Q13" s="39">
        <v>15</v>
      </c>
      <c r="R13" s="42">
        <v>0</v>
      </c>
      <c r="S13" s="39">
        <v>0</v>
      </c>
      <c r="T13" s="42">
        <v>0</v>
      </c>
      <c r="U13" s="39">
        <v>2.5</v>
      </c>
      <c r="V13" s="42">
        <v>0</v>
      </c>
      <c r="W13" s="42">
        <v>0</v>
      </c>
      <c r="X13" s="42">
        <v>0</v>
      </c>
      <c r="Y13" s="39">
        <v>247</v>
      </c>
      <c r="Z13" s="42">
        <v>0</v>
      </c>
      <c r="AA13" s="38">
        <v>0</v>
      </c>
      <c r="AB13" s="42">
        <v>0</v>
      </c>
      <c r="AC13" s="38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3">
        <v>414</v>
      </c>
      <c r="AJ13" s="42">
        <v>0</v>
      </c>
      <c r="AK13" s="38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0</v>
      </c>
      <c r="BG13" s="42">
        <v>0</v>
      </c>
      <c r="BH13" s="42">
        <v>0</v>
      </c>
      <c r="BI13" s="42">
        <v>0</v>
      </c>
      <c r="BJ13" s="42">
        <v>0</v>
      </c>
      <c r="BK13" s="42">
        <v>0</v>
      </c>
      <c r="BL13" s="42">
        <v>0</v>
      </c>
      <c r="BM13" s="42">
        <v>0</v>
      </c>
      <c r="BN13" s="42">
        <v>0</v>
      </c>
      <c r="BO13" s="42">
        <v>0</v>
      </c>
      <c r="BP13" s="42">
        <v>0</v>
      </c>
    </row>
    <row r="14" spans="1:68" x14ac:dyDescent="0.25">
      <c r="A14" s="9"/>
      <c r="B14" s="63">
        <v>3</v>
      </c>
      <c r="C14" s="66">
        <v>59</v>
      </c>
      <c r="D14" s="67">
        <v>593</v>
      </c>
      <c r="E14" s="42">
        <v>4.0999999999999996</v>
      </c>
      <c r="F14" s="42">
        <v>0</v>
      </c>
      <c r="G14" s="42">
        <v>6</v>
      </c>
      <c r="H14" s="42">
        <v>0</v>
      </c>
      <c r="I14" s="42">
        <v>5.2</v>
      </c>
      <c r="J14" s="42">
        <v>0</v>
      </c>
      <c r="K14" s="37">
        <v>30</v>
      </c>
      <c r="L14" s="44">
        <v>0</v>
      </c>
      <c r="M14" s="42">
        <v>0</v>
      </c>
      <c r="N14" s="42">
        <v>0</v>
      </c>
      <c r="O14" s="42">
        <v>0</v>
      </c>
      <c r="P14" s="42">
        <v>0</v>
      </c>
      <c r="Q14" s="39">
        <v>16</v>
      </c>
      <c r="R14" s="42">
        <v>0</v>
      </c>
      <c r="S14" s="39">
        <v>2</v>
      </c>
      <c r="T14" s="42">
        <v>0</v>
      </c>
      <c r="U14" s="39">
        <v>1.6</v>
      </c>
      <c r="V14" s="42">
        <v>0</v>
      </c>
      <c r="W14" s="42">
        <v>0</v>
      </c>
      <c r="X14" s="42">
        <v>0</v>
      </c>
      <c r="Y14" s="39">
        <v>155</v>
      </c>
      <c r="Z14" s="42">
        <v>0</v>
      </c>
      <c r="AA14" s="38">
        <v>5.2</v>
      </c>
      <c r="AB14" s="42">
        <v>0</v>
      </c>
      <c r="AC14" s="38">
        <v>2.2999999999999998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3">
        <v>276</v>
      </c>
      <c r="AJ14" s="42">
        <v>0</v>
      </c>
      <c r="AK14" s="38">
        <v>5.2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42">
        <v>0</v>
      </c>
      <c r="BB14" s="42">
        <v>0</v>
      </c>
      <c r="BC14" s="42">
        <v>0</v>
      </c>
      <c r="BD14" s="42">
        <v>0</v>
      </c>
      <c r="BE14" s="42">
        <v>0</v>
      </c>
      <c r="BF14" s="42">
        <v>0</v>
      </c>
      <c r="BG14" s="42">
        <v>0</v>
      </c>
      <c r="BH14" s="42">
        <v>0</v>
      </c>
      <c r="BI14" s="42">
        <v>0</v>
      </c>
      <c r="BJ14" s="42">
        <v>0</v>
      </c>
      <c r="BK14" s="42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</row>
    <row r="15" spans="1:68" x14ac:dyDescent="0.25">
      <c r="A15" s="9"/>
      <c r="B15" s="63">
        <v>4</v>
      </c>
      <c r="C15" s="66">
        <v>67</v>
      </c>
      <c r="D15" s="67">
        <v>619</v>
      </c>
      <c r="E15" s="42">
        <v>10</v>
      </c>
      <c r="F15" s="42">
        <v>0</v>
      </c>
      <c r="G15" s="42">
        <v>0</v>
      </c>
      <c r="H15" s="42">
        <v>0</v>
      </c>
      <c r="I15" s="42">
        <v>2.2999999999999998</v>
      </c>
      <c r="J15" s="42">
        <v>0</v>
      </c>
      <c r="K15" s="37">
        <v>30</v>
      </c>
      <c r="L15" s="44">
        <v>0</v>
      </c>
      <c r="M15" s="42">
        <v>0</v>
      </c>
      <c r="N15" s="42">
        <v>0</v>
      </c>
      <c r="O15" s="42">
        <v>0</v>
      </c>
      <c r="P15" s="42">
        <v>0</v>
      </c>
      <c r="Q15" s="38">
        <v>7</v>
      </c>
      <c r="R15" s="42">
        <v>0</v>
      </c>
      <c r="S15" s="39">
        <v>0</v>
      </c>
      <c r="T15" s="42">
        <v>0</v>
      </c>
      <c r="U15" s="38">
        <v>2.5</v>
      </c>
      <c r="V15" s="42">
        <v>0</v>
      </c>
      <c r="W15" s="42">
        <v>0</v>
      </c>
      <c r="X15" s="42">
        <v>0</v>
      </c>
      <c r="Y15" s="39">
        <v>160</v>
      </c>
      <c r="Z15" s="42">
        <v>0</v>
      </c>
      <c r="AA15" s="38">
        <v>0</v>
      </c>
      <c r="AB15" s="42">
        <v>0</v>
      </c>
      <c r="AC15" s="38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3">
        <v>379.5</v>
      </c>
      <c r="AJ15" s="42">
        <v>0</v>
      </c>
      <c r="AK15" s="38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42">
        <v>0</v>
      </c>
      <c r="BB15" s="42">
        <v>0</v>
      </c>
      <c r="BC15" s="42">
        <v>0</v>
      </c>
      <c r="BD15" s="42">
        <v>0</v>
      </c>
      <c r="BE15" s="42">
        <v>0</v>
      </c>
      <c r="BF15" s="42">
        <v>0</v>
      </c>
      <c r="BG15" s="42">
        <v>0</v>
      </c>
      <c r="BH15" s="42">
        <v>0</v>
      </c>
      <c r="BI15" s="42">
        <v>0</v>
      </c>
      <c r="BJ15" s="42">
        <v>0</v>
      </c>
      <c r="BK15" s="42">
        <v>0</v>
      </c>
      <c r="BL15" s="42">
        <v>0</v>
      </c>
      <c r="BM15" s="42">
        <v>0</v>
      </c>
      <c r="BN15" s="42">
        <v>0</v>
      </c>
      <c r="BO15" s="42">
        <v>0</v>
      </c>
      <c r="BP15" s="42">
        <v>0</v>
      </c>
    </row>
    <row r="16" spans="1:68" x14ac:dyDescent="0.25">
      <c r="A16" s="9"/>
      <c r="B16" s="63">
        <v>5</v>
      </c>
      <c r="C16" s="66">
        <v>74</v>
      </c>
      <c r="D16" s="67">
        <v>681</v>
      </c>
      <c r="E16" s="42">
        <v>7.2</v>
      </c>
      <c r="F16" s="42">
        <v>0</v>
      </c>
      <c r="G16" s="42">
        <v>1.3</v>
      </c>
      <c r="H16" s="42">
        <v>0</v>
      </c>
      <c r="I16" s="42">
        <v>6.3</v>
      </c>
      <c r="J16" s="42">
        <v>0</v>
      </c>
      <c r="K16" s="37">
        <v>28</v>
      </c>
      <c r="L16" s="44">
        <v>0</v>
      </c>
      <c r="M16" s="42">
        <v>0</v>
      </c>
      <c r="N16" s="42">
        <v>0</v>
      </c>
      <c r="O16" s="42">
        <v>0</v>
      </c>
      <c r="P16" s="42">
        <v>0</v>
      </c>
      <c r="Q16" s="39">
        <v>1.5</v>
      </c>
      <c r="R16" s="42">
        <v>0</v>
      </c>
      <c r="S16" s="39">
        <v>1</v>
      </c>
      <c r="T16" s="42">
        <v>0</v>
      </c>
      <c r="U16" s="38">
        <v>2.4</v>
      </c>
      <c r="V16" s="42">
        <v>0</v>
      </c>
      <c r="W16" s="42">
        <v>0</v>
      </c>
      <c r="X16" s="42">
        <v>0</v>
      </c>
      <c r="Y16" s="39">
        <v>237</v>
      </c>
      <c r="Z16" s="42">
        <v>0</v>
      </c>
      <c r="AA16" s="38">
        <v>4.0999999999999996</v>
      </c>
      <c r="AB16" s="42">
        <v>0</v>
      </c>
      <c r="AC16" s="38">
        <v>1.6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3">
        <v>471.5</v>
      </c>
      <c r="AJ16" s="42">
        <v>0</v>
      </c>
      <c r="AK16" s="38">
        <v>4.0999999999999996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42">
        <v>0</v>
      </c>
      <c r="BB16" s="42">
        <v>0</v>
      </c>
      <c r="BC16" s="42">
        <v>0</v>
      </c>
      <c r="BD16" s="42">
        <v>0</v>
      </c>
      <c r="BE16" s="42">
        <v>0</v>
      </c>
      <c r="BF16" s="42">
        <v>0</v>
      </c>
      <c r="BG16" s="42">
        <v>0</v>
      </c>
      <c r="BH16" s="42">
        <v>0</v>
      </c>
      <c r="BI16" s="42">
        <v>0</v>
      </c>
      <c r="BJ16" s="42">
        <v>0</v>
      </c>
      <c r="BK16" s="42">
        <v>0</v>
      </c>
      <c r="BL16" s="42">
        <v>0</v>
      </c>
      <c r="BM16" s="42">
        <v>0</v>
      </c>
      <c r="BN16" s="42">
        <v>0</v>
      </c>
      <c r="BO16" s="42">
        <v>0</v>
      </c>
      <c r="BP16" s="42">
        <v>0</v>
      </c>
    </row>
    <row r="17" spans="1:68" x14ac:dyDescent="0.25">
      <c r="A17" s="9"/>
      <c r="B17" s="63">
        <v>6</v>
      </c>
      <c r="C17" s="66">
        <v>77</v>
      </c>
      <c r="D17" s="67">
        <v>609</v>
      </c>
      <c r="E17" s="42">
        <v>8</v>
      </c>
      <c r="F17" s="42">
        <v>0</v>
      </c>
      <c r="G17" s="42">
        <v>0</v>
      </c>
      <c r="H17" s="42">
        <v>0</v>
      </c>
      <c r="I17" s="42">
        <v>8</v>
      </c>
      <c r="J17" s="42">
        <v>0</v>
      </c>
      <c r="K17" s="37">
        <v>25</v>
      </c>
      <c r="L17" s="44">
        <v>0</v>
      </c>
      <c r="M17" s="42">
        <v>0</v>
      </c>
      <c r="N17" s="42">
        <v>0</v>
      </c>
      <c r="O17" s="42">
        <v>0</v>
      </c>
      <c r="P17" s="42">
        <v>0</v>
      </c>
      <c r="Q17" s="39">
        <v>2.2999999999999998</v>
      </c>
      <c r="R17" s="42">
        <v>0</v>
      </c>
      <c r="S17" s="38">
        <v>0</v>
      </c>
      <c r="T17" s="42">
        <v>0</v>
      </c>
      <c r="U17" s="39">
        <v>2.6</v>
      </c>
      <c r="V17" s="42">
        <v>0</v>
      </c>
      <c r="W17" s="42">
        <v>0</v>
      </c>
      <c r="X17" s="42">
        <v>0</v>
      </c>
      <c r="Y17" s="39">
        <v>239</v>
      </c>
      <c r="Z17" s="42">
        <v>0</v>
      </c>
      <c r="AA17" s="39">
        <v>0</v>
      </c>
      <c r="AB17" s="42">
        <v>0</v>
      </c>
      <c r="AC17" s="38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3">
        <v>264.5</v>
      </c>
      <c r="AJ17" s="42">
        <v>0</v>
      </c>
      <c r="AK17" s="39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42">
        <v>0</v>
      </c>
      <c r="BB17" s="42">
        <v>0</v>
      </c>
      <c r="BC17" s="42">
        <v>0</v>
      </c>
      <c r="BD17" s="42">
        <v>0</v>
      </c>
      <c r="BE17" s="42">
        <v>0</v>
      </c>
      <c r="BF17" s="42">
        <v>0</v>
      </c>
      <c r="BG17" s="42">
        <v>0</v>
      </c>
      <c r="BH17" s="42">
        <v>0</v>
      </c>
      <c r="BI17" s="42">
        <v>0</v>
      </c>
      <c r="BJ17" s="42">
        <v>0</v>
      </c>
      <c r="BK17" s="42">
        <v>0</v>
      </c>
      <c r="BL17" s="42">
        <v>0</v>
      </c>
      <c r="BM17" s="42">
        <v>0</v>
      </c>
      <c r="BN17" s="42">
        <v>0</v>
      </c>
      <c r="BO17" s="42">
        <v>0</v>
      </c>
      <c r="BP17" s="42">
        <v>0</v>
      </c>
    </row>
    <row r="18" spans="1:68" x14ac:dyDescent="0.25">
      <c r="A18" s="9"/>
      <c r="B18" s="63">
        <v>7</v>
      </c>
      <c r="C18" s="66">
        <v>72</v>
      </c>
      <c r="D18" s="67">
        <v>616</v>
      </c>
      <c r="E18" s="42">
        <v>5.0999999999999996</v>
      </c>
      <c r="F18" s="42">
        <v>0</v>
      </c>
      <c r="G18" s="42">
        <v>1.5</v>
      </c>
      <c r="H18" s="42">
        <v>0</v>
      </c>
      <c r="I18" s="42">
        <v>8.4</v>
      </c>
      <c r="J18" s="42">
        <v>0</v>
      </c>
      <c r="K18" s="37">
        <v>24</v>
      </c>
      <c r="L18" s="44">
        <v>0</v>
      </c>
      <c r="M18" s="42">
        <v>0</v>
      </c>
      <c r="N18" s="42">
        <v>0</v>
      </c>
      <c r="O18" s="42">
        <v>0</v>
      </c>
      <c r="P18" s="42">
        <v>0</v>
      </c>
      <c r="Q18" s="39">
        <v>1</v>
      </c>
      <c r="R18" s="42">
        <v>0</v>
      </c>
      <c r="S18" s="38">
        <v>1</v>
      </c>
      <c r="T18" s="42">
        <v>0</v>
      </c>
      <c r="U18" s="39">
        <v>1.7</v>
      </c>
      <c r="V18" s="42">
        <v>0</v>
      </c>
      <c r="W18" s="42">
        <v>0</v>
      </c>
      <c r="X18" s="42">
        <v>0</v>
      </c>
      <c r="Y18" s="39">
        <v>275</v>
      </c>
      <c r="Z18" s="42">
        <v>0</v>
      </c>
      <c r="AA18" s="39">
        <v>6.1</v>
      </c>
      <c r="AB18" s="42">
        <v>0</v>
      </c>
      <c r="AC18" s="38">
        <v>1.3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3">
        <v>356.5</v>
      </c>
      <c r="AJ18" s="42">
        <v>0</v>
      </c>
      <c r="AK18" s="39">
        <v>6.1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0</v>
      </c>
      <c r="BA18" s="42">
        <v>0</v>
      </c>
      <c r="BB18" s="42">
        <v>0</v>
      </c>
      <c r="BC18" s="42">
        <v>0</v>
      </c>
      <c r="BD18" s="42">
        <v>0</v>
      </c>
      <c r="BE18" s="42">
        <v>0</v>
      </c>
      <c r="BF18" s="42">
        <v>0</v>
      </c>
      <c r="BG18" s="42">
        <v>0</v>
      </c>
      <c r="BH18" s="42">
        <v>0</v>
      </c>
      <c r="BI18" s="42">
        <v>0</v>
      </c>
      <c r="BJ18" s="42">
        <v>0</v>
      </c>
      <c r="BK18" s="42">
        <v>0</v>
      </c>
      <c r="BL18" s="42">
        <v>0</v>
      </c>
      <c r="BM18" s="42">
        <v>0</v>
      </c>
      <c r="BN18" s="42">
        <v>0</v>
      </c>
      <c r="BO18" s="42">
        <v>0</v>
      </c>
      <c r="BP18" s="42">
        <v>0</v>
      </c>
    </row>
    <row r="19" spans="1:68" x14ac:dyDescent="0.25">
      <c r="A19" s="9"/>
      <c r="B19" s="63">
        <v>8</v>
      </c>
      <c r="C19" s="66">
        <v>92</v>
      </c>
      <c r="D19" s="67">
        <v>648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37">
        <v>0</v>
      </c>
      <c r="L19" s="44">
        <v>0</v>
      </c>
      <c r="M19" s="42">
        <v>0</v>
      </c>
      <c r="N19" s="42">
        <v>0</v>
      </c>
      <c r="O19" s="42">
        <v>0</v>
      </c>
      <c r="P19" s="42">
        <v>0</v>
      </c>
      <c r="Q19" s="39">
        <v>0</v>
      </c>
      <c r="R19" s="42">
        <v>0</v>
      </c>
      <c r="S19" s="38">
        <v>0</v>
      </c>
      <c r="T19" s="42">
        <v>0</v>
      </c>
      <c r="U19" s="39">
        <v>1.8</v>
      </c>
      <c r="V19" s="42">
        <v>0</v>
      </c>
      <c r="W19" s="42">
        <v>0</v>
      </c>
      <c r="X19" s="42">
        <v>0</v>
      </c>
      <c r="Y19" s="39">
        <v>200</v>
      </c>
      <c r="Z19" s="42">
        <v>0</v>
      </c>
      <c r="AA19" s="39">
        <v>0</v>
      </c>
      <c r="AB19" s="42">
        <v>0</v>
      </c>
      <c r="AC19" s="38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3">
        <v>483</v>
      </c>
      <c r="AJ19" s="42">
        <v>0</v>
      </c>
      <c r="AK19" s="39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42">
        <v>0</v>
      </c>
      <c r="BB19" s="42">
        <v>0</v>
      </c>
      <c r="BC19" s="42">
        <v>0</v>
      </c>
      <c r="BD19" s="42">
        <v>0</v>
      </c>
      <c r="BE19" s="42">
        <v>0</v>
      </c>
      <c r="BF19" s="42">
        <v>0</v>
      </c>
      <c r="BG19" s="42">
        <v>0</v>
      </c>
      <c r="BH19" s="42">
        <v>0</v>
      </c>
      <c r="BI19" s="42">
        <v>0</v>
      </c>
      <c r="BJ19" s="42">
        <v>0</v>
      </c>
      <c r="BK19" s="42">
        <v>0</v>
      </c>
      <c r="BL19" s="42">
        <v>0</v>
      </c>
      <c r="BM19" s="42">
        <v>0</v>
      </c>
      <c r="BN19" s="42">
        <v>0</v>
      </c>
      <c r="BO19" s="42">
        <v>0</v>
      </c>
      <c r="BP19" s="42">
        <v>0</v>
      </c>
    </row>
    <row r="20" spans="1:68" x14ac:dyDescent="0.25">
      <c r="A20" s="9"/>
      <c r="B20" s="63">
        <v>9</v>
      </c>
      <c r="C20" s="66">
        <v>92</v>
      </c>
      <c r="D20" s="67">
        <v>727</v>
      </c>
      <c r="E20" s="42">
        <v>5.4</v>
      </c>
      <c r="F20" s="42">
        <v>0</v>
      </c>
      <c r="G20" s="42">
        <v>7.5</v>
      </c>
      <c r="H20" s="42">
        <v>0</v>
      </c>
      <c r="I20" s="42">
        <v>10.1</v>
      </c>
      <c r="J20" s="42">
        <v>0</v>
      </c>
      <c r="K20" s="37">
        <v>25</v>
      </c>
      <c r="L20" s="44">
        <v>0</v>
      </c>
      <c r="M20" s="42">
        <v>0</v>
      </c>
      <c r="N20" s="42">
        <v>0</v>
      </c>
      <c r="O20" s="42">
        <v>0</v>
      </c>
      <c r="P20" s="42">
        <v>0</v>
      </c>
      <c r="Q20" s="39">
        <v>0</v>
      </c>
      <c r="R20" s="42">
        <v>0</v>
      </c>
      <c r="S20" s="38">
        <v>2</v>
      </c>
      <c r="T20" s="42">
        <v>0</v>
      </c>
      <c r="U20" s="39">
        <v>6.2</v>
      </c>
      <c r="V20" s="42">
        <v>0</v>
      </c>
      <c r="W20" s="42">
        <v>0</v>
      </c>
      <c r="X20" s="42">
        <v>0</v>
      </c>
      <c r="Y20" s="39">
        <v>262</v>
      </c>
      <c r="Z20" s="42">
        <v>0</v>
      </c>
      <c r="AA20" s="39">
        <v>4.2</v>
      </c>
      <c r="AB20" s="42">
        <v>0</v>
      </c>
      <c r="AC20" s="38">
        <v>2.5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3">
        <v>437</v>
      </c>
      <c r="AJ20" s="42">
        <v>0</v>
      </c>
      <c r="AK20" s="39">
        <v>4.2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</row>
    <row r="21" spans="1:68" x14ac:dyDescent="0.25">
      <c r="A21" s="9"/>
      <c r="B21" s="63">
        <v>10</v>
      </c>
      <c r="C21" s="66">
        <v>69</v>
      </c>
      <c r="D21" s="67">
        <v>670</v>
      </c>
      <c r="E21" s="42">
        <v>0</v>
      </c>
      <c r="F21" s="42">
        <v>0</v>
      </c>
      <c r="G21" s="42">
        <v>0</v>
      </c>
      <c r="H21" s="42">
        <v>0</v>
      </c>
      <c r="I21" s="42">
        <v>15</v>
      </c>
      <c r="J21" s="42">
        <v>0</v>
      </c>
      <c r="K21" s="37">
        <v>0</v>
      </c>
      <c r="L21" s="44">
        <v>0</v>
      </c>
      <c r="M21" s="42">
        <v>0</v>
      </c>
      <c r="N21" s="42">
        <v>0</v>
      </c>
      <c r="O21" s="42">
        <v>0</v>
      </c>
      <c r="P21" s="42">
        <v>0</v>
      </c>
      <c r="Q21" s="39">
        <v>5.6</v>
      </c>
      <c r="R21" s="42">
        <v>0</v>
      </c>
      <c r="S21" s="38">
        <v>0</v>
      </c>
      <c r="T21" s="42">
        <v>0</v>
      </c>
      <c r="U21" s="39">
        <v>8</v>
      </c>
      <c r="V21" s="42">
        <v>0</v>
      </c>
      <c r="W21" s="42">
        <v>0</v>
      </c>
      <c r="X21" s="42">
        <v>0</v>
      </c>
      <c r="Y21" s="39">
        <v>200</v>
      </c>
      <c r="Z21" s="42">
        <v>0</v>
      </c>
      <c r="AA21" s="39">
        <v>0</v>
      </c>
      <c r="AB21" s="42">
        <v>0</v>
      </c>
      <c r="AC21" s="38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3">
        <v>402.5</v>
      </c>
      <c r="AJ21" s="42">
        <v>0</v>
      </c>
      <c r="AK21" s="39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0</v>
      </c>
      <c r="BA21" s="42">
        <v>0</v>
      </c>
      <c r="BB21" s="42">
        <v>0</v>
      </c>
      <c r="BC21" s="42">
        <v>0</v>
      </c>
      <c r="BD21" s="42">
        <v>0</v>
      </c>
      <c r="BE21" s="42">
        <v>0</v>
      </c>
      <c r="BF21" s="42">
        <v>0</v>
      </c>
      <c r="BG21" s="42">
        <v>0</v>
      </c>
      <c r="BH21" s="42">
        <v>0</v>
      </c>
      <c r="BI21" s="42">
        <v>0</v>
      </c>
      <c r="BJ21" s="42">
        <v>0</v>
      </c>
      <c r="BK21" s="42">
        <v>0</v>
      </c>
      <c r="BL21" s="42">
        <v>0</v>
      </c>
      <c r="BM21" s="42">
        <v>0</v>
      </c>
      <c r="BN21" s="42">
        <v>0</v>
      </c>
      <c r="BO21" s="42">
        <v>0</v>
      </c>
      <c r="BP21" s="42">
        <v>0</v>
      </c>
    </row>
    <row r="22" spans="1:68" x14ac:dyDescent="0.25">
      <c r="A22" s="9"/>
      <c r="B22" s="63">
        <v>11</v>
      </c>
      <c r="C22" s="66">
        <v>62</v>
      </c>
      <c r="D22" s="67">
        <v>616</v>
      </c>
      <c r="E22" s="42">
        <v>2.2000000000000002</v>
      </c>
      <c r="F22" s="42">
        <v>0</v>
      </c>
      <c r="G22" s="42">
        <v>2.2999999999999998</v>
      </c>
      <c r="H22" s="42">
        <v>0</v>
      </c>
      <c r="I22" s="42">
        <v>15.2</v>
      </c>
      <c r="J22" s="42">
        <v>0</v>
      </c>
      <c r="K22" s="37">
        <v>15</v>
      </c>
      <c r="L22" s="44">
        <v>0</v>
      </c>
      <c r="M22" s="42">
        <v>0</v>
      </c>
      <c r="N22" s="42">
        <v>0</v>
      </c>
      <c r="O22" s="42">
        <v>0</v>
      </c>
      <c r="P22" s="42">
        <v>0</v>
      </c>
      <c r="Q22" s="39">
        <v>3.6</v>
      </c>
      <c r="R22" s="42">
        <v>0</v>
      </c>
      <c r="S22" s="38">
        <v>1</v>
      </c>
      <c r="T22" s="42">
        <v>0</v>
      </c>
      <c r="U22" s="39">
        <v>5.6</v>
      </c>
      <c r="V22" s="42">
        <v>0</v>
      </c>
      <c r="W22" s="42">
        <v>0</v>
      </c>
      <c r="X22" s="42">
        <v>0</v>
      </c>
      <c r="Y22" s="39">
        <v>254</v>
      </c>
      <c r="Z22" s="42">
        <v>0</v>
      </c>
      <c r="AA22" s="39">
        <v>3.1</v>
      </c>
      <c r="AB22" s="42">
        <v>0</v>
      </c>
      <c r="AC22" s="38">
        <v>1.5</v>
      </c>
      <c r="AD22" s="42">
        <v>0</v>
      </c>
      <c r="AE22" s="42">
        <v>0</v>
      </c>
      <c r="AF22" s="42">
        <v>0</v>
      </c>
      <c r="AG22" s="42">
        <v>0</v>
      </c>
      <c r="AH22" s="42">
        <v>0</v>
      </c>
      <c r="AI22" s="43">
        <v>276</v>
      </c>
      <c r="AJ22" s="42">
        <v>0</v>
      </c>
      <c r="AK22" s="39">
        <v>3.1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2">
        <v>0</v>
      </c>
      <c r="BF22" s="42">
        <v>0</v>
      </c>
      <c r="BG22" s="42">
        <v>0</v>
      </c>
      <c r="BH22" s="42">
        <v>0</v>
      </c>
      <c r="BI22" s="42">
        <v>0</v>
      </c>
      <c r="BJ22" s="42">
        <v>0</v>
      </c>
      <c r="BK22" s="42">
        <v>0</v>
      </c>
      <c r="BL22" s="42">
        <v>0</v>
      </c>
      <c r="BM22" s="42">
        <v>0</v>
      </c>
      <c r="BN22" s="42">
        <v>0</v>
      </c>
      <c r="BO22" s="42">
        <v>0</v>
      </c>
      <c r="BP22" s="42">
        <v>0</v>
      </c>
    </row>
    <row r="23" spans="1:68" x14ac:dyDescent="0.25">
      <c r="A23" s="9"/>
      <c r="B23" s="63">
        <v>12</v>
      </c>
      <c r="C23" s="66">
        <v>62</v>
      </c>
      <c r="D23" s="67">
        <v>585</v>
      </c>
      <c r="E23" s="42">
        <v>0</v>
      </c>
      <c r="F23" s="42">
        <v>0</v>
      </c>
      <c r="G23" s="42">
        <v>0</v>
      </c>
      <c r="H23" s="42">
        <v>0</v>
      </c>
      <c r="I23" s="42">
        <v>0</v>
      </c>
      <c r="J23" s="42">
        <v>0</v>
      </c>
      <c r="K23" s="37">
        <v>12</v>
      </c>
      <c r="L23" s="44">
        <v>0</v>
      </c>
      <c r="M23" s="42">
        <v>0</v>
      </c>
      <c r="N23" s="42">
        <v>0</v>
      </c>
      <c r="O23" s="42">
        <v>0</v>
      </c>
      <c r="P23" s="42">
        <v>0</v>
      </c>
      <c r="Q23" s="39">
        <v>0</v>
      </c>
      <c r="R23" s="42">
        <v>0</v>
      </c>
      <c r="S23" s="38">
        <v>0</v>
      </c>
      <c r="T23" s="42">
        <v>0</v>
      </c>
      <c r="U23" s="38">
        <v>6</v>
      </c>
      <c r="V23" s="42">
        <v>0</v>
      </c>
      <c r="W23" s="42">
        <v>0</v>
      </c>
      <c r="X23" s="42">
        <v>0</v>
      </c>
      <c r="Y23" s="39">
        <v>205</v>
      </c>
      <c r="Z23" s="42">
        <v>0</v>
      </c>
      <c r="AA23" s="38">
        <v>0</v>
      </c>
      <c r="AB23" s="42">
        <v>0</v>
      </c>
      <c r="AC23" s="38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3">
        <v>356.5</v>
      </c>
      <c r="AJ23" s="42">
        <v>0</v>
      </c>
      <c r="AK23" s="38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0</v>
      </c>
      <c r="BA23" s="42">
        <v>0</v>
      </c>
      <c r="BB23" s="42">
        <v>0</v>
      </c>
      <c r="BC23" s="42">
        <v>0</v>
      </c>
      <c r="BD23" s="42">
        <v>0</v>
      </c>
      <c r="BE23" s="42">
        <v>0</v>
      </c>
      <c r="BF23" s="42">
        <v>0</v>
      </c>
      <c r="BG23" s="42">
        <v>0</v>
      </c>
      <c r="BH23" s="42">
        <v>0</v>
      </c>
      <c r="BI23" s="42">
        <v>0</v>
      </c>
      <c r="BJ23" s="42">
        <v>0</v>
      </c>
      <c r="BK23" s="42">
        <v>0</v>
      </c>
      <c r="BL23" s="42">
        <v>0</v>
      </c>
      <c r="BM23" s="42">
        <v>0</v>
      </c>
      <c r="BN23" s="42">
        <v>0</v>
      </c>
      <c r="BO23" s="42">
        <v>0</v>
      </c>
      <c r="BP23" s="42">
        <v>0</v>
      </c>
    </row>
    <row r="24" spans="1:68" x14ac:dyDescent="0.25">
      <c r="A24" s="9"/>
      <c r="B24" s="63">
        <v>13</v>
      </c>
      <c r="C24" s="66">
        <v>51</v>
      </c>
      <c r="D24" s="67">
        <v>569</v>
      </c>
      <c r="E24" s="42">
        <v>2.5</v>
      </c>
      <c r="F24" s="42">
        <v>0</v>
      </c>
      <c r="G24" s="42">
        <v>0</v>
      </c>
      <c r="H24" s="42">
        <v>0</v>
      </c>
      <c r="I24" s="42">
        <v>4.0999999999999996</v>
      </c>
      <c r="J24" s="42">
        <v>0</v>
      </c>
      <c r="K24" s="37">
        <v>11</v>
      </c>
      <c r="L24" s="44">
        <v>0</v>
      </c>
      <c r="M24" s="42">
        <v>0</v>
      </c>
      <c r="N24" s="42">
        <v>0</v>
      </c>
      <c r="O24" s="42">
        <v>0</v>
      </c>
      <c r="P24" s="42">
        <v>0</v>
      </c>
      <c r="Q24" s="38">
        <v>0</v>
      </c>
      <c r="R24" s="42">
        <v>0</v>
      </c>
      <c r="S24" s="38">
        <v>1</v>
      </c>
      <c r="T24" s="42">
        <v>0</v>
      </c>
      <c r="U24" s="38">
        <v>6.2</v>
      </c>
      <c r="V24" s="42">
        <v>0</v>
      </c>
      <c r="W24" s="42">
        <v>0</v>
      </c>
      <c r="X24" s="42">
        <v>0</v>
      </c>
      <c r="Y24" s="39">
        <v>260</v>
      </c>
      <c r="Z24" s="42">
        <v>0</v>
      </c>
      <c r="AA24" s="38">
        <v>4.0999999999999996</v>
      </c>
      <c r="AB24" s="42">
        <v>0</v>
      </c>
      <c r="AC24" s="38">
        <v>1.6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3">
        <v>333.5</v>
      </c>
      <c r="AJ24" s="42">
        <v>0</v>
      </c>
      <c r="AK24" s="38">
        <v>4.0999999999999996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0</v>
      </c>
      <c r="BA24" s="42">
        <v>0</v>
      </c>
      <c r="BB24" s="42">
        <v>0</v>
      </c>
      <c r="BC24" s="42">
        <v>0</v>
      </c>
      <c r="BD24" s="42">
        <v>0</v>
      </c>
      <c r="BE24" s="42">
        <v>0</v>
      </c>
      <c r="BF24" s="42">
        <v>0</v>
      </c>
      <c r="BG24" s="42">
        <v>0</v>
      </c>
      <c r="BH24" s="42">
        <v>0</v>
      </c>
      <c r="BI24" s="42">
        <v>0</v>
      </c>
      <c r="BJ24" s="42">
        <v>0</v>
      </c>
      <c r="BK24" s="42">
        <v>0</v>
      </c>
      <c r="BL24" s="42">
        <v>0</v>
      </c>
      <c r="BM24" s="42">
        <v>0</v>
      </c>
      <c r="BN24" s="42">
        <v>0</v>
      </c>
      <c r="BO24" s="42">
        <v>0</v>
      </c>
      <c r="BP24" s="42">
        <v>0</v>
      </c>
    </row>
    <row r="25" spans="1:68" x14ac:dyDescent="0.25">
      <c r="A25" s="9"/>
      <c r="B25" s="63">
        <v>14</v>
      </c>
      <c r="C25" s="66">
        <v>71</v>
      </c>
      <c r="D25" s="67">
        <v>525</v>
      </c>
      <c r="E25" s="42">
        <v>0</v>
      </c>
      <c r="F25" s="42">
        <v>0</v>
      </c>
      <c r="G25" s="42">
        <v>0</v>
      </c>
      <c r="H25" s="42">
        <v>0</v>
      </c>
      <c r="I25" s="42">
        <v>2</v>
      </c>
      <c r="J25" s="42">
        <v>0</v>
      </c>
      <c r="K25" s="37">
        <v>8</v>
      </c>
      <c r="L25" s="44">
        <v>0</v>
      </c>
      <c r="M25" s="42">
        <v>0</v>
      </c>
      <c r="N25" s="42">
        <v>0</v>
      </c>
      <c r="O25" s="42">
        <v>0</v>
      </c>
      <c r="P25" s="42">
        <v>0</v>
      </c>
      <c r="Q25" s="39">
        <v>7.3</v>
      </c>
      <c r="R25" s="42">
        <v>0</v>
      </c>
      <c r="S25" s="38">
        <v>0</v>
      </c>
      <c r="T25" s="42">
        <v>0</v>
      </c>
      <c r="U25" s="38">
        <v>3</v>
      </c>
      <c r="V25" s="42">
        <v>0</v>
      </c>
      <c r="W25" s="42">
        <v>0</v>
      </c>
      <c r="X25" s="42">
        <v>0</v>
      </c>
      <c r="Y25" s="39">
        <v>260</v>
      </c>
      <c r="Z25" s="42">
        <v>0</v>
      </c>
      <c r="AA25" s="38">
        <v>0</v>
      </c>
      <c r="AB25" s="42">
        <v>0</v>
      </c>
      <c r="AC25" s="38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3">
        <v>414</v>
      </c>
      <c r="AJ25" s="42">
        <v>0</v>
      </c>
      <c r="AK25" s="38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2">
        <v>0</v>
      </c>
      <c r="BF25" s="42">
        <v>0</v>
      </c>
      <c r="BG25" s="42">
        <v>0</v>
      </c>
      <c r="BH25" s="42">
        <v>0</v>
      </c>
      <c r="BI25" s="42">
        <v>0</v>
      </c>
      <c r="BJ25" s="42">
        <v>0</v>
      </c>
      <c r="BK25" s="42">
        <v>0</v>
      </c>
      <c r="BL25" s="42">
        <v>0</v>
      </c>
      <c r="BM25" s="42">
        <v>0</v>
      </c>
      <c r="BN25" s="42">
        <v>0</v>
      </c>
      <c r="BO25" s="42">
        <v>0</v>
      </c>
      <c r="BP25" s="42">
        <v>0</v>
      </c>
    </row>
    <row r="26" spans="1:68" x14ac:dyDescent="0.25">
      <c r="A26" s="9"/>
      <c r="B26" s="63">
        <v>15</v>
      </c>
      <c r="C26" s="66">
        <v>73</v>
      </c>
      <c r="D26" s="67">
        <v>667</v>
      </c>
      <c r="E26" s="42">
        <v>3.1</v>
      </c>
      <c r="F26" s="42">
        <v>0</v>
      </c>
      <c r="G26" s="42">
        <v>0</v>
      </c>
      <c r="H26" s="42">
        <v>0</v>
      </c>
      <c r="I26" s="42">
        <v>6.5</v>
      </c>
      <c r="J26" s="42">
        <v>0</v>
      </c>
      <c r="K26" s="37">
        <v>32</v>
      </c>
      <c r="L26" s="44">
        <v>0</v>
      </c>
      <c r="M26" s="42">
        <v>0</v>
      </c>
      <c r="N26" s="42">
        <v>0</v>
      </c>
      <c r="O26" s="42">
        <v>0</v>
      </c>
      <c r="P26" s="42">
        <v>0</v>
      </c>
      <c r="Q26" s="38">
        <v>2.5</v>
      </c>
      <c r="R26" s="42">
        <v>0</v>
      </c>
      <c r="S26" s="39">
        <v>0</v>
      </c>
      <c r="T26" s="42">
        <v>0</v>
      </c>
      <c r="U26" s="38">
        <v>7.3</v>
      </c>
      <c r="V26" s="42">
        <v>0</v>
      </c>
      <c r="W26" s="42">
        <v>0</v>
      </c>
      <c r="X26" s="42">
        <v>0</v>
      </c>
      <c r="Y26" s="39">
        <v>252</v>
      </c>
      <c r="Z26" s="42">
        <v>0</v>
      </c>
      <c r="AA26" s="38">
        <v>5.2</v>
      </c>
      <c r="AB26" s="42">
        <v>0</v>
      </c>
      <c r="AC26" s="38">
        <v>2.6</v>
      </c>
      <c r="AD26" s="42">
        <v>0</v>
      </c>
      <c r="AE26" s="42">
        <v>0</v>
      </c>
      <c r="AF26" s="42">
        <v>0</v>
      </c>
      <c r="AG26" s="42">
        <v>0</v>
      </c>
      <c r="AH26" s="42">
        <v>0</v>
      </c>
      <c r="AI26" s="43">
        <v>253</v>
      </c>
      <c r="AJ26" s="42">
        <v>0</v>
      </c>
      <c r="AK26" s="38">
        <v>5.2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0</v>
      </c>
      <c r="BA26" s="42">
        <v>0</v>
      </c>
      <c r="BB26" s="42">
        <v>0</v>
      </c>
      <c r="BC26" s="42">
        <v>0</v>
      </c>
      <c r="BD26" s="42">
        <v>0</v>
      </c>
      <c r="BE26" s="42">
        <v>0</v>
      </c>
      <c r="BF26" s="42">
        <v>0</v>
      </c>
      <c r="BG26" s="42">
        <v>0</v>
      </c>
      <c r="BH26" s="42">
        <v>0</v>
      </c>
      <c r="BI26" s="42">
        <v>0</v>
      </c>
      <c r="BJ26" s="42">
        <v>0</v>
      </c>
      <c r="BK26" s="42">
        <v>0</v>
      </c>
      <c r="BL26" s="42">
        <v>0</v>
      </c>
      <c r="BM26" s="42">
        <v>0</v>
      </c>
      <c r="BN26" s="42">
        <v>0</v>
      </c>
      <c r="BO26" s="42">
        <v>0</v>
      </c>
      <c r="BP26" s="42">
        <v>0</v>
      </c>
    </row>
    <row r="27" spans="1:68" x14ac:dyDescent="0.25">
      <c r="A27" s="9"/>
      <c r="B27" s="63">
        <v>16</v>
      </c>
      <c r="C27" s="66">
        <v>64</v>
      </c>
      <c r="D27" s="67">
        <v>656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37">
        <v>0</v>
      </c>
      <c r="L27" s="44">
        <v>0</v>
      </c>
      <c r="M27" s="42">
        <v>0</v>
      </c>
      <c r="N27" s="42">
        <v>0</v>
      </c>
      <c r="O27" s="42">
        <v>0</v>
      </c>
      <c r="P27" s="42">
        <v>0</v>
      </c>
      <c r="Q27" s="38">
        <v>0</v>
      </c>
      <c r="R27" s="42">
        <v>0</v>
      </c>
      <c r="S27" s="39">
        <v>0</v>
      </c>
      <c r="T27" s="42">
        <v>0</v>
      </c>
      <c r="U27" s="38">
        <v>4.2</v>
      </c>
      <c r="V27" s="42">
        <v>0</v>
      </c>
      <c r="W27" s="42">
        <v>0</v>
      </c>
      <c r="X27" s="42">
        <v>0</v>
      </c>
      <c r="Y27" s="39">
        <v>230</v>
      </c>
      <c r="Z27" s="42">
        <v>0</v>
      </c>
      <c r="AA27" s="38">
        <v>0</v>
      </c>
      <c r="AB27" s="42">
        <v>0</v>
      </c>
      <c r="AC27" s="38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3">
        <v>379.5</v>
      </c>
      <c r="AJ27" s="42">
        <v>0</v>
      </c>
      <c r="AK27" s="38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0</v>
      </c>
      <c r="BA27" s="42">
        <v>0</v>
      </c>
      <c r="BB27" s="42">
        <v>0</v>
      </c>
      <c r="BC27" s="42">
        <v>0</v>
      </c>
      <c r="BD27" s="42">
        <v>0</v>
      </c>
      <c r="BE27" s="42">
        <v>0</v>
      </c>
      <c r="BF27" s="42">
        <v>0</v>
      </c>
      <c r="BG27" s="42">
        <v>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</row>
    <row r="28" spans="1:68" x14ac:dyDescent="0.25">
      <c r="A28" s="9"/>
      <c r="B28" s="63">
        <v>17</v>
      </c>
      <c r="C28" s="66">
        <v>57</v>
      </c>
      <c r="D28" s="67">
        <v>574</v>
      </c>
      <c r="E28" s="42">
        <v>4.2</v>
      </c>
      <c r="F28" s="42">
        <v>0</v>
      </c>
      <c r="G28" s="42">
        <v>0</v>
      </c>
      <c r="H28" s="42">
        <v>0</v>
      </c>
      <c r="I28" s="42">
        <v>1.5</v>
      </c>
      <c r="J28" s="42">
        <v>0</v>
      </c>
      <c r="K28" s="37">
        <v>45</v>
      </c>
      <c r="L28" s="44">
        <v>0</v>
      </c>
      <c r="M28" s="42">
        <v>0</v>
      </c>
      <c r="N28" s="42">
        <v>0</v>
      </c>
      <c r="O28" s="42">
        <v>0</v>
      </c>
      <c r="P28" s="42">
        <v>0</v>
      </c>
      <c r="Q28" s="38">
        <v>1.6</v>
      </c>
      <c r="R28" s="42">
        <v>0</v>
      </c>
      <c r="S28" s="38">
        <v>0</v>
      </c>
      <c r="T28" s="42">
        <v>0</v>
      </c>
      <c r="U28" s="38">
        <v>4.3</v>
      </c>
      <c r="V28" s="42">
        <v>0</v>
      </c>
      <c r="W28" s="42">
        <v>0</v>
      </c>
      <c r="X28" s="42">
        <v>0</v>
      </c>
      <c r="Y28" s="39">
        <v>269</v>
      </c>
      <c r="Z28" s="42">
        <v>0</v>
      </c>
      <c r="AA28" s="38">
        <v>6.2</v>
      </c>
      <c r="AB28" s="42">
        <v>0</v>
      </c>
      <c r="AC28" s="38">
        <v>1.5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3">
        <v>460</v>
      </c>
      <c r="AJ28" s="42">
        <v>0</v>
      </c>
      <c r="AK28" s="38">
        <v>6.2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 x14ac:dyDescent="0.25">
      <c r="A29" s="9"/>
      <c r="B29" s="63">
        <v>18</v>
      </c>
      <c r="C29" s="66">
        <v>50</v>
      </c>
      <c r="D29" s="67">
        <v>555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37">
        <v>3</v>
      </c>
      <c r="L29" s="44">
        <v>0</v>
      </c>
      <c r="M29" s="42">
        <v>0</v>
      </c>
      <c r="N29" s="42">
        <v>0</v>
      </c>
      <c r="O29" s="42">
        <v>0</v>
      </c>
      <c r="P29" s="42">
        <v>0</v>
      </c>
      <c r="Q29" s="39">
        <v>0</v>
      </c>
      <c r="R29" s="42">
        <v>0</v>
      </c>
      <c r="S29" s="38">
        <v>0</v>
      </c>
      <c r="T29" s="42">
        <v>0</v>
      </c>
      <c r="U29" s="38">
        <v>5.3</v>
      </c>
      <c r="V29" s="42">
        <v>0</v>
      </c>
      <c r="W29" s="42">
        <v>0</v>
      </c>
      <c r="X29" s="42">
        <v>0</v>
      </c>
      <c r="Y29" s="39">
        <v>240</v>
      </c>
      <c r="Z29" s="42">
        <v>0</v>
      </c>
      <c r="AA29" s="38">
        <v>0</v>
      </c>
      <c r="AB29" s="42">
        <v>0</v>
      </c>
      <c r="AC29" s="38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3">
        <v>264.5</v>
      </c>
      <c r="AJ29" s="42">
        <v>0</v>
      </c>
      <c r="AK29" s="38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0</v>
      </c>
      <c r="BA29" s="42">
        <v>0</v>
      </c>
      <c r="BB29" s="42">
        <v>0</v>
      </c>
      <c r="BC29" s="42">
        <v>0</v>
      </c>
      <c r="BD29" s="42">
        <v>0</v>
      </c>
      <c r="BE29" s="42">
        <v>0</v>
      </c>
      <c r="BF29" s="42">
        <v>0</v>
      </c>
      <c r="BG29" s="42">
        <v>0</v>
      </c>
      <c r="BH29" s="42">
        <v>0</v>
      </c>
      <c r="BI29" s="42">
        <v>0</v>
      </c>
      <c r="BJ29" s="42">
        <v>0</v>
      </c>
      <c r="BK29" s="42">
        <v>0</v>
      </c>
      <c r="BL29" s="42">
        <v>0</v>
      </c>
      <c r="BM29" s="42">
        <v>0</v>
      </c>
      <c r="BN29" s="42">
        <v>0</v>
      </c>
      <c r="BO29" s="42">
        <v>0</v>
      </c>
      <c r="BP29" s="42">
        <v>0</v>
      </c>
    </row>
    <row r="30" spans="1:68" x14ac:dyDescent="0.25">
      <c r="A30" s="9"/>
      <c r="B30" s="63">
        <v>19</v>
      </c>
      <c r="C30" s="66">
        <v>43</v>
      </c>
      <c r="D30" s="67">
        <v>480</v>
      </c>
      <c r="E30" s="42">
        <v>6.3</v>
      </c>
      <c r="F30" s="42">
        <v>0</v>
      </c>
      <c r="G30" s="42">
        <v>0</v>
      </c>
      <c r="H30" s="42">
        <v>0</v>
      </c>
      <c r="I30" s="42">
        <v>2.5</v>
      </c>
      <c r="J30" s="42">
        <v>0</v>
      </c>
      <c r="K30" s="37">
        <v>40</v>
      </c>
      <c r="L30" s="44">
        <v>0</v>
      </c>
      <c r="M30" s="42">
        <v>0</v>
      </c>
      <c r="N30" s="42">
        <v>0</v>
      </c>
      <c r="O30" s="42">
        <v>0</v>
      </c>
      <c r="P30" s="42">
        <v>0</v>
      </c>
      <c r="Q30" s="38">
        <v>0</v>
      </c>
      <c r="R30" s="42">
        <v>0</v>
      </c>
      <c r="S30" s="39">
        <v>0</v>
      </c>
      <c r="T30" s="42">
        <v>0</v>
      </c>
      <c r="U30" s="38">
        <v>5.0999999999999996</v>
      </c>
      <c r="V30" s="42">
        <v>0</v>
      </c>
      <c r="W30" s="42">
        <v>0</v>
      </c>
      <c r="X30" s="42">
        <v>0</v>
      </c>
      <c r="Y30" s="39">
        <v>254</v>
      </c>
      <c r="Z30" s="42">
        <v>0</v>
      </c>
      <c r="AA30" s="38">
        <v>4.0999999999999996</v>
      </c>
      <c r="AB30" s="42">
        <v>0</v>
      </c>
      <c r="AC30" s="38">
        <v>2.5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3">
        <v>414</v>
      </c>
      <c r="AJ30" s="42">
        <v>0</v>
      </c>
      <c r="AK30" s="38">
        <v>4.0999999999999996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0</v>
      </c>
      <c r="BA30" s="42">
        <v>0</v>
      </c>
      <c r="BB30" s="42">
        <v>0</v>
      </c>
      <c r="BC30" s="42">
        <v>0</v>
      </c>
      <c r="BD30" s="42">
        <v>0</v>
      </c>
      <c r="BE30" s="42">
        <v>0</v>
      </c>
      <c r="BF30" s="42">
        <v>0</v>
      </c>
      <c r="BG30" s="42">
        <v>0</v>
      </c>
      <c r="BH30" s="42">
        <v>0</v>
      </c>
      <c r="BI30" s="42">
        <v>0</v>
      </c>
      <c r="BJ30" s="42">
        <v>0</v>
      </c>
      <c r="BK30" s="42">
        <v>0</v>
      </c>
      <c r="BL30" s="42">
        <v>0</v>
      </c>
      <c r="BM30" s="42">
        <v>0</v>
      </c>
      <c r="BN30" s="42">
        <v>0</v>
      </c>
      <c r="BO30" s="42">
        <v>0</v>
      </c>
      <c r="BP30" s="42">
        <v>0</v>
      </c>
    </row>
    <row r="31" spans="1:68" x14ac:dyDescent="0.25">
      <c r="A31" s="9"/>
      <c r="B31" s="63">
        <v>20</v>
      </c>
      <c r="C31" s="66">
        <v>44</v>
      </c>
      <c r="D31" s="67">
        <v>400</v>
      </c>
      <c r="E31" s="42">
        <v>0</v>
      </c>
      <c r="F31" s="42">
        <v>0</v>
      </c>
      <c r="G31" s="42">
        <v>0</v>
      </c>
      <c r="H31" s="42">
        <v>0</v>
      </c>
      <c r="I31" s="42">
        <v>5</v>
      </c>
      <c r="J31" s="42">
        <v>0</v>
      </c>
      <c r="K31" s="37">
        <v>0</v>
      </c>
      <c r="L31" s="44">
        <v>0</v>
      </c>
      <c r="M31" s="42">
        <v>0</v>
      </c>
      <c r="N31" s="42">
        <v>0</v>
      </c>
      <c r="O31" s="42">
        <v>0</v>
      </c>
      <c r="P31" s="42">
        <v>0</v>
      </c>
      <c r="Q31" s="38">
        <v>2.2999999999999998</v>
      </c>
      <c r="R31" s="42">
        <v>0</v>
      </c>
      <c r="S31" s="39">
        <v>0</v>
      </c>
      <c r="T31" s="42">
        <v>0</v>
      </c>
      <c r="U31" s="38">
        <v>5.2</v>
      </c>
      <c r="V31" s="42">
        <v>0</v>
      </c>
      <c r="W31" s="42">
        <v>0</v>
      </c>
      <c r="X31" s="42">
        <v>0</v>
      </c>
      <c r="Y31" s="39">
        <v>0</v>
      </c>
      <c r="Z31" s="42">
        <v>0</v>
      </c>
      <c r="AA31" s="38">
        <v>0</v>
      </c>
      <c r="AB31" s="42">
        <v>0</v>
      </c>
      <c r="AC31" s="38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3">
        <v>253</v>
      </c>
      <c r="AJ31" s="42">
        <v>0</v>
      </c>
      <c r="AK31" s="38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0</v>
      </c>
      <c r="BA31" s="42">
        <v>0</v>
      </c>
      <c r="BB31" s="42">
        <v>0</v>
      </c>
      <c r="BC31" s="42">
        <v>0</v>
      </c>
      <c r="BD31" s="42">
        <v>0</v>
      </c>
      <c r="BE31" s="42">
        <v>0</v>
      </c>
      <c r="BF31" s="42">
        <v>0</v>
      </c>
      <c r="BG31" s="42">
        <v>0</v>
      </c>
      <c r="BH31" s="42">
        <v>0</v>
      </c>
      <c r="BI31" s="42">
        <v>0</v>
      </c>
      <c r="BJ31" s="42">
        <v>0</v>
      </c>
      <c r="BK31" s="42">
        <v>0</v>
      </c>
      <c r="BL31" s="42">
        <v>0</v>
      </c>
      <c r="BM31" s="42">
        <v>0</v>
      </c>
      <c r="BN31" s="42">
        <v>0</v>
      </c>
      <c r="BO31" s="42">
        <v>0</v>
      </c>
      <c r="BP31" s="42">
        <v>0</v>
      </c>
    </row>
    <row r="32" spans="1:68" x14ac:dyDescent="0.25">
      <c r="A32" s="9"/>
      <c r="B32" s="63">
        <v>21</v>
      </c>
      <c r="C32" s="66">
        <v>53</v>
      </c>
      <c r="D32" s="67">
        <v>522</v>
      </c>
      <c r="E32" s="42">
        <v>7.2</v>
      </c>
      <c r="F32" s="42">
        <v>0</v>
      </c>
      <c r="G32" s="42">
        <v>0</v>
      </c>
      <c r="H32" s="42">
        <v>0</v>
      </c>
      <c r="I32" s="42">
        <v>5.3</v>
      </c>
      <c r="J32" s="42">
        <v>0</v>
      </c>
      <c r="K32" s="37">
        <v>36</v>
      </c>
      <c r="L32" s="44">
        <v>0</v>
      </c>
      <c r="M32" s="42">
        <v>0</v>
      </c>
      <c r="N32" s="42">
        <v>0</v>
      </c>
      <c r="O32" s="42">
        <v>0</v>
      </c>
      <c r="P32" s="42">
        <v>0</v>
      </c>
      <c r="Q32" s="38">
        <v>2.6</v>
      </c>
      <c r="R32" s="42">
        <v>0</v>
      </c>
      <c r="S32" s="39">
        <v>2</v>
      </c>
      <c r="T32" s="42">
        <v>0</v>
      </c>
      <c r="U32" s="38">
        <v>4.5</v>
      </c>
      <c r="V32" s="42">
        <v>0</v>
      </c>
      <c r="W32" s="42">
        <v>0</v>
      </c>
      <c r="X32" s="42">
        <v>0</v>
      </c>
      <c r="Y32" s="39">
        <v>257</v>
      </c>
      <c r="Z32" s="42">
        <v>0</v>
      </c>
      <c r="AA32" s="38">
        <v>5.3</v>
      </c>
      <c r="AB32" s="42">
        <v>0</v>
      </c>
      <c r="AC32" s="38">
        <v>2.2000000000000002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3">
        <v>391</v>
      </c>
      <c r="AJ32" s="42">
        <v>0</v>
      </c>
      <c r="AK32" s="38">
        <v>5.3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0</v>
      </c>
      <c r="BA32" s="42">
        <v>0</v>
      </c>
      <c r="BB32" s="42">
        <v>0</v>
      </c>
      <c r="BC32" s="42">
        <v>0</v>
      </c>
      <c r="BD32" s="42">
        <v>0</v>
      </c>
      <c r="BE32" s="42">
        <v>0</v>
      </c>
      <c r="BF32" s="42">
        <v>0</v>
      </c>
      <c r="BG32" s="42">
        <v>0</v>
      </c>
      <c r="BH32" s="42">
        <v>0</v>
      </c>
      <c r="BI32" s="42">
        <v>0</v>
      </c>
      <c r="BJ32" s="42">
        <v>0</v>
      </c>
      <c r="BK32" s="42">
        <v>0</v>
      </c>
      <c r="BL32" s="42">
        <v>0</v>
      </c>
      <c r="BM32" s="42">
        <v>0</v>
      </c>
      <c r="BN32" s="42">
        <v>0</v>
      </c>
      <c r="BO32" s="42">
        <v>0</v>
      </c>
      <c r="BP32" s="42">
        <v>0</v>
      </c>
    </row>
    <row r="33" spans="1:68" x14ac:dyDescent="0.25">
      <c r="A33" s="9"/>
      <c r="B33" s="63">
        <v>22</v>
      </c>
      <c r="C33" s="66">
        <v>59</v>
      </c>
      <c r="D33" s="67">
        <v>560</v>
      </c>
      <c r="E33" s="42">
        <v>0</v>
      </c>
      <c r="F33" s="42">
        <v>0</v>
      </c>
      <c r="G33" s="42">
        <v>0</v>
      </c>
      <c r="H33" s="42">
        <v>0</v>
      </c>
      <c r="I33" s="42">
        <v>5.6</v>
      </c>
      <c r="J33" s="42">
        <v>0</v>
      </c>
      <c r="K33" s="37">
        <v>0</v>
      </c>
      <c r="L33" s="44">
        <v>0</v>
      </c>
      <c r="M33" s="42">
        <v>0</v>
      </c>
      <c r="N33" s="42">
        <v>0</v>
      </c>
      <c r="O33" s="42">
        <v>0</v>
      </c>
      <c r="P33" s="42">
        <v>0</v>
      </c>
      <c r="Q33" s="38">
        <v>0</v>
      </c>
      <c r="R33" s="42">
        <v>0</v>
      </c>
      <c r="S33" s="39">
        <v>0</v>
      </c>
      <c r="T33" s="42">
        <v>0</v>
      </c>
      <c r="U33" s="38">
        <v>2.5</v>
      </c>
      <c r="V33" s="42">
        <v>0</v>
      </c>
      <c r="W33" s="42">
        <v>0</v>
      </c>
      <c r="X33" s="42">
        <v>0</v>
      </c>
      <c r="Y33" s="39">
        <v>0</v>
      </c>
      <c r="Z33" s="42">
        <v>0</v>
      </c>
      <c r="AA33" s="38">
        <v>0</v>
      </c>
      <c r="AB33" s="42">
        <v>0</v>
      </c>
      <c r="AC33" s="38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3">
        <v>241.5</v>
      </c>
      <c r="AJ33" s="42">
        <v>0</v>
      </c>
      <c r="AK33" s="38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0</v>
      </c>
      <c r="BB33" s="42">
        <v>0</v>
      </c>
      <c r="BC33" s="42">
        <v>0</v>
      </c>
      <c r="BD33" s="42">
        <v>0</v>
      </c>
      <c r="BE33" s="42">
        <v>0</v>
      </c>
      <c r="BF33" s="42">
        <v>0</v>
      </c>
      <c r="BG33" s="42">
        <v>0</v>
      </c>
      <c r="BH33" s="42">
        <v>0</v>
      </c>
      <c r="BI33" s="42">
        <v>0</v>
      </c>
      <c r="BJ33" s="42">
        <v>0</v>
      </c>
      <c r="BK33" s="42">
        <v>0</v>
      </c>
      <c r="BL33" s="42">
        <v>0</v>
      </c>
      <c r="BM33" s="42">
        <v>0</v>
      </c>
      <c r="BN33" s="42">
        <v>0</v>
      </c>
      <c r="BO33" s="42">
        <v>0</v>
      </c>
      <c r="BP33" s="42">
        <v>0</v>
      </c>
    </row>
    <row r="34" spans="1:68" x14ac:dyDescent="0.25">
      <c r="A34" s="9"/>
      <c r="B34" s="63">
        <v>23</v>
      </c>
      <c r="C34" s="66">
        <v>63</v>
      </c>
      <c r="D34" s="67">
        <v>598</v>
      </c>
      <c r="E34" s="42">
        <v>8.3000000000000007</v>
      </c>
      <c r="F34" s="42">
        <v>0</v>
      </c>
      <c r="G34" s="42">
        <v>1.6</v>
      </c>
      <c r="H34" s="42">
        <v>0</v>
      </c>
      <c r="I34" s="42">
        <v>4.2</v>
      </c>
      <c r="J34" s="42">
        <v>0</v>
      </c>
      <c r="K34" s="37">
        <v>45</v>
      </c>
      <c r="L34" s="44">
        <v>0</v>
      </c>
      <c r="M34" s="42">
        <v>0</v>
      </c>
      <c r="N34" s="42">
        <v>0</v>
      </c>
      <c r="O34" s="42">
        <v>0</v>
      </c>
      <c r="P34" s="42">
        <v>0</v>
      </c>
      <c r="Q34" s="38">
        <v>0</v>
      </c>
      <c r="R34" s="42">
        <v>0</v>
      </c>
      <c r="S34" s="39">
        <v>1</v>
      </c>
      <c r="T34" s="42">
        <v>0</v>
      </c>
      <c r="U34" s="38">
        <v>1.6</v>
      </c>
      <c r="V34" s="42">
        <v>0</v>
      </c>
      <c r="W34" s="42">
        <v>0</v>
      </c>
      <c r="X34" s="42">
        <v>0</v>
      </c>
      <c r="Y34" s="39">
        <v>247</v>
      </c>
      <c r="Z34" s="42">
        <v>0</v>
      </c>
      <c r="AA34" s="38">
        <v>4.0999999999999996</v>
      </c>
      <c r="AB34" s="42">
        <v>0</v>
      </c>
      <c r="AC34" s="38">
        <v>1.6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3">
        <v>287.5</v>
      </c>
      <c r="AJ34" s="42">
        <v>0</v>
      </c>
      <c r="AK34" s="38">
        <v>4.0999999999999996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</row>
    <row r="35" spans="1:68" x14ac:dyDescent="0.25">
      <c r="A35" s="9"/>
      <c r="B35" s="63">
        <v>24</v>
      </c>
      <c r="C35" s="66">
        <v>67</v>
      </c>
      <c r="D35" s="67">
        <v>607</v>
      </c>
      <c r="E35" s="42">
        <v>15</v>
      </c>
      <c r="F35" s="42">
        <v>0</v>
      </c>
      <c r="G35" s="42">
        <v>0</v>
      </c>
      <c r="H35" s="42">
        <v>0</v>
      </c>
      <c r="I35" s="42">
        <v>7.2</v>
      </c>
      <c r="J35" s="42">
        <v>0</v>
      </c>
      <c r="K35" s="37">
        <v>0</v>
      </c>
      <c r="L35" s="44">
        <v>0</v>
      </c>
      <c r="M35" s="42">
        <v>0</v>
      </c>
      <c r="N35" s="42">
        <v>0</v>
      </c>
      <c r="O35" s="42">
        <v>0</v>
      </c>
      <c r="P35" s="42">
        <v>0</v>
      </c>
      <c r="Q35" s="39">
        <v>4.2</v>
      </c>
      <c r="R35" s="42">
        <v>0</v>
      </c>
      <c r="S35" s="39">
        <v>0</v>
      </c>
      <c r="T35" s="42">
        <v>0</v>
      </c>
      <c r="U35" s="38">
        <v>0</v>
      </c>
      <c r="V35" s="42">
        <v>0</v>
      </c>
      <c r="W35" s="42">
        <v>0</v>
      </c>
      <c r="X35" s="42">
        <v>0</v>
      </c>
      <c r="Y35" s="39">
        <v>250</v>
      </c>
      <c r="Z35" s="42">
        <v>0</v>
      </c>
      <c r="AA35" s="39">
        <v>0</v>
      </c>
      <c r="AB35" s="42">
        <v>0</v>
      </c>
      <c r="AC35" s="38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3">
        <v>253</v>
      </c>
      <c r="AJ35" s="42">
        <v>0</v>
      </c>
      <c r="AK35" s="39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</row>
    <row r="36" spans="1:68" x14ac:dyDescent="0.25">
      <c r="A36" s="9"/>
      <c r="B36" s="63">
        <v>25</v>
      </c>
      <c r="C36" s="66">
        <v>55</v>
      </c>
      <c r="D36" s="67">
        <v>505</v>
      </c>
      <c r="E36" s="42">
        <v>7.3</v>
      </c>
      <c r="F36" s="42">
        <v>0</v>
      </c>
      <c r="G36" s="42">
        <v>0</v>
      </c>
      <c r="H36" s="42">
        <v>0</v>
      </c>
      <c r="I36" s="42">
        <v>4.5999999999999996</v>
      </c>
      <c r="J36" s="42">
        <v>0</v>
      </c>
      <c r="K36" s="37">
        <v>35</v>
      </c>
      <c r="L36" s="44">
        <v>0</v>
      </c>
      <c r="M36" s="42">
        <v>0</v>
      </c>
      <c r="N36" s="42">
        <v>0</v>
      </c>
      <c r="O36" s="42">
        <v>0</v>
      </c>
      <c r="P36" s="42">
        <v>0</v>
      </c>
      <c r="Q36" s="39">
        <v>4.3</v>
      </c>
      <c r="R36" s="42">
        <v>0</v>
      </c>
      <c r="S36" s="39">
        <v>0</v>
      </c>
      <c r="T36" s="42">
        <v>0</v>
      </c>
      <c r="U36" s="38">
        <v>2.9</v>
      </c>
      <c r="V36" s="42">
        <v>0</v>
      </c>
      <c r="W36" s="42">
        <v>0</v>
      </c>
      <c r="X36" s="42">
        <v>0</v>
      </c>
      <c r="Y36" s="39">
        <v>252</v>
      </c>
      <c r="Z36" s="42">
        <v>0</v>
      </c>
      <c r="AA36" s="39">
        <v>6.2</v>
      </c>
      <c r="AB36" s="42">
        <v>0</v>
      </c>
      <c r="AC36" s="38">
        <v>2.5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3">
        <v>425.5</v>
      </c>
      <c r="AJ36" s="42">
        <v>0</v>
      </c>
      <c r="AK36" s="39">
        <v>6.2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0</v>
      </c>
      <c r="BA36" s="42">
        <v>0</v>
      </c>
      <c r="BB36" s="42">
        <v>0</v>
      </c>
      <c r="BC36" s="42">
        <v>0</v>
      </c>
      <c r="BD36" s="42">
        <v>0</v>
      </c>
      <c r="BE36" s="42">
        <v>0</v>
      </c>
      <c r="BF36" s="42">
        <v>0</v>
      </c>
      <c r="BG36" s="42">
        <v>0</v>
      </c>
      <c r="BH36" s="42">
        <v>0</v>
      </c>
      <c r="BI36" s="42">
        <v>0</v>
      </c>
      <c r="BJ36" s="42">
        <v>0</v>
      </c>
      <c r="BK36" s="42">
        <v>0</v>
      </c>
      <c r="BL36" s="42">
        <v>0</v>
      </c>
      <c r="BM36" s="42">
        <v>0</v>
      </c>
      <c r="BN36" s="42">
        <v>0</v>
      </c>
      <c r="BO36" s="42">
        <v>0</v>
      </c>
      <c r="BP36" s="42">
        <v>0</v>
      </c>
    </row>
    <row r="37" spans="1:68" x14ac:dyDescent="0.25">
      <c r="A37" s="9"/>
      <c r="B37" s="63">
        <v>26</v>
      </c>
      <c r="C37" s="66">
        <v>53</v>
      </c>
      <c r="D37" s="67">
        <v>498</v>
      </c>
      <c r="E37" s="42">
        <v>8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37">
        <v>0</v>
      </c>
      <c r="L37" s="44">
        <v>0</v>
      </c>
      <c r="M37" s="42">
        <v>0</v>
      </c>
      <c r="N37" s="42">
        <v>0</v>
      </c>
      <c r="O37" s="42">
        <v>0</v>
      </c>
      <c r="P37" s="42">
        <v>0</v>
      </c>
      <c r="Q37" s="39">
        <v>0</v>
      </c>
      <c r="R37" s="42">
        <v>0</v>
      </c>
      <c r="S37" s="39">
        <v>0</v>
      </c>
      <c r="T37" s="42">
        <v>0</v>
      </c>
      <c r="U37" s="38">
        <v>0</v>
      </c>
      <c r="V37" s="42">
        <v>0</v>
      </c>
      <c r="W37" s="42">
        <v>0</v>
      </c>
      <c r="X37" s="42">
        <v>0</v>
      </c>
      <c r="Y37" s="39">
        <v>230</v>
      </c>
      <c r="Z37" s="42">
        <v>0</v>
      </c>
      <c r="AA37" s="38">
        <v>0</v>
      </c>
      <c r="AB37" s="42">
        <v>0</v>
      </c>
      <c r="AC37" s="38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3">
        <v>264.5</v>
      </c>
      <c r="AJ37" s="42">
        <v>0</v>
      </c>
      <c r="AK37" s="38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0</v>
      </c>
      <c r="BA37" s="42">
        <v>0</v>
      </c>
      <c r="BB37" s="42">
        <v>0</v>
      </c>
      <c r="BC37" s="42">
        <v>0</v>
      </c>
      <c r="BD37" s="42">
        <v>0</v>
      </c>
      <c r="BE37" s="42">
        <v>0</v>
      </c>
      <c r="BF37" s="42">
        <v>0</v>
      </c>
      <c r="BG37" s="42">
        <v>0</v>
      </c>
      <c r="BH37" s="42">
        <v>0</v>
      </c>
      <c r="BI37" s="42">
        <v>0</v>
      </c>
      <c r="BJ37" s="42">
        <v>0</v>
      </c>
      <c r="BK37" s="42">
        <v>0</v>
      </c>
      <c r="BL37" s="42">
        <v>0</v>
      </c>
      <c r="BM37" s="42">
        <v>0</v>
      </c>
      <c r="BN37" s="42">
        <v>0</v>
      </c>
      <c r="BO37" s="42">
        <v>0</v>
      </c>
      <c r="BP37" s="42">
        <v>0</v>
      </c>
    </row>
    <row r="38" spans="1:68" x14ac:dyDescent="0.25">
      <c r="A38" s="9"/>
      <c r="B38" s="63">
        <v>27</v>
      </c>
      <c r="C38" s="66">
        <v>57</v>
      </c>
      <c r="D38" s="67">
        <v>524</v>
      </c>
      <c r="E38" s="42">
        <v>5.2</v>
      </c>
      <c r="F38" s="42">
        <v>0</v>
      </c>
      <c r="G38" s="42">
        <v>2.2999999999999998</v>
      </c>
      <c r="H38" s="42">
        <v>0</v>
      </c>
      <c r="I38" s="42">
        <v>2.6</v>
      </c>
      <c r="J38" s="42">
        <v>0</v>
      </c>
      <c r="K38" s="37">
        <v>21</v>
      </c>
      <c r="L38" s="44">
        <v>0</v>
      </c>
      <c r="M38" s="42">
        <v>0</v>
      </c>
      <c r="N38" s="42">
        <v>0</v>
      </c>
      <c r="O38" s="42">
        <v>0</v>
      </c>
      <c r="P38" s="42">
        <v>0</v>
      </c>
      <c r="Q38" s="39">
        <v>0</v>
      </c>
      <c r="R38" s="42">
        <v>0</v>
      </c>
      <c r="S38" s="39">
        <v>1</v>
      </c>
      <c r="T38" s="42">
        <v>0</v>
      </c>
      <c r="U38" s="38">
        <v>1.8</v>
      </c>
      <c r="V38" s="42">
        <v>0</v>
      </c>
      <c r="W38" s="42">
        <v>0</v>
      </c>
      <c r="X38" s="42">
        <v>0</v>
      </c>
      <c r="Y38" s="39">
        <v>283</v>
      </c>
      <c r="Z38" s="42">
        <v>0</v>
      </c>
      <c r="AA38" s="38">
        <v>3.4</v>
      </c>
      <c r="AB38" s="42">
        <v>0</v>
      </c>
      <c r="AC38" s="38">
        <v>2.8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3">
        <v>552</v>
      </c>
      <c r="AJ38" s="42">
        <v>0</v>
      </c>
      <c r="AK38" s="38">
        <v>3.4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0</v>
      </c>
      <c r="BA38" s="42">
        <v>0</v>
      </c>
      <c r="BB38" s="42">
        <v>0</v>
      </c>
      <c r="BC38" s="42">
        <v>0</v>
      </c>
      <c r="BD38" s="42">
        <v>0</v>
      </c>
      <c r="BE38" s="42">
        <v>0</v>
      </c>
      <c r="BF38" s="42">
        <v>0</v>
      </c>
      <c r="BG38" s="42">
        <v>0</v>
      </c>
      <c r="BH38" s="42">
        <v>0</v>
      </c>
      <c r="BI38" s="42">
        <v>0</v>
      </c>
      <c r="BJ38" s="42">
        <v>0</v>
      </c>
      <c r="BK38" s="42">
        <v>0</v>
      </c>
      <c r="BL38" s="42">
        <v>0</v>
      </c>
      <c r="BM38" s="42">
        <v>0</v>
      </c>
      <c r="BN38" s="42">
        <v>0</v>
      </c>
      <c r="BO38" s="42">
        <v>0</v>
      </c>
      <c r="BP38" s="42">
        <v>0</v>
      </c>
    </row>
    <row r="39" spans="1:68" x14ac:dyDescent="0.25">
      <c r="A39" s="9"/>
      <c r="B39" s="63">
        <v>28</v>
      </c>
      <c r="C39" s="66">
        <v>56</v>
      </c>
      <c r="D39" s="67">
        <v>622</v>
      </c>
      <c r="E39" s="42">
        <v>3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37">
        <v>56</v>
      </c>
      <c r="L39" s="44">
        <v>0</v>
      </c>
      <c r="M39" s="42">
        <v>0</v>
      </c>
      <c r="N39" s="42">
        <v>0</v>
      </c>
      <c r="O39" s="42">
        <v>0</v>
      </c>
      <c r="P39" s="42">
        <v>0</v>
      </c>
      <c r="Q39" s="39">
        <v>0</v>
      </c>
      <c r="R39" s="42">
        <v>0</v>
      </c>
      <c r="S39" s="39">
        <v>0</v>
      </c>
      <c r="T39" s="42">
        <v>0</v>
      </c>
      <c r="U39" s="38">
        <v>0</v>
      </c>
      <c r="V39" s="42">
        <v>0</v>
      </c>
      <c r="W39" s="42">
        <v>0</v>
      </c>
      <c r="X39" s="42">
        <v>0</v>
      </c>
      <c r="Y39" s="39">
        <v>234</v>
      </c>
      <c r="Z39" s="42">
        <v>0</v>
      </c>
      <c r="AA39" s="38">
        <v>0</v>
      </c>
      <c r="AB39" s="42">
        <v>0</v>
      </c>
      <c r="AC39" s="38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3">
        <v>506</v>
      </c>
      <c r="AJ39" s="42">
        <v>0</v>
      </c>
      <c r="AK39" s="38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</row>
    <row r="40" spans="1:68" x14ac:dyDescent="0.25">
      <c r="A40" s="9"/>
      <c r="B40" s="63">
        <v>29</v>
      </c>
      <c r="C40" s="66">
        <v>57</v>
      </c>
      <c r="D40" s="67">
        <v>548</v>
      </c>
      <c r="E40" s="42">
        <v>3.7</v>
      </c>
      <c r="F40" s="42">
        <v>0</v>
      </c>
      <c r="G40" s="42">
        <v>0</v>
      </c>
      <c r="H40" s="42">
        <v>0</v>
      </c>
      <c r="I40" s="42">
        <v>5.0999999999999996</v>
      </c>
      <c r="J40" s="42">
        <v>0</v>
      </c>
      <c r="K40" s="37">
        <v>37</v>
      </c>
      <c r="L40" s="44">
        <v>0</v>
      </c>
      <c r="M40" s="42">
        <v>0</v>
      </c>
      <c r="N40" s="42">
        <v>0</v>
      </c>
      <c r="O40" s="42">
        <v>0</v>
      </c>
      <c r="P40" s="42">
        <v>0</v>
      </c>
      <c r="Q40" s="39">
        <v>2.8</v>
      </c>
      <c r="R40" s="42">
        <v>0</v>
      </c>
      <c r="S40" s="39">
        <v>2</v>
      </c>
      <c r="T40" s="42">
        <v>0</v>
      </c>
      <c r="U40" s="38">
        <v>2.5</v>
      </c>
      <c r="V40" s="42">
        <v>0</v>
      </c>
      <c r="W40" s="42">
        <v>0</v>
      </c>
      <c r="X40" s="42">
        <v>0</v>
      </c>
      <c r="Y40" s="39">
        <v>276</v>
      </c>
      <c r="Z40" s="42">
        <v>0</v>
      </c>
      <c r="AA40" s="38">
        <v>4.0999999999999996</v>
      </c>
      <c r="AB40" s="42">
        <v>0</v>
      </c>
      <c r="AC40" s="38">
        <v>1.6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3">
        <v>414</v>
      </c>
      <c r="AJ40" s="42">
        <v>0</v>
      </c>
      <c r="AK40" s="38">
        <v>4.0999999999999996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0</v>
      </c>
      <c r="BA40" s="42">
        <v>0</v>
      </c>
      <c r="BB40" s="42">
        <v>0</v>
      </c>
      <c r="BC40" s="42">
        <v>0</v>
      </c>
      <c r="BD40" s="42">
        <v>0</v>
      </c>
      <c r="BE40" s="42">
        <v>0</v>
      </c>
      <c r="BF40" s="42">
        <v>0</v>
      </c>
      <c r="BG40" s="42">
        <v>0</v>
      </c>
      <c r="BH40" s="42">
        <v>0</v>
      </c>
      <c r="BI40" s="42">
        <v>0</v>
      </c>
      <c r="BJ40" s="42">
        <v>0</v>
      </c>
      <c r="BK40" s="42">
        <v>0</v>
      </c>
      <c r="BL40" s="42">
        <v>0</v>
      </c>
      <c r="BM40" s="42">
        <v>0</v>
      </c>
      <c r="BN40" s="42">
        <v>0</v>
      </c>
      <c r="BO40" s="42">
        <v>0</v>
      </c>
      <c r="BP40" s="42">
        <v>0</v>
      </c>
    </row>
    <row r="41" spans="1:68" ht="17.25" customHeight="1" x14ac:dyDescent="0.25">
      <c r="A41" s="9"/>
      <c r="B41" s="68">
        <v>30</v>
      </c>
      <c r="C41" s="69">
        <v>63</v>
      </c>
      <c r="D41" s="70">
        <v>600</v>
      </c>
      <c r="E41" s="42">
        <v>4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37">
        <v>25</v>
      </c>
      <c r="L41" s="44">
        <v>0</v>
      </c>
      <c r="M41" s="42">
        <v>0</v>
      </c>
      <c r="N41" s="42">
        <v>0</v>
      </c>
      <c r="O41" s="42">
        <v>0</v>
      </c>
      <c r="P41" s="42">
        <v>0</v>
      </c>
      <c r="Q41" s="39">
        <v>2.6</v>
      </c>
      <c r="R41" s="42">
        <v>0</v>
      </c>
      <c r="S41" s="39">
        <v>0</v>
      </c>
      <c r="T41" s="42">
        <v>0</v>
      </c>
      <c r="U41" s="38">
        <v>0</v>
      </c>
      <c r="V41" s="42">
        <v>0</v>
      </c>
      <c r="W41" s="42">
        <v>0</v>
      </c>
      <c r="X41" s="42">
        <v>0</v>
      </c>
      <c r="Y41" s="39">
        <v>245</v>
      </c>
      <c r="Z41" s="42">
        <v>0</v>
      </c>
      <c r="AA41" s="38">
        <v>0</v>
      </c>
      <c r="AB41" s="42">
        <v>0</v>
      </c>
      <c r="AC41" s="38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3">
        <v>425.5</v>
      </c>
      <c r="AJ41" s="42">
        <v>0</v>
      </c>
      <c r="AK41" s="38">
        <v>0</v>
      </c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>
        <v>0</v>
      </c>
      <c r="AW41" s="42">
        <v>0</v>
      </c>
      <c r="AX41" s="42">
        <v>0</v>
      </c>
      <c r="AY41" s="42">
        <v>0</v>
      </c>
      <c r="AZ41" s="42">
        <v>0</v>
      </c>
      <c r="BA41" s="42">
        <v>0</v>
      </c>
      <c r="BB41" s="42">
        <v>0</v>
      </c>
      <c r="BC41" s="42">
        <v>0</v>
      </c>
      <c r="BD41" s="42">
        <v>0</v>
      </c>
      <c r="BE41" s="42">
        <v>0</v>
      </c>
      <c r="BF41" s="42">
        <v>0</v>
      </c>
      <c r="BG41" s="42">
        <v>0</v>
      </c>
      <c r="BH41" s="42">
        <v>0</v>
      </c>
      <c r="BI41" s="42">
        <v>0</v>
      </c>
      <c r="BJ41" s="42">
        <v>0</v>
      </c>
      <c r="BK41" s="42">
        <v>0</v>
      </c>
      <c r="BL41" s="42">
        <v>0</v>
      </c>
      <c r="BM41" s="42">
        <v>0</v>
      </c>
      <c r="BN41" s="42">
        <v>0</v>
      </c>
      <c r="BO41" s="42">
        <v>0</v>
      </c>
      <c r="BP41" s="42">
        <v>0</v>
      </c>
    </row>
    <row r="42" spans="1:68" x14ac:dyDescent="0.25">
      <c r="A42" s="9"/>
      <c r="B42" s="71">
        <v>31</v>
      </c>
      <c r="C42" s="72">
        <v>58</v>
      </c>
      <c r="D42" s="73">
        <v>558</v>
      </c>
      <c r="E42" s="49">
        <v>4.0999999999999996</v>
      </c>
      <c r="F42" s="49">
        <v>0</v>
      </c>
      <c r="G42" s="49">
        <v>2.4</v>
      </c>
      <c r="H42" s="49">
        <v>0</v>
      </c>
      <c r="I42" s="49">
        <v>3.7</v>
      </c>
      <c r="J42" s="49">
        <v>0</v>
      </c>
      <c r="K42" s="50">
        <v>30</v>
      </c>
      <c r="L42" s="51">
        <v>0</v>
      </c>
      <c r="M42" s="49">
        <v>0</v>
      </c>
      <c r="N42" s="49">
        <v>0</v>
      </c>
      <c r="O42" s="49">
        <v>0</v>
      </c>
      <c r="P42" s="49">
        <v>0</v>
      </c>
      <c r="Q42" s="40">
        <v>3.1</v>
      </c>
      <c r="R42" s="49">
        <v>0</v>
      </c>
      <c r="S42" s="40">
        <v>1</v>
      </c>
      <c r="T42" s="49">
        <v>0</v>
      </c>
      <c r="U42" s="41">
        <v>2.7</v>
      </c>
      <c r="V42" s="49">
        <v>0</v>
      </c>
      <c r="W42" s="49">
        <v>0</v>
      </c>
      <c r="X42" s="49">
        <v>0</v>
      </c>
      <c r="Y42" s="40">
        <v>240</v>
      </c>
      <c r="Z42" s="49">
        <v>0</v>
      </c>
      <c r="AA42" s="41">
        <v>6.6</v>
      </c>
      <c r="AB42" s="49">
        <v>0</v>
      </c>
      <c r="AC42" s="41">
        <v>2.2999999999999998</v>
      </c>
      <c r="AD42" s="49">
        <v>0</v>
      </c>
      <c r="AE42" s="49">
        <v>0</v>
      </c>
      <c r="AF42" s="49">
        <v>0</v>
      </c>
      <c r="AG42" s="49">
        <v>0</v>
      </c>
      <c r="AH42" s="49">
        <v>0</v>
      </c>
      <c r="AI42" s="52">
        <v>471.5</v>
      </c>
      <c r="AJ42" s="49">
        <v>0</v>
      </c>
      <c r="AK42" s="41">
        <v>6.6</v>
      </c>
      <c r="AL42" s="49">
        <v>0</v>
      </c>
      <c r="AM42" s="49">
        <v>0</v>
      </c>
      <c r="AN42" s="49">
        <v>0</v>
      </c>
      <c r="AO42" s="49">
        <v>0</v>
      </c>
      <c r="AP42" s="49">
        <v>0</v>
      </c>
      <c r="AQ42" s="49">
        <v>0</v>
      </c>
      <c r="AR42" s="49">
        <v>0</v>
      </c>
      <c r="AS42" s="49">
        <v>0</v>
      </c>
      <c r="AT42" s="49">
        <v>0</v>
      </c>
      <c r="AU42" s="49">
        <v>0</v>
      </c>
      <c r="AV42" s="49">
        <v>0</v>
      </c>
      <c r="AW42" s="49">
        <v>0</v>
      </c>
      <c r="AX42" s="49">
        <v>0</v>
      </c>
      <c r="AY42" s="49">
        <v>0</v>
      </c>
      <c r="AZ42" s="49">
        <v>0</v>
      </c>
      <c r="BA42" s="49">
        <v>0</v>
      </c>
      <c r="BB42" s="49">
        <v>0</v>
      </c>
      <c r="BC42" s="49">
        <v>0</v>
      </c>
      <c r="BD42" s="49">
        <v>0</v>
      </c>
      <c r="BE42" s="49">
        <v>0</v>
      </c>
      <c r="BF42" s="49">
        <v>0</v>
      </c>
      <c r="BG42" s="49">
        <v>0</v>
      </c>
      <c r="BH42" s="49">
        <v>0</v>
      </c>
      <c r="BI42" s="49">
        <v>0</v>
      </c>
      <c r="BJ42" s="49">
        <v>0</v>
      </c>
      <c r="BK42" s="49">
        <v>0</v>
      </c>
      <c r="BL42" s="49">
        <v>0</v>
      </c>
      <c r="BM42" s="49">
        <v>0</v>
      </c>
      <c r="BN42" s="49">
        <v>0</v>
      </c>
      <c r="BO42" s="49">
        <v>0</v>
      </c>
      <c r="BP42" s="49">
        <v>0</v>
      </c>
    </row>
    <row r="43" spans="1:68" s="3" customFormat="1" ht="13.5" customHeight="1" x14ac:dyDescent="0.25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</row>
    <row r="44" spans="1:68" s="3" customFormat="1" ht="15.75" thickBot="1" x14ac:dyDescent="0.3">
      <c r="B44" s="45"/>
      <c r="C44" s="45"/>
      <c r="D44" s="45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</row>
    <row r="45" spans="1:68" ht="15.75" thickTop="1" x14ac:dyDescent="0.25">
      <c r="A45" s="5"/>
      <c r="B45" s="46"/>
      <c r="C45" s="47">
        <f>SUM(C12:C42)</f>
        <v>1922</v>
      </c>
      <c r="D45" s="47">
        <f t="shared" ref="D45" si="0">SUM(D12:D42)</f>
        <v>18078</v>
      </c>
      <c r="E45" s="54">
        <f>SUM(E12:E42)</f>
        <v>137.19999999999999</v>
      </c>
      <c r="F45" s="48">
        <v>0</v>
      </c>
      <c r="G45" s="54">
        <f>SUM(G12:G42)</f>
        <v>29.900000000000002</v>
      </c>
      <c r="H45" s="48">
        <v>0</v>
      </c>
      <c r="I45" s="54">
        <f>SUM(I12:I42)</f>
        <v>142.69999999999996</v>
      </c>
      <c r="J45" s="48">
        <v>0</v>
      </c>
      <c r="K45" s="54">
        <f>SUM(K12:K42)</f>
        <v>664</v>
      </c>
      <c r="L45" s="54"/>
      <c r="M45" s="54"/>
      <c r="N45" s="54"/>
      <c r="O45" s="54"/>
      <c r="P45" s="54"/>
      <c r="Q45" s="54">
        <f>SUM(Q12:Q42)</f>
        <v>95.299999999999969</v>
      </c>
      <c r="R45" s="54"/>
      <c r="S45" s="54">
        <f>SUM(S12:S42)</f>
        <v>16</v>
      </c>
      <c r="T45" s="54"/>
      <c r="U45" s="54">
        <f>SUM(U12:U42)</f>
        <v>102.3</v>
      </c>
      <c r="V45" s="54"/>
      <c r="W45" s="54"/>
      <c r="X45" s="54"/>
      <c r="Y45" s="54">
        <f>SUM(Y12:Y42)</f>
        <v>6960</v>
      </c>
      <c r="Z45" s="55">
        <f>SUM(Z12:Z42)</f>
        <v>11555278</v>
      </c>
      <c r="AA45" s="56">
        <v>76.2</v>
      </c>
      <c r="AB45" s="54"/>
      <c r="AC45" s="54">
        <f>SUM(AC12:AC42)</f>
        <v>31.900000000000002</v>
      </c>
      <c r="AD45" s="54"/>
      <c r="AE45" s="54"/>
      <c r="AF45" s="54"/>
      <c r="AG45" s="54"/>
      <c r="AH45" s="54"/>
      <c r="AI45" s="54">
        <f>SUM(AI12:AI42)</f>
        <v>11523</v>
      </c>
      <c r="AJ45" s="54"/>
      <c r="AK45" s="54">
        <f>SUM(AK12:AK42)</f>
        <v>76.2</v>
      </c>
      <c r="AL45" s="54"/>
      <c r="AM45" s="54"/>
      <c r="AN45" s="54"/>
      <c r="AO45" s="54"/>
      <c r="AP45" s="54"/>
      <c r="AQ45" s="54"/>
      <c r="AR45" s="54"/>
      <c r="AS45" s="54">
        <f>SUM(AS12:AS42)</f>
        <v>6.65</v>
      </c>
      <c r="AT45" s="54">
        <f>SUM(AT12:AT42)</f>
        <v>437500</v>
      </c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</row>
    <row r="46" spans="1:68" x14ac:dyDescent="0.25">
      <c r="A46" s="5"/>
      <c r="B46" s="5"/>
      <c r="C46" s="27"/>
      <c r="D46" s="28"/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31" activePane="bottomRight" state="frozen"/>
      <selection pane="topRight" activeCell="B1" sqref="B1"/>
      <selection pane="bottomLeft" activeCell="A6" sqref="A6"/>
      <selection pane="bottomRight" activeCell="A3" sqref="A3:A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6" t="s">
        <v>69</v>
      </c>
    </row>
    <row r="2" spans="1:3" ht="18.75" x14ac:dyDescent="0.3">
      <c r="A2" s="92">
        <v>44743</v>
      </c>
      <c r="B2" s="93"/>
      <c r="C2" s="93"/>
    </row>
    <row r="3" spans="1:3" x14ac:dyDescent="0.25">
      <c r="A3" s="95" t="s">
        <v>71</v>
      </c>
      <c r="B3" s="94" t="s">
        <v>72</v>
      </c>
      <c r="C3" s="94" t="s">
        <v>73</v>
      </c>
    </row>
    <row r="4" spans="1:3" x14ac:dyDescent="0.25">
      <c r="A4" s="95"/>
      <c r="B4" s="94"/>
      <c r="C4" s="94"/>
    </row>
    <row r="5" spans="1:3" x14ac:dyDescent="0.25">
      <c r="A5" s="95"/>
      <c r="B5" s="94"/>
      <c r="C5" s="94"/>
    </row>
    <row r="6" spans="1:3" x14ac:dyDescent="0.25">
      <c r="A6" s="63">
        <v>1</v>
      </c>
      <c r="B6" s="64">
        <v>49</v>
      </c>
      <c r="C6" s="65">
        <v>583</v>
      </c>
    </row>
    <row r="7" spans="1:3" x14ac:dyDescent="0.25">
      <c r="A7" s="63">
        <v>2</v>
      </c>
      <c r="B7" s="66">
        <v>53</v>
      </c>
      <c r="C7" s="67">
        <v>563</v>
      </c>
    </row>
    <row r="8" spans="1:3" x14ac:dyDescent="0.25">
      <c r="A8" s="63">
        <v>3</v>
      </c>
      <c r="B8" s="66">
        <v>59</v>
      </c>
      <c r="C8" s="67">
        <v>593</v>
      </c>
    </row>
    <row r="9" spans="1:3" x14ac:dyDescent="0.25">
      <c r="A9" s="63">
        <v>4</v>
      </c>
      <c r="B9" s="66">
        <v>67</v>
      </c>
      <c r="C9" s="67">
        <v>619</v>
      </c>
    </row>
    <row r="10" spans="1:3" x14ac:dyDescent="0.25">
      <c r="A10" s="63">
        <v>5</v>
      </c>
      <c r="B10" s="66">
        <v>74</v>
      </c>
      <c r="C10" s="67">
        <v>681</v>
      </c>
    </row>
    <row r="11" spans="1:3" x14ac:dyDescent="0.25">
      <c r="A11" s="63">
        <v>6</v>
      </c>
      <c r="B11" s="66">
        <v>77</v>
      </c>
      <c r="C11" s="67">
        <v>609</v>
      </c>
    </row>
    <row r="12" spans="1:3" x14ac:dyDescent="0.25">
      <c r="A12" s="63">
        <v>7</v>
      </c>
      <c r="B12" s="66">
        <v>72</v>
      </c>
      <c r="C12" s="67">
        <v>616</v>
      </c>
    </row>
    <row r="13" spans="1:3" x14ac:dyDescent="0.25">
      <c r="A13" s="63">
        <v>8</v>
      </c>
      <c r="B13" s="66">
        <v>92</v>
      </c>
      <c r="C13" s="67">
        <v>648</v>
      </c>
    </row>
    <row r="14" spans="1:3" x14ac:dyDescent="0.25">
      <c r="A14" s="63">
        <v>9</v>
      </c>
      <c r="B14" s="66">
        <v>92</v>
      </c>
      <c r="C14" s="67">
        <v>727</v>
      </c>
    </row>
    <row r="15" spans="1:3" x14ac:dyDescent="0.25">
      <c r="A15" s="63">
        <v>10</v>
      </c>
      <c r="B15" s="66">
        <v>69</v>
      </c>
      <c r="C15" s="67">
        <v>670</v>
      </c>
    </row>
    <row r="16" spans="1:3" x14ac:dyDescent="0.25">
      <c r="A16" s="63">
        <v>11</v>
      </c>
      <c r="B16" s="66">
        <v>62</v>
      </c>
      <c r="C16" s="67">
        <v>616</v>
      </c>
    </row>
    <row r="17" spans="1:3" x14ac:dyDescent="0.25">
      <c r="A17" s="63">
        <v>12</v>
      </c>
      <c r="B17" s="66">
        <v>62</v>
      </c>
      <c r="C17" s="67">
        <v>585</v>
      </c>
    </row>
    <row r="18" spans="1:3" x14ac:dyDescent="0.25">
      <c r="A18" s="63">
        <v>13</v>
      </c>
      <c r="B18" s="66">
        <v>51</v>
      </c>
      <c r="C18" s="67">
        <v>569</v>
      </c>
    </row>
    <row r="19" spans="1:3" x14ac:dyDescent="0.25">
      <c r="A19" s="63">
        <v>14</v>
      </c>
      <c r="B19" s="66">
        <v>71</v>
      </c>
      <c r="C19" s="67">
        <v>525</v>
      </c>
    </row>
    <row r="20" spans="1:3" x14ac:dyDescent="0.25">
      <c r="A20" s="63">
        <v>15</v>
      </c>
      <c r="B20" s="66">
        <v>73</v>
      </c>
      <c r="C20" s="67">
        <v>667</v>
      </c>
    </row>
    <row r="21" spans="1:3" x14ac:dyDescent="0.25">
      <c r="A21" s="63">
        <v>16</v>
      </c>
      <c r="B21" s="66">
        <v>64</v>
      </c>
      <c r="C21" s="67">
        <v>656</v>
      </c>
    </row>
    <row r="22" spans="1:3" x14ac:dyDescent="0.25">
      <c r="A22" s="63">
        <v>17</v>
      </c>
      <c r="B22" s="66">
        <v>57</v>
      </c>
      <c r="C22" s="67">
        <v>574</v>
      </c>
    </row>
    <row r="23" spans="1:3" x14ac:dyDescent="0.25">
      <c r="A23" s="63">
        <v>18</v>
      </c>
      <c r="B23" s="66">
        <v>50</v>
      </c>
      <c r="C23" s="67">
        <v>555</v>
      </c>
    </row>
    <row r="24" spans="1:3" x14ac:dyDescent="0.25">
      <c r="A24" s="63">
        <v>19</v>
      </c>
      <c r="B24" s="66">
        <v>43</v>
      </c>
      <c r="C24" s="67">
        <v>480</v>
      </c>
    </row>
    <row r="25" spans="1:3" x14ac:dyDescent="0.25">
      <c r="A25" s="63">
        <v>20</v>
      </c>
      <c r="B25" s="66">
        <v>44</v>
      </c>
      <c r="C25" s="67">
        <v>400</v>
      </c>
    </row>
    <row r="26" spans="1:3" x14ac:dyDescent="0.25">
      <c r="A26" s="63">
        <v>21</v>
      </c>
      <c r="B26" s="66">
        <v>53</v>
      </c>
      <c r="C26" s="67">
        <v>522</v>
      </c>
    </row>
    <row r="27" spans="1:3" x14ac:dyDescent="0.25">
      <c r="A27" s="63">
        <v>22</v>
      </c>
      <c r="B27" s="66">
        <v>59</v>
      </c>
      <c r="C27" s="67">
        <v>560</v>
      </c>
    </row>
    <row r="28" spans="1:3" x14ac:dyDescent="0.25">
      <c r="A28" s="63">
        <v>23</v>
      </c>
      <c r="B28" s="66">
        <v>63</v>
      </c>
      <c r="C28" s="67">
        <v>598</v>
      </c>
    </row>
    <row r="29" spans="1:3" x14ac:dyDescent="0.25">
      <c r="A29" s="63">
        <v>24</v>
      </c>
      <c r="B29" s="66">
        <v>67</v>
      </c>
      <c r="C29" s="67">
        <v>607</v>
      </c>
    </row>
    <row r="30" spans="1:3" x14ac:dyDescent="0.25">
      <c r="A30" s="63">
        <v>25</v>
      </c>
      <c r="B30" s="66">
        <v>55</v>
      </c>
      <c r="C30" s="67">
        <v>505</v>
      </c>
    </row>
    <row r="31" spans="1:3" x14ac:dyDescent="0.25">
      <c r="A31" s="63">
        <v>26</v>
      </c>
      <c r="B31" s="66">
        <v>53</v>
      </c>
      <c r="C31" s="67">
        <v>498</v>
      </c>
    </row>
    <row r="32" spans="1:3" x14ac:dyDescent="0.25">
      <c r="A32" s="63">
        <v>27</v>
      </c>
      <c r="B32" s="66">
        <v>57</v>
      </c>
      <c r="C32" s="67">
        <v>524</v>
      </c>
    </row>
    <row r="33" spans="1:3" x14ac:dyDescent="0.25">
      <c r="A33" s="63">
        <v>28</v>
      </c>
      <c r="B33" s="66">
        <v>56</v>
      </c>
      <c r="C33" s="67">
        <v>622</v>
      </c>
    </row>
    <row r="34" spans="1:3" x14ac:dyDescent="0.25">
      <c r="A34" s="63">
        <v>29</v>
      </c>
      <c r="B34" s="66">
        <v>57</v>
      </c>
      <c r="C34" s="67">
        <v>548</v>
      </c>
    </row>
    <row r="35" spans="1:3" x14ac:dyDescent="0.25">
      <c r="A35" s="68">
        <v>30</v>
      </c>
      <c r="B35" s="69">
        <v>63</v>
      </c>
      <c r="C35" s="70">
        <v>600</v>
      </c>
    </row>
    <row r="36" spans="1:3" x14ac:dyDescent="0.25">
      <c r="A36" s="71">
        <v>31</v>
      </c>
      <c r="B36" s="72">
        <v>58</v>
      </c>
      <c r="C36" s="73">
        <v>558</v>
      </c>
    </row>
    <row r="37" spans="1:3" x14ac:dyDescent="0.25">
      <c r="B37" s="2">
        <f>SUM(B6:B36)</f>
        <v>1922</v>
      </c>
      <c r="C37" s="2">
        <f>SUM(C6:C36)</f>
        <v>18078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280ABA-9709-43C6-848E-14FCC8270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TOTAL</vt:lpstr>
      <vt:lpstr>FS Jimbaran July 2022</vt:lpstr>
      <vt:lpstr>RNs &amp; Covers July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2022-08-29T08:38:59Z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