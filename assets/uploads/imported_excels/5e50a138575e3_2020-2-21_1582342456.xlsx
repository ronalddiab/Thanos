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<sst xmlns="http://schemas.openxmlformats.org/spreadsheetml/2006/main" count="296" uniqueCount="138">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</sst>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13329.999999999833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13309.999999999958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 t="e">
        <f>Submetering!E23+Submetering!F23+Submetering!G23+Submetering!H23-Submetering!AV23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1421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 t="str">
        <f>'FS Desroches Daily'!D25</f>
        <v>0</v>
      </c>
      <c r="F23" s="36" t="str">
        <f>'FS Desroches Daily'!F25</f>
        <v>0</v>
      </c>
      <c r="G23" s="35" t="str">
        <f>'FS Desroches Daily'!H25</f>
        <v>0</v>
      </c>
      <c r="H23" s="36" t="str">
        <f>'FS Desroches Daily'!J25</f>
        <v>0</v>
      </c>
      <c r="I23" s="35" t="str">
        <f>'FS Desroches Daily'!L25</f>
        <v>0</v>
      </c>
      <c r="J23" s="36" t="str">
        <f>'FS Desroches Daily'!N25</f>
        <v/>
      </c>
      <c r="K23" s="13" t="str">
        <f>'FS Desroches Daily'!P25</f>
        <v/>
      </c>
      <c r="L23" s="35" t="str">
        <f>'FS Desroches Daily'!R25</f>
        <v/>
      </c>
      <c r="M23" s="35" t="str">
        <f>'FS Desroches Daily'!T25</f>
        <v/>
      </c>
      <c r="N23" s="35" t="str">
        <f>'FS Desroches Daily'!V25</f>
        <v/>
      </c>
      <c r="O23" s="35" t="str">
        <f>'FS Desroches Daily'!X25</f>
        <v/>
      </c>
      <c r="P23" s="35" t="str">
        <f>'FS Desroches Daily'!Z25</f>
        <v/>
      </c>
      <c r="Q23" s="35" t="str">
        <f>'FS Desroches Daily'!AB25</f>
        <v/>
      </c>
      <c r="R23" s="35" t="str">
        <f>'FS Desroches Daily'!AD25</f>
        <v/>
      </c>
      <c r="S23" s="35" t="str">
        <f>'FS Desroches Daily'!AF25</f>
        <v/>
      </c>
      <c r="T23" s="35" t="str">
        <f>'FS Desroches Daily'!AH25</f>
        <v/>
      </c>
      <c r="U23" s="39" t="str">
        <f>'FS Desroches Daily'!AJ25</f>
        <v/>
      </c>
      <c r="V23" s="39" t="str">
        <f>'FS Desroches Daily'!AL25</f>
        <v/>
      </c>
      <c r="W23" s="39" t="str">
        <f>'FS Desroches Daily'!AN25</f>
        <v/>
      </c>
      <c r="X23" s="39" t="str">
        <f>'FS Desroches Daily'!AP25</f>
        <v/>
      </c>
      <c r="Y23" s="39" t="str">
        <f>'FS Desroches Daily'!AR25</f>
        <v/>
      </c>
      <c r="Z23" s="39" t="str">
        <f>'FS Desroches Daily'!AT25</f>
        <v/>
      </c>
      <c r="AA23" s="39" t="str">
        <f>'FS Desroches Daily'!AT25</f>
        <v/>
      </c>
      <c r="AB23" s="39" t="str">
        <f>'FS Desroches Daily'!AV25</f>
        <v/>
      </c>
      <c r="AC23" s="39" t="str">
        <f>'FS Desroches Daily'!AZ25</f>
        <v/>
      </c>
      <c r="AD23" s="39" t="str">
        <f>'FS Desroches Daily'!BB25</f>
        <v/>
      </c>
      <c r="AE23" s="39" t="str">
        <f>'FS Desroches Daily'!BD25</f>
        <v/>
      </c>
      <c r="AF23" s="35" t="str">
        <f>'FS Desroches Daily'!BF25</f>
        <v/>
      </c>
      <c r="AG23" s="36" t="str">
        <f>'FS Desroches Daily'!BH25</f>
        <v/>
      </c>
      <c r="AH23" s="36" t="str">
        <f>'FS Desroches Daily'!BJ25</f>
        <v/>
      </c>
      <c r="AI23" s="36" t="str">
        <f>'FS Desroches Daily'!BL25</f>
        <v/>
      </c>
      <c r="AJ23" s="36" t="str">
        <f>'FS Desroches Daily'!BN25</f>
        <v/>
      </c>
      <c r="AK23" s="36" t="str">
        <f>'FS Desroches Daily'!BP25</f>
        <v/>
      </c>
      <c r="AL23" s="36" t="str">
        <f>'FS Desroches Daily'!BR25</f>
        <v/>
      </c>
      <c r="AM23" s="36" t="str">
        <f>'FS Desroches Daily'!BT25</f>
        <v/>
      </c>
      <c r="AN23" s="36" t="str">
        <f>'FS Desroches Daily'!BV25</f>
        <v/>
      </c>
      <c r="AO23" s="36" t="str">
        <f>'FS Desroches Daily'!BX25</f>
        <v/>
      </c>
      <c r="AP23" s="36" t="str">
        <f>'FS Desroches Daily'!BZ25</f>
        <v/>
      </c>
      <c r="AQ23" s="35" t="str">
        <f>'FS Desroches Daily'!CB25</f>
        <v/>
      </c>
      <c r="AR23" s="35" t="str">
        <f>'FS Desroches Daily'!CD25</f>
        <v/>
      </c>
      <c r="AS23" s="35" t="str">
        <f>'FS Desroches Daily'!CF25</f>
        <v/>
      </c>
      <c r="AT23" s="35" t="str">
        <f>'FS Desroches Daily'!CH25</f>
        <v/>
      </c>
      <c r="AU23" s="35" t="str">
        <f>'FS Desroches Daily'!CJ25</f>
        <v/>
      </c>
      <c r="AV23" s="35" t="str">
        <f>'FS Desroches Daily'!CL25</f>
        <v/>
      </c>
      <c r="AW23" s="35">
        <f>'FS Desroches Daily'!CM25</f>
        <v>0</v>
      </c>
      <c r="AX23" s="35" t="str">
        <f>IF(LPG!F30-LPG!F29&lt;0,"0",(LPG!F30-LPG!F29)*1.8315)</f>
        <v>0</v>
      </c>
      <c r="AY23" s="35" t="str">
        <f>IF(LPG!H30-LPG!H29&lt;0,"0",(LPG!H30-LPG!H29)*1.8315)</f>
        <v>0</v>
      </c>
      <c r="AZ23" s="35" t="str">
        <f>IF(LPG!J30-LPG!J29&lt;0,"0",(LPG!J30-LPG!J29)*1.8315)</f>
        <v>0</v>
      </c>
      <c r="BA23" s="35" t="str">
        <f>IF(LPG!M30-LPG!M29&lt;0,"0",(LPG!M30-LPG!M29)*1.8315)</f>
        <v>0</v>
      </c>
      <c r="BB23" s="35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59500.000000000102</v>
      </c>
      <c r="F33" s="17">
        <f t="shared" ref="F33:BC33" si="1">SUM(F2:F32)</f>
        <v>80799.999999999985</v>
      </c>
      <c r="G33" s="17">
        <f t="shared" si="1"/>
        <v>68899.999999999753</v>
      </c>
      <c r="H33" s="17">
        <f t="shared" si="1"/>
        <v>33800.000000000058</v>
      </c>
      <c r="I33" s="17">
        <f t="shared" si="1"/>
        <v>48300.000000000015</v>
      </c>
      <c r="J33" s="17">
        <f t="shared" si="1"/>
        <v>41700.000000000065</v>
      </c>
      <c r="K33" s="17">
        <f t="shared" si="1"/>
        <v>394</v>
      </c>
      <c r="L33" s="17">
        <f t="shared" si="1"/>
        <v>177</v>
      </c>
      <c r="M33" s="17">
        <f t="shared" si="1"/>
        <v>26264</v>
      </c>
      <c r="N33" s="17">
        <f t="shared" si="1"/>
        <v>10309</v>
      </c>
      <c r="O33" s="17">
        <f t="shared" si="1"/>
        <v>9330.0000000000437</v>
      </c>
      <c r="P33" s="17">
        <f t="shared" si="1"/>
        <v>72000.000000000073</v>
      </c>
      <c r="Q33" s="17">
        <f t="shared" si="1"/>
        <v>10720.000000000025</v>
      </c>
      <c r="R33" s="17">
        <f t="shared" si="1"/>
        <v>9620.0000000000036</v>
      </c>
      <c r="S33" s="17">
        <f t="shared" si="1"/>
        <v>18879.999999999993</v>
      </c>
      <c r="T33" s="17">
        <f t="shared" si="1"/>
        <v>40.800000000000182</v>
      </c>
      <c r="U33" s="39">
        <f t="shared" si="1"/>
        <v>11939.999999999998</v>
      </c>
      <c r="V33" s="39">
        <f t="shared" si="1"/>
        <v>4.9899999999999949</v>
      </c>
      <c r="W33" s="39">
        <f t="shared" si="1"/>
        <v>4.8499999999999943</v>
      </c>
      <c r="X33" s="39">
        <f t="shared" si="1"/>
        <v>4.3399999999999892</v>
      </c>
      <c r="Y33" s="39">
        <f t="shared" si="1"/>
        <v>3979.9999999999891</v>
      </c>
      <c r="Z33" s="39">
        <f t="shared" si="1"/>
        <v>5242.580000000009</v>
      </c>
      <c r="AA33" s="39">
        <f t="shared" si="1"/>
        <v>5242.580000000009</v>
      </c>
      <c r="AB33" s="39">
        <f t="shared" si="1"/>
        <v>4499.9999999999991</v>
      </c>
      <c r="AC33" s="39">
        <f t="shared" si="1"/>
        <v>3620.0000000000045</v>
      </c>
      <c r="AD33" s="39">
        <f t="shared" si="1"/>
        <v>3580.0000000000409</v>
      </c>
      <c r="AE33" s="39">
        <f t="shared" si="1"/>
        <v>259.99999999999091</v>
      </c>
      <c r="AF33" s="17">
        <f t="shared" si="1"/>
        <v>1313</v>
      </c>
      <c r="AG33" s="36">
        <f t="shared" si="1"/>
        <v>670.00000000001592</v>
      </c>
      <c r="AH33" s="36">
        <f t="shared" si="1"/>
        <v>839.99999999997499</v>
      </c>
      <c r="AI33" s="36">
        <f t="shared" si="1"/>
        <v>939.99999999999773</v>
      </c>
      <c r="AJ33" s="36">
        <f t="shared" si="1"/>
        <v>840.00000000000341</v>
      </c>
      <c r="AK33" s="36">
        <f t="shared" si="1"/>
        <v>850.00000000002274</v>
      </c>
      <c r="AL33" s="36">
        <f t="shared" si="1"/>
        <v>821</v>
      </c>
      <c r="AM33" s="36">
        <f t="shared" si="1"/>
        <v>879.99999999999545</v>
      </c>
      <c r="AN33" s="36">
        <f t="shared" si="1"/>
        <v>850</v>
      </c>
      <c r="AO33" s="36">
        <f t="shared" si="1"/>
        <v>810.00000000000227</v>
      </c>
      <c r="AP33" s="36">
        <f t="shared" si="1"/>
        <v>1272</v>
      </c>
      <c r="AQ33" s="17">
        <f t="shared" si="1"/>
        <v>833.30000000000291</v>
      </c>
      <c r="AR33" s="17">
        <f t="shared" si="1"/>
        <v>239</v>
      </c>
      <c r="AS33" s="17">
        <f t="shared" si="1"/>
        <v>204.40000000000055</v>
      </c>
      <c r="AT33" s="17">
        <f t="shared" si="1"/>
        <v>1695.4000000000015</v>
      </c>
      <c r="AU33" s="17">
        <f t="shared" si="1"/>
        <v>6333</v>
      </c>
      <c r="AV33" s="17">
        <f t="shared" si="1"/>
        <v>12269.999999999982</v>
      </c>
      <c r="AW33" s="17">
        <f t="shared" si="1"/>
        <v>1931.8000000000002</v>
      </c>
      <c r="AX33" s="17">
        <f t="shared" si="1"/>
        <v>309.52349999999996</v>
      </c>
      <c r="AY33" s="17">
        <f t="shared" si="1"/>
        <v>76.922999999999973</v>
      </c>
      <c r="AZ33" s="17">
        <f t="shared" si="1"/>
        <v>9.1574999999999989</v>
      </c>
      <c r="BA33" s="17">
        <f t="shared" si="1"/>
        <v>89.743499999999983</v>
      </c>
      <c r="BB33" s="17">
        <f t="shared" si="1"/>
        <v>98.900999999999968</v>
      </c>
      <c r="BC33" s="17">
        <f t="shared" si="1"/>
        <v>1049</v>
      </c>
    </row>
    <row r="35" spans="5:55" x14ac:dyDescent="0.25">
      <c r="E35" s="42">
        <f>E33/E37</f>
        <v>0.21570632037645326</v>
      </c>
      <c r="G35" s="33">
        <f>G33-M36</f>
        <v>32326.999999999753</v>
      </c>
      <c r="AE35" s="39">
        <f>SUM(U33:AE33)</f>
        <v>38379.340000000047</v>
      </c>
      <c r="AG35" s="36">
        <f>SUM(AG33:AP33)</f>
        <v>8773.0000000000127</v>
      </c>
    </row>
    <row r="36" spans="5:55" x14ac:dyDescent="0.25">
      <c r="G36" s="33">
        <f>G35-633*14</f>
        <v>23464.999999999753</v>
      </c>
      <c r="M36" s="33">
        <f>M33+N33</f>
        <v>36573</v>
      </c>
    </row>
    <row r="37" spans="5:55" x14ac:dyDescent="0.25">
      <c r="E37" s="17">
        <f>E33+F33+G33+H33+J33-633*14</f>
        <v>275837.99999999994</v>
      </c>
      <c r="G37" s="41">
        <f>M36/E37</f>
        <v>0.13258869336349599</v>
      </c>
      <c r="M37" s="39">
        <f>AE35</f>
        <v>38379.340000000047</v>
      </c>
    </row>
    <row r="38" spans="5:55" x14ac:dyDescent="0.25">
      <c r="L38" s="31">
        <f>M38/E37</f>
        <v>3.1804899977523095E-2</v>
      </c>
      <c r="M38" s="33">
        <f>AG35</f>
        <v>8773.0000000000127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W1" zoomScale="70" zoomScaleNormal="70" workbookViewId="0">
      <pane ySplit="1" topLeftCell="A5" activePane="bottomLeft" state="frozen"/>
      <selection pane="bottomLeft" activeCell="CO25" sqref="CO25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4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769923</v>
      </c>
      <c r="T24" s="72">
        <f t="shared" si="44"/>
        <v>1421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45">
      <c r="A25" s="70">
        <v>43883</v>
      </c>
      <c r="B25" s="48"/>
      <c r="C25" s="64"/>
      <c r="D25" s="71" t="str">
        <f t="shared" si="3"/>
        <v>0</v>
      </c>
      <c r="E25" s="64"/>
      <c r="F25" s="71" t="str">
        <f t="shared" si="4"/>
        <v>0</v>
      </c>
      <c r="G25" s="64"/>
      <c r="H25" s="71" t="str">
        <f t="shared" si="5"/>
        <v>0</v>
      </c>
      <c r="I25" s="64"/>
      <c r="J25" s="71" t="str">
        <f t="shared" si="43"/>
        <v>0</v>
      </c>
      <c r="K25" s="64"/>
      <c r="L25" s="71" t="str">
        <f t="shared" si="0"/>
        <v>0</v>
      </c>
      <c r="M25" s="64"/>
      <c r="N25" s="71" t="str">
        <f t="shared" si="6"/>
        <v/>
      </c>
      <c r="O25" s="64"/>
      <c r="P25" s="72" t="str">
        <f t="shared" si="7"/>
        <v/>
      </c>
      <c r="Q25" s="64"/>
      <c r="R25" s="72" t="str">
        <f t="shared" si="8"/>
        <v/>
      </c>
      <c r="S25" s="64"/>
      <c r="T25" s="72" t="str">
        <f t="shared" si="44"/>
        <v/>
      </c>
      <c r="U25" s="64"/>
      <c r="V25" s="72" t="str">
        <f t="shared" si="10"/>
        <v/>
      </c>
      <c r="W25" s="64"/>
      <c r="X25" s="72" t="str">
        <f t="shared" si="23"/>
        <v/>
      </c>
      <c r="Y25" s="64"/>
      <c r="Z25" s="72" t="str">
        <f t="shared" si="24"/>
        <v/>
      </c>
      <c r="AA25" s="64"/>
      <c r="AB25" s="72" t="str">
        <f t="shared" si="25"/>
        <v/>
      </c>
      <c r="AC25" s="64"/>
      <c r="AD25" s="72" t="str">
        <f t="shared" si="26"/>
        <v/>
      </c>
      <c r="AE25" s="64"/>
      <c r="AF25" s="72" t="str">
        <f t="shared" si="27"/>
        <v/>
      </c>
      <c r="AG25" s="64"/>
      <c r="AH25" s="72" t="str">
        <f t="shared" si="11"/>
        <v/>
      </c>
      <c r="AI25" s="64"/>
      <c r="AJ25" s="72" t="str">
        <f t="shared" si="28"/>
        <v/>
      </c>
      <c r="AK25" s="64"/>
      <c r="AL25" s="72" t="str">
        <f t="shared" si="12"/>
        <v/>
      </c>
      <c r="AM25" s="64"/>
      <c r="AN25" s="72" t="str">
        <f t="shared" si="13"/>
        <v/>
      </c>
      <c r="AO25" s="64"/>
      <c r="AP25" s="72" t="str">
        <f t="shared" si="14"/>
        <v/>
      </c>
      <c r="AQ25" s="64"/>
      <c r="AR25" s="72" t="str">
        <f t="shared" si="29"/>
        <v/>
      </c>
      <c r="AS25" s="64"/>
      <c r="AT25" s="72" t="str">
        <f t="shared" si="30"/>
        <v/>
      </c>
      <c r="AU25" s="64"/>
      <c r="AV25" s="72" t="str">
        <f t="shared" si="31"/>
        <v/>
      </c>
      <c r="AW25" s="64"/>
      <c r="AX25" s="72" t="str">
        <f t="shared" si="32"/>
        <v/>
      </c>
      <c r="AY25" s="64"/>
      <c r="AZ25" s="72" t="str">
        <f t="shared" si="33"/>
        <v/>
      </c>
      <c r="BA25" s="64"/>
      <c r="BB25" s="72" t="str">
        <f t="shared" si="34"/>
        <v/>
      </c>
      <c r="BC25" s="64"/>
      <c r="BD25" s="72" t="str">
        <f t="shared" si="35"/>
        <v/>
      </c>
      <c r="BE25" s="66"/>
      <c r="BF25" s="72" t="str">
        <f t="shared" si="15"/>
        <v/>
      </c>
      <c r="BG25" s="67"/>
      <c r="BH25" s="72" t="str">
        <f t="shared" si="36"/>
        <v/>
      </c>
      <c r="BI25" s="67"/>
      <c r="BJ25" s="72" t="str">
        <f t="shared" si="37"/>
        <v/>
      </c>
      <c r="BK25" s="67"/>
      <c r="BL25" s="72" t="str">
        <f t="shared" si="38"/>
        <v/>
      </c>
      <c r="BM25" s="67"/>
      <c r="BN25" s="72" t="str">
        <f t="shared" si="39"/>
        <v/>
      </c>
      <c r="BO25" s="67"/>
      <c r="BP25" s="72" t="str">
        <f t="shared" si="40"/>
        <v/>
      </c>
      <c r="BQ25" s="67"/>
      <c r="BR25" s="72" t="str">
        <f t="shared" si="16"/>
        <v/>
      </c>
      <c r="BS25" s="67"/>
      <c r="BT25" s="72" t="str">
        <f t="shared" si="41"/>
        <v/>
      </c>
      <c r="BU25" s="67"/>
      <c r="BV25" s="72" t="str">
        <f t="shared" si="1"/>
        <v/>
      </c>
      <c r="BW25" s="67"/>
      <c r="BX25" s="72" t="str">
        <f t="shared" si="42"/>
        <v/>
      </c>
      <c r="BY25" s="67"/>
      <c r="BZ25" s="72" t="str">
        <f t="shared" si="17"/>
        <v/>
      </c>
      <c r="CA25" s="67"/>
      <c r="CB25" s="72" t="str">
        <f t="shared" si="18"/>
        <v/>
      </c>
      <c r="CC25" s="67"/>
      <c r="CD25" s="72" t="str">
        <f t="shared" si="19"/>
        <v/>
      </c>
      <c r="CE25" s="67"/>
      <c r="CF25" s="72" t="str">
        <f t="shared" si="20"/>
        <v/>
      </c>
      <c r="CG25" s="67"/>
      <c r="CH25" s="72" t="str">
        <f t="shared" si="21"/>
        <v/>
      </c>
      <c r="CI25" s="67"/>
      <c r="CJ25" s="72" t="str">
        <f t="shared" si="2"/>
        <v/>
      </c>
      <c r="CK25" s="67"/>
      <c r="CL25" s="71" t="str">
        <f t="shared" si="22"/>
        <v/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394</v>
      </c>
      <c r="R35" s="76">
        <f>SUM(R4:R33)</f>
        <v>177</v>
      </c>
      <c r="AX35" s="72">
        <f t="shared" si="32"/>
        <v>0</v>
      </c>
      <c r="BF35" s="76">
        <f>SUM(BF4:BF33)</f>
        <v>1313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F21" sqref="F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25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2020-02-21T22:17:59Z</dcterms:modified>
</cp:coreProperties>
</file>