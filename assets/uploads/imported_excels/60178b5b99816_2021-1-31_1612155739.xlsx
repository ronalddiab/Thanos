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014C1CB8-00E0-484E-8993-B7D1DF53E92D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T33" i="2" l="1"/>
  <c r="B30" i="8" l="1"/>
  <c r="B31" i="8"/>
  <c r="B32" i="8"/>
  <c r="B33" i="8"/>
  <c r="B34" i="8"/>
  <c r="B29" i="4"/>
  <c r="B30" i="4"/>
  <c r="L30" i="4" s="1"/>
  <c r="B31" i="4"/>
  <c r="B32" i="4"/>
  <c r="B33" i="4"/>
  <c r="L29" i="4"/>
  <c r="L31" i="4"/>
  <c r="K29" i="4"/>
  <c r="K30" i="4"/>
  <c r="K31" i="4"/>
  <c r="J29" i="4"/>
  <c r="J30" i="4"/>
  <c r="J31" i="4"/>
  <c r="I29" i="4"/>
  <c r="I30" i="4"/>
  <c r="I31" i="4"/>
  <c r="H29" i="4"/>
  <c r="H30" i="4"/>
  <c r="H31" i="4"/>
  <c r="G29" i="4"/>
  <c r="G30" i="4"/>
  <c r="G31" i="4"/>
  <c r="F29" i="4"/>
  <c r="F30" i="4"/>
  <c r="F31" i="4"/>
  <c r="E29" i="4"/>
  <c r="E30" i="4"/>
  <c r="E31" i="4"/>
  <c r="U29" i="2"/>
  <c r="U30" i="2"/>
  <c r="U31" i="2"/>
  <c r="U32" i="2"/>
  <c r="U33" i="2"/>
  <c r="K32" i="4" s="1"/>
  <c r="U34" i="2"/>
  <c r="K33" i="4" s="1"/>
  <c r="T29" i="2"/>
  <c r="T30" i="2"/>
  <c r="T31" i="2"/>
  <c r="T32" i="2"/>
  <c r="J32" i="4"/>
  <c r="T34" i="2"/>
  <c r="S29" i="2"/>
  <c r="S30" i="2"/>
  <c r="S31" i="2"/>
  <c r="S32" i="2"/>
  <c r="S33" i="2"/>
  <c r="S34" i="2"/>
  <c r="R29" i="2"/>
  <c r="R30" i="2"/>
  <c r="R31" i="2"/>
  <c r="R32" i="2"/>
  <c r="R33" i="2"/>
  <c r="R34" i="2"/>
  <c r="Q29" i="2"/>
  <c r="Q30" i="2"/>
  <c r="Q31" i="2"/>
  <c r="Q32" i="2"/>
  <c r="Q33" i="2"/>
  <c r="Q34" i="2"/>
  <c r="P29" i="2"/>
  <c r="P30" i="2"/>
  <c r="P31" i="2"/>
  <c r="P32" i="2"/>
  <c r="P33" i="2"/>
  <c r="P34" i="2"/>
  <c r="O29" i="2"/>
  <c r="O30" i="2"/>
  <c r="O31" i="2"/>
  <c r="O32" i="2"/>
  <c r="O33" i="2"/>
  <c r="O34" i="2"/>
  <c r="N29" i="2"/>
  <c r="N30" i="2"/>
  <c r="N31" i="2"/>
  <c r="N32" i="2"/>
  <c r="N33" i="2"/>
  <c r="N34" i="2"/>
  <c r="M29" i="2"/>
  <c r="M30" i="2"/>
  <c r="M31" i="2"/>
  <c r="M32" i="2"/>
  <c r="M33" i="2"/>
  <c r="M34" i="2"/>
  <c r="L29" i="2"/>
  <c r="L30" i="2"/>
  <c r="L31" i="2"/>
  <c r="L32" i="2"/>
  <c r="L33" i="2"/>
  <c r="H32" i="4" s="1"/>
  <c r="L34" i="2"/>
  <c r="H33" i="4" s="1"/>
  <c r="K29" i="2"/>
  <c r="K30" i="2"/>
  <c r="K31" i="2"/>
  <c r="K32" i="2"/>
  <c r="K33" i="2"/>
  <c r="K34" i="2"/>
  <c r="J29" i="2"/>
  <c r="J30" i="2"/>
  <c r="J31" i="2"/>
  <c r="J32" i="2"/>
  <c r="J33" i="2"/>
  <c r="J34" i="2"/>
  <c r="I29" i="2"/>
  <c r="I30" i="2"/>
  <c r="I31" i="2"/>
  <c r="I32" i="2"/>
  <c r="I33" i="2"/>
  <c r="I34" i="2"/>
  <c r="H29" i="2"/>
  <c r="H30" i="2"/>
  <c r="H31" i="2"/>
  <c r="H32" i="2"/>
  <c r="H33" i="2"/>
  <c r="H34" i="2"/>
  <c r="G29" i="2"/>
  <c r="G30" i="2"/>
  <c r="G31" i="2"/>
  <c r="G32" i="2"/>
  <c r="G33" i="2"/>
  <c r="G34" i="2"/>
  <c r="F29" i="2"/>
  <c r="F30" i="2"/>
  <c r="F31" i="2"/>
  <c r="F32" i="2"/>
  <c r="F33" i="2"/>
  <c r="F34" i="2"/>
  <c r="E30" i="2"/>
  <c r="E31" i="2"/>
  <c r="E32" i="2"/>
  <c r="E33" i="2"/>
  <c r="E32" i="4" s="1"/>
  <c r="E34" i="2"/>
  <c r="E33" i="4" s="1"/>
  <c r="D30" i="2"/>
  <c r="D31" i="2"/>
  <c r="D32" i="2"/>
  <c r="D31" i="4" s="1"/>
  <c r="D33" i="2"/>
  <c r="D32" i="4" s="1"/>
  <c r="D34" i="2"/>
  <c r="C31" i="2"/>
  <c r="C30" i="4" s="1"/>
  <c r="C32" i="2"/>
  <c r="C31" i="4" s="1"/>
  <c r="C33" i="2"/>
  <c r="C34" i="2"/>
  <c r="D29" i="4"/>
  <c r="D30" i="4"/>
  <c r="C32" i="4"/>
  <c r="C33" i="4"/>
  <c r="B29" i="2"/>
  <c r="V29" i="2" s="1"/>
  <c r="B28" i="2"/>
  <c r="B30" i="2"/>
  <c r="V30" i="2" s="1"/>
  <c r="B31" i="2"/>
  <c r="V31" i="2" s="1"/>
  <c r="B32" i="2"/>
  <c r="C31" i="3" s="1"/>
  <c r="B33" i="2"/>
  <c r="B34" i="2"/>
  <c r="J33" i="4" l="1"/>
  <c r="G33" i="4"/>
  <c r="G32" i="4"/>
  <c r="I32" i="4"/>
  <c r="F33" i="4"/>
  <c r="F32" i="4"/>
  <c r="I33" i="4"/>
  <c r="V34" i="2"/>
  <c r="D33" i="4"/>
  <c r="V33" i="2"/>
  <c r="M32" i="3" s="1"/>
  <c r="V32" i="2"/>
  <c r="S27" i="2"/>
  <c r="L32" i="4" l="1"/>
  <c r="L3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B4" i="4" l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C33" i="3"/>
  <c r="D33" i="3"/>
  <c r="E33" i="3"/>
  <c r="J33" i="3"/>
  <c r="K33" i="3"/>
  <c r="L33" i="3"/>
  <c r="D34" i="4" l="1"/>
  <c r="D36" i="4" s="1"/>
  <c r="I33" i="3"/>
  <c r="H33" i="3"/>
  <c r="F33" i="3" l="1"/>
  <c r="M33" i="3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A33" i="4"/>
  <c r="A33" i="3"/>
  <c r="B35" i="2"/>
  <c r="A34" i="2"/>
  <c r="A33" i="8" l="1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P6" i="8"/>
  <c r="P10" i="8"/>
  <c r="X10" i="8"/>
  <c r="P14" i="8"/>
  <c r="X6" i="8"/>
  <c r="X30" i="8"/>
  <c r="R30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C5" i="2" l="1"/>
  <c r="C4" i="2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K28" i="4"/>
  <c r="L31" i="3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F29" i="3"/>
  <c r="F30" i="3"/>
  <c r="F31" i="3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5" i="2"/>
  <c r="R6" i="2"/>
  <c r="R7" i="2"/>
  <c r="R8" i="2"/>
  <c r="R11" i="2"/>
  <c r="R4" i="2"/>
  <c r="A30" i="4"/>
  <c r="A31" i="4"/>
  <c r="A32" i="4"/>
  <c r="C29" i="3"/>
  <c r="C30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24" i="2"/>
  <c r="V16" i="2"/>
  <c r="M15" i="3" s="1"/>
  <c r="F4" i="3"/>
  <c r="V5" i="2"/>
  <c r="M4" i="3" s="1"/>
  <c r="M35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M28" i="3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26" i="4"/>
  <c r="D24" i="3"/>
  <c r="C23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K31" i="3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17" i="3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J32" i="3"/>
  <c r="J31" i="3"/>
  <c r="G32" i="3"/>
  <c r="I31" i="3"/>
  <c r="E32" i="3"/>
  <c r="E31" i="3"/>
  <c r="F32" i="3"/>
  <c r="G30" i="3"/>
  <c r="I30" i="3"/>
  <c r="H30" i="3"/>
  <c r="J30" i="3"/>
  <c r="E30" i="3"/>
  <c r="K30" i="3"/>
  <c r="K29" i="3"/>
  <c r="C28" i="4"/>
  <c r="L29" i="3"/>
  <c r="J29" i="3"/>
  <c r="I29" i="3"/>
  <c r="E29" i="3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22" i="4"/>
  <c r="L19" i="4"/>
  <c r="L27" i="4"/>
  <c r="L16" i="4"/>
  <c r="L24" i="4"/>
  <c r="L21" i="4"/>
  <c r="L28" i="4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<sst xmlns="http://schemas.openxmlformats.org/spreadsheetml/2006/main" count="201" uniqueCount="128">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</sst>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15699.999999999985</c:v>
                </c:pt>
                <c:pt idx="1">
                  <c:v>78200.000000000029</c:v>
                </c:pt>
                <c:pt idx="2">
                  <c:v>7880.0000000000246</c:v>
                </c:pt>
                <c:pt idx="3">
                  <c:v>29810.000000000004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1002</c:v>
                </c:pt>
                <c:pt idx="1">
                  <c:v>9.7111843380500093E-2</c:v>
                </c:pt>
                <c:pt idx="2" formatCode="_(* #,##0.00_);_(* \(#,##0.00\);_(* &quot;-&quot;??_);_(@_)">
                  <c:v>4571</c:v>
                </c:pt>
                <c:pt idx="3">
                  <c:v>0.44301221166892807</c:v>
                </c:pt>
                <c:pt idx="4" formatCode="0.00">
                  <c:v>189</c:v>
                </c:pt>
                <c:pt idx="5">
                  <c:v>1.8317503392130258E-2</c:v>
                </c:pt>
                <c:pt idx="6" formatCode="0.00">
                  <c:v>723</c:v>
                </c:pt>
                <c:pt idx="7">
                  <c:v>7.0071719325450671E-2</c:v>
                </c:pt>
                <c:pt idx="8" formatCode="0.00">
                  <c:v>214</c:v>
                </c:pt>
                <c:pt idx="9">
                  <c:v>2.0740453576274472E-2</c:v>
                </c:pt>
                <c:pt idx="10" formatCode="0.00">
                  <c:v>104</c:v>
                </c:pt>
                <c:pt idx="11">
                  <c:v>1.007947276603993E-2</c:v>
                </c:pt>
                <c:pt idx="12" formatCode="0.00">
                  <c:v>11</c:v>
                </c:pt>
                <c:pt idx="13">
                  <c:v>1.0660980810234541E-3</c:v>
                </c:pt>
                <c:pt idx="14" formatCode="_(* #,##0.00_);_(* \(#,##0.00\);_(* &quot;-&quot;??_);_(@_)">
                  <c:v>1895</c:v>
                </c:pt>
                <c:pt idx="15">
                  <c:v>0.18365962395813143</c:v>
                </c:pt>
                <c:pt idx="16" formatCode="0.00">
                  <c:v>767</c:v>
                </c:pt>
                <c:pt idx="17">
                  <c:v>7.4336111649544484E-2</c:v>
                </c:pt>
                <c:pt idx="18" formatCode="0.00">
                  <c:v>351</c:v>
                </c:pt>
                <c:pt idx="19">
                  <c:v>3.4018220585384763E-2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0" zoomScale="85" zoomScaleNormal="85" workbookViewId="0">
      <selection activeCell="A30" sqref="A30:XFD3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1.3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1.3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1.3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450</v>
      </c>
      <c r="L5" s="76">
        <v>1.3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495</v>
      </c>
      <c r="L6" s="76">
        <v>1.3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1.3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1.3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1.3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1440</v>
      </c>
      <c r="L10" s="76">
        <v>1.3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1.3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630</v>
      </c>
      <c r="L12" s="76">
        <v>1.3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1.3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1080</v>
      </c>
      <c r="L14" s="76">
        <v>1.3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1.3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1.3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585</v>
      </c>
      <c r="L17" s="76">
        <v>1.3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1.3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1.3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1.3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1.3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1665</v>
      </c>
      <c r="L22" s="76">
        <v>1.3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1.3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1.3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1.3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1.3</v>
      </c>
      <c r="M26" s="72">
        <v>36</v>
      </c>
      <c r="N26" s="72">
        <v>89</v>
      </c>
      <c r="O26" s="72">
        <v>254</v>
      </c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20749.999999999545</v>
      </c>
      <c r="F27" s="48">
        <v>0.14000000000000001</v>
      </c>
      <c r="G27" s="107">
        <v>5556</v>
      </c>
      <c r="H27" s="48">
        <v>0.4453480216384178</v>
      </c>
      <c r="I27" s="65">
        <v>251</v>
      </c>
      <c r="J27" s="76">
        <v>0.4</v>
      </c>
      <c r="K27" s="108">
        <v>675</v>
      </c>
      <c r="L27" s="76">
        <v>1.3</v>
      </c>
      <c r="M27" s="72">
        <v>36</v>
      </c>
      <c r="N27" s="72">
        <v>86</v>
      </c>
      <c r="O27" s="72">
        <v>240</v>
      </c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20950.000000000728</v>
      </c>
      <c r="F28" s="48">
        <v>0.14000000000000001</v>
      </c>
      <c r="G28" s="107">
        <v>5765</v>
      </c>
      <c r="H28" s="48">
        <v>0.4453480216384178</v>
      </c>
      <c r="I28" s="65">
        <v>308</v>
      </c>
      <c r="J28" s="76">
        <v>0.4</v>
      </c>
      <c r="K28" s="108">
        <v>0</v>
      </c>
      <c r="L28" s="76">
        <v>1.3</v>
      </c>
      <c r="M28" s="72">
        <v>40</v>
      </c>
      <c r="N28" s="72">
        <v>99</v>
      </c>
      <c r="O28" s="72">
        <v>244</v>
      </c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21319.999999999251</v>
      </c>
      <c r="F29" s="48">
        <v>0.14000000000000001</v>
      </c>
      <c r="G29" s="107">
        <v>5708</v>
      </c>
      <c r="H29" s="48">
        <v>0.4453480216384178</v>
      </c>
      <c r="I29" s="65">
        <v>247</v>
      </c>
      <c r="J29" s="76">
        <v>0.4</v>
      </c>
      <c r="K29" s="108">
        <v>0</v>
      </c>
      <c r="L29" s="76">
        <v>1.3</v>
      </c>
      <c r="M29" s="72">
        <v>33</v>
      </c>
      <c r="N29" s="72">
        <v>86</v>
      </c>
      <c r="O29" s="72">
        <v>214</v>
      </c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20730.000000000018</v>
      </c>
      <c r="F30" s="48">
        <v>0.14000000000000001</v>
      </c>
      <c r="G30" s="107">
        <v>5662</v>
      </c>
      <c r="H30" s="48">
        <v>0.4453480216384178</v>
      </c>
      <c r="I30" s="65">
        <v>268</v>
      </c>
      <c r="J30" s="76">
        <v>0.4</v>
      </c>
      <c r="K30" s="108">
        <v>0</v>
      </c>
      <c r="L30" s="76">
        <v>1.3</v>
      </c>
      <c r="M30" s="72">
        <v>29</v>
      </c>
      <c r="N30" s="72">
        <v>76</v>
      </c>
      <c r="O30" s="72">
        <v>215</v>
      </c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21599.999999999913</v>
      </c>
      <c r="F31" s="48">
        <v>0.14000000000000001</v>
      </c>
      <c r="G31" s="107">
        <v>5898</v>
      </c>
      <c r="H31" s="48">
        <v>0.4453480216384178</v>
      </c>
      <c r="I31" s="65">
        <v>250</v>
      </c>
      <c r="J31" s="76">
        <v>0.4</v>
      </c>
      <c r="K31" s="108">
        <v>1035</v>
      </c>
      <c r="L31" s="76">
        <v>1.3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21840.000000000829</v>
      </c>
      <c r="F32" s="48">
        <v>0.14000000000000001</v>
      </c>
      <c r="G32" s="107">
        <v>62.400000000000318</v>
      </c>
      <c r="H32" s="48">
        <v>0.4453480216384178</v>
      </c>
      <c r="I32" s="65">
        <v>231</v>
      </c>
      <c r="J32" s="76">
        <v>0.4</v>
      </c>
      <c r="K32" s="108">
        <v>585</v>
      </c>
      <c r="L32" s="76">
        <v>1.3</v>
      </c>
      <c r="M32" s="72"/>
      <c r="N32" s="72"/>
      <c r="O32" s="72"/>
    </row>
    <row r="33" spans="1:15" ht="18.75" customHeight="1" x14ac:dyDescent="0.2">
      <c r="A33" s="110" t="s">
        <v>53</v>
      </c>
      <c r="B33" s="110"/>
      <c r="C33" s="110"/>
      <c r="D33" s="110"/>
      <c r="E33" s="101">
        <f>SUM(E2:E32)</f>
        <v>650620.00000000012</v>
      </c>
      <c r="F33" s="104">
        <v>0</v>
      </c>
      <c r="G33" s="101">
        <f>SUM(G2:G32)</f>
        <v>173270.39999999999</v>
      </c>
      <c r="H33" s="102">
        <v>0</v>
      </c>
      <c r="I33" s="103">
        <f>SUM(I2:I32)</f>
        <v>8544</v>
      </c>
      <c r="J33" s="104">
        <v>0</v>
      </c>
      <c r="K33" s="105">
        <v>0</v>
      </c>
      <c r="L33" s="102">
        <v>0</v>
      </c>
      <c r="M33" s="106">
        <f t="shared" ref="M33:O33" si="1">SUM(M2:M32)</f>
        <v>1350</v>
      </c>
      <c r="N33" s="106">
        <f t="shared" si="1"/>
        <v>3471</v>
      </c>
      <c r="O33" s="106">
        <f t="shared" si="1"/>
        <v>9739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9" zoomScale="78" zoomScaleNormal="78" workbookViewId="0">
      <selection activeCell="T35" sqref="T3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1" t="s">
        <v>10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77"/>
      <c r="V1" s="77"/>
    </row>
    <row r="2" spans="1:25" s="17" customFormat="1" ht="33" customHeight="1" x14ac:dyDescent="0.25">
      <c r="A2" s="29" t="s">
        <v>2</v>
      </c>
      <c r="B2" s="118" t="s">
        <v>11</v>
      </c>
      <c r="C2" s="118" t="s">
        <v>12</v>
      </c>
      <c r="D2" s="118" t="s">
        <v>13</v>
      </c>
      <c r="E2" s="118" t="s">
        <v>14</v>
      </c>
      <c r="F2" s="118" t="s">
        <v>15</v>
      </c>
      <c r="G2" s="113" t="s">
        <v>16</v>
      </c>
      <c r="H2" s="115" t="s">
        <v>17</v>
      </c>
      <c r="I2" s="118" t="s">
        <v>18</v>
      </c>
      <c r="J2" s="120" t="s">
        <v>19</v>
      </c>
      <c r="K2" s="121"/>
      <c r="L2" s="122"/>
      <c r="M2" s="113" t="s">
        <v>20</v>
      </c>
      <c r="N2" s="115" t="s">
        <v>21</v>
      </c>
      <c r="O2" s="116" t="s">
        <v>22</v>
      </c>
      <c r="P2" s="115" t="s">
        <v>23</v>
      </c>
      <c r="Q2" s="123" t="s">
        <v>24</v>
      </c>
      <c r="R2" s="118" t="s">
        <v>25</v>
      </c>
      <c r="S2" s="118" t="s">
        <v>26</v>
      </c>
      <c r="T2" s="118" t="s">
        <v>27</v>
      </c>
      <c r="V2" s="125" t="s">
        <v>6</v>
      </c>
      <c r="W2" s="125" t="s">
        <v>7</v>
      </c>
      <c r="X2" s="125" t="s">
        <v>8</v>
      </c>
    </row>
    <row r="3" spans="1:25" s="17" customFormat="1" ht="45" customHeight="1" x14ac:dyDescent="0.25">
      <c r="A3" s="30"/>
      <c r="B3" s="119"/>
      <c r="C3" s="119"/>
      <c r="D3" s="119"/>
      <c r="E3" s="119"/>
      <c r="F3" s="119"/>
      <c r="G3" s="114"/>
      <c r="H3" s="115"/>
      <c r="I3" s="119"/>
      <c r="J3" s="18" t="s">
        <v>28</v>
      </c>
      <c r="K3" s="18" t="s">
        <v>29</v>
      </c>
      <c r="L3" s="18" t="s">
        <v>30</v>
      </c>
      <c r="M3" s="114"/>
      <c r="N3" s="115"/>
      <c r="O3" s="117"/>
      <c r="P3" s="115"/>
      <c r="Q3" s="124"/>
      <c r="R3" s="119"/>
      <c r="S3" s="119"/>
      <c r="T3" s="119"/>
      <c r="V3" s="125"/>
      <c r="W3" s="125"/>
      <c r="X3" s="125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>
        <v>36</v>
      </c>
      <c r="W28" s="71">
        <v>89</v>
      </c>
      <c r="X28" s="71">
        <v>254</v>
      </c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>
        <v>36</v>
      </c>
      <c r="W29" s="71">
        <v>86</v>
      </c>
      <c r="X29" s="71">
        <v>240</v>
      </c>
      <c r="Y29" s="17"/>
    </row>
    <row r="30" spans="1:25" ht="21" customHeight="1" x14ac:dyDescent="0.25">
      <c r="A30" s="8">
        <v>44223</v>
      </c>
      <c r="B30" s="1">
        <v>784.49</v>
      </c>
      <c r="C30" s="1">
        <v>194.17</v>
      </c>
      <c r="D30" s="1">
        <v>7117788.8799999999</v>
      </c>
      <c r="E30" s="1">
        <v>7716351.7800000003</v>
      </c>
      <c r="F30" s="1">
        <v>2.0013000000000001</v>
      </c>
      <c r="G30" s="1">
        <v>604.61</v>
      </c>
      <c r="H30" s="1">
        <v>502.86</v>
      </c>
      <c r="I30" s="1">
        <v>187.88</v>
      </c>
      <c r="J30" s="1">
        <v>280.74</v>
      </c>
      <c r="K30" s="1">
        <v>293.67</v>
      </c>
      <c r="L30" s="1">
        <v>201.64</v>
      </c>
      <c r="M30" s="1">
        <v>404.42</v>
      </c>
      <c r="N30" s="1">
        <v>349.71</v>
      </c>
      <c r="O30" s="1">
        <v>113.77</v>
      </c>
      <c r="P30" s="1">
        <v>467.66</v>
      </c>
      <c r="Q30" s="1">
        <v>347.45</v>
      </c>
      <c r="R30" s="1">
        <v>118.51</v>
      </c>
      <c r="S30" s="1">
        <v>94.811000000000007</v>
      </c>
      <c r="T30" s="1">
        <v>348.09</v>
      </c>
      <c r="V30" s="71">
        <v>40</v>
      </c>
      <c r="W30" s="71">
        <v>99</v>
      </c>
      <c r="X30" s="71">
        <v>244</v>
      </c>
      <c r="Y30" s="17"/>
    </row>
    <row r="31" spans="1:25" ht="21" customHeight="1" x14ac:dyDescent="0.25">
      <c r="A31" s="8">
        <v>44224</v>
      </c>
      <c r="B31" s="1">
        <v>785.48</v>
      </c>
      <c r="C31" s="1">
        <v>194.41</v>
      </c>
      <c r="D31" s="1">
        <v>7119552.6200000001</v>
      </c>
      <c r="E31" s="1">
        <v>7718755.5499999998</v>
      </c>
      <c r="F31" s="1">
        <v>2.0036</v>
      </c>
      <c r="G31" s="1">
        <v>605.42999999999995</v>
      </c>
      <c r="H31" s="1">
        <v>503.64</v>
      </c>
      <c r="I31" s="1">
        <v>188.13</v>
      </c>
      <c r="J31" s="1">
        <v>281</v>
      </c>
      <c r="K31" s="1">
        <v>293.95999999999998</v>
      </c>
      <c r="L31" s="1">
        <v>201.84</v>
      </c>
      <c r="M31" s="1">
        <v>405.04</v>
      </c>
      <c r="N31" s="1">
        <v>350.42</v>
      </c>
      <c r="O31" s="1">
        <v>113.97</v>
      </c>
      <c r="P31" s="1">
        <v>468.46</v>
      </c>
      <c r="Q31" s="1">
        <v>348.11</v>
      </c>
      <c r="R31" s="1">
        <v>118.71</v>
      </c>
      <c r="S31" s="1">
        <v>94.944000000000003</v>
      </c>
      <c r="T31" s="1">
        <v>348.63</v>
      </c>
      <c r="V31" s="71">
        <v>33</v>
      </c>
      <c r="W31" s="71">
        <v>86</v>
      </c>
      <c r="X31" s="71">
        <v>214</v>
      </c>
      <c r="Y31" s="17"/>
    </row>
    <row r="32" spans="1:25" ht="21" customHeight="1" x14ac:dyDescent="0.25">
      <c r="A32" s="8">
        <v>44225</v>
      </c>
      <c r="B32" s="1">
        <v>786.55</v>
      </c>
      <c r="C32" s="1">
        <v>194.65</v>
      </c>
      <c r="D32" s="1">
        <v>7121572.1399999997</v>
      </c>
      <c r="E32" s="1">
        <v>7721383.25</v>
      </c>
      <c r="F32" s="1">
        <v>2.0063</v>
      </c>
      <c r="G32" s="1">
        <v>606.32000000000005</v>
      </c>
      <c r="H32" s="1">
        <v>504.49</v>
      </c>
      <c r="I32" s="1">
        <v>188.38</v>
      </c>
      <c r="J32" s="1">
        <v>281.43</v>
      </c>
      <c r="K32" s="1">
        <v>294.37</v>
      </c>
      <c r="L32" s="1">
        <v>202.12</v>
      </c>
      <c r="M32" s="1">
        <v>405.65</v>
      </c>
      <c r="N32" s="1">
        <v>351.22</v>
      </c>
      <c r="O32" s="1">
        <v>114.22</v>
      </c>
      <c r="P32" s="1">
        <v>469.28</v>
      </c>
      <c r="Q32" s="1">
        <v>348.8</v>
      </c>
      <c r="R32" s="1">
        <v>118.9</v>
      </c>
      <c r="S32" s="1">
        <v>95.082999999999998</v>
      </c>
      <c r="T32" s="1">
        <v>349.16</v>
      </c>
      <c r="V32" s="71">
        <v>29</v>
      </c>
      <c r="W32" s="71">
        <v>76</v>
      </c>
      <c r="X32" s="71">
        <v>215</v>
      </c>
      <c r="Y32" s="17"/>
    </row>
    <row r="33" spans="1:25" ht="19.5" customHeight="1" x14ac:dyDescent="0.25">
      <c r="A33" s="8">
        <v>44226</v>
      </c>
      <c r="B33" s="1">
        <v>787.64</v>
      </c>
      <c r="C33" s="1">
        <v>194.9</v>
      </c>
      <c r="D33" s="1">
        <v>7123643.75</v>
      </c>
      <c r="E33" s="1">
        <v>7723819.5300000003</v>
      </c>
      <c r="F33" s="1">
        <v>2.0087999999999999</v>
      </c>
      <c r="G33" s="1">
        <v>607.23</v>
      </c>
      <c r="H33" s="1">
        <v>505.42</v>
      </c>
      <c r="I33" s="1">
        <v>188.61</v>
      </c>
      <c r="J33" s="1">
        <v>281.64</v>
      </c>
      <c r="K33" s="1">
        <v>294.66000000000003</v>
      </c>
      <c r="L33" s="1">
        <v>202.3</v>
      </c>
      <c r="M33" s="1">
        <v>406.34</v>
      </c>
      <c r="N33" s="1">
        <v>352.03</v>
      </c>
      <c r="O33" s="1">
        <v>114.41</v>
      </c>
      <c r="P33" s="1">
        <v>470.68</v>
      </c>
      <c r="Q33" s="1">
        <v>349.53</v>
      </c>
      <c r="R33" s="1">
        <v>119</v>
      </c>
      <c r="S33" s="1">
        <v>95.218000000000004</v>
      </c>
      <c r="T33" s="1">
        <v>349.42</v>
      </c>
      <c r="V33" s="71"/>
      <c r="W33" s="71"/>
      <c r="X33" s="71"/>
      <c r="Y33" s="17"/>
    </row>
    <row r="34" spans="1:25" ht="19.5" customHeight="1" x14ac:dyDescent="0.25">
      <c r="A34" s="8">
        <v>44227</v>
      </c>
      <c r="B34" s="1">
        <v>788.82</v>
      </c>
      <c r="C34" s="1">
        <v>195.13</v>
      </c>
      <c r="D34" s="1">
        <v>7125647.8399999999</v>
      </c>
      <c r="E34" s="1">
        <v>7726809.0999999996</v>
      </c>
      <c r="F34" s="1">
        <v>2.0112999999999999</v>
      </c>
      <c r="G34" s="1">
        <v>608.22</v>
      </c>
      <c r="H34" s="1">
        <v>506.38</v>
      </c>
      <c r="I34" s="1">
        <v>188.88</v>
      </c>
      <c r="J34" s="1">
        <v>281.92</v>
      </c>
      <c r="K34" s="1">
        <v>295.02</v>
      </c>
      <c r="L34" s="1">
        <v>202.48</v>
      </c>
      <c r="M34" s="1">
        <v>407.05</v>
      </c>
      <c r="N34" s="1">
        <v>352.86</v>
      </c>
      <c r="O34" s="1">
        <v>114.64</v>
      </c>
      <c r="P34" s="1">
        <v>470.87</v>
      </c>
      <c r="Q34" s="1">
        <v>350.22</v>
      </c>
      <c r="R34" s="1">
        <v>119.15</v>
      </c>
      <c r="S34" s="1">
        <v>95.353999999999999</v>
      </c>
      <c r="T34" s="1">
        <v>349.93</v>
      </c>
      <c r="V34" s="71"/>
      <c r="W34" s="71"/>
      <c r="X34" s="71"/>
    </row>
    <row r="35" spans="1:25" ht="21" customHeight="1" x14ac:dyDescent="0.25">
      <c r="A35" s="8">
        <v>44228</v>
      </c>
      <c r="B35" s="1">
        <v>789.94</v>
      </c>
      <c r="C35" s="1">
        <v>195.33</v>
      </c>
      <c r="D35" s="1">
        <v>7127780.3200000003</v>
      </c>
      <c r="E35" s="1">
        <v>7729754.3600000003</v>
      </c>
      <c r="F35" s="1">
        <v>2.0137</v>
      </c>
      <c r="G35" s="1">
        <v>609.17999999999995</v>
      </c>
      <c r="H35" s="1">
        <v>507.25</v>
      </c>
      <c r="I35" s="1">
        <v>189.12</v>
      </c>
      <c r="J35" s="1">
        <v>282.31</v>
      </c>
      <c r="K35" s="1">
        <v>295.32</v>
      </c>
      <c r="L35" s="1">
        <v>202.65</v>
      </c>
      <c r="M35" s="1">
        <v>407.78</v>
      </c>
      <c r="N35" s="1">
        <v>353.62</v>
      </c>
      <c r="O35" s="1">
        <v>114.83</v>
      </c>
      <c r="P35" s="1">
        <v>471.72</v>
      </c>
      <c r="Q35" s="1">
        <v>350.86</v>
      </c>
      <c r="R35" s="1">
        <v>119.31</v>
      </c>
      <c r="S35" s="1">
        <v>95.495999999999995</v>
      </c>
      <c r="T35" s="1">
        <v>350.44</v>
      </c>
      <c r="V35" s="78">
        <f>SUM(V4:V34)</f>
        <v>1350</v>
      </c>
      <c r="W35" s="78">
        <f>SUM(W4:W34)</f>
        <v>3471</v>
      </c>
      <c r="X35" s="78">
        <f>SUM(X4:X34)</f>
        <v>9739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V33" sqref="V33"/>
    </sheetView>
  </sheetViews>
  <sheetFormatPr defaultRowHeight="15.75" x14ac:dyDescent="0.25"/>
  <cols>
    <col min="1" max="2" width="12.85546875" style="5" customWidth="1"/>
    <col min="3" max="3" width="16.140625" style="5" bestFit="1" customWidth="1"/>
    <col min="4" max="4" width="15.28515625" style="5" bestFit="1" customWidth="1"/>
    <col min="5" max="8" width="13.5703125" style="5" bestFit="1" customWidth="1"/>
    <col min="9" max="9" width="14" bestFit="1" customWidth="1"/>
    <col min="10" max="10" width="12.28515625" bestFit="1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6" t="s">
        <v>32</v>
      </c>
      <c r="B2" s="118" t="s">
        <v>33</v>
      </c>
      <c r="C2" s="118" t="s">
        <v>34</v>
      </c>
      <c r="D2" s="118" t="s">
        <v>120</v>
      </c>
      <c r="E2" s="116" t="s">
        <v>35</v>
      </c>
      <c r="F2" s="126" t="s">
        <v>36</v>
      </c>
      <c r="G2" s="127"/>
      <c r="H2" s="128"/>
      <c r="I2" s="129" t="s">
        <v>37</v>
      </c>
      <c r="J2" s="129" t="s">
        <v>38</v>
      </c>
      <c r="K2" s="129" t="s">
        <v>39</v>
      </c>
      <c r="L2" s="129" t="s">
        <v>40</v>
      </c>
      <c r="M2" s="130" t="s">
        <v>41</v>
      </c>
      <c r="N2" s="130"/>
      <c r="O2" s="130"/>
      <c r="P2" s="130"/>
      <c r="Q2" s="130"/>
      <c r="R2" s="130"/>
      <c r="S2" s="129" t="s">
        <v>42</v>
      </c>
      <c r="T2" s="129"/>
      <c r="U2" s="131" t="s">
        <v>43</v>
      </c>
      <c r="V2" s="129" t="s">
        <v>44</v>
      </c>
    </row>
    <row r="3" spans="1:22" x14ac:dyDescent="0.25">
      <c r="A3" s="117"/>
      <c r="B3" s="119"/>
      <c r="C3" s="119"/>
      <c r="D3" s="119"/>
      <c r="E3" s="117"/>
      <c r="F3" s="6" t="s">
        <v>28</v>
      </c>
      <c r="G3" s="6" t="s">
        <v>29</v>
      </c>
      <c r="H3" s="6" t="s">
        <v>30</v>
      </c>
      <c r="I3" s="129"/>
      <c r="J3" s="129"/>
      <c r="K3" s="129"/>
      <c r="L3" s="129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1"/>
      <c r="V3" s="129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109">
        <f>TOTAL!E27</f>
        <v>20749.999999999545</v>
      </c>
      <c r="C29" s="4">
        <f>('Kwh Reading'!T30-'Kwh Reading'!T29)*1000</f>
        <v>539.99999999996362</v>
      </c>
      <c r="D29" s="2">
        <f>('Kwh Reading'!F30-'Kwh Reading'!F29)*1000000</f>
        <v>2800.0000000001355</v>
      </c>
      <c r="E29" s="2">
        <f>('Kwh Reading'!C30-'Kwh Reading'!C29)*1000</f>
        <v>269.99999999998181</v>
      </c>
      <c r="F29" s="2">
        <f>('Kwh Reading'!J30-'Kwh Reading'!J29)*1000</f>
        <v>430.00000000000682</v>
      </c>
      <c r="G29" s="2">
        <f>('Kwh Reading'!K30-'Kwh Reading'!K29)*1000</f>
        <v>390.0000000000432</v>
      </c>
      <c r="H29" s="2">
        <f>('Kwh Reading'!L30-'Kwh Reading'!L29)*1000</f>
        <v>269.99999999998181</v>
      </c>
      <c r="I29" s="2">
        <f>('Kwh Reading'!R30-'Kwh Reading'!R29)*1000</f>
        <v>160.0000000000108</v>
      </c>
      <c r="J29" s="2">
        <f>('Kwh Reading'!S30-'Kwh Reading'!S29)*1000</f>
        <v>138.00000000000523</v>
      </c>
      <c r="K29" s="2">
        <f>('Kwh Reading'!I30-'Kwh Reading'!I29)*1000</f>
        <v>269.99999999998181</v>
      </c>
      <c r="L29" s="2">
        <f>('Kwh Reading'!B30-'Kwh Reading'!B29)*1000</f>
        <v>1169.9999999999591</v>
      </c>
      <c r="M29" s="2">
        <f>('Kwh Reading'!M30-'Kwh Reading'!M29)*1000</f>
        <v>759.99999999999091</v>
      </c>
      <c r="N29" s="2">
        <f>('Kwh Reading'!H30-'Kwh Reading'!H29)*1000</f>
        <v>870.00000000000455</v>
      </c>
      <c r="O29" s="2">
        <f>('Kwh Reading'!P30-'Kwh Reading'!P29)*1000</f>
        <v>870.00000000000455</v>
      </c>
      <c r="P29" s="2">
        <f>('Kwh Reading'!G30-'Kwh Reading'!G29)*1000</f>
        <v>879.99999999999545</v>
      </c>
      <c r="Q29" s="2">
        <f>('Kwh Reading'!Q30-'Kwh Reading'!Q29)*1000</f>
        <v>759.99999999999091</v>
      </c>
      <c r="R29" s="2">
        <f>('Kwh Reading'!N30-'Kwh Reading'!N29)*1000</f>
        <v>839.99999999997499</v>
      </c>
      <c r="S29" s="2">
        <f>'Kwh Reading'!E30-'Kwh Reading'!E29</f>
        <v>2717.660000000149</v>
      </c>
      <c r="T29" s="2">
        <f>'Kwh Reading'!D30-'Kwh Reading'!D29</f>
        <v>2025.6399999996647</v>
      </c>
      <c r="U29" s="27">
        <f>('Kwh Reading'!O30-'Kwh Reading'!O29)*1000</f>
        <v>200.00000000000284</v>
      </c>
      <c r="V29" s="16">
        <f t="shared" si="0"/>
        <v>4388.699999999697</v>
      </c>
    </row>
    <row r="30" spans="1:22" x14ac:dyDescent="0.25">
      <c r="A30" s="3">
        <f>'Kwh Reading'!A30</f>
        <v>44223</v>
      </c>
      <c r="B30" s="26">
        <f>TOTAL!E28</f>
        <v>20950.000000000728</v>
      </c>
      <c r="C30" s="4">
        <f>('Kwh Reading'!T31-'Kwh Reading'!T30)*1000</f>
        <v>540.00000000002046</v>
      </c>
      <c r="D30" s="2">
        <f>('Kwh Reading'!F31-'Kwh Reading'!F30)*1000000</f>
        <v>2299.9999999999686</v>
      </c>
      <c r="E30" s="2">
        <f>('Kwh Reading'!C31-'Kwh Reading'!C30)*1000</f>
        <v>240.00000000000909</v>
      </c>
      <c r="F30" s="2">
        <f>('Kwh Reading'!J31-'Kwh Reading'!J30)*1000</f>
        <v>259.99999999999091</v>
      </c>
      <c r="G30" s="2">
        <f>('Kwh Reading'!K31-'Kwh Reading'!K30)*1000</f>
        <v>289.99999999996362</v>
      </c>
      <c r="H30" s="2">
        <f>('Kwh Reading'!L31-'Kwh Reading'!L30)*1000</f>
        <v>200.00000000001705</v>
      </c>
      <c r="I30" s="2">
        <f>('Kwh Reading'!R31-'Kwh Reading'!R30)*1000</f>
        <v>199.99999999998863</v>
      </c>
      <c r="J30" s="2">
        <f>('Kwh Reading'!S31-'Kwh Reading'!S30)*1000</f>
        <v>132.99999999999557</v>
      </c>
      <c r="K30" s="2">
        <f>('Kwh Reading'!I31-'Kwh Reading'!I30)*1000</f>
        <v>250</v>
      </c>
      <c r="L30" s="2">
        <f>('Kwh Reading'!B31-'Kwh Reading'!B30)*1000</f>
        <v>990.00000000000909</v>
      </c>
      <c r="M30" s="2">
        <f>('Kwh Reading'!M31-'Kwh Reading'!M30)*1000</f>
        <v>620.00000000000455</v>
      </c>
      <c r="N30" s="2">
        <f>('Kwh Reading'!H31-'Kwh Reading'!H30)*1000</f>
        <v>779.99999999997272</v>
      </c>
      <c r="O30" s="2">
        <f>('Kwh Reading'!P31-'Kwh Reading'!P30)*1000</f>
        <v>799.99999999995453</v>
      </c>
      <c r="P30" s="2">
        <f>('Kwh Reading'!G31-'Kwh Reading'!G30)*1000</f>
        <v>819.99999999993634</v>
      </c>
      <c r="Q30" s="2">
        <f>('Kwh Reading'!Q31-'Kwh Reading'!Q30)*1000</f>
        <v>660.00000000002501</v>
      </c>
      <c r="R30" s="2">
        <f>('Kwh Reading'!N31-'Kwh Reading'!N30)*1000</f>
        <v>710.00000000003638</v>
      </c>
      <c r="S30" s="2">
        <f>'Kwh Reading'!E31-'Kwh Reading'!E30</f>
        <v>2403.769999999553</v>
      </c>
      <c r="T30" s="2">
        <f>'Kwh Reading'!D31-'Kwh Reading'!D30</f>
        <v>1763.7400000002235</v>
      </c>
      <c r="U30" s="27">
        <f>('Kwh Reading'!O31-'Kwh Reading'!O30)*1000</f>
        <v>200.00000000000284</v>
      </c>
      <c r="V30" s="16">
        <f t="shared" si="0"/>
        <v>6789.490000001053</v>
      </c>
    </row>
    <row r="31" spans="1:22" x14ac:dyDescent="0.25">
      <c r="A31" s="3">
        <f>'Kwh Reading'!A31</f>
        <v>44224</v>
      </c>
      <c r="B31" s="26">
        <f>TOTAL!E29</f>
        <v>21319.999999999251</v>
      </c>
      <c r="C31" s="4">
        <f>('Kwh Reading'!T32-'Kwh Reading'!T31)*1000</f>
        <v>530.00000000002956</v>
      </c>
      <c r="D31" s="2">
        <f>('Kwh Reading'!F32-'Kwh Reading'!F31)*1000000</f>
        <v>2699.9999999999245</v>
      </c>
      <c r="E31" s="2">
        <f>('Kwh Reading'!C32-'Kwh Reading'!C31)*1000</f>
        <v>240.00000000000909</v>
      </c>
      <c r="F31" s="2">
        <f>('Kwh Reading'!J32-'Kwh Reading'!J31)*1000</f>
        <v>430.00000000000682</v>
      </c>
      <c r="G31" s="2">
        <f>('Kwh Reading'!K32-'Kwh Reading'!K31)*1000</f>
        <v>410.00000000002501</v>
      </c>
      <c r="H31" s="2">
        <f>('Kwh Reading'!L32-'Kwh Reading'!L31)*1000</f>
        <v>280.00000000000114</v>
      </c>
      <c r="I31" s="2">
        <f>('Kwh Reading'!R32-'Kwh Reading'!R31)*1000</f>
        <v>190.00000000001194</v>
      </c>
      <c r="J31" s="2">
        <f>('Kwh Reading'!S32-'Kwh Reading'!S31)*1000</f>
        <v>138.99999999999579</v>
      </c>
      <c r="K31" s="2">
        <f>('Kwh Reading'!I32-'Kwh Reading'!I31)*1000</f>
        <v>250</v>
      </c>
      <c r="L31" s="2">
        <f>('Kwh Reading'!B32-'Kwh Reading'!B31)*1000</f>
        <v>1069.9999999999363</v>
      </c>
      <c r="M31" s="2">
        <f>('Kwh Reading'!M32-'Kwh Reading'!M31)*1000</f>
        <v>609.9999999999568</v>
      </c>
      <c r="N31" s="2">
        <f>('Kwh Reading'!H32-'Kwh Reading'!H31)*1000</f>
        <v>850.00000000002274</v>
      </c>
      <c r="O31" s="2">
        <f>('Kwh Reading'!P32-'Kwh Reading'!P31)*1000</f>
        <v>819.99999999999318</v>
      </c>
      <c r="P31" s="2">
        <f>('Kwh Reading'!G32-'Kwh Reading'!G31)*1000</f>
        <v>890.00000000010004</v>
      </c>
      <c r="Q31" s="2">
        <f>('Kwh Reading'!Q32-'Kwh Reading'!Q31)*1000</f>
        <v>689.99999999999773</v>
      </c>
      <c r="R31" s="2">
        <f>('Kwh Reading'!N32-'Kwh Reading'!N31)*1000</f>
        <v>800.00000000001137</v>
      </c>
      <c r="S31" s="2">
        <f>'Kwh Reading'!E32-'Kwh Reading'!E31</f>
        <v>2627.7000000001863</v>
      </c>
      <c r="T31" s="2">
        <f>'Kwh Reading'!D32-'Kwh Reading'!D31</f>
        <v>2019.519999999553</v>
      </c>
      <c r="U31" s="27">
        <f>('Kwh Reading'!O32-'Kwh Reading'!O31)*1000</f>
        <v>250</v>
      </c>
      <c r="V31" s="16">
        <f t="shared" si="0"/>
        <v>5523.7799999994895</v>
      </c>
    </row>
    <row r="32" spans="1:22" x14ac:dyDescent="0.25">
      <c r="A32" s="3">
        <f>'Kwh Reading'!A32</f>
        <v>44225</v>
      </c>
      <c r="B32" s="26">
        <f>TOTAL!E30</f>
        <v>20730.000000000018</v>
      </c>
      <c r="C32" s="4">
        <f>('Kwh Reading'!T33-'Kwh Reading'!T32)*1000</f>
        <v>259.99999999999091</v>
      </c>
      <c r="D32" s="2">
        <f>('Kwh Reading'!F33-'Kwh Reading'!F32)*1000000</f>
        <v>2499.9999999999468</v>
      </c>
      <c r="E32" s="2">
        <f>('Kwh Reading'!C33-'Kwh Reading'!C32)*1000</f>
        <v>250</v>
      </c>
      <c r="F32" s="2">
        <f>('Kwh Reading'!J33-'Kwh Reading'!J32)*1000</f>
        <v>209.99999999997954</v>
      </c>
      <c r="G32" s="2">
        <f>('Kwh Reading'!K33-'Kwh Reading'!K32)*1000</f>
        <v>290.00000000002046</v>
      </c>
      <c r="H32" s="2">
        <f>('Kwh Reading'!L33-'Kwh Reading'!L32)*1000</f>
        <v>180.00000000000682</v>
      </c>
      <c r="I32" s="2">
        <f>('Kwh Reading'!R33-'Kwh Reading'!R32)*1000</f>
        <v>99.999999999994316</v>
      </c>
      <c r="J32" s="2">
        <f>('Kwh Reading'!S33-'Kwh Reading'!S32)*1000</f>
        <v>135.00000000000512</v>
      </c>
      <c r="K32" s="2">
        <f>('Kwh Reading'!I33-'Kwh Reading'!I32)*1000</f>
        <v>230.00000000001819</v>
      </c>
      <c r="L32" s="2">
        <f>('Kwh Reading'!B33-'Kwh Reading'!B32)*1000</f>
        <v>1090.0000000000318</v>
      </c>
      <c r="M32" s="2">
        <f>('Kwh Reading'!M33-'Kwh Reading'!M32)*1000</f>
        <v>689.99999999999773</v>
      </c>
      <c r="N32" s="2">
        <f>('Kwh Reading'!H33-'Kwh Reading'!H32)*1000</f>
        <v>930.00000000000682</v>
      </c>
      <c r="O32" s="2">
        <f>('Kwh Reading'!P33-'Kwh Reading'!P32)*1000</f>
        <v>1400.0000000000341</v>
      </c>
      <c r="P32" s="2">
        <f>('Kwh Reading'!G33-'Kwh Reading'!G32)*1000</f>
        <v>909.99999999996817</v>
      </c>
      <c r="Q32" s="2">
        <f>('Kwh Reading'!Q33-'Kwh Reading'!Q32)*1000</f>
        <v>729.99999999996135</v>
      </c>
      <c r="R32" s="2">
        <f>('Kwh Reading'!N33-'Kwh Reading'!N32)*1000</f>
        <v>809.99999999994543</v>
      </c>
      <c r="S32" s="2">
        <f>'Kwh Reading'!E33-'Kwh Reading'!E32</f>
        <v>2436.2800000002608</v>
      </c>
      <c r="T32" s="2">
        <f>'Kwh Reading'!D33-'Kwh Reading'!D32</f>
        <v>2071.6100000003353</v>
      </c>
      <c r="U32" s="27">
        <f>('Kwh Reading'!O33-'Kwh Reading'!O32)*1000</f>
        <v>189.99999999999773</v>
      </c>
      <c r="V32" s="16">
        <f t="shared" si="0"/>
        <v>5317.1099999995167</v>
      </c>
    </row>
    <row r="33" spans="1:22" x14ac:dyDescent="0.25">
      <c r="A33" s="3">
        <f>'Kwh Reading'!A33</f>
        <v>44226</v>
      </c>
      <c r="B33" s="26">
        <f>TOTAL!E31</f>
        <v>21599.999999999913</v>
      </c>
      <c r="C33" s="4">
        <f>('Kwh Reading'!T34-'Kwh Reading'!T33)*1000</f>
        <v>509.99999999999091</v>
      </c>
      <c r="D33" s="2">
        <f>('Kwh Reading'!F34-'Kwh Reading'!F33)*1000000</f>
        <v>2499.9999999999468</v>
      </c>
      <c r="E33" s="2">
        <f>('Kwh Reading'!C34-'Kwh Reading'!C33)*1000</f>
        <v>229.99999999998977</v>
      </c>
      <c r="F33" s="2">
        <f>('Kwh Reading'!J34-'Kwh Reading'!J33)*1000</f>
        <v>280.00000000002956</v>
      </c>
      <c r="G33" s="2">
        <f>('Kwh Reading'!K34-'Kwh Reading'!K33)*1000</f>
        <v>359.9999999999568</v>
      </c>
      <c r="H33" s="2">
        <f>('Kwh Reading'!L34-'Kwh Reading'!L33)*1000</f>
        <v>179.9999999999784</v>
      </c>
      <c r="I33" s="2">
        <f>('Kwh Reading'!R34-'Kwh Reading'!R33)*1000</f>
        <v>150.00000000000568</v>
      </c>
      <c r="J33" s="2">
        <f>('Kwh Reading'!S34-'Kwh Reading'!S33)*1000</f>
        <v>135.99999999999568</v>
      </c>
      <c r="K33" s="2">
        <f>('Kwh Reading'!I34-'Kwh Reading'!I33)*1000</f>
        <v>269.99999999998181</v>
      </c>
      <c r="L33" s="2">
        <f>('Kwh Reading'!B34-'Kwh Reading'!B33)*1000</f>
        <v>1180.0000000000637</v>
      </c>
      <c r="M33" s="2">
        <f>('Kwh Reading'!M34-'Kwh Reading'!M33)*1000</f>
        <v>710.00000000003638</v>
      </c>
      <c r="N33" s="2">
        <f>('Kwh Reading'!H34-'Kwh Reading'!H33)*1000</f>
        <v>959.99999999997954</v>
      </c>
      <c r="O33" s="2">
        <f>('Kwh Reading'!P34-'Kwh Reading'!P33)*1000</f>
        <v>189.99999999999773</v>
      </c>
      <c r="P33" s="2">
        <f>('Kwh Reading'!G34-'Kwh Reading'!G33)*1000</f>
        <v>990.00000000000909</v>
      </c>
      <c r="Q33" s="2">
        <f>('Kwh Reading'!Q34-'Kwh Reading'!Q33)*1000</f>
        <v>690.00000000005457</v>
      </c>
      <c r="R33" s="2">
        <f>('Kwh Reading'!N34-'Kwh Reading'!N33)*1000</f>
        <v>830.00000000004093</v>
      </c>
      <c r="S33" s="2">
        <f>'Kwh Reading'!E34-'Kwh Reading'!E33</f>
        <v>2989.5699999993667</v>
      </c>
      <c r="T33" s="2">
        <f>'Kwh Reading'!D34-'Kwh Reading'!D33</f>
        <v>2004.089999999851</v>
      </c>
      <c r="U33" s="27">
        <f>('Kwh Reading'!O34-'Kwh Reading'!O33)*1000</f>
        <v>230.00000000000398</v>
      </c>
      <c r="V33" s="16">
        <f t="shared" si="0"/>
        <v>6210.3400000006332</v>
      </c>
    </row>
    <row r="34" spans="1:22" x14ac:dyDescent="0.25">
      <c r="A34" s="3">
        <f>'Kwh Reading'!A34</f>
        <v>44227</v>
      </c>
      <c r="B34" s="26">
        <f>TOTAL!E32</f>
        <v>21840.000000000829</v>
      </c>
      <c r="C34" s="4">
        <f>('Kwh Reading'!T35-'Kwh Reading'!T34)*1000</f>
        <v>509.99999999999091</v>
      </c>
      <c r="D34" s="2">
        <f>('Kwh Reading'!F35-'Kwh Reading'!F34)*1000000</f>
        <v>2400.0000000001796</v>
      </c>
      <c r="E34" s="2">
        <f>('Kwh Reading'!C35-'Kwh Reading'!C34)*1000</f>
        <v>200.00000000001705</v>
      </c>
      <c r="F34" s="2">
        <f>('Kwh Reading'!J35-'Kwh Reading'!J34)*1000</f>
        <v>389.99999999998636</v>
      </c>
      <c r="G34" s="2">
        <f>('Kwh Reading'!K35-'Kwh Reading'!K34)*1000</f>
        <v>300.00000000001137</v>
      </c>
      <c r="H34" s="2">
        <f>('Kwh Reading'!L35-'Kwh Reading'!L34)*1000</f>
        <v>170.00000000001592</v>
      </c>
      <c r="I34" s="2">
        <f>('Kwh Reading'!R35-'Kwh Reading'!R34)*1000</f>
        <v>159.99999999999659</v>
      </c>
      <c r="J34" s="2">
        <f>('Kwh Reading'!S35-'Kwh Reading'!S34)*1000</f>
        <v>141.99999999999591</v>
      </c>
      <c r="K34" s="2">
        <f>('Kwh Reading'!I35-'Kwh Reading'!I34)*1000</f>
        <v>240.00000000000909</v>
      </c>
      <c r="L34" s="2">
        <f>('Kwh Reading'!B35-'Kwh Reading'!B34)*1000</f>
        <v>1120.0000000000045</v>
      </c>
      <c r="M34" s="2">
        <f>('Kwh Reading'!M35-'Kwh Reading'!M34)*1000</f>
        <v>729.99999999996135</v>
      </c>
      <c r="N34" s="2">
        <f>('Kwh Reading'!H35-'Kwh Reading'!H34)*1000</f>
        <v>870.00000000000455</v>
      </c>
      <c r="O34" s="2">
        <f>('Kwh Reading'!P35-'Kwh Reading'!P34)*1000</f>
        <v>850.00000000002274</v>
      </c>
      <c r="P34" s="2">
        <f>('Kwh Reading'!G35-'Kwh Reading'!G34)*1000</f>
        <v>959.99999999992269</v>
      </c>
      <c r="Q34" s="2">
        <f>('Kwh Reading'!Q35-'Kwh Reading'!Q34)*1000</f>
        <v>639.99999999998636</v>
      </c>
      <c r="R34" s="2">
        <f>('Kwh Reading'!N35-'Kwh Reading'!N34)*1000</f>
        <v>759.99999999999091</v>
      </c>
      <c r="S34" s="2">
        <f>'Kwh Reading'!E35-'Kwh Reading'!E34</f>
        <v>2945.2600000007078</v>
      </c>
      <c r="T34" s="2">
        <f>'Kwh Reading'!D35-'Kwh Reading'!D34</f>
        <v>2132.480000000447</v>
      </c>
      <c r="U34" s="27">
        <f>('Kwh Reading'!O35-'Kwh Reading'!O34)*1000</f>
        <v>189.99999999999773</v>
      </c>
      <c r="V34" s="16">
        <f t="shared" si="0"/>
        <v>6130.2599999995837</v>
      </c>
    </row>
    <row r="35" spans="1:22" x14ac:dyDescent="0.25">
      <c r="A35" s="80" t="s">
        <v>53</v>
      </c>
      <c r="B35" s="79">
        <f>SUM(B4:B34)</f>
        <v>650620.00000000012</v>
      </c>
      <c r="C35" s="75">
        <f t="shared" ref="C35" si="1">SUM(C4:C34)</f>
        <v>15699.999999999985</v>
      </c>
      <c r="D35" s="75">
        <f t="shared" ref="D35" si="2">SUM(D4:D34)</f>
        <v>78200.000000000029</v>
      </c>
      <c r="E35" s="75">
        <f t="shared" ref="E35" si="3">SUM(E4:E34)</f>
        <v>7880.0000000000246</v>
      </c>
      <c r="F35" s="75">
        <f t="shared" ref="F35" si="4">SUM(F4:F34)</f>
        <v>10220.000000000025</v>
      </c>
      <c r="G35" s="75">
        <f t="shared" ref="G35:U35" si="5">SUM(G4:G34)</f>
        <v>11709.999999999976</v>
      </c>
      <c r="H35" s="75">
        <f t="shared" si="5"/>
        <v>7879.9999999999945</v>
      </c>
      <c r="I35" s="75">
        <f t="shared" si="5"/>
        <v>5010.0000000000045</v>
      </c>
      <c r="J35" s="75">
        <f t="shared" si="5"/>
        <v>4277.9999999999909</v>
      </c>
      <c r="K35" s="75">
        <f t="shared" si="5"/>
        <v>7530.0000000000009</v>
      </c>
      <c r="L35" s="75">
        <f t="shared" si="5"/>
        <v>35410.000000000087</v>
      </c>
      <c r="M35" s="75">
        <f t="shared" si="5"/>
        <v>20319.999999999989</v>
      </c>
      <c r="N35" s="75">
        <f t="shared" si="5"/>
        <v>25220.000000000018</v>
      </c>
      <c r="O35" s="75">
        <f t="shared" si="5"/>
        <v>24330.000000000036</v>
      </c>
      <c r="P35" s="75">
        <f t="shared" si="5"/>
        <v>25579.999999999938</v>
      </c>
      <c r="Q35" s="75">
        <f t="shared" si="5"/>
        <v>19550.000000000007</v>
      </c>
      <c r="R35" s="75">
        <f t="shared" si="5"/>
        <v>21810</v>
      </c>
      <c r="S35" s="75">
        <f t="shared" si="5"/>
        <v>85488.290000000037</v>
      </c>
      <c r="T35" s="75">
        <f t="shared" si="5"/>
        <v>61030.510000000708</v>
      </c>
      <c r="U35" s="75">
        <f t="shared" si="5"/>
        <v>7469.9999999999964</v>
      </c>
      <c r="V35" s="75">
        <f>SUM(V4:V34)</f>
        <v>176003.19999999925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F21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20749.999999999545</v>
      </c>
      <c r="C28" s="1">
        <f>'Kwh Consumption'!C29</f>
        <v>539.99999999996362</v>
      </c>
      <c r="D28" s="1">
        <f>'Kwh Consumption'!D29</f>
        <v>2800.0000000001355</v>
      </c>
      <c r="E28" s="1">
        <f>'Kwh Consumption'!E29</f>
        <v>269.99999999998181</v>
      </c>
      <c r="F28" s="1">
        <f>('Kwh Consumption'!F29+'Kwh Consumption'!G29+'Kwh Consumption'!H29)</f>
        <v>1090.0000000000318</v>
      </c>
      <c r="G28" s="16">
        <f>('Kwh Consumption'!I29+'Kwh Consumption'!J29)</f>
        <v>298.00000000001603</v>
      </c>
      <c r="H28" s="1">
        <f>('Kwh Consumption'!K29+'Kwh Consumption'!L29)</f>
        <v>1439.9999999999409</v>
      </c>
      <c r="I28" s="1">
        <f>('Kwh Consumption'!M29+'Kwh Consumption'!N29+'Kwh Consumption'!O29+'Kwh Consumption'!P29+'Kwh Consumption'!Q29+'Kwh Consumption'!R29)</f>
        <v>4979.9999999999618</v>
      </c>
      <c r="J28" s="1">
        <f>('Kwh Consumption'!S29+'Kwh Consumption'!T29)</f>
        <v>4743.2999999998137</v>
      </c>
      <c r="K28" s="1">
        <f>'Kwh Consumption'!U29</f>
        <v>200.00000000000284</v>
      </c>
      <c r="L28" s="32">
        <f t="shared" si="0"/>
        <v>4388.6999999996979</v>
      </c>
    </row>
    <row r="29" spans="1:12" x14ac:dyDescent="0.25">
      <c r="A29" s="14">
        <f>'Kwh Reading'!A30</f>
        <v>44223</v>
      </c>
      <c r="B29" s="83">
        <f>TOTAL!E28</f>
        <v>20950.000000000728</v>
      </c>
      <c r="C29" s="1">
        <f>'Kwh Consumption'!C30</f>
        <v>540.00000000002046</v>
      </c>
      <c r="D29" s="1">
        <f>'Kwh Consumption'!D30</f>
        <v>2299.9999999999686</v>
      </c>
      <c r="E29" s="1">
        <f>'Kwh Consumption'!E30</f>
        <v>240.00000000000909</v>
      </c>
      <c r="F29" s="1">
        <f>('Kwh Consumption'!F30+'Kwh Consumption'!G30+'Kwh Consumption'!H30)</f>
        <v>749.99999999997158</v>
      </c>
      <c r="G29" s="16">
        <f>('Kwh Consumption'!I30+'Kwh Consumption'!J30)</f>
        <v>332.9999999999842</v>
      </c>
      <c r="H29" s="1">
        <f>('Kwh Consumption'!K30+'Kwh Consumption'!L30)</f>
        <v>1240.0000000000091</v>
      </c>
      <c r="I29" s="1">
        <f>('Kwh Consumption'!M30+'Kwh Consumption'!N30+'Kwh Consumption'!O30+'Kwh Consumption'!P30+'Kwh Consumption'!Q30+'Kwh Consumption'!R30)</f>
        <v>4389.9999999999291</v>
      </c>
      <c r="J29" s="1">
        <f>('Kwh Consumption'!S30+'Kwh Consumption'!T30)</f>
        <v>4167.5099999997765</v>
      </c>
      <c r="K29" s="1">
        <f>'Kwh Consumption'!U30</f>
        <v>200.00000000000284</v>
      </c>
      <c r="L29" s="32">
        <f t="shared" si="0"/>
        <v>6789.4900000010539</v>
      </c>
    </row>
    <row r="30" spans="1:12" x14ac:dyDescent="0.25">
      <c r="A30" s="14">
        <f>'Kwh Reading'!A31</f>
        <v>44224</v>
      </c>
      <c r="B30" s="83">
        <f>TOTAL!E29</f>
        <v>21319.999999999251</v>
      </c>
      <c r="C30" s="1">
        <f>'Kwh Consumption'!C31</f>
        <v>530.00000000002956</v>
      </c>
      <c r="D30" s="1">
        <f>'Kwh Consumption'!D31</f>
        <v>2699.9999999999245</v>
      </c>
      <c r="E30" s="1">
        <f>'Kwh Consumption'!E31</f>
        <v>240.00000000000909</v>
      </c>
      <c r="F30" s="1">
        <f>('Kwh Consumption'!F31+'Kwh Consumption'!G31+'Kwh Consumption'!H31)</f>
        <v>1120.000000000033</v>
      </c>
      <c r="G30" s="16">
        <f>('Kwh Consumption'!I31+'Kwh Consumption'!J31)</f>
        <v>329.00000000000773</v>
      </c>
      <c r="H30" s="1">
        <f>('Kwh Consumption'!K31+'Kwh Consumption'!L31)</f>
        <v>1319.9999999999363</v>
      </c>
      <c r="I30" s="1">
        <f>('Kwh Consumption'!M31+'Kwh Consumption'!N31+'Kwh Consumption'!O31+'Kwh Consumption'!P31+'Kwh Consumption'!Q31+'Kwh Consumption'!R31)</f>
        <v>4660.0000000000819</v>
      </c>
      <c r="J30" s="1">
        <f>('Kwh Consumption'!S31+'Kwh Consumption'!T31)</f>
        <v>4647.2199999997392</v>
      </c>
      <c r="K30" s="1">
        <f>'Kwh Consumption'!U31</f>
        <v>250</v>
      </c>
      <c r="L30" s="32">
        <f t="shared" si="0"/>
        <v>5523.7799999994895</v>
      </c>
    </row>
    <row r="31" spans="1:12" x14ac:dyDescent="0.25">
      <c r="A31" s="14">
        <f>'Kwh Reading'!A32</f>
        <v>44225</v>
      </c>
      <c r="B31" s="83">
        <f>TOTAL!E30</f>
        <v>20730.000000000018</v>
      </c>
      <c r="C31" s="1">
        <f>'Kwh Consumption'!C32</f>
        <v>259.99999999999091</v>
      </c>
      <c r="D31" s="1">
        <f>'Kwh Consumption'!D32</f>
        <v>2499.9999999999468</v>
      </c>
      <c r="E31" s="1">
        <f>'Kwh Consumption'!E32</f>
        <v>250</v>
      </c>
      <c r="F31" s="1">
        <f>('Kwh Consumption'!F32+'Kwh Consumption'!G32+'Kwh Consumption'!H32)</f>
        <v>680.00000000000682</v>
      </c>
      <c r="G31" s="16">
        <f>('Kwh Consumption'!I32+'Kwh Consumption'!J32)</f>
        <v>234.99999999999943</v>
      </c>
      <c r="H31" s="1">
        <f>('Kwh Consumption'!K32+'Kwh Consumption'!L32)</f>
        <v>1320.00000000005</v>
      </c>
      <c r="I31" s="1">
        <f>('Kwh Consumption'!M32+'Kwh Consumption'!N32+'Kwh Consumption'!O32+'Kwh Consumption'!P32+'Kwh Consumption'!Q32+'Kwh Consumption'!R32)</f>
        <v>5469.9999999999136</v>
      </c>
      <c r="J31" s="1">
        <f>('Kwh Consumption'!S32+'Kwh Consumption'!T32)</f>
        <v>4507.890000000596</v>
      </c>
      <c r="K31" s="1">
        <f>'Kwh Consumption'!U32</f>
        <v>189.99999999999773</v>
      </c>
      <c r="L31" s="32">
        <f t="shared" si="0"/>
        <v>5317.1099999995185</v>
      </c>
    </row>
    <row r="32" spans="1:12" x14ac:dyDescent="0.25">
      <c r="A32" s="14">
        <f>'Kwh Reading'!A33</f>
        <v>44226</v>
      </c>
      <c r="B32" s="83">
        <f>TOTAL!E31</f>
        <v>21599.999999999913</v>
      </c>
      <c r="C32" s="1">
        <f>'Kwh Consumption'!C33</f>
        <v>509.99999999999091</v>
      </c>
      <c r="D32" s="1">
        <f>'Kwh Consumption'!D33</f>
        <v>2499.9999999999468</v>
      </c>
      <c r="E32" s="1">
        <f>'Kwh Consumption'!E33</f>
        <v>229.99999999998977</v>
      </c>
      <c r="F32" s="1">
        <f>('Kwh Consumption'!F33+'Kwh Consumption'!G33+'Kwh Consumption'!H33)</f>
        <v>819.99999999996476</v>
      </c>
      <c r="G32" s="16">
        <f>('Kwh Consumption'!I33+'Kwh Consumption'!J33)</f>
        <v>286.00000000000136</v>
      </c>
      <c r="H32" s="1">
        <f>('Kwh Consumption'!K33+'Kwh Consumption'!L33)</f>
        <v>1450.0000000000455</v>
      </c>
      <c r="I32" s="1">
        <f>('Kwh Consumption'!M33+'Kwh Consumption'!N33+'Kwh Consumption'!O33+'Kwh Consumption'!P33+'Kwh Consumption'!Q33+'Kwh Consumption'!R33)</f>
        <v>4370.0000000001182</v>
      </c>
      <c r="J32" s="1">
        <f>('Kwh Consumption'!S33+'Kwh Consumption'!T33)</f>
        <v>4993.6599999992177</v>
      </c>
      <c r="K32" s="1">
        <f>'Kwh Consumption'!U33</f>
        <v>230.00000000000398</v>
      </c>
      <c r="L32" s="32">
        <f t="shared" si="0"/>
        <v>6210.3400000006368</v>
      </c>
    </row>
    <row r="33" spans="1:13" x14ac:dyDescent="0.25">
      <c r="A33" s="14">
        <f>'Kwh Reading'!A34</f>
        <v>44227</v>
      </c>
      <c r="B33" s="83">
        <f>TOTAL!E32</f>
        <v>21840.000000000829</v>
      </c>
      <c r="C33" s="1">
        <f>'Kwh Consumption'!C34</f>
        <v>509.99999999999091</v>
      </c>
      <c r="D33" s="1">
        <f>'Kwh Consumption'!D34</f>
        <v>2400.0000000001796</v>
      </c>
      <c r="E33" s="1">
        <f>'Kwh Consumption'!E34</f>
        <v>200.00000000001705</v>
      </c>
      <c r="F33" s="1">
        <f>('Kwh Consumption'!F34+'Kwh Consumption'!G34+'Kwh Consumption'!H34)</f>
        <v>860.00000000001364</v>
      </c>
      <c r="G33" s="16">
        <f>('Kwh Consumption'!I34+'Kwh Consumption'!J34)</f>
        <v>301.9999999999925</v>
      </c>
      <c r="H33" s="1">
        <f>('Kwh Consumption'!K34+'Kwh Consumption'!L34)</f>
        <v>1360.0000000000136</v>
      </c>
      <c r="I33" s="1">
        <f>('Kwh Consumption'!M34+'Kwh Consumption'!N34+'Kwh Consumption'!O34+'Kwh Consumption'!P34+'Kwh Consumption'!Q34+'Kwh Consumption'!R34)</f>
        <v>4809.999999999889</v>
      </c>
      <c r="J33" s="1">
        <f>('Kwh Consumption'!S34+'Kwh Consumption'!T34)</f>
        <v>5077.7400000011548</v>
      </c>
      <c r="K33" s="1">
        <f>'Kwh Consumption'!U34</f>
        <v>189.99999999999773</v>
      </c>
      <c r="L33" s="32">
        <f t="shared" si="0"/>
        <v>6130.2599999995764</v>
      </c>
    </row>
    <row r="34" spans="1:13" ht="15.75" x14ac:dyDescent="0.25">
      <c r="A34" s="85" t="s">
        <v>121</v>
      </c>
      <c r="B34" s="75">
        <f>SUM(B3:B33)</f>
        <v>650620.00000000012</v>
      </c>
      <c r="C34" s="75">
        <f>SUM(C3:C33)</f>
        <v>15699.999999999985</v>
      </c>
      <c r="D34" s="75">
        <f t="shared" ref="D34:L34" si="1">SUM(D3:D33)</f>
        <v>78200.000000000029</v>
      </c>
      <c r="E34" s="75">
        <f t="shared" si="1"/>
        <v>7880.0000000000246</v>
      </c>
      <c r="F34" s="75">
        <f t="shared" si="1"/>
        <v>29810.000000000004</v>
      </c>
      <c r="G34" s="75">
        <f t="shared" si="1"/>
        <v>9287.9999999999982</v>
      </c>
      <c r="H34" s="75">
        <f t="shared" si="1"/>
        <v>42940.00000000008</v>
      </c>
      <c r="I34" s="75">
        <f t="shared" si="1"/>
        <v>136810</v>
      </c>
      <c r="J34" s="75">
        <f t="shared" si="1"/>
        <v>146518.80000000075</v>
      </c>
      <c r="K34" s="75">
        <f t="shared" si="1"/>
        <v>7469.9999999999964</v>
      </c>
      <c r="L34" s="75">
        <f t="shared" si="1"/>
        <v>176003.19999999925</v>
      </c>
      <c r="M34" s="84">
        <f>C34+D34+E34+F34+G34+H34+I34+J34+K34+L34</f>
        <v>650620.00000000012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2197.9999999999982</v>
      </c>
      <c r="D36" s="75">
        <f>D34*B36</f>
        <v>10948.000000000005</v>
      </c>
      <c r="E36" s="75">
        <f>E34*B36</f>
        <v>1103.2000000000035</v>
      </c>
      <c r="F36" s="75">
        <f>F34*B36</f>
        <v>4173.4000000000005</v>
      </c>
      <c r="G36" s="75">
        <f>G34*B36</f>
        <v>1300.32</v>
      </c>
      <c r="H36" s="75">
        <f>H34*B36</f>
        <v>6011.6000000000122</v>
      </c>
      <c r="I36" s="75">
        <f>I34*B36</f>
        <v>19153.400000000001</v>
      </c>
      <c r="J36" s="75">
        <f>J34*B36</f>
        <v>20512.632000000107</v>
      </c>
      <c r="K36" s="75">
        <f>K34*B36</f>
        <v>1045.7999999999995</v>
      </c>
      <c r="L36" s="75">
        <f>L34*B36</f>
        <v>24640.447999999898</v>
      </c>
      <c r="M36" s="84">
        <f>C36+D36+E36+F36+G36+H36+I36+J36+K36+L36</f>
        <v>91086.800000000032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M32" sqref="M32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2.28515625" style="15" bestFit="1" customWidth="1"/>
    <col min="13" max="13" width="14.5703125" bestFit="1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2904.9999999999368</v>
      </c>
      <c r="D28" s="1">
        <f>'Kwh Consumption'!C29*' Kwh area wise $ '!B28</f>
        <v>75.599999999994921</v>
      </c>
      <c r="E28" s="1">
        <f>'Kwh Consumption'!D29*' Kwh area wise $ '!B28</f>
        <v>392.00000000001899</v>
      </c>
      <c r="F28" s="1">
        <f>'Kwh Consumption'!E29*' Kwh area wise $ '!B28</f>
        <v>37.799999999997461</v>
      </c>
      <c r="G28" s="1">
        <f>('Kwh Consumption'!F29+'Kwh Consumption'!G29+'Kwh Consumption'!H29)*' Kwh area wise $ '!B28</f>
        <v>152.60000000000448</v>
      </c>
      <c r="H28" s="16">
        <f>('Kwh Consumption'!I29+'Kwh Consumption'!J29)*' Kwh area wise $ '!B28</f>
        <v>41.720000000002251</v>
      </c>
      <c r="I28" s="1">
        <f>('Kwh Consumption'!K29+'Kwh Consumption'!L29)*' Kwh area wise $ '!B28</f>
        <v>201.59999999999175</v>
      </c>
      <c r="J28" s="1">
        <f>('Kwh Consumption'!M29+'Kwh Consumption'!N29+'Kwh Consumption'!O29+'Kwh Consumption'!P29+'Kwh Consumption'!Q29+'Kwh Consumption'!R29)*' Kwh area wise $ '!B28</f>
        <v>697.1999999999947</v>
      </c>
      <c r="K28" s="1">
        <f>('Kwh Consumption'!S29+'Kwh Consumption'!T29)*' Kwh area wise $ '!B28</f>
        <v>664.06199999997398</v>
      </c>
      <c r="L28" s="1">
        <f>'Kwh Consumption'!U29*' Kwh area wise $ '!B28</f>
        <v>28.000000000000401</v>
      </c>
      <c r="M28" s="1">
        <f>'Kwh Consumption'!V29*' Kwh area wise $ '!B28</f>
        <v>614.4179999999576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2933.0000000001023</v>
      </c>
      <c r="D29" s="1">
        <f>'Kwh Consumption'!C30*' Kwh area wise $ '!B29</f>
        <v>75.600000000002879</v>
      </c>
      <c r="E29" s="1">
        <f>'Kwh Consumption'!D30*' Kwh area wise $ '!B29</f>
        <v>321.99999999999562</v>
      </c>
      <c r="F29" s="1">
        <f>'Kwh Consumption'!E30*' Kwh area wise $ '!B29</f>
        <v>33.600000000001273</v>
      </c>
      <c r="G29" s="1">
        <f>('Kwh Consumption'!F30+'Kwh Consumption'!G30+'Kwh Consumption'!H30)*' Kwh area wise $ '!B29</f>
        <v>104.99999999999604</v>
      </c>
      <c r="H29" s="16">
        <f>('Kwh Consumption'!I30+'Kwh Consumption'!J30)*' Kwh area wise $ '!B29</f>
        <v>46.619999999997795</v>
      </c>
      <c r="I29" s="1">
        <f>('Kwh Consumption'!K30+'Kwh Consumption'!L30)*' Kwh area wise $ '!B29</f>
        <v>173.6000000000013</v>
      </c>
      <c r="J29" s="1">
        <f>('Kwh Consumption'!M30+'Kwh Consumption'!N30+'Kwh Consumption'!O30+'Kwh Consumption'!P30+'Kwh Consumption'!Q30+'Kwh Consumption'!R30)*' Kwh area wise $ '!B29</f>
        <v>614.59999999999013</v>
      </c>
      <c r="K29" s="1">
        <f>('Kwh Consumption'!S30+'Kwh Consumption'!T30)*' Kwh area wise $ '!B29</f>
        <v>583.45139999996877</v>
      </c>
      <c r="L29" s="1">
        <f>'Kwh Consumption'!U30*' Kwh area wise $ '!B29</f>
        <v>28.000000000000401</v>
      </c>
      <c r="M29" s="1">
        <f>'Kwh Consumption'!V30*' Kwh area wise $ '!B29</f>
        <v>950.52860000014755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2984.7999999998956</v>
      </c>
      <c r="D30" s="1">
        <f>'Kwh Consumption'!C31*' Kwh area wise $ '!B30</f>
        <v>74.200000000004138</v>
      </c>
      <c r="E30" s="1">
        <f>'Kwh Consumption'!D31*' Kwh area wise $ '!B30</f>
        <v>377.99999999998948</v>
      </c>
      <c r="F30" s="1">
        <f>'Kwh Consumption'!E31*' Kwh area wise $ '!B30</f>
        <v>33.600000000001273</v>
      </c>
      <c r="G30" s="1">
        <f>('Kwh Consumption'!F31+'Kwh Consumption'!G31+'Kwh Consumption'!H31)*' Kwh area wise $ '!B30</f>
        <v>156.80000000000464</v>
      </c>
      <c r="H30" s="16">
        <f>('Kwh Consumption'!I31+'Kwh Consumption'!J31)*' Kwh area wise $ '!B30</f>
        <v>46.060000000001089</v>
      </c>
      <c r="I30" s="1">
        <f>('Kwh Consumption'!K31+'Kwh Consumption'!L31)*' Kwh area wise $ '!B30</f>
        <v>184.79999999999112</v>
      </c>
      <c r="J30" s="1">
        <f>('Kwh Consumption'!M31+'Kwh Consumption'!N31+'Kwh Consumption'!O31+'Kwh Consumption'!P31+'Kwh Consumption'!Q31+'Kwh Consumption'!R31)*' Kwh area wise $ '!B30</f>
        <v>652.40000000001157</v>
      </c>
      <c r="K30" s="1">
        <f>('Kwh Consumption'!S31+'Kwh Consumption'!T31)*' Kwh area wise $ '!B30</f>
        <v>650.61079999996355</v>
      </c>
      <c r="L30" s="1">
        <f>'Kwh Consumption'!U31*' Kwh area wise $ '!B30</f>
        <v>35</v>
      </c>
      <c r="M30" s="1">
        <f>'Kwh Consumption'!V31*' Kwh area wise $ '!B30</f>
        <v>773.32919999992862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2902.200000000003</v>
      </c>
      <c r="D31" s="1">
        <f>'Kwh Consumption'!C32*' Kwh area wise $ '!B31</f>
        <v>36.399999999998727</v>
      </c>
      <c r="E31" s="1">
        <f>'Kwh Consumption'!D32*' Kwh area wise $ '!B31</f>
        <v>349.99999999999261</v>
      </c>
      <c r="F31" s="1">
        <f>'Kwh Consumption'!E32*' Kwh area wise $ '!B31</f>
        <v>35</v>
      </c>
      <c r="G31" s="1">
        <f>('Kwh Consumption'!F32+'Kwh Consumption'!G32+'Kwh Consumption'!H32)*' Kwh area wise $ '!B31</f>
        <v>95.200000000000969</v>
      </c>
      <c r="H31" s="16">
        <f>('Kwh Consumption'!I32+'Kwh Consumption'!J32)*' Kwh area wise $ '!B31</f>
        <v>32.89999999999992</v>
      </c>
      <c r="I31" s="1">
        <f>('Kwh Consumption'!K32+'Kwh Consumption'!L32)*' Kwh area wise $ '!B31</f>
        <v>184.80000000000703</v>
      </c>
      <c r="J31" s="1">
        <f>('Kwh Consumption'!M32+'Kwh Consumption'!N32+'Kwh Consumption'!O32+'Kwh Consumption'!P32+'Kwh Consumption'!Q32+'Kwh Consumption'!R32)*' Kwh area wise $ '!B31</f>
        <v>765.79999999998802</v>
      </c>
      <c r="K31" s="1">
        <f>('Kwh Consumption'!S32+'Kwh Consumption'!T32)*' Kwh area wise $ '!B31</f>
        <v>631.10460000008345</v>
      </c>
      <c r="L31" s="1">
        <f>'Kwh Consumption'!U32*' Kwh area wise $ '!B31</f>
        <v>26.599999999999685</v>
      </c>
      <c r="M31" s="1">
        <f>'Kwh Consumption'!V32*' Kwh area wise $ '!B31</f>
        <v>744.39539999993247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3023.9999999999882</v>
      </c>
      <c r="D32" s="1">
        <f>'Kwh Consumption'!C33*' Kwh area wise $ '!B32</f>
        <v>71.399999999998727</v>
      </c>
      <c r="E32" s="1">
        <f>'Kwh Consumption'!D33*' Kwh area wise $ '!B32</f>
        <v>349.99999999999261</v>
      </c>
      <c r="F32" s="1">
        <f>'Kwh Consumption'!E33*' Kwh area wise $ '!B32</f>
        <v>32.199999999998568</v>
      </c>
      <c r="G32" s="1">
        <f>('Kwh Consumption'!F33+'Kwh Consumption'!G33+'Kwh Consumption'!H33)*' Kwh area wise $ '!B32</f>
        <v>114.79999999999508</v>
      </c>
      <c r="H32" s="16">
        <f>('Kwh Consumption'!I33+'Kwh Consumption'!J33)*' Kwh area wise $ '!B32</f>
        <v>40.040000000000198</v>
      </c>
      <c r="I32" s="1">
        <f>('Kwh Consumption'!K33+'Kwh Consumption'!L33)*' Kwh area wise $ '!B32</f>
        <v>203.00000000000639</v>
      </c>
      <c r="J32" s="1">
        <f>('Kwh Consumption'!M33+'Kwh Consumption'!N33+'Kwh Consumption'!O33+'Kwh Consumption'!P33+'Kwh Consumption'!Q33+'Kwh Consumption'!R33)*' Kwh area wise $ '!B32</f>
        <v>611.80000000001667</v>
      </c>
      <c r="K32" s="1">
        <f>('Kwh Consumption'!S33+'Kwh Consumption'!T33)*' Kwh area wise $ '!B32</f>
        <v>699.1123999998905</v>
      </c>
      <c r="L32" s="1">
        <f>'Kwh Consumption'!U33*' Kwh area wise $ '!B32</f>
        <v>32.200000000000557</v>
      </c>
      <c r="M32" s="1">
        <f>'Kwh Consumption'!V33*' Kwh area wise $ '!B32</f>
        <v>869.44760000008876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3057.6000000001163</v>
      </c>
      <c r="D33" s="1">
        <f>'Kwh Consumption'!C34*' Kwh area wise $ '!B33</f>
        <v>71.399999999998727</v>
      </c>
      <c r="E33" s="1">
        <f>'Kwh Consumption'!D34*' Kwh area wise $ '!B33</f>
        <v>336.00000000002518</v>
      </c>
      <c r="F33" s="1">
        <f>'Kwh Consumption'!E34*' Kwh area wise $ '!B33</f>
        <v>28.000000000002391</v>
      </c>
      <c r="G33" s="1">
        <f>('Kwh Consumption'!F34+'Kwh Consumption'!G34+'Kwh Consumption'!H34)*' Kwh area wise $ '!B33</f>
        <v>120.40000000000192</v>
      </c>
      <c r="H33" s="16">
        <f>('Kwh Consumption'!I34+'Kwh Consumption'!J34)*' Kwh area wise $ '!B33</f>
        <v>42.279999999998957</v>
      </c>
      <c r="I33" s="1">
        <f>('Kwh Consumption'!K34+'Kwh Consumption'!L34)*' Kwh area wise $ '!B33</f>
        <v>190.40000000000194</v>
      </c>
      <c r="J33" s="1">
        <f>('Kwh Consumption'!M34+'Kwh Consumption'!N34+'Kwh Consumption'!O34+'Kwh Consumption'!P34+'Kwh Consumption'!Q34+'Kwh Consumption'!R34)*' Kwh area wise $ '!B33</f>
        <v>673.39999999998452</v>
      </c>
      <c r="K33" s="1">
        <f>('Kwh Consumption'!S34+'Kwh Consumption'!T34)*' Kwh area wise $ '!B33</f>
        <v>710.88360000016178</v>
      </c>
      <c r="L33" s="1">
        <f>'Kwh Consumption'!U34*' Kwh area wise $ '!B33</f>
        <v>26.599999999999685</v>
      </c>
      <c r="M33" s="1">
        <f>'Kwh Consumption'!V34*' Kwh area wise $ '!B33</f>
        <v>858.2363999999418</v>
      </c>
    </row>
    <row r="34" spans="1:14" ht="15.75" x14ac:dyDescent="0.25">
      <c r="A34" s="132" t="s">
        <v>53</v>
      </c>
      <c r="B34" s="132"/>
      <c r="C34" s="75">
        <f t="shared" ref="C34:L34" si="0">SUM(C3:C33)</f>
        <v>91086.800000000032</v>
      </c>
      <c r="D34" s="75">
        <f t="shared" si="0"/>
        <v>2197.9999999999982</v>
      </c>
      <c r="E34" s="75">
        <f t="shared" si="0"/>
        <v>10948.000000000009</v>
      </c>
      <c r="F34" s="75">
        <f t="shared" si="0"/>
        <v>1103.2000000000032</v>
      </c>
      <c r="G34" s="75">
        <f t="shared" si="0"/>
        <v>4173.4000000000024</v>
      </c>
      <c r="H34" s="75">
        <f t="shared" si="0"/>
        <v>1300.32</v>
      </c>
      <c r="I34" s="75">
        <f t="shared" si="0"/>
        <v>6011.600000000014</v>
      </c>
      <c r="J34" s="75">
        <f t="shared" si="0"/>
        <v>19153.400000000005</v>
      </c>
      <c r="K34" s="75">
        <f t="shared" si="0"/>
        <v>20512.6320000001</v>
      </c>
      <c r="L34" s="75">
        <f t="shared" si="0"/>
        <v>1045.8000000000002</v>
      </c>
      <c r="M34" s="75">
        <f>SUM(M3:M33)</f>
        <v>24640.447999999898</v>
      </c>
      <c r="N34" s="84">
        <f>D34+E34+F34+G34+H34+I34+J34+K34+L34+M34</f>
        <v>91086.800000000032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5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>
        <v>141204</v>
      </c>
      <c r="C29" s="33">
        <v>97285</v>
      </c>
      <c r="D29" s="55">
        <v>187179</v>
      </c>
      <c r="E29" s="55">
        <v>238633</v>
      </c>
      <c r="F29" s="55">
        <v>66841</v>
      </c>
      <c r="G29" s="55">
        <v>108675</v>
      </c>
      <c r="H29" s="33">
        <v>45297</v>
      </c>
      <c r="I29" s="10">
        <v>57478</v>
      </c>
      <c r="J29" s="55">
        <v>18277</v>
      </c>
      <c r="K29" s="55">
        <v>1024</v>
      </c>
      <c r="L29" s="55">
        <v>16191</v>
      </c>
      <c r="M29" s="55">
        <v>21940</v>
      </c>
      <c r="N29" s="55">
        <v>6654</v>
      </c>
      <c r="O29" s="55">
        <v>1541</v>
      </c>
      <c r="P29" s="55">
        <v>25802</v>
      </c>
      <c r="Q29" s="55">
        <v>45</v>
      </c>
      <c r="R29" s="55">
        <v>5436</v>
      </c>
    </row>
    <row r="30" spans="1:22" x14ac:dyDescent="0.25">
      <c r="A30" s="54">
        <v>44224</v>
      </c>
      <c r="B30" s="33">
        <v>141370</v>
      </c>
      <c r="C30" s="56">
        <v>97415</v>
      </c>
      <c r="D30" s="55">
        <v>187326</v>
      </c>
      <c r="E30" s="55">
        <v>238691</v>
      </c>
      <c r="F30" s="55">
        <v>66841</v>
      </c>
      <c r="G30" s="55">
        <v>108695</v>
      </c>
      <c r="H30" s="33">
        <v>45320</v>
      </c>
      <c r="I30" s="55">
        <v>57490</v>
      </c>
      <c r="J30" s="55">
        <v>18287</v>
      </c>
      <c r="K30" s="55">
        <v>1024</v>
      </c>
      <c r="L30" s="55">
        <v>16198</v>
      </c>
      <c r="M30" s="55">
        <v>21963</v>
      </c>
      <c r="N30" s="55">
        <v>6658</v>
      </c>
      <c r="O30" s="55">
        <v>1541</v>
      </c>
      <c r="P30" s="55">
        <v>25808</v>
      </c>
      <c r="Q30" s="55">
        <v>48</v>
      </c>
      <c r="R30" s="55">
        <v>5443</v>
      </c>
    </row>
    <row r="31" spans="1:22" x14ac:dyDescent="0.25">
      <c r="A31" s="54">
        <v>44225</v>
      </c>
      <c r="B31" s="33">
        <v>141546</v>
      </c>
      <c r="C31" s="33">
        <v>97594</v>
      </c>
      <c r="D31" s="55">
        <v>187459</v>
      </c>
      <c r="E31" s="10">
        <v>238758</v>
      </c>
      <c r="F31" s="55">
        <v>66842</v>
      </c>
      <c r="G31" s="55">
        <v>108724</v>
      </c>
      <c r="H31" s="33">
        <v>45393</v>
      </c>
      <c r="I31" s="55">
        <v>57526</v>
      </c>
      <c r="J31" s="10">
        <v>18299</v>
      </c>
      <c r="K31" s="55">
        <v>1024</v>
      </c>
      <c r="L31" s="55">
        <v>16206</v>
      </c>
      <c r="M31" s="55">
        <v>21979</v>
      </c>
      <c r="N31" s="55">
        <v>6661</v>
      </c>
      <c r="O31" s="55">
        <v>1542</v>
      </c>
      <c r="P31" s="55">
        <v>25817</v>
      </c>
      <c r="Q31" s="55">
        <v>52</v>
      </c>
      <c r="R31" s="55">
        <v>5452</v>
      </c>
      <c r="S31" s="57"/>
      <c r="T31" s="57"/>
      <c r="U31" s="57"/>
      <c r="V31" s="57"/>
    </row>
    <row r="32" spans="1:22" x14ac:dyDescent="0.25">
      <c r="A32" s="54">
        <v>44226</v>
      </c>
      <c r="B32" s="33">
        <v>141706</v>
      </c>
      <c r="C32" s="56">
        <v>97746</v>
      </c>
      <c r="D32" s="55">
        <v>187610</v>
      </c>
      <c r="E32" s="55">
        <v>238820</v>
      </c>
      <c r="F32" s="55">
        <v>66842</v>
      </c>
      <c r="G32" s="55">
        <v>108738</v>
      </c>
      <c r="H32" s="56">
        <v>45439</v>
      </c>
      <c r="I32" s="33">
        <v>57543</v>
      </c>
      <c r="J32" s="55">
        <v>18311</v>
      </c>
      <c r="K32" s="55">
        <v>1024</v>
      </c>
      <c r="L32" s="55">
        <v>16214</v>
      </c>
      <c r="M32" s="55">
        <v>21994</v>
      </c>
      <c r="N32" s="55">
        <v>6662</v>
      </c>
      <c r="O32" s="55">
        <v>1543</v>
      </c>
      <c r="P32" s="55">
        <v>25817</v>
      </c>
      <c r="Q32" s="55">
        <v>53</v>
      </c>
      <c r="R32" s="55">
        <v>5453</v>
      </c>
      <c r="S32" s="58"/>
      <c r="T32" s="57"/>
      <c r="U32" s="57"/>
      <c r="V32" s="57"/>
    </row>
    <row r="33" spans="1:22" x14ac:dyDescent="0.25">
      <c r="A33" s="54">
        <v>44227</v>
      </c>
      <c r="B33" s="33">
        <v>141861</v>
      </c>
      <c r="C33" s="33">
        <v>97868</v>
      </c>
      <c r="D33" s="55">
        <v>187728</v>
      </c>
      <c r="E33" s="55">
        <v>238874</v>
      </c>
      <c r="F33" s="55">
        <v>66842</v>
      </c>
      <c r="G33" s="55">
        <v>108757</v>
      </c>
      <c r="H33" s="56">
        <v>45479</v>
      </c>
      <c r="I33" s="33">
        <v>57557</v>
      </c>
      <c r="J33" s="55">
        <v>18321</v>
      </c>
      <c r="K33" s="55">
        <v>1024</v>
      </c>
      <c r="L33" s="55">
        <v>16221</v>
      </c>
      <c r="M33" s="55">
        <v>22008</v>
      </c>
      <c r="N33" s="55">
        <v>6667</v>
      </c>
      <c r="O33" s="55">
        <v>1544</v>
      </c>
      <c r="P33" s="55">
        <v>25817</v>
      </c>
      <c r="Q33" s="55">
        <v>55</v>
      </c>
      <c r="R33" s="55">
        <v>5460</v>
      </c>
      <c r="S33" s="58"/>
      <c r="T33" s="57"/>
      <c r="U33" s="57"/>
      <c r="V33" s="57"/>
    </row>
    <row r="34" spans="1:22" x14ac:dyDescent="0.25">
      <c r="A34" s="54">
        <v>44228</v>
      </c>
      <c r="B34" s="33">
        <v>142036</v>
      </c>
      <c r="C34" s="56">
        <v>98010</v>
      </c>
      <c r="D34" s="33">
        <v>187883</v>
      </c>
      <c r="E34" s="33">
        <v>238934</v>
      </c>
      <c r="F34" s="33">
        <v>66842</v>
      </c>
      <c r="G34" s="33">
        <v>108776</v>
      </c>
      <c r="H34" s="33">
        <v>45508</v>
      </c>
      <c r="I34" s="33">
        <v>57588</v>
      </c>
      <c r="J34" s="33">
        <v>18332</v>
      </c>
      <c r="K34" s="33">
        <v>1024</v>
      </c>
      <c r="L34" s="33">
        <v>16228</v>
      </c>
      <c r="M34" s="33">
        <v>22024</v>
      </c>
      <c r="N34" s="33">
        <v>6669</v>
      </c>
      <c r="O34" s="33">
        <v>1544</v>
      </c>
      <c r="P34" s="33">
        <v>25830</v>
      </c>
      <c r="Q34" s="33">
        <v>61</v>
      </c>
      <c r="R34" s="33">
        <v>5466</v>
      </c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25" activePane="bottomLeft" state="frozen"/>
      <selection activeCell="C25" sqref="C25"/>
      <selection pane="bottomLeft" activeCell="B34" sqref="B3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3" t="s">
        <v>32</v>
      </c>
      <c r="B2" s="134" t="s">
        <v>109</v>
      </c>
      <c r="C2" s="134" t="s">
        <v>110</v>
      </c>
      <c r="D2" s="134"/>
      <c r="E2" s="135" t="s">
        <v>98</v>
      </c>
      <c r="F2" s="136"/>
      <c r="G2" s="137" t="s">
        <v>113</v>
      </c>
      <c r="H2" s="136"/>
      <c r="I2" s="137" t="s">
        <v>111</v>
      </c>
      <c r="J2" s="136"/>
      <c r="K2" s="137" t="s">
        <v>112</v>
      </c>
      <c r="L2" s="136"/>
      <c r="M2" s="137" t="s">
        <v>108</v>
      </c>
      <c r="N2" s="136"/>
      <c r="O2" s="137" t="s">
        <v>107</v>
      </c>
      <c r="P2" s="136"/>
      <c r="Q2" s="137" t="s">
        <v>114</v>
      </c>
      <c r="R2" s="136"/>
      <c r="S2" s="137" t="s">
        <v>115</v>
      </c>
      <c r="T2" s="136"/>
      <c r="U2" s="137" t="s">
        <v>116</v>
      </c>
      <c r="V2" s="136"/>
      <c r="W2" s="137" t="s">
        <v>100</v>
      </c>
      <c r="X2" s="138"/>
      <c r="Y2" s="139" t="s">
        <v>53</v>
      </c>
      <c r="Z2" s="139"/>
    </row>
    <row r="3" spans="1:26" ht="30" x14ac:dyDescent="0.35">
      <c r="A3" s="133"/>
      <c r="B3" s="134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251</v>
      </c>
      <c r="C29" s="66">
        <f>('Water Reading'!B29-'Water Reading'!B28)+('Water Reading'!C29-'Water Reading'!C28)</f>
        <v>376</v>
      </c>
      <c r="D29" s="67">
        <f t="shared" si="2"/>
        <v>1.49800796812749</v>
      </c>
      <c r="E29" s="87">
        <f>'Water Reading'!H29-'Water Reading'!H28</f>
        <v>44</v>
      </c>
      <c r="F29" s="89">
        <f t="shared" si="3"/>
        <v>0.11702127659574468</v>
      </c>
      <c r="G29" s="93">
        <f>('Water Reading'!D29-'Water Reading'!D28)-('Water Reading'!R29-'Water Reading'!R28)-('Water Reading'!Q29-'Water Reading'!Q28)</f>
        <v>161</v>
      </c>
      <c r="H29" s="89">
        <f t="shared" si="4"/>
        <v>0.42819148936170215</v>
      </c>
      <c r="I29" s="90">
        <f>'Water Reading'!P29-'Water Reading'!P28</f>
        <v>8</v>
      </c>
      <c r="J29" s="68">
        <f t="shared" si="5"/>
        <v>2.1276595744680851E-2</v>
      </c>
      <c r="K29" s="90">
        <f>('Water Reading'!I29-'Water Reading'!I28)</f>
        <v>25</v>
      </c>
      <c r="L29" s="68">
        <f t="shared" si="6"/>
        <v>6.6489361702127658E-2</v>
      </c>
      <c r="M29" s="90">
        <f>'Water Reading'!R29-'Water Reading'!R28</f>
        <v>8</v>
      </c>
      <c r="N29" s="92">
        <f t="shared" si="7"/>
        <v>2.1276595744680851E-2</v>
      </c>
      <c r="O29" s="90">
        <f>'Water Reading'!Q29-'Water Reading'!Q28</f>
        <v>5</v>
      </c>
      <c r="P29" s="99">
        <f t="shared" si="8"/>
        <v>1.3297872340425532E-2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73</v>
      </c>
      <c r="T29" s="100">
        <f t="shared" si="10"/>
        <v>0.19414893617021275</v>
      </c>
      <c r="U29" s="90">
        <f>'Water Reading'!G29-'Water Reading'!G28</f>
        <v>28</v>
      </c>
      <c r="V29" s="100">
        <f t="shared" si="11"/>
        <v>7.4468085106382975E-2</v>
      </c>
      <c r="W29" s="90">
        <f>'Water Reading'!J29-'Water Reading'!J28</f>
        <v>12</v>
      </c>
      <c r="X29" s="100">
        <f t="shared" si="12"/>
        <v>3.1914893617021274E-2</v>
      </c>
      <c r="Y29" s="66">
        <f t="shared" si="0"/>
        <v>364</v>
      </c>
      <c r="Z29" s="67">
        <f t="shared" si="1"/>
        <v>1.450199203187251</v>
      </c>
    </row>
    <row r="30" spans="1:26" x14ac:dyDescent="0.25">
      <c r="A30" s="8">
        <f>'Water Reading'!A29</f>
        <v>44223</v>
      </c>
      <c r="B30" s="65">
        <f>TOTAL!I28</f>
        <v>308</v>
      </c>
      <c r="C30" s="66">
        <f>('Water Reading'!B30-'Water Reading'!B29)+('Water Reading'!C30-'Water Reading'!C29)</f>
        <v>296</v>
      </c>
      <c r="D30" s="67">
        <f t="shared" si="2"/>
        <v>0.96103896103896103</v>
      </c>
      <c r="E30" s="87">
        <f>'Water Reading'!H30-'Water Reading'!H29</f>
        <v>23</v>
      </c>
      <c r="F30" s="89">
        <f t="shared" si="3"/>
        <v>7.77027027027027E-2</v>
      </c>
      <c r="G30" s="93">
        <f>('Water Reading'!D30-'Water Reading'!D29)-('Water Reading'!R30-'Water Reading'!R29)-('Water Reading'!Q30-'Water Reading'!Q29)</f>
        <v>137</v>
      </c>
      <c r="H30" s="89">
        <f t="shared" si="4"/>
        <v>0.46283783783783783</v>
      </c>
      <c r="I30" s="90">
        <f>'Water Reading'!P30-'Water Reading'!P29</f>
        <v>6</v>
      </c>
      <c r="J30" s="68">
        <f t="shared" si="5"/>
        <v>2.0270270270270271E-2</v>
      </c>
      <c r="K30" s="90">
        <f>('Water Reading'!I30-'Water Reading'!I29)-('Water Reading'!P30-'Water Reading'!P29)</f>
        <v>6</v>
      </c>
      <c r="L30" s="68">
        <f t="shared" si="6"/>
        <v>2.0270270270270271E-2</v>
      </c>
      <c r="M30" s="90">
        <f>'Water Reading'!R30-'Water Reading'!R29</f>
        <v>7</v>
      </c>
      <c r="N30" s="92">
        <f t="shared" si="7"/>
        <v>2.364864864864865E-2</v>
      </c>
      <c r="O30" s="90">
        <f>'Water Reading'!Q30-'Water Reading'!Q29</f>
        <v>3</v>
      </c>
      <c r="P30" s="99">
        <f t="shared" si="8"/>
        <v>1.0135135135135136E-2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58</v>
      </c>
      <c r="T30" s="100">
        <f t="shared" si="10"/>
        <v>0.19594594594594594</v>
      </c>
      <c r="U30" s="90">
        <f>'Water Reading'!G30-'Water Reading'!G29</f>
        <v>20</v>
      </c>
      <c r="V30" s="100">
        <f t="shared" si="11"/>
        <v>6.7567567567567571E-2</v>
      </c>
      <c r="W30" s="90">
        <f>'Water Reading'!J30-'Water Reading'!J29</f>
        <v>10</v>
      </c>
      <c r="X30" s="100">
        <f t="shared" si="12"/>
        <v>3.3783783783783786E-2</v>
      </c>
      <c r="Y30" s="66">
        <f t="shared" si="0"/>
        <v>270</v>
      </c>
      <c r="Z30" s="67">
        <f t="shared" si="1"/>
        <v>0.87662337662337664</v>
      </c>
    </row>
    <row r="31" spans="1:26" x14ac:dyDescent="0.25">
      <c r="A31" s="8">
        <f>'Water Reading'!A30</f>
        <v>44224</v>
      </c>
      <c r="B31" s="65">
        <f>TOTAL!I29</f>
        <v>247</v>
      </c>
      <c r="C31" s="66">
        <f>('Water Reading'!B31-'Water Reading'!B30)+('Water Reading'!C31-'Water Reading'!C30)</f>
        <v>355</v>
      </c>
      <c r="D31" s="67">
        <f t="shared" si="2"/>
        <v>1.4372469635627529</v>
      </c>
      <c r="E31" s="87">
        <f>'Water Reading'!H31-'Water Reading'!H30</f>
        <v>73</v>
      </c>
      <c r="F31" s="89">
        <f t="shared" si="3"/>
        <v>0.20563380281690141</v>
      </c>
      <c r="G31" s="93">
        <f>('Water Reading'!D31-'Water Reading'!D30)-('Water Reading'!R31-'Water Reading'!R30)-('Water Reading'!Q31-'Water Reading'!Q30)</f>
        <v>120</v>
      </c>
      <c r="H31" s="89">
        <f t="shared" si="4"/>
        <v>0.3380281690140845</v>
      </c>
      <c r="I31" s="90">
        <f>'Water Reading'!P31-'Water Reading'!P30</f>
        <v>9</v>
      </c>
      <c r="J31" s="68">
        <f t="shared" si="5"/>
        <v>2.5352112676056339E-2</v>
      </c>
      <c r="K31" s="90">
        <f>('Water Reading'!I31-'Water Reading'!I30)-('Water Reading'!P31-'Water Reading'!P30)</f>
        <v>27</v>
      </c>
      <c r="L31" s="68">
        <f t="shared" si="6"/>
        <v>7.605633802816901E-2</v>
      </c>
      <c r="M31" s="90">
        <f>'Water Reading'!R31-'Water Reading'!R30</f>
        <v>9</v>
      </c>
      <c r="N31" s="92">
        <f t="shared" si="7"/>
        <v>2.5352112676056339E-2</v>
      </c>
      <c r="O31" s="90">
        <f>'Water Reading'!Q31-'Water Reading'!Q30</f>
        <v>4</v>
      </c>
      <c r="P31" s="99">
        <f t="shared" si="8"/>
        <v>1.1267605633802818E-2</v>
      </c>
      <c r="Q31" s="91">
        <f>'Water Reading'!F31-'Water Reading'!F30</f>
        <v>1</v>
      </c>
      <c r="R31" s="100">
        <f t="shared" si="9"/>
        <v>2.8169014084507044E-3</v>
      </c>
      <c r="S31" s="94">
        <f>'Water Reading'!E31-'Water Reading'!E30</f>
        <v>67</v>
      </c>
      <c r="T31" s="100">
        <f t="shared" si="10"/>
        <v>0.18873239436619718</v>
      </c>
      <c r="U31" s="90">
        <f>'Water Reading'!G31-'Water Reading'!G30</f>
        <v>29</v>
      </c>
      <c r="V31" s="100">
        <f t="shared" si="11"/>
        <v>8.1690140845070425E-2</v>
      </c>
      <c r="W31" s="90">
        <f>'Water Reading'!J31-'Water Reading'!J30</f>
        <v>12</v>
      </c>
      <c r="X31" s="100">
        <f t="shared" si="12"/>
        <v>3.3802816901408447E-2</v>
      </c>
      <c r="Y31" s="66">
        <f t="shared" si="0"/>
        <v>351</v>
      </c>
      <c r="Z31" s="67">
        <f t="shared" si="1"/>
        <v>1.4210526315789473</v>
      </c>
    </row>
    <row r="32" spans="1:26" x14ac:dyDescent="0.25">
      <c r="A32" s="8">
        <f>'Water Reading'!A31</f>
        <v>44225</v>
      </c>
      <c r="B32" s="65">
        <f>TOTAL!I30</f>
        <v>268</v>
      </c>
      <c r="C32" s="66">
        <f>('Water Reading'!B32-'Water Reading'!B31)+('Water Reading'!C32-'Water Reading'!C31)</f>
        <v>312</v>
      </c>
      <c r="D32" s="67">
        <f t="shared" si="2"/>
        <v>1.164179104477612</v>
      </c>
      <c r="E32" s="87">
        <f>'Water Reading'!H32-'Water Reading'!H31</f>
        <v>46</v>
      </c>
      <c r="F32" s="89">
        <f t="shared" si="3"/>
        <v>0.14743589743589744</v>
      </c>
      <c r="G32" s="93">
        <f>('Water Reading'!D32-'Water Reading'!D31)-('Water Reading'!R32-'Water Reading'!R31)-('Water Reading'!Q32-'Water Reading'!Q31)</f>
        <v>149</v>
      </c>
      <c r="H32" s="89">
        <f t="shared" si="4"/>
        <v>0.47756410256410259</v>
      </c>
      <c r="I32" s="90">
        <f>'Water Reading'!P32-'Water Reading'!P31</f>
        <v>0</v>
      </c>
      <c r="J32" s="68">
        <f t="shared" si="5"/>
        <v>0</v>
      </c>
      <c r="K32" s="90">
        <f>('Water Reading'!I32-'Water Reading'!I31)-('Water Reading'!P32-'Water Reading'!P31)</f>
        <v>17</v>
      </c>
      <c r="L32" s="68">
        <f t="shared" si="6"/>
        <v>5.4487179487179488E-2</v>
      </c>
      <c r="M32" s="90">
        <f>'Water Reading'!R32-'Water Reading'!R31</f>
        <v>1</v>
      </c>
      <c r="N32" s="92">
        <f t="shared" si="7"/>
        <v>3.205128205128205E-3</v>
      </c>
      <c r="O32" s="90">
        <f>'Water Reading'!Q32-'Water Reading'!Q31</f>
        <v>1</v>
      </c>
      <c r="P32" s="99">
        <f t="shared" si="8"/>
        <v>3.205128205128205E-3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62</v>
      </c>
      <c r="T32" s="100">
        <f t="shared" si="10"/>
        <v>0.19871794871794871</v>
      </c>
      <c r="U32" s="90">
        <f>'Water Reading'!G32-'Water Reading'!G31</f>
        <v>14</v>
      </c>
      <c r="V32" s="100">
        <f t="shared" si="11"/>
        <v>4.4871794871794872E-2</v>
      </c>
      <c r="W32" s="90">
        <f>'Water Reading'!J32-'Water Reading'!J31</f>
        <v>12</v>
      </c>
      <c r="X32" s="100">
        <f t="shared" si="12"/>
        <v>3.8461538461538464E-2</v>
      </c>
      <c r="Y32" s="66">
        <f t="shared" si="0"/>
        <v>302</v>
      </c>
      <c r="Z32" s="67">
        <f t="shared" si="1"/>
        <v>1.1268656716417911</v>
      </c>
    </row>
    <row r="33" spans="1:26" x14ac:dyDescent="0.25">
      <c r="A33" s="8">
        <f>'Water Reading'!A32</f>
        <v>44226</v>
      </c>
      <c r="B33" s="65">
        <f>TOTAL!I31</f>
        <v>250</v>
      </c>
      <c r="C33" s="66">
        <f>('Water Reading'!B33-'Water Reading'!B32)+('Water Reading'!C33-'Water Reading'!C32)</f>
        <v>277</v>
      </c>
      <c r="D33" s="67">
        <f t="shared" si="2"/>
        <v>1.1080000000000001</v>
      </c>
      <c r="E33" s="87">
        <f>'Water Reading'!H33-'Water Reading'!H32</f>
        <v>40</v>
      </c>
      <c r="F33" s="89">
        <f t="shared" si="3"/>
        <v>0.1444043321299639</v>
      </c>
      <c r="G33" s="93">
        <f>('Water Reading'!D33-'Water Reading'!D32)-('Water Reading'!R33-'Water Reading'!R32)-('Water Reading'!Q33-'Water Reading'!Q32)</f>
        <v>109</v>
      </c>
      <c r="H33" s="89">
        <f t="shared" si="4"/>
        <v>0.39350180505415161</v>
      </c>
      <c r="I33" s="90">
        <f>'Water Reading'!P33-'Water Reading'!P32</f>
        <v>0</v>
      </c>
      <c r="J33" s="68">
        <f t="shared" si="5"/>
        <v>0</v>
      </c>
      <c r="K33" s="90">
        <f>('Water Reading'!I33-'Water Reading'!I32)-('Water Reading'!P33-'Water Reading'!P32)</f>
        <v>14</v>
      </c>
      <c r="L33" s="68">
        <f t="shared" si="6"/>
        <v>5.0541516245487361E-2</v>
      </c>
      <c r="M33" s="90">
        <f>'Water Reading'!R33-'Water Reading'!R32</f>
        <v>7</v>
      </c>
      <c r="N33" s="92">
        <f t="shared" si="7"/>
        <v>2.5270758122743681E-2</v>
      </c>
      <c r="O33" s="90">
        <f>'Water Reading'!Q33-'Water Reading'!Q32</f>
        <v>2</v>
      </c>
      <c r="P33" s="99">
        <f t="shared" si="8"/>
        <v>7.2202166064981952E-3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54</v>
      </c>
      <c r="T33" s="100">
        <f t="shared" si="10"/>
        <v>0.19494584837545126</v>
      </c>
      <c r="U33" s="90">
        <f>'Water Reading'!G33-'Water Reading'!G32</f>
        <v>19</v>
      </c>
      <c r="V33" s="100">
        <f t="shared" si="11"/>
        <v>6.8592057761732855E-2</v>
      </c>
      <c r="W33" s="90">
        <f>'Water Reading'!J33-'Water Reading'!J32</f>
        <v>10</v>
      </c>
      <c r="X33" s="100">
        <f t="shared" si="12"/>
        <v>3.6101083032490974E-2</v>
      </c>
      <c r="Y33" s="66">
        <f t="shared" si="0"/>
        <v>255</v>
      </c>
      <c r="Z33" s="67">
        <f t="shared" si="1"/>
        <v>1.02</v>
      </c>
    </row>
    <row r="34" spans="1:26" x14ac:dyDescent="0.25">
      <c r="A34" s="8">
        <f>'Water Reading'!A33</f>
        <v>44227</v>
      </c>
      <c r="B34" s="65">
        <f>TOTAL!I32</f>
        <v>231</v>
      </c>
      <c r="C34" s="66">
        <f>('Water Reading'!B34-'Water Reading'!B33)+('Water Reading'!C34-'Water Reading'!C33)</f>
        <v>317</v>
      </c>
      <c r="D34" s="67">
        <f t="shared" si="2"/>
        <v>1.3722943722943723</v>
      </c>
      <c r="E34" s="87">
        <f>'Water Reading'!H34-'Water Reading'!H33</f>
        <v>29</v>
      </c>
      <c r="F34" s="89">
        <f t="shared" si="3"/>
        <v>9.1482649842271294E-2</v>
      </c>
      <c r="G34" s="93">
        <f>('Water Reading'!D34-'Water Reading'!D33)-('Water Reading'!R34-'Water Reading'!R33)-('Water Reading'!Q34-'Water Reading'!Q33)</f>
        <v>143</v>
      </c>
      <c r="H34" s="89">
        <f t="shared" si="4"/>
        <v>0.45110410094637227</v>
      </c>
      <c r="I34" s="90">
        <f>'Water Reading'!P34-'Water Reading'!P33</f>
        <v>13</v>
      </c>
      <c r="J34" s="68">
        <f t="shared" si="5"/>
        <v>4.1009463722397478E-2</v>
      </c>
      <c r="K34" s="90">
        <f>('Water Reading'!I34-'Water Reading'!I33)-('Water Reading'!P34-'Water Reading'!P33)</f>
        <v>18</v>
      </c>
      <c r="L34" s="68">
        <f t="shared" si="6"/>
        <v>5.6782334384858045E-2</v>
      </c>
      <c r="M34" s="90">
        <f>'Water Reading'!R34-'Water Reading'!R33</f>
        <v>6</v>
      </c>
      <c r="N34" s="92">
        <f t="shared" si="7"/>
        <v>1.8927444794952682E-2</v>
      </c>
      <c r="O34" s="90">
        <f>'Water Reading'!Q34-'Water Reading'!Q33</f>
        <v>6</v>
      </c>
      <c r="P34" s="99">
        <f t="shared" si="8"/>
        <v>1.8927444794952682E-2</v>
      </c>
      <c r="Q34" s="91">
        <f>'Water Reading'!F34-'Water Reading'!F33</f>
        <v>0</v>
      </c>
      <c r="R34" s="100">
        <f t="shared" si="9"/>
        <v>0</v>
      </c>
      <c r="S34" s="94">
        <f>'Water Reading'!E34-'Water Reading'!E33</f>
        <v>60</v>
      </c>
      <c r="T34" s="100">
        <f t="shared" si="10"/>
        <v>0.1892744479495268</v>
      </c>
      <c r="U34" s="90">
        <f>'Water Reading'!G34-'Water Reading'!G33</f>
        <v>19</v>
      </c>
      <c r="V34" s="100">
        <f t="shared" si="11"/>
        <v>5.993690851735016E-2</v>
      </c>
      <c r="W34" s="90">
        <f>'Water Reading'!J34-'Water Reading'!J33</f>
        <v>11</v>
      </c>
      <c r="X34" s="100">
        <f t="shared" si="12"/>
        <v>3.4700315457413249E-2</v>
      </c>
      <c r="Y34" s="66">
        <f t="shared" si="0"/>
        <v>305</v>
      </c>
      <c r="Z34" s="67">
        <f t="shared" si="1"/>
        <v>1.3203463203463204</v>
      </c>
    </row>
    <row r="35" spans="1:26" ht="24" customHeight="1" x14ac:dyDescent="0.25">
      <c r="A35" s="69" t="s">
        <v>53</v>
      </c>
      <c r="B35" s="97">
        <f>SUM(B4:B34)</f>
        <v>8544</v>
      </c>
      <c r="C35" s="75">
        <f>SUM(C4:C34)</f>
        <v>10318</v>
      </c>
      <c r="D35" s="96">
        <f>C35/B35</f>
        <v>1.2076310861423221</v>
      </c>
      <c r="E35" s="7">
        <f>SUM(E4:E34)</f>
        <v>1002</v>
      </c>
      <c r="F35" s="95">
        <f>E35/C35</f>
        <v>9.7111843380500093E-2</v>
      </c>
      <c r="G35" s="75">
        <f>SUM(G4:G34)</f>
        <v>4571</v>
      </c>
      <c r="H35" s="95">
        <f>G35/C35</f>
        <v>0.44301221166892807</v>
      </c>
      <c r="I35" s="7">
        <f>SUM(I4:I34)</f>
        <v>189</v>
      </c>
      <c r="J35" s="95">
        <f>I35/C35</f>
        <v>1.8317503392130258E-2</v>
      </c>
      <c r="K35" s="7">
        <f>SUM(K4:K34)</f>
        <v>723</v>
      </c>
      <c r="L35" s="95">
        <f>K35/C35</f>
        <v>7.0071719325450671E-2</v>
      </c>
      <c r="M35" s="7">
        <f>SUM(M4:M34)</f>
        <v>214</v>
      </c>
      <c r="N35" s="95">
        <f>M35/C35</f>
        <v>2.0740453576274472E-2</v>
      </c>
      <c r="O35" s="7">
        <f>SUM(O4:O34)</f>
        <v>104</v>
      </c>
      <c r="P35" s="95">
        <f>O35/C35</f>
        <v>1.007947276603993E-2</v>
      </c>
      <c r="Q35" s="7">
        <f>SUM(Q4:Q34)</f>
        <v>11</v>
      </c>
      <c r="R35" s="95">
        <f>Q35/C35</f>
        <v>1.0660980810234541E-3</v>
      </c>
      <c r="S35" s="75">
        <f>SUM(S4:S34)</f>
        <v>1895</v>
      </c>
      <c r="T35" s="95">
        <f>S35/C35</f>
        <v>0.18365962395813143</v>
      </c>
      <c r="U35" s="7">
        <f>SUM(U4:U34)</f>
        <v>767</v>
      </c>
      <c r="V35" s="95">
        <f>U35/C35</f>
        <v>7.4336111649544484E-2</v>
      </c>
      <c r="W35" s="7">
        <f>SUM(W4:W34)</f>
        <v>351</v>
      </c>
      <c r="X35" s="95">
        <f>W35/C35</f>
        <v>3.4018220585384763E-2</v>
      </c>
      <c r="Y35" s="75">
        <f>SUM(Y4:Y34)</f>
        <v>9827</v>
      </c>
      <c r="Z35" s="95">
        <f t="shared" si="1"/>
        <v>1.1501638576779025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2021-02-01T05:01:19Z</dcterms:modified>
  <cp:category/>
  <cp:contentStatus/>
</cp:coreProperties>
</file>