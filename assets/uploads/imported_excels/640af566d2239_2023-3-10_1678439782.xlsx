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3C6B006D-9B34-4E0D-9975-AE6E13CAA48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L5" i="4"/>
  <c r="N5" i="4" s="1"/>
  <c r="L6" i="4"/>
  <c r="N6" i="4" s="1"/>
  <c r="L7" i="4"/>
  <c r="L8" i="4"/>
  <c r="L9" i="4"/>
  <c r="L10" i="4"/>
  <c r="L11" i="4"/>
  <c r="N11" i="4" s="1"/>
  <c r="L12" i="4"/>
  <c r="N12" i="4" s="1"/>
  <c r="L13" i="4"/>
  <c r="L14" i="4"/>
  <c r="L15" i="4"/>
  <c r="L16" i="4"/>
  <c r="L17" i="4"/>
  <c r="N17" i="4" s="1"/>
  <c r="L18" i="4"/>
  <c r="N18" i="4" s="1"/>
  <c r="L19" i="4"/>
  <c r="L20" i="4"/>
  <c r="L21" i="4"/>
  <c r="L22" i="4"/>
  <c r="L23" i="4"/>
  <c r="N23" i="4" s="1"/>
  <c r="L24" i="4"/>
  <c r="N24" i="4" s="1"/>
  <c r="L25" i="4"/>
  <c r="L26" i="4"/>
  <c r="L27" i="4"/>
  <c r="L28" i="4"/>
  <c r="L29" i="4"/>
  <c r="N29" i="4" s="1"/>
  <c r="L30" i="4"/>
  <c r="N30" i="4" s="1"/>
  <c r="L31" i="4"/>
  <c r="L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N2" i="4"/>
  <c r="N3" i="4"/>
  <c r="N4" i="4"/>
  <c r="N7" i="4"/>
  <c r="N8" i="4"/>
  <c r="N9" i="4"/>
  <c r="N10" i="4"/>
  <c r="N13" i="4"/>
  <c r="N14" i="4"/>
  <c r="N15" i="4"/>
  <c r="N16" i="4"/>
  <c r="N19" i="4"/>
  <c r="N20" i="4"/>
  <c r="N21" i="4"/>
  <c r="N22" i="4"/>
  <c r="N25" i="4"/>
  <c r="N26" i="4"/>
  <c r="N27" i="4"/>
  <c r="N28" i="4"/>
  <c r="N31" i="4"/>
  <c r="G36" i="2" l="1"/>
  <c r="F36" i="2"/>
  <c r="E36" i="2"/>
  <c r="D4" i="4"/>
  <c r="D5" i="4"/>
  <c r="D6" i="4"/>
  <c r="D7" i="4"/>
  <c r="D8" i="4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" i="4"/>
  <c r="D2" i="4"/>
  <c r="D7" i="2"/>
  <c r="D8" i="2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6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6" i="1"/>
  <c r="F36" i="1"/>
  <c r="I6" i="1"/>
  <c r="H6" i="1"/>
  <c r="G34" i="1"/>
  <c r="E30" i="4" s="1"/>
  <c r="H34" i="1"/>
  <c r="I34" i="1"/>
  <c r="G35" i="1"/>
  <c r="E31" i="4" s="1"/>
  <c r="H35" i="1"/>
  <c r="I35" i="1"/>
  <c r="J35" i="1" l="1"/>
  <c r="K35" i="1" s="1"/>
  <c r="L35" i="1" s="1"/>
  <c r="J31" i="4" s="1"/>
  <c r="J34" i="1"/>
  <c r="K34" i="1" s="1"/>
  <c r="L34" i="1" l="1"/>
  <c r="J30" i="4" s="1"/>
  <c r="C36" i="1"/>
  <c r="G6" i="1"/>
  <c r="E2" i="4" l="1"/>
  <c r="G40" i="2"/>
  <c r="G46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<sst xmlns="http://schemas.openxmlformats.org/spreadsheetml/2006/main" count="115" uniqueCount="45">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</sst>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2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1" fillId="0" borderId="5" xfId="1" applyFont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C1" workbookViewId="0">
      <selection activeCell="K2" sqref="K2:K31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38" t="s">
        <v>24</v>
      </c>
      <c r="B1" s="139" t="s">
        <v>23</v>
      </c>
      <c r="C1" s="139" t="s">
        <v>22</v>
      </c>
      <c r="D1" s="14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4</v>
      </c>
      <c r="D2" s="45">
        <f>Water!D5</f>
        <v>2019</v>
      </c>
      <c r="E2" s="43">
        <f>Electricity!G6</f>
        <v>26200.000000000728</v>
      </c>
      <c r="F2" s="43">
        <f>Electricity!E6</f>
        <v>4840.0000000001455</v>
      </c>
      <c r="G2" s="43">
        <f>Electricity!F6</f>
        <v>21360.000000000582</v>
      </c>
      <c r="H2" s="47">
        <v>1553.67</v>
      </c>
      <c r="I2" s="58" t="s">
        <v>28</v>
      </c>
      <c r="J2" s="110">
        <f>Electricity!L6</f>
        <v>30355480.16640085</v>
      </c>
      <c r="K2" s="43">
        <f>J2/E2</f>
        <v>1158.6061132213742</v>
      </c>
      <c r="L2" s="43">
        <f>Water!G5</f>
        <v>663</v>
      </c>
      <c r="M2" s="59">
        <v>12550</v>
      </c>
      <c r="N2" s="110">
        <f>TOTAL!L2*TOTAL!M2</f>
        <v>8320650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4</v>
      </c>
      <c r="D3" s="45">
        <f>D2</f>
        <v>2019</v>
      </c>
      <c r="E3" s="43">
        <f>Electricity!G7</f>
        <v>25759.999999999309</v>
      </c>
      <c r="F3" s="43">
        <f>Electricity!E7</f>
        <v>4599.9999999994543</v>
      </c>
      <c r="G3" s="43">
        <f>Electricity!F7</f>
        <v>21159.999999999854</v>
      </c>
      <c r="H3" s="47">
        <v>1553.67</v>
      </c>
      <c r="I3" s="58" t="s">
        <v>28</v>
      </c>
      <c r="J3" s="110">
        <f>Electricity!L7</f>
        <v>29761522.483198974</v>
      </c>
      <c r="K3" s="43">
        <f t="shared" ref="K3:K31" si="0">J3/E3</f>
        <v>1155.3386057142768</v>
      </c>
      <c r="L3" s="43">
        <f>Water!G6</f>
        <v>635</v>
      </c>
      <c r="M3" s="59">
        <v>12550</v>
      </c>
      <c r="N3" s="110">
        <f>TOTAL!L3*TOTAL!M3</f>
        <v>7969250</v>
      </c>
      <c r="O3" s="43">
        <f>Electricity!C7</f>
        <v>161</v>
      </c>
    </row>
    <row r="4" spans="1:15" x14ac:dyDescent="0.25">
      <c r="A4" s="48" t="s">
        <v>44</v>
      </c>
      <c r="B4" s="45">
        <v>3</v>
      </c>
      <c r="C4" s="45">
        <v>4</v>
      </c>
      <c r="D4" s="45">
        <f t="shared" ref="D4:D31" si="1">D3</f>
        <v>2019</v>
      </c>
      <c r="E4" s="43">
        <f>Electricity!G8</f>
        <v>25360.000000001492</v>
      </c>
      <c r="F4" s="43">
        <f>Electricity!E8</f>
        <v>4160.000000000764</v>
      </c>
      <c r="G4" s="43">
        <f>Electricity!F8</f>
        <v>21200.000000000728</v>
      </c>
      <c r="H4" s="47">
        <v>1553.67</v>
      </c>
      <c r="I4" s="58" t="s">
        <v>28</v>
      </c>
      <c r="J4" s="110">
        <f>Electricity!L8</f>
        <v>29103926.476801988</v>
      </c>
      <c r="K4" s="43">
        <f t="shared" si="0"/>
        <v>1147.6311702208311</v>
      </c>
      <c r="L4" s="43">
        <f>Water!G7</f>
        <v>648</v>
      </c>
      <c r="M4" s="59">
        <v>12550</v>
      </c>
      <c r="N4" s="110">
        <f>TOTAL!L4*TOTAL!M4</f>
        <v>8132400</v>
      </c>
      <c r="O4" s="43">
        <f>Electricity!C8</f>
        <v>161</v>
      </c>
    </row>
    <row r="5" spans="1:15" x14ac:dyDescent="0.25">
      <c r="A5" s="48" t="s">
        <v>44</v>
      </c>
      <c r="B5" s="45">
        <v>4</v>
      </c>
      <c r="C5" s="45">
        <v>4</v>
      </c>
      <c r="D5" s="45">
        <f t="shared" si="1"/>
        <v>2019</v>
      </c>
      <c r="E5" s="43">
        <f>Electricity!G9</f>
        <v>22319.999999998799</v>
      </c>
      <c r="F5" s="43">
        <f>Electricity!E9</f>
        <v>5039.9999999999636</v>
      </c>
      <c r="G5" s="43">
        <f>Electricity!F9</f>
        <v>17279.999999998836</v>
      </c>
      <c r="H5" s="47">
        <v>1553.67</v>
      </c>
      <c r="I5" s="58" t="s">
        <v>28</v>
      </c>
      <c r="J5" s="110">
        <f>Electricity!L9</f>
        <v>26346265.804798707</v>
      </c>
      <c r="K5" s="43">
        <f t="shared" si="0"/>
        <v>1180.3882529032314</v>
      </c>
      <c r="L5" s="43">
        <f>Water!G8</f>
        <v>659</v>
      </c>
      <c r="M5" s="59">
        <v>12550</v>
      </c>
      <c r="N5" s="110">
        <f>TOTAL!L5*TOTAL!M5</f>
        <v>8270450</v>
      </c>
      <c r="O5" s="43">
        <f>Electricity!C9</f>
        <v>161</v>
      </c>
    </row>
    <row r="6" spans="1:15" x14ac:dyDescent="0.25">
      <c r="A6" s="48" t="s">
        <v>44</v>
      </c>
      <c r="B6" s="45">
        <v>5</v>
      </c>
      <c r="C6" s="45">
        <v>4</v>
      </c>
      <c r="D6" s="45">
        <f t="shared" si="1"/>
        <v>2019</v>
      </c>
      <c r="E6" s="43">
        <f>Electricity!G10</f>
        <v>30680.000000001201</v>
      </c>
      <c r="F6" s="43">
        <f>Electricity!E10</f>
        <v>5759.9999999993088</v>
      </c>
      <c r="G6" s="43">
        <f>Electricity!F10</f>
        <v>24920.000000001892</v>
      </c>
      <c r="H6" s="47">
        <v>1553.67</v>
      </c>
      <c r="I6" s="58" t="s">
        <v>28</v>
      </c>
      <c r="J6" s="110">
        <f>Electricity!L10</f>
        <v>35595035.443200901</v>
      </c>
      <c r="K6" s="43">
        <f t="shared" si="0"/>
        <v>1160.203241303765</v>
      </c>
      <c r="L6" s="43">
        <f>Water!G9</f>
        <v>637</v>
      </c>
      <c r="M6" s="59">
        <v>12550</v>
      </c>
      <c r="N6" s="110">
        <f>TOTAL!L6*TOTAL!M6</f>
        <v>7994350</v>
      </c>
      <c r="O6" s="43">
        <f>Electricity!C10</f>
        <v>161</v>
      </c>
    </row>
    <row r="7" spans="1:15" x14ac:dyDescent="0.25">
      <c r="A7" s="48" t="s">
        <v>44</v>
      </c>
      <c r="B7" s="45">
        <v>6</v>
      </c>
      <c r="C7" s="45">
        <v>4</v>
      </c>
      <c r="D7" s="45">
        <f t="shared" si="1"/>
        <v>2019</v>
      </c>
      <c r="E7" s="43">
        <f>Electricity!G11</f>
        <v>25239.999999997963</v>
      </c>
      <c r="F7" s="43">
        <f>Electricity!E11</f>
        <v>6159.9999999998545</v>
      </c>
      <c r="G7" s="43">
        <f>Electricity!F11</f>
        <v>19079.999999998108</v>
      </c>
      <c r="H7" s="47">
        <v>1553.67</v>
      </c>
      <c r="I7" s="58" t="s">
        <v>28</v>
      </c>
      <c r="J7" s="110">
        <f>Electricity!L11</f>
        <v>30037288.550397757</v>
      </c>
      <c r="K7" s="43">
        <f t="shared" si="0"/>
        <v>1190.0668997781372</v>
      </c>
      <c r="L7" s="43">
        <f>Water!G10</f>
        <v>682</v>
      </c>
      <c r="M7" s="59">
        <v>12550</v>
      </c>
      <c r="N7" s="110">
        <f>TOTAL!L7*TOTAL!M7</f>
        <v>8559100</v>
      </c>
      <c r="O7" s="43">
        <f>Electricity!C11</f>
        <v>161</v>
      </c>
    </row>
    <row r="8" spans="1:15" x14ac:dyDescent="0.25">
      <c r="A8" s="48" t="s">
        <v>44</v>
      </c>
      <c r="B8" s="45">
        <v>7</v>
      </c>
      <c r="C8" s="45">
        <v>4</v>
      </c>
      <c r="D8" s="45">
        <f t="shared" si="1"/>
        <v>2019</v>
      </c>
      <c r="E8" s="43">
        <f>Electricity!G12</f>
        <v>25800.00000000291</v>
      </c>
      <c r="F8" s="43">
        <f>Electricity!E12</f>
        <v>2200.0000000007276</v>
      </c>
      <c r="G8" s="43">
        <f>Electricity!F12</f>
        <v>23600.000000002183</v>
      </c>
      <c r="H8" s="47">
        <v>1553.67</v>
      </c>
      <c r="I8" s="58" t="s">
        <v>28</v>
      </c>
      <c r="J8" s="110">
        <f>Electricity!L12</f>
        <v>28531181.568003472</v>
      </c>
      <c r="K8" s="43">
        <f t="shared" si="0"/>
        <v>1105.8597506976841</v>
      </c>
      <c r="L8" s="43">
        <f>Water!G11</f>
        <v>697</v>
      </c>
      <c r="M8" s="59">
        <v>12550</v>
      </c>
      <c r="N8" s="110">
        <f>TOTAL!L8*TOTAL!M8</f>
        <v>8747350</v>
      </c>
      <c r="O8" s="43">
        <f>Electricity!C12</f>
        <v>161</v>
      </c>
    </row>
    <row r="9" spans="1:15" x14ac:dyDescent="0.25">
      <c r="A9" s="48" t="s">
        <v>44</v>
      </c>
      <c r="B9" s="45">
        <v>8</v>
      </c>
      <c r="C9" s="45">
        <v>4</v>
      </c>
      <c r="D9" s="45">
        <f t="shared" si="1"/>
        <v>2019</v>
      </c>
      <c r="E9" s="43">
        <f>Electricity!G13</f>
        <v>26319.999999999709</v>
      </c>
      <c r="F9" s="43">
        <f>Electricity!E13</f>
        <v>4799.9999999992724</v>
      </c>
      <c r="G9" s="43">
        <f>Electricity!F13</f>
        <v>21520.000000000437</v>
      </c>
      <c r="H9" s="47">
        <v>1553.67</v>
      </c>
      <c r="I9" s="58" t="s">
        <v>28</v>
      </c>
      <c r="J9" s="110">
        <f>Electricity!L13</f>
        <v>30461544.038399309</v>
      </c>
      <c r="K9" s="43">
        <f t="shared" si="0"/>
        <v>1157.3534968996826</v>
      </c>
      <c r="L9" s="43">
        <f>Water!G12</f>
        <v>560</v>
      </c>
      <c r="M9" s="59">
        <v>12550</v>
      </c>
      <c r="N9" s="110">
        <f>TOTAL!L9*TOTAL!M9</f>
        <v>7028000</v>
      </c>
      <c r="O9" s="43">
        <f>Electricity!C13</f>
        <v>161</v>
      </c>
    </row>
    <row r="10" spans="1:15" x14ac:dyDescent="0.25">
      <c r="A10" s="48" t="s">
        <v>44</v>
      </c>
      <c r="B10" s="45">
        <v>9</v>
      </c>
      <c r="C10" s="45">
        <v>4</v>
      </c>
      <c r="D10" s="45">
        <f t="shared" si="1"/>
        <v>2019</v>
      </c>
      <c r="E10" s="43">
        <f>Electricity!G14</f>
        <v>26920.000000000073</v>
      </c>
      <c r="F10" s="43">
        <f>Electricity!E14</f>
        <v>5280.0000000006548</v>
      </c>
      <c r="G10" s="43">
        <f>Electricity!F14</f>
        <v>21639.999999999418</v>
      </c>
      <c r="H10" s="47">
        <v>1553.67</v>
      </c>
      <c r="I10" s="58" t="s">
        <v>28</v>
      </c>
      <c r="J10" s="110">
        <f>Electricity!L14</f>
        <v>31352480.563200425</v>
      </c>
      <c r="K10" s="43">
        <f t="shared" si="0"/>
        <v>1164.6538099257184</v>
      </c>
      <c r="L10" s="43">
        <f>Water!G13</f>
        <v>683</v>
      </c>
      <c r="M10" s="59">
        <v>12550</v>
      </c>
      <c r="N10" s="110">
        <f>TOTAL!L10*TOTAL!M10</f>
        <v>8571650</v>
      </c>
      <c r="O10" s="43">
        <f>Electricity!C14</f>
        <v>161</v>
      </c>
    </row>
    <row r="11" spans="1:15" x14ac:dyDescent="0.25">
      <c r="A11" s="48" t="s">
        <v>44</v>
      </c>
      <c r="B11" s="45">
        <v>10</v>
      </c>
      <c r="C11" s="45">
        <v>4</v>
      </c>
      <c r="D11" s="45">
        <f t="shared" si="1"/>
        <v>2019</v>
      </c>
      <c r="E11" s="43">
        <f>Electricity!G15</f>
        <v>27439.9999999996</v>
      </c>
      <c r="F11" s="43">
        <f>Electricity!E15</f>
        <v>5279.9999999997453</v>
      </c>
      <c r="G11" s="43">
        <f>Electricity!F15</f>
        <v>22159.999999999854</v>
      </c>
      <c r="H11" s="47">
        <v>1553.67</v>
      </c>
      <c r="I11" s="58" t="s">
        <v>28</v>
      </c>
      <c r="J11" s="110">
        <f>Electricity!L15</f>
        <v>31904012.697599437</v>
      </c>
      <c r="K11" s="43">
        <f t="shared" si="0"/>
        <v>1162.6826784839614</v>
      </c>
      <c r="L11" s="43">
        <f>Water!G14</f>
        <v>570</v>
      </c>
      <c r="M11" s="59">
        <v>12550</v>
      </c>
      <c r="N11" s="110">
        <f>TOTAL!L11*TOTAL!M11</f>
        <v>7153500</v>
      </c>
      <c r="O11" s="43">
        <f>Electricity!C15</f>
        <v>161</v>
      </c>
    </row>
    <row r="12" spans="1:15" x14ac:dyDescent="0.25">
      <c r="A12" s="48" t="s">
        <v>44</v>
      </c>
      <c r="B12" s="45">
        <v>11</v>
      </c>
      <c r="C12" s="45">
        <v>4</v>
      </c>
      <c r="D12" s="45">
        <f t="shared" si="1"/>
        <v>2019</v>
      </c>
      <c r="E12" s="43">
        <f>Electricity!G16</f>
        <v>28279.999999998836</v>
      </c>
      <c r="F12" s="43">
        <f>Electricity!E16</f>
        <v>6319.999999999709</v>
      </c>
      <c r="G12" s="43">
        <f>Electricity!F16</f>
        <v>21959.999999999127</v>
      </c>
      <c r="H12" s="47">
        <v>1553.67</v>
      </c>
      <c r="I12" s="58" t="s">
        <v>28</v>
      </c>
      <c r="J12" s="110">
        <f>Electricity!L16</f>
        <v>33346481.356798612</v>
      </c>
      <c r="K12" s="43">
        <f t="shared" si="0"/>
        <v>1179.1542205374817</v>
      </c>
      <c r="L12" s="43">
        <f>Water!G15</f>
        <v>662</v>
      </c>
      <c r="M12" s="59">
        <v>12550</v>
      </c>
      <c r="N12" s="110">
        <f>TOTAL!L12*TOTAL!M12</f>
        <v>8308100</v>
      </c>
      <c r="O12" s="43">
        <f>Electricity!C16</f>
        <v>161</v>
      </c>
    </row>
    <row r="13" spans="1:15" x14ac:dyDescent="0.25">
      <c r="A13" s="48" t="s">
        <v>44</v>
      </c>
      <c r="B13" s="45">
        <v>12</v>
      </c>
      <c r="C13" s="45">
        <v>4</v>
      </c>
      <c r="D13" s="45">
        <f t="shared" si="1"/>
        <v>2019</v>
      </c>
      <c r="E13" s="43">
        <f>Electricity!G17</f>
        <v>25759.999999999309</v>
      </c>
      <c r="F13" s="43">
        <f>Electricity!E17</f>
        <v>4960.0000000000364</v>
      </c>
      <c r="G13" s="43">
        <f>Electricity!F17</f>
        <v>20799.999999999272</v>
      </c>
      <c r="H13" s="47">
        <v>1553.67</v>
      </c>
      <c r="I13" s="58" t="s">
        <v>28</v>
      </c>
      <c r="J13" s="110">
        <f>Electricity!L17</f>
        <v>29952437.452799287</v>
      </c>
      <c r="K13" s="43">
        <f t="shared" si="0"/>
        <v>1162.7499011180159</v>
      </c>
      <c r="L13" s="43">
        <f>Water!G16</f>
        <v>651</v>
      </c>
      <c r="M13" s="59">
        <v>12550</v>
      </c>
      <c r="N13" s="110">
        <f>TOTAL!L13*TOTAL!M13</f>
        <v>8170050</v>
      </c>
      <c r="O13" s="43">
        <f>Electricity!C17</f>
        <v>161</v>
      </c>
    </row>
    <row r="14" spans="1:15" x14ac:dyDescent="0.25">
      <c r="A14" s="48" t="s">
        <v>44</v>
      </c>
      <c r="B14" s="45">
        <v>13</v>
      </c>
      <c r="C14" s="45">
        <v>4</v>
      </c>
      <c r="D14" s="45">
        <f t="shared" si="1"/>
        <v>2019</v>
      </c>
      <c r="E14" s="43">
        <f>Electricity!G18</f>
        <v>27840.000000002874</v>
      </c>
      <c r="F14" s="43">
        <f>Electricity!E18</f>
        <v>5039.9999999999636</v>
      </c>
      <c r="G14" s="43">
        <f>Electricity!F18</f>
        <v>22800.00000000291</v>
      </c>
      <c r="H14" s="47">
        <v>1553.67</v>
      </c>
      <c r="I14" s="58" t="s">
        <v>28</v>
      </c>
      <c r="J14" s="110">
        <f>Electricity!L18</f>
        <v>32200991.539203025</v>
      </c>
      <c r="K14" s="43">
        <f t="shared" si="0"/>
        <v>1156.644811034472</v>
      </c>
      <c r="L14" s="43">
        <f>Water!G17</f>
        <v>675</v>
      </c>
      <c r="M14" s="59">
        <v>12550</v>
      </c>
      <c r="N14" s="110">
        <f>TOTAL!L14*TOTAL!M14</f>
        <v>8471250</v>
      </c>
      <c r="O14" s="43">
        <f>Electricity!C18</f>
        <v>161</v>
      </c>
    </row>
    <row r="15" spans="1:15" x14ac:dyDescent="0.25">
      <c r="A15" s="48" t="s">
        <v>44</v>
      </c>
      <c r="B15" s="45">
        <v>14</v>
      </c>
      <c r="C15" s="45">
        <v>4</v>
      </c>
      <c r="D15" s="45">
        <f t="shared" si="1"/>
        <v>2019</v>
      </c>
      <c r="E15" s="43">
        <f>Electricity!G19</f>
        <v>26679.999999998472</v>
      </c>
      <c r="F15" s="43">
        <f>Electricity!E19</f>
        <v>5079.9999999999272</v>
      </c>
      <c r="G15" s="43">
        <f>Electricity!F19</f>
        <v>21599.999999998545</v>
      </c>
      <c r="H15" s="47">
        <v>1553.67</v>
      </c>
      <c r="I15" s="58" t="s">
        <v>28</v>
      </c>
      <c r="J15" s="110">
        <f>Electricity!L19</f>
        <v>30991863.39839834</v>
      </c>
      <c r="K15" s="43">
        <f t="shared" si="0"/>
        <v>1161.6140704048019</v>
      </c>
      <c r="L15" s="43">
        <f>Water!G18</f>
        <v>644</v>
      </c>
      <c r="M15" s="59">
        <v>12550</v>
      </c>
      <c r="N15" s="110">
        <f>TOTAL!L15*TOTAL!M15</f>
        <v>8082200</v>
      </c>
      <c r="O15" s="43">
        <f>Electricity!C19</f>
        <v>161</v>
      </c>
    </row>
    <row r="16" spans="1:15" x14ac:dyDescent="0.25">
      <c r="A16" s="48" t="s">
        <v>44</v>
      </c>
      <c r="B16" s="45">
        <v>15</v>
      </c>
      <c r="C16" s="45">
        <v>4</v>
      </c>
      <c r="D16" s="45">
        <f t="shared" si="1"/>
        <v>2019</v>
      </c>
      <c r="E16" s="43">
        <f>Electricity!G20</f>
        <v>26679.999999999382</v>
      </c>
      <c r="F16" s="43">
        <f>Electricity!E20</f>
        <v>4720.0000000002547</v>
      </c>
      <c r="G16" s="43">
        <f>Electricity!F20</f>
        <v>21959.999999999127</v>
      </c>
      <c r="H16" s="47">
        <v>1553.67</v>
      </c>
      <c r="I16" s="58" t="s">
        <v>28</v>
      </c>
      <c r="J16" s="110">
        <f>Electricity!L20</f>
        <v>30800948.428799476</v>
      </c>
      <c r="K16" s="43">
        <f t="shared" si="0"/>
        <v>1154.4583369115514</v>
      </c>
      <c r="L16" s="43">
        <f>Water!G19</f>
        <v>609</v>
      </c>
      <c r="M16" s="59">
        <v>12550</v>
      </c>
      <c r="N16" s="110">
        <f>TOTAL!L16*TOTAL!M16</f>
        <v>7642950</v>
      </c>
      <c r="O16" s="43">
        <f>Electricity!C20</f>
        <v>161</v>
      </c>
    </row>
    <row r="17" spans="1:15" x14ac:dyDescent="0.25">
      <c r="A17" s="48" t="s">
        <v>44</v>
      </c>
      <c r="B17" s="45">
        <v>16</v>
      </c>
      <c r="C17" s="45">
        <v>4</v>
      </c>
      <c r="D17" s="45">
        <f t="shared" si="1"/>
        <v>2019</v>
      </c>
      <c r="E17" s="43">
        <f>Electricity!G21</f>
        <v>26800.000000000182</v>
      </c>
      <c r="F17" s="43">
        <f>Electricity!E21</f>
        <v>5279.9999999997453</v>
      </c>
      <c r="G17" s="43">
        <f>Electricity!F21</f>
        <v>21520.000000000437</v>
      </c>
      <c r="H17" s="47">
        <v>1553.67</v>
      </c>
      <c r="I17" s="58" t="s">
        <v>28</v>
      </c>
      <c r="J17" s="110">
        <f>Electricity!L21</f>
        <v>31225203.916800056</v>
      </c>
      <c r="K17" s="43">
        <f t="shared" si="0"/>
        <v>1165.1195491343226</v>
      </c>
      <c r="L17" s="43">
        <f>Water!G20</f>
        <v>468</v>
      </c>
      <c r="M17" s="59">
        <v>12550</v>
      </c>
      <c r="N17" s="110">
        <f>TOTAL!L17*TOTAL!M17</f>
        <v>5873400</v>
      </c>
      <c r="O17" s="43">
        <f>Electricity!C21</f>
        <v>161</v>
      </c>
    </row>
    <row r="18" spans="1:15" x14ac:dyDescent="0.25">
      <c r="A18" s="48" t="s">
        <v>44</v>
      </c>
      <c r="B18" s="45">
        <v>17</v>
      </c>
      <c r="C18" s="45">
        <v>4</v>
      </c>
      <c r="D18" s="45">
        <f t="shared" si="1"/>
        <v>2019</v>
      </c>
      <c r="E18" s="43">
        <f>Electricity!G22</f>
        <v>25480.000000002292</v>
      </c>
      <c r="F18" s="43">
        <f>Electricity!E22</f>
        <v>4400.0000000005457</v>
      </c>
      <c r="G18" s="43">
        <f>Electricity!F22</f>
        <v>21080.000000001746</v>
      </c>
      <c r="H18" s="47">
        <v>1553.67</v>
      </c>
      <c r="I18" s="58" t="s">
        <v>28</v>
      </c>
      <c r="J18" s="110">
        <f>Electricity!L22</f>
        <v>29358479.769602723</v>
      </c>
      <c r="K18" s="43">
        <f t="shared" si="0"/>
        <v>1152.2166314599719</v>
      </c>
      <c r="L18" s="43">
        <f>Water!G21</f>
        <v>761</v>
      </c>
      <c r="M18" s="59">
        <v>12550</v>
      </c>
      <c r="N18" s="110">
        <f>TOTAL!L18*TOTAL!M18</f>
        <v>9550550</v>
      </c>
      <c r="O18" s="43">
        <f>Electricity!C22</f>
        <v>161</v>
      </c>
    </row>
    <row r="19" spans="1:15" x14ac:dyDescent="0.25">
      <c r="A19" s="48" t="s">
        <v>44</v>
      </c>
      <c r="B19" s="45">
        <v>18</v>
      </c>
      <c r="C19" s="45">
        <v>4</v>
      </c>
      <c r="D19" s="45">
        <f t="shared" si="1"/>
        <v>2019</v>
      </c>
      <c r="E19" s="43">
        <f>Electricity!G23</f>
        <v>26719.999999996617</v>
      </c>
      <c r="F19" s="43">
        <f>Electricity!E23</f>
        <v>5199.9999999998181</v>
      </c>
      <c r="G19" s="43">
        <f>Electricity!F23</f>
        <v>21519.999999996799</v>
      </c>
      <c r="H19" s="47">
        <v>1553.67</v>
      </c>
      <c r="I19" s="58" t="s">
        <v>28</v>
      </c>
      <c r="J19" s="110">
        <f>Electricity!L23</f>
        <v>31097927.270396315</v>
      </c>
      <c r="K19" s="43">
        <f t="shared" si="0"/>
        <v>1163.8445834730633</v>
      </c>
      <c r="L19" s="43">
        <f>Water!G22</f>
        <v>599</v>
      </c>
      <c r="M19" s="59">
        <v>12550</v>
      </c>
      <c r="N19" s="110">
        <f>TOTAL!L19*TOTAL!M19</f>
        <v>7517450</v>
      </c>
      <c r="O19" s="43">
        <f>Electricity!C23</f>
        <v>161</v>
      </c>
    </row>
    <row r="20" spans="1:15" x14ac:dyDescent="0.25">
      <c r="A20" s="48" t="s">
        <v>44</v>
      </c>
      <c r="B20" s="45">
        <v>19</v>
      </c>
      <c r="C20" s="45">
        <v>4</v>
      </c>
      <c r="D20" s="45">
        <f t="shared" si="1"/>
        <v>2019</v>
      </c>
      <c r="E20" s="43">
        <f>Electricity!G24</f>
        <v>24720.000000002074</v>
      </c>
      <c r="F20" s="43">
        <f>Electricity!E24</f>
        <v>4119.9999999998909</v>
      </c>
      <c r="G20" s="43">
        <f>Electricity!F24</f>
        <v>20600.000000002183</v>
      </c>
      <c r="H20" s="47">
        <v>1553.67</v>
      </c>
      <c r="I20" s="58" t="s">
        <v>28</v>
      </c>
      <c r="J20" s="110">
        <f>Electricity!L24</f>
        <v>28403904.921602141</v>
      </c>
      <c r="K20" s="43">
        <f t="shared" si="0"/>
        <v>1149.0252799999903</v>
      </c>
      <c r="L20" s="43">
        <f>Water!G23</f>
        <v>675</v>
      </c>
      <c r="M20" s="59">
        <v>12550</v>
      </c>
      <c r="N20" s="110">
        <f>TOTAL!L20*TOTAL!M20</f>
        <v>8471250</v>
      </c>
      <c r="O20" s="43">
        <f>Electricity!C24</f>
        <v>161</v>
      </c>
    </row>
    <row r="21" spans="1:15" x14ac:dyDescent="0.25">
      <c r="A21" s="48" t="s">
        <v>44</v>
      </c>
      <c r="B21" s="45">
        <v>20</v>
      </c>
      <c r="C21" s="45">
        <v>4</v>
      </c>
      <c r="D21" s="45">
        <f t="shared" si="1"/>
        <v>2019</v>
      </c>
      <c r="E21" s="43">
        <f>Electricity!G25</f>
        <v>24279.999999999745</v>
      </c>
      <c r="F21" s="43">
        <f>Electricity!E25</f>
        <v>4279.9999999997453</v>
      </c>
      <c r="G21" s="43">
        <f>Electricity!F25</f>
        <v>20000</v>
      </c>
      <c r="H21" s="47">
        <v>1553.67</v>
      </c>
      <c r="I21" s="58" t="s">
        <v>28</v>
      </c>
      <c r="J21" s="110">
        <f>Electricity!L25</f>
        <v>28022074.982399594</v>
      </c>
      <c r="K21" s="43">
        <f t="shared" si="0"/>
        <v>1154.121704382203</v>
      </c>
      <c r="L21" s="43">
        <f>Water!G24</f>
        <v>590</v>
      </c>
      <c r="M21" s="59">
        <v>12550</v>
      </c>
      <c r="N21" s="110">
        <f>TOTAL!L21*TOTAL!M21</f>
        <v>7404500</v>
      </c>
      <c r="O21" s="43">
        <f>Electricity!C25</f>
        <v>161</v>
      </c>
    </row>
    <row r="22" spans="1:15" x14ac:dyDescent="0.25">
      <c r="A22" s="48" t="s">
        <v>44</v>
      </c>
      <c r="B22" s="45">
        <v>21</v>
      </c>
      <c r="C22" s="45">
        <v>4</v>
      </c>
      <c r="D22" s="45">
        <f t="shared" si="1"/>
        <v>2019</v>
      </c>
      <c r="E22" s="43">
        <f>Electricity!G26</f>
        <v>25360.000000000582</v>
      </c>
      <c r="F22" s="43">
        <f>Electricity!E26</f>
        <v>4680.000000000291</v>
      </c>
      <c r="G22" s="43">
        <f>Electricity!F26</f>
        <v>20680.000000000291</v>
      </c>
      <c r="H22" s="47">
        <v>1553.67</v>
      </c>
      <c r="I22" s="58" t="s">
        <v>28</v>
      </c>
      <c r="J22" s="110">
        <f>Electricity!L26</f>
        <v>29379692.544000771</v>
      </c>
      <c r="K22" s="43">
        <f t="shared" si="0"/>
        <v>1158.5052264984265</v>
      </c>
      <c r="L22" s="43">
        <f>Water!G25</f>
        <v>614</v>
      </c>
      <c r="M22" s="59">
        <v>12550</v>
      </c>
      <c r="N22" s="110">
        <f>TOTAL!L22*TOTAL!M22</f>
        <v>7705700</v>
      </c>
      <c r="O22" s="43">
        <f>Electricity!C26</f>
        <v>161</v>
      </c>
    </row>
    <row r="23" spans="1:15" x14ac:dyDescent="0.25">
      <c r="A23" s="48" t="s">
        <v>44</v>
      </c>
      <c r="B23" s="45">
        <v>22</v>
      </c>
      <c r="C23" s="45">
        <v>4</v>
      </c>
      <c r="D23" s="45">
        <f t="shared" si="1"/>
        <v>2019</v>
      </c>
      <c r="E23" s="43">
        <f>Electricity!G27</f>
        <v>26359.999999998763</v>
      </c>
      <c r="F23" s="43">
        <f>Electricity!E27</f>
        <v>5079.9999999999272</v>
      </c>
      <c r="G23" s="43">
        <f>Electricity!F27</f>
        <v>21279.999999998836</v>
      </c>
      <c r="H23" s="47">
        <v>1553.67</v>
      </c>
      <c r="I23" s="58" t="s">
        <v>28</v>
      </c>
      <c r="J23" s="110">
        <f>Electricity!L27</f>
        <v>30652459.007998649</v>
      </c>
      <c r="K23" s="43">
        <f t="shared" si="0"/>
        <v>1162.8398713201855</v>
      </c>
      <c r="L23" s="43">
        <f>Water!G26</f>
        <v>648</v>
      </c>
      <c r="M23" s="59">
        <v>12550</v>
      </c>
      <c r="N23" s="110">
        <f>TOTAL!L23*TOTAL!M23</f>
        <v>8132400</v>
      </c>
      <c r="O23" s="43">
        <f>Electricity!C27</f>
        <v>161</v>
      </c>
    </row>
    <row r="24" spans="1:15" x14ac:dyDescent="0.25">
      <c r="A24" s="48" t="s">
        <v>44</v>
      </c>
      <c r="B24" s="45">
        <v>23</v>
      </c>
      <c r="C24" s="45">
        <v>4</v>
      </c>
      <c r="D24" s="45">
        <f t="shared" si="1"/>
        <v>2019</v>
      </c>
      <c r="E24" s="43">
        <f>Electricity!G28</f>
        <v>28480.000000001382</v>
      </c>
      <c r="F24" s="43">
        <f>Electricity!E28</f>
        <v>6239.9999999997817</v>
      </c>
      <c r="G24" s="43">
        <f>Electricity!F28</f>
        <v>22240.000000001601</v>
      </c>
      <c r="H24" s="47">
        <v>1553.67</v>
      </c>
      <c r="I24" s="58" t="s">
        <v>28</v>
      </c>
      <c r="J24" s="110">
        <f>Electricity!L28</f>
        <v>33516183.55200135</v>
      </c>
      <c r="K24" s="43">
        <f t="shared" si="0"/>
        <v>1176.8322876404397</v>
      </c>
      <c r="L24" s="43">
        <f>Water!G27</f>
        <v>410</v>
      </c>
      <c r="M24" s="59">
        <v>12550</v>
      </c>
      <c r="N24" s="110">
        <f>TOTAL!L24*TOTAL!M24</f>
        <v>5145500</v>
      </c>
      <c r="O24" s="43">
        <f>Electricity!C28</f>
        <v>161</v>
      </c>
    </row>
    <row r="25" spans="1:15" x14ac:dyDescent="0.25">
      <c r="A25" s="48" t="s">
        <v>44</v>
      </c>
      <c r="B25" s="45">
        <v>24</v>
      </c>
      <c r="C25" s="45">
        <v>4</v>
      </c>
      <c r="D25" s="45">
        <f t="shared" si="1"/>
        <v>2019</v>
      </c>
      <c r="E25" s="43">
        <f>Electricity!G29</f>
        <v>22319.99999999789</v>
      </c>
      <c r="F25" s="43">
        <f>Electricity!E29</f>
        <v>5280.0000000006548</v>
      </c>
      <c r="G25" s="43">
        <f>Electricity!F29</f>
        <v>17039.999999997235</v>
      </c>
      <c r="H25" s="47">
        <v>1553.67</v>
      </c>
      <c r="I25" s="58" t="s">
        <v>28</v>
      </c>
      <c r="J25" s="110">
        <f>Electricity!L29</f>
        <v>26473542.451198108</v>
      </c>
      <c r="K25" s="43">
        <f t="shared" si="0"/>
        <v>1186.0906116129306</v>
      </c>
      <c r="L25" s="43">
        <f>Water!G28</f>
        <v>267</v>
      </c>
      <c r="M25" s="59">
        <v>12550</v>
      </c>
      <c r="N25" s="110">
        <f>TOTAL!L25*TOTAL!M25</f>
        <v>3350850</v>
      </c>
      <c r="O25" s="43">
        <f>Electricity!C29</f>
        <v>161</v>
      </c>
    </row>
    <row r="26" spans="1:15" x14ac:dyDescent="0.25">
      <c r="A26" s="48" t="s">
        <v>44</v>
      </c>
      <c r="B26" s="45">
        <v>25</v>
      </c>
      <c r="C26" s="45">
        <v>4</v>
      </c>
      <c r="D26" s="45">
        <f t="shared" si="1"/>
        <v>2019</v>
      </c>
      <c r="E26" s="43">
        <f>Electricity!G30</f>
        <v>21840.000000001055</v>
      </c>
      <c r="F26" s="43">
        <f>Electricity!E30</f>
        <v>960.00000000003638</v>
      </c>
      <c r="G26" s="43">
        <f>Electricity!F30</f>
        <v>20880.000000001019</v>
      </c>
      <c r="H26" s="47">
        <v>1553.67</v>
      </c>
      <c r="I26" s="58" t="s">
        <v>28</v>
      </c>
      <c r="J26" s="110">
        <f>Electricity!L30</f>
        <v>23673456.230401136</v>
      </c>
      <c r="K26" s="43">
        <f t="shared" si="0"/>
        <v>1083.9494610989007</v>
      </c>
      <c r="L26" s="43">
        <f>Water!G29</f>
        <v>317</v>
      </c>
      <c r="M26" s="59">
        <v>12550</v>
      </c>
      <c r="N26" s="110">
        <f>TOTAL!L26*TOTAL!M26</f>
        <v>3978350</v>
      </c>
      <c r="O26" s="43">
        <f>Electricity!C30</f>
        <v>161</v>
      </c>
    </row>
    <row r="27" spans="1:15" x14ac:dyDescent="0.25">
      <c r="A27" s="48" t="s">
        <v>44</v>
      </c>
      <c r="B27" s="45">
        <v>26</v>
      </c>
      <c r="C27" s="45">
        <v>4</v>
      </c>
      <c r="D27" s="45">
        <f t="shared" si="1"/>
        <v>2019</v>
      </c>
      <c r="E27" s="43">
        <f>Electricity!G31</f>
        <v>35320.000000001528</v>
      </c>
      <c r="F27" s="43">
        <f>Electricity!E31</f>
        <v>7920.0000000000728</v>
      </c>
      <c r="G27" s="43">
        <f>Electricity!F31</f>
        <v>27400.000000001455</v>
      </c>
      <c r="H27" s="47">
        <v>1553.67</v>
      </c>
      <c r="I27" s="58" t="s">
        <v>28</v>
      </c>
      <c r="J27" s="110">
        <f>Electricity!L31</f>
        <v>41661888.921601653</v>
      </c>
      <c r="K27" s="43">
        <f t="shared" si="0"/>
        <v>1179.5551789807432</v>
      </c>
      <c r="L27" s="43">
        <f>Water!G30</f>
        <v>433</v>
      </c>
      <c r="M27" s="59">
        <v>12550</v>
      </c>
      <c r="N27" s="110">
        <f>TOTAL!L27*TOTAL!M27</f>
        <v>5434150</v>
      </c>
      <c r="O27" s="43">
        <f>Electricity!C31</f>
        <v>161</v>
      </c>
    </row>
    <row r="28" spans="1:15" x14ac:dyDescent="0.25">
      <c r="A28" s="48" t="s">
        <v>44</v>
      </c>
      <c r="B28" s="45">
        <v>27</v>
      </c>
      <c r="C28" s="45">
        <v>4</v>
      </c>
      <c r="D28" s="45">
        <f t="shared" si="1"/>
        <v>2019</v>
      </c>
      <c r="E28" s="43">
        <f>Electricity!G32</f>
        <v>24280.000000000655</v>
      </c>
      <c r="F28" s="43">
        <f>Electricity!E32</f>
        <v>5079.9999999999272</v>
      </c>
      <c r="G28" s="43">
        <f>Electricity!F32</f>
        <v>19200.000000000728</v>
      </c>
      <c r="H28" s="47">
        <v>1553.67</v>
      </c>
      <c r="I28" s="58" t="s">
        <v>28</v>
      </c>
      <c r="J28" s="110">
        <f>Electricity!L32</f>
        <v>28446330.470400654</v>
      </c>
      <c r="K28" s="43">
        <f t="shared" si="0"/>
        <v>1171.5951594069145</v>
      </c>
      <c r="L28" s="43">
        <f>Water!G31</f>
        <v>231</v>
      </c>
      <c r="M28" s="59">
        <v>12550</v>
      </c>
      <c r="N28" s="110">
        <f>TOTAL!L28*TOTAL!M28</f>
        <v>2899050</v>
      </c>
      <c r="O28" s="43">
        <f>Electricity!C32</f>
        <v>161</v>
      </c>
    </row>
    <row r="29" spans="1:15" x14ac:dyDescent="0.25">
      <c r="A29" s="48" t="s">
        <v>44</v>
      </c>
      <c r="B29" s="45">
        <v>28</v>
      </c>
      <c r="C29" s="45">
        <v>4</v>
      </c>
      <c r="D29" s="45">
        <f t="shared" si="1"/>
        <v>2019</v>
      </c>
      <c r="E29" s="43">
        <f>Electricity!G33</f>
        <v>29359.999999999673</v>
      </c>
      <c r="F29" s="43">
        <f>Electricity!E33</f>
        <v>4359.9999999996726</v>
      </c>
      <c r="G29" s="43">
        <f>Electricity!F33</f>
        <v>25000</v>
      </c>
      <c r="H29" s="47">
        <v>1553.67</v>
      </c>
      <c r="I29" s="58" t="s">
        <v>28</v>
      </c>
      <c r="J29" s="110">
        <f>Electricity!L33</f>
        <v>33452545.228799477</v>
      </c>
      <c r="K29" s="43">
        <f t="shared" si="0"/>
        <v>1139.3918674659349</v>
      </c>
      <c r="L29" s="43">
        <f>Water!G32</f>
        <v>255</v>
      </c>
      <c r="M29" s="59">
        <v>12550</v>
      </c>
      <c r="N29" s="110">
        <f>TOTAL!L29*TOTAL!M29</f>
        <v>3200250</v>
      </c>
      <c r="O29" s="43">
        <f>Electricity!C33</f>
        <v>161</v>
      </c>
    </row>
    <row r="30" spans="1:15" s="43" customFormat="1" x14ac:dyDescent="0.25">
      <c r="A30" s="48" t="s">
        <v>44</v>
      </c>
      <c r="B30" s="45">
        <v>29</v>
      </c>
      <c r="C30" s="45">
        <v>4</v>
      </c>
      <c r="D30" s="45">
        <f t="shared" si="1"/>
        <v>2019</v>
      </c>
      <c r="E30" s="43">
        <f>Electricity!G34</f>
        <v>27559.999999997672</v>
      </c>
      <c r="F30" s="43">
        <f>Electricity!E34</f>
        <v>5520.0000000004366</v>
      </c>
      <c r="G30" s="43">
        <f>Electricity!F34</f>
        <v>22039.999999997235</v>
      </c>
      <c r="H30" s="47">
        <v>1553.67</v>
      </c>
      <c r="I30" s="58" t="s">
        <v>28</v>
      </c>
      <c r="J30" s="110">
        <f>Electricity!L34</f>
        <v>32158565.990397759</v>
      </c>
      <c r="K30" s="43">
        <f t="shared" si="0"/>
        <v>1166.8565308563307</v>
      </c>
      <c r="L30" s="43">
        <f>Water!G33</f>
        <v>468</v>
      </c>
      <c r="M30" s="59">
        <v>12550</v>
      </c>
      <c r="N30" s="110">
        <f>TOTAL!L30*TOTAL!M30</f>
        <v>5873400</v>
      </c>
      <c r="O30" s="43">
        <f>Electricity!C34</f>
        <v>161</v>
      </c>
    </row>
    <row r="31" spans="1:15" s="43" customFormat="1" x14ac:dyDescent="0.25">
      <c r="A31" s="48" t="s">
        <v>44</v>
      </c>
      <c r="B31" s="45">
        <v>30</v>
      </c>
      <c r="C31" s="45">
        <v>4</v>
      </c>
      <c r="D31" s="45">
        <f t="shared" si="1"/>
        <v>2019</v>
      </c>
      <c r="E31" s="43">
        <f>Electricity!G35</f>
        <v>26319.999999998799</v>
      </c>
      <c r="F31" s="43">
        <f>Electricity!E35</f>
        <v>4519.9999999995271</v>
      </c>
      <c r="G31" s="43">
        <f>Electricity!F35</f>
        <v>21799.999999999272</v>
      </c>
      <c r="H31" s="47">
        <v>1553.67</v>
      </c>
      <c r="I31" s="58" t="s">
        <v>28</v>
      </c>
      <c r="J31" s="110">
        <f>Electricity!L35</f>
        <v>30313054.617598478</v>
      </c>
      <c r="K31" s="43">
        <f t="shared" si="0"/>
        <v>1151.7118015805418</v>
      </c>
      <c r="L31" s="43">
        <f>Water!G34</f>
        <v>268</v>
      </c>
      <c r="M31" s="59">
        <v>12550</v>
      </c>
      <c r="N31" s="110">
        <f>TOTAL!L31*TOTAL!M31</f>
        <v>3363400</v>
      </c>
      <c r="O31" s="43">
        <f>Electricity!C35</f>
        <v>161</v>
      </c>
    </row>
    <row r="32" spans="1:15" s="43" customFormat="1" x14ac:dyDescent="0.25">
      <c r="A32" s="44"/>
      <c r="B32" s="46"/>
      <c r="C32" s="46"/>
      <c r="D32" s="45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E3" sqref="E3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6" customWidth="1"/>
    <col min="5" max="6" width="17.7109375" style="113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9" customWidth="1"/>
    <col min="11" max="11" width="20.5703125" style="89" bestFit="1" customWidth="1"/>
    <col min="12" max="12" width="23.42578125" style="89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26.25" customHeight="1" thickBot="1" x14ac:dyDescent="0.3">
      <c r="B1" s="118" t="s">
        <v>37</v>
      </c>
      <c r="C1" s="119"/>
      <c r="D1" s="119"/>
      <c r="E1" s="28"/>
      <c r="F1" s="29"/>
      <c r="G1" s="29"/>
      <c r="H1" s="27"/>
      <c r="I1" s="26"/>
      <c r="J1" s="97"/>
      <c r="K1" s="97"/>
      <c r="L1" s="106"/>
      <c r="M1" s="2"/>
      <c r="N1" s="2"/>
    </row>
    <row r="2" spans="2:17" s="3" customFormat="1" ht="63" customHeight="1" x14ac:dyDescent="0.25">
      <c r="B2" s="120" t="s">
        <v>0</v>
      </c>
      <c r="C2" s="132" t="s">
        <v>33</v>
      </c>
      <c r="D2" s="123" t="s">
        <v>9</v>
      </c>
      <c r="E2" s="126" t="s">
        <v>38</v>
      </c>
      <c r="F2" s="127"/>
      <c r="G2" s="127"/>
      <c r="H2" s="127"/>
      <c r="I2" s="127"/>
      <c r="J2" s="127"/>
      <c r="K2" s="127"/>
      <c r="L2" s="128"/>
      <c r="M2" s="2"/>
      <c r="N2" s="2"/>
      <c r="O2" s="1"/>
      <c r="P2" s="1"/>
      <c r="Q2" s="1"/>
    </row>
    <row r="3" spans="2:17" s="23" customFormat="1" ht="25.5" customHeight="1" x14ac:dyDescent="0.25">
      <c r="B3" s="121"/>
      <c r="C3" s="133"/>
      <c r="D3" s="124"/>
      <c r="E3" s="20" t="s">
        <v>7</v>
      </c>
      <c r="F3" s="24" t="s">
        <v>13</v>
      </c>
      <c r="G3" s="24" t="s">
        <v>16</v>
      </c>
      <c r="H3" s="129" t="s">
        <v>17</v>
      </c>
      <c r="I3" s="130"/>
      <c r="J3" s="131"/>
      <c r="K3" s="114" t="s">
        <v>35</v>
      </c>
      <c r="L3" s="116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2"/>
      <c r="C4" s="52"/>
      <c r="D4" s="125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8" t="s">
        <v>1</v>
      </c>
      <c r="K4" s="115"/>
      <c r="L4" s="117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90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8" t="s">
        <v>11</v>
      </c>
      <c r="K5" s="105" t="s">
        <v>11</v>
      </c>
      <c r="L5" s="107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43556</v>
      </c>
      <c r="C6" s="60">
        <v>161</v>
      </c>
      <c r="D6" s="91">
        <v>1035.78</v>
      </c>
      <c r="E6" s="112">
        <v>4840.0000000001455</v>
      </c>
      <c r="F6" s="83">
        <v>21360.000000000582</v>
      </c>
      <c r="G6" s="84">
        <f>F6+E6</f>
        <v>26200.000000000728</v>
      </c>
      <c r="H6" s="85">
        <f t="shared" ref="H6:H33" si="0">E6*1.5*D6</f>
        <v>7519762.8000002261</v>
      </c>
      <c r="I6" s="85">
        <f t="shared" ref="I6:I33" si="1">F6*D6</f>
        <v>22124260.800000601</v>
      </c>
      <c r="J6" s="85">
        <f t="shared" ref="J6:J30" si="2">I6+H6</f>
        <v>29644023.600000829</v>
      </c>
      <c r="K6" s="85">
        <f>J6*0.024</f>
        <v>711456.56640001992</v>
      </c>
      <c r="L6" s="108">
        <f>J6+K6</f>
        <v>30355480.16640085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43557</v>
      </c>
      <c r="C7" s="60">
        <v>161</v>
      </c>
      <c r="D7" s="91">
        <v>1035.78</v>
      </c>
      <c r="E7" s="112">
        <v>4599.9999999994543</v>
      </c>
      <c r="F7" s="83">
        <v>21159.999999999854</v>
      </c>
      <c r="G7" s="84">
        <f t="shared" ref="G7:G33" si="3">F7+E7</f>
        <v>25759.999999999309</v>
      </c>
      <c r="H7" s="85">
        <f t="shared" si="0"/>
        <v>7146881.9999991516</v>
      </c>
      <c r="I7" s="85">
        <f t="shared" si="1"/>
        <v>21917104.799999848</v>
      </c>
      <c r="J7" s="85">
        <f t="shared" si="2"/>
        <v>29063986.799998999</v>
      </c>
      <c r="K7" s="85">
        <f t="shared" ref="K7:K35" si="4">J7*0.024</f>
        <v>697535.68319997599</v>
      </c>
      <c r="L7" s="108">
        <f>J7+K7</f>
        <v>29761522.483198974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43558</v>
      </c>
      <c r="C8" s="60">
        <v>161</v>
      </c>
      <c r="D8" s="91">
        <v>1035.78</v>
      </c>
      <c r="E8" s="112">
        <v>4160.000000000764</v>
      </c>
      <c r="F8" s="83">
        <v>21200.000000000728</v>
      </c>
      <c r="G8" s="84">
        <f t="shared" si="3"/>
        <v>25360.000000001492</v>
      </c>
      <c r="H8" s="85">
        <f t="shared" si="0"/>
        <v>6463267.2000011867</v>
      </c>
      <c r="I8" s="85">
        <f t="shared" si="1"/>
        <v>21958536.000000753</v>
      </c>
      <c r="J8" s="85">
        <f t="shared" si="2"/>
        <v>28421803.20000194</v>
      </c>
      <c r="K8" s="85">
        <f t="shared" si="4"/>
        <v>682123.27680004656</v>
      </c>
      <c r="L8" s="108">
        <f t="shared" ref="L8:L30" si="5">J8+K8</f>
        <v>29103926.476801988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43559</v>
      </c>
      <c r="C9" s="60">
        <v>161</v>
      </c>
      <c r="D9" s="91">
        <v>1035.78</v>
      </c>
      <c r="E9" s="112">
        <v>5039.9999999999636</v>
      </c>
      <c r="F9" s="83">
        <v>17279.999999998836</v>
      </c>
      <c r="G9" s="84">
        <f t="shared" si="3"/>
        <v>22319.999999998799</v>
      </c>
      <c r="H9" s="85">
        <f t="shared" si="0"/>
        <v>7830496.799999943</v>
      </c>
      <c r="I9" s="85">
        <f t="shared" si="1"/>
        <v>17898278.399998795</v>
      </c>
      <c r="J9" s="85">
        <f t="shared" si="2"/>
        <v>25728775.199998736</v>
      </c>
      <c r="K9" s="85">
        <f t="shared" si="4"/>
        <v>617490.6047999697</v>
      </c>
      <c r="L9" s="108">
        <f t="shared" si="5"/>
        <v>26346265.804798707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43560</v>
      </c>
      <c r="C10" s="60">
        <v>161</v>
      </c>
      <c r="D10" s="91">
        <v>1035.78</v>
      </c>
      <c r="E10" s="112">
        <v>5759.9999999993088</v>
      </c>
      <c r="F10" s="83">
        <v>24920.000000001892</v>
      </c>
      <c r="G10" s="84">
        <f t="shared" si="3"/>
        <v>30680.000000001201</v>
      </c>
      <c r="H10" s="85">
        <f t="shared" si="0"/>
        <v>8949139.1999989264</v>
      </c>
      <c r="I10" s="85">
        <f t="shared" si="1"/>
        <v>25811637.600001957</v>
      </c>
      <c r="J10" s="85">
        <f t="shared" si="2"/>
        <v>34760776.800000884</v>
      </c>
      <c r="K10" s="85">
        <f t="shared" si="4"/>
        <v>834258.64320002124</v>
      </c>
      <c r="L10" s="108">
        <f t="shared" si="5"/>
        <v>35595035.443200901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43561</v>
      </c>
      <c r="C11" s="60">
        <v>161</v>
      </c>
      <c r="D11" s="91">
        <v>1035.78</v>
      </c>
      <c r="E11" s="112">
        <v>6159.9999999998545</v>
      </c>
      <c r="F11" s="83">
        <v>19079.999999998108</v>
      </c>
      <c r="G11" s="84">
        <f t="shared" si="3"/>
        <v>25239.999999997963</v>
      </c>
      <c r="H11" s="85">
        <f t="shared" si="0"/>
        <v>9570607.1999997739</v>
      </c>
      <c r="I11" s="85">
        <f t="shared" si="1"/>
        <v>19762682.399998039</v>
      </c>
      <c r="J11" s="85">
        <f t="shared" si="2"/>
        <v>29333289.599997811</v>
      </c>
      <c r="K11" s="85">
        <f t="shared" si="4"/>
        <v>703998.95039994747</v>
      </c>
      <c r="L11" s="108">
        <f t="shared" si="5"/>
        <v>30037288.550397757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43562</v>
      </c>
      <c r="C12" s="60">
        <v>161</v>
      </c>
      <c r="D12" s="91">
        <v>1035.78</v>
      </c>
      <c r="E12" s="112">
        <v>2200.0000000007276</v>
      </c>
      <c r="F12" s="83">
        <v>23600.000000002183</v>
      </c>
      <c r="G12" s="84">
        <f t="shared" si="3"/>
        <v>25800.00000000291</v>
      </c>
      <c r="H12" s="85">
        <f t="shared" si="0"/>
        <v>3418074.0000011302</v>
      </c>
      <c r="I12" s="85">
        <f t="shared" si="1"/>
        <v>24444408.000002261</v>
      </c>
      <c r="J12" s="85">
        <f t="shared" si="2"/>
        <v>27862482.00000339</v>
      </c>
      <c r="K12" s="85">
        <f t="shared" si="4"/>
        <v>668699.56800008134</v>
      </c>
      <c r="L12" s="108">
        <f t="shared" si="5"/>
        <v>28531181.568003472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43563</v>
      </c>
      <c r="C13" s="60">
        <v>161</v>
      </c>
      <c r="D13" s="91">
        <v>1035.78</v>
      </c>
      <c r="E13" s="112">
        <v>4799.9999999992724</v>
      </c>
      <c r="F13" s="83">
        <v>21520.000000000437</v>
      </c>
      <c r="G13" s="84">
        <f t="shared" si="3"/>
        <v>26319.999999999709</v>
      </c>
      <c r="H13" s="85">
        <f t="shared" si="0"/>
        <v>7457615.9999988694</v>
      </c>
      <c r="I13" s="85">
        <f t="shared" si="1"/>
        <v>22289985.600000452</v>
      </c>
      <c r="J13" s="85">
        <f t="shared" si="2"/>
        <v>29747601.599999323</v>
      </c>
      <c r="K13" s="85">
        <f t="shared" si="4"/>
        <v>713942.4383999838</v>
      </c>
      <c r="L13" s="108">
        <f t="shared" si="5"/>
        <v>30461544.038399309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43564</v>
      </c>
      <c r="C14" s="60">
        <v>161</v>
      </c>
      <c r="D14" s="91">
        <v>1035.78</v>
      </c>
      <c r="E14" s="112">
        <v>5280.0000000006548</v>
      </c>
      <c r="F14" s="83">
        <v>21639.999999999418</v>
      </c>
      <c r="G14" s="84">
        <f t="shared" si="3"/>
        <v>26920.000000000073</v>
      </c>
      <c r="H14" s="85">
        <f t="shared" si="0"/>
        <v>8203377.6000010176</v>
      </c>
      <c r="I14" s="85">
        <f t="shared" si="1"/>
        <v>22414279.199999396</v>
      </c>
      <c r="J14" s="85">
        <f t="shared" si="2"/>
        <v>30617656.800000414</v>
      </c>
      <c r="K14" s="85">
        <f t="shared" si="4"/>
        <v>734823.76320000994</v>
      </c>
      <c r="L14" s="108">
        <f t="shared" si="5"/>
        <v>31352480.563200425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43565</v>
      </c>
      <c r="C15" s="60">
        <v>161</v>
      </c>
      <c r="D15" s="91">
        <v>1035.78</v>
      </c>
      <c r="E15" s="112">
        <v>5279.9999999997453</v>
      </c>
      <c r="F15" s="83">
        <v>22159.999999999854</v>
      </c>
      <c r="G15" s="84">
        <f t="shared" si="3"/>
        <v>27439.9999999996</v>
      </c>
      <c r="H15" s="85">
        <f t="shared" si="0"/>
        <v>8203377.5999996038</v>
      </c>
      <c r="I15" s="85">
        <f t="shared" si="1"/>
        <v>22952884.799999848</v>
      </c>
      <c r="J15" s="85">
        <f t="shared" si="2"/>
        <v>31156262.399999451</v>
      </c>
      <c r="K15" s="85">
        <f t="shared" si="4"/>
        <v>747750.29759998689</v>
      </c>
      <c r="L15" s="108">
        <f t="shared" si="5"/>
        <v>31904012.697599437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43566</v>
      </c>
      <c r="C16" s="60">
        <v>161</v>
      </c>
      <c r="D16" s="91">
        <v>1035.78</v>
      </c>
      <c r="E16" s="112">
        <v>6319.999999999709</v>
      </c>
      <c r="F16" s="83">
        <v>21959.999999999127</v>
      </c>
      <c r="G16" s="84">
        <f t="shared" si="3"/>
        <v>28279.999999998836</v>
      </c>
      <c r="H16" s="85">
        <f t="shared" si="0"/>
        <v>9819194.3999995477</v>
      </c>
      <c r="I16" s="85">
        <f t="shared" si="1"/>
        <v>22745728.799999095</v>
      </c>
      <c r="J16" s="85">
        <f t="shared" si="2"/>
        <v>32564923.199998643</v>
      </c>
      <c r="K16" s="85">
        <f t="shared" si="4"/>
        <v>781558.1567999674</v>
      </c>
      <c r="L16" s="108">
        <f t="shared" si="5"/>
        <v>33346481.356798612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43567</v>
      </c>
      <c r="C17" s="60">
        <v>161</v>
      </c>
      <c r="D17" s="91">
        <v>1035.78</v>
      </c>
      <c r="E17" s="112">
        <v>4960.0000000000364</v>
      </c>
      <c r="F17" s="83">
        <v>20799.999999999272</v>
      </c>
      <c r="G17" s="84">
        <f t="shared" si="3"/>
        <v>25759.999999999309</v>
      </c>
      <c r="H17" s="85">
        <f t="shared" si="0"/>
        <v>7706203.2000000561</v>
      </c>
      <c r="I17" s="85">
        <f t="shared" si="1"/>
        <v>21544223.999999247</v>
      </c>
      <c r="J17" s="85">
        <f t="shared" si="2"/>
        <v>29250427.199999303</v>
      </c>
      <c r="K17" s="85">
        <f t="shared" si="4"/>
        <v>702010.25279998325</v>
      </c>
      <c r="L17" s="108">
        <f t="shared" si="5"/>
        <v>29952437.452799287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43568</v>
      </c>
      <c r="C18" s="60">
        <v>161</v>
      </c>
      <c r="D18" s="91">
        <v>1035.78</v>
      </c>
      <c r="E18" s="112">
        <v>5039.9999999999636</v>
      </c>
      <c r="F18" s="83">
        <v>22800.00000000291</v>
      </c>
      <c r="G18" s="84">
        <f t="shared" si="3"/>
        <v>27840.000000002874</v>
      </c>
      <c r="H18" s="85">
        <f t="shared" si="0"/>
        <v>7830496.799999943</v>
      </c>
      <c r="I18" s="85">
        <f t="shared" si="1"/>
        <v>23615784.000003014</v>
      </c>
      <c r="J18" s="85">
        <f t="shared" si="2"/>
        <v>31446280.800002955</v>
      </c>
      <c r="K18" s="85">
        <f t="shared" si="4"/>
        <v>754710.73920007097</v>
      </c>
      <c r="L18" s="108">
        <f t="shared" si="5"/>
        <v>32200991.539203025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43569</v>
      </c>
      <c r="C19" s="60">
        <v>161</v>
      </c>
      <c r="D19" s="91">
        <v>1035.78</v>
      </c>
      <c r="E19" s="112">
        <v>5079.9999999999272</v>
      </c>
      <c r="F19" s="83">
        <v>21599.999999998545</v>
      </c>
      <c r="G19" s="84">
        <f t="shared" si="3"/>
        <v>26679.999999998472</v>
      </c>
      <c r="H19" s="85">
        <f t="shared" si="0"/>
        <v>7892643.5999998869</v>
      </c>
      <c r="I19" s="85">
        <f t="shared" si="1"/>
        <v>22372847.999998491</v>
      </c>
      <c r="J19" s="85">
        <f t="shared" si="2"/>
        <v>30265491.599998377</v>
      </c>
      <c r="K19" s="85">
        <f t="shared" si="4"/>
        <v>726371.79839996109</v>
      </c>
      <c r="L19" s="108">
        <f t="shared" si="5"/>
        <v>30991863.39839834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43570</v>
      </c>
      <c r="C20" s="60">
        <v>161</v>
      </c>
      <c r="D20" s="91">
        <v>1035.78</v>
      </c>
      <c r="E20" s="112">
        <v>4720.0000000002547</v>
      </c>
      <c r="F20" s="83">
        <v>21959.999999999127</v>
      </c>
      <c r="G20" s="84">
        <f t="shared" si="3"/>
        <v>26679.999999999382</v>
      </c>
      <c r="H20" s="85">
        <f t="shared" si="0"/>
        <v>7333322.4000003953</v>
      </c>
      <c r="I20" s="85">
        <f t="shared" si="1"/>
        <v>22745728.799999095</v>
      </c>
      <c r="J20" s="85">
        <f t="shared" si="2"/>
        <v>30079051.199999489</v>
      </c>
      <c r="K20" s="85">
        <f t="shared" si="4"/>
        <v>721897.2287999877</v>
      </c>
      <c r="L20" s="108">
        <f t="shared" si="5"/>
        <v>30800948.428799476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43571</v>
      </c>
      <c r="C21" s="60">
        <v>161</v>
      </c>
      <c r="D21" s="91">
        <v>1035.78</v>
      </c>
      <c r="E21" s="112">
        <v>5279.9999999997453</v>
      </c>
      <c r="F21" s="83">
        <v>21520.000000000437</v>
      </c>
      <c r="G21" s="84">
        <f t="shared" si="3"/>
        <v>26800.000000000182</v>
      </c>
      <c r="H21" s="85">
        <f t="shared" si="0"/>
        <v>8203377.5999996038</v>
      </c>
      <c r="I21" s="85">
        <f t="shared" si="1"/>
        <v>22289985.600000452</v>
      </c>
      <c r="J21" s="85">
        <f t="shared" si="2"/>
        <v>30493363.200000055</v>
      </c>
      <c r="K21" s="85">
        <f t="shared" si="4"/>
        <v>731840.71680000133</v>
      </c>
      <c r="L21" s="108">
        <f t="shared" si="5"/>
        <v>31225203.916800056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43572</v>
      </c>
      <c r="C22" s="60">
        <v>161</v>
      </c>
      <c r="D22" s="91">
        <v>1035.78</v>
      </c>
      <c r="E22" s="112">
        <v>4400.0000000005457</v>
      </c>
      <c r="F22" s="83">
        <v>21080.000000001746</v>
      </c>
      <c r="G22" s="84">
        <f t="shared" si="3"/>
        <v>25480.000000002292</v>
      </c>
      <c r="H22" s="85">
        <f t="shared" si="0"/>
        <v>6836148.0000008475</v>
      </c>
      <c r="I22" s="85">
        <f t="shared" si="1"/>
        <v>21834242.400001809</v>
      </c>
      <c r="J22" s="85">
        <f t="shared" si="2"/>
        <v>28670390.400002658</v>
      </c>
      <c r="K22" s="85">
        <f t="shared" si="4"/>
        <v>688089.36960006377</v>
      </c>
      <c r="L22" s="108">
        <f t="shared" si="5"/>
        <v>29358479.769602723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43573</v>
      </c>
      <c r="C23" s="60">
        <v>161</v>
      </c>
      <c r="D23" s="91">
        <v>1035.78</v>
      </c>
      <c r="E23" s="112">
        <v>5199.9999999998181</v>
      </c>
      <c r="F23" s="83">
        <v>21519.999999996799</v>
      </c>
      <c r="G23" s="84">
        <f t="shared" si="3"/>
        <v>26719.999999996617</v>
      </c>
      <c r="H23" s="85">
        <f t="shared" si="0"/>
        <v>8079083.9999997169</v>
      </c>
      <c r="I23" s="85">
        <f t="shared" si="1"/>
        <v>22289985.599996682</v>
      </c>
      <c r="J23" s="85">
        <f t="shared" si="2"/>
        <v>30369069.599996399</v>
      </c>
      <c r="K23" s="85">
        <f t="shared" si="4"/>
        <v>728857.67039991356</v>
      </c>
      <c r="L23" s="108">
        <f t="shared" si="5"/>
        <v>31097927.270396315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43574</v>
      </c>
      <c r="C24" s="60">
        <v>161</v>
      </c>
      <c r="D24" s="91">
        <v>1035.78</v>
      </c>
      <c r="E24" s="112">
        <v>4119.9999999998909</v>
      </c>
      <c r="F24" s="83">
        <v>20600.000000002183</v>
      </c>
      <c r="G24" s="84">
        <f t="shared" si="3"/>
        <v>24720.000000002074</v>
      </c>
      <c r="H24" s="85">
        <f t="shared" si="0"/>
        <v>6401120.3999998299</v>
      </c>
      <c r="I24" s="85">
        <f t="shared" si="1"/>
        <v>21337068.000002261</v>
      </c>
      <c r="J24" s="85">
        <f t="shared" si="2"/>
        <v>27738188.400002092</v>
      </c>
      <c r="K24" s="85">
        <f t="shared" si="4"/>
        <v>665716.52160005027</v>
      </c>
      <c r="L24" s="108">
        <f t="shared" si="5"/>
        <v>28403904.921602141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43575</v>
      </c>
      <c r="C25" s="60">
        <v>161</v>
      </c>
      <c r="D25" s="91">
        <v>1035.78</v>
      </c>
      <c r="E25" s="112">
        <v>4279.9999999997453</v>
      </c>
      <c r="F25" s="83">
        <v>20000</v>
      </c>
      <c r="G25" s="84">
        <f t="shared" si="3"/>
        <v>24279.999999999745</v>
      </c>
      <c r="H25" s="85">
        <f t="shared" si="0"/>
        <v>6649707.5999996038</v>
      </c>
      <c r="I25" s="85">
        <f t="shared" si="1"/>
        <v>20715600</v>
      </c>
      <c r="J25" s="85">
        <f t="shared" si="2"/>
        <v>27365307.599999603</v>
      </c>
      <c r="K25" s="85">
        <f t="shared" si="4"/>
        <v>656767.38239999046</v>
      </c>
      <c r="L25" s="108">
        <f t="shared" si="5"/>
        <v>28022074.982399594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43576</v>
      </c>
      <c r="C26" s="60">
        <v>161</v>
      </c>
      <c r="D26" s="91">
        <v>1035.78</v>
      </c>
      <c r="E26" s="112">
        <v>4680.000000000291</v>
      </c>
      <c r="F26" s="83">
        <v>20680.000000000291</v>
      </c>
      <c r="G26" s="84">
        <f t="shared" si="3"/>
        <v>25360.000000000582</v>
      </c>
      <c r="H26" s="85">
        <f t="shared" si="0"/>
        <v>7271175.6000004523</v>
      </c>
      <c r="I26" s="85">
        <f t="shared" si="1"/>
        <v>21419930.4000003</v>
      </c>
      <c r="J26" s="85">
        <f t="shared" si="2"/>
        <v>28691106.000000753</v>
      </c>
      <c r="K26" s="85">
        <f t="shared" si="4"/>
        <v>688586.54400001804</v>
      </c>
      <c r="L26" s="108">
        <f>J26+K26</f>
        <v>29379692.544000771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43577</v>
      </c>
      <c r="C27" s="60">
        <v>161</v>
      </c>
      <c r="D27" s="91">
        <v>1035.78</v>
      </c>
      <c r="E27" s="112">
        <v>5079.9999999999272</v>
      </c>
      <c r="F27" s="83">
        <v>21279.999999998836</v>
      </c>
      <c r="G27" s="84">
        <f t="shared" si="3"/>
        <v>26359.999999998763</v>
      </c>
      <c r="H27" s="85">
        <f t="shared" si="0"/>
        <v>7892643.5999998869</v>
      </c>
      <c r="I27" s="85">
        <f t="shared" si="1"/>
        <v>22041398.399998795</v>
      </c>
      <c r="J27" s="85">
        <f t="shared" si="2"/>
        <v>29934041.999998681</v>
      </c>
      <c r="K27" s="85">
        <f t="shared" si="4"/>
        <v>718417.00799996837</v>
      </c>
      <c r="L27" s="108">
        <f t="shared" si="5"/>
        <v>30652459.007998649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43578</v>
      </c>
      <c r="C28" s="60">
        <v>161</v>
      </c>
      <c r="D28" s="91">
        <v>1035.78</v>
      </c>
      <c r="E28" s="112">
        <v>6239.9999999997817</v>
      </c>
      <c r="F28" s="83">
        <v>22240.000000001601</v>
      </c>
      <c r="G28" s="84">
        <f t="shared" si="3"/>
        <v>28480.000000001382</v>
      </c>
      <c r="H28" s="85">
        <f t="shared" si="0"/>
        <v>9694900.7999996599</v>
      </c>
      <c r="I28" s="85">
        <f t="shared" si="1"/>
        <v>23035747.200001657</v>
      </c>
      <c r="J28" s="85">
        <f t="shared" si="2"/>
        <v>32730648.000001319</v>
      </c>
      <c r="K28" s="85">
        <f t="shared" si="4"/>
        <v>785535.55200003169</v>
      </c>
      <c r="L28" s="108">
        <f t="shared" si="5"/>
        <v>33516183.55200135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43579</v>
      </c>
      <c r="C29" s="60">
        <v>161</v>
      </c>
      <c r="D29" s="91">
        <v>1035.78</v>
      </c>
      <c r="E29" s="112">
        <v>5280.0000000006548</v>
      </c>
      <c r="F29" s="83">
        <v>17039.999999997235</v>
      </c>
      <c r="G29" s="84">
        <f t="shared" si="3"/>
        <v>22319.99999999789</v>
      </c>
      <c r="H29" s="85">
        <f t="shared" si="0"/>
        <v>8203377.6000010176</v>
      </c>
      <c r="I29" s="85">
        <f t="shared" si="1"/>
        <v>17649691.199997135</v>
      </c>
      <c r="J29" s="85">
        <f t="shared" si="2"/>
        <v>25853068.799998153</v>
      </c>
      <c r="K29" s="85">
        <f t="shared" si="4"/>
        <v>620473.65119995573</v>
      </c>
      <c r="L29" s="108">
        <f t="shared" si="5"/>
        <v>26473542.451198108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43580</v>
      </c>
      <c r="C30" s="60">
        <v>161</v>
      </c>
      <c r="D30" s="91">
        <v>1035.78</v>
      </c>
      <c r="E30" s="112">
        <v>960.00000000003638</v>
      </c>
      <c r="F30" s="83">
        <v>20880.000000001019</v>
      </c>
      <c r="G30" s="84">
        <f t="shared" si="3"/>
        <v>21840.000000001055</v>
      </c>
      <c r="H30" s="85">
        <f t="shared" si="0"/>
        <v>1491523.2000000565</v>
      </c>
      <c r="I30" s="85">
        <f t="shared" si="1"/>
        <v>21627086.400001053</v>
      </c>
      <c r="J30" s="85">
        <f t="shared" si="2"/>
        <v>23118609.600001108</v>
      </c>
      <c r="K30" s="85">
        <f t="shared" si="4"/>
        <v>554846.63040002657</v>
      </c>
      <c r="L30" s="108">
        <f t="shared" si="5"/>
        <v>23673456.230401136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43581</v>
      </c>
      <c r="C31" s="60">
        <v>161</v>
      </c>
      <c r="D31" s="91">
        <v>1035.78</v>
      </c>
      <c r="E31" s="112">
        <v>7920.0000000000728</v>
      </c>
      <c r="F31" s="83">
        <v>27400.000000001455</v>
      </c>
      <c r="G31" s="84">
        <f t="shared" si="3"/>
        <v>35320.000000001528</v>
      </c>
      <c r="H31" s="85">
        <f t="shared" si="0"/>
        <v>12305066.400000112</v>
      </c>
      <c r="I31" s="85">
        <f t="shared" si="1"/>
        <v>28380372.000001505</v>
      </c>
      <c r="J31" s="85">
        <f t="shared" ref="J31:J33" si="6">I31+H31</f>
        <v>40685438.400001615</v>
      </c>
      <c r="K31" s="85">
        <f t="shared" si="4"/>
        <v>976450.52160003874</v>
      </c>
      <c r="L31" s="108">
        <f t="shared" ref="L31:L33" si="7">J31+K31</f>
        <v>41661888.921601653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43582</v>
      </c>
      <c r="C32" s="60">
        <v>161</v>
      </c>
      <c r="D32" s="91">
        <v>1035.78</v>
      </c>
      <c r="E32" s="112">
        <v>5079.9999999999272</v>
      </c>
      <c r="F32" s="83">
        <v>19200.000000000728</v>
      </c>
      <c r="G32" s="84">
        <f t="shared" si="3"/>
        <v>24280.000000000655</v>
      </c>
      <c r="H32" s="85">
        <f t="shared" si="0"/>
        <v>7892643.5999998869</v>
      </c>
      <c r="I32" s="85">
        <f t="shared" si="1"/>
        <v>19886976.000000753</v>
      </c>
      <c r="J32" s="85">
        <f t="shared" si="6"/>
        <v>27779619.600000639</v>
      </c>
      <c r="K32" s="85">
        <f t="shared" si="4"/>
        <v>666710.87040001538</v>
      </c>
      <c r="L32" s="108">
        <f t="shared" si="7"/>
        <v>28446330.470400654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43583</v>
      </c>
      <c r="C33" s="60">
        <v>161</v>
      </c>
      <c r="D33" s="91">
        <v>1035.78</v>
      </c>
      <c r="E33" s="112">
        <v>4359.9999999996726</v>
      </c>
      <c r="F33" s="83">
        <v>25000</v>
      </c>
      <c r="G33" s="84">
        <f t="shared" si="3"/>
        <v>29359.999999999673</v>
      </c>
      <c r="H33" s="85">
        <f t="shared" si="0"/>
        <v>6774001.1999994908</v>
      </c>
      <c r="I33" s="85">
        <f t="shared" si="1"/>
        <v>25894500</v>
      </c>
      <c r="J33" s="85">
        <f t="shared" si="6"/>
        <v>32668501.199999489</v>
      </c>
      <c r="K33" s="85">
        <f t="shared" si="4"/>
        <v>784044.02879998775</v>
      </c>
      <c r="L33" s="108">
        <f t="shared" si="7"/>
        <v>33452545.228799477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43584</v>
      </c>
      <c r="C34" s="60">
        <v>161</v>
      </c>
      <c r="D34" s="91">
        <v>1035.78</v>
      </c>
      <c r="E34" s="112">
        <v>5520.0000000004366</v>
      </c>
      <c r="F34" s="83">
        <v>22039.999999997235</v>
      </c>
      <c r="G34" s="84">
        <f t="shared" ref="G34:G35" si="8">F34+E34</f>
        <v>27559.999999997672</v>
      </c>
      <c r="H34" s="85">
        <f t="shared" ref="H34:H35" si="9">E34*1.5*D34</f>
        <v>8576258.4000006784</v>
      </c>
      <c r="I34" s="85">
        <f t="shared" ref="I34:I35" si="10">F34*D34</f>
        <v>22828591.199997135</v>
      </c>
      <c r="J34" s="85">
        <f t="shared" ref="J34:J35" si="11">I34+H34</f>
        <v>31404849.599997811</v>
      </c>
      <c r="K34" s="85">
        <f t="shared" si="4"/>
        <v>753716.39039994753</v>
      </c>
      <c r="L34" s="108">
        <f t="shared" ref="L34:L35" si="12">J34+K34</f>
        <v>32158565.990397759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43585</v>
      </c>
      <c r="C35" s="60">
        <v>161</v>
      </c>
      <c r="D35" s="91">
        <v>1035.78</v>
      </c>
      <c r="E35" s="112">
        <v>4519.9999999995271</v>
      </c>
      <c r="F35" s="83">
        <v>21799.999999999272</v>
      </c>
      <c r="G35" s="84">
        <f t="shared" si="8"/>
        <v>26319.999999998799</v>
      </c>
      <c r="H35" s="85">
        <f t="shared" si="9"/>
        <v>7022588.3999992646</v>
      </c>
      <c r="I35" s="85">
        <f t="shared" si="10"/>
        <v>22580003.999999247</v>
      </c>
      <c r="J35" s="85">
        <f t="shared" si="11"/>
        <v>29602592.399998512</v>
      </c>
      <c r="K35" s="85">
        <f t="shared" si="4"/>
        <v>710462.21759996435</v>
      </c>
      <c r="L35" s="108">
        <f t="shared" si="12"/>
        <v>30313054.617598478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4508</v>
      </c>
      <c r="D36" s="92"/>
      <c r="E36" s="86">
        <f t="shared" ref="E36:L36" si="13">SUM(E6:E35)</f>
        <v>147159.99999999988</v>
      </c>
      <c r="F36" s="86">
        <f t="shared" si="13"/>
        <v>645319.99999999953</v>
      </c>
      <c r="G36" s="86">
        <f t="shared" si="13"/>
        <v>792479.99999999953</v>
      </c>
      <c r="H36" s="86">
        <f t="shared" si="13"/>
        <v>228638077.19999972</v>
      </c>
      <c r="I36" s="86">
        <f t="shared" si="13"/>
        <v>668409549.59999979</v>
      </c>
      <c r="J36" s="86">
        <f t="shared" si="13"/>
        <v>897047626.79999936</v>
      </c>
      <c r="K36" s="86">
        <f t="shared" si="13"/>
        <v>21529143.04319999</v>
      </c>
      <c r="L36" s="86">
        <f t="shared" si="13"/>
        <v>918576769.84319949</v>
      </c>
    </row>
    <row r="37" spans="2:17" s="1" customFormat="1" x14ac:dyDescent="0.25">
      <c r="B37" s="7"/>
      <c r="C37" s="7"/>
      <c r="D37" s="92"/>
      <c r="E37" s="31"/>
      <c r="F37" s="31"/>
      <c r="G37" s="32"/>
      <c r="H37" s="9"/>
      <c r="J37" s="99"/>
      <c r="K37" s="15"/>
      <c r="L37" s="87"/>
    </row>
    <row r="38" spans="2:17" s="1" customFormat="1" x14ac:dyDescent="0.25">
      <c r="B38" s="7"/>
      <c r="C38" s="7"/>
      <c r="D38" s="93"/>
      <c r="E38" s="33"/>
      <c r="F38" s="33"/>
      <c r="G38" s="32"/>
      <c r="H38" s="8"/>
      <c r="I38" s="10"/>
      <c r="J38" s="99"/>
      <c r="K38" s="15"/>
      <c r="L38" s="76"/>
      <c r="N38" s="7"/>
    </row>
    <row r="39" spans="2:17" s="1" customFormat="1" x14ac:dyDescent="0.25">
      <c r="B39" s="7"/>
      <c r="C39" s="7"/>
      <c r="D39" s="94"/>
      <c r="E39" s="33"/>
      <c r="F39" s="33"/>
      <c r="G39" s="32"/>
      <c r="H39" s="9"/>
      <c r="J39" s="100"/>
      <c r="K39" s="87"/>
      <c r="L39" s="76"/>
      <c r="N39" s="7"/>
    </row>
    <row r="40" spans="2:17" s="1" customFormat="1" x14ac:dyDescent="0.25">
      <c r="B40" s="7"/>
      <c r="C40" s="7"/>
      <c r="D40" s="94"/>
      <c r="E40" s="33"/>
      <c r="F40" s="33"/>
      <c r="G40" s="32"/>
      <c r="H40" s="9"/>
      <c r="J40" s="101"/>
      <c r="K40" s="76"/>
      <c r="L40" s="87"/>
      <c r="N40" s="7"/>
    </row>
    <row r="41" spans="2:17" s="1" customFormat="1" x14ac:dyDescent="0.25">
      <c r="B41" s="7"/>
      <c r="C41" s="7"/>
      <c r="D41" s="94"/>
      <c r="E41" s="33"/>
      <c r="F41" s="33"/>
      <c r="G41" s="32"/>
      <c r="H41" s="9"/>
      <c r="J41" s="102"/>
      <c r="K41" s="76"/>
      <c r="L41" s="87"/>
      <c r="N41" s="7"/>
    </row>
    <row r="42" spans="2:17" s="1" customFormat="1" x14ac:dyDescent="0.25">
      <c r="B42" s="7"/>
      <c r="C42" s="7"/>
      <c r="D42" s="93"/>
      <c r="E42" s="33"/>
      <c r="F42" s="33"/>
      <c r="G42" s="32"/>
      <c r="H42" s="9"/>
      <c r="J42" s="100"/>
      <c r="K42" s="15"/>
      <c r="L42" s="87"/>
      <c r="N42" s="7"/>
    </row>
    <row r="43" spans="2:17" s="1" customFormat="1" x14ac:dyDescent="0.25">
      <c r="B43" s="7"/>
      <c r="C43" s="7"/>
      <c r="D43" s="94"/>
      <c r="E43" s="33"/>
      <c r="F43" s="33"/>
      <c r="G43" s="32"/>
      <c r="J43" s="103"/>
      <c r="K43" s="76"/>
      <c r="L43" s="76"/>
      <c r="N43" s="7"/>
    </row>
    <row r="44" spans="2:17" s="1" customFormat="1" x14ac:dyDescent="0.25">
      <c r="B44" s="7"/>
      <c r="C44" s="7"/>
      <c r="D44" s="93"/>
      <c r="E44" s="33"/>
      <c r="F44" s="33"/>
      <c r="G44" s="34" t="s">
        <v>6</v>
      </c>
      <c r="H44" s="9"/>
      <c r="J44" s="100"/>
      <c r="K44" s="87"/>
      <c r="L44" s="87"/>
      <c r="M44" s="11"/>
      <c r="N44" s="7"/>
    </row>
    <row r="45" spans="2:17" s="1" customFormat="1" ht="21" x14ac:dyDescent="0.25">
      <c r="B45" s="7"/>
      <c r="C45" s="7"/>
      <c r="D45" s="94"/>
      <c r="E45" s="33"/>
      <c r="F45" s="33"/>
      <c r="G45" s="35"/>
      <c r="H45" s="7"/>
      <c r="J45" s="104"/>
      <c r="K45" s="87"/>
      <c r="L45" s="109"/>
      <c r="N45" s="7"/>
    </row>
    <row r="46" spans="2:17" s="1" customFormat="1" x14ac:dyDescent="0.25">
      <c r="D46" s="93"/>
      <c r="E46" s="33"/>
      <c r="F46" s="33"/>
      <c r="G46" s="30"/>
      <c r="J46" s="87"/>
      <c r="K46" s="87"/>
      <c r="L46" s="87"/>
      <c r="M46" s="16"/>
      <c r="N46" s="7"/>
    </row>
    <row r="47" spans="2:17" s="1" customFormat="1" x14ac:dyDescent="0.25">
      <c r="D47" s="94"/>
      <c r="E47" s="33"/>
      <c r="F47" s="33"/>
      <c r="G47" s="30"/>
      <c r="J47" s="87"/>
      <c r="K47" s="87"/>
      <c r="L47" s="87"/>
    </row>
    <row r="48" spans="2:17" s="1" customFormat="1" x14ac:dyDescent="0.25">
      <c r="D48" s="94"/>
      <c r="E48" s="33"/>
      <c r="F48" s="33"/>
      <c r="G48" s="36"/>
      <c r="J48" s="87"/>
      <c r="K48" s="87"/>
      <c r="L48" s="87"/>
    </row>
    <row r="49" spans="2:12" s="1" customFormat="1" x14ac:dyDescent="0.25">
      <c r="B49" s="12"/>
      <c r="C49" s="12"/>
      <c r="D49" s="95"/>
      <c r="E49" s="33"/>
      <c r="F49" s="33"/>
      <c r="G49" s="38"/>
      <c r="H49" s="12"/>
      <c r="I49" s="12"/>
      <c r="J49" s="88"/>
      <c r="K49" s="88"/>
      <c r="L49" s="88"/>
    </row>
    <row r="50" spans="2:12" s="12" customFormat="1" x14ac:dyDescent="0.25">
      <c r="D50" s="95"/>
      <c r="E50" s="33"/>
      <c r="F50" s="33"/>
      <c r="G50" s="39"/>
      <c r="J50" s="88"/>
      <c r="K50" s="88"/>
      <c r="L50" s="88"/>
    </row>
    <row r="51" spans="2:12" s="12" customFormat="1" x14ac:dyDescent="0.25">
      <c r="D51" s="95"/>
      <c r="E51" s="33"/>
      <c r="F51" s="33"/>
      <c r="G51" s="37"/>
      <c r="J51" s="88"/>
      <c r="K51" s="88"/>
      <c r="L51" s="88"/>
    </row>
    <row r="52" spans="2:12" s="12" customFormat="1" x14ac:dyDescent="0.25">
      <c r="D52" s="95"/>
      <c r="E52" s="33"/>
      <c r="F52" s="33"/>
      <c r="G52" s="39"/>
      <c r="J52" s="88"/>
      <c r="K52" s="88"/>
      <c r="L52" s="88"/>
    </row>
    <row r="53" spans="2:12" s="12" customFormat="1" x14ac:dyDescent="0.25">
      <c r="D53" s="95"/>
      <c r="E53" s="33"/>
      <c r="F53" s="33"/>
      <c r="G53" s="37"/>
      <c r="J53" s="88"/>
      <c r="K53" s="88"/>
      <c r="L53" s="88"/>
    </row>
    <row r="54" spans="2:12" s="12" customFormat="1" x14ac:dyDescent="0.25">
      <c r="B54" s="13"/>
      <c r="C54" s="13"/>
      <c r="D54" s="96"/>
      <c r="E54" s="33"/>
      <c r="F54" s="33"/>
      <c r="G54" s="40"/>
      <c r="H54" s="13"/>
      <c r="I54" s="13"/>
      <c r="J54" s="89"/>
      <c r="K54" s="89"/>
      <c r="L54" s="89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topLeftCell="A13" zoomScaleNormal="100" workbookViewId="0">
      <selection activeCell="F55" sqref="F55"/>
    </sheetView>
  </sheetViews>
  <sheetFormatPr defaultRowHeight="15" x14ac:dyDescent="0.25"/>
  <cols>
    <col min="1" max="4" width="9.140625" style="56"/>
    <col min="5" max="5" width="19.28515625" style="56" customWidth="1"/>
    <col min="6" max="6" width="29" style="56" customWidth="1"/>
    <col min="7" max="7" width="33.140625" style="68" customWidth="1"/>
    <col min="8" max="8" width="13.42578125" style="56" bestFit="1" customWidth="1"/>
    <col min="9" max="9" width="11.5703125" style="56" bestFit="1" customWidth="1"/>
    <col min="10" max="43" width="9.140625" style="56"/>
    <col min="44" max="16384" width="9.140625" style="62"/>
  </cols>
  <sheetData>
    <row r="1" spans="1:43" ht="15" customHeight="1" x14ac:dyDescent="0.25">
      <c r="B1" s="134" t="s">
        <v>3</v>
      </c>
      <c r="C1" s="134"/>
      <c r="D1" s="134"/>
      <c r="E1" s="134"/>
      <c r="F1" s="134"/>
      <c r="G1" s="134"/>
    </row>
    <row r="2" spans="1:43" ht="15" customHeight="1" x14ac:dyDescent="0.25">
      <c r="B2" s="134"/>
      <c r="C2" s="134"/>
      <c r="D2" s="134"/>
      <c r="E2" s="134"/>
      <c r="F2" s="134"/>
      <c r="G2" s="134"/>
    </row>
    <row r="3" spans="1:43" s="65" customFormat="1" ht="27" customHeight="1" x14ac:dyDescent="0.3">
      <c r="A3" s="63"/>
      <c r="B3" s="135" t="s">
        <v>0</v>
      </c>
      <c r="C3" s="135" t="s">
        <v>22</v>
      </c>
      <c r="D3" s="136" t="s">
        <v>21</v>
      </c>
      <c r="E3" s="78" t="s">
        <v>30</v>
      </c>
      <c r="F3" s="64" t="s">
        <v>32</v>
      </c>
      <c r="G3" s="79" t="s">
        <v>18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</row>
    <row r="4" spans="1:43" s="65" customFormat="1" ht="27" customHeight="1" x14ac:dyDescent="0.3">
      <c r="A4" s="63"/>
      <c r="B4" s="135"/>
      <c r="C4" s="135"/>
      <c r="D4" s="137"/>
      <c r="E4" s="80" t="s">
        <v>31</v>
      </c>
      <c r="F4" s="64" t="s">
        <v>31</v>
      </c>
      <c r="G4" s="64" t="s">
        <v>31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</row>
    <row r="5" spans="1:43" ht="15.75" x14ac:dyDescent="0.25">
      <c r="B5" s="81">
        <v>1</v>
      </c>
      <c r="C5" s="81">
        <v>4</v>
      </c>
      <c r="D5" s="81">
        <v>2019</v>
      </c>
      <c r="E5" s="111">
        <v>124</v>
      </c>
      <c r="F5" s="55">
        <v>539</v>
      </c>
      <c r="G5" s="57">
        <f>E5+F5</f>
        <v>663</v>
      </c>
    </row>
    <row r="6" spans="1:43" ht="15.75" x14ac:dyDescent="0.25">
      <c r="B6" s="81">
        <v>2</v>
      </c>
      <c r="C6" s="81">
        <v>4</v>
      </c>
      <c r="D6" s="81">
        <f>D5</f>
        <v>2019</v>
      </c>
      <c r="E6" s="111">
        <v>121</v>
      </c>
      <c r="F6" s="55">
        <v>514</v>
      </c>
      <c r="G6" s="57">
        <f t="shared" ref="G6:G34" si="0">E6+F6</f>
        <v>635</v>
      </c>
    </row>
    <row r="7" spans="1:43" ht="15.75" x14ac:dyDescent="0.25">
      <c r="B7" s="81">
        <v>3</v>
      </c>
      <c r="C7" s="81">
        <v>4</v>
      </c>
      <c r="D7" s="81">
        <f t="shared" ref="D7:D34" si="1">D6</f>
        <v>2019</v>
      </c>
      <c r="E7" s="111">
        <v>121</v>
      </c>
      <c r="F7" s="55">
        <v>527</v>
      </c>
      <c r="G7" s="57">
        <f t="shared" si="0"/>
        <v>648</v>
      </c>
    </row>
    <row r="8" spans="1:43" ht="15.75" x14ac:dyDescent="0.25">
      <c r="B8" s="81">
        <v>4</v>
      </c>
      <c r="C8" s="81">
        <v>4</v>
      </c>
      <c r="D8" s="81">
        <f t="shared" si="1"/>
        <v>2019</v>
      </c>
      <c r="E8" s="111">
        <v>123</v>
      </c>
      <c r="F8" s="55">
        <v>536</v>
      </c>
      <c r="G8" s="57">
        <f t="shared" si="0"/>
        <v>659</v>
      </c>
    </row>
    <row r="9" spans="1:43" ht="15.75" x14ac:dyDescent="0.25">
      <c r="B9" s="81">
        <v>5</v>
      </c>
      <c r="C9" s="81">
        <v>4</v>
      </c>
      <c r="D9" s="81">
        <f t="shared" si="1"/>
        <v>2019</v>
      </c>
      <c r="E9" s="111">
        <v>118</v>
      </c>
      <c r="F9" s="55">
        <v>519</v>
      </c>
      <c r="G9" s="57">
        <f t="shared" si="0"/>
        <v>637</v>
      </c>
    </row>
    <row r="10" spans="1:43" ht="15.75" x14ac:dyDescent="0.25">
      <c r="B10" s="81">
        <v>6</v>
      </c>
      <c r="C10" s="81">
        <v>4</v>
      </c>
      <c r="D10" s="81">
        <f t="shared" si="1"/>
        <v>2019</v>
      </c>
      <c r="E10" s="111">
        <v>127</v>
      </c>
      <c r="F10" s="55">
        <v>555</v>
      </c>
      <c r="G10" s="57">
        <f t="shared" si="0"/>
        <v>682</v>
      </c>
    </row>
    <row r="11" spans="1:43" ht="15.75" x14ac:dyDescent="0.25">
      <c r="B11" s="81">
        <v>7</v>
      </c>
      <c r="C11" s="81">
        <v>4</v>
      </c>
      <c r="D11" s="81">
        <f t="shared" si="1"/>
        <v>2019</v>
      </c>
      <c r="E11" s="111">
        <v>132</v>
      </c>
      <c r="F11" s="55">
        <v>565</v>
      </c>
      <c r="G11" s="57">
        <f t="shared" si="0"/>
        <v>697</v>
      </c>
    </row>
    <row r="12" spans="1:43" ht="15.75" x14ac:dyDescent="0.25">
      <c r="B12" s="81">
        <v>8</v>
      </c>
      <c r="C12" s="81">
        <v>4</v>
      </c>
      <c r="D12" s="81">
        <f t="shared" si="1"/>
        <v>2019</v>
      </c>
      <c r="E12" s="111">
        <v>105</v>
      </c>
      <c r="F12" s="55">
        <v>455</v>
      </c>
      <c r="G12" s="57">
        <f t="shared" si="0"/>
        <v>560</v>
      </c>
    </row>
    <row r="13" spans="1:43" ht="15.75" x14ac:dyDescent="0.25">
      <c r="B13" s="81">
        <v>9</v>
      </c>
      <c r="C13" s="81">
        <v>4</v>
      </c>
      <c r="D13" s="81">
        <f t="shared" si="1"/>
        <v>2019</v>
      </c>
      <c r="E13" s="111">
        <v>126</v>
      </c>
      <c r="F13" s="55">
        <v>557</v>
      </c>
      <c r="G13" s="57">
        <f t="shared" si="0"/>
        <v>683</v>
      </c>
    </row>
    <row r="14" spans="1:43" ht="15.75" x14ac:dyDescent="0.25">
      <c r="B14" s="81">
        <v>10</v>
      </c>
      <c r="C14" s="81">
        <v>4</v>
      </c>
      <c r="D14" s="81">
        <f t="shared" si="1"/>
        <v>2019</v>
      </c>
      <c r="E14" s="111">
        <v>106</v>
      </c>
      <c r="F14" s="55">
        <v>464</v>
      </c>
      <c r="G14" s="57">
        <f t="shared" si="0"/>
        <v>570</v>
      </c>
    </row>
    <row r="15" spans="1:43" ht="15.75" x14ac:dyDescent="0.25">
      <c r="B15" s="81">
        <v>11</v>
      </c>
      <c r="C15" s="81">
        <v>4</v>
      </c>
      <c r="D15" s="81">
        <f t="shared" si="1"/>
        <v>2019</v>
      </c>
      <c r="E15" s="111">
        <v>120</v>
      </c>
      <c r="F15" s="55">
        <v>542</v>
      </c>
      <c r="G15" s="57">
        <f t="shared" si="0"/>
        <v>662</v>
      </c>
    </row>
    <row r="16" spans="1:43" ht="15.75" x14ac:dyDescent="0.25">
      <c r="B16" s="81">
        <v>12</v>
      </c>
      <c r="C16" s="81">
        <v>4</v>
      </c>
      <c r="D16" s="81">
        <f t="shared" si="1"/>
        <v>2019</v>
      </c>
      <c r="E16" s="111">
        <v>118</v>
      </c>
      <c r="F16" s="55">
        <v>533</v>
      </c>
      <c r="G16" s="57">
        <f t="shared" si="0"/>
        <v>651</v>
      </c>
    </row>
    <row r="17" spans="2:7" ht="15.75" x14ac:dyDescent="0.25">
      <c r="B17" s="81">
        <v>13</v>
      </c>
      <c r="C17" s="81">
        <v>4</v>
      </c>
      <c r="D17" s="81">
        <f t="shared" si="1"/>
        <v>2019</v>
      </c>
      <c r="E17" s="111">
        <v>130</v>
      </c>
      <c r="F17" s="55">
        <v>545</v>
      </c>
      <c r="G17" s="57">
        <f t="shared" si="0"/>
        <v>675</v>
      </c>
    </row>
    <row r="18" spans="2:7" ht="15.75" x14ac:dyDescent="0.25">
      <c r="B18" s="81">
        <v>14</v>
      </c>
      <c r="C18" s="81">
        <v>4</v>
      </c>
      <c r="D18" s="81">
        <f t="shared" si="1"/>
        <v>2019</v>
      </c>
      <c r="E18" s="111">
        <v>123</v>
      </c>
      <c r="F18" s="55">
        <v>521</v>
      </c>
      <c r="G18" s="57">
        <f t="shared" si="0"/>
        <v>644</v>
      </c>
    </row>
    <row r="19" spans="2:7" ht="15.75" x14ac:dyDescent="0.25">
      <c r="B19" s="81">
        <v>15</v>
      </c>
      <c r="C19" s="81">
        <v>4</v>
      </c>
      <c r="D19" s="81">
        <f t="shared" si="1"/>
        <v>2019</v>
      </c>
      <c r="E19" s="111">
        <v>116</v>
      </c>
      <c r="F19" s="55">
        <v>493</v>
      </c>
      <c r="G19" s="57">
        <f t="shared" si="0"/>
        <v>609</v>
      </c>
    </row>
    <row r="20" spans="2:7" ht="15.75" x14ac:dyDescent="0.25">
      <c r="B20" s="81">
        <v>16</v>
      </c>
      <c r="C20" s="81">
        <v>4</v>
      </c>
      <c r="D20" s="81">
        <f t="shared" si="1"/>
        <v>2019</v>
      </c>
      <c r="E20" s="111">
        <v>90</v>
      </c>
      <c r="F20" s="55">
        <v>378</v>
      </c>
      <c r="G20" s="57">
        <f t="shared" si="0"/>
        <v>468</v>
      </c>
    </row>
    <row r="21" spans="2:7" ht="15.75" x14ac:dyDescent="0.25">
      <c r="B21" s="81">
        <v>17</v>
      </c>
      <c r="C21" s="81">
        <v>4</v>
      </c>
      <c r="D21" s="81">
        <f t="shared" si="1"/>
        <v>2019</v>
      </c>
      <c r="E21" s="111">
        <v>143</v>
      </c>
      <c r="F21" s="55">
        <v>618</v>
      </c>
      <c r="G21" s="57">
        <f t="shared" si="0"/>
        <v>761</v>
      </c>
    </row>
    <row r="22" spans="2:7" ht="15.75" x14ac:dyDescent="0.25">
      <c r="B22" s="81">
        <v>18</v>
      </c>
      <c r="C22" s="81">
        <v>4</v>
      </c>
      <c r="D22" s="81">
        <f t="shared" si="1"/>
        <v>2019</v>
      </c>
      <c r="E22" s="111">
        <v>114</v>
      </c>
      <c r="F22" s="55">
        <v>485</v>
      </c>
      <c r="G22" s="57">
        <f t="shared" si="0"/>
        <v>599</v>
      </c>
    </row>
    <row r="23" spans="2:7" ht="15.75" x14ac:dyDescent="0.25">
      <c r="B23" s="81">
        <v>19</v>
      </c>
      <c r="C23" s="81">
        <v>4</v>
      </c>
      <c r="D23" s="81">
        <f t="shared" si="1"/>
        <v>2019</v>
      </c>
      <c r="E23" s="111">
        <v>127</v>
      </c>
      <c r="F23" s="55">
        <v>548</v>
      </c>
      <c r="G23" s="57">
        <f t="shared" si="0"/>
        <v>675</v>
      </c>
    </row>
    <row r="24" spans="2:7" ht="15.75" x14ac:dyDescent="0.25">
      <c r="B24" s="81">
        <v>20</v>
      </c>
      <c r="C24" s="81">
        <v>4</v>
      </c>
      <c r="D24" s="81">
        <f t="shared" si="1"/>
        <v>2019</v>
      </c>
      <c r="E24" s="111">
        <v>111</v>
      </c>
      <c r="F24" s="55">
        <v>479</v>
      </c>
      <c r="G24" s="57">
        <f t="shared" si="0"/>
        <v>590</v>
      </c>
    </row>
    <row r="25" spans="2:7" ht="15.75" x14ac:dyDescent="0.25">
      <c r="B25" s="81">
        <v>21</v>
      </c>
      <c r="C25" s="81">
        <v>4</v>
      </c>
      <c r="D25" s="81">
        <f t="shared" si="1"/>
        <v>2019</v>
      </c>
      <c r="E25" s="111">
        <v>117</v>
      </c>
      <c r="F25" s="55">
        <v>497</v>
      </c>
      <c r="G25" s="57">
        <f t="shared" si="0"/>
        <v>614</v>
      </c>
    </row>
    <row r="26" spans="2:7" ht="15.75" x14ac:dyDescent="0.25">
      <c r="B26" s="81">
        <v>22</v>
      </c>
      <c r="C26" s="81">
        <v>4</v>
      </c>
      <c r="D26" s="81">
        <f t="shared" si="1"/>
        <v>2019</v>
      </c>
      <c r="E26" s="111">
        <v>123</v>
      </c>
      <c r="F26" s="55">
        <v>525</v>
      </c>
      <c r="G26" s="57">
        <f t="shared" si="0"/>
        <v>648</v>
      </c>
    </row>
    <row r="27" spans="2:7" ht="15.75" x14ac:dyDescent="0.25">
      <c r="B27" s="81">
        <v>23</v>
      </c>
      <c r="C27" s="81">
        <v>4</v>
      </c>
      <c r="D27" s="81">
        <f t="shared" si="1"/>
        <v>2019</v>
      </c>
      <c r="E27" s="111">
        <v>77</v>
      </c>
      <c r="F27" s="55">
        <v>333</v>
      </c>
      <c r="G27" s="57">
        <f t="shared" si="0"/>
        <v>410</v>
      </c>
    </row>
    <row r="28" spans="2:7" ht="15.75" x14ac:dyDescent="0.25">
      <c r="B28" s="81">
        <v>24</v>
      </c>
      <c r="C28" s="81">
        <v>4</v>
      </c>
      <c r="D28" s="81">
        <f t="shared" si="1"/>
        <v>2019</v>
      </c>
      <c r="E28" s="111">
        <v>49</v>
      </c>
      <c r="F28" s="55">
        <v>218</v>
      </c>
      <c r="G28" s="57">
        <f t="shared" si="0"/>
        <v>267</v>
      </c>
    </row>
    <row r="29" spans="2:7" ht="15.75" x14ac:dyDescent="0.25">
      <c r="B29" s="81">
        <v>25</v>
      </c>
      <c r="C29" s="81">
        <v>4</v>
      </c>
      <c r="D29" s="81">
        <f t="shared" si="1"/>
        <v>2019</v>
      </c>
      <c r="E29" s="111">
        <v>60</v>
      </c>
      <c r="F29" s="55">
        <v>257</v>
      </c>
      <c r="G29" s="57">
        <f t="shared" si="0"/>
        <v>317</v>
      </c>
    </row>
    <row r="30" spans="2:7" ht="15.75" x14ac:dyDescent="0.25">
      <c r="B30" s="81">
        <v>26</v>
      </c>
      <c r="C30" s="81">
        <v>4</v>
      </c>
      <c r="D30" s="81">
        <f t="shared" si="1"/>
        <v>2019</v>
      </c>
      <c r="E30" s="111">
        <v>83</v>
      </c>
      <c r="F30" s="55">
        <v>350</v>
      </c>
      <c r="G30" s="57">
        <f t="shared" si="0"/>
        <v>433</v>
      </c>
    </row>
    <row r="31" spans="2:7" ht="15.75" x14ac:dyDescent="0.25">
      <c r="B31" s="81">
        <v>27</v>
      </c>
      <c r="C31" s="81">
        <v>4</v>
      </c>
      <c r="D31" s="81">
        <f t="shared" si="1"/>
        <v>2019</v>
      </c>
      <c r="E31" s="111">
        <v>43</v>
      </c>
      <c r="F31" s="55">
        <v>188</v>
      </c>
      <c r="G31" s="57">
        <f t="shared" si="0"/>
        <v>231</v>
      </c>
    </row>
    <row r="32" spans="2:7" ht="15.75" x14ac:dyDescent="0.25">
      <c r="B32" s="81">
        <v>28</v>
      </c>
      <c r="C32" s="81">
        <v>4</v>
      </c>
      <c r="D32" s="81">
        <f t="shared" si="1"/>
        <v>2019</v>
      </c>
      <c r="E32" s="111">
        <v>47</v>
      </c>
      <c r="F32" s="55">
        <v>208</v>
      </c>
      <c r="G32" s="57">
        <f t="shared" si="0"/>
        <v>255</v>
      </c>
    </row>
    <row r="33" spans="2:9" ht="15.75" x14ac:dyDescent="0.25">
      <c r="B33" s="81">
        <v>29</v>
      </c>
      <c r="C33" s="81">
        <v>4</v>
      </c>
      <c r="D33" s="81">
        <f t="shared" si="1"/>
        <v>2019</v>
      </c>
      <c r="E33" s="111">
        <v>92</v>
      </c>
      <c r="F33" s="55">
        <v>376</v>
      </c>
      <c r="G33" s="57">
        <f t="shared" si="0"/>
        <v>468</v>
      </c>
    </row>
    <row r="34" spans="2:9" ht="15.75" x14ac:dyDescent="0.25">
      <c r="B34" s="81">
        <v>30</v>
      </c>
      <c r="C34" s="81">
        <v>4</v>
      </c>
      <c r="D34" s="81">
        <f t="shared" si="1"/>
        <v>2019</v>
      </c>
      <c r="E34" s="111">
        <v>46</v>
      </c>
      <c r="F34" s="55">
        <v>222</v>
      </c>
      <c r="G34" s="57">
        <f t="shared" si="0"/>
        <v>268</v>
      </c>
    </row>
    <row r="35" spans="2:9" x14ac:dyDescent="0.25">
      <c r="B35" s="66"/>
      <c r="C35" s="66"/>
      <c r="D35" s="66"/>
      <c r="E35" s="66"/>
      <c r="F35" s="66"/>
      <c r="G35" s="61"/>
    </row>
    <row r="36" spans="2:9" ht="21" x14ac:dyDescent="0.35">
      <c r="B36" s="67"/>
      <c r="C36" s="67"/>
      <c r="D36" s="67"/>
      <c r="E36" s="14">
        <f>SUM(E5:E35)</f>
        <v>3132</v>
      </c>
      <c r="F36" s="14">
        <f>SUM(F5:F35)</f>
        <v>13547</v>
      </c>
      <c r="G36" s="14">
        <f>SUM(G5:G34)</f>
        <v>16679</v>
      </c>
    </row>
    <row r="37" spans="2:9" x14ac:dyDescent="0.25">
      <c r="I37" s="69"/>
    </row>
    <row r="38" spans="2:9" x14ac:dyDescent="0.25">
      <c r="I38" s="69"/>
    </row>
    <row r="39" spans="2:9" ht="15.75" thickBot="1" x14ac:dyDescent="0.3"/>
    <row r="40" spans="2:9" ht="21.75" thickBot="1" x14ac:dyDescent="0.4">
      <c r="C40" s="73"/>
      <c r="D40" s="73"/>
      <c r="F40" s="73"/>
      <c r="G40" s="70">
        <f>E36+F36</f>
        <v>16679</v>
      </c>
      <c r="H40" s="71"/>
    </row>
    <row r="41" spans="2:9" ht="15.75" x14ac:dyDescent="0.25">
      <c r="B41" s="73"/>
      <c r="C41" s="73"/>
      <c r="D41" s="73"/>
      <c r="E41" s="73"/>
      <c r="F41" s="73"/>
      <c r="G41" s="72"/>
      <c r="H41" s="71"/>
    </row>
    <row r="42" spans="2:9" ht="15.75" x14ac:dyDescent="0.25">
      <c r="B42" s="73"/>
      <c r="C42" s="73"/>
      <c r="D42" s="73"/>
      <c r="E42" s="73"/>
      <c r="F42" s="73"/>
      <c r="G42" s="72"/>
      <c r="H42" s="71"/>
    </row>
    <row r="43" spans="2:9" ht="15.75" x14ac:dyDescent="0.25">
      <c r="B43" s="73" t="s">
        <v>4</v>
      </c>
      <c r="C43" s="73"/>
      <c r="D43" s="73"/>
      <c r="F43" s="82" t="s">
        <v>19</v>
      </c>
      <c r="G43" s="74">
        <v>12550</v>
      </c>
      <c r="H43" s="75"/>
    </row>
    <row r="44" spans="2:9" x14ac:dyDescent="0.25">
      <c r="G44" s="72"/>
    </row>
    <row r="45" spans="2:9" ht="15.75" thickBot="1" x14ac:dyDescent="0.3">
      <c r="G45" s="72"/>
    </row>
    <row r="46" spans="2:9" ht="27" thickBot="1" x14ac:dyDescent="0.3">
      <c r="F46" s="73" t="s">
        <v>5</v>
      </c>
      <c r="G46" s="77">
        <f>G40*G43</f>
        <v>209321450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2023-03-10T08:57:41Z</dcterms:modified>
</cp:coreProperties>
</file>