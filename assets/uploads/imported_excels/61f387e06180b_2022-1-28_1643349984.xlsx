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8" i="3" l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F29" i="3"/>
  <c r="E28" i="3" l="1"/>
  <c r="F28" i="3" l="1"/>
  <c r="E27" i="3" l="1"/>
  <c r="F27" i="3" l="1"/>
  <c r="E26" i="3"/>
  <c r="F26" i="3" l="1"/>
  <c r="E25" i="3"/>
  <c r="F25" i="3" l="1"/>
  <c r="F24" i="3" l="1"/>
  <c r="E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B35" i="4"/>
  <c r="BK27" i="3" s="1"/>
  <c r="EZ35" i="4"/>
  <c r="EX35" i="4"/>
  <c r="EV35" i="4"/>
  <c r="BH27" i="3" s="1"/>
  <c r="ET35" i="4"/>
  <c r="ER35" i="4"/>
  <c r="EQ35" i="4"/>
  <c r="BC27" i="3" s="1"/>
  <c r="EP35" i="4"/>
  <c r="EO35" i="4"/>
  <c r="BF27" i="3" s="1"/>
  <c r="EN35" i="4"/>
  <c r="EM35" i="4"/>
  <c r="EL35" i="4"/>
  <c r="EK35" i="4"/>
  <c r="BD27" i="3" s="1"/>
  <c r="EJ35" i="4"/>
  <c r="EI35" i="4"/>
  <c r="BB27" i="3" s="1"/>
  <c r="EH35" i="4"/>
  <c r="EG35" i="4"/>
  <c r="EE35" i="4"/>
  <c r="ED35" i="4"/>
  <c r="AZ27" i="3" s="1"/>
  <c r="EC35" i="4"/>
  <c r="EB35" i="4"/>
  <c r="AY27" i="3" s="1"/>
  <c r="EA35" i="4"/>
  <c r="DZ35" i="4"/>
  <c r="DY35" i="4"/>
  <c r="DX35" i="4"/>
  <c r="AW27" i="3" s="1"/>
  <c r="DW35" i="4"/>
  <c r="DV35" i="4"/>
  <c r="DU35" i="4"/>
  <c r="DT35" i="4"/>
  <c r="DR35" i="4"/>
  <c r="DQ35" i="4"/>
  <c r="AT27" i="3" s="1"/>
  <c r="DP35" i="4"/>
  <c r="DO35" i="4"/>
  <c r="DN35" i="4"/>
  <c r="DM35" i="4"/>
  <c r="DL35" i="4"/>
  <c r="DK35" i="4"/>
  <c r="AP27" i="3" s="1"/>
  <c r="DJ35" i="4"/>
  <c r="DI35" i="4"/>
  <c r="DH35" i="4"/>
  <c r="DG35" i="4"/>
  <c r="DF35" i="4"/>
  <c r="DE35" i="4"/>
  <c r="AO27" i="3" s="1"/>
  <c r="DD35" i="4"/>
  <c r="DC35" i="4"/>
  <c r="DB35" i="4"/>
  <c r="DA35" i="4"/>
  <c r="CZ35" i="4"/>
  <c r="CY35" i="4"/>
  <c r="AJ27" i="3" s="1"/>
  <c r="CW35" i="4"/>
  <c r="CU35" i="4"/>
  <c r="CT35" i="4"/>
  <c r="AC27" i="3" s="1"/>
  <c r="CS35" i="4"/>
  <c r="CR35" i="4"/>
  <c r="CQ35" i="4"/>
  <c r="AB27" i="3" s="1"/>
  <c r="CP35" i="4"/>
  <c r="CO35" i="4"/>
  <c r="CN35" i="4"/>
  <c r="AA27" i="3" s="1"/>
  <c r="CM35" i="4"/>
  <c r="CL35" i="4"/>
  <c r="CK35" i="4"/>
  <c r="Z27" i="3" s="1"/>
  <c r="CJ35" i="4"/>
  <c r="CI35" i="4"/>
  <c r="AI27" i="3" s="1"/>
  <c r="CH35" i="4"/>
  <c r="CG35" i="4"/>
  <c r="CF35" i="4"/>
  <c r="CE35" i="4"/>
  <c r="AG27" i="3" s="1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W27" i="3" s="1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S27" i="3" s="1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O27" i="3" s="1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BJ26" i="3" s="1"/>
  <c r="EW34" i="4"/>
  <c r="EV34" i="4"/>
  <c r="EU34" i="4"/>
  <c r="ET34" i="4"/>
  <c r="ER34" i="4"/>
  <c r="EQ34" i="4"/>
  <c r="BC26" i="3" s="1"/>
  <c r="EP34" i="4"/>
  <c r="EO34" i="4"/>
  <c r="EN34" i="4"/>
  <c r="EM34" i="4"/>
  <c r="EL34" i="4"/>
  <c r="EK34" i="4"/>
  <c r="BD26" i="3" s="1"/>
  <c r="EJ34" i="4"/>
  <c r="EI34" i="4"/>
  <c r="EH34" i="4"/>
  <c r="EG34" i="4"/>
  <c r="EE34" i="4"/>
  <c r="ED34" i="4"/>
  <c r="AZ26" i="3" s="1"/>
  <c r="EC34" i="4"/>
  <c r="EB34" i="4"/>
  <c r="EA34" i="4"/>
  <c r="DZ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AB26" i="3" s="1"/>
  <c r="CP34" i="4"/>
  <c r="CO34" i="4"/>
  <c r="CN34" i="4"/>
  <c r="CM34" i="4"/>
  <c r="CL34" i="4"/>
  <c r="CK34" i="4"/>
  <c r="Z26" i="3" s="1"/>
  <c r="CJ34" i="4"/>
  <c r="CI34" i="4"/>
  <c r="CH34" i="4"/>
  <c r="CG34" i="4"/>
  <c r="CF34" i="4"/>
  <c r="CE34" i="4"/>
  <c r="AG26" i="3" s="1"/>
  <c r="CD34" i="4"/>
  <c r="CC34" i="4"/>
  <c r="CB34" i="4"/>
  <c r="CA34" i="4"/>
  <c r="BZ34" i="4"/>
  <c r="BY34" i="4"/>
  <c r="AD26" i="3" s="1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BI25" i="3" s="1"/>
  <c r="EY33" i="4"/>
  <c r="EX33" i="4"/>
  <c r="EW33" i="4"/>
  <c r="EV33" i="4"/>
  <c r="EU33" i="4"/>
  <c r="ET33" i="4"/>
  <c r="BG25" i="3" s="1"/>
  <c r="ER33" i="4"/>
  <c r="EQ33" i="4"/>
  <c r="EP33" i="4"/>
  <c r="EO33" i="4"/>
  <c r="EN33" i="4"/>
  <c r="EM33" i="4"/>
  <c r="BE25" i="3" s="1"/>
  <c r="EL33" i="4"/>
  <c r="EK33" i="4"/>
  <c r="EJ33" i="4"/>
  <c r="EI33" i="4"/>
  <c r="EH33" i="4"/>
  <c r="EG33" i="4"/>
  <c r="BA25" i="3" s="1"/>
  <c r="EE33" i="4"/>
  <c r="ED33" i="4"/>
  <c r="EC33" i="4"/>
  <c r="EB33" i="4"/>
  <c r="EA33" i="4"/>
  <c r="DZ33" i="4"/>
  <c r="AX25" i="3" s="1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AH25" i="3" s="1"/>
  <c r="CF33" i="4"/>
  <c r="CE33" i="4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BK24" i="3" s="1"/>
  <c r="FA32" i="4"/>
  <c r="EZ32" i="4"/>
  <c r="EY32" i="4"/>
  <c r="EX32" i="4"/>
  <c r="EW32" i="4"/>
  <c r="EV32" i="4"/>
  <c r="BH24" i="3" s="1"/>
  <c r="EU32" i="4"/>
  <c r="ET32" i="4"/>
  <c r="ER32" i="4"/>
  <c r="EQ32" i="4"/>
  <c r="EP32" i="4"/>
  <c r="EO32" i="4"/>
  <c r="BF24" i="3" s="1"/>
  <c r="EN32" i="4"/>
  <c r="EM32" i="4"/>
  <c r="EL32" i="4"/>
  <c r="EK32" i="4"/>
  <c r="EJ32" i="4"/>
  <c r="EI32" i="4"/>
  <c r="BB24" i="3" s="1"/>
  <c r="EH32" i="4"/>
  <c r="EG32" i="4"/>
  <c r="EE32" i="4"/>
  <c r="ED32" i="4"/>
  <c r="EC32" i="4"/>
  <c r="EB32" i="4"/>
  <c r="AY24" i="3" s="1"/>
  <c r="EA32" i="4"/>
  <c r="DZ32" i="4"/>
  <c r="DY32" i="4"/>
  <c r="DX32" i="4"/>
  <c r="DW32" i="4"/>
  <c r="DV32" i="4"/>
  <c r="DU32" i="4"/>
  <c r="DT32" i="4"/>
  <c r="DR32" i="4"/>
  <c r="DQ32" i="4"/>
  <c r="DP32" i="4"/>
  <c r="DO32" i="4"/>
  <c r="AR24" i="3" s="1"/>
  <c r="DN32" i="4"/>
  <c r="DM32" i="4"/>
  <c r="DL32" i="4"/>
  <c r="DK32" i="4"/>
  <c r="DJ32" i="4"/>
  <c r="DI32" i="4"/>
  <c r="AQ24" i="3" s="1"/>
  <c r="DH32" i="4"/>
  <c r="DG32" i="4"/>
  <c r="DF32" i="4"/>
  <c r="DE32" i="4"/>
  <c r="DD32" i="4"/>
  <c r="DC32" i="4"/>
  <c r="AL24" i="3" s="1"/>
  <c r="DB32" i="4"/>
  <c r="DA32" i="4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AH23" i="3" s="1"/>
  <c r="CF31" i="4"/>
  <c r="CE31" i="4"/>
  <c r="CD31" i="4"/>
  <c r="CC31" i="4"/>
  <c r="CB31" i="4"/>
  <c r="CA31" i="4"/>
  <c r="AE23" i="3" s="1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L23" i="3" s="1"/>
  <c r="Q31" i="4"/>
  <c r="P31" i="4"/>
  <c r="O31" i="4"/>
  <c r="N31" i="4"/>
  <c r="M31" i="4"/>
  <c r="L31" i="4"/>
  <c r="K31" i="4"/>
  <c r="J31" i="4"/>
  <c r="I31" i="4"/>
  <c r="H31" i="4"/>
  <c r="G31" i="4"/>
  <c r="F31" i="4"/>
  <c r="H23" i="3" s="1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Q22" i="4"/>
  <c r="EO22" i="4"/>
  <c r="EM22" i="4"/>
  <c r="EK22" i="4"/>
  <c r="EI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L27" i="3" l="1"/>
  <c r="AQ27" i="3"/>
  <c r="AR27" i="3"/>
  <c r="BJ27" i="3"/>
  <c r="G27" i="3"/>
  <c r="K27" i="3"/>
  <c r="AK27" i="3"/>
  <c r="BI27" i="3"/>
  <c r="I27" i="3"/>
  <c r="J27" i="3"/>
  <c r="N27" i="3"/>
  <c r="P27" i="3"/>
  <c r="R27" i="3"/>
  <c r="T27" i="3"/>
  <c r="V27" i="3"/>
  <c r="X27" i="3"/>
  <c r="H27" i="3"/>
  <c r="L27" i="3"/>
  <c r="AE27" i="3"/>
  <c r="AH27" i="3"/>
  <c r="AM27" i="3"/>
  <c r="AN27" i="3"/>
  <c r="AS27" i="3"/>
  <c r="AU27" i="3"/>
  <c r="AX27" i="3"/>
  <c r="BA27" i="3"/>
  <c r="BE27" i="3"/>
  <c r="BG27" i="3"/>
  <c r="J26" i="3"/>
  <c r="I26" i="3"/>
  <c r="N26" i="3"/>
  <c r="P26" i="3"/>
  <c r="R26" i="3"/>
  <c r="T26" i="3"/>
  <c r="V26" i="3"/>
  <c r="X26" i="3"/>
  <c r="AJ26" i="3"/>
  <c r="AO26" i="3"/>
  <c r="AP26" i="3"/>
  <c r="AT26" i="3"/>
  <c r="AW26" i="3"/>
  <c r="H26" i="3"/>
  <c r="L26" i="3"/>
  <c r="AE26" i="3"/>
  <c r="AH26" i="3"/>
  <c r="AX26" i="3"/>
  <c r="BA26" i="3"/>
  <c r="BE26" i="3"/>
  <c r="BG26" i="3"/>
  <c r="BI26" i="3"/>
  <c r="AA26" i="3"/>
  <c r="AC26" i="3"/>
  <c r="AM26" i="3"/>
  <c r="AN26" i="3"/>
  <c r="AS26" i="3"/>
  <c r="AU26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AZ25" i="3"/>
  <c r="BD25" i="3"/>
  <c r="BC25" i="3"/>
  <c r="BJ25" i="3"/>
  <c r="M26" i="3"/>
  <c r="O26" i="3"/>
  <c r="Q26" i="3"/>
  <c r="S26" i="3"/>
  <c r="U26" i="3"/>
  <c r="W26" i="3"/>
  <c r="Y26" i="3"/>
  <c r="AF26" i="3"/>
  <c r="AI26" i="3"/>
  <c r="AY26" i="3"/>
  <c r="BB26" i="3"/>
  <c r="BF26" i="3"/>
  <c r="BH26" i="3"/>
  <c r="BK26" i="3"/>
  <c r="G26" i="3"/>
  <c r="K26" i="3"/>
  <c r="AK26" i="3"/>
  <c r="AL26" i="3"/>
  <c r="AQ26" i="3"/>
  <c r="AR26" i="3"/>
  <c r="AA25" i="3"/>
  <c r="AC25" i="3"/>
  <c r="AM25" i="3"/>
  <c r="AN25" i="3"/>
  <c r="AS25" i="3"/>
  <c r="AU25" i="3"/>
  <c r="M23" i="3"/>
  <c r="O23" i="3"/>
  <c r="Q23" i="3"/>
  <c r="S23" i="3"/>
  <c r="U23" i="3"/>
  <c r="W23" i="3"/>
  <c r="Y23" i="3"/>
  <c r="AF23" i="3"/>
  <c r="AI23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AY25" i="3"/>
  <c r="BB25" i="3"/>
  <c r="BF25" i="3"/>
  <c r="BH25" i="3"/>
  <c r="BK25" i="3"/>
  <c r="G25" i="3"/>
  <c r="K25" i="3"/>
  <c r="AK25" i="3"/>
  <c r="AL25" i="3"/>
  <c r="AQ25" i="3"/>
  <c r="AR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I24" i="3"/>
  <c r="J24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K20" i="3"/>
  <c r="AL20" i="3"/>
  <c r="AQ20" i="3"/>
  <c r="AR20" i="3"/>
  <c r="AY20" i="3"/>
  <c r="BB20" i="3"/>
  <c r="AA21" i="3"/>
  <c r="AC21" i="3"/>
  <c r="AM21" i="3"/>
  <c r="AN21" i="3"/>
  <c r="AS21" i="3"/>
  <c r="AU21" i="3"/>
  <c r="AX21" i="3"/>
  <c r="BA21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A22" i="3"/>
  <c r="AC22" i="3"/>
  <c r="AM22" i="3"/>
  <c r="AN22" i="3"/>
  <c r="AS22" i="3"/>
  <c r="AU22" i="3"/>
  <c r="AX22" i="3"/>
  <c r="BA22" i="3"/>
  <c r="BE22" i="3"/>
  <c r="BG22" i="3"/>
  <c r="BI22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M21" i="3"/>
  <c r="O21" i="3"/>
  <c r="Q21" i="3"/>
  <c r="S21" i="3"/>
  <c r="U21" i="3"/>
  <c r="W21" i="3"/>
  <c r="Y21" i="3"/>
  <c r="AF21" i="3"/>
  <c r="AI21" i="3"/>
  <c r="BF21" i="3"/>
  <c r="BH21" i="3"/>
  <c r="BK21" i="3"/>
  <c r="G21" i="3"/>
  <c r="K21" i="3"/>
  <c r="AK21" i="3"/>
  <c r="AL21" i="3"/>
  <c r="AQ21" i="3"/>
  <c r="AR21" i="3"/>
  <c r="AY21" i="3"/>
  <c r="BB21" i="3"/>
  <c r="AD21" i="3"/>
  <c r="AG21" i="3"/>
  <c r="Z21" i="3"/>
  <c r="AB21" i="3"/>
  <c r="BD21" i="3"/>
  <c r="BC21" i="3"/>
  <c r="BJ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H21" i="3"/>
  <c r="L21" i="3"/>
  <c r="AE21" i="3"/>
  <c r="AH21" i="3"/>
  <c r="BE21" i="3"/>
  <c r="BG21" i="3"/>
  <c r="BI21" i="3"/>
  <c r="AD20" i="3"/>
  <c r="AG20" i="3"/>
  <c r="Z20" i="3"/>
  <c r="AB20" i="3"/>
  <c r="BD20" i="3"/>
  <c r="BC20" i="3"/>
  <c r="BJ20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H20" i="3"/>
  <c r="L20" i="3"/>
  <c r="AE20" i="3"/>
  <c r="AH20" i="3"/>
  <c r="BE20" i="3"/>
  <c r="BG20" i="3"/>
  <c r="BI20" i="3"/>
  <c r="G20" i="3"/>
  <c r="AA20" i="3"/>
  <c r="AC20" i="3"/>
  <c r="AM20" i="3"/>
  <c r="AN20" i="3"/>
  <c r="AS20" i="3"/>
  <c r="AU20" i="3"/>
  <c r="AX20" i="3"/>
  <c r="BA20" i="3"/>
  <c r="K20" i="3"/>
  <c r="M20" i="3"/>
  <c r="O20" i="3"/>
  <c r="Q20" i="3"/>
  <c r="S20" i="3"/>
  <c r="U20" i="3"/>
  <c r="W20" i="3"/>
  <c r="Y20" i="3"/>
  <c r="AF20" i="3"/>
  <c r="AI20" i="3"/>
  <c r="BF20" i="3"/>
  <c r="BH20" i="3"/>
  <c r="BK20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J19" i="3"/>
  <c r="I19" i="3"/>
  <c r="N19" i="3"/>
  <c r="P19" i="3"/>
  <c r="AA19" i="3"/>
  <c r="AC19" i="3"/>
  <c r="AM19" i="3"/>
  <c r="AN19" i="3"/>
  <c r="AS19" i="3"/>
  <c r="AU19" i="3"/>
  <c r="AX19" i="3"/>
  <c r="BA19" i="3"/>
  <c r="BE19" i="3"/>
  <c r="BG19" i="3"/>
  <c r="H18" i="3"/>
  <c r="L18" i="3"/>
  <c r="Q18" i="3"/>
  <c r="S18" i="3"/>
  <c r="U18" i="3"/>
  <c r="W18" i="3"/>
  <c r="Y18" i="3"/>
  <c r="AF18" i="3"/>
  <c r="AI18" i="3"/>
  <c r="BH18" i="3"/>
  <c r="BK18" i="3"/>
  <c r="H19" i="3"/>
  <c r="L19" i="3"/>
  <c r="Q19" i="3"/>
  <c r="S19" i="3"/>
  <c r="U19" i="3"/>
  <c r="W19" i="3"/>
  <c r="Y19" i="3"/>
  <c r="AF19" i="3"/>
  <c r="AI19" i="3"/>
  <c r="BH19" i="3"/>
  <c r="BK19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AK19" i="3"/>
  <c r="AL19" i="3"/>
  <c r="AQ19" i="3"/>
  <c r="AR19" i="3"/>
  <c r="AY19" i="3"/>
  <c r="BB19" i="3"/>
  <c r="BF19" i="3"/>
  <c r="M18" i="3"/>
  <c r="O18" i="3"/>
  <c r="AD18" i="3"/>
  <c r="AG18" i="3"/>
  <c r="Z18" i="3"/>
  <c r="AB18" i="3"/>
  <c r="BJ18" i="3"/>
  <c r="M19" i="3"/>
  <c r="O19" i="3"/>
  <c r="AD19" i="3"/>
  <c r="AG19" i="3"/>
  <c r="Z19" i="3"/>
  <c r="AB19" i="3"/>
  <c r="BJ19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G19" i="3"/>
  <c r="K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AE18" i="3"/>
  <c r="AH18" i="3"/>
  <c r="BI18" i="3"/>
  <c r="AE19" i="3"/>
  <c r="AH19" i="3"/>
  <c r="BI19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s="1"/>
  <c r="BC51" i="4" l="1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s="1"/>
  <c r="AM50" i="4" s="1"/>
  <c r="AD47" i="4" l="1"/>
  <c r="AD49" i="4" l="1"/>
  <c r="AA50" i="4"/>
  <c r="AV50" i="4" s="1"/>
  <c r="EJ28" i="4" l="1"/>
  <c r="EJ29" i="4"/>
  <c r="DY33" i="4" l="1"/>
  <c r="DY34" i="4"/>
  <c r="CX35" i="4" l="1"/>
  <c r="CX36" i="4"/>
  <c r="EU35" i="4"/>
  <c r="EU36" i="4"/>
  <c r="EW35" i="4"/>
  <c r="EW36" i="4"/>
  <c r="EY35" i="4"/>
  <c r="EY36" i="4"/>
  <c r="FA35" i="4"/>
  <c r="FA36" i="4"/>
  <c r="FC35" i="4"/>
  <c r="FC36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</authors>
  <commentList>
    <comment ref="G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<sst xmlns="http://schemas.openxmlformats.org/spreadsheetml/2006/main" count="412" uniqueCount="203">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</sst>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B27">
            <v>0.56000000000000005</v>
          </cell>
          <cell r="E27">
            <v>950872</v>
          </cell>
          <cell r="F27">
            <v>556</v>
          </cell>
          <cell r="G27">
            <v>473</v>
          </cell>
          <cell r="H27">
            <v>108985</v>
          </cell>
          <cell r="I27">
            <v>400</v>
          </cell>
          <cell r="J27">
            <v>373</v>
          </cell>
          <cell r="K27">
            <v>164625</v>
          </cell>
          <cell r="L27">
            <v>0</v>
          </cell>
          <cell r="N27">
            <v>825017</v>
          </cell>
          <cell r="O27">
            <v>129</v>
          </cell>
          <cell r="Q27">
            <v>193402</v>
          </cell>
          <cell r="R27">
            <v>0</v>
          </cell>
          <cell r="S27">
            <v>56232.44</v>
          </cell>
          <cell r="T27">
            <v>93.340000000003783</v>
          </cell>
          <cell r="U27">
            <v>41</v>
          </cell>
          <cell r="V27">
            <v>4351</v>
          </cell>
          <cell r="W27">
            <v>11</v>
          </cell>
          <cell r="AC27">
            <v>7273749.8399999999</v>
          </cell>
          <cell r="AD27">
            <v>2046.2400000002235</v>
          </cell>
          <cell r="AF27">
            <v>13940789.52</v>
          </cell>
          <cell r="AG27">
            <v>4823.2799999993294</v>
          </cell>
          <cell r="AI27">
            <v>13824153.84</v>
          </cell>
          <cell r="AJ27">
            <v>10036.320000000298</v>
          </cell>
          <cell r="AL27">
            <v>16758462</v>
          </cell>
          <cell r="AM27">
            <v>0</v>
          </cell>
          <cell r="AO27">
            <v>17276647.919999998</v>
          </cell>
          <cell r="AP27">
            <v>1120.5599999986589</v>
          </cell>
          <cell r="AR27">
            <v>15713369.280000001</v>
          </cell>
          <cell r="AS27">
            <v>5310.4800000023097</v>
          </cell>
          <cell r="AU27">
            <v>13350546.719999999</v>
          </cell>
          <cell r="AV27">
            <v>3800.160000000149</v>
          </cell>
          <cell r="AX27">
            <v>12834553.199999999</v>
          </cell>
          <cell r="AY27">
            <v>4043.7599999997765</v>
          </cell>
          <cell r="BA27">
            <v>10219020</v>
          </cell>
          <cell r="BB27">
            <v>2923.2000000011176</v>
          </cell>
          <cell r="BD27">
            <v>15882086.640000001</v>
          </cell>
          <cell r="BE27">
            <v>5164.3200000021607</v>
          </cell>
          <cell r="BK27">
            <v>68601000</v>
          </cell>
          <cell r="BL27">
            <v>50800</v>
          </cell>
          <cell r="BN27">
            <v>70700300</v>
          </cell>
          <cell r="BO27">
            <v>0</v>
          </cell>
          <cell r="BQ27">
            <v>65863100</v>
          </cell>
          <cell r="BR27">
            <v>0</v>
          </cell>
          <cell r="BT27">
            <v>7944860</v>
          </cell>
          <cell r="BU27">
            <v>6540</v>
          </cell>
          <cell r="BW27">
            <v>0.56000000000000005</v>
          </cell>
          <cell r="BX27">
            <v>7.999999999999996E-2</v>
          </cell>
          <cell r="BZ27">
            <v>57887</v>
          </cell>
          <cell r="CA27">
            <v>17</v>
          </cell>
          <cell r="CB27">
            <v>49325</v>
          </cell>
          <cell r="CC27">
            <v>21</v>
          </cell>
          <cell r="CD27">
            <v>16917</v>
          </cell>
          <cell r="CE27">
            <v>4</v>
          </cell>
          <cell r="CF27">
            <v>22513</v>
          </cell>
          <cell r="CG27">
            <v>10</v>
          </cell>
          <cell r="CH27">
            <v>24532</v>
          </cell>
          <cell r="CI27">
            <v>10</v>
          </cell>
          <cell r="CJ27">
            <v>54410</v>
          </cell>
          <cell r="CK27">
            <v>17</v>
          </cell>
          <cell r="CL27">
            <v>238365</v>
          </cell>
          <cell r="CM27">
            <v>108</v>
          </cell>
          <cell r="CO27">
            <v>184756</v>
          </cell>
          <cell r="CP27">
            <v>115</v>
          </cell>
          <cell r="CR27">
            <v>330377</v>
          </cell>
          <cell r="CS27">
            <v>254</v>
          </cell>
          <cell r="CU27">
            <v>629514</v>
          </cell>
          <cell r="CV27">
            <v>289</v>
          </cell>
          <cell r="CX27">
            <v>6745</v>
          </cell>
          <cell r="CY27">
            <v>9</v>
          </cell>
          <cell r="CZ27">
            <v>4219</v>
          </cell>
          <cell r="DA27">
            <v>7</v>
          </cell>
          <cell r="DB27">
            <v>27590</v>
          </cell>
          <cell r="DC27">
            <v>16</v>
          </cell>
          <cell r="DD27">
            <v>28202</v>
          </cell>
          <cell r="DE27">
            <v>28</v>
          </cell>
          <cell r="DF27">
            <v>19021</v>
          </cell>
          <cell r="DG27">
            <v>6</v>
          </cell>
          <cell r="DH27">
            <v>22132</v>
          </cell>
          <cell r="DI27">
            <v>10</v>
          </cell>
          <cell r="DJ27">
            <v>3631</v>
          </cell>
          <cell r="DK27">
            <v>4</v>
          </cell>
          <cell r="DL27">
            <v>7307</v>
          </cell>
          <cell r="DM27">
            <v>19</v>
          </cell>
          <cell r="DN27">
            <v>1984</v>
          </cell>
          <cell r="DO27">
            <v>5</v>
          </cell>
          <cell r="DP27">
            <v>3884</v>
          </cell>
          <cell r="DQ27">
            <v>9</v>
          </cell>
          <cell r="DR27">
            <v>26492</v>
          </cell>
          <cell r="DS27">
            <v>3</v>
          </cell>
          <cell r="DU27">
            <v>3473.3</v>
          </cell>
          <cell r="DV27">
            <v>7.5</v>
          </cell>
          <cell r="DW27">
            <v>8494.1</v>
          </cell>
          <cell r="DX27">
            <v>5.8999999999996362</v>
          </cell>
          <cell r="DY27">
            <v>2624.6</v>
          </cell>
          <cell r="DZ27">
            <v>6.4000000000000909</v>
          </cell>
          <cell r="EA27">
            <v>2759.4</v>
          </cell>
          <cell r="EB27">
            <v>6.0999999999999091</v>
          </cell>
          <cell r="EC27">
            <v>895748</v>
          </cell>
          <cell r="ED27">
            <v>521</v>
          </cell>
          <cell r="EG27">
            <v>182590</v>
          </cell>
          <cell r="EH27">
            <v>138.60000000000582</v>
          </cell>
          <cell r="EJ27">
            <v>10535800</v>
          </cell>
          <cell r="EK27">
            <v>3700</v>
          </cell>
          <cell r="EL27">
            <v>837830</v>
          </cell>
          <cell r="EM27">
            <v>380</v>
          </cell>
          <cell r="EN27">
            <v>6438500</v>
          </cell>
          <cell r="EO27">
            <v>1600</v>
          </cell>
          <cell r="EP27">
            <v>2265100</v>
          </cell>
          <cell r="EQ27">
            <v>500</v>
          </cell>
          <cell r="ER27">
            <v>1022280</v>
          </cell>
          <cell r="ES27">
            <v>980</v>
          </cell>
          <cell r="ET27">
            <v>14396900</v>
          </cell>
          <cell r="EU27">
            <v>5400</v>
          </cell>
          <cell r="EW27">
            <v>38115</v>
          </cell>
          <cell r="EX27">
            <v>13</v>
          </cell>
          <cell r="EY27">
            <v>33027</v>
          </cell>
          <cell r="EZ27">
            <v>11</v>
          </cell>
          <cell r="FA27">
            <v>4114</v>
          </cell>
          <cell r="FB27">
            <v>10</v>
          </cell>
          <cell r="FC27">
            <v>54909</v>
          </cell>
          <cell r="FD27">
            <v>19</v>
          </cell>
          <cell r="FE27">
            <v>39067</v>
          </cell>
          <cell r="FF27">
            <v>32</v>
          </cell>
        </row>
        <row r="28">
          <cell r="B28">
            <v>0.56999999999999995</v>
          </cell>
          <cell r="E28">
            <v>951326</v>
          </cell>
          <cell r="F28">
            <v>454</v>
          </cell>
          <cell r="G28">
            <v>499</v>
          </cell>
          <cell r="H28">
            <v>109340</v>
          </cell>
          <cell r="I28">
            <v>355</v>
          </cell>
          <cell r="J28">
            <v>422</v>
          </cell>
          <cell r="K28">
            <v>164625</v>
          </cell>
          <cell r="L28">
            <v>0</v>
          </cell>
          <cell r="N28">
            <v>825247</v>
          </cell>
          <cell r="O28">
            <v>230</v>
          </cell>
          <cell r="Q28">
            <v>193402</v>
          </cell>
          <cell r="R28">
            <v>0</v>
          </cell>
          <cell r="S28">
            <v>56307.49</v>
          </cell>
          <cell r="T28">
            <v>75.049999999995634</v>
          </cell>
          <cell r="U28">
            <v>32</v>
          </cell>
          <cell r="V28">
            <v>4364</v>
          </cell>
          <cell r="W28">
            <v>13</v>
          </cell>
          <cell r="AC28">
            <v>7275796.0800000001</v>
          </cell>
          <cell r="AD28">
            <v>2046.2400000002235</v>
          </cell>
          <cell r="AF28">
            <v>13945417.919999998</v>
          </cell>
          <cell r="AG28">
            <v>4628.3999999985099</v>
          </cell>
          <cell r="AI28">
            <v>13833215.76</v>
          </cell>
          <cell r="AJ28">
            <v>9061.9199999999255</v>
          </cell>
          <cell r="AL28">
            <v>16758510.719999999</v>
          </cell>
          <cell r="AM28">
            <v>48.719999998807907</v>
          </cell>
          <cell r="AO28">
            <v>17277768.48</v>
          </cell>
          <cell r="AP28">
            <v>1120.5600000023842</v>
          </cell>
          <cell r="AR28">
            <v>15718533.6</v>
          </cell>
          <cell r="AS28">
            <v>5164.3199999984354</v>
          </cell>
          <cell r="AU28">
            <v>13354590.48</v>
          </cell>
          <cell r="AV28">
            <v>4043.7600000016391</v>
          </cell>
          <cell r="AX28">
            <v>12838402.08</v>
          </cell>
          <cell r="AY28">
            <v>3848.8800000008196</v>
          </cell>
          <cell r="BA28">
            <v>10221991.92</v>
          </cell>
          <cell r="BB28">
            <v>2971.9199999999255</v>
          </cell>
          <cell r="BD28">
            <v>15887153.52</v>
          </cell>
          <cell r="BE28">
            <v>5066.8799999989569</v>
          </cell>
          <cell r="BK28">
            <v>68648900</v>
          </cell>
          <cell r="BL28">
            <v>47900</v>
          </cell>
          <cell r="BN28">
            <v>70700300</v>
          </cell>
          <cell r="BO28">
            <v>0</v>
          </cell>
          <cell r="BQ28">
            <v>65863100</v>
          </cell>
          <cell r="BR28">
            <v>0</v>
          </cell>
          <cell r="BT28">
            <v>7949740</v>
          </cell>
          <cell r="BU28">
            <v>4880</v>
          </cell>
          <cell r="BW28">
            <v>0.8</v>
          </cell>
          <cell r="BX28">
            <v>-0.24</v>
          </cell>
          <cell r="BZ28">
            <v>57907</v>
          </cell>
          <cell r="CA28">
            <v>20</v>
          </cell>
          <cell r="CB28">
            <v>49346</v>
          </cell>
          <cell r="CC28">
            <v>21</v>
          </cell>
          <cell r="CD28">
            <v>16923</v>
          </cell>
          <cell r="CE28">
            <v>6</v>
          </cell>
          <cell r="CF28">
            <v>22524</v>
          </cell>
          <cell r="CG28">
            <v>11</v>
          </cell>
          <cell r="CH28">
            <v>24543</v>
          </cell>
          <cell r="CI28">
            <v>11</v>
          </cell>
          <cell r="CJ28">
            <v>54435</v>
          </cell>
          <cell r="CK28">
            <v>25</v>
          </cell>
          <cell r="CL28">
            <v>238470</v>
          </cell>
          <cell r="CM28">
            <v>105</v>
          </cell>
          <cell r="CO28">
            <v>184872</v>
          </cell>
          <cell r="CP28">
            <v>116</v>
          </cell>
          <cell r="CR28">
            <v>330600</v>
          </cell>
          <cell r="CS28">
            <v>223</v>
          </cell>
          <cell r="CU28">
            <v>629768</v>
          </cell>
          <cell r="CV28">
            <v>254</v>
          </cell>
          <cell r="CX28">
            <v>6748</v>
          </cell>
          <cell r="CY28">
            <v>3</v>
          </cell>
          <cell r="CZ28">
            <v>4222</v>
          </cell>
          <cell r="DA28">
            <v>3</v>
          </cell>
          <cell r="DB28">
            <v>27595</v>
          </cell>
          <cell r="DC28">
            <v>5</v>
          </cell>
          <cell r="DD28">
            <v>28212</v>
          </cell>
          <cell r="DE28">
            <v>10</v>
          </cell>
          <cell r="DF28">
            <v>19029</v>
          </cell>
          <cell r="DG28">
            <v>8</v>
          </cell>
          <cell r="DH28">
            <v>22134</v>
          </cell>
          <cell r="DI28">
            <v>2</v>
          </cell>
          <cell r="DJ28">
            <v>3637</v>
          </cell>
          <cell r="DK28">
            <v>6</v>
          </cell>
          <cell r="DL28">
            <v>7312</v>
          </cell>
          <cell r="DM28">
            <v>5</v>
          </cell>
          <cell r="DN28">
            <v>1985</v>
          </cell>
          <cell r="DO28">
            <v>1</v>
          </cell>
          <cell r="DP28">
            <v>3885</v>
          </cell>
          <cell r="DQ28">
            <v>1</v>
          </cell>
          <cell r="DR28">
            <v>26498</v>
          </cell>
          <cell r="DS28">
            <v>6</v>
          </cell>
          <cell r="DU28">
            <v>3481.4</v>
          </cell>
          <cell r="DV28">
            <v>8.0999999999999091</v>
          </cell>
          <cell r="DW28">
            <v>8501.6</v>
          </cell>
          <cell r="DX28">
            <v>7.5</v>
          </cell>
          <cell r="DY28">
            <v>2630.9</v>
          </cell>
          <cell r="DZ28">
            <v>6.3000000000001819</v>
          </cell>
          <cell r="EA28">
            <v>2765.4</v>
          </cell>
          <cell r="EB28">
            <v>6</v>
          </cell>
          <cell r="EC28">
            <v>896232</v>
          </cell>
          <cell r="ED28">
            <v>484</v>
          </cell>
          <cell r="EG28">
            <v>182735.8</v>
          </cell>
          <cell r="EH28">
            <v>145.79999999998836</v>
          </cell>
          <cell r="EJ28">
            <v>10537400</v>
          </cell>
          <cell r="EK28">
            <v>1600</v>
          </cell>
          <cell r="EL28">
            <v>838010</v>
          </cell>
          <cell r="EM28">
            <v>180</v>
          </cell>
          <cell r="EN28">
            <v>6439200</v>
          </cell>
          <cell r="EO28">
            <v>700</v>
          </cell>
          <cell r="EP28">
            <v>2265300</v>
          </cell>
          <cell r="EQ28">
            <v>200</v>
          </cell>
          <cell r="ER28">
            <v>1022760</v>
          </cell>
          <cell r="ES28">
            <v>480</v>
          </cell>
          <cell r="ET28">
            <v>14399000</v>
          </cell>
          <cell r="EU28">
            <v>2100</v>
          </cell>
          <cell r="EW28">
            <v>38127</v>
          </cell>
          <cell r="EX28">
            <v>12</v>
          </cell>
          <cell r="EY28">
            <v>33036</v>
          </cell>
          <cell r="EZ28">
            <v>9</v>
          </cell>
          <cell r="FA28">
            <v>4124</v>
          </cell>
          <cell r="FB28">
            <v>10</v>
          </cell>
          <cell r="FC28">
            <v>54927</v>
          </cell>
          <cell r="FD28">
            <v>18</v>
          </cell>
          <cell r="FE28">
            <v>39091</v>
          </cell>
          <cell r="FF28">
            <v>24</v>
          </cell>
        </row>
        <row r="29">
          <cell r="B29">
            <v>0.46</v>
          </cell>
          <cell r="E29">
            <v>951822</v>
          </cell>
          <cell r="F29">
            <v>496</v>
          </cell>
          <cell r="G29">
            <v>459</v>
          </cell>
          <cell r="H29">
            <v>109711</v>
          </cell>
          <cell r="I29">
            <v>371</v>
          </cell>
          <cell r="J29">
            <v>377</v>
          </cell>
          <cell r="K29">
            <v>164625</v>
          </cell>
          <cell r="L29">
            <v>0</v>
          </cell>
          <cell r="N29">
            <v>825461</v>
          </cell>
          <cell r="O29">
            <v>214</v>
          </cell>
          <cell r="Q29">
            <v>193402</v>
          </cell>
          <cell r="R29">
            <v>0</v>
          </cell>
          <cell r="S29">
            <v>56383.24</v>
          </cell>
          <cell r="T29">
            <v>75.75</v>
          </cell>
          <cell r="U29">
            <v>41</v>
          </cell>
          <cell r="V29">
            <v>4372</v>
          </cell>
          <cell r="W29">
            <v>8</v>
          </cell>
          <cell r="AC29">
            <v>7278037.2000000002</v>
          </cell>
          <cell r="AD29">
            <v>2241.1200000001118</v>
          </cell>
          <cell r="AF29">
            <v>13950289.919999998</v>
          </cell>
          <cell r="AG29">
            <v>4872</v>
          </cell>
          <cell r="AI29">
            <v>13840962.24</v>
          </cell>
          <cell r="AJ29">
            <v>7746.480000000447</v>
          </cell>
          <cell r="AL29">
            <v>16758608.16</v>
          </cell>
          <cell r="AM29">
            <v>97.440000001341105</v>
          </cell>
          <cell r="AO29">
            <v>17278791.599999998</v>
          </cell>
          <cell r="AP29">
            <v>1023.1199999973178</v>
          </cell>
          <cell r="AR29">
            <v>15724038.959999999</v>
          </cell>
          <cell r="AS29">
            <v>5505.359999999404</v>
          </cell>
          <cell r="AU29">
            <v>13358488.08</v>
          </cell>
          <cell r="AV29">
            <v>3897.5999999996275</v>
          </cell>
          <cell r="AX29">
            <v>12842543.280000001</v>
          </cell>
          <cell r="AY29">
            <v>4141.2000000011176</v>
          </cell>
          <cell r="BA29">
            <v>10225061.280000001</v>
          </cell>
          <cell r="BB29">
            <v>3069.3600000012666</v>
          </cell>
          <cell r="BD29">
            <v>15892269.119999999</v>
          </cell>
          <cell r="BE29">
            <v>5115.5999999996275</v>
          </cell>
          <cell r="BK29">
            <v>68688300</v>
          </cell>
          <cell r="BL29">
            <v>39400</v>
          </cell>
          <cell r="BN29">
            <v>70700300</v>
          </cell>
          <cell r="BO29">
            <v>0</v>
          </cell>
          <cell r="BQ29">
            <v>65863100</v>
          </cell>
          <cell r="BR29">
            <v>0</v>
          </cell>
          <cell r="BT29">
            <v>7955290</v>
          </cell>
          <cell r="BU29">
            <v>5550</v>
          </cell>
          <cell r="BW29">
            <v>0.72</v>
          </cell>
          <cell r="BX29">
            <v>8.0000000000000071E-2</v>
          </cell>
          <cell r="BZ29">
            <v>57924</v>
          </cell>
          <cell r="CA29">
            <v>17</v>
          </cell>
          <cell r="CB29">
            <v>49366</v>
          </cell>
          <cell r="CC29">
            <v>20</v>
          </cell>
          <cell r="CD29">
            <v>16928</v>
          </cell>
          <cell r="CE29">
            <v>5</v>
          </cell>
          <cell r="CF29">
            <v>22535</v>
          </cell>
          <cell r="CG29">
            <v>11</v>
          </cell>
          <cell r="CH29">
            <v>24555</v>
          </cell>
          <cell r="CI29">
            <v>12</v>
          </cell>
          <cell r="CJ29">
            <v>54456</v>
          </cell>
          <cell r="CK29">
            <v>21</v>
          </cell>
          <cell r="CL29">
            <v>238579</v>
          </cell>
          <cell r="CM29">
            <v>109</v>
          </cell>
          <cell r="CO29">
            <v>184988</v>
          </cell>
          <cell r="CP29">
            <v>116</v>
          </cell>
          <cell r="CR29">
            <v>330961</v>
          </cell>
          <cell r="CS29">
            <v>361</v>
          </cell>
          <cell r="CU29">
            <v>630029</v>
          </cell>
          <cell r="CV29">
            <v>261</v>
          </cell>
          <cell r="CX29">
            <v>6757</v>
          </cell>
          <cell r="CY29">
            <v>9</v>
          </cell>
          <cell r="CZ29">
            <v>4232</v>
          </cell>
          <cell r="DA29">
            <v>10</v>
          </cell>
          <cell r="DB29">
            <v>27610</v>
          </cell>
          <cell r="DC29">
            <v>15</v>
          </cell>
          <cell r="DD29">
            <v>28230</v>
          </cell>
          <cell r="DE29">
            <v>18</v>
          </cell>
          <cell r="DF29">
            <v>19038</v>
          </cell>
          <cell r="DG29">
            <v>9</v>
          </cell>
          <cell r="DH29">
            <v>22140</v>
          </cell>
          <cell r="DI29">
            <v>6</v>
          </cell>
          <cell r="DJ29">
            <v>3646</v>
          </cell>
          <cell r="DK29">
            <v>9</v>
          </cell>
          <cell r="DL29">
            <v>7326</v>
          </cell>
          <cell r="DM29">
            <v>14</v>
          </cell>
          <cell r="DN29">
            <v>1988</v>
          </cell>
          <cell r="DO29">
            <v>3</v>
          </cell>
          <cell r="DP29">
            <v>3892</v>
          </cell>
          <cell r="DQ29">
            <v>7</v>
          </cell>
          <cell r="DR29">
            <v>26506</v>
          </cell>
          <cell r="DS29">
            <v>8</v>
          </cell>
          <cell r="DU29">
            <v>3490</v>
          </cell>
          <cell r="DV29">
            <v>8.5999999999999091</v>
          </cell>
          <cell r="DW29">
            <v>8508.2999999999993</v>
          </cell>
          <cell r="DX29">
            <v>6.6999999999989086</v>
          </cell>
          <cell r="DY29">
            <v>2637.6</v>
          </cell>
          <cell r="DZ29">
            <v>6.6999999999998181</v>
          </cell>
          <cell r="EA29">
            <v>2771.9</v>
          </cell>
          <cell r="EB29">
            <v>6.5</v>
          </cell>
          <cell r="EC29">
            <v>896712</v>
          </cell>
          <cell r="ED29">
            <v>480</v>
          </cell>
          <cell r="EG29">
            <v>182893.3</v>
          </cell>
          <cell r="EH29">
            <v>157.5</v>
          </cell>
          <cell r="EJ29">
            <v>10539900</v>
          </cell>
          <cell r="EK29">
            <v>2500</v>
          </cell>
          <cell r="EL29">
            <v>838320</v>
          </cell>
          <cell r="EM29">
            <v>310</v>
          </cell>
          <cell r="EN29">
            <v>6440400</v>
          </cell>
          <cell r="EO29">
            <v>1200</v>
          </cell>
          <cell r="EP29">
            <v>2265700</v>
          </cell>
          <cell r="EQ29">
            <v>400</v>
          </cell>
          <cell r="ER29">
            <v>1023560</v>
          </cell>
          <cell r="ES29">
            <v>800</v>
          </cell>
          <cell r="ET29">
            <v>14401800</v>
          </cell>
          <cell r="EU29">
            <v>2800</v>
          </cell>
          <cell r="EW29">
            <v>38141</v>
          </cell>
          <cell r="EX29">
            <v>14</v>
          </cell>
          <cell r="EY29">
            <v>33050</v>
          </cell>
          <cell r="EZ29">
            <v>14</v>
          </cell>
          <cell r="FA29">
            <v>4135</v>
          </cell>
          <cell r="FB29">
            <v>11</v>
          </cell>
          <cell r="FC29">
            <v>54948</v>
          </cell>
          <cell r="FD29">
            <v>21</v>
          </cell>
          <cell r="FE29">
            <v>39122</v>
          </cell>
          <cell r="FF29">
            <v>31</v>
          </cell>
        </row>
        <row r="30">
          <cell r="B30">
            <v>0.48</v>
          </cell>
          <cell r="E30">
            <v>952347</v>
          </cell>
          <cell r="F30">
            <v>525</v>
          </cell>
          <cell r="G30">
            <v>521</v>
          </cell>
          <cell r="H30">
            <v>110130</v>
          </cell>
          <cell r="I30">
            <v>419</v>
          </cell>
          <cell r="J30">
            <v>434</v>
          </cell>
          <cell r="K30">
            <v>164625</v>
          </cell>
          <cell r="L30">
            <v>0</v>
          </cell>
          <cell r="N30">
            <v>825653</v>
          </cell>
          <cell r="O30">
            <v>192</v>
          </cell>
          <cell r="Q30">
            <v>193402</v>
          </cell>
          <cell r="R30">
            <v>0</v>
          </cell>
          <cell r="S30">
            <v>56440.22</v>
          </cell>
          <cell r="T30">
            <v>56.980000000003201</v>
          </cell>
          <cell r="U30">
            <v>38</v>
          </cell>
          <cell r="V30">
            <v>4372</v>
          </cell>
          <cell r="W30">
            <v>0</v>
          </cell>
          <cell r="AC30">
            <v>7280765.5199999996</v>
          </cell>
          <cell r="AD30">
            <v>2728.3199999993667</v>
          </cell>
          <cell r="AF30">
            <v>13954967.039999999</v>
          </cell>
          <cell r="AG30">
            <v>4677.1200000010431</v>
          </cell>
          <cell r="AI30">
            <v>13841059.68</v>
          </cell>
          <cell r="AJ30">
            <v>97.439999999478459</v>
          </cell>
          <cell r="AL30">
            <v>16766208.48</v>
          </cell>
          <cell r="AM30">
            <v>7600.320000000298</v>
          </cell>
          <cell r="AO30">
            <v>17278840.32</v>
          </cell>
          <cell r="AP30">
            <v>48.720000002533197</v>
          </cell>
          <cell r="AR30">
            <v>15729593.039999999</v>
          </cell>
          <cell r="AS30">
            <v>5554.0800000000745</v>
          </cell>
          <cell r="AU30">
            <v>13362190.799999999</v>
          </cell>
          <cell r="AV30">
            <v>3702.7199999988079</v>
          </cell>
          <cell r="AX30">
            <v>12846538.319999998</v>
          </cell>
          <cell r="AY30">
            <v>3995.0399999972433</v>
          </cell>
          <cell r="BA30">
            <v>10228033.199999999</v>
          </cell>
          <cell r="BB30">
            <v>2971.9199999980628</v>
          </cell>
          <cell r="BD30">
            <v>15897530.880000001</v>
          </cell>
          <cell r="BE30">
            <v>5261.7600000016391</v>
          </cell>
          <cell r="BK30">
            <v>68689200</v>
          </cell>
          <cell r="BL30">
            <v>900</v>
          </cell>
          <cell r="BN30">
            <v>70730300</v>
          </cell>
          <cell r="BO30">
            <v>30000</v>
          </cell>
          <cell r="BQ30">
            <v>65863100</v>
          </cell>
          <cell r="BR30">
            <v>0</v>
          </cell>
          <cell r="BT30">
            <v>7961250</v>
          </cell>
          <cell r="BU30">
            <v>5960</v>
          </cell>
          <cell r="BW30">
            <v>0.61</v>
          </cell>
          <cell r="BX30">
            <v>0.10999999999999999</v>
          </cell>
          <cell r="BZ30">
            <v>57943</v>
          </cell>
          <cell r="CA30">
            <v>19</v>
          </cell>
          <cell r="CB30">
            <v>49386</v>
          </cell>
          <cell r="CC30">
            <v>20</v>
          </cell>
          <cell r="CD30">
            <v>16934</v>
          </cell>
          <cell r="CE30">
            <v>6</v>
          </cell>
          <cell r="CF30">
            <v>22546</v>
          </cell>
          <cell r="CG30">
            <v>11</v>
          </cell>
          <cell r="CH30">
            <v>24567</v>
          </cell>
          <cell r="CI30">
            <v>12</v>
          </cell>
          <cell r="CJ30">
            <v>54477</v>
          </cell>
          <cell r="CK30">
            <v>21</v>
          </cell>
          <cell r="CL30">
            <v>238686</v>
          </cell>
          <cell r="CM30">
            <v>107</v>
          </cell>
          <cell r="CO30">
            <v>185102</v>
          </cell>
          <cell r="CP30">
            <v>114</v>
          </cell>
          <cell r="CR30">
            <v>331387</v>
          </cell>
          <cell r="CS30">
            <v>426</v>
          </cell>
          <cell r="CU30">
            <v>630286</v>
          </cell>
          <cell r="CV30">
            <v>257</v>
          </cell>
          <cell r="CX30">
            <v>6767</v>
          </cell>
          <cell r="CY30">
            <v>10</v>
          </cell>
          <cell r="CZ30">
            <v>4240</v>
          </cell>
          <cell r="DA30">
            <v>8</v>
          </cell>
          <cell r="DB30">
            <v>27628</v>
          </cell>
          <cell r="DC30">
            <v>18</v>
          </cell>
          <cell r="DD30">
            <v>28249</v>
          </cell>
          <cell r="DE30">
            <v>19</v>
          </cell>
          <cell r="DF30">
            <v>19046</v>
          </cell>
          <cell r="DG30">
            <v>8</v>
          </cell>
          <cell r="DH30">
            <v>22147</v>
          </cell>
          <cell r="DI30">
            <v>7</v>
          </cell>
          <cell r="DJ30">
            <v>3657</v>
          </cell>
          <cell r="DK30">
            <v>11</v>
          </cell>
          <cell r="DL30">
            <v>7341</v>
          </cell>
          <cell r="DM30">
            <v>15</v>
          </cell>
          <cell r="DN30">
            <v>1994</v>
          </cell>
          <cell r="DO30">
            <v>6</v>
          </cell>
          <cell r="DP30">
            <v>3902</v>
          </cell>
          <cell r="DQ30">
            <v>10</v>
          </cell>
          <cell r="DR30">
            <v>26513</v>
          </cell>
          <cell r="DS30">
            <v>7</v>
          </cell>
          <cell r="DU30">
            <v>3498.7</v>
          </cell>
          <cell r="DV30">
            <v>8.6999999999998181</v>
          </cell>
          <cell r="DW30">
            <v>8515.2000000000007</v>
          </cell>
          <cell r="DX30">
            <v>6.9000000000014552</v>
          </cell>
          <cell r="DY30">
            <v>2644.6</v>
          </cell>
          <cell r="DZ30">
            <v>7</v>
          </cell>
          <cell r="EA30">
            <v>2777.3</v>
          </cell>
          <cell r="EB30">
            <v>5.4000000000000909</v>
          </cell>
          <cell r="EC30">
            <v>897261</v>
          </cell>
          <cell r="ED30">
            <v>549</v>
          </cell>
          <cell r="EG30">
            <v>183049.5</v>
          </cell>
          <cell r="EH30">
            <v>156.20000000001164</v>
          </cell>
          <cell r="EJ30">
            <v>10540900</v>
          </cell>
          <cell r="EK30">
            <v>1000</v>
          </cell>
          <cell r="EL30">
            <v>838500</v>
          </cell>
          <cell r="EM30">
            <v>180</v>
          </cell>
          <cell r="EN30">
            <v>6440800</v>
          </cell>
          <cell r="EO30">
            <v>400</v>
          </cell>
          <cell r="EP30">
            <v>2265800</v>
          </cell>
          <cell r="EQ30">
            <v>100</v>
          </cell>
          <cell r="ER30">
            <v>1024050</v>
          </cell>
          <cell r="ES30">
            <v>490</v>
          </cell>
          <cell r="ET30">
            <v>14402700</v>
          </cell>
          <cell r="EU30">
            <v>900</v>
          </cell>
          <cell r="EW30">
            <v>38158</v>
          </cell>
          <cell r="EX30">
            <v>17</v>
          </cell>
          <cell r="EY30">
            <v>33063</v>
          </cell>
          <cell r="EZ30">
            <v>13</v>
          </cell>
          <cell r="FA30">
            <v>4147</v>
          </cell>
          <cell r="FB30">
            <v>12</v>
          </cell>
          <cell r="FC30">
            <v>54967</v>
          </cell>
          <cell r="FD30">
            <v>19</v>
          </cell>
          <cell r="FE30">
            <v>39154</v>
          </cell>
          <cell r="FF30">
            <v>32</v>
          </cell>
        </row>
        <row r="31">
          <cell r="B31">
            <v>0.54</v>
          </cell>
          <cell r="E31">
            <v>953034</v>
          </cell>
          <cell r="F31">
            <v>687</v>
          </cell>
          <cell r="G31">
            <v>523</v>
          </cell>
          <cell r="H31">
            <v>110600</v>
          </cell>
          <cell r="I31">
            <v>470</v>
          </cell>
          <cell r="J31">
            <v>457</v>
          </cell>
          <cell r="K31">
            <v>164625</v>
          </cell>
          <cell r="L31">
            <v>0</v>
          </cell>
          <cell r="N31">
            <v>825868</v>
          </cell>
          <cell r="O31">
            <v>215</v>
          </cell>
          <cell r="Q31">
            <v>193402</v>
          </cell>
          <cell r="R31">
            <v>0</v>
          </cell>
          <cell r="S31">
            <v>56492.65</v>
          </cell>
          <cell r="T31">
            <v>52.430000000000291</v>
          </cell>
          <cell r="U31">
            <v>16</v>
          </cell>
          <cell r="V31">
            <v>4372</v>
          </cell>
          <cell r="W31">
            <v>0</v>
          </cell>
          <cell r="AC31">
            <v>7284127.2000000002</v>
          </cell>
          <cell r="AD31">
            <v>3361.6800000006333</v>
          </cell>
          <cell r="AF31">
            <v>13960277.52</v>
          </cell>
          <cell r="AG31">
            <v>5310.480000000447</v>
          </cell>
          <cell r="AI31">
            <v>13841205.84</v>
          </cell>
          <cell r="AJ31">
            <v>146.16000000014901</v>
          </cell>
          <cell r="AL31">
            <v>16774685.760000002</v>
          </cell>
          <cell r="AM31">
            <v>8477.2800000011921</v>
          </cell>
          <cell r="AO31">
            <v>17278889.039999999</v>
          </cell>
          <cell r="AP31">
            <v>48.719999998807907</v>
          </cell>
          <cell r="AR31">
            <v>15735683.039999999</v>
          </cell>
          <cell r="AS31">
            <v>6090</v>
          </cell>
          <cell r="AU31">
            <v>13366624.319999998</v>
          </cell>
          <cell r="AV31">
            <v>4433.519999999553</v>
          </cell>
          <cell r="AX31">
            <v>12851459.040000001</v>
          </cell>
          <cell r="AY31">
            <v>4920.7200000025332</v>
          </cell>
          <cell r="BA31">
            <v>10231541.040000001</v>
          </cell>
          <cell r="BB31">
            <v>3507.8400000017136</v>
          </cell>
          <cell r="BD31">
            <v>15903426</v>
          </cell>
          <cell r="BE31">
            <v>5895.1199999991804</v>
          </cell>
          <cell r="BK31">
            <v>68689200</v>
          </cell>
          <cell r="BL31">
            <v>0</v>
          </cell>
          <cell r="BN31">
            <v>70762600</v>
          </cell>
          <cell r="BO31">
            <v>32300</v>
          </cell>
          <cell r="BQ31">
            <v>65863100</v>
          </cell>
          <cell r="BR31">
            <v>0</v>
          </cell>
          <cell r="BT31">
            <v>7967760</v>
          </cell>
          <cell r="BU31">
            <v>6510</v>
          </cell>
          <cell r="BW31">
            <v>0.46</v>
          </cell>
          <cell r="BX31">
            <v>0.14999999999999997</v>
          </cell>
          <cell r="BZ31">
            <v>57964</v>
          </cell>
          <cell r="CA31">
            <v>21</v>
          </cell>
          <cell r="CB31">
            <v>49407</v>
          </cell>
          <cell r="CC31">
            <v>21</v>
          </cell>
          <cell r="CD31">
            <v>16940</v>
          </cell>
          <cell r="CE31">
            <v>6</v>
          </cell>
          <cell r="CF31">
            <v>22560</v>
          </cell>
          <cell r="CG31">
            <v>14</v>
          </cell>
          <cell r="CH31">
            <v>24583</v>
          </cell>
          <cell r="CI31">
            <v>16</v>
          </cell>
          <cell r="CJ31">
            <v>54502</v>
          </cell>
          <cell r="CK31">
            <v>25</v>
          </cell>
          <cell r="CL31">
            <v>238807</v>
          </cell>
          <cell r="CM31">
            <v>121</v>
          </cell>
          <cell r="CO31">
            <v>185232</v>
          </cell>
          <cell r="CP31">
            <v>130</v>
          </cell>
          <cell r="CR31">
            <v>331855</v>
          </cell>
          <cell r="CS31">
            <v>468</v>
          </cell>
          <cell r="CU31">
            <v>630576</v>
          </cell>
          <cell r="CV31">
            <v>290</v>
          </cell>
          <cell r="CX31">
            <v>6777</v>
          </cell>
          <cell r="CY31">
            <v>10</v>
          </cell>
          <cell r="CZ31">
            <v>4249</v>
          </cell>
          <cell r="DA31">
            <v>9</v>
          </cell>
          <cell r="DB31">
            <v>27639</v>
          </cell>
          <cell r="DC31">
            <v>11</v>
          </cell>
          <cell r="DD31">
            <v>28258</v>
          </cell>
          <cell r="DE31">
            <v>9</v>
          </cell>
          <cell r="DF31">
            <v>19054</v>
          </cell>
          <cell r="DG31">
            <v>8</v>
          </cell>
          <cell r="DH31">
            <v>22154</v>
          </cell>
          <cell r="DI31">
            <v>7</v>
          </cell>
          <cell r="DJ31">
            <v>3668</v>
          </cell>
          <cell r="DK31">
            <v>11</v>
          </cell>
          <cell r="DL31">
            <v>7359</v>
          </cell>
          <cell r="DM31">
            <v>18</v>
          </cell>
          <cell r="DN31">
            <v>1999</v>
          </cell>
          <cell r="DO31">
            <v>5</v>
          </cell>
          <cell r="DP31">
            <v>3912</v>
          </cell>
          <cell r="DQ31">
            <v>10</v>
          </cell>
          <cell r="DR31">
            <v>26520</v>
          </cell>
          <cell r="DS31">
            <v>7</v>
          </cell>
          <cell r="DU31">
            <v>3509.9</v>
          </cell>
          <cell r="DV31">
            <v>11.200000000000273</v>
          </cell>
          <cell r="DW31">
            <v>8522.7999999999993</v>
          </cell>
          <cell r="DX31">
            <v>7.5999999999985448</v>
          </cell>
          <cell r="DY31">
            <v>2652.2</v>
          </cell>
          <cell r="DZ31">
            <v>7.5999999999999091</v>
          </cell>
          <cell r="EA31">
            <v>2784.4</v>
          </cell>
          <cell r="EB31">
            <v>7.0999999999999091</v>
          </cell>
          <cell r="EC31">
            <v>897904</v>
          </cell>
          <cell r="ED31">
            <v>643</v>
          </cell>
          <cell r="EG31">
            <v>183234.9</v>
          </cell>
          <cell r="EH31">
            <v>185.39999999999418</v>
          </cell>
          <cell r="EJ31">
            <v>10542600</v>
          </cell>
          <cell r="EK31">
            <v>1700</v>
          </cell>
          <cell r="EL31">
            <v>838760</v>
          </cell>
          <cell r="EM31">
            <v>260</v>
          </cell>
          <cell r="EN31">
            <v>6441500</v>
          </cell>
          <cell r="EO31">
            <v>700</v>
          </cell>
          <cell r="EP31">
            <v>2266100</v>
          </cell>
          <cell r="EQ31">
            <v>300</v>
          </cell>
          <cell r="ER31">
            <v>1024760</v>
          </cell>
          <cell r="ES31">
            <v>710</v>
          </cell>
          <cell r="ET31">
            <v>14404100</v>
          </cell>
          <cell r="EU31">
            <v>1400</v>
          </cell>
          <cell r="EW31">
            <v>38174</v>
          </cell>
          <cell r="EX31">
            <v>16</v>
          </cell>
          <cell r="EY31">
            <v>33079</v>
          </cell>
          <cell r="EZ31">
            <v>16</v>
          </cell>
          <cell r="FA31">
            <v>4164</v>
          </cell>
          <cell r="FB31">
            <v>17</v>
          </cell>
          <cell r="FC31">
            <v>54988</v>
          </cell>
          <cell r="FD31">
            <v>21</v>
          </cell>
          <cell r="FE31">
            <v>39192</v>
          </cell>
          <cell r="FF31">
            <v>38</v>
          </cell>
        </row>
        <row r="32">
          <cell r="B32">
            <v>0.49</v>
          </cell>
          <cell r="E32">
            <v>953477</v>
          </cell>
          <cell r="F32">
            <v>443</v>
          </cell>
          <cell r="G32">
            <v>463</v>
          </cell>
          <cell r="H32">
            <v>110918</v>
          </cell>
          <cell r="I32">
            <v>318</v>
          </cell>
          <cell r="J32">
            <v>422</v>
          </cell>
          <cell r="K32">
            <v>164625</v>
          </cell>
          <cell r="L32">
            <v>0</v>
          </cell>
          <cell r="N32">
            <v>825986</v>
          </cell>
          <cell r="O32">
            <v>118</v>
          </cell>
          <cell r="Q32">
            <v>193402</v>
          </cell>
          <cell r="R32">
            <v>0</v>
          </cell>
          <cell r="S32">
            <v>56551.199999999997</v>
          </cell>
          <cell r="T32">
            <v>58.549999999995634</v>
          </cell>
          <cell r="U32">
            <v>22</v>
          </cell>
          <cell r="V32">
            <v>4375</v>
          </cell>
          <cell r="W32">
            <v>3</v>
          </cell>
          <cell r="AC32">
            <v>7286465.7599999998</v>
          </cell>
          <cell r="AD32">
            <v>2338.5599999995902</v>
          </cell>
          <cell r="AF32">
            <v>13964467.439999999</v>
          </cell>
          <cell r="AG32">
            <v>4189.9199999999255</v>
          </cell>
          <cell r="AI32">
            <v>13841352</v>
          </cell>
          <cell r="AJ32">
            <v>146.16000000014901</v>
          </cell>
          <cell r="AL32">
            <v>16780678.32</v>
          </cell>
          <cell r="AM32">
            <v>5992.5599999986589</v>
          </cell>
          <cell r="AO32">
            <v>17278889.039999999</v>
          </cell>
          <cell r="AP32">
            <v>0</v>
          </cell>
          <cell r="AR32">
            <v>15740555.039999999</v>
          </cell>
          <cell r="AS32">
            <v>4872</v>
          </cell>
          <cell r="AU32">
            <v>13369839.84</v>
          </cell>
          <cell r="AV32">
            <v>3215.5200000014156</v>
          </cell>
          <cell r="AX32">
            <v>12855015.6</v>
          </cell>
          <cell r="AY32">
            <v>3556.5599999986589</v>
          </cell>
          <cell r="BA32">
            <v>10234171.92</v>
          </cell>
          <cell r="BB32">
            <v>2630.8799999989569</v>
          </cell>
          <cell r="BD32">
            <v>15907859.52</v>
          </cell>
          <cell r="BE32">
            <v>4433.519999999553</v>
          </cell>
          <cell r="BK32">
            <v>68689200</v>
          </cell>
          <cell r="BL32">
            <v>0</v>
          </cell>
          <cell r="BN32">
            <v>70790600</v>
          </cell>
          <cell r="BO32">
            <v>28000</v>
          </cell>
          <cell r="BQ32">
            <v>65863100</v>
          </cell>
          <cell r="BR32">
            <v>0</v>
          </cell>
          <cell r="BT32">
            <v>7972100</v>
          </cell>
          <cell r="BU32">
            <v>4340</v>
          </cell>
          <cell r="BW32">
            <v>0.64</v>
          </cell>
          <cell r="BX32">
            <v>-0.18</v>
          </cell>
          <cell r="BZ32">
            <v>57976</v>
          </cell>
          <cell r="CA32">
            <v>12</v>
          </cell>
          <cell r="CB32">
            <v>49424</v>
          </cell>
          <cell r="CC32">
            <v>17</v>
          </cell>
          <cell r="CD32">
            <v>16944</v>
          </cell>
          <cell r="CE32">
            <v>4</v>
          </cell>
          <cell r="CF32">
            <v>22569</v>
          </cell>
          <cell r="CG32">
            <v>9</v>
          </cell>
          <cell r="CH32">
            <v>24592</v>
          </cell>
          <cell r="CI32">
            <v>9</v>
          </cell>
          <cell r="CJ32">
            <v>54521</v>
          </cell>
          <cell r="CK32">
            <v>19</v>
          </cell>
          <cell r="CL32">
            <v>238902</v>
          </cell>
          <cell r="CM32">
            <v>95</v>
          </cell>
          <cell r="CO32">
            <v>185340</v>
          </cell>
          <cell r="CP32">
            <v>108</v>
          </cell>
          <cell r="CR32">
            <v>332164</v>
          </cell>
          <cell r="CS32">
            <v>309</v>
          </cell>
          <cell r="CU32">
            <v>630802</v>
          </cell>
          <cell r="CV32">
            <v>226</v>
          </cell>
          <cell r="CX32">
            <v>6785</v>
          </cell>
          <cell r="CY32">
            <v>8</v>
          </cell>
          <cell r="CZ32">
            <v>4251</v>
          </cell>
          <cell r="DA32">
            <v>2</v>
          </cell>
          <cell r="DB32">
            <v>27660</v>
          </cell>
          <cell r="DC32">
            <v>21</v>
          </cell>
          <cell r="DD32">
            <v>28283</v>
          </cell>
          <cell r="DE32">
            <v>25</v>
          </cell>
          <cell r="DF32">
            <v>19063</v>
          </cell>
          <cell r="DG32">
            <v>9</v>
          </cell>
          <cell r="DH32">
            <v>22162</v>
          </cell>
          <cell r="DI32">
            <v>8</v>
          </cell>
          <cell r="DJ32">
            <v>3679</v>
          </cell>
          <cell r="DK32">
            <v>11</v>
          </cell>
          <cell r="DL32">
            <v>7369</v>
          </cell>
          <cell r="DM32">
            <v>10</v>
          </cell>
          <cell r="DN32">
            <v>2004</v>
          </cell>
          <cell r="DO32">
            <v>5</v>
          </cell>
          <cell r="DP32">
            <v>3916</v>
          </cell>
          <cell r="DQ32">
            <v>4</v>
          </cell>
          <cell r="DR32">
            <v>26525</v>
          </cell>
          <cell r="DS32">
            <v>5</v>
          </cell>
          <cell r="DU32">
            <v>3517.2</v>
          </cell>
          <cell r="DV32">
            <v>7.2999999999997272</v>
          </cell>
          <cell r="DW32">
            <v>8528.2999999999993</v>
          </cell>
          <cell r="DX32">
            <v>5.5</v>
          </cell>
          <cell r="DY32">
            <v>2657.6</v>
          </cell>
          <cell r="DZ32">
            <v>5.4000000000000909</v>
          </cell>
          <cell r="EA32">
            <v>2789.3</v>
          </cell>
          <cell r="EB32">
            <v>4.9000000000000909</v>
          </cell>
          <cell r="EC32">
            <v>898333</v>
          </cell>
          <cell r="ED32">
            <v>429</v>
          </cell>
          <cell r="EG32">
            <v>183363.4</v>
          </cell>
          <cell r="EH32">
            <v>128.5</v>
          </cell>
          <cell r="EJ32">
            <v>10543700</v>
          </cell>
          <cell r="EK32">
            <v>1100</v>
          </cell>
          <cell r="EL32">
            <v>838940</v>
          </cell>
          <cell r="EM32">
            <v>180</v>
          </cell>
          <cell r="EN32">
            <v>6441900</v>
          </cell>
          <cell r="EO32">
            <v>400</v>
          </cell>
          <cell r="EP32">
            <v>2266300</v>
          </cell>
          <cell r="EQ32">
            <v>200</v>
          </cell>
          <cell r="ER32">
            <v>1025280</v>
          </cell>
          <cell r="ES32">
            <v>520</v>
          </cell>
          <cell r="ET32">
            <v>14404500</v>
          </cell>
          <cell r="EU32">
            <v>400</v>
          </cell>
          <cell r="EW32">
            <v>38187</v>
          </cell>
          <cell r="EX32">
            <v>13</v>
          </cell>
          <cell r="EY32">
            <v>33089</v>
          </cell>
          <cell r="EZ32">
            <v>10</v>
          </cell>
          <cell r="FA32">
            <v>4174</v>
          </cell>
          <cell r="FB32">
            <v>10</v>
          </cell>
          <cell r="FC32">
            <v>55006</v>
          </cell>
          <cell r="FD32">
            <v>18</v>
          </cell>
          <cell r="FE32">
            <v>39214</v>
          </cell>
          <cell r="FF32">
            <v>22</v>
          </cell>
        </row>
        <row r="33">
          <cell r="B33">
            <v>0.59</v>
          </cell>
          <cell r="E33">
            <v>954139</v>
          </cell>
          <cell r="F33">
            <v>662</v>
          </cell>
          <cell r="G33">
            <v>466</v>
          </cell>
          <cell r="H33">
            <v>111267</v>
          </cell>
          <cell r="I33">
            <v>349</v>
          </cell>
          <cell r="J33">
            <v>405</v>
          </cell>
          <cell r="K33">
            <v>164625</v>
          </cell>
          <cell r="L33">
            <v>0</v>
          </cell>
          <cell r="N33">
            <v>826349</v>
          </cell>
          <cell r="O33">
            <v>363</v>
          </cell>
          <cell r="Q33">
            <v>193740</v>
          </cell>
          <cell r="R33">
            <v>338</v>
          </cell>
          <cell r="S33">
            <v>56604.47</v>
          </cell>
          <cell r="T33">
            <v>53.270000000004075</v>
          </cell>
          <cell r="U33">
            <v>10</v>
          </cell>
          <cell r="V33">
            <v>4382</v>
          </cell>
          <cell r="W33">
            <v>7</v>
          </cell>
          <cell r="AC33">
            <v>7289194.0800000001</v>
          </cell>
          <cell r="AD33">
            <v>2728.320000000298</v>
          </cell>
          <cell r="AF33">
            <v>13969242</v>
          </cell>
          <cell r="AG33">
            <v>4774.5600000005215</v>
          </cell>
          <cell r="AI33">
            <v>13841498.16</v>
          </cell>
          <cell r="AJ33">
            <v>146.16000000014901</v>
          </cell>
          <cell r="AL33">
            <v>16787499.119999997</v>
          </cell>
          <cell r="AM33">
            <v>6820.7999999970198</v>
          </cell>
          <cell r="AO33">
            <v>17278889.039999999</v>
          </cell>
          <cell r="AP33">
            <v>0</v>
          </cell>
          <cell r="AR33">
            <v>15746206.559999999</v>
          </cell>
          <cell r="AS33">
            <v>5651.519999999553</v>
          </cell>
          <cell r="AU33">
            <v>13373640</v>
          </cell>
          <cell r="AV33">
            <v>3800.160000000149</v>
          </cell>
          <cell r="AX33">
            <v>12859205.52</v>
          </cell>
          <cell r="AY33">
            <v>4189.9199999999255</v>
          </cell>
          <cell r="BA33">
            <v>10237241.280000001</v>
          </cell>
          <cell r="BB33">
            <v>3069.3600000012666</v>
          </cell>
          <cell r="BD33">
            <v>15912828.959999999</v>
          </cell>
          <cell r="BE33">
            <v>4969.4399999994785</v>
          </cell>
          <cell r="BK33">
            <v>68689200</v>
          </cell>
          <cell r="BL33">
            <v>0</v>
          </cell>
          <cell r="BN33">
            <v>70817900</v>
          </cell>
          <cell r="BO33">
            <v>27300</v>
          </cell>
          <cell r="BQ33">
            <v>65863100</v>
          </cell>
          <cell r="BR33">
            <v>0</v>
          </cell>
          <cell r="BT33">
            <v>7976980</v>
          </cell>
          <cell r="BU33">
            <v>4880</v>
          </cell>
          <cell r="BW33">
            <v>0.59</v>
          </cell>
          <cell r="BX33">
            <v>5.0000000000000044E-2</v>
          </cell>
          <cell r="BZ33">
            <v>57991</v>
          </cell>
          <cell r="CA33">
            <v>15</v>
          </cell>
          <cell r="CB33">
            <v>49442</v>
          </cell>
          <cell r="CC33">
            <v>18</v>
          </cell>
          <cell r="CD33">
            <v>16949</v>
          </cell>
          <cell r="CE33">
            <v>5</v>
          </cell>
          <cell r="CF33">
            <v>22581</v>
          </cell>
          <cell r="CG33">
            <v>12</v>
          </cell>
          <cell r="CH33">
            <v>24607</v>
          </cell>
          <cell r="CI33">
            <v>15</v>
          </cell>
          <cell r="CJ33">
            <v>54542</v>
          </cell>
          <cell r="CK33">
            <v>21</v>
          </cell>
          <cell r="CL33">
            <v>239011</v>
          </cell>
          <cell r="CM33">
            <v>109</v>
          </cell>
          <cell r="CO33">
            <v>185453</v>
          </cell>
          <cell r="CP33">
            <v>113</v>
          </cell>
          <cell r="CR33">
            <v>332479</v>
          </cell>
          <cell r="CS33">
            <v>315</v>
          </cell>
          <cell r="CU33">
            <v>631059</v>
          </cell>
          <cell r="CV33">
            <v>257</v>
          </cell>
          <cell r="CX33">
            <v>6791</v>
          </cell>
          <cell r="CY33">
            <v>6</v>
          </cell>
          <cell r="CZ33">
            <v>4255</v>
          </cell>
          <cell r="DA33">
            <v>4</v>
          </cell>
          <cell r="DB33">
            <v>27675</v>
          </cell>
          <cell r="DC33">
            <v>15</v>
          </cell>
          <cell r="DD33">
            <v>28299</v>
          </cell>
          <cell r="DE33">
            <v>16</v>
          </cell>
          <cell r="DF33">
            <v>19072</v>
          </cell>
          <cell r="DG33">
            <v>9</v>
          </cell>
          <cell r="DH33">
            <v>22170</v>
          </cell>
          <cell r="DI33">
            <v>8</v>
          </cell>
          <cell r="DJ33">
            <v>3683</v>
          </cell>
          <cell r="DK33">
            <v>4</v>
          </cell>
          <cell r="DL33">
            <v>7381</v>
          </cell>
          <cell r="DM33">
            <v>12</v>
          </cell>
          <cell r="DN33">
            <v>2008</v>
          </cell>
          <cell r="DO33">
            <v>4</v>
          </cell>
          <cell r="DP33">
            <v>3922</v>
          </cell>
          <cell r="DQ33">
            <v>6</v>
          </cell>
          <cell r="DR33">
            <v>26533</v>
          </cell>
          <cell r="DS33">
            <v>8</v>
          </cell>
          <cell r="DU33">
            <v>3525.8</v>
          </cell>
          <cell r="DV33">
            <v>8.6000000000003638</v>
          </cell>
          <cell r="DW33">
            <v>8533.9</v>
          </cell>
          <cell r="DX33">
            <v>5.6000000000003638</v>
          </cell>
          <cell r="DY33">
            <v>2664.1</v>
          </cell>
          <cell r="DZ33">
            <v>6.5</v>
          </cell>
          <cell r="EA33">
            <v>2794.3</v>
          </cell>
          <cell r="EB33">
            <v>5</v>
          </cell>
          <cell r="EC33">
            <v>898828</v>
          </cell>
          <cell r="ED33">
            <v>495</v>
          </cell>
          <cell r="EG33">
            <v>183512.6</v>
          </cell>
          <cell r="EH33">
            <v>149.20000000001164</v>
          </cell>
          <cell r="EJ33">
            <v>10545100</v>
          </cell>
          <cell r="EK33">
            <v>1400</v>
          </cell>
          <cell r="EL33">
            <v>839160</v>
          </cell>
          <cell r="EM33">
            <v>220</v>
          </cell>
          <cell r="EN33">
            <v>6442500</v>
          </cell>
          <cell r="EO33">
            <v>600</v>
          </cell>
          <cell r="EP33">
            <v>2266500</v>
          </cell>
          <cell r="EQ33">
            <v>200</v>
          </cell>
          <cell r="ER33">
            <v>1025880</v>
          </cell>
          <cell r="ES33">
            <v>600</v>
          </cell>
          <cell r="ET33">
            <v>14404500</v>
          </cell>
          <cell r="EU33">
            <v>0</v>
          </cell>
          <cell r="EW33">
            <v>38200</v>
          </cell>
          <cell r="EX33">
            <v>13</v>
          </cell>
          <cell r="EY33">
            <v>33099</v>
          </cell>
          <cell r="EZ33">
            <v>10</v>
          </cell>
          <cell r="FA33">
            <v>4185</v>
          </cell>
          <cell r="FB33">
            <v>11</v>
          </cell>
          <cell r="FC33">
            <v>55023</v>
          </cell>
          <cell r="FD33">
            <v>17</v>
          </cell>
          <cell r="FE33">
            <v>39244</v>
          </cell>
          <cell r="FF33">
            <v>30</v>
          </cell>
        </row>
        <row r="34">
          <cell r="B34">
            <v>0.59</v>
          </cell>
          <cell r="E34">
            <v>954621</v>
          </cell>
          <cell r="F34">
            <v>482</v>
          </cell>
          <cell r="G34">
            <v>448</v>
          </cell>
          <cell r="H34">
            <v>111652</v>
          </cell>
          <cell r="I34">
            <v>385</v>
          </cell>
          <cell r="J34">
            <v>414</v>
          </cell>
          <cell r="K34">
            <v>164625</v>
          </cell>
          <cell r="L34">
            <v>0</v>
          </cell>
          <cell r="N34">
            <v>826548</v>
          </cell>
          <cell r="O34">
            <v>199</v>
          </cell>
          <cell r="Q34">
            <v>193754</v>
          </cell>
          <cell r="R34">
            <v>14</v>
          </cell>
          <cell r="S34">
            <v>56656.26</v>
          </cell>
          <cell r="T34">
            <v>51.790000000000873</v>
          </cell>
          <cell r="U34">
            <v>12</v>
          </cell>
          <cell r="V34">
            <v>4385</v>
          </cell>
          <cell r="W34">
            <v>3</v>
          </cell>
          <cell r="AC34">
            <v>7291971.1200000001</v>
          </cell>
          <cell r="AD34">
            <v>2777.0400000000373</v>
          </cell>
          <cell r="AF34">
            <v>13974114</v>
          </cell>
          <cell r="AG34">
            <v>4872</v>
          </cell>
          <cell r="AI34">
            <v>13841693.039999999</v>
          </cell>
          <cell r="AJ34">
            <v>194.87999999895692</v>
          </cell>
          <cell r="AL34">
            <v>16795440.48</v>
          </cell>
          <cell r="AM34">
            <v>7941.3600000031292</v>
          </cell>
          <cell r="AO34">
            <v>17278889.039999999</v>
          </cell>
          <cell r="AP34">
            <v>0</v>
          </cell>
          <cell r="AR34">
            <v>15751663.199999999</v>
          </cell>
          <cell r="AS34">
            <v>5456.640000000596</v>
          </cell>
          <cell r="AU34">
            <v>13377488.880000001</v>
          </cell>
          <cell r="AV34">
            <v>3848.8800000008196</v>
          </cell>
          <cell r="AX34">
            <v>12863444.16</v>
          </cell>
          <cell r="AY34">
            <v>4238.640000000596</v>
          </cell>
          <cell r="BA34">
            <v>10240115.76</v>
          </cell>
          <cell r="BB34">
            <v>2874.4799999985844</v>
          </cell>
          <cell r="BD34">
            <v>15917895.84</v>
          </cell>
          <cell r="BE34">
            <v>5066.8800000008196</v>
          </cell>
          <cell r="BK34">
            <v>68689200</v>
          </cell>
          <cell r="BL34">
            <v>0</v>
          </cell>
          <cell r="BN34">
            <v>70849000</v>
          </cell>
          <cell r="BO34">
            <v>31100</v>
          </cell>
          <cell r="BQ34">
            <v>65863100</v>
          </cell>
          <cell r="BR34">
            <v>0</v>
          </cell>
          <cell r="BT34">
            <v>7982220</v>
          </cell>
          <cell r="BU34">
            <v>5240</v>
          </cell>
          <cell r="BW34">
            <v>0.74</v>
          </cell>
          <cell r="BX34">
            <v>-0.15000000000000002</v>
          </cell>
          <cell r="BZ34">
            <v>58006</v>
          </cell>
          <cell r="CA34">
            <v>15</v>
          </cell>
          <cell r="CB34">
            <v>49459</v>
          </cell>
          <cell r="CC34">
            <v>17</v>
          </cell>
          <cell r="CD34">
            <v>16953</v>
          </cell>
          <cell r="CE34">
            <v>4</v>
          </cell>
          <cell r="CF34">
            <v>22590</v>
          </cell>
          <cell r="CG34">
            <v>9</v>
          </cell>
          <cell r="CH34">
            <v>24621</v>
          </cell>
          <cell r="CI34">
            <v>14</v>
          </cell>
          <cell r="CJ34">
            <v>54562</v>
          </cell>
          <cell r="CK34">
            <v>20</v>
          </cell>
          <cell r="CL34">
            <v>239119</v>
          </cell>
          <cell r="CM34">
            <v>108</v>
          </cell>
          <cell r="CO34">
            <v>185569</v>
          </cell>
          <cell r="CP34">
            <v>116</v>
          </cell>
          <cell r="CR34">
            <v>332790</v>
          </cell>
          <cell r="CS34">
            <v>311</v>
          </cell>
          <cell r="CU34">
            <v>631317</v>
          </cell>
          <cell r="CV34">
            <v>258</v>
          </cell>
          <cell r="CX34">
            <v>6797</v>
          </cell>
          <cell r="CY34">
            <v>6</v>
          </cell>
          <cell r="CZ34">
            <v>4261</v>
          </cell>
          <cell r="DA34">
            <v>6</v>
          </cell>
          <cell r="DB34">
            <v>27690</v>
          </cell>
          <cell r="DC34">
            <v>15</v>
          </cell>
          <cell r="DD34">
            <v>28314</v>
          </cell>
          <cell r="DE34">
            <v>15</v>
          </cell>
          <cell r="DF34">
            <v>19081</v>
          </cell>
          <cell r="DG34">
            <v>9</v>
          </cell>
          <cell r="DH34">
            <v>22178</v>
          </cell>
          <cell r="DI34">
            <v>8</v>
          </cell>
          <cell r="DJ34">
            <v>3696</v>
          </cell>
          <cell r="DK34">
            <v>13</v>
          </cell>
          <cell r="DL34">
            <v>7393</v>
          </cell>
          <cell r="DM34">
            <v>12</v>
          </cell>
          <cell r="DN34">
            <v>2012</v>
          </cell>
          <cell r="DO34">
            <v>4</v>
          </cell>
          <cell r="DP34">
            <v>3928</v>
          </cell>
          <cell r="DQ34">
            <v>6</v>
          </cell>
          <cell r="DR34">
            <v>26540</v>
          </cell>
          <cell r="DS34">
            <v>7</v>
          </cell>
          <cell r="DU34">
            <v>3534</v>
          </cell>
          <cell r="DV34">
            <v>8.1999999999998181</v>
          </cell>
          <cell r="DW34">
            <v>8539.9</v>
          </cell>
          <cell r="DX34">
            <v>6</v>
          </cell>
          <cell r="DY34">
            <v>2670.7</v>
          </cell>
          <cell r="DZ34">
            <v>6.5999999999999091</v>
          </cell>
          <cell r="EA34">
            <v>2799.9</v>
          </cell>
          <cell r="EB34">
            <v>5.5999999999999091</v>
          </cell>
          <cell r="EC34">
            <v>899354</v>
          </cell>
          <cell r="ED34">
            <v>526</v>
          </cell>
          <cell r="EG34">
            <v>183663.9</v>
          </cell>
          <cell r="EH34">
            <v>151.29999999998836</v>
          </cell>
          <cell r="EJ34">
            <v>10546900</v>
          </cell>
          <cell r="EK34">
            <v>1800</v>
          </cell>
          <cell r="EL34">
            <v>839410</v>
          </cell>
          <cell r="EM34">
            <v>250</v>
          </cell>
          <cell r="EN34">
            <v>6443100</v>
          </cell>
          <cell r="EO34">
            <v>600</v>
          </cell>
          <cell r="EP34">
            <v>2266700</v>
          </cell>
          <cell r="EQ34">
            <v>200</v>
          </cell>
          <cell r="ER34">
            <v>1026530</v>
          </cell>
          <cell r="ES34">
            <v>650</v>
          </cell>
          <cell r="ET34">
            <v>14404500</v>
          </cell>
          <cell r="EU34">
            <v>0</v>
          </cell>
          <cell r="EW34">
            <v>38215</v>
          </cell>
          <cell r="EX34">
            <v>15</v>
          </cell>
          <cell r="EY34">
            <v>33110</v>
          </cell>
          <cell r="EZ34">
            <v>11</v>
          </cell>
          <cell r="FA34">
            <v>4195</v>
          </cell>
          <cell r="FB34">
            <v>10</v>
          </cell>
          <cell r="FC34">
            <v>55040</v>
          </cell>
          <cell r="FD34">
            <v>17</v>
          </cell>
          <cell r="FE34">
            <v>39280</v>
          </cell>
          <cell r="FF34">
            <v>36</v>
          </cell>
        </row>
        <row r="35">
          <cell r="B35">
            <v>0.59</v>
          </cell>
          <cell r="E35">
            <v>48615</v>
          </cell>
          <cell r="F35">
            <v>-906006</v>
          </cell>
          <cell r="G35">
            <v>464</v>
          </cell>
          <cell r="H35">
            <v>112019</v>
          </cell>
          <cell r="I35">
            <v>367</v>
          </cell>
          <cell r="J35">
            <v>426</v>
          </cell>
          <cell r="K35">
            <v>164625</v>
          </cell>
          <cell r="L35">
            <v>0</v>
          </cell>
          <cell r="N35">
            <v>826561</v>
          </cell>
          <cell r="O35">
            <v>13</v>
          </cell>
          <cell r="Q35">
            <v>193754</v>
          </cell>
          <cell r="R35">
            <v>0</v>
          </cell>
          <cell r="S35">
            <v>56717.97</v>
          </cell>
          <cell r="T35">
            <v>61.709999999999127</v>
          </cell>
          <cell r="U35">
            <v>22</v>
          </cell>
          <cell r="V35">
            <v>4389</v>
          </cell>
          <cell r="W35">
            <v>4</v>
          </cell>
          <cell r="AC35">
            <v>7294845.5999999996</v>
          </cell>
          <cell r="AD35">
            <v>2874.4799999995157</v>
          </cell>
          <cell r="AF35">
            <v>13978839.84</v>
          </cell>
          <cell r="AG35">
            <v>4725.839999999851</v>
          </cell>
          <cell r="AI35">
            <v>13841839.199999999</v>
          </cell>
          <cell r="AJ35">
            <v>146.16000000014901</v>
          </cell>
          <cell r="AL35">
            <v>16803381.84</v>
          </cell>
          <cell r="AM35">
            <v>7941.359999999404</v>
          </cell>
          <cell r="AO35">
            <v>17278889.039999999</v>
          </cell>
          <cell r="AP35">
            <v>0</v>
          </cell>
          <cell r="AR35">
            <v>15756876.24</v>
          </cell>
          <cell r="AS35">
            <v>5213.0400000009686</v>
          </cell>
          <cell r="AU35">
            <v>13381337.76</v>
          </cell>
          <cell r="AV35">
            <v>3848.8799999989569</v>
          </cell>
          <cell r="AX35">
            <v>12867828.959999999</v>
          </cell>
          <cell r="AY35">
            <v>4384.7999999988824</v>
          </cell>
          <cell r="BA35">
            <v>10243282.559999999</v>
          </cell>
          <cell r="BB35">
            <v>3166.7999999988824</v>
          </cell>
          <cell r="BD35">
            <v>15923108.880000001</v>
          </cell>
          <cell r="BE35">
            <v>5213.0400000009686</v>
          </cell>
          <cell r="BK35">
            <v>68689200</v>
          </cell>
          <cell r="BL35">
            <v>0</v>
          </cell>
          <cell r="BN35">
            <v>70882300</v>
          </cell>
          <cell r="BO35">
            <v>33300</v>
          </cell>
          <cell r="BQ35">
            <v>65863100</v>
          </cell>
          <cell r="BR35">
            <v>0</v>
          </cell>
          <cell r="BT35">
            <v>7987360</v>
          </cell>
          <cell r="BU35">
            <v>5140</v>
          </cell>
          <cell r="BW35">
            <v>0.66</v>
          </cell>
          <cell r="BX35">
            <v>7.999999999999996E-2</v>
          </cell>
          <cell r="BZ35">
            <v>58026</v>
          </cell>
          <cell r="CA35">
            <v>20</v>
          </cell>
          <cell r="CB35">
            <v>49479</v>
          </cell>
          <cell r="CC35">
            <v>20</v>
          </cell>
          <cell r="CD35">
            <v>16959</v>
          </cell>
          <cell r="CE35">
            <v>6</v>
          </cell>
          <cell r="CF35">
            <v>22600</v>
          </cell>
          <cell r="CG35">
            <v>10</v>
          </cell>
          <cell r="CH35">
            <v>24631</v>
          </cell>
          <cell r="CI35">
            <v>10</v>
          </cell>
          <cell r="CJ35">
            <v>54585</v>
          </cell>
          <cell r="CK35">
            <v>23</v>
          </cell>
          <cell r="CL35">
            <v>239225</v>
          </cell>
          <cell r="CM35">
            <v>106</v>
          </cell>
          <cell r="CO35">
            <v>185644</v>
          </cell>
          <cell r="CP35">
            <v>75</v>
          </cell>
          <cell r="CR35">
            <v>333035</v>
          </cell>
          <cell r="CS35">
            <v>245</v>
          </cell>
          <cell r="CU35">
            <v>631573</v>
          </cell>
          <cell r="CV35">
            <v>256</v>
          </cell>
          <cell r="CX35">
            <v>6806</v>
          </cell>
          <cell r="CY35">
            <v>9</v>
          </cell>
          <cell r="CZ35">
            <v>4270</v>
          </cell>
          <cell r="DA35">
            <v>9</v>
          </cell>
          <cell r="DB35">
            <v>27704</v>
          </cell>
          <cell r="DC35">
            <v>14</v>
          </cell>
          <cell r="DD35">
            <v>28328</v>
          </cell>
          <cell r="DE35">
            <v>14</v>
          </cell>
          <cell r="DF35">
            <v>19090</v>
          </cell>
          <cell r="DG35">
            <v>9</v>
          </cell>
          <cell r="DH35">
            <v>22186</v>
          </cell>
          <cell r="DI35">
            <v>8</v>
          </cell>
          <cell r="DJ35">
            <v>3705</v>
          </cell>
          <cell r="DK35">
            <v>9</v>
          </cell>
          <cell r="DL35">
            <v>7404</v>
          </cell>
          <cell r="DM35">
            <v>11</v>
          </cell>
          <cell r="DN35">
            <v>2016</v>
          </cell>
          <cell r="DO35">
            <v>4</v>
          </cell>
          <cell r="DP35">
            <v>3934</v>
          </cell>
          <cell r="DQ35">
            <v>6</v>
          </cell>
          <cell r="DR35">
            <v>26540</v>
          </cell>
          <cell r="DS35">
            <v>0</v>
          </cell>
          <cell r="DU35">
            <v>3542.8</v>
          </cell>
          <cell r="DV35">
            <v>8.8000000000001819</v>
          </cell>
          <cell r="DW35">
            <v>8546.5</v>
          </cell>
          <cell r="DX35">
            <v>6.6000000000003638</v>
          </cell>
          <cell r="DY35">
            <v>2677.5</v>
          </cell>
          <cell r="DZ35">
            <v>6.8000000000001819</v>
          </cell>
          <cell r="EA35">
            <v>2806.3</v>
          </cell>
          <cell r="EB35">
            <v>6.4000000000000909</v>
          </cell>
          <cell r="EC35">
            <v>899890</v>
          </cell>
          <cell r="ED35">
            <v>536</v>
          </cell>
          <cell r="EG35">
            <v>183822.8</v>
          </cell>
          <cell r="EH35">
            <v>158.89999999999418</v>
          </cell>
          <cell r="EJ35">
            <v>10548700</v>
          </cell>
          <cell r="EK35">
            <v>1800</v>
          </cell>
          <cell r="EL35">
            <v>839650</v>
          </cell>
          <cell r="EM35">
            <v>240</v>
          </cell>
          <cell r="EN35">
            <v>6443600</v>
          </cell>
          <cell r="EO35">
            <v>500</v>
          </cell>
          <cell r="EP35">
            <v>2267000</v>
          </cell>
          <cell r="EQ35">
            <v>300</v>
          </cell>
          <cell r="ER35">
            <v>1027150</v>
          </cell>
          <cell r="ES35">
            <v>620</v>
          </cell>
          <cell r="ET35">
            <v>14405500</v>
          </cell>
          <cell r="EU35">
            <v>1000</v>
          </cell>
          <cell r="EW35">
            <v>38229</v>
          </cell>
          <cell r="EX35">
            <v>14</v>
          </cell>
          <cell r="EY35">
            <v>33123</v>
          </cell>
          <cell r="EZ35">
            <v>13</v>
          </cell>
          <cell r="FA35">
            <v>4205</v>
          </cell>
          <cell r="FB35">
            <v>10</v>
          </cell>
          <cell r="FC35">
            <v>55059</v>
          </cell>
          <cell r="FD35">
            <v>19</v>
          </cell>
          <cell r="FE35">
            <v>39311</v>
          </cell>
          <cell r="FF35">
            <v>31</v>
          </cell>
        </row>
        <row r="36">
          <cell r="B36">
            <v>0.56000000000000005</v>
          </cell>
          <cell r="E36">
            <v>49108</v>
          </cell>
          <cell r="F36">
            <v>493</v>
          </cell>
          <cell r="G36">
            <v>459</v>
          </cell>
          <cell r="H36">
            <v>112408</v>
          </cell>
          <cell r="I36">
            <v>389</v>
          </cell>
          <cell r="J36">
            <v>424</v>
          </cell>
          <cell r="K36">
            <v>164625</v>
          </cell>
          <cell r="L36">
            <v>0</v>
          </cell>
          <cell r="N36">
            <v>826801</v>
          </cell>
          <cell r="O36">
            <v>240</v>
          </cell>
          <cell r="Q36">
            <v>193754</v>
          </cell>
          <cell r="R36">
            <v>0</v>
          </cell>
          <cell r="S36">
            <v>56786.78</v>
          </cell>
          <cell r="T36">
            <v>68.809999999997672</v>
          </cell>
          <cell r="U36">
            <v>15</v>
          </cell>
          <cell r="V36">
            <v>4390</v>
          </cell>
          <cell r="W36">
            <v>1</v>
          </cell>
          <cell r="AC36">
            <v>7297963.6799999997</v>
          </cell>
          <cell r="AD36">
            <v>3118.0800000000745</v>
          </cell>
          <cell r="AF36">
            <v>13983565.68</v>
          </cell>
          <cell r="AG36">
            <v>4725.839999999851</v>
          </cell>
          <cell r="AI36">
            <v>13841985.359999999</v>
          </cell>
          <cell r="AJ36">
            <v>146.16000000014901</v>
          </cell>
          <cell r="AL36">
            <v>16811810.399999999</v>
          </cell>
          <cell r="AM36">
            <v>8428.5599999986589</v>
          </cell>
          <cell r="AO36">
            <v>17278889.039999999</v>
          </cell>
          <cell r="AP36">
            <v>0</v>
          </cell>
          <cell r="AR36">
            <v>15761991.84</v>
          </cell>
          <cell r="AS36">
            <v>5115.5999999996275</v>
          </cell>
          <cell r="AU36">
            <v>13385430.24</v>
          </cell>
          <cell r="AV36">
            <v>4092.480000000447</v>
          </cell>
          <cell r="AX36">
            <v>12872067.6</v>
          </cell>
          <cell r="AY36">
            <v>4238.640000000596</v>
          </cell>
          <cell r="BA36">
            <v>10246498.08</v>
          </cell>
          <cell r="BB36">
            <v>3215.5200000014156</v>
          </cell>
          <cell r="BD36">
            <v>15928273.199999999</v>
          </cell>
          <cell r="BE36">
            <v>5164.3199999984354</v>
          </cell>
          <cell r="BK36">
            <v>68689200</v>
          </cell>
          <cell r="BL36">
            <v>0</v>
          </cell>
          <cell r="BN36">
            <v>70920800</v>
          </cell>
          <cell r="BO36">
            <v>38500</v>
          </cell>
          <cell r="BQ36">
            <v>65863100</v>
          </cell>
          <cell r="BR36">
            <v>0</v>
          </cell>
          <cell r="BT36">
            <v>7992730</v>
          </cell>
          <cell r="BU36">
            <v>5370</v>
          </cell>
          <cell r="BW36">
            <v>0.6</v>
          </cell>
          <cell r="BX36">
            <v>6.0000000000000053E-2</v>
          </cell>
          <cell r="BZ36">
            <v>58043</v>
          </cell>
          <cell r="CA36">
            <v>17</v>
          </cell>
          <cell r="CB36">
            <v>49498</v>
          </cell>
          <cell r="CC36">
            <v>19</v>
          </cell>
          <cell r="CD36">
            <v>16963</v>
          </cell>
          <cell r="CE36">
            <v>4</v>
          </cell>
          <cell r="CF36">
            <v>22609</v>
          </cell>
          <cell r="CG36">
            <v>9</v>
          </cell>
          <cell r="CH36">
            <v>24641</v>
          </cell>
          <cell r="CI36">
            <v>10</v>
          </cell>
          <cell r="CJ36">
            <v>54607</v>
          </cell>
          <cell r="CK36">
            <v>22</v>
          </cell>
          <cell r="CL36">
            <v>239333</v>
          </cell>
          <cell r="CM36">
            <v>108</v>
          </cell>
          <cell r="CO36">
            <v>185756</v>
          </cell>
          <cell r="CP36">
            <v>112</v>
          </cell>
          <cell r="CR36">
            <v>333299</v>
          </cell>
          <cell r="CS36">
            <v>264</v>
          </cell>
          <cell r="CU36">
            <v>631833</v>
          </cell>
          <cell r="CV36">
            <v>260</v>
          </cell>
          <cell r="CX36">
            <v>6815</v>
          </cell>
          <cell r="CY36">
            <v>9</v>
          </cell>
          <cell r="CZ36">
            <v>4279</v>
          </cell>
          <cell r="DA36">
            <v>9</v>
          </cell>
          <cell r="DB36">
            <v>27718</v>
          </cell>
          <cell r="DC36">
            <v>14</v>
          </cell>
          <cell r="DD36">
            <v>28345</v>
          </cell>
          <cell r="DE36">
            <v>17</v>
          </cell>
          <cell r="DF36">
            <v>19099</v>
          </cell>
          <cell r="DG36">
            <v>9</v>
          </cell>
          <cell r="DH36">
            <v>22194</v>
          </cell>
          <cell r="DI36">
            <v>8</v>
          </cell>
          <cell r="DJ36">
            <v>3715</v>
          </cell>
          <cell r="DK36">
            <v>10</v>
          </cell>
          <cell r="DL36">
            <v>7414</v>
          </cell>
          <cell r="DM36">
            <v>10</v>
          </cell>
          <cell r="DN36">
            <v>2020</v>
          </cell>
          <cell r="DO36">
            <v>4</v>
          </cell>
          <cell r="DP36">
            <v>3942</v>
          </cell>
          <cell r="DQ36">
            <v>8</v>
          </cell>
          <cell r="DR36">
            <v>26547</v>
          </cell>
          <cell r="DS36">
            <v>7</v>
          </cell>
          <cell r="DU36">
            <v>3551</v>
          </cell>
          <cell r="DV36">
            <v>8.1999999999998181</v>
          </cell>
          <cell r="DW36">
            <v>8553.7000000000007</v>
          </cell>
          <cell r="DX36">
            <v>7.2000000000007276</v>
          </cell>
          <cell r="DY36">
            <v>2684.1</v>
          </cell>
          <cell r="DZ36">
            <v>6.5999999999999091</v>
          </cell>
          <cell r="EA36">
            <v>2812.3</v>
          </cell>
          <cell r="EB36">
            <v>6</v>
          </cell>
          <cell r="EC36">
            <v>900393</v>
          </cell>
          <cell r="ED36">
            <v>503</v>
          </cell>
          <cell r="EG36">
            <v>183971.7</v>
          </cell>
          <cell r="EH36">
            <v>148.90000000002328</v>
          </cell>
          <cell r="EJ36">
            <v>10550600</v>
          </cell>
          <cell r="EK36">
            <v>1900</v>
          </cell>
          <cell r="EL36">
            <v>839900</v>
          </cell>
          <cell r="EM36">
            <v>250</v>
          </cell>
          <cell r="EN36">
            <v>6444300</v>
          </cell>
          <cell r="EO36">
            <v>700</v>
          </cell>
          <cell r="EP36">
            <v>2267300</v>
          </cell>
          <cell r="EQ36">
            <v>300</v>
          </cell>
          <cell r="ER36">
            <v>1027790</v>
          </cell>
          <cell r="ES36">
            <v>640</v>
          </cell>
          <cell r="ET36">
            <v>14407400</v>
          </cell>
          <cell r="EU36">
            <v>1900</v>
          </cell>
          <cell r="EW36">
            <v>38242</v>
          </cell>
          <cell r="EX36">
            <v>13</v>
          </cell>
          <cell r="EY36">
            <v>33134</v>
          </cell>
          <cell r="EZ36">
            <v>11</v>
          </cell>
          <cell r="FA36">
            <v>4216</v>
          </cell>
          <cell r="FB36">
            <v>11</v>
          </cell>
          <cell r="FC36">
            <v>55079</v>
          </cell>
          <cell r="FD36">
            <v>20</v>
          </cell>
          <cell r="FE36">
            <v>39345</v>
          </cell>
          <cell r="FF36">
            <v>34</v>
          </cell>
        </row>
        <row r="37">
          <cell r="F37">
            <v>-49108</v>
          </cell>
          <cell r="G37">
            <v>478</v>
          </cell>
          <cell r="I37">
            <v>-112408</v>
          </cell>
          <cell r="J37">
            <v>422</v>
          </cell>
          <cell r="L37">
            <v>-164625</v>
          </cell>
          <cell r="O37">
            <v>-826801</v>
          </cell>
          <cell r="R37">
            <v>-193754</v>
          </cell>
          <cell r="T37">
            <v>-56786.78</v>
          </cell>
          <cell r="U37">
            <v>12</v>
          </cell>
          <cell r="W37">
            <v>-4390</v>
          </cell>
          <cell r="AD37">
            <v>-7297963.6799999997</v>
          </cell>
          <cell r="AG37">
            <v>-13983565.68</v>
          </cell>
          <cell r="AJ37">
            <v>-13841985.359999999</v>
          </cell>
          <cell r="AM37">
            <v>-16811810.399999999</v>
          </cell>
          <cell r="AP37">
            <v>-17278889.039999999</v>
          </cell>
          <cell r="AS37">
            <v>-15761991.84</v>
          </cell>
          <cell r="AV37">
            <v>-13385430.24</v>
          </cell>
          <cell r="AY37">
            <v>-12872067.6</v>
          </cell>
          <cell r="BB37">
            <v>-10246498.08</v>
          </cell>
          <cell r="BE37">
            <v>-15928273.199999999</v>
          </cell>
          <cell r="BL37">
            <v>-68689200</v>
          </cell>
          <cell r="BO37">
            <v>-70920800</v>
          </cell>
          <cell r="BR37">
            <v>-65863100</v>
          </cell>
          <cell r="BU37">
            <v>-7992730</v>
          </cell>
          <cell r="BX37">
            <v>0.6</v>
          </cell>
          <cell r="CA37">
            <v>-58043</v>
          </cell>
          <cell r="CC37">
            <v>-49498</v>
          </cell>
          <cell r="CE37">
            <v>-16963</v>
          </cell>
          <cell r="CG37">
            <v>-22609</v>
          </cell>
          <cell r="CI37">
            <v>-24641</v>
          </cell>
          <cell r="CK37">
            <v>-54607</v>
          </cell>
          <cell r="CM37">
            <v>-239333</v>
          </cell>
          <cell r="CP37">
            <v>-185756</v>
          </cell>
          <cell r="CS37">
            <v>-333299</v>
          </cell>
          <cell r="CV37">
            <v>-631833</v>
          </cell>
          <cell r="CY37">
            <v>-6815</v>
          </cell>
          <cell r="DA37">
            <v>-4279</v>
          </cell>
          <cell r="DC37">
            <v>-27718</v>
          </cell>
          <cell r="DE37">
            <v>-28345</v>
          </cell>
          <cell r="DG37">
            <v>-19099</v>
          </cell>
          <cell r="DI37">
            <v>-22194</v>
          </cell>
          <cell r="DK37">
            <v>-3715</v>
          </cell>
          <cell r="DM37">
            <v>-7414</v>
          </cell>
          <cell r="DO37">
            <v>-2020</v>
          </cell>
          <cell r="DQ37">
            <v>-3942</v>
          </cell>
          <cell r="DS37">
            <v>-26547</v>
          </cell>
          <cell r="DV37">
            <v>-3551</v>
          </cell>
          <cell r="DX37">
            <v>-8553.7000000000007</v>
          </cell>
          <cell r="DZ37">
            <v>-2684.1</v>
          </cell>
          <cell r="EB37">
            <v>-2812.3</v>
          </cell>
          <cell r="ED37">
            <v>-900393</v>
          </cell>
          <cell r="EH37">
            <v>-183971.7</v>
          </cell>
          <cell r="EK37">
            <v>-10550600</v>
          </cell>
          <cell r="EM37">
            <v>-839900</v>
          </cell>
          <cell r="EO37">
            <v>-6444300</v>
          </cell>
          <cell r="EQ37">
            <v>-2267300</v>
          </cell>
          <cell r="ES37">
            <v>-1027790</v>
          </cell>
          <cell r="EU37">
            <v>-14407400</v>
          </cell>
          <cell r="EX37">
            <v>-38242</v>
          </cell>
          <cell r="EZ37">
            <v>-33134</v>
          </cell>
          <cell r="FB37">
            <v>-4216</v>
          </cell>
          <cell r="FD37">
            <v>-55079</v>
          </cell>
          <cell r="FF37">
            <v>-39345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I27" sqref="I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1"/>
        <v>3.6730769230769229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39268.320000004023</v>
      </c>
      <c r="F19">
        <v>0.44447999999999999</v>
      </c>
      <c r="G19" s="3">
        <f>Submetering!Z19+Submetering!AA19+Submetering!AB19</f>
        <v>901.53</v>
      </c>
      <c r="H19" s="238">
        <f t="shared" si="1"/>
        <v>3.6730769230769229</v>
      </c>
      <c r="I19" s="3">
        <f>Submetering!G19</f>
        <v>556</v>
      </c>
      <c r="J19">
        <v>13.83</v>
      </c>
      <c r="K19" s="3">
        <f>Submetering!I19</f>
        <v>129</v>
      </c>
      <c r="L19">
        <v>1.2</v>
      </c>
      <c r="M19" s="238">
        <f>Submetering!E19</f>
        <v>127.98</v>
      </c>
      <c r="N19">
        <f>Submetering!F19</f>
        <v>220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38001.599999999627</v>
      </c>
      <c r="F20">
        <v>0.44447999999999999</v>
      </c>
      <c r="G20" s="3">
        <f>Submetering!Z20+Submetering!AA20+Submetering!AB20</f>
        <v>839.15999999999985</v>
      </c>
      <c r="H20" s="238">
        <f t="shared" si="1"/>
        <v>3.6730769230769229</v>
      </c>
      <c r="I20" s="3">
        <f>Submetering!G20</f>
        <v>454</v>
      </c>
      <c r="J20">
        <v>13.83</v>
      </c>
      <c r="K20" s="3">
        <f>Submetering!I20</f>
        <v>230</v>
      </c>
      <c r="L20">
        <v>1.2</v>
      </c>
      <c r="M20" s="238">
        <f>Submetering!E20</f>
        <v>135.08999999999997</v>
      </c>
      <c r="N20">
        <f>Submetering!F20</f>
        <v>216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37709.280000000261</v>
      </c>
      <c r="F21">
        <v>0.44447999999999999</v>
      </c>
      <c r="G21" s="3">
        <f>Submetering!Z21+Submetering!AA21+Submetering!AB21</f>
        <v>1107.54</v>
      </c>
      <c r="H21" s="238">
        <f t="shared" si="1"/>
        <v>3.6730769230769229</v>
      </c>
      <c r="I21" s="3">
        <f>Submetering!G21</f>
        <v>496</v>
      </c>
      <c r="J21">
        <v>13.83</v>
      </c>
      <c r="K21" s="3">
        <f>Submetering!I21</f>
        <v>214</v>
      </c>
      <c r="L21">
        <v>1.2</v>
      </c>
      <c r="M21" s="238">
        <f>Submetering!E21</f>
        <v>109.02000000000001</v>
      </c>
      <c r="N21">
        <f>Submetering!F21</f>
        <v>212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36637.439999998547</v>
      </c>
      <c r="F22">
        <v>0.44447999999999999</v>
      </c>
      <c r="G22" s="3">
        <f>Submetering!Z22+Submetering!AA22+Submetering!AB22</f>
        <v>1222.83</v>
      </c>
      <c r="H22" s="238">
        <f t="shared" si="1"/>
        <v>3.6730769230769229</v>
      </c>
      <c r="I22" s="3">
        <f>Submetering!G22</f>
        <v>525</v>
      </c>
      <c r="J22">
        <v>13.83</v>
      </c>
      <c r="K22" s="3">
        <f>Submetering!I22</f>
        <v>192</v>
      </c>
      <c r="L22">
        <v>1.2</v>
      </c>
      <c r="M22" s="238">
        <f>Submetering!E22</f>
        <v>113.75999999999999</v>
      </c>
      <c r="N22">
        <f>Submetering!F22</f>
        <v>204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42191.52000000421</v>
      </c>
      <c r="F23">
        <v>0.44447999999999999</v>
      </c>
      <c r="G23" s="3">
        <f>Submetering!Z23+Submetering!AA23+Submetering!AB23</f>
        <v>1358.9099999999999</v>
      </c>
      <c r="H23" s="238">
        <f t="shared" si="1"/>
        <v>3.6730769230769229</v>
      </c>
      <c r="I23" s="3">
        <f>Submetering!G23</f>
        <v>687</v>
      </c>
      <c r="J23">
        <v>13.83</v>
      </c>
      <c r="K23" s="3">
        <f>Submetering!I23</f>
        <v>215</v>
      </c>
      <c r="L23">
        <v>1.2</v>
      </c>
      <c r="M23" s="238">
        <f>Submetering!E23</f>
        <v>127.98</v>
      </c>
      <c r="N23">
        <f>Submetering!F23</f>
        <v>235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31375.679999996908</v>
      </c>
      <c r="F24">
        <v>0.44447999999999999</v>
      </c>
      <c r="G24" s="3">
        <f>Submetering!Z24+Submetering!AA24+Submetering!AB24</f>
        <v>967.68</v>
      </c>
      <c r="H24" s="238">
        <f t="shared" si="1"/>
        <v>3.6730769230769229</v>
      </c>
      <c r="I24" s="3">
        <f>Submetering!G24</f>
        <v>443</v>
      </c>
      <c r="J24">
        <v>13.83</v>
      </c>
      <c r="K24" s="3">
        <f>Submetering!I24</f>
        <v>118</v>
      </c>
      <c r="L24">
        <v>1.2</v>
      </c>
      <c r="M24" s="238">
        <f>Submetering!E24</f>
        <v>116.13</v>
      </c>
      <c r="N24">
        <f>Submetering!F24</f>
        <v>213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36150.239999998361</v>
      </c>
      <c r="F25">
        <v>0.44447999999999999</v>
      </c>
      <c r="G25" s="3">
        <f>Submetering!Z25+Submetering!AA25+Submetering!AB25</f>
        <v>1014.9300000000001</v>
      </c>
      <c r="H25" s="238">
        <f t="shared" si="1"/>
        <v>3.6730769230769229</v>
      </c>
      <c r="I25" s="3">
        <f>Submetering!G25</f>
        <v>662</v>
      </c>
      <c r="J25">
        <v>13.83</v>
      </c>
      <c r="K25" s="3">
        <f>Submetering!I25</f>
        <v>363</v>
      </c>
      <c r="L25">
        <v>1.2</v>
      </c>
      <c r="M25" s="238">
        <f>Submetering!E25</f>
        <v>139.82999999999998</v>
      </c>
      <c r="N25">
        <f>Submetering!F25</f>
        <v>249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37270.800000003539</v>
      </c>
      <c r="F26">
        <v>0.44447999999999999</v>
      </c>
      <c r="G26" s="3">
        <f>Submetering!Z26+Submetering!AA26+Submetering!AB26</f>
        <v>1011.1499999999999</v>
      </c>
      <c r="H26" s="238">
        <f t="shared" si="1"/>
        <v>3.6730769230769229</v>
      </c>
      <c r="I26" s="3">
        <f>Submetering!G26</f>
        <v>482</v>
      </c>
      <c r="J26">
        <v>13.83</v>
      </c>
      <c r="K26" s="3">
        <f>Submetering!I26</f>
        <v>199</v>
      </c>
      <c r="L26">
        <v>1.2</v>
      </c>
      <c r="M26" s="238">
        <f>Submetering!E26</f>
        <v>139.82999999999998</v>
      </c>
      <c r="N26">
        <f>Submetering!F26</f>
        <v>254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37514.399999997579</v>
      </c>
      <c r="F27">
        <v>0.44447999999999999</v>
      </c>
      <c r="G27" s="3">
        <f>Submetering!Z27+Submetering!AA27+Submetering!AB27</f>
        <v>805.14</v>
      </c>
      <c r="H27" s="238">
        <f t="shared" si="1"/>
        <v>3.6730769230769229</v>
      </c>
      <c r="I27" s="3">
        <f>Submetering!G27</f>
        <v>-906006</v>
      </c>
      <c r="J27">
        <v>13.83</v>
      </c>
      <c r="K27" s="3">
        <f>Submetering!I27</f>
        <v>13</v>
      </c>
      <c r="L27">
        <v>1.2</v>
      </c>
      <c r="M27" s="238">
        <f>Submetering!E27</f>
        <v>139.82999999999998</v>
      </c>
      <c r="N27">
        <f>Submetering!F27</f>
        <v>232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38245.199999999255</v>
      </c>
      <c r="F28">
        <v>0.44447999999999999</v>
      </c>
      <c r="G28" s="3">
        <f>Submetering!Z28+Submetering!AA28+Submetering!AB28</f>
        <v>914.76</v>
      </c>
      <c r="H28" s="238">
        <f t="shared" si="1"/>
        <v>3.6730769230769229</v>
      </c>
      <c r="I28" s="3">
        <f>Submetering!G28</f>
        <v>493</v>
      </c>
      <c r="J28">
        <v>13.83</v>
      </c>
      <c r="K28" s="3">
        <f>Submetering!I28</f>
        <v>240</v>
      </c>
      <c r="L28">
        <v>1.2</v>
      </c>
      <c r="M28" s="238">
        <f>Submetering!E28</f>
        <v>132.72</v>
      </c>
      <c r="N28">
        <f>Submetering!F28</f>
        <v>234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246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AS11" activePane="bottomRight" state="frozen"/>
      <selection pane="topRight" activeCell="C1" sqref="C1"/>
      <selection pane="bottomLeft" activeCell="A2" sqref="A2"/>
      <selection pane="bottomRight" activeCell="BJ30" sqref="BJ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2022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</v>
      </c>
      <c r="D3">
        <v>2022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2022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2022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2022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2022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2022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2022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2022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2022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2022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2022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2022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2022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2022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2022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2022</v>
      </c>
      <c r="E19" s="78">
        <f>237*0.54</f>
        <v>127.98</v>
      </c>
      <c r="F19" s="79">
        <f>193+27</f>
        <v>220</v>
      </c>
      <c r="G19" s="3">
        <f>'DJB Daily Readings'!C27-'DJB Daily Readings'!C26</f>
        <v>556</v>
      </c>
      <c r="H19" s="3">
        <f>'DJB Daily Readings'!F27-'DJB Daily Readings'!F26</f>
        <v>400</v>
      </c>
      <c r="I19" s="3">
        <f>'DJB Daily Readings'!K27-'DJB Daily Readings'!K26</f>
        <v>129</v>
      </c>
      <c r="J19" s="3">
        <f>'DJB Daily Readings'!K27-'DJB Daily Readings'!K26</f>
        <v>129</v>
      </c>
      <c r="K19" s="3">
        <f>'DJB Daily Readings'!O27-'DJB Daily Readings'!O26</f>
        <v>93.340000000003783</v>
      </c>
      <c r="L19" s="3">
        <f>'DJB Daily Readings'!R27-'DJB Daily Readings'!R26</f>
        <v>11</v>
      </c>
      <c r="M19" s="3">
        <f>'DJB Daily Readings'!U27-'DJB Daily Readings'!U26</f>
        <v>2046.2400000002235</v>
      </c>
      <c r="N19" s="3">
        <f>'DJB Daily Readings'!X27-'DJB Daily Readings'!X26</f>
        <v>4823.2799999993294</v>
      </c>
      <c r="O19" s="3">
        <f>'DJB Daily Readings'!AA27-'DJB Daily Readings'!AA26</f>
        <v>10036.320000000298</v>
      </c>
      <c r="P19" s="3">
        <f>'DJB Daily Readings'!AD27-'DJB Daily Readings'!AD26</f>
        <v>0</v>
      </c>
      <c r="Q19" s="3">
        <f>'DJB Daily Readings'!AG27-'DJB Daily Readings'!AG26</f>
        <v>1120.5599999986589</v>
      </c>
      <c r="R19" s="3">
        <f>'DJB Daily Readings'!AJ27-'DJB Daily Readings'!AJ26</f>
        <v>5310.4800000023097</v>
      </c>
      <c r="S19" s="3">
        <f>'DJB Daily Readings'!AM27-'DJB Daily Readings'!AM26</f>
        <v>3800.160000000149</v>
      </c>
      <c r="T19" s="3">
        <f>'DJB Daily Readings'!AP27-'DJB Daily Readings'!AP26</f>
        <v>4043.7599999997765</v>
      </c>
      <c r="U19" s="3">
        <f>'DJB Daily Readings'!AS27-'DJB Daily Readings'!AS26</f>
        <v>2923.2000000011176</v>
      </c>
      <c r="V19" s="3">
        <f>'DJB Daily Readings'!AV27-'DJB Daily Readings'!AV26</f>
        <v>5164.3200000021607</v>
      </c>
      <c r="W19" s="3">
        <f>'DJB Daily Readings'!AZ27-'DJB Daily Readings'!AZ26</f>
        <v>50800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204.11999999999998</v>
      </c>
      <c r="AA19" s="3">
        <f>('DJB Daily Readings'!CN27-'DJB Daily Readings'!CN26)*1.89</f>
        <v>217.35</v>
      </c>
      <c r="AB19" s="3">
        <f>('DJB Daily Readings'!CQ27-'DJB Daily Readings'!CQ26)*1.89</f>
        <v>480.06</v>
      </c>
      <c r="AC19" s="3">
        <f>'DJB Daily Readings'!CT27-'DJB Daily Readings'!CT26</f>
        <v>289</v>
      </c>
      <c r="AD19" s="84">
        <f>('DJB Daily Readings'!BY27-'DJB Daily Readings'!BY26)*1.89</f>
        <v>32.129999999999995</v>
      </c>
      <c r="AE19" s="84">
        <f>('DJB Daily Readings'!CA27-'DJB Daily Readings'!CA26)*1.89</f>
        <v>39.69</v>
      </c>
      <c r="AF19" s="84">
        <f>('DJB Daily Readings'!CC27-'DJB Daily Readings'!CC26)*1.89</f>
        <v>7.56</v>
      </c>
      <c r="AG19" s="84">
        <f>('DJB Daily Readings'!CE27-'DJB Daily Readings'!CE26)*1.89</f>
        <v>18.899999999999999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32.129999999999995</v>
      </c>
      <c r="AJ19" s="81">
        <f>'DJB Daily Readings'!CY27-'DJB Daily Readings'!CY26</f>
        <v>7</v>
      </c>
      <c r="AK19" s="81">
        <f>'DJB Daily Readings'!CW27-'DJB Daily Readings'!CW26</f>
        <v>9</v>
      </c>
      <c r="AL19" s="82">
        <f>'DJB Daily Readings'!DC27-'DJB Daily Readings'!DC26</f>
        <v>28</v>
      </c>
      <c r="AM19" s="82">
        <f>'DJB Daily Readings'!DA27-'DJB Daily Readings'!DA26</f>
        <v>16</v>
      </c>
      <c r="AN19" s="82">
        <f>'DJB Daily Readings'!DG27-'DJB Daily Readings'!DG26</f>
        <v>10</v>
      </c>
      <c r="AO19" s="82">
        <f>'DJB Daily Readings'!DE27-'DJB Daily Readings'!DE26</f>
        <v>6</v>
      </c>
      <c r="AP19" s="82">
        <f>'DJB Daily Readings'!DK27-'DJB Daily Readings'!DK26</f>
        <v>19</v>
      </c>
      <c r="AQ19" s="82">
        <f>'DJB Daily Readings'!DI27-'DJB Daily Readings'!DI26</f>
        <v>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7.5</v>
      </c>
      <c r="AW19" s="82">
        <f>'DJB Daily Readings'!DX27-'DJB Daily Readings'!DX26</f>
        <v>6.4000000000000909</v>
      </c>
      <c r="AX19" s="82">
        <f>'DJB Daily Readings'!DZ27-'DJB Daily Readings'!DZ26</f>
        <v>6.0999999999999091</v>
      </c>
      <c r="AY19" s="82">
        <f>'DJB Daily Readings'!EB27-'DJB Daily Readings'!EB26</f>
        <v>521</v>
      </c>
      <c r="AZ19" s="82">
        <f>'DJB Daily Readings'!ED27-'DJB Daily Readings'!ED26</f>
        <v>138.60000000000582</v>
      </c>
      <c r="BA19" s="82">
        <f>'DJB Daily Readings'!EG27-'DJB Daily Readings'!EG26</f>
        <v>3700</v>
      </c>
      <c r="BB19" s="82">
        <f>'DJB Daily Readings'!EI27-'DJB Daily Readings'!EI26</f>
        <v>380</v>
      </c>
      <c r="BC19" s="82">
        <f>'DJB Daily Readings'!EQ27-'DJB Daily Readings'!EQ26</f>
        <v>5400</v>
      </c>
      <c r="BD19" s="82">
        <f>'DJB Daily Readings'!EK27-'DJB Daily Readings'!EK26</f>
        <v>1600</v>
      </c>
      <c r="BE19" s="82">
        <f>'DJB Daily Readings'!EM27-'DJB Daily Readings'!EM26</f>
        <v>500</v>
      </c>
      <c r="BF19" s="82">
        <f>'DJB Daily Readings'!EO27-'DJB Daily Readings'!EO26</f>
        <v>980</v>
      </c>
      <c r="BG19" s="82">
        <f>('DJB Daily Readings'!ET27-'DJB Daily Readings'!ET26)*1.89</f>
        <v>24.57</v>
      </c>
      <c r="BH19" s="82">
        <f>('DJB Daily Readings'!EV27-'DJB Daily Readings'!EV26)*1.89</f>
        <v>20.79</v>
      </c>
      <c r="BI19" s="82">
        <f>('DJB Daily Readings'!EZ27-'DJB Daily Readings'!EZ26)*1.89</f>
        <v>35.909999999999997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2022</v>
      </c>
      <c r="E20" s="78">
        <f>237*0.57</f>
        <v>135.08999999999997</v>
      </c>
      <c r="F20" s="79">
        <f>193+23</f>
        <v>216</v>
      </c>
      <c r="G20" s="3">
        <f>'DJB Daily Readings'!C28-'DJB Daily Readings'!C27</f>
        <v>454</v>
      </c>
      <c r="H20" s="3">
        <f>'DJB Daily Readings'!F28-'DJB Daily Readings'!F27</f>
        <v>355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75.049999999995634</v>
      </c>
      <c r="L20" s="3">
        <f>'DJB Daily Readings'!R28-'DJB Daily Readings'!R27</f>
        <v>13</v>
      </c>
      <c r="M20" s="3">
        <f>'DJB Daily Readings'!U28-'DJB Daily Readings'!U27</f>
        <v>2046.2400000002235</v>
      </c>
      <c r="N20" s="3">
        <f>'DJB Daily Readings'!X28-'DJB Daily Readings'!X27</f>
        <v>4628.3999999985099</v>
      </c>
      <c r="O20" s="3">
        <f>'DJB Daily Readings'!AA28-'DJB Daily Readings'!AA27</f>
        <v>9061.9199999999255</v>
      </c>
      <c r="P20" s="3">
        <f>'DJB Daily Readings'!AD28-'DJB Daily Readings'!AD27</f>
        <v>48.719999998807907</v>
      </c>
      <c r="Q20" s="3">
        <f>'DJB Daily Readings'!AG28-'DJB Daily Readings'!AG27</f>
        <v>1120.5600000023842</v>
      </c>
      <c r="R20" s="3">
        <f>'DJB Daily Readings'!AJ28-'DJB Daily Readings'!AJ27</f>
        <v>5164.3199999984354</v>
      </c>
      <c r="S20" s="3">
        <f>'DJB Daily Readings'!AM28-'DJB Daily Readings'!AM27</f>
        <v>4043.7600000016391</v>
      </c>
      <c r="T20" s="3">
        <f>'DJB Daily Readings'!AP28-'DJB Daily Readings'!AP27</f>
        <v>3848.8800000008196</v>
      </c>
      <c r="U20" s="3">
        <f>'DJB Daily Readings'!AS28-'DJB Daily Readings'!AS27</f>
        <v>2971.9199999999255</v>
      </c>
      <c r="V20" s="3">
        <f>'DJB Daily Readings'!AV28-'DJB Daily Readings'!AV27</f>
        <v>5066.8799999989569</v>
      </c>
      <c r="W20" s="3">
        <f>'DJB Daily Readings'!AZ28-'DJB Daily Readings'!AZ27</f>
        <v>47900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219.23999999999998</v>
      </c>
      <c r="AB20" s="3">
        <f>('DJB Daily Readings'!CQ28-'DJB Daily Readings'!CQ27)*1.89</f>
        <v>421.46999999999997</v>
      </c>
      <c r="AC20" s="3">
        <f>'DJB Daily Readings'!CT28-'DJB Daily Readings'!CT27</f>
        <v>254</v>
      </c>
      <c r="AD20" s="84">
        <f>('DJB Daily Readings'!BY28-'DJB Daily Readings'!BY27)*1.89</f>
        <v>37.799999999999997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47.25</v>
      </c>
      <c r="AJ20" s="81">
        <f>'DJB Daily Readings'!CY28-'DJB Daily Readings'!CY27</f>
        <v>3</v>
      </c>
      <c r="AK20" s="81">
        <f>'DJB Daily Readings'!CW28-'DJB Daily Readings'!CW27</f>
        <v>3</v>
      </c>
      <c r="AL20" s="82">
        <f>'DJB Daily Readings'!DC28-'DJB Daily Readings'!DC27</f>
        <v>10</v>
      </c>
      <c r="AM20" s="82">
        <f>'DJB Daily Readings'!DA28-'DJB Daily Readings'!DA27</f>
        <v>5</v>
      </c>
      <c r="AN20" s="82">
        <f>'DJB Daily Readings'!DG28-'DJB Daily Readings'!DG27</f>
        <v>2</v>
      </c>
      <c r="AO20" s="82">
        <f>'DJB Daily Readings'!DE28-'DJB Daily Readings'!DE27</f>
        <v>8</v>
      </c>
      <c r="AP20" s="82">
        <f>'DJB Daily Readings'!DK28-'DJB Daily Readings'!DK27</f>
        <v>5</v>
      </c>
      <c r="AQ20" s="82">
        <f>'DJB Daily Readings'!DI28-'DJB Daily Readings'!DI27</f>
        <v>6</v>
      </c>
      <c r="AR20" s="82">
        <f>'DJB Daily Readings'!DO28-'DJB Daily Readings'!DO27</f>
        <v>1</v>
      </c>
      <c r="AS20" s="82">
        <f>'DJB Daily Readings'!DM28-'DJB Daily Readings'!DM27</f>
        <v>1</v>
      </c>
      <c r="AT20" s="82">
        <f>'DJB Daily Readings'!DQ28-'DJB Daily Readings'!DQ27</f>
        <v>6</v>
      </c>
      <c r="AU20" s="82">
        <f>'DJB Daily Readings'!DT28-'DJB Daily Readings'!DT27</f>
        <v>8.0999999999999091</v>
      </c>
      <c r="AW20" s="82">
        <f>'DJB Daily Readings'!DX28-'DJB Daily Readings'!DX27</f>
        <v>6.3000000000001819</v>
      </c>
      <c r="AX20" s="82">
        <f>'DJB Daily Readings'!DZ28-'DJB Daily Readings'!DZ27</f>
        <v>6</v>
      </c>
      <c r="AY20" s="82">
        <f>'DJB Daily Readings'!EB28-'DJB Daily Readings'!EB27</f>
        <v>484</v>
      </c>
      <c r="AZ20" s="82">
        <f>'DJB Daily Readings'!ED28-'DJB Daily Readings'!ED27</f>
        <v>145.79999999998836</v>
      </c>
      <c r="BA20" s="82">
        <f>'DJB Daily Readings'!EG28-'DJB Daily Readings'!EG27</f>
        <v>1600</v>
      </c>
      <c r="BB20" s="82">
        <f>'DJB Daily Readings'!EI28-'DJB Daily Readings'!EI27</f>
        <v>180</v>
      </c>
      <c r="BC20" s="82">
        <f>'DJB Daily Readings'!EQ28-'DJB Daily Readings'!EQ27</f>
        <v>2100</v>
      </c>
      <c r="BD20" s="82">
        <f>'DJB Daily Readings'!EK28-'DJB Daily Readings'!EK27</f>
        <v>700</v>
      </c>
      <c r="BE20" s="82">
        <f>'DJB Daily Readings'!EM28-'DJB Daily Readings'!EM27</f>
        <v>200</v>
      </c>
      <c r="BF20" s="82">
        <f>'DJB Daily Readings'!EO28-'DJB Daily Readings'!EO27</f>
        <v>480</v>
      </c>
      <c r="BG20" s="82">
        <f>('DJB Daily Readings'!ET28-'DJB Daily Readings'!ET27)*1.89</f>
        <v>22.68</v>
      </c>
      <c r="BH20" s="82">
        <f>('DJB Daily Readings'!EV28-'DJB Daily Readings'!EV27)*1.89</f>
        <v>17.009999999999998</v>
      </c>
      <c r="BI20" s="82">
        <f>('DJB Daily Readings'!EZ28-'DJB Daily Readings'!EZ27)*1.89</f>
        <v>34.019999999999996</v>
      </c>
      <c r="BJ20" s="82">
        <f>('DJB Daily Readings'!EX28-'DJB Daily Readings'!EX27)*1.89</f>
        <v>18.899999999999999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2022</v>
      </c>
      <c r="E21" s="78">
        <f>0.46*237</f>
        <v>109.02000000000001</v>
      </c>
      <c r="F21" s="79">
        <f>191+21</f>
        <v>212</v>
      </c>
      <c r="G21" s="3">
        <f>'DJB Daily Readings'!C29-'DJB Daily Readings'!C28</f>
        <v>496</v>
      </c>
      <c r="H21" s="3">
        <f>'DJB Daily Readings'!F29-'DJB Daily Readings'!F28</f>
        <v>371</v>
      </c>
      <c r="I21" s="3">
        <f>'DJB Daily Readings'!K29-'DJB Daily Readings'!K28</f>
        <v>214</v>
      </c>
      <c r="J21" s="3">
        <f>'DJB Daily Readings'!K29-'DJB Daily Readings'!K28</f>
        <v>214</v>
      </c>
      <c r="K21" s="3">
        <f>'DJB Daily Readings'!O29-'DJB Daily Readings'!O28</f>
        <v>75.75</v>
      </c>
      <c r="L21" s="3">
        <f>'DJB Daily Readings'!R29-'DJB Daily Readings'!R28</f>
        <v>8</v>
      </c>
      <c r="M21" s="3">
        <f>'DJB Daily Readings'!U29-'DJB Daily Readings'!U28</f>
        <v>2241.1200000001118</v>
      </c>
      <c r="N21" s="3">
        <f>'DJB Daily Readings'!X29-'DJB Daily Readings'!X28</f>
        <v>4872</v>
      </c>
      <c r="O21" s="3">
        <f>'DJB Daily Readings'!AA29-'DJB Daily Readings'!AA28</f>
        <v>7746.480000000447</v>
      </c>
      <c r="P21" s="3">
        <f>'DJB Daily Readings'!AD29-'DJB Daily Readings'!AD28</f>
        <v>97.440000001341105</v>
      </c>
      <c r="Q21" s="3">
        <f>'DJB Daily Readings'!AG29-'DJB Daily Readings'!AG28</f>
        <v>1023.1199999973178</v>
      </c>
      <c r="R21" s="3">
        <f>'DJB Daily Readings'!AJ29-'DJB Daily Readings'!AJ28</f>
        <v>5505.359999999404</v>
      </c>
      <c r="S21" s="3">
        <f>'DJB Daily Readings'!AM29-'DJB Daily Readings'!AM28</f>
        <v>3897.5999999996275</v>
      </c>
      <c r="T21" s="3">
        <f>'DJB Daily Readings'!AP29-'DJB Daily Readings'!AP28</f>
        <v>4141.2000000011176</v>
      </c>
      <c r="U21" s="3">
        <f>'DJB Daily Readings'!AS29-'DJB Daily Readings'!AS28</f>
        <v>3069.3600000012666</v>
      </c>
      <c r="V21" s="3">
        <f>'DJB Daily Readings'!AV29-'DJB Daily Readings'!AV28</f>
        <v>5115.5999999996275</v>
      </c>
      <c r="W21" s="3">
        <f>'DJB Daily Readings'!AZ29-'DJB Daily Readings'!AZ28</f>
        <v>39400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206.01</v>
      </c>
      <c r="AA21" s="3">
        <f>('DJB Daily Readings'!CN29-'DJB Daily Readings'!CN28)*1.89</f>
        <v>219.23999999999998</v>
      </c>
      <c r="AB21" s="3">
        <f>('DJB Daily Readings'!CQ29-'DJB Daily Readings'!CQ28)*1.89</f>
        <v>682.29</v>
      </c>
      <c r="AC21" s="3">
        <f>'DJB Daily Readings'!CT29-'DJB Daily Readings'!CT28</f>
        <v>261</v>
      </c>
      <c r="AD21" s="84">
        <f>('DJB Daily Readings'!BY29-'DJB Daily Readings'!BY28)*1.89</f>
        <v>32.129999999999995</v>
      </c>
      <c r="AE21" s="84">
        <f>('DJB Daily Readings'!CA29-'DJB Daily Readings'!CA28)*1.89</f>
        <v>37.799999999999997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22.68</v>
      </c>
      <c r="AI21" s="84">
        <f>('DJB Daily Readings'!CI29-'DJB Daily Readings'!CI28)*1.89</f>
        <v>39.69</v>
      </c>
      <c r="AJ21" s="81">
        <f>'DJB Daily Readings'!CY29-'DJB Daily Readings'!CY28</f>
        <v>10</v>
      </c>
      <c r="AK21" s="81">
        <f>'DJB Daily Readings'!CW29-'DJB Daily Readings'!CW28</f>
        <v>9</v>
      </c>
      <c r="AL21" s="82">
        <f>'DJB Daily Readings'!DC29-'DJB Daily Readings'!DC28</f>
        <v>18</v>
      </c>
      <c r="AM21" s="82">
        <f>'DJB Daily Readings'!DA29-'DJB Daily Readings'!DA28</f>
        <v>15</v>
      </c>
      <c r="AN21" s="82">
        <f>'DJB Daily Readings'!DG29-'DJB Daily Readings'!DG28</f>
        <v>6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9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8</v>
      </c>
      <c r="AU21" s="82">
        <f>'DJB Daily Readings'!DT29-'DJB Daily Readings'!DT28</f>
        <v>8.5999999999999091</v>
      </c>
      <c r="AW21" s="82">
        <f>'DJB Daily Readings'!DX29-'DJB Daily Readings'!DX28</f>
        <v>6.6999999999998181</v>
      </c>
      <c r="AX21" s="82">
        <f>'DJB Daily Readings'!DZ29-'DJB Daily Readings'!DZ28</f>
        <v>6.5</v>
      </c>
      <c r="AY21" s="82">
        <f>'DJB Daily Readings'!EB29-'DJB Daily Readings'!EB28</f>
        <v>480</v>
      </c>
      <c r="AZ21" s="82">
        <f>'DJB Daily Readings'!ED29-'DJB Daily Readings'!ED28</f>
        <v>157.5</v>
      </c>
      <c r="BA21" s="82">
        <f>'DJB Daily Readings'!EG29-'DJB Daily Readings'!EG28</f>
        <v>2500</v>
      </c>
      <c r="BB21" s="82">
        <f>'DJB Daily Readings'!EI29-'DJB Daily Readings'!EI28</f>
        <v>310</v>
      </c>
      <c r="BC21" s="82">
        <f>'DJB Daily Readings'!EQ29-'DJB Daily Readings'!EQ28</f>
        <v>2800</v>
      </c>
      <c r="BD21" s="82">
        <f>'DJB Daily Readings'!EK29-'DJB Daily Readings'!EK28</f>
        <v>1200</v>
      </c>
      <c r="BE21" s="82">
        <f>'DJB Daily Readings'!EM29-'DJB Daily Readings'!EM28</f>
        <v>400</v>
      </c>
      <c r="BF21" s="82">
        <f>'DJB Daily Readings'!EO29-'DJB Daily Readings'!EO28</f>
        <v>800</v>
      </c>
      <c r="BG21" s="82">
        <f>('DJB Daily Readings'!ET29-'DJB Daily Readings'!ET28)*1.89</f>
        <v>26.459999999999997</v>
      </c>
      <c r="BH21" s="82">
        <f>('DJB Daily Readings'!EV29-'DJB Daily Readings'!EV28)*1.89</f>
        <v>26.459999999999997</v>
      </c>
      <c r="BI21" s="82">
        <f>('DJB Daily Readings'!EZ29-'DJB Daily Readings'!EZ28)*1.89</f>
        <v>39.69</v>
      </c>
      <c r="BJ21" s="82">
        <f>('DJB Daily Readings'!EX29-'DJB Daily Readings'!EX28)*1.89</f>
        <v>20.79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2022</v>
      </c>
      <c r="E22" s="78">
        <f>237*0.48</f>
        <v>113.75999999999999</v>
      </c>
      <c r="F22" s="79">
        <f>182+22</f>
        <v>204</v>
      </c>
      <c r="G22" s="3">
        <f>'DJB Daily Readings'!C30-'DJB Daily Readings'!C29</f>
        <v>525</v>
      </c>
      <c r="H22" s="3">
        <f>'DJB Daily Readings'!F30-'DJB Daily Readings'!F29</f>
        <v>419</v>
      </c>
      <c r="I22" s="3">
        <f>'DJB Daily Readings'!K30-'DJB Daily Readings'!K29</f>
        <v>192</v>
      </c>
      <c r="J22" s="3">
        <f>'DJB Daily Readings'!K30-'DJB Daily Readings'!K29</f>
        <v>192</v>
      </c>
      <c r="K22" s="3">
        <f>'DJB Daily Readings'!O30-'DJB Daily Readings'!O29</f>
        <v>56.980000000003201</v>
      </c>
      <c r="L22" s="3">
        <f>'DJB Daily Readings'!R30-'DJB Daily Readings'!R29</f>
        <v>0</v>
      </c>
      <c r="M22" s="3">
        <f>'DJB Daily Readings'!U30-'DJB Daily Readings'!U29</f>
        <v>2728.3199999993667</v>
      </c>
      <c r="N22" s="3">
        <f>'DJB Daily Readings'!X30-'DJB Daily Readings'!X29</f>
        <v>4677.1200000010431</v>
      </c>
      <c r="O22" s="3">
        <f>'DJB Daily Readings'!AA30-'DJB Daily Readings'!AA29</f>
        <v>97.439999999478459</v>
      </c>
      <c r="P22" s="3">
        <f>'DJB Daily Readings'!AD30-'DJB Daily Readings'!AD29</f>
        <v>7600.320000000298</v>
      </c>
      <c r="Q22" s="3">
        <f>'DJB Daily Readings'!AG30-'DJB Daily Readings'!AG29</f>
        <v>48.720000002533197</v>
      </c>
      <c r="R22" s="3">
        <f>'DJB Daily Readings'!AJ30-'DJB Daily Readings'!AJ29</f>
        <v>5554.0800000000745</v>
      </c>
      <c r="S22" s="3">
        <f>'DJB Daily Readings'!AM30-'DJB Daily Readings'!AM29</f>
        <v>3702.7199999988079</v>
      </c>
      <c r="T22" s="3">
        <f>'DJB Daily Readings'!AP30-'DJB Daily Readings'!AP29</f>
        <v>3995.0399999972433</v>
      </c>
      <c r="U22" s="3">
        <f>'DJB Daily Readings'!AS30-'DJB Daily Readings'!AS29</f>
        <v>2971.9199999980628</v>
      </c>
      <c r="V22" s="3">
        <f>'DJB Daily Readings'!AV30-'DJB Daily Readings'!AV29</f>
        <v>5261.7600000016391</v>
      </c>
      <c r="W22" s="3">
        <f>'DJB Daily Readings'!AZ30-'DJB Daily Readings'!AZ29</f>
        <v>900</v>
      </c>
      <c r="X22" s="3">
        <f>'DJB Daily Readings'!BC30-'DJB Daily Readings'!BC29</f>
        <v>30000</v>
      </c>
      <c r="Y22" s="3">
        <f>'DJB Daily Readings'!BF30-'DJB Daily Readings'!BF29</f>
        <v>0</v>
      </c>
      <c r="Z22" s="3">
        <f>('DJB Daily Readings'!CK30-'DJB Daily Readings'!CK29)*1.89</f>
        <v>202.23</v>
      </c>
      <c r="AA22" s="3">
        <f>('DJB Daily Readings'!CN30-'DJB Daily Readings'!CN29)*1.89</f>
        <v>215.45999999999998</v>
      </c>
      <c r="AB22" s="3">
        <f>('DJB Daily Readings'!CQ30-'DJB Daily Readings'!CQ29)*1.89</f>
        <v>805.14</v>
      </c>
      <c r="AC22" s="3">
        <f>'DJB Daily Readings'!CT30-'DJB Daily Readings'!CT29</f>
        <v>257</v>
      </c>
      <c r="AD22" s="84">
        <f>('DJB Daily Readings'!BY30-'DJB Daily Readings'!BY29)*1.89</f>
        <v>35.909999999999997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39.69</v>
      </c>
      <c r="AJ22" s="81">
        <f>'DJB Daily Readings'!CY30-'DJB Daily Readings'!CY29</f>
        <v>8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8</v>
      </c>
      <c r="AP22" s="82">
        <f>'DJB Daily Readings'!DK30-'DJB Daily Readings'!DK29</f>
        <v>15</v>
      </c>
      <c r="AQ22" s="82">
        <f>'DJB Daily Readings'!DI30-'DJB Daily Readings'!DI29</f>
        <v>11</v>
      </c>
      <c r="AR22" s="82">
        <f>'DJB Daily Readings'!DO30-'DJB Daily Readings'!DO29</f>
        <v>10</v>
      </c>
      <c r="AS22" s="82">
        <f>'DJB Daily Readings'!DM30-'DJB Daily Readings'!DM29</f>
        <v>6</v>
      </c>
      <c r="AT22" s="82">
        <f>'DJB Daily Readings'!DQ30-'DJB Daily Readings'!DQ29</f>
        <v>7</v>
      </c>
      <c r="AU22" s="82">
        <f>'DJB Daily Readings'!DT30-'DJB Daily Readings'!DT29</f>
        <v>8.6999999999998181</v>
      </c>
      <c r="AW22" s="82">
        <f>'DJB Daily Readings'!DX30-'DJB Daily Readings'!DX29</f>
        <v>7</v>
      </c>
      <c r="AX22" s="82">
        <f>'DJB Daily Readings'!DZ30-'DJB Daily Readings'!DZ29</f>
        <v>5.4000000000000909</v>
      </c>
      <c r="AY22" s="82">
        <f>'DJB Daily Readings'!EB30-'DJB Daily Readings'!EB29</f>
        <v>549</v>
      </c>
      <c r="AZ22" s="82">
        <f>'DJB Daily Readings'!ED30-'DJB Daily Readings'!ED29</f>
        <v>156.20000000001164</v>
      </c>
      <c r="BA22" s="82">
        <f>'DJB Daily Readings'!EG30-'DJB Daily Readings'!EG29</f>
        <v>1000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400</v>
      </c>
      <c r="BE22" s="82">
        <f>'DJB Daily Readings'!EM30-'DJB Daily Readings'!EM29</f>
        <v>100</v>
      </c>
      <c r="BF22" s="82">
        <f>'DJB Daily Readings'!EO30-'DJB Daily Readings'!EO29</f>
        <v>490</v>
      </c>
      <c r="BG22" s="82">
        <f>('DJB Daily Readings'!ET30-'DJB Daily Readings'!ET29)*1.89</f>
        <v>32.129999999999995</v>
      </c>
      <c r="BH22" s="82">
        <f>('DJB Daily Readings'!EV30-'DJB Daily Readings'!EV29)*1.89</f>
        <v>24.57</v>
      </c>
      <c r="BI22" s="82">
        <f>('DJB Daily Readings'!EZ30-'DJB Daily Readings'!EZ29)*1.89</f>
        <v>35.909999999999997</v>
      </c>
      <c r="BJ22" s="82">
        <f>('DJB Daily Readings'!EX30-'DJB Daily Readings'!EX29)*1.89</f>
        <v>22.68</v>
      </c>
      <c r="BK22" s="82">
        <f>('DJB Daily Readings'!FB30-'DJB Daily Readings'!FB29)*1.89</f>
        <v>60.48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2022</v>
      </c>
      <c r="E23" s="78">
        <f>237*0.54</f>
        <v>127.98</v>
      </c>
      <c r="F23" s="79">
        <f>215+20</f>
        <v>235</v>
      </c>
      <c r="G23" s="3">
        <f>'DJB Daily Readings'!C31-'DJB Daily Readings'!C30</f>
        <v>687</v>
      </c>
      <c r="H23" s="3">
        <f>'DJB Daily Readings'!F31-'DJB Daily Readings'!F30</f>
        <v>470</v>
      </c>
      <c r="I23" s="3">
        <f>'DJB Daily Readings'!K31-'DJB Daily Readings'!K30</f>
        <v>215</v>
      </c>
      <c r="J23" s="3">
        <f>'DJB Daily Readings'!K31-'DJB Daily Readings'!K30</f>
        <v>215</v>
      </c>
      <c r="K23" s="3">
        <f>'DJB Daily Readings'!O31-'DJB Daily Readings'!O30</f>
        <v>52.430000000000291</v>
      </c>
      <c r="L23" s="3">
        <f>'DJB Daily Readings'!R31-'DJB Daily Readings'!R30</f>
        <v>0</v>
      </c>
      <c r="M23" s="3">
        <f>'DJB Daily Readings'!U31-'DJB Daily Readings'!U30</f>
        <v>3361.6800000006333</v>
      </c>
      <c r="N23" s="3">
        <f>'DJB Daily Readings'!X31-'DJB Daily Readings'!X30</f>
        <v>5310.480000000447</v>
      </c>
      <c r="O23" s="3">
        <f>'DJB Daily Readings'!AA31-'DJB Daily Readings'!AA30</f>
        <v>146.16000000014901</v>
      </c>
      <c r="P23" s="3">
        <f>'DJB Daily Readings'!AD31-'DJB Daily Readings'!AD30</f>
        <v>8477.2800000011921</v>
      </c>
      <c r="Q23" s="3">
        <f>'DJB Daily Readings'!AG31-'DJB Daily Readings'!AG30</f>
        <v>48.719999998807907</v>
      </c>
      <c r="R23" s="3">
        <f>'DJB Daily Readings'!AJ31-'DJB Daily Readings'!AJ30</f>
        <v>6090</v>
      </c>
      <c r="S23" s="3">
        <f>'DJB Daily Readings'!AM31-'DJB Daily Readings'!AM30</f>
        <v>4433.519999999553</v>
      </c>
      <c r="T23" s="3">
        <f>'DJB Daily Readings'!AP31-'DJB Daily Readings'!AP30</f>
        <v>4920.7200000025332</v>
      </c>
      <c r="U23" s="3">
        <f>'DJB Daily Readings'!AS31-'DJB Daily Readings'!AS30</f>
        <v>3507.8400000017136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32300</v>
      </c>
      <c r="Y23" s="3">
        <f>'DJB Daily Readings'!BF31-'DJB Daily Readings'!BF30</f>
        <v>0</v>
      </c>
      <c r="Z23" s="3">
        <f>('DJB Daily Readings'!CK31-'DJB Daily Readings'!CK30)*1.89</f>
        <v>228.69</v>
      </c>
      <c r="AA23" s="3">
        <f>('DJB Daily Readings'!CN31-'DJB Daily Readings'!CN30)*1.89</f>
        <v>245.7</v>
      </c>
      <c r="AB23" s="3">
        <f>('DJB Daily Readings'!CQ31-'DJB Daily Readings'!CQ30)*1.89</f>
        <v>884.52</v>
      </c>
      <c r="AC23" s="3">
        <f>'DJB Daily Readings'!CT31-'DJB Daily Readings'!CT30</f>
        <v>290</v>
      </c>
      <c r="AD23" s="84">
        <f>('DJB Daily Readings'!BY31-'DJB Daily Readings'!BY30)*1.89</f>
        <v>39.69</v>
      </c>
      <c r="AE23" s="84">
        <f>('DJB Daily Readings'!CA31-'DJB Daily Readings'!CA30)*1.89</f>
        <v>39.69</v>
      </c>
      <c r="AF23" s="84">
        <f>('DJB Daily Readings'!CC31-'DJB Daily Readings'!CC30)*1.89</f>
        <v>11.34</v>
      </c>
      <c r="AG23" s="84">
        <f>('DJB Daily Readings'!CE31-'DJB Daily Readings'!CE30)*1.89</f>
        <v>26.459999999999997</v>
      </c>
      <c r="AH23" s="84">
        <f>('DJB Daily Readings'!CG31-'DJB Daily Readings'!CG30)*1.89</f>
        <v>30.24</v>
      </c>
      <c r="AI23" s="84">
        <f>('DJB Daily Readings'!CI31-'DJB Daily Readings'!CI30)*1.89</f>
        <v>47.25</v>
      </c>
      <c r="AJ23" s="81">
        <f>'DJB Daily Readings'!CY31-'DJB Daily Readings'!CY30</f>
        <v>9</v>
      </c>
      <c r="AK23" s="81">
        <f>'DJB Daily Readings'!CW31-'DJB Daily Readings'!CW30</f>
        <v>10</v>
      </c>
      <c r="AL23" s="82">
        <f>'DJB Daily Readings'!DC31-'DJB Daily Readings'!DC30</f>
        <v>9</v>
      </c>
      <c r="AM23" s="82">
        <f>'DJB Daily Readings'!DA31-'DJB Daily Readings'!DA30</f>
        <v>11</v>
      </c>
      <c r="AN23" s="82">
        <f>'DJB Daily Readings'!DG31-'DJB Daily Readings'!DG30</f>
        <v>7</v>
      </c>
      <c r="AO23" s="82">
        <f>'DJB Daily Readings'!DE31-'DJB Daily Readings'!DE30</f>
        <v>8</v>
      </c>
      <c r="AP23" s="82">
        <f>'DJB Daily Readings'!DK31-'DJB Daily Readings'!DK30</f>
        <v>18</v>
      </c>
      <c r="AQ23" s="82">
        <f>'DJB Daily Readings'!DI31-'DJB Daily Readings'!DI30</f>
        <v>11</v>
      </c>
      <c r="AR23" s="82">
        <f>'DJB Daily Readings'!DO31-'DJB Daily Readings'!DO30</f>
        <v>10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11.200000000000273</v>
      </c>
      <c r="AW23" s="82">
        <f>'DJB Daily Readings'!DX31-'DJB Daily Readings'!DX30</f>
        <v>7.5999999999999091</v>
      </c>
      <c r="AX23" s="82">
        <f>'DJB Daily Readings'!DZ31-'DJB Daily Readings'!DZ30</f>
        <v>7.0999999999999091</v>
      </c>
      <c r="AY23" s="82">
        <f>'DJB Daily Readings'!EB31-'DJB Daily Readings'!EB30</f>
        <v>643</v>
      </c>
      <c r="AZ23" s="82">
        <f>'DJB Daily Readings'!ED31-'DJB Daily Readings'!ED30</f>
        <v>185.39999999999418</v>
      </c>
      <c r="BA23" s="82">
        <f>'DJB Daily Readings'!EG31-'DJB Daily Readings'!EG30</f>
        <v>1700</v>
      </c>
      <c r="BB23" s="82">
        <f>'DJB Daily Readings'!EI31-'DJB Daily Readings'!EI30</f>
        <v>260</v>
      </c>
      <c r="BC23" s="82">
        <f>'DJB Daily Readings'!EQ31-'DJB Daily Readings'!EQ30</f>
        <v>1400</v>
      </c>
      <c r="BD23" s="82">
        <f>'DJB Daily Readings'!EK31-'DJB Daily Readings'!EK30</f>
        <v>700</v>
      </c>
      <c r="BE23" s="82">
        <f>'DJB Daily Readings'!EM31-'DJB Daily Readings'!EM30</f>
        <v>300</v>
      </c>
      <c r="BF23" s="82">
        <f>'DJB Daily Readings'!EO31-'DJB Daily Readings'!EO30</f>
        <v>710</v>
      </c>
      <c r="BG23" s="82">
        <f>('DJB Daily Readings'!ET31-'DJB Daily Readings'!ET30)*1.89</f>
        <v>30.24</v>
      </c>
      <c r="BH23" s="82">
        <f>('DJB Daily Readings'!EV31-'DJB Daily Readings'!EV30)*1.89</f>
        <v>30.24</v>
      </c>
      <c r="BI23" s="82">
        <f>('DJB Daily Readings'!EZ31-'DJB Daily Readings'!EZ30)*1.89</f>
        <v>39.69</v>
      </c>
      <c r="BJ23" s="82">
        <f>('DJB Daily Readings'!EX31-'DJB Daily Readings'!EX30)*1.89</f>
        <v>32.129999999999995</v>
      </c>
      <c r="BK23" s="82">
        <f>('DJB Daily Readings'!FB31-'DJB Daily Readings'!FB30)*1.89</f>
        <v>71.819999999999993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2022</v>
      </c>
      <c r="E24" s="78">
        <f>237*0.49</f>
        <v>116.13</v>
      </c>
      <c r="F24" s="79">
        <f>195+18</f>
        <v>213</v>
      </c>
      <c r="G24" s="3">
        <f>'DJB Daily Readings'!C32-'DJB Daily Readings'!C31</f>
        <v>443</v>
      </c>
      <c r="H24" s="3">
        <f>'DJB Daily Readings'!F32-'DJB Daily Readings'!F31</f>
        <v>318</v>
      </c>
      <c r="I24" s="3">
        <f>'DJB Daily Readings'!K32-'DJB Daily Readings'!K31</f>
        <v>118</v>
      </c>
      <c r="J24" s="3">
        <f>'DJB Daily Readings'!K32-'DJB Daily Readings'!K31</f>
        <v>118</v>
      </c>
      <c r="K24" s="3">
        <f>'DJB Daily Readings'!O32-'DJB Daily Readings'!O31</f>
        <v>58.549999999995634</v>
      </c>
      <c r="L24" s="3">
        <f>'DJB Daily Readings'!R32-'DJB Daily Readings'!R31</f>
        <v>3</v>
      </c>
      <c r="M24" s="3">
        <f>'DJB Daily Readings'!U32-'DJB Daily Readings'!U31</f>
        <v>2338.5599999995902</v>
      </c>
      <c r="N24" s="3">
        <f>'DJB Daily Readings'!X32-'DJB Daily Readings'!X31</f>
        <v>4189.9199999999255</v>
      </c>
      <c r="O24" s="3">
        <f>'DJB Daily Readings'!AA32-'DJB Daily Readings'!AA31</f>
        <v>146.16000000014901</v>
      </c>
      <c r="P24" s="3">
        <f>'DJB Daily Readings'!AD32-'DJB Daily Readings'!AD31</f>
        <v>5992.5599999986589</v>
      </c>
      <c r="Q24" s="3">
        <f>'DJB Daily Readings'!AG32-'DJB Daily Readings'!AG31</f>
        <v>0</v>
      </c>
      <c r="R24" s="3">
        <f>'DJB Daily Readings'!AJ32-'DJB Daily Readings'!AJ31</f>
        <v>4872</v>
      </c>
      <c r="S24" s="3">
        <f>'DJB Daily Readings'!AM32-'DJB Daily Readings'!AM31</f>
        <v>3215.5200000014156</v>
      </c>
      <c r="T24" s="3">
        <f>'DJB Daily Readings'!AP32-'DJB Daily Readings'!AP31</f>
        <v>3556.5599999986589</v>
      </c>
      <c r="U24" s="3">
        <f>'DJB Daily Readings'!AS32-'DJB Daily Readings'!AS31</f>
        <v>2630.8799999989569</v>
      </c>
      <c r="V24" s="3">
        <f>'DJB Daily Readings'!AV32-'DJB Daily Readings'!AV31</f>
        <v>4433.519999999553</v>
      </c>
      <c r="W24" s="3">
        <f>'DJB Daily Readings'!AZ32-'DJB Daily Readings'!AZ31</f>
        <v>0</v>
      </c>
      <c r="X24" s="3">
        <f>'DJB Daily Readings'!BC32-'DJB Daily Readings'!BC31</f>
        <v>28000</v>
      </c>
      <c r="Y24" s="3">
        <f>'DJB Daily Readings'!BF32-'DJB Daily Readings'!BF31</f>
        <v>0</v>
      </c>
      <c r="Z24" s="3">
        <f>('DJB Daily Readings'!CK32-'DJB Daily Readings'!CK31)*1.89</f>
        <v>179.54999999999998</v>
      </c>
      <c r="AA24" s="3">
        <f>('DJB Daily Readings'!CN32-'DJB Daily Readings'!CN31)*1.89</f>
        <v>204.11999999999998</v>
      </c>
      <c r="AB24" s="3">
        <f>('DJB Daily Readings'!CQ32-'DJB Daily Readings'!CQ31)*1.89</f>
        <v>584.01</v>
      </c>
      <c r="AC24" s="3">
        <f>'DJB Daily Readings'!CT32-'DJB Daily Readings'!CT31</f>
        <v>226</v>
      </c>
      <c r="AD24" s="84">
        <f>('DJB Daily Readings'!BY32-'DJB Daily Readings'!BY31)*1.89</f>
        <v>22.68</v>
      </c>
      <c r="AE24" s="84">
        <f>('DJB Daily Readings'!CA32-'DJB Daily Readings'!CA31)*1.89</f>
        <v>32.129999999999995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35.909999999999997</v>
      </c>
      <c r="AJ24" s="81">
        <f>'DJB Daily Readings'!CY32-'DJB Daily Readings'!CY31</f>
        <v>2</v>
      </c>
      <c r="AK24" s="81">
        <f>'DJB Daily Readings'!CW32-'DJB Daily Readings'!CW31</f>
        <v>8</v>
      </c>
      <c r="AL24" s="82">
        <f>'DJB Daily Readings'!DC32-'DJB Daily Readings'!DC31</f>
        <v>25</v>
      </c>
      <c r="AM24" s="82">
        <f>'DJB Daily Readings'!DA32-'DJB Daily Readings'!DA31</f>
        <v>21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10</v>
      </c>
      <c r="AQ24" s="82">
        <f>'DJB Daily Readings'!DI32-'DJB Daily Readings'!DI31</f>
        <v>11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5</v>
      </c>
      <c r="AU24" s="82">
        <f>'DJB Daily Readings'!DT32-'DJB Daily Readings'!DT31</f>
        <v>7.2999999999997272</v>
      </c>
      <c r="AW24" s="82">
        <f>'DJB Daily Readings'!DX32-'DJB Daily Readings'!DX31</f>
        <v>5.4000000000000909</v>
      </c>
      <c r="AX24" s="82">
        <f>'DJB Daily Readings'!DZ32-'DJB Daily Readings'!DZ31</f>
        <v>4.9000000000000909</v>
      </c>
      <c r="AY24" s="82">
        <f>'DJB Daily Readings'!EB32-'DJB Daily Readings'!EB31</f>
        <v>429</v>
      </c>
      <c r="AZ24" s="82">
        <f>'DJB Daily Readings'!ED32-'DJB Daily Readings'!ED31</f>
        <v>128.5</v>
      </c>
      <c r="BA24" s="82">
        <f>'DJB Daily Readings'!EG32-'DJB Daily Readings'!EG31</f>
        <v>1100</v>
      </c>
      <c r="BB24" s="82">
        <f>'DJB Daily Readings'!EI32-'DJB Daily Readings'!EI31</f>
        <v>180</v>
      </c>
      <c r="BC24" s="82">
        <f>'DJB Daily Readings'!EQ32-'DJB Daily Readings'!EQ31</f>
        <v>400</v>
      </c>
      <c r="BD24" s="82">
        <f>'DJB Daily Readings'!EK32-'DJB Daily Readings'!EK31</f>
        <v>400</v>
      </c>
      <c r="BE24" s="82">
        <f>'DJB Daily Readings'!EM32-'DJB Daily Readings'!EM31</f>
        <v>200</v>
      </c>
      <c r="BF24" s="82">
        <f>'DJB Daily Readings'!EO32-'DJB Daily Readings'!EO31</f>
        <v>520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34.019999999999996</v>
      </c>
      <c r="BJ24" s="82">
        <f>('DJB Daily Readings'!EX32-'DJB Daily Readings'!EX31)*1.89</f>
        <v>18.899999999999999</v>
      </c>
      <c r="BK24" s="82">
        <f>('DJB Daily Readings'!FB32-'DJB Daily Readings'!FB31)*1.89</f>
        <v>41.58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2022</v>
      </c>
      <c r="E25" s="78">
        <f>237*0.59</f>
        <v>139.82999999999998</v>
      </c>
      <c r="F25" s="79">
        <f>221+28</f>
        <v>249</v>
      </c>
      <c r="G25" s="3">
        <f>'DJB Daily Readings'!C33-'DJB Daily Readings'!C32</f>
        <v>662</v>
      </c>
      <c r="H25" s="3">
        <f>'DJB Daily Readings'!F33-'DJB Daily Readings'!F32</f>
        <v>349</v>
      </c>
      <c r="I25" s="3">
        <f>'DJB Daily Readings'!K33-'DJB Daily Readings'!K32</f>
        <v>363</v>
      </c>
      <c r="J25" s="3">
        <f>'DJB Daily Readings'!K33-'DJB Daily Readings'!K32</f>
        <v>363</v>
      </c>
      <c r="K25" s="3">
        <f>'DJB Daily Readings'!O33-'DJB Daily Readings'!O32</f>
        <v>53.270000000004075</v>
      </c>
      <c r="L25" s="3">
        <f>'DJB Daily Readings'!R33-'DJB Daily Readings'!R32</f>
        <v>7</v>
      </c>
      <c r="M25" s="3">
        <f>'DJB Daily Readings'!U33-'DJB Daily Readings'!U32</f>
        <v>2728.320000000298</v>
      </c>
      <c r="N25" s="3">
        <f>'DJB Daily Readings'!X33-'DJB Daily Readings'!X32</f>
        <v>4774.5600000005215</v>
      </c>
      <c r="O25" s="3">
        <f>'DJB Daily Readings'!AA33-'DJB Daily Readings'!AA32</f>
        <v>146.16000000014901</v>
      </c>
      <c r="P25" s="3">
        <f>'DJB Daily Readings'!AD33-'DJB Daily Readings'!AD32</f>
        <v>6820.7999999970198</v>
      </c>
      <c r="Q25" s="3">
        <f>'DJB Daily Readings'!AG33-'DJB Daily Readings'!AG32</f>
        <v>0</v>
      </c>
      <c r="R25" s="3">
        <f>'DJB Daily Readings'!AJ33-'DJB Daily Readings'!AJ32</f>
        <v>5651.519999999553</v>
      </c>
      <c r="S25" s="3">
        <f>'DJB Daily Readings'!AM33-'DJB Daily Readings'!AM32</f>
        <v>3800.160000000149</v>
      </c>
      <c r="T25" s="3">
        <f>'DJB Daily Readings'!AP33-'DJB Daily Readings'!AP32</f>
        <v>4189.9199999999255</v>
      </c>
      <c r="U25" s="3">
        <f>'DJB Daily Readings'!AS33-'DJB Daily Readings'!AS32</f>
        <v>3069.3600000012666</v>
      </c>
      <c r="V25" s="3">
        <f>'DJB Daily Readings'!AV33-'DJB Daily Readings'!AV32</f>
        <v>4969.4399999994785</v>
      </c>
      <c r="W25" s="3">
        <f>'DJB Daily Readings'!AZ33-'DJB Daily Readings'!AZ32</f>
        <v>0</v>
      </c>
      <c r="X25" s="3">
        <f>'DJB Daily Readings'!BC33-'DJB Daily Readings'!BC32</f>
        <v>27300</v>
      </c>
      <c r="Y25" s="3">
        <f>'DJB Daily Readings'!BF33-'DJB Daily Readings'!BF32</f>
        <v>0</v>
      </c>
      <c r="Z25" s="3">
        <f>('DJB Daily Readings'!CK33-'DJB Daily Readings'!CK32)*1.89</f>
        <v>206.01</v>
      </c>
      <c r="AA25" s="3">
        <f>('DJB Daily Readings'!CN33-'DJB Daily Readings'!CN32)*1.89</f>
        <v>213.57</v>
      </c>
      <c r="AB25" s="3">
        <f>('DJB Daily Readings'!CQ33-'DJB Daily Readings'!CQ32)*1.89</f>
        <v>595.35</v>
      </c>
      <c r="AC25" s="3">
        <f>'DJB Daily Readings'!CT33-'DJB Daily Readings'!CT32</f>
        <v>257</v>
      </c>
      <c r="AD25" s="84">
        <f>('DJB Daily Readings'!BY33-'DJB Daily Readings'!BY32)*1.89</f>
        <v>28.349999999999998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22.68</v>
      </c>
      <c r="AH25" s="84">
        <f>('DJB Daily Readings'!CG33-'DJB Daily Readings'!CG32)*1.89</f>
        <v>28.349999999999998</v>
      </c>
      <c r="AI25" s="84">
        <f>('DJB Daily Readings'!CI33-'DJB Daily Readings'!CI32)*1.89</f>
        <v>39.69</v>
      </c>
      <c r="AJ25" s="81">
        <f>'DJB Daily Readings'!CY33-'DJB Daily Readings'!CY32</f>
        <v>4</v>
      </c>
      <c r="AK25" s="81">
        <f>'DJB Daily Readings'!CW33-'DJB Daily Readings'!CW32</f>
        <v>6</v>
      </c>
      <c r="AL25" s="82">
        <f>'DJB Daily Readings'!DC33-'DJB Daily Readings'!DC32</f>
        <v>16</v>
      </c>
      <c r="AM25" s="82">
        <f>'DJB Daily Readings'!DA33-'DJB Daily Readings'!DA32</f>
        <v>15</v>
      </c>
      <c r="AN25" s="82">
        <f>'DJB Daily Readings'!DG33-'DJB Daily Readings'!DG32</f>
        <v>8</v>
      </c>
      <c r="AO25" s="82">
        <f>'DJB Daily Readings'!DE33-'DJB Daily Readings'!DE32</f>
        <v>9</v>
      </c>
      <c r="AP25" s="82">
        <f>'DJB Daily Readings'!DK33-'DJB Daily Readings'!DK32</f>
        <v>12</v>
      </c>
      <c r="AQ25" s="82">
        <f>'DJB Daily Readings'!DI33-'DJB Daily Readings'!DI32</f>
        <v>4</v>
      </c>
      <c r="AR25" s="82">
        <f>'DJB Daily Readings'!DO33-'DJB Daily Readings'!DO32</f>
        <v>6</v>
      </c>
      <c r="AS25" s="82">
        <f>'DJB Daily Readings'!DM33-'DJB Daily Readings'!DM32</f>
        <v>4</v>
      </c>
      <c r="AT25" s="82">
        <f>'DJB Daily Readings'!DQ33-'DJB Daily Readings'!DQ32</f>
        <v>8</v>
      </c>
      <c r="AU25" s="82">
        <f>'DJB Daily Readings'!DT33-'DJB Daily Readings'!DT32</f>
        <v>8.6000000000003638</v>
      </c>
      <c r="AW25" s="82">
        <f>'DJB Daily Readings'!DX33-'DJB Daily Readings'!DX32</f>
        <v>6.5</v>
      </c>
      <c r="AX25" s="82">
        <f>'DJB Daily Readings'!DZ33-'DJB Daily Readings'!DZ32</f>
        <v>5</v>
      </c>
      <c r="AY25" s="82">
        <f>'DJB Daily Readings'!EB33-'DJB Daily Readings'!EB32</f>
        <v>495</v>
      </c>
      <c r="AZ25" s="82">
        <f>'DJB Daily Readings'!ED33-'DJB Daily Readings'!ED32</f>
        <v>149.20000000001164</v>
      </c>
      <c r="BA25" s="82">
        <f>'DJB Daily Readings'!EG33-'DJB Daily Readings'!EG32</f>
        <v>1400</v>
      </c>
      <c r="BB25" s="82">
        <f>'DJB Daily Readings'!EI33-'DJB Daily Readings'!EI32</f>
        <v>220</v>
      </c>
      <c r="BC25" s="82">
        <f>'DJB Daily Readings'!EQ33-'DJB Daily Readings'!EQ32</f>
        <v>0</v>
      </c>
      <c r="BD25" s="82">
        <f>'DJB Daily Readings'!EK33-'DJB Daily Readings'!EK32</f>
        <v>600</v>
      </c>
      <c r="BE25" s="82">
        <f>'DJB Daily Readings'!EM33-'DJB Daily Readings'!EM32</f>
        <v>200</v>
      </c>
      <c r="BF25" s="82">
        <f>'DJB Daily Readings'!EO33-'DJB Daily Readings'!EO32</f>
        <v>600</v>
      </c>
      <c r="BG25" s="82">
        <f>('DJB Daily Readings'!ET33-'DJB Daily Readings'!ET32)*1.89</f>
        <v>24.57</v>
      </c>
      <c r="BH25" s="82">
        <f>('DJB Daily Readings'!EV33-'DJB Daily Readings'!EV32)*1.89</f>
        <v>18.899999999999999</v>
      </c>
      <c r="BI25" s="82">
        <f>('DJB Daily Readings'!EZ33-'DJB Daily Readings'!EZ32)*1.89</f>
        <v>32.129999999999995</v>
      </c>
      <c r="BJ25" s="82">
        <f>('DJB Daily Readings'!EX33-'DJB Daily Readings'!EX32)*1.89</f>
        <v>20.79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</v>
      </c>
      <c r="D26">
        <v>2022</v>
      </c>
      <c r="E26" s="78">
        <f>237*0.59</f>
        <v>139.82999999999998</v>
      </c>
      <c r="F26" s="79">
        <f>228+26</f>
        <v>254</v>
      </c>
      <c r="G26" s="3">
        <f>'DJB Daily Readings'!C34-'DJB Daily Readings'!C33</f>
        <v>482</v>
      </c>
      <c r="H26" s="3">
        <f>'DJB Daily Readings'!F34-'DJB Daily Readings'!F33</f>
        <v>385</v>
      </c>
      <c r="I26" s="3">
        <f>'DJB Daily Readings'!K34-'DJB Daily Readings'!K33</f>
        <v>199</v>
      </c>
      <c r="J26" s="3">
        <f>'DJB Daily Readings'!K34-'DJB Daily Readings'!K33</f>
        <v>199</v>
      </c>
      <c r="K26" s="3">
        <f>'DJB Daily Readings'!O34-'DJB Daily Readings'!O33</f>
        <v>51.790000000000873</v>
      </c>
      <c r="L26" s="3">
        <f>'DJB Daily Readings'!R34-'DJB Daily Readings'!R33</f>
        <v>3</v>
      </c>
      <c r="M26" s="3">
        <f>'DJB Daily Readings'!U34-'DJB Daily Readings'!U33</f>
        <v>2777.0400000000373</v>
      </c>
      <c r="N26" s="3">
        <f>'DJB Daily Readings'!X34-'DJB Daily Readings'!X33</f>
        <v>4872</v>
      </c>
      <c r="O26" s="3">
        <f>'DJB Daily Readings'!AA34-'DJB Daily Readings'!AA33</f>
        <v>194.87999999895692</v>
      </c>
      <c r="P26" s="3">
        <f>'DJB Daily Readings'!AD34-'DJB Daily Readings'!AD33</f>
        <v>7941.3600000031292</v>
      </c>
      <c r="Q26" s="3">
        <f>'DJB Daily Readings'!AG34-'DJB Daily Readings'!AG33</f>
        <v>0</v>
      </c>
      <c r="R26" s="3">
        <f>'DJB Daily Readings'!AJ34-'DJB Daily Readings'!AJ33</f>
        <v>5456.640000000596</v>
      </c>
      <c r="S26" s="3">
        <f>'DJB Daily Readings'!AM34-'DJB Daily Readings'!AM33</f>
        <v>3848.8800000008196</v>
      </c>
      <c r="T26" s="3">
        <f>'DJB Daily Readings'!AP34-'DJB Daily Readings'!AP33</f>
        <v>4238.640000000596</v>
      </c>
      <c r="U26" s="3">
        <f>'DJB Daily Readings'!AS34-'DJB Daily Readings'!AS33</f>
        <v>2874.4799999985844</v>
      </c>
      <c r="V26" s="3">
        <f>'DJB Daily Readings'!AV34-'DJB Daily Readings'!AV33</f>
        <v>5066.8800000008196</v>
      </c>
      <c r="W26" s="3">
        <f>'DJB Daily Readings'!AZ34-'DJB Daily Readings'!AZ33</f>
        <v>0</v>
      </c>
      <c r="X26" s="3">
        <f>'DJB Daily Readings'!BC34-'DJB Daily Readings'!BC33</f>
        <v>31100</v>
      </c>
      <c r="Y26" s="3">
        <f>'DJB Daily Readings'!BF34-'DJB Daily Readings'!BF33</f>
        <v>0</v>
      </c>
      <c r="Z26" s="3">
        <f>('DJB Daily Readings'!CK34-'DJB Daily Readings'!CK33)*1.89</f>
        <v>204.11999999999998</v>
      </c>
      <c r="AA26" s="3">
        <f>('DJB Daily Readings'!CN34-'DJB Daily Readings'!CN33)*1.89</f>
        <v>219.23999999999998</v>
      </c>
      <c r="AB26" s="3">
        <f>('DJB Daily Readings'!CQ34-'DJB Daily Readings'!CQ33)*1.89</f>
        <v>587.79</v>
      </c>
      <c r="AC26" s="3">
        <f>'DJB Daily Readings'!CT34-'DJB Daily Readings'!CT33</f>
        <v>258</v>
      </c>
      <c r="AD26" s="84">
        <f>('DJB Daily Readings'!BY34-'DJB Daily Readings'!BY33)*1.89</f>
        <v>28.349999999999998</v>
      </c>
      <c r="AE26" s="84">
        <f>('DJB Daily Readings'!CA34-'DJB Daily Readings'!CA33)*1.89</f>
        <v>32.129999999999995</v>
      </c>
      <c r="AF26" s="84">
        <f>('DJB Daily Readings'!CC34-'DJB Daily Readings'!CC33)*1.89</f>
        <v>7.56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37.799999999999997</v>
      </c>
      <c r="AJ26" s="81">
        <f>'DJB Daily Readings'!CY34-'DJB Daily Readings'!CY33</f>
        <v>6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15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12</v>
      </c>
      <c r="AQ26" s="82">
        <f>'DJB Daily Readings'!DI34-'DJB Daily Readings'!DI33</f>
        <v>13</v>
      </c>
      <c r="AR26" s="82">
        <f>'DJB Daily Readings'!DO34-'DJB Daily Readings'!DO33</f>
        <v>6</v>
      </c>
      <c r="AS26" s="82">
        <f>'DJB Daily Readings'!DM34-'DJB Daily Readings'!DM33</f>
        <v>4</v>
      </c>
      <c r="AT26" s="82">
        <f>'DJB Daily Readings'!DQ34-'DJB Daily Readings'!DQ33</f>
        <v>7</v>
      </c>
      <c r="AU26" s="82">
        <f>'DJB Daily Readings'!DT34-'DJB Daily Readings'!DT33</f>
        <v>8.1999999999998181</v>
      </c>
      <c r="AW26" s="82">
        <f>'DJB Daily Readings'!DX34-'DJB Daily Readings'!DX33</f>
        <v>6.5999999999999091</v>
      </c>
      <c r="AX26" s="82">
        <f>'DJB Daily Readings'!DZ34-'DJB Daily Readings'!DZ33</f>
        <v>5.5999999999999091</v>
      </c>
      <c r="AY26" s="82">
        <f>'DJB Daily Readings'!EB34-'DJB Daily Readings'!EB33</f>
        <v>526</v>
      </c>
      <c r="AZ26" s="82">
        <f>'DJB Daily Readings'!ED34-'DJB Daily Readings'!ED33</f>
        <v>151.29999999998836</v>
      </c>
      <c r="BA26" s="82">
        <f>'DJB Daily Readings'!EG34-'DJB Daily Readings'!EG33</f>
        <v>1800</v>
      </c>
      <c r="BB26" s="82">
        <f>'DJB Daily Readings'!EI34-'DJB Daily Readings'!EI33</f>
        <v>250</v>
      </c>
      <c r="BC26" s="82">
        <f>'DJB Daily Readings'!EQ34-'DJB Daily Readings'!EQ33</f>
        <v>0</v>
      </c>
      <c r="BD26" s="82">
        <f>'DJB Daily Readings'!EK34-'DJB Daily Readings'!EK33</f>
        <v>600</v>
      </c>
      <c r="BE26" s="82">
        <f>'DJB Daily Readings'!EM34-'DJB Daily Readings'!EM33</f>
        <v>200</v>
      </c>
      <c r="BF26" s="82">
        <f>'DJB Daily Readings'!EO34-'DJB Daily Readings'!EO33</f>
        <v>650</v>
      </c>
      <c r="BG26" s="82">
        <f>('DJB Daily Readings'!ET34-'DJB Daily Readings'!ET33)*1.89</f>
        <v>28.349999999999998</v>
      </c>
      <c r="BH26" s="82">
        <f>('DJB Daily Readings'!EV34-'DJB Daily Readings'!EV33)*1.89</f>
        <v>20.79</v>
      </c>
      <c r="BI26" s="82">
        <f>('DJB Daily Readings'!EZ34-'DJB Daily Readings'!EZ33)*1.89</f>
        <v>32.129999999999995</v>
      </c>
      <c r="BJ26" s="82">
        <f>('DJB Daily Readings'!EX34-'DJB Daily Readings'!EX33)*1.89</f>
        <v>18.899999999999999</v>
      </c>
      <c r="BK26" s="82">
        <f>('DJB Daily Readings'!FB34-'DJB Daily Readings'!FB33)*1.89</f>
        <v>68.039999999999992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2022</v>
      </c>
      <c r="E27" s="78">
        <f>237*0.59</f>
        <v>139.82999999999998</v>
      </c>
      <c r="F27" s="79">
        <f>208+24</f>
        <v>232</v>
      </c>
      <c r="G27" s="3">
        <f>'DJB Daily Readings'!C35-'DJB Daily Readings'!C34</f>
        <v>-906006</v>
      </c>
      <c r="H27" s="3">
        <f>'DJB Daily Readings'!F35-'DJB Daily Readings'!F34</f>
        <v>367</v>
      </c>
      <c r="I27" s="3">
        <f>'DJB Daily Readings'!K35-'DJB Daily Readings'!K34</f>
        <v>13</v>
      </c>
      <c r="J27" s="3">
        <f>'DJB Daily Readings'!K35-'DJB Daily Readings'!K34</f>
        <v>13</v>
      </c>
      <c r="K27" s="3">
        <f>'DJB Daily Readings'!O35-'DJB Daily Readings'!O34</f>
        <v>61.709999999999127</v>
      </c>
      <c r="L27" s="3">
        <f>'DJB Daily Readings'!R35-'DJB Daily Readings'!R34</f>
        <v>4</v>
      </c>
      <c r="M27" s="3">
        <f>'DJB Daily Readings'!U35-'DJB Daily Readings'!U34</f>
        <v>2874.4799999995157</v>
      </c>
      <c r="N27" s="3">
        <f>'DJB Daily Readings'!X35-'DJB Daily Readings'!X34</f>
        <v>4725.839999999851</v>
      </c>
      <c r="O27" s="3">
        <f>'DJB Daily Readings'!AA35-'DJB Daily Readings'!AA34</f>
        <v>146.16000000014901</v>
      </c>
      <c r="P27" s="3">
        <f>'DJB Daily Readings'!AD35-'DJB Daily Readings'!AD34</f>
        <v>7941.359999999404</v>
      </c>
      <c r="Q27" s="3">
        <f>'DJB Daily Readings'!AG35-'DJB Daily Readings'!AG34</f>
        <v>0</v>
      </c>
      <c r="R27" s="3">
        <f>'DJB Daily Readings'!AJ35-'DJB Daily Readings'!AJ34</f>
        <v>5213.0400000009686</v>
      </c>
      <c r="S27" s="3">
        <f>'DJB Daily Readings'!AM35-'DJB Daily Readings'!AM34</f>
        <v>3848.8799999989569</v>
      </c>
      <c r="T27" s="3">
        <f>'DJB Daily Readings'!AP35-'DJB Daily Readings'!AP34</f>
        <v>4384.7999999988824</v>
      </c>
      <c r="U27" s="3">
        <f>'DJB Daily Readings'!AS35-'DJB Daily Readings'!AS34</f>
        <v>3166.7999999988824</v>
      </c>
      <c r="V27" s="3">
        <f>'DJB Daily Readings'!AV35-'DJB Daily Readings'!AV34</f>
        <v>5213.0400000009686</v>
      </c>
      <c r="W27" s="3">
        <f>'DJB Daily Readings'!AZ35-'DJB Daily Readings'!AZ34</f>
        <v>0</v>
      </c>
      <c r="X27" s="3">
        <f>'DJB Daily Readings'!BC35-'DJB Daily Readings'!BC34</f>
        <v>33300</v>
      </c>
      <c r="Y27" s="3">
        <f>'DJB Daily Readings'!BF35-'DJB Daily Readings'!BF34</f>
        <v>0</v>
      </c>
      <c r="Z27" s="3">
        <f>('DJB Daily Readings'!CK35-'DJB Daily Readings'!CK34)*1.89</f>
        <v>200.34</v>
      </c>
      <c r="AA27" s="3">
        <f>('DJB Daily Readings'!CN35-'DJB Daily Readings'!CN34)*1.89</f>
        <v>141.75</v>
      </c>
      <c r="AB27" s="3">
        <f>('DJB Daily Readings'!CQ35-'DJB Daily Readings'!CQ34)*1.89</f>
        <v>463.04999999999995</v>
      </c>
      <c r="AC27" s="3">
        <f>'DJB Daily Readings'!CT35-'DJB Daily Readings'!CT34</f>
        <v>256</v>
      </c>
      <c r="AD27" s="84">
        <f>('DJB Daily Readings'!BY35-'DJB Daily Readings'!BY34)*1.89</f>
        <v>37.799999999999997</v>
      </c>
      <c r="AE27" s="84">
        <f>('DJB Daily Readings'!CA35-'DJB Daily Readings'!CA34)*1.89</f>
        <v>37.799999999999997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18.899999999999999</v>
      </c>
      <c r="AI27" s="84">
        <f>('DJB Daily Readings'!CI35-'DJB Daily Readings'!CI34)*1.89</f>
        <v>43.47</v>
      </c>
      <c r="AJ27" s="81">
        <f>'DJB Daily Readings'!CY35-'DJB Daily Readings'!CY34</f>
        <v>9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14</v>
      </c>
      <c r="AN27" s="82">
        <f>'DJB Daily Readings'!DG35-'DJB Daily Readings'!DG34</f>
        <v>8</v>
      </c>
      <c r="AO27" s="82">
        <f>'DJB Daily Readings'!DE35-'DJB Daily Readings'!DE34</f>
        <v>9</v>
      </c>
      <c r="AP27" s="82">
        <f>'DJB Daily Readings'!DK35-'DJB Daily Readings'!DK34</f>
        <v>11</v>
      </c>
      <c r="AQ27" s="82">
        <f>'DJB Daily Readings'!DI35-'DJB Daily Readings'!DI34</f>
        <v>9</v>
      </c>
      <c r="AR27" s="82">
        <f>'DJB Daily Readings'!DO35-'DJB Daily Readings'!DO34</f>
        <v>6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8.8000000000001819</v>
      </c>
      <c r="AW27" s="82">
        <f>'DJB Daily Readings'!DX35-'DJB Daily Readings'!DX34</f>
        <v>6.8000000000001819</v>
      </c>
      <c r="AX27" s="82">
        <f>'DJB Daily Readings'!DZ35-'DJB Daily Readings'!DZ34</f>
        <v>6.4000000000000909</v>
      </c>
      <c r="AY27" s="82">
        <f>'DJB Daily Readings'!EB35-'DJB Daily Readings'!EB34</f>
        <v>536</v>
      </c>
      <c r="AZ27" s="82">
        <f>'DJB Daily Readings'!ED35-'DJB Daily Readings'!ED34</f>
        <v>158.89999999999418</v>
      </c>
      <c r="BA27" s="82">
        <f>'DJB Daily Readings'!EG35-'DJB Daily Readings'!EG34</f>
        <v>1800</v>
      </c>
      <c r="BB27" s="82">
        <f>'DJB Daily Readings'!EI35-'DJB Daily Readings'!EI34</f>
        <v>240</v>
      </c>
      <c r="BC27" s="82">
        <f>'DJB Daily Readings'!EQ35-'DJB Daily Readings'!EQ34</f>
        <v>1000</v>
      </c>
      <c r="BD27" s="82">
        <f>'DJB Daily Readings'!EK35-'DJB Daily Readings'!EK34</f>
        <v>500</v>
      </c>
      <c r="BE27" s="82">
        <f>'DJB Daily Readings'!EM35-'DJB Daily Readings'!EM34</f>
        <v>300</v>
      </c>
      <c r="BF27" s="82">
        <f>'DJB Daily Readings'!EO35-'DJB Daily Readings'!EO34</f>
        <v>620</v>
      </c>
      <c r="BG27" s="82">
        <f>('DJB Daily Readings'!ET35-'DJB Daily Readings'!ET34)*1.89</f>
        <v>26.459999999999997</v>
      </c>
      <c r="BH27" s="82">
        <f>('DJB Daily Readings'!EV35-'DJB Daily Readings'!EV34)*1.89</f>
        <v>24.57</v>
      </c>
      <c r="BI27" s="82">
        <f>('DJB Daily Readings'!EZ35-'DJB Daily Readings'!EZ34)*1.89</f>
        <v>35.909999999999997</v>
      </c>
      <c r="BJ27" s="82">
        <f>('DJB Daily Readings'!EX35-'DJB Daily Readings'!EX34)*1.89</f>
        <v>18.899999999999999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1</v>
      </c>
      <c r="D28">
        <v>2022</v>
      </c>
      <c r="E28" s="78">
        <f>237*0.56</f>
        <v>132.72</v>
      </c>
      <c r="F28" s="79">
        <f>211+23</f>
        <v>234</v>
      </c>
      <c r="G28" s="3">
        <f>'DJB Daily Readings'!C36-'DJB Daily Readings'!C35</f>
        <v>493</v>
      </c>
      <c r="H28" s="3">
        <f>'DJB Daily Readings'!F36-'DJB Daily Readings'!F35</f>
        <v>389</v>
      </c>
      <c r="I28" s="3">
        <f>'DJB Daily Readings'!K36-'DJB Daily Readings'!K35</f>
        <v>240</v>
      </c>
      <c r="J28" s="3">
        <f>'DJB Daily Readings'!K36-'DJB Daily Readings'!K35</f>
        <v>240</v>
      </c>
      <c r="K28" s="3">
        <f>'DJB Daily Readings'!O36-'DJB Daily Readings'!O35</f>
        <v>68.809999999997672</v>
      </c>
      <c r="L28" s="3">
        <f>'DJB Daily Readings'!R36-'DJB Daily Readings'!R35</f>
        <v>1</v>
      </c>
      <c r="M28" s="3">
        <f>'DJB Daily Readings'!U36-'DJB Daily Readings'!U35</f>
        <v>3118.0800000000745</v>
      </c>
      <c r="N28" s="3">
        <f>'DJB Daily Readings'!X36-'DJB Daily Readings'!X35</f>
        <v>4725.839999999851</v>
      </c>
      <c r="O28" s="3">
        <f>'DJB Daily Readings'!AA36-'DJB Daily Readings'!AA35</f>
        <v>146.16000000014901</v>
      </c>
      <c r="P28" s="3">
        <f>'DJB Daily Readings'!AD36-'DJB Daily Readings'!AD35</f>
        <v>8428.5599999986589</v>
      </c>
      <c r="Q28" s="3">
        <f>'DJB Daily Readings'!AG36-'DJB Daily Readings'!AG35</f>
        <v>0</v>
      </c>
      <c r="R28" s="3">
        <f>'DJB Daily Readings'!AJ36-'DJB Daily Readings'!AJ35</f>
        <v>5115.5999999996275</v>
      </c>
      <c r="S28" s="3">
        <f>'DJB Daily Readings'!AM36-'DJB Daily Readings'!AM35</f>
        <v>4092.480000000447</v>
      </c>
      <c r="T28" s="3">
        <f>'DJB Daily Readings'!AP36-'DJB Daily Readings'!AP35</f>
        <v>4238.640000000596</v>
      </c>
      <c r="U28" s="3">
        <f>'DJB Daily Readings'!AS36-'DJB Daily Readings'!AS35</f>
        <v>3215.5200000014156</v>
      </c>
      <c r="V28" s="3">
        <f>'DJB Daily Readings'!AV36-'DJB Daily Readings'!AV35</f>
        <v>5164.3199999984354</v>
      </c>
      <c r="W28" s="3">
        <f>'DJB Daily Readings'!AZ36-'DJB Daily Readings'!AZ35</f>
        <v>0</v>
      </c>
      <c r="X28" s="3">
        <f>'DJB Daily Readings'!BC36-'DJB Daily Readings'!BC35</f>
        <v>38500</v>
      </c>
      <c r="Y28" s="3">
        <f>'DJB Daily Readings'!BF36-'DJB Daily Readings'!BF35</f>
        <v>0</v>
      </c>
      <c r="Z28" s="3">
        <f>('DJB Daily Readings'!CK36-'DJB Daily Readings'!CK35)*1.89</f>
        <v>204.11999999999998</v>
      </c>
      <c r="AA28" s="3">
        <f>('DJB Daily Readings'!CN36-'DJB Daily Readings'!CN35)*1.89</f>
        <v>211.67999999999998</v>
      </c>
      <c r="AB28" s="3">
        <f>('DJB Daily Readings'!CQ36-'DJB Daily Readings'!CQ35)*1.89</f>
        <v>498.96</v>
      </c>
      <c r="AC28" s="3">
        <f>'DJB Daily Readings'!CT36-'DJB Daily Readings'!CT35</f>
        <v>260</v>
      </c>
      <c r="AD28" s="84">
        <f>('DJB Daily Readings'!BY36-'DJB Daily Readings'!BY35)*1.89</f>
        <v>32.129999999999995</v>
      </c>
      <c r="AE28" s="84">
        <f>('DJB Daily Readings'!CA36-'DJB Daily Readings'!CA35)*1.89</f>
        <v>35.909999999999997</v>
      </c>
      <c r="AF28" s="84">
        <f>('DJB Daily Readings'!CC36-'DJB Daily Readings'!CC35)*1.89</f>
        <v>7.56</v>
      </c>
      <c r="AG28" s="84">
        <f>('DJB Daily Readings'!CE36-'DJB Daily Readings'!CE35)*1.89</f>
        <v>17.009999999999998</v>
      </c>
      <c r="AH28" s="84">
        <f>('DJB Daily Readings'!CG36-'DJB Daily Readings'!CG35)*1.89</f>
        <v>18.899999999999999</v>
      </c>
      <c r="AI28" s="84">
        <f>('DJB Daily Readings'!CI36-'DJB Daily Readings'!CI35)*1.89</f>
        <v>41.58</v>
      </c>
      <c r="AJ28" s="81">
        <f>'DJB Daily Readings'!CY36-'DJB Daily Readings'!CY35</f>
        <v>9</v>
      </c>
      <c r="AK28" s="81">
        <f>'DJB Daily Readings'!CW36-'DJB Daily Readings'!CW35</f>
        <v>9</v>
      </c>
      <c r="AL28" s="82">
        <f>'DJB Daily Readings'!DC36-'DJB Daily Readings'!DC35</f>
        <v>17</v>
      </c>
      <c r="AM28" s="82">
        <f>'DJB Daily Readings'!DA36-'DJB Daily Readings'!DA35</f>
        <v>14</v>
      </c>
      <c r="AN28" s="82">
        <f>'DJB Daily Readings'!DG36-'DJB Daily Readings'!DG35</f>
        <v>8</v>
      </c>
      <c r="AO28" s="82">
        <f>'DJB Daily Readings'!DE36-'DJB Daily Readings'!DE35</f>
        <v>9</v>
      </c>
      <c r="AP28" s="82">
        <f>'DJB Daily Readings'!DK36-'DJB Daily Readings'!DK35</f>
        <v>10</v>
      </c>
      <c r="AQ28" s="82">
        <f>'DJB Daily Readings'!DI36-'DJB Daily Readings'!DI35</f>
        <v>10</v>
      </c>
      <c r="AR28" s="82">
        <f>'DJB Daily Readings'!DO36-'DJB Daily Readings'!DO35</f>
        <v>8</v>
      </c>
      <c r="AS28" s="82">
        <f>'DJB Daily Readings'!DM36-'DJB Daily Readings'!DM35</f>
        <v>4</v>
      </c>
      <c r="AT28" s="82">
        <f>'DJB Daily Readings'!DQ36-'DJB Daily Readings'!DQ35</f>
        <v>7</v>
      </c>
      <c r="AU28" s="82">
        <f>'DJB Daily Readings'!DT36-'DJB Daily Readings'!DT35</f>
        <v>8.1999999999998181</v>
      </c>
      <c r="AW28" s="82">
        <f>'DJB Daily Readings'!DX36-'DJB Daily Readings'!DX35</f>
        <v>6.5999999999999091</v>
      </c>
      <c r="AX28" s="82">
        <f>'DJB Daily Readings'!DZ36-'DJB Daily Readings'!DZ35</f>
        <v>6</v>
      </c>
      <c r="AY28" s="82">
        <f>'DJB Daily Readings'!EB36-'DJB Daily Readings'!EB35</f>
        <v>503</v>
      </c>
      <c r="AZ28" s="82">
        <f>'DJB Daily Readings'!ED36-'DJB Daily Readings'!ED35</f>
        <v>148.90000000002328</v>
      </c>
      <c r="BA28" s="82">
        <f>'DJB Daily Readings'!EG36-'DJB Daily Readings'!EG35</f>
        <v>1900</v>
      </c>
      <c r="BB28" s="82">
        <f>'DJB Daily Readings'!EI36-'DJB Daily Readings'!EI35</f>
        <v>250</v>
      </c>
      <c r="BC28" s="82">
        <f>'DJB Daily Readings'!EQ36-'DJB Daily Readings'!EQ35</f>
        <v>1900</v>
      </c>
      <c r="BD28" s="82">
        <f>'DJB Daily Readings'!EK36-'DJB Daily Readings'!EK35</f>
        <v>700</v>
      </c>
      <c r="BE28" s="82">
        <f>'DJB Daily Readings'!EM36-'DJB Daily Readings'!EM35</f>
        <v>300</v>
      </c>
      <c r="BF28" s="82">
        <f>'DJB Daily Readings'!EO36-'DJB Daily Readings'!EO35</f>
        <v>640</v>
      </c>
      <c r="BG28" s="82">
        <f>('DJB Daily Readings'!ET36-'DJB Daily Readings'!ET35)*1.89</f>
        <v>24.57</v>
      </c>
      <c r="BH28" s="82">
        <f>('DJB Daily Readings'!EV36-'DJB Daily Readings'!EV35)*1.89</f>
        <v>20.79</v>
      </c>
      <c r="BI28" s="82">
        <f>('DJB Daily Readings'!EZ36-'DJB Daily Readings'!EZ35)*1.89</f>
        <v>37.799999999999997</v>
      </c>
      <c r="BJ28" s="82">
        <f>('DJB Daily Readings'!EX36-'DJB Daily Readings'!EX35)*1.89</f>
        <v>20.79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1</v>
      </c>
      <c r="D29">
        <v>2022</v>
      </c>
      <c r="E29" s="78"/>
      <c r="F29" s="79">
        <f>219+27</f>
        <v>246</v>
      </c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</v>
      </c>
      <c r="D31">
        <v>2022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476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93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589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517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533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580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55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476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93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589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517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533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580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55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476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93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589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517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533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580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55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476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93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589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517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533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580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55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476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93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589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517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533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580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55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476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93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589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517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533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580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55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476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93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589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517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533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580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55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0.56000000000000005</v>
      </c>
      <c r="C27" s="250">
        <f>'[1]January - 2022'!E27</f>
        <v>950872</v>
      </c>
      <c r="D27" s="170">
        <f>'[1]January - 2022'!F27</f>
        <v>556</v>
      </c>
      <c r="E27" s="168">
        <f>'[1]January - 2022'!G27</f>
        <v>473</v>
      </c>
      <c r="F27" s="168">
        <f>'[1]January - 2022'!H27</f>
        <v>108985</v>
      </c>
      <c r="G27" s="170">
        <f>'[1]January - 2022'!I27</f>
        <v>400</v>
      </c>
      <c r="H27" s="168">
        <f>'[1]January - 2022'!J27</f>
        <v>373</v>
      </c>
      <c r="I27" s="168">
        <f>'[1]January - 2022'!K27</f>
        <v>164625</v>
      </c>
      <c r="J27" s="170">
        <f>'[1]January - 2022'!L27</f>
        <v>0</v>
      </c>
      <c r="K27" s="168">
        <f>'[1]January - 2022'!N27</f>
        <v>825017</v>
      </c>
      <c r="L27" s="170">
        <f>'[1]January - 2022'!O27</f>
        <v>129</v>
      </c>
      <c r="M27" s="168">
        <f>'[1]January - 2022'!Q27</f>
        <v>193402</v>
      </c>
      <c r="N27" s="170">
        <f>'[1]January - 2022'!R27</f>
        <v>0</v>
      </c>
      <c r="O27" s="168">
        <f>'[1]January - 2022'!S27</f>
        <v>56232.44</v>
      </c>
      <c r="P27" s="170">
        <f>'[1]January - 2022'!T27</f>
        <v>93.340000000003783</v>
      </c>
      <c r="Q27" s="168">
        <f>'[1]January - 2022'!U27</f>
        <v>41</v>
      </c>
      <c r="R27" s="168">
        <f>'[1]January - 2022'!V27</f>
        <v>4351</v>
      </c>
      <c r="S27" s="208">
        <f>'[1]January - 2022'!W27</f>
        <v>11</v>
      </c>
      <c r="T27" s="476"/>
      <c r="U27" s="169">
        <f>'[1]January - 2022'!AC27</f>
        <v>7273749.8399999999</v>
      </c>
      <c r="V27" s="288">
        <f>'[1]January - 2022'!AD27</f>
        <v>2046.2400000002235</v>
      </c>
      <c r="W27" s="92">
        <f>'[1]January - 2022'!AD27</f>
        <v>2046.2400000002235</v>
      </c>
      <c r="X27" s="287">
        <f>'[1]January - 2022'!AF27</f>
        <v>13940789.52</v>
      </c>
      <c r="Y27" s="288">
        <f>'[1]January - 2022'!AG27</f>
        <v>4823.2799999993294</v>
      </c>
      <c r="Z27" s="92">
        <f>'[1]January - 2022'!AG27</f>
        <v>4823.2799999993294</v>
      </c>
      <c r="AA27" s="287">
        <f>'[1]January - 2022'!AI27</f>
        <v>13824153.84</v>
      </c>
      <c r="AB27" s="288">
        <f>'[1]January - 2022'!AJ27</f>
        <v>10036.320000000298</v>
      </c>
      <c r="AC27" s="92">
        <f>'[1]January - 2022'!AJ27</f>
        <v>10036.320000000298</v>
      </c>
      <c r="AD27" s="287">
        <f>'[1]January - 2022'!AL27</f>
        <v>16758462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17276647.919999998</v>
      </c>
      <c r="AH27" s="288">
        <f>'[1]January - 2022'!AP27</f>
        <v>1120.5599999986589</v>
      </c>
      <c r="AI27" s="92">
        <f>'[1]January - 2022'!AP27</f>
        <v>1120.5599999986589</v>
      </c>
      <c r="AJ27" s="287">
        <f>'[1]January - 2022'!AR27</f>
        <v>15713369.280000001</v>
      </c>
      <c r="AK27" s="288">
        <f>'[1]January - 2022'!AS27</f>
        <v>5310.4800000023097</v>
      </c>
      <c r="AL27" s="92">
        <f>'[1]January - 2022'!AS27</f>
        <v>5310.4800000023097</v>
      </c>
      <c r="AM27" s="287">
        <f>'[1]January - 2022'!AU27</f>
        <v>13350546.719999999</v>
      </c>
      <c r="AN27" s="288">
        <f>'[1]January - 2022'!AV27</f>
        <v>3800.160000000149</v>
      </c>
      <c r="AO27" s="92">
        <f>'[1]January - 2022'!AV27</f>
        <v>3800.160000000149</v>
      </c>
      <c r="AP27" s="287">
        <f>'[1]January - 2022'!AX27</f>
        <v>12834553.199999999</v>
      </c>
      <c r="AQ27" s="288">
        <f>'[1]January - 2022'!AY27</f>
        <v>4043.7599999997765</v>
      </c>
      <c r="AR27" s="92">
        <f>'[1]January - 2022'!AY27</f>
        <v>4043.7599999997765</v>
      </c>
      <c r="AS27" s="287">
        <f>'[1]January - 2022'!BA27</f>
        <v>10219020</v>
      </c>
      <c r="AT27" s="288">
        <f>'[1]January - 2022'!BB27</f>
        <v>2923.2000000011176</v>
      </c>
      <c r="AU27" s="92">
        <f>'[1]January - 2022'!BB27</f>
        <v>2923.2000000011176</v>
      </c>
      <c r="AV27" s="287">
        <f>'[1]January - 2022'!BD27</f>
        <v>15882086.640000001</v>
      </c>
      <c r="AW27" s="252">
        <f>'[1]January - 2022'!BE27</f>
        <v>5164.3200000021607</v>
      </c>
      <c r="AX27" s="253">
        <f>'[1]January - 2022'!BE27</f>
        <v>5164.3200000021607</v>
      </c>
      <c r="AY27" s="493"/>
      <c r="AZ27" s="272">
        <f>'[1]January - 2022'!BK27</f>
        <v>68601000</v>
      </c>
      <c r="BA27" s="179">
        <f>'[1]January - 2022'!BL27</f>
        <v>50800</v>
      </c>
      <c r="BB27" s="93">
        <f>'[1]January - 2022'!BL27</f>
        <v>50800</v>
      </c>
      <c r="BC27" s="272">
        <f>'[1]January - 2022'!BN27</f>
        <v>70700300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65863100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7944860</v>
      </c>
      <c r="BT27" s="185">
        <f>'[1]January - 2022'!BU27</f>
        <v>6540</v>
      </c>
      <c r="BU27" s="589"/>
      <c r="BV27" s="88">
        <f>'[1]January - 2022'!BW27</f>
        <v>0.56000000000000005</v>
      </c>
      <c r="BW27" s="241">
        <f>'[1]January - 2022'!BX27</f>
        <v>7.999999999999996E-2</v>
      </c>
      <c r="BX27" s="88">
        <f>'[1]January - 2022'!BX27</f>
        <v>7.999999999999996E-2</v>
      </c>
      <c r="BY27" s="89">
        <f>'[1]January - 2022'!BZ27</f>
        <v>57887</v>
      </c>
      <c r="BZ27" s="191">
        <f>'[1]January - 2022'!CA27</f>
        <v>17</v>
      </c>
      <c r="CA27" s="89">
        <f>'[1]January - 2022'!CB27</f>
        <v>49325</v>
      </c>
      <c r="CB27" s="191">
        <f>'[1]January - 2022'!CC27</f>
        <v>21</v>
      </c>
      <c r="CC27" s="89">
        <f>'[1]January - 2022'!CD27</f>
        <v>16917</v>
      </c>
      <c r="CD27" s="191">
        <f>'[1]January - 2022'!CE27</f>
        <v>4</v>
      </c>
      <c r="CE27" s="89">
        <f>'[1]January - 2022'!CF27</f>
        <v>22513</v>
      </c>
      <c r="CF27" s="191">
        <f>'[1]January - 2022'!CG27</f>
        <v>10</v>
      </c>
      <c r="CG27" s="89">
        <f>'[1]January - 2022'!CH27</f>
        <v>24532</v>
      </c>
      <c r="CH27" s="191">
        <f>'[1]January - 2022'!CI27</f>
        <v>10</v>
      </c>
      <c r="CI27" s="89">
        <f>'[1]January - 2022'!CJ27</f>
        <v>54410</v>
      </c>
      <c r="CJ27" s="191">
        <f>'[1]January - 2022'!CK27</f>
        <v>17</v>
      </c>
      <c r="CK27" s="89">
        <f>'[1]January - 2022'!CL27</f>
        <v>238365</v>
      </c>
      <c r="CL27" s="246">
        <f>'[1]January - 2022'!CM27</f>
        <v>108</v>
      </c>
      <c r="CM27" s="89">
        <f>'[1]January - 2022'!CM27</f>
        <v>108</v>
      </c>
      <c r="CN27" s="89">
        <f>'[1]January - 2022'!CO27</f>
        <v>184756</v>
      </c>
      <c r="CO27" s="246">
        <f>'[1]January - 2022'!CP27</f>
        <v>115</v>
      </c>
      <c r="CP27" s="89">
        <f>'[1]January - 2022'!CP27</f>
        <v>115</v>
      </c>
      <c r="CQ27" s="89">
        <f>'[1]January - 2022'!CR27</f>
        <v>330377</v>
      </c>
      <c r="CR27" s="246">
        <f>'[1]January - 2022'!CS27</f>
        <v>254</v>
      </c>
      <c r="CS27" s="89">
        <f>'[1]January - 2022'!CS27</f>
        <v>254</v>
      </c>
      <c r="CT27" s="89">
        <f>'[1]January - 2022'!CU27</f>
        <v>629514</v>
      </c>
      <c r="CU27" s="191">
        <f>'[1]January - 2022'!CV27</f>
        <v>289</v>
      </c>
      <c r="CV27" s="517"/>
      <c r="CW27" s="256">
        <f>'[1]January - 2022'!CX27</f>
        <v>6745</v>
      </c>
      <c r="CX27" s="198">
        <f>'[1]January - 2022'!CY27</f>
        <v>9</v>
      </c>
      <c r="CY27" s="257">
        <f>'[1]January - 2022'!CZ27</f>
        <v>4219</v>
      </c>
      <c r="CZ27" s="198">
        <f>'[1]January - 2022'!DA27</f>
        <v>7</v>
      </c>
      <c r="DA27" s="257">
        <f>'[1]January - 2022'!DB27</f>
        <v>27590</v>
      </c>
      <c r="DB27" s="198">
        <f>'[1]January - 2022'!DC27</f>
        <v>16</v>
      </c>
      <c r="DC27" s="257">
        <f>'[1]January - 2022'!DD27</f>
        <v>28202</v>
      </c>
      <c r="DD27" s="198">
        <f>'[1]January - 2022'!DE27</f>
        <v>28</v>
      </c>
      <c r="DE27" s="257">
        <f>'[1]January - 2022'!DF27</f>
        <v>19021</v>
      </c>
      <c r="DF27" s="198">
        <f>'[1]January - 2022'!DG27</f>
        <v>6</v>
      </c>
      <c r="DG27" s="257">
        <f>'[1]January - 2022'!DH27</f>
        <v>22132</v>
      </c>
      <c r="DH27" s="198">
        <f>'[1]January - 2022'!DI27</f>
        <v>10</v>
      </c>
      <c r="DI27" s="257">
        <f>'[1]January - 2022'!DJ27</f>
        <v>3631</v>
      </c>
      <c r="DJ27" s="198">
        <f>'[1]January - 2022'!DK27</f>
        <v>4</v>
      </c>
      <c r="DK27" s="257">
        <f>'[1]January - 2022'!DL27</f>
        <v>7307</v>
      </c>
      <c r="DL27" s="198">
        <f>'[1]January - 2022'!DM27</f>
        <v>19</v>
      </c>
      <c r="DM27" s="257">
        <f>'[1]January - 2022'!DN27</f>
        <v>1984</v>
      </c>
      <c r="DN27" s="198">
        <f>'[1]January - 2022'!DO27</f>
        <v>5</v>
      </c>
      <c r="DO27" s="257">
        <f>'[1]January - 2022'!DP27</f>
        <v>3884</v>
      </c>
      <c r="DP27" s="198">
        <f>'[1]January - 2022'!DQ27</f>
        <v>9</v>
      </c>
      <c r="DQ27" s="257">
        <f>'[1]January - 2022'!DR27</f>
        <v>26492</v>
      </c>
      <c r="DR27" s="206">
        <f>'[1]January - 2022'!DS27</f>
        <v>3</v>
      </c>
      <c r="DS27" s="533"/>
      <c r="DT27" s="210">
        <f>'[1]January - 2022'!DU27</f>
        <v>3473.3</v>
      </c>
      <c r="DU27" s="221">
        <f>'[1]January - 2022'!DV27</f>
        <v>7.5</v>
      </c>
      <c r="DV27" s="91">
        <f>'[1]January - 2022'!DW27</f>
        <v>8494.1</v>
      </c>
      <c r="DW27" s="215">
        <f>'[1]January - 2022'!DX27</f>
        <v>5.8999999999996362</v>
      </c>
      <c r="DX27" s="91">
        <f>'[1]January - 2022'!DY27</f>
        <v>2624.6</v>
      </c>
      <c r="DY27" s="215">
        <f>'[1]January - 2022'!DZ27</f>
        <v>6.4000000000000909</v>
      </c>
      <c r="DZ27" s="91">
        <f>'[1]January - 2022'!EA27</f>
        <v>2759.4</v>
      </c>
      <c r="EA27" s="215">
        <f>'[1]January - 2022'!EB27</f>
        <v>6.0999999999999091</v>
      </c>
      <c r="EB27" s="91">
        <f>'[1]January - 2022'!EC27</f>
        <v>895748</v>
      </c>
      <c r="EC27" s="215">
        <f>'[1]January - 2022'!ED27</f>
        <v>521</v>
      </c>
      <c r="ED27" s="91">
        <f>'[1]January - 2022'!EG27</f>
        <v>182590</v>
      </c>
      <c r="EE27" s="229">
        <f>'[1]January - 2022'!EH27</f>
        <v>138.60000000000582</v>
      </c>
      <c r="EF27" s="580"/>
      <c r="EG27" s="235">
        <f>'[1]January - 2022'!EJ27</f>
        <v>10535800</v>
      </c>
      <c r="EH27" s="230">
        <f>'[1]January - 2022'!EK27</f>
        <v>3700</v>
      </c>
      <c r="EI27" s="90">
        <f>'[1]January - 2022'!EL27</f>
        <v>837830</v>
      </c>
      <c r="EJ27" s="230">
        <f>'[1]January - 2022'!EM27</f>
        <v>380</v>
      </c>
      <c r="EK27" s="90">
        <f>'[1]January - 2022'!EN27</f>
        <v>6438500</v>
      </c>
      <c r="EL27" s="230">
        <f>'[1]January - 2022'!EO27</f>
        <v>1600</v>
      </c>
      <c r="EM27" s="90">
        <f>'[1]January - 2022'!EP27</f>
        <v>2265100</v>
      </c>
      <c r="EN27" s="230">
        <f>'[1]January - 2022'!EQ27</f>
        <v>500</v>
      </c>
      <c r="EO27" s="90">
        <f>'[1]January - 2022'!ER27</f>
        <v>1022280</v>
      </c>
      <c r="EP27" s="230">
        <f>'[1]January - 2022'!ES27</f>
        <v>980</v>
      </c>
      <c r="EQ27" s="90">
        <f>'[1]January - 2022'!ET27</f>
        <v>14396900</v>
      </c>
      <c r="ER27" s="230">
        <f>'[1]January - 2022'!EU27</f>
        <v>5400</v>
      </c>
      <c r="ES27" s="555"/>
      <c r="ET27" s="281">
        <f>'[1]January - 2022'!EW27</f>
        <v>38115</v>
      </c>
      <c r="EU27" s="275">
        <f>'[1]January - 2022'!EX27</f>
        <v>13</v>
      </c>
      <c r="EV27" s="282">
        <f>'[1]January - 2022'!EY27</f>
        <v>33027</v>
      </c>
      <c r="EW27" s="275">
        <f>'[1]January - 2022'!EZ27</f>
        <v>11</v>
      </c>
      <c r="EX27" s="282">
        <f>'[1]January - 2022'!FA27</f>
        <v>4114</v>
      </c>
      <c r="EY27" s="275">
        <f>'[1]January - 2022'!FB27</f>
        <v>10</v>
      </c>
      <c r="EZ27" s="282">
        <f>'[1]January - 2022'!FC27</f>
        <v>54909</v>
      </c>
      <c r="FA27" s="275">
        <f>'[1]January - 2022'!FD27</f>
        <v>19</v>
      </c>
      <c r="FB27" s="282">
        <f>'[1]January - 2022'!FE27</f>
        <v>39067</v>
      </c>
      <c r="FC27" s="276">
        <f>'[1]January - 2022'!FF27</f>
        <v>32</v>
      </c>
    </row>
    <row r="28" spans="1:159" ht="30" customHeight="1" x14ac:dyDescent="0.25">
      <c r="A28" s="207">
        <v>43849</v>
      </c>
      <c r="B28" s="209">
        <f>'[1]January - 2022'!B28</f>
        <v>0.56999999999999995</v>
      </c>
      <c r="C28" s="250">
        <f>'[1]January - 2022'!E28</f>
        <v>951326</v>
      </c>
      <c r="D28" s="170">
        <f>'[1]January - 2022'!F28</f>
        <v>454</v>
      </c>
      <c r="E28" s="168">
        <f>'[1]January - 2022'!G28</f>
        <v>499</v>
      </c>
      <c r="F28" s="168">
        <f>'[1]January - 2022'!H28</f>
        <v>109340</v>
      </c>
      <c r="G28" s="170">
        <f>'[1]January - 2022'!I28</f>
        <v>355</v>
      </c>
      <c r="H28" s="168">
        <f>'[1]January - 2022'!J28</f>
        <v>422</v>
      </c>
      <c r="I28" s="168">
        <f>'[1]January - 2022'!K28</f>
        <v>164625</v>
      </c>
      <c r="J28" s="170">
        <f>'[1]January - 2022'!L28</f>
        <v>0</v>
      </c>
      <c r="K28" s="168">
        <f>'[1]January - 2022'!N28</f>
        <v>825247</v>
      </c>
      <c r="L28" s="170">
        <f>'[1]January - 2022'!O28</f>
        <v>230</v>
      </c>
      <c r="M28" s="168">
        <f>'[1]January - 2022'!Q28</f>
        <v>193402</v>
      </c>
      <c r="N28" s="170">
        <f>'[1]January - 2022'!R28</f>
        <v>0</v>
      </c>
      <c r="O28" s="168">
        <f>'[1]January - 2022'!S28</f>
        <v>56307.49</v>
      </c>
      <c r="P28" s="170">
        <f>'[1]January - 2022'!T28</f>
        <v>75.049999999995634</v>
      </c>
      <c r="Q28" s="168">
        <f>'[1]January - 2022'!U28</f>
        <v>32</v>
      </c>
      <c r="R28" s="168">
        <f>'[1]January - 2022'!V28</f>
        <v>4364</v>
      </c>
      <c r="S28" s="208">
        <f>'[1]January - 2022'!W28</f>
        <v>13</v>
      </c>
      <c r="T28" s="476"/>
      <c r="U28" s="169">
        <f>'[1]January - 2022'!AC28</f>
        <v>7275796.0800000001</v>
      </c>
      <c r="V28" s="288">
        <f>'[1]January - 2022'!AD28</f>
        <v>2046.2400000002235</v>
      </c>
      <c r="W28" s="92">
        <f>'[1]January - 2022'!AD28</f>
        <v>2046.2400000002235</v>
      </c>
      <c r="X28" s="287">
        <f>'[1]January - 2022'!AF28</f>
        <v>13945417.919999998</v>
      </c>
      <c r="Y28" s="288">
        <f>'[1]January - 2022'!AG28</f>
        <v>4628.3999999985099</v>
      </c>
      <c r="Z28" s="92">
        <f>'[1]January - 2022'!AG28</f>
        <v>4628.3999999985099</v>
      </c>
      <c r="AA28" s="287">
        <f>'[1]January - 2022'!AI28</f>
        <v>13833215.76</v>
      </c>
      <c r="AB28" s="288">
        <f>'[1]January - 2022'!AJ28</f>
        <v>9061.9199999999255</v>
      </c>
      <c r="AC28" s="92">
        <f>'[1]January - 2022'!AJ28</f>
        <v>9061.9199999999255</v>
      </c>
      <c r="AD28" s="287">
        <f>'[1]January - 2022'!AL28</f>
        <v>16758510.719999999</v>
      </c>
      <c r="AE28" s="288">
        <f>'[1]January - 2022'!AM28</f>
        <v>48.719999998807907</v>
      </c>
      <c r="AF28" s="92">
        <f>'[1]January - 2022'!AM28</f>
        <v>48.719999998807907</v>
      </c>
      <c r="AG28" s="287">
        <f>'[1]January - 2022'!AO28</f>
        <v>17277768.48</v>
      </c>
      <c r="AH28" s="288">
        <f>'[1]January - 2022'!AP28</f>
        <v>1120.5600000023842</v>
      </c>
      <c r="AI28" s="92">
        <f>'[1]January - 2022'!AP28</f>
        <v>1120.5600000023842</v>
      </c>
      <c r="AJ28" s="287">
        <f>'[1]January - 2022'!AR28</f>
        <v>15718533.6</v>
      </c>
      <c r="AK28" s="288">
        <f>'[1]January - 2022'!AS28</f>
        <v>5164.3199999984354</v>
      </c>
      <c r="AL28" s="92">
        <f>'[1]January - 2022'!AS28</f>
        <v>5164.3199999984354</v>
      </c>
      <c r="AM28" s="287">
        <f>'[1]January - 2022'!AU28</f>
        <v>13354590.48</v>
      </c>
      <c r="AN28" s="288">
        <f>'[1]January - 2022'!AV28</f>
        <v>4043.7600000016391</v>
      </c>
      <c r="AO28" s="92">
        <f>'[1]January - 2022'!AV28</f>
        <v>4043.7600000016391</v>
      </c>
      <c r="AP28" s="295">
        <f>'[1]January - 2022'!AX28</f>
        <v>12838402.08</v>
      </c>
      <c r="AQ28" s="288">
        <f>'[1]January - 2022'!AY28</f>
        <v>3848.8800000008196</v>
      </c>
      <c r="AR28" s="92">
        <f>'[1]January - 2022'!AY28</f>
        <v>3848.8800000008196</v>
      </c>
      <c r="AS28" s="287">
        <f>'[1]January - 2022'!BA28</f>
        <v>10221991.92</v>
      </c>
      <c r="AT28" s="288">
        <f>'[1]January - 2022'!BB28</f>
        <v>2971.9199999999255</v>
      </c>
      <c r="AU28" s="92">
        <f>'[1]January - 2022'!BB28</f>
        <v>2971.9199999999255</v>
      </c>
      <c r="AV28" s="287">
        <f>'[1]January - 2022'!BD28</f>
        <v>15887153.52</v>
      </c>
      <c r="AW28" s="252">
        <f>'[1]January - 2022'!BE28</f>
        <v>5066.8799999989569</v>
      </c>
      <c r="AX28" s="253">
        <f>'[1]January - 2022'!BE28</f>
        <v>5066.8799999989569</v>
      </c>
      <c r="AY28" s="493"/>
      <c r="AZ28" s="272">
        <f>'[1]January - 2022'!BK28</f>
        <v>68648900</v>
      </c>
      <c r="BA28" s="179">
        <f>'[1]January - 2022'!BL28</f>
        <v>47900</v>
      </c>
      <c r="BB28" s="93">
        <f>'[1]January - 2022'!BL28</f>
        <v>47900</v>
      </c>
      <c r="BC28" s="272">
        <f>'[1]January - 2022'!BN28</f>
        <v>70700300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65863100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7949740</v>
      </c>
      <c r="BT28" s="185">
        <f>'[1]January - 2022'!BU28</f>
        <v>4880</v>
      </c>
      <c r="BU28" s="589"/>
      <c r="BV28" s="88">
        <f>'[1]January - 2022'!BW28</f>
        <v>0.8</v>
      </c>
      <c r="BW28" s="241">
        <f>'[1]January - 2022'!BX28</f>
        <v>-0.24</v>
      </c>
      <c r="BX28" s="88">
        <f>'[1]January - 2022'!BX28</f>
        <v>-0.24</v>
      </c>
      <c r="BY28" s="89">
        <f>'[1]January - 2022'!BZ28</f>
        <v>57907</v>
      </c>
      <c r="BZ28" s="191">
        <f>'[1]January - 2022'!CA28</f>
        <v>20</v>
      </c>
      <c r="CA28" s="89">
        <f>'[1]January - 2022'!CB28</f>
        <v>49346</v>
      </c>
      <c r="CB28" s="191">
        <f>'[1]January - 2022'!CC28</f>
        <v>21</v>
      </c>
      <c r="CC28" s="89">
        <f>'[1]January - 2022'!CD28</f>
        <v>16923</v>
      </c>
      <c r="CD28" s="191">
        <f>'[1]January - 2022'!CE28</f>
        <v>6</v>
      </c>
      <c r="CE28" s="89">
        <f>'[1]January - 2022'!CF28</f>
        <v>22524</v>
      </c>
      <c r="CF28" s="191">
        <f>'[1]January - 2022'!CG28</f>
        <v>11</v>
      </c>
      <c r="CG28" s="89">
        <f>'[1]January - 2022'!CH28</f>
        <v>24543</v>
      </c>
      <c r="CH28" s="191">
        <f>'[1]January - 2022'!CI28</f>
        <v>11</v>
      </c>
      <c r="CI28" s="89">
        <f>'[1]January - 2022'!CJ28</f>
        <v>54435</v>
      </c>
      <c r="CJ28" s="191">
        <f>'[1]January - 2022'!CK28</f>
        <v>25</v>
      </c>
      <c r="CK28" s="89">
        <f>'[1]January - 2022'!CL28</f>
        <v>238470</v>
      </c>
      <c r="CL28" s="246">
        <f>'[1]January - 2022'!CM28</f>
        <v>105</v>
      </c>
      <c r="CM28" s="89">
        <f>'[1]January - 2022'!CM28</f>
        <v>105</v>
      </c>
      <c r="CN28" s="89">
        <f>'[1]January - 2022'!CO28</f>
        <v>184872</v>
      </c>
      <c r="CO28" s="246">
        <f>'[1]January - 2022'!CP28</f>
        <v>116</v>
      </c>
      <c r="CP28" s="89">
        <f>'[1]January - 2022'!CP28</f>
        <v>116</v>
      </c>
      <c r="CQ28" s="89">
        <f>'[1]January - 2022'!CR28</f>
        <v>330600</v>
      </c>
      <c r="CR28" s="246">
        <f>'[1]January - 2022'!CS28</f>
        <v>223</v>
      </c>
      <c r="CS28" s="89">
        <f>'[1]January - 2022'!CS28</f>
        <v>223</v>
      </c>
      <c r="CT28" s="89">
        <f>'[1]January - 2022'!CU28</f>
        <v>629768</v>
      </c>
      <c r="CU28" s="191">
        <f>'[1]January - 2022'!CV28</f>
        <v>254</v>
      </c>
      <c r="CV28" s="517"/>
      <c r="CW28" s="256">
        <f>'[1]January - 2022'!CX28</f>
        <v>6748</v>
      </c>
      <c r="CX28" s="198">
        <f>'[1]January - 2022'!CY28</f>
        <v>3</v>
      </c>
      <c r="CY28" s="257">
        <f>'[1]January - 2022'!CZ28</f>
        <v>4222</v>
      </c>
      <c r="CZ28" s="198">
        <f>'[1]January - 2022'!DA28</f>
        <v>3</v>
      </c>
      <c r="DA28" s="257">
        <f>'[1]January - 2022'!DB28</f>
        <v>27595</v>
      </c>
      <c r="DB28" s="198">
        <f>'[1]January - 2022'!DC28</f>
        <v>5</v>
      </c>
      <c r="DC28" s="257">
        <f>'[1]January - 2022'!DD28</f>
        <v>28212</v>
      </c>
      <c r="DD28" s="198">
        <f>'[1]January - 2022'!DE28</f>
        <v>10</v>
      </c>
      <c r="DE28" s="257">
        <f>'[1]January - 2022'!DF28</f>
        <v>19029</v>
      </c>
      <c r="DF28" s="198">
        <f>'[1]January - 2022'!DG28</f>
        <v>8</v>
      </c>
      <c r="DG28" s="257">
        <f>'[1]January - 2022'!DH28</f>
        <v>22134</v>
      </c>
      <c r="DH28" s="198">
        <f>'[1]January - 2022'!DI28</f>
        <v>2</v>
      </c>
      <c r="DI28" s="257">
        <f>'[1]January - 2022'!DJ28</f>
        <v>3637</v>
      </c>
      <c r="DJ28" s="198">
        <f>'[1]January - 2022'!DK28</f>
        <v>6</v>
      </c>
      <c r="DK28" s="257">
        <f>'[1]January - 2022'!DL28</f>
        <v>7312</v>
      </c>
      <c r="DL28" s="198">
        <f>'[1]January - 2022'!DM28</f>
        <v>5</v>
      </c>
      <c r="DM28" s="257">
        <f>'[1]January - 2022'!DN28</f>
        <v>1985</v>
      </c>
      <c r="DN28" s="198">
        <f>'[1]January - 2022'!DO28</f>
        <v>1</v>
      </c>
      <c r="DO28" s="257">
        <f>'[1]January - 2022'!DP28</f>
        <v>3885</v>
      </c>
      <c r="DP28" s="198">
        <f>'[1]January - 2022'!DQ28</f>
        <v>1</v>
      </c>
      <c r="DQ28" s="257">
        <f>'[1]January - 2022'!DR28</f>
        <v>26498</v>
      </c>
      <c r="DR28" s="206">
        <f>'[1]January - 2022'!DS28</f>
        <v>6</v>
      </c>
      <c r="DS28" s="533"/>
      <c r="DT28" s="210">
        <f>'[1]January - 2022'!DU28</f>
        <v>3481.4</v>
      </c>
      <c r="DU28" s="221">
        <f>'[1]January - 2022'!DV28</f>
        <v>8.0999999999999091</v>
      </c>
      <c r="DV28" s="91">
        <f>'[1]January - 2022'!DW28</f>
        <v>8501.6</v>
      </c>
      <c r="DW28" s="215">
        <f>'[1]January - 2022'!DX28</f>
        <v>7.5</v>
      </c>
      <c r="DX28" s="91">
        <f>'[1]January - 2022'!DY28</f>
        <v>2630.9</v>
      </c>
      <c r="DY28" s="215">
        <f>'[1]January - 2022'!DZ28</f>
        <v>6.3000000000001819</v>
      </c>
      <c r="DZ28" s="91">
        <f>'[1]January - 2022'!EA28</f>
        <v>2765.4</v>
      </c>
      <c r="EA28" s="215">
        <f>'[1]January - 2022'!EB28</f>
        <v>6</v>
      </c>
      <c r="EB28" s="91">
        <f>'[1]January - 2022'!EC28</f>
        <v>896232</v>
      </c>
      <c r="EC28" s="215">
        <f>'[1]January - 2022'!ED28</f>
        <v>484</v>
      </c>
      <c r="ED28" s="91">
        <f>'[1]January - 2022'!EG28</f>
        <v>182735.8</v>
      </c>
      <c r="EE28" s="229">
        <f>'[1]January - 2022'!EH28</f>
        <v>145.79999999998836</v>
      </c>
      <c r="EF28" s="580"/>
      <c r="EG28" s="235">
        <f>'[1]January - 2022'!EJ28</f>
        <v>10537400</v>
      </c>
      <c r="EH28" s="230">
        <f>'[1]January - 2022'!EK28</f>
        <v>1600</v>
      </c>
      <c r="EI28" s="90">
        <f>'[1]January - 2022'!EL28</f>
        <v>838010</v>
      </c>
      <c r="EJ28" s="230">
        <f>'[1]January - 2022'!EM28</f>
        <v>180</v>
      </c>
      <c r="EK28" s="90">
        <f>'[1]January - 2022'!EN28</f>
        <v>6439200</v>
      </c>
      <c r="EL28" s="230">
        <f>'[1]January - 2022'!EO28</f>
        <v>700</v>
      </c>
      <c r="EM28" s="90">
        <f>'[1]January - 2022'!EP28</f>
        <v>2265300</v>
      </c>
      <c r="EN28" s="230">
        <f>'[1]January - 2022'!EQ28</f>
        <v>200</v>
      </c>
      <c r="EO28" s="90">
        <f>'[1]January - 2022'!ER28</f>
        <v>1022760</v>
      </c>
      <c r="EP28" s="230">
        <f>'[1]January - 2022'!ES28</f>
        <v>480</v>
      </c>
      <c r="EQ28" s="90">
        <f>'[1]January - 2022'!ET28</f>
        <v>14399000</v>
      </c>
      <c r="ER28" s="230">
        <f>'[1]January - 2022'!EU28</f>
        <v>2100</v>
      </c>
      <c r="ES28" s="555"/>
      <c r="ET28" s="281">
        <f>'[1]January - 2022'!EW28</f>
        <v>38127</v>
      </c>
      <c r="EU28" s="275">
        <f>'[1]January - 2022'!EX28</f>
        <v>12</v>
      </c>
      <c r="EV28" s="282">
        <f>'[1]January - 2022'!EY28</f>
        <v>33036</v>
      </c>
      <c r="EW28" s="275">
        <f>'[1]January - 2022'!EZ28</f>
        <v>9</v>
      </c>
      <c r="EX28" s="282">
        <f>'[1]January - 2022'!FA28</f>
        <v>4124</v>
      </c>
      <c r="EY28" s="275">
        <f>'[1]January - 2022'!FB28</f>
        <v>10</v>
      </c>
      <c r="EZ28" s="282">
        <f>'[1]January - 2022'!FC28</f>
        <v>54927</v>
      </c>
      <c r="FA28" s="275">
        <f>'[1]January - 2022'!FD28</f>
        <v>18</v>
      </c>
      <c r="FB28" s="282">
        <f>'[1]January - 2022'!FE28</f>
        <v>39091</v>
      </c>
      <c r="FC28" s="276">
        <f>'[1]January - 2022'!FF28</f>
        <v>24</v>
      </c>
    </row>
    <row r="29" spans="1:159" ht="30" customHeight="1" x14ac:dyDescent="0.25">
      <c r="A29" s="207">
        <v>43850</v>
      </c>
      <c r="B29" s="209">
        <f>'[1]January - 2022'!B29</f>
        <v>0.46</v>
      </c>
      <c r="C29" s="250">
        <f>'[1]January - 2022'!E29</f>
        <v>951822</v>
      </c>
      <c r="D29" s="170">
        <f>'[1]January - 2022'!F29</f>
        <v>496</v>
      </c>
      <c r="E29" s="168">
        <f>'[1]January - 2022'!G29</f>
        <v>459</v>
      </c>
      <c r="F29" s="168">
        <f>'[1]January - 2022'!H29</f>
        <v>109711</v>
      </c>
      <c r="G29" s="170">
        <f>'[1]January - 2022'!I29</f>
        <v>371</v>
      </c>
      <c r="H29" s="168">
        <f>'[1]January - 2022'!J29</f>
        <v>377</v>
      </c>
      <c r="I29" s="168">
        <f>'[1]January - 2022'!K29</f>
        <v>164625</v>
      </c>
      <c r="J29" s="170">
        <f>'[1]January - 2022'!L29</f>
        <v>0</v>
      </c>
      <c r="K29" s="168">
        <f>'[1]January - 2022'!N29</f>
        <v>825461</v>
      </c>
      <c r="L29" s="170">
        <f>'[1]January - 2022'!O29</f>
        <v>214</v>
      </c>
      <c r="M29" s="168">
        <f>'[1]January - 2022'!Q29</f>
        <v>193402</v>
      </c>
      <c r="N29" s="170">
        <f>'[1]January - 2022'!R29</f>
        <v>0</v>
      </c>
      <c r="O29" s="168">
        <f>'[1]January - 2022'!S29</f>
        <v>56383.24</v>
      </c>
      <c r="P29" s="170">
        <f>'[1]January - 2022'!T29</f>
        <v>75.75</v>
      </c>
      <c r="Q29" s="168">
        <f>'[1]January - 2022'!U29</f>
        <v>41</v>
      </c>
      <c r="R29" s="168">
        <f>'[1]January - 2022'!V29</f>
        <v>4372</v>
      </c>
      <c r="S29" s="208">
        <f>'[1]January - 2022'!W29</f>
        <v>8</v>
      </c>
      <c r="T29" s="476"/>
      <c r="U29" s="169">
        <f>'[1]January - 2022'!AC29</f>
        <v>7278037.2000000002</v>
      </c>
      <c r="V29" s="288">
        <f>'[1]January - 2022'!AD29</f>
        <v>2241.1200000001118</v>
      </c>
      <c r="W29" s="92">
        <f>'[1]January - 2022'!AD29</f>
        <v>2241.1200000001118</v>
      </c>
      <c r="X29" s="287">
        <f>'[1]January - 2022'!AF29</f>
        <v>13950289.919999998</v>
      </c>
      <c r="Y29" s="288">
        <f>'[1]January - 2022'!AG29</f>
        <v>4872</v>
      </c>
      <c r="Z29" s="92">
        <f>'[1]January - 2022'!AG29</f>
        <v>4872</v>
      </c>
      <c r="AA29" s="287">
        <f>'[1]January - 2022'!AI29</f>
        <v>13840962.24</v>
      </c>
      <c r="AB29" s="288">
        <f>'[1]January - 2022'!AJ29</f>
        <v>7746.480000000447</v>
      </c>
      <c r="AC29" s="92">
        <f>'[1]January - 2022'!AJ29</f>
        <v>7746.480000000447</v>
      </c>
      <c r="AD29" s="287">
        <f>'[1]January - 2022'!AL29</f>
        <v>16758608.16</v>
      </c>
      <c r="AE29" s="288">
        <f>'[1]January - 2022'!AM29</f>
        <v>97.440000001341105</v>
      </c>
      <c r="AF29" s="92">
        <f>'[1]January - 2022'!AM29</f>
        <v>97.440000001341105</v>
      </c>
      <c r="AG29" s="287">
        <f>'[1]January - 2022'!AO29</f>
        <v>17278791.599999998</v>
      </c>
      <c r="AH29" s="288">
        <f>'[1]January - 2022'!AP29</f>
        <v>1023.1199999973178</v>
      </c>
      <c r="AI29" s="92">
        <f>'[1]January - 2022'!AP29</f>
        <v>1023.1199999973178</v>
      </c>
      <c r="AJ29" s="287">
        <f>'[1]January - 2022'!AR29</f>
        <v>15724038.959999999</v>
      </c>
      <c r="AK29" s="288">
        <f>'[1]January - 2022'!AS29</f>
        <v>5505.359999999404</v>
      </c>
      <c r="AL29" s="92">
        <f>'[1]January - 2022'!AS29</f>
        <v>5505.359999999404</v>
      </c>
      <c r="AM29" s="287">
        <f>'[1]January - 2022'!AU29</f>
        <v>13358488.08</v>
      </c>
      <c r="AN29" s="288">
        <f>'[1]January - 2022'!AV29</f>
        <v>3897.5999999996275</v>
      </c>
      <c r="AO29" s="92">
        <f>'[1]January - 2022'!AV29</f>
        <v>3897.5999999996275</v>
      </c>
      <c r="AP29" s="287">
        <f>'[1]January - 2022'!AX29</f>
        <v>12842543.280000001</v>
      </c>
      <c r="AQ29" s="288">
        <f>'[1]January - 2022'!AY29</f>
        <v>4141.2000000011176</v>
      </c>
      <c r="AR29" s="92">
        <f>'[1]January - 2022'!AY29</f>
        <v>4141.2000000011176</v>
      </c>
      <c r="AS29" s="287">
        <f>'[1]January - 2022'!BA29</f>
        <v>10225061.280000001</v>
      </c>
      <c r="AT29" s="288">
        <f>'[1]January - 2022'!BB29</f>
        <v>3069.3600000012666</v>
      </c>
      <c r="AU29" s="92">
        <f>'[1]January - 2022'!BB29</f>
        <v>3069.3600000012666</v>
      </c>
      <c r="AV29" s="287">
        <f>'[1]January - 2022'!BD29</f>
        <v>15892269.119999999</v>
      </c>
      <c r="AW29" s="252">
        <f>'[1]January - 2022'!BE29</f>
        <v>5115.5999999996275</v>
      </c>
      <c r="AX29" s="253">
        <f>'[1]January - 2022'!BE29</f>
        <v>5115.5999999996275</v>
      </c>
      <c r="AY29" s="493"/>
      <c r="AZ29" s="272">
        <f>'[1]January - 2022'!BK29</f>
        <v>68688300</v>
      </c>
      <c r="BA29" s="179">
        <f>'[1]January - 2022'!BL29</f>
        <v>39400</v>
      </c>
      <c r="BB29" s="93">
        <f>'[1]January - 2022'!BL29</f>
        <v>39400</v>
      </c>
      <c r="BC29" s="272">
        <f>'[1]January - 2022'!BN29</f>
        <v>70700300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65863100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7955290</v>
      </c>
      <c r="BT29" s="185">
        <f>'[1]January - 2022'!BU29</f>
        <v>5550</v>
      </c>
      <c r="BU29" s="589"/>
      <c r="BV29" s="88">
        <f>'[1]January - 2022'!BW29</f>
        <v>0.72</v>
      </c>
      <c r="BW29" s="241">
        <f>'[1]January - 2022'!BX29</f>
        <v>8.0000000000000071E-2</v>
      </c>
      <c r="BX29" s="88">
        <f>'[1]January - 2022'!BX29</f>
        <v>8.0000000000000071E-2</v>
      </c>
      <c r="BY29" s="89">
        <f>'[1]January - 2022'!BZ29</f>
        <v>57924</v>
      </c>
      <c r="BZ29" s="191">
        <f>'[1]January - 2022'!CA29</f>
        <v>17</v>
      </c>
      <c r="CA29" s="89">
        <f>'[1]January - 2022'!CB29</f>
        <v>49366</v>
      </c>
      <c r="CB29" s="191">
        <f>'[1]January - 2022'!CC29</f>
        <v>20</v>
      </c>
      <c r="CC29" s="89">
        <f>'[1]January - 2022'!CD29</f>
        <v>16928</v>
      </c>
      <c r="CD29" s="191">
        <f>'[1]January - 2022'!CE29</f>
        <v>5</v>
      </c>
      <c r="CE29" s="89">
        <f>'[1]January - 2022'!CF29</f>
        <v>22535</v>
      </c>
      <c r="CF29" s="191">
        <f>'[1]January - 2022'!CG29</f>
        <v>11</v>
      </c>
      <c r="CG29" s="89">
        <f>'[1]January - 2022'!CH29</f>
        <v>24555</v>
      </c>
      <c r="CH29" s="191">
        <f>'[1]January - 2022'!CI29</f>
        <v>12</v>
      </c>
      <c r="CI29" s="89">
        <f>'[1]January - 2022'!CJ29</f>
        <v>54456</v>
      </c>
      <c r="CJ29" s="191">
        <f>'[1]January - 2022'!CK29</f>
        <v>21</v>
      </c>
      <c r="CK29" s="89">
        <f>'[1]January - 2022'!CL29</f>
        <v>238579</v>
      </c>
      <c r="CL29" s="246">
        <f>'[1]January - 2022'!CM29</f>
        <v>109</v>
      </c>
      <c r="CM29" s="89">
        <f>'[1]January - 2022'!CM29</f>
        <v>109</v>
      </c>
      <c r="CN29" s="89">
        <f>'[1]January - 2022'!CO29</f>
        <v>184988</v>
      </c>
      <c r="CO29" s="246">
        <f>'[1]January - 2022'!CP29</f>
        <v>116</v>
      </c>
      <c r="CP29" s="89">
        <f>'[1]January - 2022'!CP29</f>
        <v>116</v>
      </c>
      <c r="CQ29" s="89">
        <f>'[1]January - 2022'!CR29</f>
        <v>330961</v>
      </c>
      <c r="CR29" s="246">
        <f>'[1]January - 2022'!CS29</f>
        <v>361</v>
      </c>
      <c r="CS29" s="89">
        <f>'[1]January - 2022'!CS29</f>
        <v>361</v>
      </c>
      <c r="CT29" s="89">
        <f>'[1]January - 2022'!CU29</f>
        <v>630029</v>
      </c>
      <c r="CU29" s="191">
        <f>'[1]January - 2022'!CV29</f>
        <v>261</v>
      </c>
      <c r="CV29" s="517"/>
      <c r="CW29" s="256">
        <f>'[1]January - 2022'!CX29</f>
        <v>6757</v>
      </c>
      <c r="CX29" s="198">
        <f>'[1]January - 2022'!CY29</f>
        <v>9</v>
      </c>
      <c r="CY29" s="257">
        <f>'[1]January - 2022'!CZ29</f>
        <v>4232</v>
      </c>
      <c r="CZ29" s="198">
        <f>'[1]January - 2022'!DA29</f>
        <v>10</v>
      </c>
      <c r="DA29" s="257">
        <f>'[1]January - 2022'!DB29</f>
        <v>27610</v>
      </c>
      <c r="DB29" s="198">
        <f>'[1]January - 2022'!DC29</f>
        <v>15</v>
      </c>
      <c r="DC29" s="257">
        <f>'[1]January - 2022'!DD29</f>
        <v>28230</v>
      </c>
      <c r="DD29" s="198">
        <f>'[1]January - 2022'!DE29</f>
        <v>18</v>
      </c>
      <c r="DE29" s="257">
        <f>'[1]January - 2022'!DF29</f>
        <v>19038</v>
      </c>
      <c r="DF29" s="198">
        <f>'[1]January - 2022'!DG29</f>
        <v>9</v>
      </c>
      <c r="DG29" s="257">
        <f>'[1]January - 2022'!DH29</f>
        <v>22140</v>
      </c>
      <c r="DH29" s="198">
        <f>'[1]January - 2022'!DI29</f>
        <v>6</v>
      </c>
      <c r="DI29" s="257">
        <f>'[1]January - 2022'!DJ29</f>
        <v>3646</v>
      </c>
      <c r="DJ29" s="198">
        <f>'[1]January - 2022'!DK29</f>
        <v>9</v>
      </c>
      <c r="DK29" s="257">
        <f>'[1]January - 2022'!DL29</f>
        <v>7326</v>
      </c>
      <c r="DL29" s="198">
        <f>'[1]January - 2022'!DM29</f>
        <v>14</v>
      </c>
      <c r="DM29" s="257">
        <f>'[1]January - 2022'!DN29</f>
        <v>1988</v>
      </c>
      <c r="DN29" s="198">
        <f>'[1]January - 2022'!DO29</f>
        <v>3</v>
      </c>
      <c r="DO29" s="257">
        <f>'[1]January - 2022'!DP29</f>
        <v>3892</v>
      </c>
      <c r="DP29" s="198">
        <f>'[1]January - 2022'!DQ29</f>
        <v>7</v>
      </c>
      <c r="DQ29" s="257">
        <f>'[1]January - 2022'!DR29</f>
        <v>26506</v>
      </c>
      <c r="DR29" s="206">
        <f>'[1]January - 2022'!DS29</f>
        <v>8</v>
      </c>
      <c r="DS29" s="533"/>
      <c r="DT29" s="210">
        <f>'[1]January - 2022'!DU29</f>
        <v>3490</v>
      </c>
      <c r="DU29" s="221">
        <f>'[1]January - 2022'!DV29</f>
        <v>8.5999999999999091</v>
      </c>
      <c r="DV29" s="91">
        <f>'[1]January - 2022'!DW29</f>
        <v>8508.2999999999993</v>
      </c>
      <c r="DW29" s="215">
        <f>'[1]January - 2022'!DX29</f>
        <v>6.6999999999989086</v>
      </c>
      <c r="DX29" s="91">
        <f>'[1]January - 2022'!DY29</f>
        <v>2637.6</v>
      </c>
      <c r="DY29" s="215">
        <f>'[1]January - 2022'!DZ29</f>
        <v>6.6999999999998181</v>
      </c>
      <c r="DZ29" s="91">
        <f>'[1]January - 2022'!EA29</f>
        <v>2771.9</v>
      </c>
      <c r="EA29" s="215">
        <f>'[1]January - 2022'!EB29</f>
        <v>6.5</v>
      </c>
      <c r="EB29" s="91">
        <f>'[1]January - 2022'!EC29</f>
        <v>896712</v>
      </c>
      <c r="EC29" s="215">
        <f>'[1]January - 2022'!ED29</f>
        <v>480</v>
      </c>
      <c r="ED29" s="91">
        <f>'[1]January - 2022'!EG29</f>
        <v>182893.3</v>
      </c>
      <c r="EE29" s="229">
        <f>'[1]January - 2022'!EH29</f>
        <v>157.5</v>
      </c>
      <c r="EF29" s="580"/>
      <c r="EG29" s="235">
        <f>'[1]January - 2022'!EJ29</f>
        <v>10539900</v>
      </c>
      <c r="EH29" s="230">
        <f>'[1]January - 2022'!EK29</f>
        <v>2500</v>
      </c>
      <c r="EI29" s="90">
        <f>'[1]January - 2022'!EL29</f>
        <v>838320</v>
      </c>
      <c r="EJ29" s="230">
        <f>'[1]January - 2022'!EM29</f>
        <v>310</v>
      </c>
      <c r="EK29" s="90">
        <f>'[1]January - 2022'!EN29</f>
        <v>6440400</v>
      </c>
      <c r="EL29" s="230">
        <f>'[1]January - 2022'!EO29</f>
        <v>1200</v>
      </c>
      <c r="EM29" s="90">
        <f>'[1]January - 2022'!EP29</f>
        <v>2265700</v>
      </c>
      <c r="EN29" s="230">
        <f>'[1]January - 2022'!EQ29</f>
        <v>400</v>
      </c>
      <c r="EO29" s="90">
        <f>'[1]January - 2022'!ER29</f>
        <v>1023560</v>
      </c>
      <c r="EP29" s="230">
        <f>'[1]January - 2022'!ES29</f>
        <v>800</v>
      </c>
      <c r="EQ29" s="90">
        <f>'[1]January - 2022'!ET29</f>
        <v>14401800</v>
      </c>
      <c r="ER29" s="230">
        <f>'[1]January - 2022'!EU29</f>
        <v>2800</v>
      </c>
      <c r="ES29" s="555"/>
      <c r="ET29" s="281">
        <f>'[1]January - 2022'!EW29</f>
        <v>38141</v>
      </c>
      <c r="EU29" s="275">
        <f>'[1]January - 2022'!EX29</f>
        <v>14</v>
      </c>
      <c r="EV29" s="282">
        <f>'[1]January - 2022'!EY29</f>
        <v>33050</v>
      </c>
      <c r="EW29" s="275">
        <f>'[1]January - 2022'!EZ29</f>
        <v>14</v>
      </c>
      <c r="EX29" s="282">
        <f>'[1]January - 2022'!FA29</f>
        <v>4135</v>
      </c>
      <c r="EY29" s="275">
        <f>'[1]January - 2022'!FB29</f>
        <v>11</v>
      </c>
      <c r="EZ29" s="282">
        <f>'[1]January - 2022'!FC29</f>
        <v>54948</v>
      </c>
      <c r="FA29" s="275">
        <f>'[1]January - 2022'!FD29</f>
        <v>21</v>
      </c>
      <c r="FB29" s="282">
        <f>'[1]January - 2022'!FE29</f>
        <v>39122</v>
      </c>
      <c r="FC29" s="276">
        <f>'[1]January - 2022'!FF29</f>
        <v>31</v>
      </c>
    </row>
    <row r="30" spans="1:159" ht="30" customHeight="1" x14ac:dyDescent="0.25">
      <c r="A30" s="207">
        <v>43851</v>
      </c>
      <c r="B30" s="209">
        <f>'[1]January - 2022'!B30</f>
        <v>0.48</v>
      </c>
      <c r="C30" s="250">
        <f>'[1]January - 2022'!E30</f>
        <v>952347</v>
      </c>
      <c r="D30" s="170">
        <f>'[1]January - 2022'!F30</f>
        <v>525</v>
      </c>
      <c r="E30" s="168">
        <f>'[1]January - 2022'!G30</f>
        <v>521</v>
      </c>
      <c r="F30" s="168">
        <f>'[1]January - 2022'!H30</f>
        <v>110130</v>
      </c>
      <c r="G30" s="170">
        <f>'[1]January - 2022'!I30</f>
        <v>419</v>
      </c>
      <c r="H30" s="168">
        <f>'[1]January - 2022'!J30</f>
        <v>434</v>
      </c>
      <c r="I30" s="168">
        <f>'[1]January - 2022'!K30</f>
        <v>164625</v>
      </c>
      <c r="J30" s="170">
        <f>'[1]January - 2022'!L30</f>
        <v>0</v>
      </c>
      <c r="K30" s="168">
        <f>'[1]January - 2022'!N30</f>
        <v>825653</v>
      </c>
      <c r="L30" s="170">
        <f>'[1]January - 2022'!O30</f>
        <v>192</v>
      </c>
      <c r="M30" s="168">
        <f>'[1]January - 2022'!Q30</f>
        <v>193402</v>
      </c>
      <c r="N30" s="170">
        <f>'[1]January - 2022'!R30</f>
        <v>0</v>
      </c>
      <c r="O30" s="168">
        <f>'[1]January - 2022'!S30</f>
        <v>56440.22</v>
      </c>
      <c r="P30" s="170">
        <f>'[1]January - 2022'!T30</f>
        <v>56.980000000003201</v>
      </c>
      <c r="Q30" s="168">
        <f>'[1]January - 2022'!U30</f>
        <v>38</v>
      </c>
      <c r="R30" s="168">
        <f>'[1]January - 2022'!V30</f>
        <v>4372</v>
      </c>
      <c r="S30" s="208">
        <f>'[1]January - 2022'!W30</f>
        <v>0</v>
      </c>
      <c r="T30" s="476"/>
      <c r="U30" s="169">
        <f>'[1]January - 2022'!AC30</f>
        <v>7280765.5199999996</v>
      </c>
      <c r="V30" s="288">
        <f>'[1]January - 2022'!AD30</f>
        <v>2728.3199999993667</v>
      </c>
      <c r="W30" s="92">
        <f>'[1]January - 2022'!AD30</f>
        <v>2728.3199999993667</v>
      </c>
      <c r="X30" s="287">
        <f>'[1]January - 2022'!AF30</f>
        <v>13954967.039999999</v>
      </c>
      <c r="Y30" s="288">
        <f>'[1]January - 2022'!AG30</f>
        <v>4677.1200000010431</v>
      </c>
      <c r="Z30" s="92">
        <f>'[1]January - 2022'!AG30</f>
        <v>4677.1200000010431</v>
      </c>
      <c r="AA30" s="287">
        <f>'[1]January - 2022'!AI30</f>
        <v>13841059.68</v>
      </c>
      <c r="AB30" s="288">
        <f>'[1]January - 2022'!AJ30</f>
        <v>97.439999999478459</v>
      </c>
      <c r="AC30" s="92">
        <f>'[1]January - 2022'!AJ30</f>
        <v>97.439999999478459</v>
      </c>
      <c r="AD30" s="287">
        <f>'[1]January - 2022'!AL30</f>
        <v>16766208.48</v>
      </c>
      <c r="AE30" s="288">
        <f>'[1]January - 2022'!AM30</f>
        <v>7600.320000000298</v>
      </c>
      <c r="AF30" s="92">
        <f>'[1]January - 2022'!AM30</f>
        <v>7600.320000000298</v>
      </c>
      <c r="AG30" s="287">
        <f>'[1]January - 2022'!AO30</f>
        <v>17278840.32</v>
      </c>
      <c r="AH30" s="288">
        <f>'[1]January - 2022'!AP30</f>
        <v>48.720000002533197</v>
      </c>
      <c r="AI30" s="92">
        <f>'[1]January - 2022'!AP30</f>
        <v>48.720000002533197</v>
      </c>
      <c r="AJ30" s="287">
        <f>'[1]January - 2022'!AR30</f>
        <v>15729593.039999999</v>
      </c>
      <c r="AK30" s="288">
        <f>'[1]January - 2022'!AS30</f>
        <v>5554.0800000000745</v>
      </c>
      <c r="AL30" s="92">
        <f>'[1]January - 2022'!AS30</f>
        <v>5554.0800000000745</v>
      </c>
      <c r="AM30" s="287">
        <f>'[1]January - 2022'!AU30</f>
        <v>13362190.799999999</v>
      </c>
      <c r="AN30" s="288">
        <f>'[1]January - 2022'!AV30</f>
        <v>3702.7199999988079</v>
      </c>
      <c r="AO30" s="92">
        <f>'[1]January - 2022'!AV30</f>
        <v>3702.7199999988079</v>
      </c>
      <c r="AP30" s="287">
        <f>'[1]January - 2022'!AX30</f>
        <v>12846538.319999998</v>
      </c>
      <c r="AQ30" s="288">
        <f>'[1]January - 2022'!AY30</f>
        <v>3995.0399999972433</v>
      </c>
      <c r="AR30" s="92">
        <f>'[1]January - 2022'!AY30</f>
        <v>3995.0399999972433</v>
      </c>
      <c r="AS30" s="287">
        <f>'[1]January - 2022'!BA30</f>
        <v>10228033.199999999</v>
      </c>
      <c r="AT30" s="288">
        <f>'[1]January - 2022'!BB30</f>
        <v>2971.9199999980628</v>
      </c>
      <c r="AU30" s="92">
        <f>'[1]January - 2022'!BB30</f>
        <v>2971.9199999980628</v>
      </c>
      <c r="AV30" s="287">
        <f>'[1]January - 2022'!BD30</f>
        <v>15897530.880000001</v>
      </c>
      <c r="AW30" s="252">
        <f>'[1]January - 2022'!BE30</f>
        <v>5261.7600000016391</v>
      </c>
      <c r="AX30" s="253">
        <f>'[1]January - 2022'!BE30</f>
        <v>5261.7600000016391</v>
      </c>
      <c r="AY30" s="493"/>
      <c r="AZ30" s="272">
        <f>'[1]January - 2022'!BK30</f>
        <v>68689200</v>
      </c>
      <c r="BA30" s="179">
        <f>'[1]January - 2022'!BL30</f>
        <v>900</v>
      </c>
      <c r="BB30" s="93">
        <f>'[1]January - 2022'!BL30</f>
        <v>900</v>
      </c>
      <c r="BC30" s="272">
        <f>'[1]January - 2022'!BN30</f>
        <v>70730300</v>
      </c>
      <c r="BD30" s="245">
        <f>'[1]January - 2022'!BO30</f>
        <v>30000</v>
      </c>
      <c r="BE30" s="93">
        <f>'[1]January - 2022'!BO30</f>
        <v>30000</v>
      </c>
      <c r="BF30" s="272">
        <f>'[1]January - 2022'!BQ30</f>
        <v>65863100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7961250</v>
      </c>
      <c r="BT30" s="185">
        <f>'[1]January - 2022'!BU30</f>
        <v>5960</v>
      </c>
      <c r="BU30" s="589"/>
      <c r="BV30" s="88">
        <f>'[1]January - 2022'!BW30</f>
        <v>0.61</v>
      </c>
      <c r="BW30" s="241">
        <f>'[1]January - 2022'!BX30</f>
        <v>0.10999999999999999</v>
      </c>
      <c r="BX30" s="88">
        <f>'[1]January - 2022'!BX30</f>
        <v>0.10999999999999999</v>
      </c>
      <c r="BY30" s="89">
        <f>'[1]January - 2022'!BZ30</f>
        <v>57943</v>
      </c>
      <c r="BZ30" s="191">
        <f>'[1]January - 2022'!CA30</f>
        <v>19</v>
      </c>
      <c r="CA30" s="89">
        <f>'[1]January - 2022'!CB30</f>
        <v>49386</v>
      </c>
      <c r="CB30" s="191">
        <f>'[1]January - 2022'!CC30</f>
        <v>20</v>
      </c>
      <c r="CC30" s="89">
        <f>'[1]January - 2022'!CD30</f>
        <v>16934</v>
      </c>
      <c r="CD30" s="191">
        <f>'[1]January - 2022'!CE30</f>
        <v>6</v>
      </c>
      <c r="CE30" s="89">
        <f>'[1]January - 2022'!CF30</f>
        <v>22546</v>
      </c>
      <c r="CF30" s="191">
        <f>'[1]January - 2022'!CG30</f>
        <v>11</v>
      </c>
      <c r="CG30" s="89">
        <f>'[1]January - 2022'!CH30</f>
        <v>24567</v>
      </c>
      <c r="CH30" s="191">
        <f>'[1]January - 2022'!CI30</f>
        <v>12</v>
      </c>
      <c r="CI30" s="89">
        <f>'[1]January - 2022'!CJ30</f>
        <v>54477</v>
      </c>
      <c r="CJ30" s="191">
        <f>'[1]January - 2022'!CK30</f>
        <v>21</v>
      </c>
      <c r="CK30" s="89">
        <f>'[1]January - 2022'!CL30</f>
        <v>238686</v>
      </c>
      <c r="CL30" s="246">
        <f>'[1]January - 2022'!CM30</f>
        <v>107</v>
      </c>
      <c r="CM30" s="89">
        <f>'[1]January - 2022'!CM30</f>
        <v>107</v>
      </c>
      <c r="CN30" s="89">
        <f>'[1]January - 2022'!CO30</f>
        <v>185102</v>
      </c>
      <c r="CO30" s="246">
        <f>'[1]January - 2022'!CP30</f>
        <v>114</v>
      </c>
      <c r="CP30" s="89">
        <f>'[1]January - 2022'!CP30</f>
        <v>114</v>
      </c>
      <c r="CQ30" s="89">
        <f>'[1]January - 2022'!CR30</f>
        <v>331387</v>
      </c>
      <c r="CR30" s="246">
        <f>'[1]January - 2022'!CS30</f>
        <v>426</v>
      </c>
      <c r="CS30" s="89">
        <f>'[1]January - 2022'!CS30</f>
        <v>426</v>
      </c>
      <c r="CT30" s="89">
        <f>'[1]January - 2022'!CU30</f>
        <v>630286</v>
      </c>
      <c r="CU30" s="191">
        <f>'[1]January - 2022'!CV30</f>
        <v>257</v>
      </c>
      <c r="CV30" s="517"/>
      <c r="CW30" s="256">
        <f>'[1]January - 2022'!CX30</f>
        <v>6767</v>
      </c>
      <c r="CX30" s="198">
        <f>'[1]January - 2022'!CY30</f>
        <v>10</v>
      </c>
      <c r="CY30" s="257">
        <f>'[1]January - 2022'!CZ30</f>
        <v>4240</v>
      </c>
      <c r="CZ30" s="198">
        <f>'[1]January - 2022'!DA30</f>
        <v>8</v>
      </c>
      <c r="DA30" s="257">
        <f>'[1]January - 2022'!DB30</f>
        <v>27628</v>
      </c>
      <c r="DB30" s="198">
        <f>'[1]January - 2022'!DC30</f>
        <v>18</v>
      </c>
      <c r="DC30" s="257">
        <f>'[1]January - 2022'!DD30</f>
        <v>28249</v>
      </c>
      <c r="DD30" s="198">
        <f>'[1]January - 2022'!DE30</f>
        <v>19</v>
      </c>
      <c r="DE30" s="257">
        <f>'[1]January - 2022'!DF30</f>
        <v>19046</v>
      </c>
      <c r="DF30" s="198">
        <f>'[1]January - 2022'!DG30</f>
        <v>8</v>
      </c>
      <c r="DG30" s="257">
        <f>'[1]January - 2022'!DH30</f>
        <v>22147</v>
      </c>
      <c r="DH30" s="198">
        <f>'[1]January - 2022'!DI30</f>
        <v>7</v>
      </c>
      <c r="DI30" s="257">
        <f>'[1]January - 2022'!DJ30</f>
        <v>3657</v>
      </c>
      <c r="DJ30" s="198">
        <f>'[1]January - 2022'!DK30</f>
        <v>11</v>
      </c>
      <c r="DK30" s="257">
        <f>'[1]January - 2022'!DL30</f>
        <v>7341</v>
      </c>
      <c r="DL30" s="198">
        <f>'[1]January - 2022'!DM30</f>
        <v>15</v>
      </c>
      <c r="DM30" s="257">
        <f>'[1]January - 2022'!DN30</f>
        <v>1994</v>
      </c>
      <c r="DN30" s="198">
        <f>'[1]January - 2022'!DO30</f>
        <v>6</v>
      </c>
      <c r="DO30" s="257">
        <f>'[1]January - 2022'!DP30</f>
        <v>3902</v>
      </c>
      <c r="DP30" s="198">
        <f>'[1]January - 2022'!DQ30</f>
        <v>10</v>
      </c>
      <c r="DQ30" s="257">
        <f>'[1]January - 2022'!DR30</f>
        <v>26513</v>
      </c>
      <c r="DR30" s="206">
        <f>'[1]January - 2022'!DS30</f>
        <v>7</v>
      </c>
      <c r="DS30" s="533"/>
      <c r="DT30" s="210">
        <f>'[1]January - 2022'!DU30</f>
        <v>3498.7</v>
      </c>
      <c r="DU30" s="221">
        <f>'[1]January - 2022'!DV30</f>
        <v>8.6999999999998181</v>
      </c>
      <c r="DV30" s="91">
        <f>'[1]January - 2022'!DW30</f>
        <v>8515.2000000000007</v>
      </c>
      <c r="DW30" s="215">
        <f>'[1]January - 2022'!DX30</f>
        <v>6.9000000000014552</v>
      </c>
      <c r="DX30" s="91">
        <f>'[1]January - 2022'!DY30</f>
        <v>2644.6</v>
      </c>
      <c r="DY30" s="215">
        <f>'[1]January - 2022'!DZ30</f>
        <v>7</v>
      </c>
      <c r="DZ30" s="91">
        <f>'[1]January - 2022'!EA30</f>
        <v>2777.3</v>
      </c>
      <c r="EA30" s="215">
        <f>'[1]January - 2022'!EB30</f>
        <v>5.4000000000000909</v>
      </c>
      <c r="EB30" s="91">
        <f>'[1]January - 2022'!EC30</f>
        <v>897261</v>
      </c>
      <c r="EC30" s="215">
        <f>'[1]January - 2022'!ED30</f>
        <v>549</v>
      </c>
      <c r="ED30" s="91">
        <f>'[1]January - 2022'!EG30</f>
        <v>183049.5</v>
      </c>
      <c r="EE30" s="229">
        <f>'[1]January - 2022'!EH30</f>
        <v>156.20000000001164</v>
      </c>
      <c r="EF30" s="580"/>
      <c r="EG30" s="235">
        <f>'[1]January - 2022'!EJ30</f>
        <v>10540900</v>
      </c>
      <c r="EH30" s="230">
        <f>'[1]January - 2022'!EK30</f>
        <v>1000</v>
      </c>
      <c r="EI30" s="90">
        <f>'[1]January - 2022'!EL30</f>
        <v>838500</v>
      </c>
      <c r="EJ30" s="230">
        <f>'[1]January - 2022'!EM30</f>
        <v>180</v>
      </c>
      <c r="EK30" s="90">
        <f>'[1]January - 2022'!EN30</f>
        <v>6440800</v>
      </c>
      <c r="EL30" s="230">
        <f>'[1]January - 2022'!EO30</f>
        <v>400</v>
      </c>
      <c r="EM30" s="90">
        <f>'[1]January - 2022'!EP30</f>
        <v>2265800</v>
      </c>
      <c r="EN30" s="230">
        <f>'[1]January - 2022'!EQ30</f>
        <v>100</v>
      </c>
      <c r="EO30" s="90">
        <f>'[1]January - 2022'!ER30</f>
        <v>1024050</v>
      </c>
      <c r="EP30" s="230">
        <f>'[1]January - 2022'!ES30</f>
        <v>490</v>
      </c>
      <c r="EQ30" s="90">
        <f>'[1]January - 2022'!ET30</f>
        <v>14402700</v>
      </c>
      <c r="ER30" s="230">
        <f>'[1]January - 2022'!EU30</f>
        <v>900</v>
      </c>
      <c r="ES30" s="555"/>
      <c r="ET30" s="281">
        <f>'[1]January - 2022'!EW30</f>
        <v>38158</v>
      </c>
      <c r="EU30" s="275">
        <f>'[1]January - 2022'!EX30</f>
        <v>17</v>
      </c>
      <c r="EV30" s="282">
        <f>'[1]January - 2022'!EY30</f>
        <v>33063</v>
      </c>
      <c r="EW30" s="275">
        <f>'[1]January - 2022'!EZ30</f>
        <v>13</v>
      </c>
      <c r="EX30" s="282">
        <f>'[1]January - 2022'!FA30</f>
        <v>4147</v>
      </c>
      <c r="EY30" s="275">
        <f>'[1]January - 2022'!FB30</f>
        <v>12</v>
      </c>
      <c r="EZ30" s="282">
        <f>'[1]January - 2022'!FC30</f>
        <v>54967</v>
      </c>
      <c r="FA30" s="275">
        <f>'[1]January - 2022'!FD30</f>
        <v>19</v>
      </c>
      <c r="FB30" s="282">
        <f>'[1]January - 2022'!FE30</f>
        <v>39154</v>
      </c>
      <c r="FC30" s="276">
        <f>'[1]January - 2022'!FF30</f>
        <v>32</v>
      </c>
    </row>
    <row r="31" spans="1:159" ht="30" customHeight="1" x14ac:dyDescent="0.25">
      <c r="A31" s="207">
        <v>43852</v>
      </c>
      <c r="B31" s="209">
        <f>'[1]January - 2022'!B31</f>
        <v>0.54</v>
      </c>
      <c r="C31" s="250">
        <f>'[1]January - 2022'!E31</f>
        <v>953034</v>
      </c>
      <c r="D31" s="170">
        <f>'[1]January - 2022'!F31</f>
        <v>687</v>
      </c>
      <c r="E31" s="168">
        <f>'[1]January - 2022'!G31</f>
        <v>523</v>
      </c>
      <c r="F31" s="168">
        <f>'[1]January - 2022'!H31</f>
        <v>110600</v>
      </c>
      <c r="G31" s="170">
        <f>'[1]January - 2022'!I31</f>
        <v>470</v>
      </c>
      <c r="H31" s="168">
        <f>'[1]January - 2022'!J31</f>
        <v>457</v>
      </c>
      <c r="I31" s="168">
        <f>'[1]January - 2022'!K31</f>
        <v>164625</v>
      </c>
      <c r="J31" s="170">
        <f>'[1]January - 2022'!L31</f>
        <v>0</v>
      </c>
      <c r="K31" s="168">
        <f>'[1]January - 2022'!N31</f>
        <v>825868</v>
      </c>
      <c r="L31" s="170">
        <f>'[1]January - 2022'!O31</f>
        <v>215</v>
      </c>
      <c r="M31" s="168">
        <f>'[1]January - 2022'!Q31</f>
        <v>193402</v>
      </c>
      <c r="N31" s="170">
        <f>'[1]January - 2022'!R31</f>
        <v>0</v>
      </c>
      <c r="O31" s="168">
        <f>'[1]January - 2022'!S31</f>
        <v>56492.65</v>
      </c>
      <c r="P31" s="170">
        <f>'[1]January - 2022'!T31</f>
        <v>52.430000000000291</v>
      </c>
      <c r="Q31" s="168">
        <f>'[1]January - 2022'!U31</f>
        <v>16</v>
      </c>
      <c r="R31" s="168">
        <f>'[1]January - 2022'!V31</f>
        <v>4372</v>
      </c>
      <c r="S31" s="208">
        <f>'[1]January - 2022'!W31</f>
        <v>0</v>
      </c>
      <c r="T31" s="476"/>
      <c r="U31" s="169">
        <f>'[1]January - 2022'!AC31</f>
        <v>7284127.2000000002</v>
      </c>
      <c r="V31" s="288">
        <f>'[1]January - 2022'!AD31</f>
        <v>3361.6800000006333</v>
      </c>
      <c r="W31" s="92">
        <f>'[1]January - 2022'!AD31</f>
        <v>3361.6800000006333</v>
      </c>
      <c r="X31" s="287">
        <f>'[1]January - 2022'!AF31</f>
        <v>13960277.52</v>
      </c>
      <c r="Y31" s="288">
        <f>'[1]January - 2022'!AG31</f>
        <v>5310.480000000447</v>
      </c>
      <c r="Z31" s="92">
        <f>'[1]January - 2022'!AG31</f>
        <v>5310.480000000447</v>
      </c>
      <c r="AA31" s="287">
        <f>'[1]January - 2022'!AI31</f>
        <v>13841205.84</v>
      </c>
      <c r="AB31" s="288">
        <f>'[1]January - 2022'!AJ31</f>
        <v>146.16000000014901</v>
      </c>
      <c r="AC31" s="92">
        <f>'[1]January - 2022'!AJ31</f>
        <v>146.16000000014901</v>
      </c>
      <c r="AD31" s="287">
        <f>'[1]January - 2022'!AL31</f>
        <v>16774685.760000002</v>
      </c>
      <c r="AE31" s="288">
        <f>'[1]January - 2022'!AM31</f>
        <v>8477.2800000011921</v>
      </c>
      <c r="AF31" s="92">
        <f>'[1]January - 2022'!AM31</f>
        <v>8477.2800000011921</v>
      </c>
      <c r="AG31" s="287">
        <f>'[1]January - 2022'!AO31</f>
        <v>17278889.039999999</v>
      </c>
      <c r="AH31" s="288">
        <f>'[1]January - 2022'!AP31</f>
        <v>48.719999998807907</v>
      </c>
      <c r="AI31" s="92">
        <f>'[1]January - 2022'!AP31</f>
        <v>48.719999998807907</v>
      </c>
      <c r="AJ31" s="287">
        <f>'[1]January - 2022'!AR31</f>
        <v>15735683.039999999</v>
      </c>
      <c r="AK31" s="288">
        <f>'[1]January - 2022'!AS31</f>
        <v>6090</v>
      </c>
      <c r="AL31" s="92">
        <f>'[1]January - 2022'!AS31</f>
        <v>6090</v>
      </c>
      <c r="AM31" s="287">
        <f>'[1]January - 2022'!AU31</f>
        <v>13366624.319999998</v>
      </c>
      <c r="AN31" s="288">
        <f>'[1]January - 2022'!AV31</f>
        <v>4433.519999999553</v>
      </c>
      <c r="AO31" s="92">
        <f>'[1]January - 2022'!AV31</f>
        <v>4433.519999999553</v>
      </c>
      <c r="AP31" s="287">
        <f>'[1]January - 2022'!AX31</f>
        <v>12851459.040000001</v>
      </c>
      <c r="AQ31" s="288">
        <f>'[1]January - 2022'!AY31</f>
        <v>4920.7200000025332</v>
      </c>
      <c r="AR31" s="92">
        <f>'[1]January - 2022'!AY31</f>
        <v>4920.7200000025332</v>
      </c>
      <c r="AS31" s="287">
        <f>'[1]January - 2022'!BA31</f>
        <v>10231541.040000001</v>
      </c>
      <c r="AT31" s="288">
        <f>'[1]January - 2022'!BB31</f>
        <v>3507.8400000017136</v>
      </c>
      <c r="AU31" s="92">
        <f>'[1]January - 2022'!BB31</f>
        <v>3507.8400000017136</v>
      </c>
      <c r="AV31" s="287">
        <f>'[1]January - 2022'!BD31</f>
        <v>15903426</v>
      </c>
      <c r="AW31" s="252">
        <f>'[1]January - 2022'!BE31</f>
        <v>5895.1199999991804</v>
      </c>
      <c r="AX31" s="253">
        <f>'[1]January - 2022'!BE31</f>
        <v>5895.1199999991804</v>
      </c>
      <c r="AY31" s="493"/>
      <c r="AZ31" s="272">
        <f>'[1]January - 2022'!BK31</f>
        <v>68689200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70762600</v>
      </c>
      <c r="BD31" s="245">
        <f>'[1]January - 2022'!BO31</f>
        <v>32300</v>
      </c>
      <c r="BE31" s="93">
        <f>'[1]January - 2022'!BO31</f>
        <v>32300</v>
      </c>
      <c r="BF31" s="272">
        <f>'[1]January - 2022'!BQ31</f>
        <v>65863100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7967760</v>
      </c>
      <c r="BT31" s="185">
        <f>'[1]January - 2022'!BU31</f>
        <v>6510</v>
      </c>
      <c r="BU31" s="589"/>
      <c r="BV31" s="88">
        <f>'[1]January - 2022'!BW31</f>
        <v>0.46</v>
      </c>
      <c r="BW31" s="241">
        <f>'[1]January - 2022'!BX31</f>
        <v>0.14999999999999997</v>
      </c>
      <c r="BX31" s="88">
        <f>'[1]January - 2022'!BX31</f>
        <v>0.14999999999999997</v>
      </c>
      <c r="BY31" s="89">
        <f>'[1]January - 2022'!BZ31</f>
        <v>57964</v>
      </c>
      <c r="BZ31" s="191">
        <f>'[1]January - 2022'!CA31</f>
        <v>21</v>
      </c>
      <c r="CA31" s="89">
        <f>'[1]January - 2022'!CB31</f>
        <v>49407</v>
      </c>
      <c r="CB31" s="191">
        <f>'[1]January - 2022'!CC31</f>
        <v>21</v>
      </c>
      <c r="CC31" s="89">
        <f>'[1]January - 2022'!CD31</f>
        <v>16940</v>
      </c>
      <c r="CD31" s="191">
        <f>'[1]January - 2022'!CE31</f>
        <v>6</v>
      </c>
      <c r="CE31" s="89">
        <f>'[1]January - 2022'!CF31</f>
        <v>22560</v>
      </c>
      <c r="CF31" s="191">
        <f>'[1]January - 2022'!CG31</f>
        <v>14</v>
      </c>
      <c r="CG31" s="89">
        <f>'[1]January - 2022'!CH31</f>
        <v>24583</v>
      </c>
      <c r="CH31" s="191">
        <f>'[1]January - 2022'!CI31</f>
        <v>16</v>
      </c>
      <c r="CI31" s="89">
        <f>'[1]January - 2022'!CJ31</f>
        <v>54502</v>
      </c>
      <c r="CJ31" s="191">
        <f>'[1]January - 2022'!CK31</f>
        <v>25</v>
      </c>
      <c r="CK31" s="89">
        <f>'[1]January - 2022'!CL31</f>
        <v>238807</v>
      </c>
      <c r="CL31" s="246">
        <f>'[1]January - 2022'!CM31</f>
        <v>121</v>
      </c>
      <c r="CM31" s="89">
        <f>'[1]January - 2022'!CM31</f>
        <v>121</v>
      </c>
      <c r="CN31" s="89">
        <f>'[1]January - 2022'!CO31</f>
        <v>185232</v>
      </c>
      <c r="CO31" s="246">
        <f>'[1]January - 2022'!CP31</f>
        <v>130</v>
      </c>
      <c r="CP31" s="89">
        <f>'[1]January - 2022'!CP31</f>
        <v>130</v>
      </c>
      <c r="CQ31" s="89">
        <f>'[1]January - 2022'!CR31</f>
        <v>331855</v>
      </c>
      <c r="CR31" s="246">
        <f>'[1]January - 2022'!CS31</f>
        <v>468</v>
      </c>
      <c r="CS31" s="89">
        <f>'[1]January - 2022'!CS31</f>
        <v>468</v>
      </c>
      <c r="CT31" s="89">
        <f>'[1]January - 2022'!CU31</f>
        <v>630576</v>
      </c>
      <c r="CU31" s="191">
        <f>'[1]January - 2022'!CV31</f>
        <v>290</v>
      </c>
      <c r="CV31" s="517"/>
      <c r="CW31" s="256">
        <f>'[1]January - 2022'!CX31</f>
        <v>6777</v>
      </c>
      <c r="CX31" s="198">
        <f>'[1]January - 2022'!CY31</f>
        <v>10</v>
      </c>
      <c r="CY31" s="257">
        <f>'[1]January - 2022'!CZ31</f>
        <v>4249</v>
      </c>
      <c r="CZ31" s="198">
        <f>'[1]January - 2022'!DA31</f>
        <v>9</v>
      </c>
      <c r="DA31" s="257">
        <f>'[1]January - 2022'!DB31</f>
        <v>27639</v>
      </c>
      <c r="DB31" s="198">
        <f>'[1]January - 2022'!DC31</f>
        <v>11</v>
      </c>
      <c r="DC31" s="257">
        <f>'[1]January - 2022'!DD31</f>
        <v>28258</v>
      </c>
      <c r="DD31" s="198">
        <f>'[1]January - 2022'!DE31</f>
        <v>9</v>
      </c>
      <c r="DE31" s="257">
        <f>'[1]January - 2022'!DF31</f>
        <v>19054</v>
      </c>
      <c r="DF31" s="198">
        <f>'[1]January - 2022'!DG31</f>
        <v>8</v>
      </c>
      <c r="DG31" s="257">
        <f>'[1]January - 2022'!DH31</f>
        <v>22154</v>
      </c>
      <c r="DH31" s="198">
        <f>'[1]January - 2022'!DI31</f>
        <v>7</v>
      </c>
      <c r="DI31" s="257">
        <f>'[1]January - 2022'!DJ31</f>
        <v>3668</v>
      </c>
      <c r="DJ31" s="198">
        <f>'[1]January - 2022'!DK31</f>
        <v>11</v>
      </c>
      <c r="DK31" s="257">
        <f>'[1]January - 2022'!DL31</f>
        <v>7359</v>
      </c>
      <c r="DL31" s="198">
        <f>'[1]January - 2022'!DM31</f>
        <v>18</v>
      </c>
      <c r="DM31" s="257">
        <f>'[1]January - 2022'!DN31</f>
        <v>1999</v>
      </c>
      <c r="DN31" s="198">
        <f>'[1]January - 2022'!DO31</f>
        <v>5</v>
      </c>
      <c r="DO31" s="257">
        <f>'[1]January - 2022'!DP31</f>
        <v>3912</v>
      </c>
      <c r="DP31" s="198">
        <f>'[1]January - 2022'!DQ31</f>
        <v>10</v>
      </c>
      <c r="DQ31" s="257">
        <f>'[1]January - 2022'!DR31</f>
        <v>26520</v>
      </c>
      <c r="DR31" s="206">
        <f>'[1]January - 2022'!DS31</f>
        <v>7</v>
      </c>
      <c r="DS31" s="533"/>
      <c r="DT31" s="210">
        <f>'[1]January - 2022'!DU31</f>
        <v>3509.9</v>
      </c>
      <c r="DU31" s="221">
        <f>'[1]January - 2022'!DV31</f>
        <v>11.200000000000273</v>
      </c>
      <c r="DV31" s="91">
        <f>'[1]January - 2022'!DW31</f>
        <v>8522.7999999999993</v>
      </c>
      <c r="DW31" s="215">
        <f>'[1]January - 2022'!DX31</f>
        <v>7.5999999999985448</v>
      </c>
      <c r="DX31" s="91">
        <f>'[1]January - 2022'!DY31</f>
        <v>2652.2</v>
      </c>
      <c r="DY31" s="215">
        <f>'[1]January - 2022'!DZ31</f>
        <v>7.5999999999999091</v>
      </c>
      <c r="DZ31" s="91">
        <f>'[1]January - 2022'!EA31</f>
        <v>2784.4</v>
      </c>
      <c r="EA31" s="215">
        <f>'[1]January - 2022'!EB31</f>
        <v>7.0999999999999091</v>
      </c>
      <c r="EB31" s="91">
        <f>'[1]January - 2022'!EC31</f>
        <v>897904</v>
      </c>
      <c r="EC31" s="215">
        <f>'[1]January - 2022'!ED31</f>
        <v>643</v>
      </c>
      <c r="ED31" s="91">
        <f>'[1]January - 2022'!EG31</f>
        <v>183234.9</v>
      </c>
      <c r="EE31" s="229">
        <f>'[1]January - 2022'!EH31</f>
        <v>185.39999999999418</v>
      </c>
      <c r="EF31" s="580"/>
      <c r="EG31" s="235">
        <f>'[1]January - 2022'!EJ31</f>
        <v>10542600</v>
      </c>
      <c r="EH31" s="230">
        <f>'[1]January - 2022'!EK31</f>
        <v>1700</v>
      </c>
      <c r="EI31" s="90">
        <f>'[1]January - 2022'!EL31</f>
        <v>838760</v>
      </c>
      <c r="EJ31" s="230">
        <f>'[1]January - 2022'!EM31</f>
        <v>260</v>
      </c>
      <c r="EK31" s="90">
        <f>'[1]January - 2022'!EN31</f>
        <v>6441500</v>
      </c>
      <c r="EL31" s="230">
        <f>'[1]January - 2022'!EO31</f>
        <v>700</v>
      </c>
      <c r="EM31" s="90">
        <f>'[1]January - 2022'!EP31</f>
        <v>2266100</v>
      </c>
      <c r="EN31" s="230">
        <f>'[1]January - 2022'!EQ31</f>
        <v>300</v>
      </c>
      <c r="EO31" s="90">
        <f>'[1]January - 2022'!ER31</f>
        <v>1024760</v>
      </c>
      <c r="EP31" s="230">
        <f>'[1]January - 2022'!ES31</f>
        <v>710</v>
      </c>
      <c r="EQ31" s="90">
        <f>'[1]January - 2022'!ET31</f>
        <v>14404100</v>
      </c>
      <c r="ER31" s="230">
        <f>'[1]January - 2022'!EU31</f>
        <v>1400</v>
      </c>
      <c r="ES31" s="555"/>
      <c r="ET31" s="281">
        <f>'[1]January - 2022'!EW31</f>
        <v>38174</v>
      </c>
      <c r="EU31" s="275">
        <f>'[1]January - 2022'!EX31</f>
        <v>16</v>
      </c>
      <c r="EV31" s="282">
        <f>'[1]January - 2022'!EY31</f>
        <v>33079</v>
      </c>
      <c r="EW31" s="275">
        <f>'[1]January - 2022'!EZ31</f>
        <v>16</v>
      </c>
      <c r="EX31" s="282">
        <f>'[1]January - 2022'!FA31</f>
        <v>4164</v>
      </c>
      <c r="EY31" s="275">
        <f>'[1]January - 2022'!FB31</f>
        <v>17</v>
      </c>
      <c r="EZ31" s="282">
        <f>'[1]January - 2022'!FC31</f>
        <v>54988</v>
      </c>
      <c r="FA31" s="275">
        <f>'[1]January - 2022'!FD31</f>
        <v>21</v>
      </c>
      <c r="FB31" s="282">
        <f>'[1]January - 2022'!FE31</f>
        <v>39192</v>
      </c>
      <c r="FC31" s="276">
        <f>'[1]January - 2022'!FF31</f>
        <v>38</v>
      </c>
    </row>
    <row r="32" spans="1:159" ht="30" customHeight="1" x14ac:dyDescent="0.25">
      <c r="A32" s="207">
        <v>43853</v>
      </c>
      <c r="B32" s="209">
        <f>'[1]January - 2022'!B32</f>
        <v>0.49</v>
      </c>
      <c r="C32" s="250">
        <f>'[1]January - 2022'!E32</f>
        <v>953477</v>
      </c>
      <c r="D32" s="170">
        <f>'[1]January - 2022'!F32</f>
        <v>443</v>
      </c>
      <c r="E32" s="168">
        <f>'[1]January - 2022'!G32</f>
        <v>463</v>
      </c>
      <c r="F32" s="168">
        <f>'[1]January - 2022'!H32</f>
        <v>110918</v>
      </c>
      <c r="G32" s="170">
        <f>'[1]January - 2022'!I32</f>
        <v>318</v>
      </c>
      <c r="H32" s="168">
        <f>'[1]January - 2022'!J32</f>
        <v>422</v>
      </c>
      <c r="I32" s="168">
        <f>'[1]January - 2022'!K32</f>
        <v>164625</v>
      </c>
      <c r="J32" s="170">
        <f>'[1]January - 2022'!L32</f>
        <v>0</v>
      </c>
      <c r="K32" s="168">
        <f>'[1]January - 2022'!N32</f>
        <v>825986</v>
      </c>
      <c r="L32" s="170">
        <f>'[1]January - 2022'!O32</f>
        <v>118</v>
      </c>
      <c r="M32" s="168">
        <f>'[1]January - 2022'!Q32</f>
        <v>193402</v>
      </c>
      <c r="N32" s="170">
        <f>'[1]January - 2022'!R32</f>
        <v>0</v>
      </c>
      <c r="O32" s="168">
        <f>'[1]January - 2022'!S32</f>
        <v>56551.199999999997</v>
      </c>
      <c r="P32" s="170">
        <f>'[1]January - 2022'!T32</f>
        <v>58.549999999995634</v>
      </c>
      <c r="Q32" s="168">
        <f>'[1]January - 2022'!U32</f>
        <v>22</v>
      </c>
      <c r="R32" s="168">
        <f>'[1]January - 2022'!V32</f>
        <v>4375</v>
      </c>
      <c r="S32" s="208">
        <f>'[1]January - 2022'!W32</f>
        <v>3</v>
      </c>
      <c r="T32" s="476"/>
      <c r="U32" s="169">
        <f>'[1]January - 2022'!AC32</f>
        <v>7286465.7599999998</v>
      </c>
      <c r="V32" s="288">
        <f>'[1]January - 2022'!AD32</f>
        <v>2338.5599999995902</v>
      </c>
      <c r="W32" s="92">
        <f>'[1]January - 2022'!AD32</f>
        <v>2338.5599999995902</v>
      </c>
      <c r="X32" s="287">
        <f>'[1]January - 2022'!AF32</f>
        <v>13964467.439999999</v>
      </c>
      <c r="Y32" s="288">
        <f>'[1]January - 2022'!AG32</f>
        <v>4189.9199999999255</v>
      </c>
      <c r="Z32" s="92">
        <f>'[1]January - 2022'!AG32</f>
        <v>4189.9199999999255</v>
      </c>
      <c r="AA32" s="287">
        <f>'[1]January - 2022'!AI32</f>
        <v>13841352</v>
      </c>
      <c r="AB32" s="288">
        <f>'[1]January - 2022'!AJ32</f>
        <v>146.16000000014901</v>
      </c>
      <c r="AC32" s="92">
        <f>'[1]January - 2022'!AJ32</f>
        <v>146.16000000014901</v>
      </c>
      <c r="AD32" s="287">
        <f>'[1]January - 2022'!AL32</f>
        <v>16780678.32</v>
      </c>
      <c r="AE32" s="288">
        <f>'[1]January - 2022'!AM32</f>
        <v>5992.5599999986589</v>
      </c>
      <c r="AF32" s="92">
        <f>'[1]January - 2022'!AM32</f>
        <v>5992.5599999986589</v>
      </c>
      <c r="AG32" s="287">
        <f>'[1]January - 2022'!AO32</f>
        <v>17278889.039999999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15740555.039999999</v>
      </c>
      <c r="AK32" s="288">
        <f>'[1]January - 2022'!AS32</f>
        <v>4872</v>
      </c>
      <c r="AL32" s="92">
        <f>'[1]January - 2022'!AS32</f>
        <v>4872</v>
      </c>
      <c r="AM32" s="287">
        <f>'[1]January - 2022'!AU32</f>
        <v>13369839.84</v>
      </c>
      <c r="AN32" s="288">
        <f>'[1]January - 2022'!AV32</f>
        <v>3215.5200000014156</v>
      </c>
      <c r="AO32" s="92">
        <f>'[1]January - 2022'!AV32</f>
        <v>3215.5200000014156</v>
      </c>
      <c r="AP32" s="287">
        <f>'[1]January - 2022'!AX32</f>
        <v>12855015.6</v>
      </c>
      <c r="AQ32" s="288">
        <f>'[1]January - 2022'!AY32</f>
        <v>3556.5599999986589</v>
      </c>
      <c r="AR32" s="92">
        <f>'[1]January - 2022'!AY32</f>
        <v>3556.5599999986589</v>
      </c>
      <c r="AS32" s="287">
        <f>'[1]January - 2022'!BA32</f>
        <v>10234171.92</v>
      </c>
      <c r="AT32" s="288">
        <f>'[1]January - 2022'!BB32</f>
        <v>2630.8799999989569</v>
      </c>
      <c r="AU32" s="92">
        <f>'[1]January - 2022'!BB32</f>
        <v>2630.8799999989569</v>
      </c>
      <c r="AV32" s="287">
        <f>'[1]January - 2022'!BD32</f>
        <v>15907859.52</v>
      </c>
      <c r="AW32" s="252">
        <f>'[1]January - 2022'!BE32</f>
        <v>4433.519999999553</v>
      </c>
      <c r="AX32" s="253">
        <f>'[1]January - 2022'!BE32</f>
        <v>4433.519999999553</v>
      </c>
      <c r="AY32" s="493"/>
      <c r="AZ32" s="272">
        <f>'[1]January - 2022'!BK32</f>
        <v>68689200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70790600</v>
      </c>
      <c r="BD32" s="245">
        <f>'[1]January - 2022'!BO32</f>
        <v>28000</v>
      </c>
      <c r="BE32" s="93">
        <f>'[1]January - 2022'!BO32</f>
        <v>28000</v>
      </c>
      <c r="BF32" s="272">
        <f>'[1]January - 2022'!BQ32</f>
        <v>65863100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7972100</v>
      </c>
      <c r="BT32" s="185">
        <f>'[1]January - 2022'!BU32</f>
        <v>4340</v>
      </c>
      <c r="BU32" s="589"/>
      <c r="BV32" s="88">
        <f>'[1]January - 2022'!BW32</f>
        <v>0.64</v>
      </c>
      <c r="BW32" s="241">
        <f>'[1]January - 2022'!BX32</f>
        <v>-0.18</v>
      </c>
      <c r="BX32" s="88">
        <f>'[1]January - 2022'!BX32</f>
        <v>-0.18</v>
      </c>
      <c r="BY32" s="89">
        <f>'[1]January - 2022'!BZ32</f>
        <v>57976</v>
      </c>
      <c r="BZ32" s="191">
        <f>'[1]January - 2022'!CA32</f>
        <v>12</v>
      </c>
      <c r="CA32" s="89">
        <f>'[1]January - 2022'!CB32</f>
        <v>49424</v>
      </c>
      <c r="CB32" s="191">
        <f>'[1]January - 2022'!CC32</f>
        <v>17</v>
      </c>
      <c r="CC32" s="89">
        <f>'[1]January - 2022'!CD32</f>
        <v>16944</v>
      </c>
      <c r="CD32" s="191">
        <f>'[1]January - 2022'!CE32</f>
        <v>4</v>
      </c>
      <c r="CE32" s="89">
        <f>'[1]January - 2022'!CF32</f>
        <v>22569</v>
      </c>
      <c r="CF32" s="191">
        <f>'[1]January - 2022'!CG32</f>
        <v>9</v>
      </c>
      <c r="CG32" s="89">
        <f>'[1]January - 2022'!CH32</f>
        <v>24592</v>
      </c>
      <c r="CH32" s="191">
        <f>'[1]January - 2022'!CI32</f>
        <v>9</v>
      </c>
      <c r="CI32" s="89">
        <f>'[1]January - 2022'!CJ32</f>
        <v>54521</v>
      </c>
      <c r="CJ32" s="191">
        <f>'[1]January - 2022'!CK32</f>
        <v>19</v>
      </c>
      <c r="CK32" s="89">
        <f>'[1]January - 2022'!CL32</f>
        <v>238902</v>
      </c>
      <c r="CL32" s="246">
        <f>'[1]January - 2022'!CM32</f>
        <v>95</v>
      </c>
      <c r="CM32" s="89">
        <f>'[1]January - 2022'!CM32</f>
        <v>95</v>
      </c>
      <c r="CN32" s="89">
        <f>'[1]January - 2022'!CO32</f>
        <v>185340</v>
      </c>
      <c r="CO32" s="246">
        <f>'[1]January - 2022'!CP32</f>
        <v>108</v>
      </c>
      <c r="CP32" s="89">
        <f>'[1]January - 2022'!CP32</f>
        <v>108</v>
      </c>
      <c r="CQ32" s="89">
        <f>'[1]January - 2022'!CR32</f>
        <v>332164</v>
      </c>
      <c r="CR32" s="246">
        <f>'[1]January - 2022'!CS32</f>
        <v>309</v>
      </c>
      <c r="CS32" s="89">
        <f>'[1]January - 2022'!CS32</f>
        <v>309</v>
      </c>
      <c r="CT32" s="89">
        <f>'[1]January - 2022'!CU32</f>
        <v>630802</v>
      </c>
      <c r="CU32" s="191">
        <f>'[1]January - 2022'!CV32</f>
        <v>226</v>
      </c>
      <c r="CV32" s="517"/>
      <c r="CW32" s="256">
        <f>'[1]January - 2022'!CX32</f>
        <v>6785</v>
      </c>
      <c r="CX32" s="198">
        <f>'[1]January - 2022'!CY32</f>
        <v>8</v>
      </c>
      <c r="CY32" s="257">
        <f>'[1]January - 2022'!CZ32</f>
        <v>4251</v>
      </c>
      <c r="CZ32" s="198">
        <f>'[1]January - 2022'!DA32</f>
        <v>2</v>
      </c>
      <c r="DA32" s="257">
        <f>'[1]January - 2022'!DB32</f>
        <v>27660</v>
      </c>
      <c r="DB32" s="198">
        <f>'[1]January - 2022'!DC32</f>
        <v>21</v>
      </c>
      <c r="DC32" s="257">
        <f>'[1]January - 2022'!DD32</f>
        <v>28283</v>
      </c>
      <c r="DD32" s="198">
        <f>'[1]January - 2022'!DE32</f>
        <v>25</v>
      </c>
      <c r="DE32" s="257">
        <f>'[1]January - 2022'!DF32</f>
        <v>19063</v>
      </c>
      <c r="DF32" s="198">
        <f>'[1]January - 2022'!DG32</f>
        <v>9</v>
      </c>
      <c r="DG32" s="257">
        <f>'[1]January - 2022'!DH32</f>
        <v>22162</v>
      </c>
      <c r="DH32" s="198">
        <f>'[1]January - 2022'!DI32</f>
        <v>8</v>
      </c>
      <c r="DI32" s="257">
        <f>'[1]January - 2022'!DJ32</f>
        <v>3679</v>
      </c>
      <c r="DJ32" s="198">
        <f>'[1]January - 2022'!DK32</f>
        <v>11</v>
      </c>
      <c r="DK32" s="257">
        <f>'[1]January - 2022'!DL32</f>
        <v>7369</v>
      </c>
      <c r="DL32" s="198">
        <f>'[1]January - 2022'!DM32</f>
        <v>10</v>
      </c>
      <c r="DM32" s="257">
        <f>'[1]January - 2022'!DN32</f>
        <v>2004</v>
      </c>
      <c r="DN32" s="198">
        <f>'[1]January - 2022'!DO32</f>
        <v>5</v>
      </c>
      <c r="DO32" s="257">
        <f>'[1]January - 2022'!DP32</f>
        <v>3916</v>
      </c>
      <c r="DP32" s="198">
        <f>'[1]January - 2022'!DQ32</f>
        <v>4</v>
      </c>
      <c r="DQ32" s="257">
        <f>'[1]January - 2022'!DR32</f>
        <v>26525</v>
      </c>
      <c r="DR32" s="206">
        <f>'[1]January - 2022'!DS32</f>
        <v>5</v>
      </c>
      <c r="DS32" s="533"/>
      <c r="DT32" s="210">
        <f>'[1]January - 2022'!DU32</f>
        <v>3517.2</v>
      </c>
      <c r="DU32" s="221">
        <f>'[1]January - 2022'!DV32</f>
        <v>7.2999999999997272</v>
      </c>
      <c r="DV32" s="91">
        <f>'[1]January - 2022'!DW32</f>
        <v>8528.2999999999993</v>
      </c>
      <c r="DW32" s="215">
        <f>'[1]January - 2022'!DX32</f>
        <v>5.5</v>
      </c>
      <c r="DX32" s="91">
        <f>'[1]January - 2022'!DY32</f>
        <v>2657.6</v>
      </c>
      <c r="DY32" s="215">
        <f>'[1]January - 2022'!DZ32</f>
        <v>5.4000000000000909</v>
      </c>
      <c r="DZ32" s="91">
        <f>'[1]January - 2022'!EA32</f>
        <v>2789.3</v>
      </c>
      <c r="EA32" s="215">
        <f>'[1]January - 2022'!EB32</f>
        <v>4.9000000000000909</v>
      </c>
      <c r="EB32" s="91">
        <f>'[1]January - 2022'!EC32</f>
        <v>898333</v>
      </c>
      <c r="EC32" s="215">
        <f>'[1]January - 2022'!ED32</f>
        <v>429</v>
      </c>
      <c r="ED32" s="91">
        <f>'[1]January - 2022'!EG32</f>
        <v>183363.4</v>
      </c>
      <c r="EE32" s="229">
        <f>'[1]January - 2022'!EH32</f>
        <v>128.5</v>
      </c>
      <c r="EF32" s="580"/>
      <c r="EG32" s="235">
        <f>'[1]January - 2022'!EJ32</f>
        <v>10543700</v>
      </c>
      <c r="EH32" s="230">
        <f>'[1]January - 2022'!EK32</f>
        <v>1100</v>
      </c>
      <c r="EI32" s="90">
        <f>'[1]January - 2022'!EL32</f>
        <v>838940</v>
      </c>
      <c r="EJ32" s="230">
        <f>'[1]January - 2022'!EM32</f>
        <v>180</v>
      </c>
      <c r="EK32" s="90">
        <f>'[1]January - 2022'!EN32</f>
        <v>6441900</v>
      </c>
      <c r="EL32" s="230">
        <f>'[1]January - 2022'!EO32</f>
        <v>400</v>
      </c>
      <c r="EM32" s="90">
        <f>'[1]January - 2022'!EP32</f>
        <v>2266300</v>
      </c>
      <c r="EN32" s="230">
        <f>'[1]January - 2022'!EQ32</f>
        <v>200</v>
      </c>
      <c r="EO32" s="90">
        <f>'[1]January - 2022'!ER32</f>
        <v>1025280</v>
      </c>
      <c r="EP32" s="230">
        <f>'[1]January - 2022'!ES32</f>
        <v>520</v>
      </c>
      <c r="EQ32" s="90">
        <f>'[1]January - 2022'!ET32</f>
        <v>14404500</v>
      </c>
      <c r="ER32" s="230">
        <f>'[1]January - 2022'!EU32</f>
        <v>400</v>
      </c>
      <c r="ES32" s="555"/>
      <c r="ET32" s="281">
        <f>'[1]January - 2022'!EW32</f>
        <v>38187</v>
      </c>
      <c r="EU32" s="275">
        <f>'[1]January - 2022'!EX32</f>
        <v>13</v>
      </c>
      <c r="EV32" s="282">
        <f>'[1]January - 2022'!EY32</f>
        <v>33089</v>
      </c>
      <c r="EW32" s="275">
        <f>'[1]January - 2022'!EZ32</f>
        <v>10</v>
      </c>
      <c r="EX32" s="282">
        <f>'[1]January - 2022'!FA32</f>
        <v>4174</v>
      </c>
      <c r="EY32" s="275">
        <f>'[1]January - 2022'!FB32</f>
        <v>10</v>
      </c>
      <c r="EZ32" s="282">
        <f>'[1]January - 2022'!FC32</f>
        <v>55006</v>
      </c>
      <c r="FA32" s="275">
        <f>'[1]January - 2022'!FD32</f>
        <v>18</v>
      </c>
      <c r="FB32" s="282">
        <f>'[1]January - 2022'!FE32</f>
        <v>39214</v>
      </c>
      <c r="FC32" s="276">
        <f>'[1]January - 2022'!FF32</f>
        <v>22</v>
      </c>
    </row>
    <row r="33" spans="1:160" ht="30" customHeight="1" x14ac:dyDescent="0.25">
      <c r="A33" s="207">
        <v>43854</v>
      </c>
      <c r="B33" s="209">
        <f>'[1]January - 2022'!B33</f>
        <v>0.59</v>
      </c>
      <c r="C33" s="250">
        <f>'[1]January - 2022'!E33</f>
        <v>954139</v>
      </c>
      <c r="D33" s="170">
        <f>'[1]January - 2022'!F33</f>
        <v>662</v>
      </c>
      <c r="E33" s="168">
        <f>'[1]January - 2022'!G33</f>
        <v>466</v>
      </c>
      <c r="F33" s="168">
        <f>'[1]January - 2022'!H33</f>
        <v>111267</v>
      </c>
      <c r="G33" s="170">
        <f>'[1]January - 2022'!I33</f>
        <v>349</v>
      </c>
      <c r="H33" s="168">
        <f>'[1]January - 2022'!J33</f>
        <v>405</v>
      </c>
      <c r="I33" s="168">
        <f>'[1]January - 2022'!K33</f>
        <v>164625</v>
      </c>
      <c r="J33" s="170">
        <f>'[1]January - 2022'!L33</f>
        <v>0</v>
      </c>
      <c r="K33" s="168">
        <f>'[1]January - 2022'!N33</f>
        <v>826349</v>
      </c>
      <c r="L33" s="170">
        <f>'[1]January - 2022'!O33</f>
        <v>363</v>
      </c>
      <c r="M33" s="168">
        <f>'[1]January - 2022'!Q33</f>
        <v>193740</v>
      </c>
      <c r="N33" s="170">
        <f>'[1]January - 2022'!R33</f>
        <v>338</v>
      </c>
      <c r="O33" s="168">
        <f>'[1]January - 2022'!S33</f>
        <v>56604.47</v>
      </c>
      <c r="P33" s="170">
        <f>'[1]January - 2022'!T33</f>
        <v>53.270000000004075</v>
      </c>
      <c r="Q33" s="168">
        <f>'[1]January - 2022'!U33</f>
        <v>10</v>
      </c>
      <c r="R33" s="168">
        <f>'[1]January - 2022'!V33</f>
        <v>4382</v>
      </c>
      <c r="S33" s="208">
        <f>'[1]January - 2022'!W33</f>
        <v>7</v>
      </c>
      <c r="T33" s="476"/>
      <c r="U33" s="169">
        <f>'[1]January - 2022'!AC33</f>
        <v>7289194.0800000001</v>
      </c>
      <c r="V33" s="288">
        <f>'[1]January - 2022'!AD33</f>
        <v>2728.320000000298</v>
      </c>
      <c r="W33" s="92">
        <f>'[1]January - 2022'!AD33</f>
        <v>2728.320000000298</v>
      </c>
      <c r="X33" s="287">
        <f>'[1]January - 2022'!AF33</f>
        <v>13969242</v>
      </c>
      <c r="Y33" s="288">
        <f>'[1]January - 2022'!AG33</f>
        <v>4774.5600000005215</v>
      </c>
      <c r="Z33" s="92">
        <f>'[1]January - 2022'!AG33</f>
        <v>4774.5600000005215</v>
      </c>
      <c r="AA33" s="287">
        <f>'[1]January - 2022'!AI33</f>
        <v>13841498.16</v>
      </c>
      <c r="AB33" s="288">
        <f>'[1]January - 2022'!AJ33</f>
        <v>146.16000000014901</v>
      </c>
      <c r="AC33" s="92">
        <f>'[1]January - 2022'!AJ33</f>
        <v>146.16000000014901</v>
      </c>
      <c r="AD33" s="287">
        <f>'[1]January - 2022'!AL33</f>
        <v>16787499.119999997</v>
      </c>
      <c r="AE33" s="288">
        <f>'[1]January - 2022'!AM33</f>
        <v>6820.7999999970198</v>
      </c>
      <c r="AF33" s="92">
        <f>'[1]January - 2022'!AM33</f>
        <v>6820.7999999970198</v>
      </c>
      <c r="AG33" s="287">
        <f>'[1]January - 2022'!AO33</f>
        <v>17278889.039999999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15746206.559999999</v>
      </c>
      <c r="AK33" s="288">
        <f>'[1]January - 2022'!AS33</f>
        <v>5651.519999999553</v>
      </c>
      <c r="AL33" s="92">
        <f>'[1]January - 2022'!AS33</f>
        <v>5651.519999999553</v>
      </c>
      <c r="AM33" s="287">
        <f>'[1]January - 2022'!AU33</f>
        <v>13373640</v>
      </c>
      <c r="AN33" s="288">
        <f>'[1]January - 2022'!AV33</f>
        <v>3800.160000000149</v>
      </c>
      <c r="AO33" s="92">
        <f>'[1]January - 2022'!AV33</f>
        <v>3800.160000000149</v>
      </c>
      <c r="AP33" s="287">
        <f>'[1]January - 2022'!AX33</f>
        <v>12859205.52</v>
      </c>
      <c r="AQ33" s="288">
        <f>'[1]January - 2022'!AY33</f>
        <v>4189.9199999999255</v>
      </c>
      <c r="AR33" s="92">
        <f>'[1]January - 2022'!AY33</f>
        <v>4189.9199999999255</v>
      </c>
      <c r="AS33" s="287">
        <f>'[1]January - 2022'!BA33</f>
        <v>10237241.280000001</v>
      </c>
      <c r="AT33" s="288">
        <f>'[1]January - 2022'!BB33</f>
        <v>3069.3600000012666</v>
      </c>
      <c r="AU33" s="92">
        <f>'[1]January - 2022'!BB33</f>
        <v>3069.3600000012666</v>
      </c>
      <c r="AV33" s="287">
        <f>'[1]January - 2022'!BD33</f>
        <v>15912828.959999999</v>
      </c>
      <c r="AW33" s="252">
        <f>'[1]January - 2022'!BE33</f>
        <v>4969.4399999994785</v>
      </c>
      <c r="AX33" s="253">
        <f>'[1]January - 2022'!BE33</f>
        <v>4969.4399999994785</v>
      </c>
      <c r="AY33" s="493"/>
      <c r="AZ33" s="272">
        <f>'[1]January - 2022'!BK33</f>
        <v>68689200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70817900</v>
      </c>
      <c r="BD33" s="245">
        <f>'[1]January - 2022'!BO33</f>
        <v>27300</v>
      </c>
      <c r="BE33" s="93">
        <f>'[1]January - 2022'!BO33</f>
        <v>27300</v>
      </c>
      <c r="BF33" s="272">
        <f>'[1]January - 2022'!BQ33</f>
        <v>65863100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7976980</v>
      </c>
      <c r="BT33" s="185">
        <f>'[1]January - 2022'!BU33</f>
        <v>4880</v>
      </c>
      <c r="BU33" s="589"/>
      <c r="BV33" s="88">
        <f>'[1]January - 2022'!BW33</f>
        <v>0.59</v>
      </c>
      <c r="BW33" s="241">
        <f>'[1]January - 2022'!BX33</f>
        <v>5.0000000000000044E-2</v>
      </c>
      <c r="BX33" s="88">
        <f>'[1]January - 2022'!BX33</f>
        <v>5.0000000000000044E-2</v>
      </c>
      <c r="BY33" s="89">
        <f>'[1]January - 2022'!BZ33</f>
        <v>57991</v>
      </c>
      <c r="BZ33" s="191">
        <f>'[1]January - 2022'!CA33</f>
        <v>15</v>
      </c>
      <c r="CA33" s="89">
        <f>'[1]January - 2022'!CB33</f>
        <v>49442</v>
      </c>
      <c r="CB33" s="191">
        <f>'[1]January - 2022'!CC33</f>
        <v>18</v>
      </c>
      <c r="CC33" s="89">
        <f>'[1]January - 2022'!CD33</f>
        <v>16949</v>
      </c>
      <c r="CD33" s="191">
        <f>'[1]January - 2022'!CE33</f>
        <v>5</v>
      </c>
      <c r="CE33" s="89">
        <f>'[1]January - 2022'!CF33</f>
        <v>22581</v>
      </c>
      <c r="CF33" s="191">
        <f>'[1]January - 2022'!CG33</f>
        <v>12</v>
      </c>
      <c r="CG33" s="89">
        <f>'[1]January - 2022'!CH33</f>
        <v>24607</v>
      </c>
      <c r="CH33" s="191">
        <f>'[1]January - 2022'!CI33</f>
        <v>15</v>
      </c>
      <c r="CI33" s="89">
        <f>'[1]January - 2022'!CJ33</f>
        <v>54542</v>
      </c>
      <c r="CJ33" s="191">
        <f>'[1]January - 2022'!CK33</f>
        <v>21</v>
      </c>
      <c r="CK33" s="89">
        <f>'[1]January - 2022'!CL33</f>
        <v>239011</v>
      </c>
      <c r="CL33" s="246">
        <f>'[1]January - 2022'!CM33</f>
        <v>109</v>
      </c>
      <c r="CM33" s="89">
        <f>'[1]January - 2022'!CM33</f>
        <v>109</v>
      </c>
      <c r="CN33" s="89">
        <f>'[1]January - 2022'!CO33</f>
        <v>185453</v>
      </c>
      <c r="CO33" s="246">
        <f>'[1]January - 2022'!CP33</f>
        <v>113</v>
      </c>
      <c r="CP33" s="89">
        <f>'[1]January - 2022'!CP33</f>
        <v>113</v>
      </c>
      <c r="CQ33" s="89">
        <f>'[1]January - 2022'!CR33</f>
        <v>332479</v>
      </c>
      <c r="CR33" s="246">
        <f>'[1]January - 2022'!CS33</f>
        <v>315</v>
      </c>
      <c r="CS33" s="89">
        <f>'[1]January - 2022'!CS33</f>
        <v>315</v>
      </c>
      <c r="CT33" s="89">
        <f>'[1]January - 2022'!CU33</f>
        <v>631059</v>
      </c>
      <c r="CU33" s="191">
        <f>'[1]January - 2022'!CV33</f>
        <v>257</v>
      </c>
      <c r="CV33" s="517"/>
      <c r="CW33" s="256">
        <f>'[1]January - 2022'!CX33</f>
        <v>6791</v>
      </c>
      <c r="CX33" s="198">
        <f>'[1]January - 2022'!CY33</f>
        <v>6</v>
      </c>
      <c r="CY33" s="257">
        <f>'[1]January - 2022'!CZ33</f>
        <v>4255</v>
      </c>
      <c r="CZ33" s="198">
        <f>'[1]January - 2022'!DA33</f>
        <v>4</v>
      </c>
      <c r="DA33" s="257">
        <f>'[1]January - 2022'!DB33</f>
        <v>27675</v>
      </c>
      <c r="DB33" s="198">
        <f>'[1]January - 2022'!DC33</f>
        <v>15</v>
      </c>
      <c r="DC33" s="257">
        <f>'[1]January - 2022'!DD33</f>
        <v>28299</v>
      </c>
      <c r="DD33" s="198">
        <f>'[1]January - 2022'!DE33</f>
        <v>16</v>
      </c>
      <c r="DE33" s="257">
        <f>'[1]January - 2022'!DF33</f>
        <v>19072</v>
      </c>
      <c r="DF33" s="198">
        <f>'[1]January - 2022'!DG33</f>
        <v>9</v>
      </c>
      <c r="DG33" s="257">
        <f>'[1]January - 2022'!DH33</f>
        <v>22170</v>
      </c>
      <c r="DH33" s="198">
        <f>'[1]January - 2022'!DI33</f>
        <v>8</v>
      </c>
      <c r="DI33" s="257">
        <f>'[1]January - 2022'!DJ33</f>
        <v>3683</v>
      </c>
      <c r="DJ33" s="198">
        <f>'[1]January - 2022'!DK33</f>
        <v>4</v>
      </c>
      <c r="DK33" s="257">
        <f>'[1]January - 2022'!DL33</f>
        <v>7381</v>
      </c>
      <c r="DL33" s="198">
        <f>'[1]January - 2022'!DM33</f>
        <v>12</v>
      </c>
      <c r="DM33" s="257">
        <f>'[1]January - 2022'!DN33</f>
        <v>2008</v>
      </c>
      <c r="DN33" s="198">
        <f>'[1]January - 2022'!DO33</f>
        <v>4</v>
      </c>
      <c r="DO33" s="257">
        <f>'[1]January - 2022'!DP33</f>
        <v>3922</v>
      </c>
      <c r="DP33" s="198">
        <f>'[1]January - 2022'!DQ33</f>
        <v>6</v>
      </c>
      <c r="DQ33" s="257">
        <f>'[1]January - 2022'!DR33</f>
        <v>26533</v>
      </c>
      <c r="DR33" s="206">
        <f>'[1]January - 2022'!DS33</f>
        <v>8</v>
      </c>
      <c r="DS33" s="533"/>
      <c r="DT33" s="210">
        <f>'[1]January - 2022'!DU33</f>
        <v>3525.8</v>
      </c>
      <c r="DU33" s="221">
        <f>'[1]January - 2022'!DV33</f>
        <v>8.6000000000003638</v>
      </c>
      <c r="DV33" s="91">
        <f>'[1]January - 2022'!DW33</f>
        <v>8533.9</v>
      </c>
      <c r="DW33" s="215">
        <f>'[1]January - 2022'!DX33</f>
        <v>5.6000000000003638</v>
      </c>
      <c r="DX33" s="91">
        <f>'[1]January - 2022'!DY33</f>
        <v>2664.1</v>
      </c>
      <c r="DY33" s="215">
        <f>'[1]January - 2022'!DZ33</f>
        <v>6.5</v>
      </c>
      <c r="DZ33" s="91">
        <f>'[1]January - 2022'!EA33</f>
        <v>2794.3</v>
      </c>
      <c r="EA33" s="215">
        <f>'[1]January - 2022'!EB33</f>
        <v>5</v>
      </c>
      <c r="EB33" s="91">
        <f>'[1]January - 2022'!EC33</f>
        <v>898828</v>
      </c>
      <c r="EC33" s="215">
        <f>'[1]January - 2022'!ED33</f>
        <v>495</v>
      </c>
      <c r="ED33" s="91">
        <f>'[1]January - 2022'!EG33</f>
        <v>183512.6</v>
      </c>
      <c r="EE33" s="229">
        <f>'[1]January - 2022'!EH33</f>
        <v>149.20000000001164</v>
      </c>
      <c r="EF33" s="580"/>
      <c r="EG33" s="235">
        <f>'[1]January - 2022'!EJ33</f>
        <v>10545100</v>
      </c>
      <c r="EH33" s="230">
        <f>'[1]January - 2022'!EK33</f>
        <v>1400</v>
      </c>
      <c r="EI33" s="90">
        <f>'[1]January - 2022'!EL33</f>
        <v>839160</v>
      </c>
      <c r="EJ33" s="230">
        <f>'[1]January - 2022'!EM33</f>
        <v>220</v>
      </c>
      <c r="EK33" s="90">
        <f>'[1]January - 2022'!EN33</f>
        <v>6442500</v>
      </c>
      <c r="EL33" s="230">
        <f>'[1]January - 2022'!EO33</f>
        <v>600</v>
      </c>
      <c r="EM33" s="90">
        <f>'[1]January - 2022'!EP33</f>
        <v>2266500</v>
      </c>
      <c r="EN33" s="230">
        <f>'[1]January - 2022'!EQ33</f>
        <v>200</v>
      </c>
      <c r="EO33" s="90">
        <f>'[1]January - 2022'!ER33</f>
        <v>1025880</v>
      </c>
      <c r="EP33" s="230">
        <f>'[1]January - 2022'!ES33</f>
        <v>600</v>
      </c>
      <c r="EQ33" s="90">
        <f>'[1]January - 2022'!ET33</f>
        <v>14404500</v>
      </c>
      <c r="ER33" s="230">
        <f>'[1]January - 2022'!EU33</f>
        <v>0</v>
      </c>
      <c r="ES33" s="555"/>
      <c r="ET33" s="281">
        <f>'[1]January - 2022'!EW33</f>
        <v>38200</v>
      </c>
      <c r="EU33" s="275">
        <f>'[1]January - 2022'!EX33</f>
        <v>13</v>
      </c>
      <c r="EV33" s="282">
        <f>'[1]January - 2022'!EY33</f>
        <v>33099</v>
      </c>
      <c r="EW33" s="275">
        <f>'[1]January - 2022'!EZ33</f>
        <v>10</v>
      </c>
      <c r="EX33" s="282">
        <f>'[1]January - 2022'!FA33</f>
        <v>4185</v>
      </c>
      <c r="EY33" s="275">
        <f>'[1]January - 2022'!FB33</f>
        <v>11</v>
      </c>
      <c r="EZ33" s="282">
        <f>'[1]January - 2022'!FC33</f>
        <v>55023</v>
      </c>
      <c r="FA33" s="275">
        <f>'[1]January - 2022'!FD33</f>
        <v>17</v>
      </c>
      <c r="FB33" s="282">
        <f>'[1]January - 2022'!FE33</f>
        <v>39244</v>
      </c>
      <c r="FC33" s="276">
        <f>'[1]January - 2022'!FF33</f>
        <v>30</v>
      </c>
    </row>
    <row r="34" spans="1:160" ht="30" customHeight="1" x14ac:dyDescent="0.25">
      <c r="A34" s="207">
        <v>43855</v>
      </c>
      <c r="B34" s="209">
        <f>'[1]January - 2022'!B34</f>
        <v>0.59</v>
      </c>
      <c r="C34" s="250">
        <f>'[1]January - 2022'!E34</f>
        <v>954621</v>
      </c>
      <c r="D34" s="170">
        <f>'[1]January - 2022'!F34</f>
        <v>482</v>
      </c>
      <c r="E34" s="168">
        <f>'[1]January - 2022'!G34</f>
        <v>448</v>
      </c>
      <c r="F34" s="168">
        <f>'[1]January - 2022'!H34</f>
        <v>111652</v>
      </c>
      <c r="G34" s="170">
        <f>'[1]January - 2022'!I34</f>
        <v>385</v>
      </c>
      <c r="H34" s="168">
        <f>'[1]January - 2022'!J34</f>
        <v>414</v>
      </c>
      <c r="I34" s="168">
        <f>'[1]January - 2022'!K34</f>
        <v>164625</v>
      </c>
      <c r="J34" s="170">
        <f>'[1]January - 2022'!L34</f>
        <v>0</v>
      </c>
      <c r="K34" s="168">
        <f>'[1]January - 2022'!N34</f>
        <v>826548</v>
      </c>
      <c r="L34" s="170">
        <f>'[1]January - 2022'!O34</f>
        <v>199</v>
      </c>
      <c r="M34" s="168">
        <f>'[1]January - 2022'!Q34</f>
        <v>193754</v>
      </c>
      <c r="N34" s="170">
        <f>'[1]January - 2022'!R34</f>
        <v>14</v>
      </c>
      <c r="O34" s="168">
        <f>'[1]January - 2022'!S34</f>
        <v>56656.26</v>
      </c>
      <c r="P34" s="170">
        <f>'[1]January - 2022'!T34</f>
        <v>51.790000000000873</v>
      </c>
      <c r="Q34" s="168">
        <f>'[1]January - 2022'!U34</f>
        <v>12</v>
      </c>
      <c r="R34" s="168">
        <f>'[1]January - 2022'!V34</f>
        <v>4385</v>
      </c>
      <c r="S34" s="208">
        <f>'[1]January - 2022'!W34</f>
        <v>3</v>
      </c>
      <c r="T34" s="476"/>
      <c r="U34" s="169">
        <f>'[1]January - 2022'!AC34</f>
        <v>7291971.1200000001</v>
      </c>
      <c r="V34" s="288">
        <f>'[1]January - 2022'!AD34</f>
        <v>2777.0400000000373</v>
      </c>
      <c r="W34" s="92">
        <f>'[1]January - 2022'!AD34</f>
        <v>2777.0400000000373</v>
      </c>
      <c r="X34" s="287">
        <f>'[1]January - 2022'!AF34</f>
        <v>13974114</v>
      </c>
      <c r="Y34" s="288">
        <f>'[1]January - 2022'!AG34</f>
        <v>4872</v>
      </c>
      <c r="Z34" s="92">
        <f>'[1]January - 2022'!AG34</f>
        <v>4872</v>
      </c>
      <c r="AA34" s="287">
        <f>'[1]January - 2022'!AI34</f>
        <v>13841693.039999999</v>
      </c>
      <c r="AB34" s="288">
        <f>'[1]January - 2022'!AJ34</f>
        <v>194.87999999895692</v>
      </c>
      <c r="AC34" s="92">
        <f>'[1]January - 2022'!AJ34</f>
        <v>194.87999999895692</v>
      </c>
      <c r="AD34" s="287">
        <f>'[1]January - 2022'!AL34</f>
        <v>16795440.48</v>
      </c>
      <c r="AE34" s="288">
        <f>'[1]January - 2022'!AM34</f>
        <v>7941.3600000031292</v>
      </c>
      <c r="AF34" s="92">
        <f>'[1]January - 2022'!AM34</f>
        <v>7941.3600000031292</v>
      </c>
      <c r="AG34" s="287">
        <f>'[1]January - 2022'!AO34</f>
        <v>17278889.039999999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15751663.199999999</v>
      </c>
      <c r="AK34" s="288">
        <f>'[1]January - 2022'!AS34</f>
        <v>5456.640000000596</v>
      </c>
      <c r="AL34" s="92">
        <f>'[1]January - 2022'!AS34</f>
        <v>5456.640000000596</v>
      </c>
      <c r="AM34" s="287">
        <f>'[1]January - 2022'!AU34</f>
        <v>13377488.880000001</v>
      </c>
      <c r="AN34" s="288">
        <f>'[1]January - 2022'!AV34</f>
        <v>3848.8800000008196</v>
      </c>
      <c r="AO34" s="92">
        <f>'[1]January - 2022'!AV34</f>
        <v>3848.8800000008196</v>
      </c>
      <c r="AP34" s="287">
        <f>'[1]January - 2022'!AX34</f>
        <v>12863444.16</v>
      </c>
      <c r="AQ34" s="288">
        <f>'[1]January - 2022'!AY34</f>
        <v>4238.640000000596</v>
      </c>
      <c r="AR34" s="92">
        <f>'[1]January - 2022'!AY34</f>
        <v>4238.640000000596</v>
      </c>
      <c r="AS34" s="287">
        <f>'[1]January - 2022'!BA34</f>
        <v>10240115.76</v>
      </c>
      <c r="AT34" s="288">
        <f>'[1]January - 2022'!BB34</f>
        <v>2874.4799999985844</v>
      </c>
      <c r="AU34" s="92">
        <f>'[1]January - 2022'!BB34</f>
        <v>2874.4799999985844</v>
      </c>
      <c r="AV34" s="287">
        <f>'[1]January - 2022'!BD34</f>
        <v>15917895.84</v>
      </c>
      <c r="AW34" s="252">
        <f>'[1]January - 2022'!BE34</f>
        <v>5066.8800000008196</v>
      </c>
      <c r="AX34" s="253">
        <f>'[1]January - 2022'!BE34</f>
        <v>5066.8800000008196</v>
      </c>
      <c r="AY34" s="493"/>
      <c r="AZ34" s="272">
        <f>'[1]January - 2022'!BK34</f>
        <v>68689200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70849000</v>
      </c>
      <c r="BD34" s="245">
        <f>'[1]January - 2022'!BO34</f>
        <v>31100</v>
      </c>
      <c r="BE34" s="93">
        <f>'[1]January - 2022'!BO34</f>
        <v>31100</v>
      </c>
      <c r="BF34" s="272">
        <f>'[1]January - 2022'!BQ34</f>
        <v>65863100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7982220</v>
      </c>
      <c r="BT34" s="185">
        <f>'[1]January - 2022'!BU34</f>
        <v>5240</v>
      </c>
      <c r="BU34" s="589"/>
      <c r="BV34" s="88">
        <f>'[1]January - 2022'!BW34</f>
        <v>0.74</v>
      </c>
      <c r="BW34" s="241">
        <f>'[1]January - 2022'!BX34</f>
        <v>-0.15000000000000002</v>
      </c>
      <c r="BX34" s="88">
        <f>'[1]January - 2022'!BX34</f>
        <v>-0.15000000000000002</v>
      </c>
      <c r="BY34" s="89">
        <f>'[1]January - 2022'!BZ34</f>
        <v>58006</v>
      </c>
      <c r="BZ34" s="191">
        <f>'[1]January - 2022'!CA34</f>
        <v>15</v>
      </c>
      <c r="CA34" s="89">
        <f>'[1]January - 2022'!CB34</f>
        <v>49459</v>
      </c>
      <c r="CB34" s="191">
        <f>'[1]January - 2022'!CC34</f>
        <v>17</v>
      </c>
      <c r="CC34" s="89">
        <f>'[1]January - 2022'!CD34</f>
        <v>16953</v>
      </c>
      <c r="CD34" s="191">
        <f>'[1]January - 2022'!CE34</f>
        <v>4</v>
      </c>
      <c r="CE34" s="89">
        <f>'[1]January - 2022'!CF34</f>
        <v>22590</v>
      </c>
      <c r="CF34" s="191">
        <f>'[1]January - 2022'!CG34</f>
        <v>9</v>
      </c>
      <c r="CG34" s="89">
        <f>'[1]January - 2022'!CH34</f>
        <v>24621</v>
      </c>
      <c r="CH34" s="191">
        <f>'[1]January - 2022'!CI34</f>
        <v>14</v>
      </c>
      <c r="CI34" s="89">
        <f>'[1]January - 2022'!CJ34</f>
        <v>54562</v>
      </c>
      <c r="CJ34" s="191">
        <f>'[1]January - 2022'!CK34</f>
        <v>20</v>
      </c>
      <c r="CK34" s="89">
        <f>'[1]January - 2022'!CL34</f>
        <v>239119</v>
      </c>
      <c r="CL34" s="246">
        <f>'[1]January - 2022'!CM34</f>
        <v>108</v>
      </c>
      <c r="CM34" s="89">
        <f>'[1]January - 2022'!CM34</f>
        <v>108</v>
      </c>
      <c r="CN34" s="89">
        <f>'[1]January - 2022'!CO34</f>
        <v>185569</v>
      </c>
      <c r="CO34" s="246">
        <f>'[1]January - 2022'!CP34</f>
        <v>116</v>
      </c>
      <c r="CP34" s="89">
        <f>'[1]January - 2022'!CP34</f>
        <v>116</v>
      </c>
      <c r="CQ34" s="89">
        <f>'[1]January - 2022'!CR34</f>
        <v>332790</v>
      </c>
      <c r="CR34" s="246">
        <f>'[1]January - 2022'!CS34</f>
        <v>311</v>
      </c>
      <c r="CS34" s="89">
        <f>'[1]January - 2022'!CS34</f>
        <v>311</v>
      </c>
      <c r="CT34" s="89">
        <f>'[1]January - 2022'!CU34</f>
        <v>631317</v>
      </c>
      <c r="CU34" s="191">
        <f>'[1]January - 2022'!CV34</f>
        <v>258</v>
      </c>
      <c r="CV34" s="517"/>
      <c r="CW34" s="256">
        <f>'[1]January - 2022'!CX34</f>
        <v>6797</v>
      </c>
      <c r="CX34" s="198">
        <f>'[1]January - 2022'!CY34</f>
        <v>6</v>
      </c>
      <c r="CY34" s="257">
        <f>'[1]January - 2022'!CZ34</f>
        <v>4261</v>
      </c>
      <c r="CZ34" s="198">
        <f>'[1]January - 2022'!DA34</f>
        <v>6</v>
      </c>
      <c r="DA34" s="257">
        <f>'[1]January - 2022'!DB34</f>
        <v>27690</v>
      </c>
      <c r="DB34" s="198">
        <f>'[1]January - 2022'!DC34</f>
        <v>15</v>
      </c>
      <c r="DC34" s="257">
        <f>'[1]January - 2022'!DD34</f>
        <v>28314</v>
      </c>
      <c r="DD34" s="198">
        <f>'[1]January - 2022'!DE34</f>
        <v>15</v>
      </c>
      <c r="DE34" s="257">
        <f>'[1]January - 2022'!DF34</f>
        <v>19081</v>
      </c>
      <c r="DF34" s="198">
        <f>'[1]January - 2022'!DG34</f>
        <v>9</v>
      </c>
      <c r="DG34" s="257">
        <f>'[1]January - 2022'!DH34</f>
        <v>22178</v>
      </c>
      <c r="DH34" s="198">
        <f>'[1]January - 2022'!DI34</f>
        <v>8</v>
      </c>
      <c r="DI34" s="257">
        <f>'[1]January - 2022'!DJ34</f>
        <v>3696</v>
      </c>
      <c r="DJ34" s="198">
        <f>'[1]January - 2022'!DK34</f>
        <v>13</v>
      </c>
      <c r="DK34" s="257">
        <f>'[1]January - 2022'!DL34</f>
        <v>7393</v>
      </c>
      <c r="DL34" s="198">
        <f>'[1]January - 2022'!DM34</f>
        <v>12</v>
      </c>
      <c r="DM34" s="257">
        <f>'[1]January - 2022'!DN34</f>
        <v>2012</v>
      </c>
      <c r="DN34" s="198">
        <f>'[1]January - 2022'!DO34</f>
        <v>4</v>
      </c>
      <c r="DO34" s="257">
        <f>'[1]January - 2022'!DP34</f>
        <v>3928</v>
      </c>
      <c r="DP34" s="198">
        <f>'[1]January - 2022'!DQ34</f>
        <v>6</v>
      </c>
      <c r="DQ34" s="257">
        <f>'[1]January - 2022'!DR34</f>
        <v>26540</v>
      </c>
      <c r="DR34" s="206">
        <f>'[1]January - 2022'!DS34</f>
        <v>7</v>
      </c>
      <c r="DS34" s="533"/>
      <c r="DT34" s="210">
        <f>'[1]January - 2022'!DU34</f>
        <v>3534</v>
      </c>
      <c r="DU34" s="221">
        <f>'[1]January - 2022'!DV34</f>
        <v>8.1999999999998181</v>
      </c>
      <c r="DV34" s="91">
        <f>'[1]January - 2022'!DW34</f>
        <v>8539.9</v>
      </c>
      <c r="DW34" s="215">
        <f>'[1]January - 2022'!DX34</f>
        <v>6</v>
      </c>
      <c r="DX34" s="91">
        <f>'[1]January - 2022'!DY34</f>
        <v>2670.7</v>
      </c>
      <c r="DY34" s="215">
        <f>'[1]January - 2022'!DZ34</f>
        <v>6.5999999999999091</v>
      </c>
      <c r="DZ34" s="91">
        <f>'[1]January - 2022'!EA34</f>
        <v>2799.9</v>
      </c>
      <c r="EA34" s="215">
        <f>'[1]January - 2022'!EB34</f>
        <v>5.5999999999999091</v>
      </c>
      <c r="EB34" s="91">
        <f>'[1]January - 2022'!EC34</f>
        <v>899354</v>
      </c>
      <c r="EC34" s="215">
        <f>'[1]January - 2022'!ED34</f>
        <v>526</v>
      </c>
      <c r="ED34" s="91">
        <f>'[1]January - 2022'!EG34</f>
        <v>183663.9</v>
      </c>
      <c r="EE34" s="229">
        <f>'[1]January - 2022'!EH34</f>
        <v>151.29999999998836</v>
      </c>
      <c r="EF34" s="580"/>
      <c r="EG34" s="235">
        <f>'[1]January - 2022'!EJ34</f>
        <v>10546900</v>
      </c>
      <c r="EH34" s="230">
        <f>'[1]January - 2022'!EK34</f>
        <v>1800</v>
      </c>
      <c r="EI34" s="90">
        <f>'[1]January - 2022'!EL34</f>
        <v>839410</v>
      </c>
      <c r="EJ34" s="230">
        <f>'[1]January - 2022'!EM34</f>
        <v>250</v>
      </c>
      <c r="EK34" s="90">
        <f>'[1]January - 2022'!EN34</f>
        <v>6443100</v>
      </c>
      <c r="EL34" s="230">
        <f>'[1]January - 2022'!EO34</f>
        <v>600</v>
      </c>
      <c r="EM34" s="90">
        <f>'[1]January - 2022'!EP34</f>
        <v>2266700</v>
      </c>
      <c r="EN34" s="230">
        <f>'[1]January - 2022'!EQ34</f>
        <v>200</v>
      </c>
      <c r="EO34" s="90">
        <f>'[1]January - 2022'!ER34</f>
        <v>1026530</v>
      </c>
      <c r="EP34" s="230">
        <f>'[1]January - 2022'!ES34</f>
        <v>650</v>
      </c>
      <c r="EQ34" s="90">
        <f>'[1]January - 2022'!ET34</f>
        <v>14404500</v>
      </c>
      <c r="ER34" s="230">
        <f>'[1]January - 2022'!EU34</f>
        <v>0</v>
      </c>
      <c r="ES34" s="555"/>
      <c r="ET34" s="281">
        <f>'[1]January - 2022'!EW34</f>
        <v>38215</v>
      </c>
      <c r="EU34" s="275">
        <f>'[1]January - 2022'!EX34</f>
        <v>15</v>
      </c>
      <c r="EV34" s="282">
        <f>'[1]January - 2022'!EY34</f>
        <v>33110</v>
      </c>
      <c r="EW34" s="275">
        <f>'[1]January - 2022'!EZ34</f>
        <v>11</v>
      </c>
      <c r="EX34" s="282">
        <f>'[1]January - 2022'!FA34</f>
        <v>4195</v>
      </c>
      <c r="EY34" s="275">
        <f>'[1]January - 2022'!FB34</f>
        <v>10</v>
      </c>
      <c r="EZ34" s="282">
        <f>'[1]January - 2022'!FC34</f>
        <v>55040</v>
      </c>
      <c r="FA34" s="275">
        <f>'[1]January - 2022'!FD34</f>
        <v>17</v>
      </c>
      <c r="FB34" s="282">
        <f>'[1]January - 2022'!FE34</f>
        <v>39280</v>
      </c>
      <c r="FC34" s="276">
        <f>'[1]January - 2022'!FF34</f>
        <v>36</v>
      </c>
    </row>
    <row r="35" spans="1:160" ht="30" customHeight="1" x14ac:dyDescent="0.25">
      <c r="A35" s="207">
        <v>43856</v>
      </c>
      <c r="B35" s="209">
        <f>'[1]January - 2022'!B35</f>
        <v>0.59</v>
      </c>
      <c r="C35" s="250">
        <f>'[1]January - 2022'!E35</f>
        <v>48615</v>
      </c>
      <c r="D35" s="170">
        <f>'[1]January - 2022'!F35</f>
        <v>-906006</v>
      </c>
      <c r="E35" s="168">
        <f>'[1]January - 2022'!G35</f>
        <v>464</v>
      </c>
      <c r="F35" s="168">
        <f>'[1]January - 2022'!H35</f>
        <v>112019</v>
      </c>
      <c r="G35" s="170">
        <f>'[1]January - 2022'!I35</f>
        <v>367</v>
      </c>
      <c r="H35" s="168">
        <f>'[1]January - 2022'!J35</f>
        <v>426</v>
      </c>
      <c r="I35" s="168">
        <f>'[1]January - 2022'!K35</f>
        <v>164625</v>
      </c>
      <c r="J35" s="170">
        <f>'[1]January - 2022'!L35</f>
        <v>0</v>
      </c>
      <c r="K35" s="168">
        <f>'[1]January - 2022'!N35</f>
        <v>826561</v>
      </c>
      <c r="L35" s="170">
        <f>'[1]January - 2022'!O35</f>
        <v>13</v>
      </c>
      <c r="M35" s="168">
        <f>'[1]January - 2022'!Q35</f>
        <v>193754</v>
      </c>
      <c r="N35" s="170">
        <f>'[1]January - 2022'!R35</f>
        <v>0</v>
      </c>
      <c r="O35" s="168">
        <f>'[1]January - 2022'!S35</f>
        <v>56717.97</v>
      </c>
      <c r="P35" s="170">
        <f>'[1]January - 2022'!T35</f>
        <v>61.709999999999127</v>
      </c>
      <c r="Q35" s="168">
        <f>'[1]January - 2022'!U35</f>
        <v>22</v>
      </c>
      <c r="R35" s="168">
        <f>'[1]January - 2022'!V35</f>
        <v>4389</v>
      </c>
      <c r="S35" s="208">
        <f>'[1]January - 2022'!W35</f>
        <v>4</v>
      </c>
      <c r="T35" s="476"/>
      <c r="U35" s="169">
        <f>'[1]January - 2022'!AC35</f>
        <v>7294845.5999999996</v>
      </c>
      <c r="V35" s="288">
        <f>'[1]January - 2022'!AD35</f>
        <v>2874.4799999995157</v>
      </c>
      <c r="W35" s="92">
        <f>'[1]January - 2022'!AD35</f>
        <v>2874.4799999995157</v>
      </c>
      <c r="X35" s="287">
        <f>'[1]January - 2022'!AF35</f>
        <v>13978839.84</v>
      </c>
      <c r="Y35" s="288">
        <f>'[1]January - 2022'!AG35</f>
        <v>4725.839999999851</v>
      </c>
      <c r="Z35" s="92">
        <f>'[1]January - 2022'!AG35</f>
        <v>4725.839999999851</v>
      </c>
      <c r="AA35" s="287">
        <f>'[1]January - 2022'!AI35</f>
        <v>13841839.199999999</v>
      </c>
      <c r="AB35" s="288">
        <f>'[1]January - 2022'!AJ35</f>
        <v>146.16000000014901</v>
      </c>
      <c r="AC35" s="92">
        <f>'[1]January - 2022'!AJ35</f>
        <v>146.16000000014901</v>
      </c>
      <c r="AD35" s="287">
        <f>'[1]January - 2022'!AL35</f>
        <v>16803381.84</v>
      </c>
      <c r="AE35" s="288">
        <f>'[1]January - 2022'!AM35</f>
        <v>7941.359999999404</v>
      </c>
      <c r="AF35" s="92">
        <f>'[1]January - 2022'!AM35</f>
        <v>7941.359999999404</v>
      </c>
      <c r="AG35" s="287">
        <f>'[1]January - 2022'!AO35</f>
        <v>17278889.039999999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15756876.24</v>
      </c>
      <c r="AK35" s="288">
        <f>'[1]January - 2022'!AS35</f>
        <v>5213.0400000009686</v>
      </c>
      <c r="AL35" s="92">
        <f>'[1]January - 2022'!AS35</f>
        <v>5213.0400000009686</v>
      </c>
      <c r="AM35" s="287">
        <f>'[1]January - 2022'!AU35</f>
        <v>13381337.76</v>
      </c>
      <c r="AN35" s="288">
        <f>'[1]January - 2022'!AV35</f>
        <v>3848.8799999989569</v>
      </c>
      <c r="AO35" s="92">
        <f>'[1]January - 2022'!AV35</f>
        <v>3848.8799999989569</v>
      </c>
      <c r="AP35" s="287">
        <f>'[1]January - 2022'!AX35</f>
        <v>12867828.959999999</v>
      </c>
      <c r="AQ35" s="288">
        <f>'[1]January - 2022'!AY35</f>
        <v>4384.7999999988824</v>
      </c>
      <c r="AR35" s="92">
        <f>'[1]January - 2022'!AY35</f>
        <v>4384.7999999988824</v>
      </c>
      <c r="AS35" s="287">
        <f>'[1]January - 2022'!BA35</f>
        <v>10243282.559999999</v>
      </c>
      <c r="AT35" s="288">
        <f>'[1]January - 2022'!BB35</f>
        <v>3166.7999999988824</v>
      </c>
      <c r="AU35" s="92">
        <f>'[1]January - 2022'!BB35</f>
        <v>3166.7999999988824</v>
      </c>
      <c r="AV35" s="287">
        <f>'[1]January - 2022'!BD35</f>
        <v>15923108.880000001</v>
      </c>
      <c r="AW35" s="252">
        <f>'[1]January - 2022'!BE35</f>
        <v>5213.0400000009686</v>
      </c>
      <c r="AX35" s="253">
        <f>'[1]January - 2022'!BE35</f>
        <v>5213.0400000009686</v>
      </c>
      <c r="AY35" s="493"/>
      <c r="AZ35" s="272">
        <f>'[1]January - 2022'!BK35</f>
        <v>68689200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70882300</v>
      </c>
      <c r="BD35" s="245">
        <f>'[1]January - 2022'!BO35</f>
        <v>33300</v>
      </c>
      <c r="BE35" s="93">
        <f>'[1]January - 2022'!BO35</f>
        <v>33300</v>
      </c>
      <c r="BF35" s="272">
        <f>'[1]January - 2022'!BQ35</f>
        <v>65863100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7987360</v>
      </c>
      <c r="BT35" s="185">
        <f>'[1]January - 2022'!BU35</f>
        <v>5140</v>
      </c>
      <c r="BU35" s="589"/>
      <c r="BV35" s="88">
        <f>'[1]January - 2022'!BW35</f>
        <v>0.66</v>
      </c>
      <c r="BW35" s="241">
        <f>'[1]January - 2022'!BX35</f>
        <v>7.999999999999996E-2</v>
      </c>
      <c r="BX35" s="88">
        <f>'[1]January - 2022'!BX35</f>
        <v>7.999999999999996E-2</v>
      </c>
      <c r="BY35" s="89">
        <f>'[1]January - 2022'!BZ35</f>
        <v>58026</v>
      </c>
      <c r="BZ35" s="191">
        <f>'[1]January - 2022'!CA35</f>
        <v>20</v>
      </c>
      <c r="CA35" s="89">
        <f>'[1]January - 2022'!CB35</f>
        <v>49479</v>
      </c>
      <c r="CB35" s="191">
        <f>'[1]January - 2022'!CC35</f>
        <v>20</v>
      </c>
      <c r="CC35" s="89">
        <f>'[1]January - 2022'!CD35</f>
        <v>16959</v>
      </c>
      <c r="CD35" s="191">
        <f>'[1]January - 2022'!CE35</f>
        <v>6</v>
      </c>
      <c r="CE35" s="89">
        <f>'[1]January - 2022'!CF35</f>
        <v>22600</v>
      </c>
      <c r="CF35" s="191">
        <f>'[1]January - 2022'!CG35</f>
        <v>10</v>
      </c>
      <c r="CG35" s="89">
        <f>'[1]January - 2022'!CH35</f>
        <v>24631</v>
      </c>
      <c r="CH35" s="191">
        <f>'[1]January - 2022'!CI35</f>
        <v>10</v>
      </c>
      <c r="CI35" s="89">
        <f>'[1]January - 2022'!CJ35</f>
        <v>54585</v>
      </c>
      <c r="CJ35" s="191">
        <f>'[1]January - 2022'!CK35</f>
        <v>23</v>
      </c>
      <c r="CK35" s="89">
        <f>'[1]January - 2022'!CL35</f>
        <v>239225</v>
      </c>
      <c r="CL35" s="246">
        <f>'[1]January - 2022'!CM35</f>
        <v>106</v>
      </c>
      <c r="CM35" s="89">
        <f>'[1]January - 2022'!CM35</f>
        <v>106</v>
      </c>
      <c r="CN35" s="89">
        <f>'[1]January - 2022'!CO35</f>
        <v>185644</v>
      </c>
      <c r="CO35" s="246">
        <f>'[1]January - 2022'!CP35</f>
        <v>75</v>
      </c>
      <c r="CP35" s="89">
        <f>'[1]January - 2022'!CP35</f>
        <v>75</v>
      </c>
      <c r="CQ35" s="89">
        <f>'[1]January - 2022'!CR35</f>
        <v>333035</v>
      </c>
      <c r="CR35" s="246">
        <f>'[1]January - 2022'!CS35</f>
        <v>245</v>
      </c>
      <c r="CS35" s="89">
        <f>'[1]January - 2022'!CS35</f>
        <v>245</v>
      </c>
      <c r="CT35" s="89">
        <f>'[1]January - 2022'!CU35</f>
        <v>631573</v>
      </c>
      <c r="CU35" s="191">
        <f>'[1]January - 2022'!CV35</f>
        <v>256</v>
      </c>
      <c r="CV35" s="517"/>
      <c r="CW35" s="256">
        <f>'[1]January - 2022'!CX35</f>
        <v>6806</v>
      </c>
      <c r="CX35" s="198">
        <f>'[1]January - 2022'!CY35</f>
        <v>9</v>
      </c>
      <c r="CY35" s="257">
        <f>'[1]January - 2022'!CZ35</f>
        <v>4270</v>
      </c>
      <c r="CZ35" s="198">
        <f>'[1]January - 2022'!DA35</f>
        <v>9</v>
      </c>
      <c r="DA35" s="257">
        <f>'[1]January - 2022'!DB35</f>
        <v>27704</v>
      </c>
      <c r="DB35" s="198">
        <f>'[1]January - 2022'!DC35</f>
        <v>14</v>
      </c>
      <c r="DC35" s="257">
        <f>'[1]January - 2022'!DD35</f>
        <v>28328</v>
      </c>
      <c r="DD35" s="198">
        <f>'[1]January - 2022'!DE35</f>
        <v>14</v>
      </c>
      <c r="DE35" s="257">
        <f>'[1]January - 2022'!DF35</f>
        <v>19090</v>
      </c>
      <c r="DF35" s="198">
        <f>'[1]January - 2022'!DG35</f>
        <v>9</v>
      </c>
      <c r="DG35" s="257">
        <f>'[1]January - 2022'!DH35</f>
        <v>22186</v>
      </c>
      <c r="DH35" s="198">
        <f>'[1]January - 2022'!DI35</f>
        <v>8</v>
      </c>
      <c r="DI35" s="257">
        <f>'[1]January - 2022'!DJ35</f>
        <v>3705</v>
      </c>
      <c r="DJ35" s="198">
        <f>'[1]January - 2022'!DK35</f>
        <v>9</v>
      </c>
      <c r="DK35" s="257">
        <f>'[1]January - 2022'!DL35</f>
        <v>7404</v>
      </c>
      <c r="DL35" s="198">
        <f>'[1]January - 2022'!DM35</f>
        <v>11</v>
      </c>
      <c r="DM35" s="257">
        <f>'[1]January - 2022'!DN35</f>
        <v>2016</v>
      </c>
      <c r="DN35" s="198">
        <f>'[1]January - 2022'!DO35</f>
        <v>4</v>
      </c>
      <c r="DO35" s="257">
        <f>'[1]January - 2022'!DP35</f>
        <v>3934</v>
      </c>
      <c r="DP35" s="198">
        <f>'[1]January - 2022'!DQ35</f>
        <v>6</v>
      </c>
      <c r="DQ35" s="257">
        <f>'[1]January - 2022'!DR35</f>
        <v>26540</v>
      </c>
      <c r="DR35" s="206">
        <f>'[1]January - 2022'!DS35</f>
        <v>0</v>
      </c>
      <c r="DS35" s="533"/>
      <c r="DT35" s="210">
        <f>'[1]January - 2022'!DU35</f>
        <v>3542.8</v>
      </c>
      <c r="DU35" s="221">
        <f>'[1]January - 2022'!DV35</f>
        <v>8.8000000000001819</v>
      </c>
      <c r="DV35" s="91">
        <f>'[1]January - 2022'!DW35</f>
        <v>8546.5</v>
      </c>
      <c r="DW35" s="215">
        <f>'[1]January - 2022'!DX35</f>
        <v>6.6000000000003638</v>
      </c>
      <c r="DX35" s="91">
        <f>'[1]January - 2022'!DY35</f>
        <v>2677.5</v>
      </c>
      <c r="DY35" s="215">
        <f>'[1]January - 2022'!DZ35</f>
        <v>6.8000000000001819</v>
      </c>
      <c r="DZ35" s="91">
        <f>'[1]January - 2022'!EA35</f>
        <v>2806.3</v>
      </c>
      <c r="EA35" s="215">
        <f>'[1]January - 2022'!EB35</f>
        <v>6.4000000000000909</v>
      </c>
      <c r="EB35" s="91">
        <f>'[1]January - 2022'!EC35</f>
        <v>899890</v>
      </c>
      <c r="EC35" s="215">
        <f>'[1]January - 2022'!ED35</f>
        <v>536</v>
      </c>
      <c r="ED35" s="91">
        <f>'[1]January - 2022'!EG35</f>
        <v>183822.8</v>
      </c>
      <c r="EE35" s="229">
        <f>'[1]January - 2022'!EH35</f>
        <v>158.89999999999418</v>
      </c>
      <c r="EF35" s="580"/>
      <c r="EG35" s="235">
        <f>'[1]January - 2022'!EJ35</f>
        <v>10548700</v>
      </c>
      <c r="EH35" s="230">
        <f>'[1]January - 2022'!EK35</f>
        <v>1800</v>
      </c>
      <c r="EI35" s="90">
        <f>'[1]January - 2022'!EL35</f>
        <v>839650</v>
      </c>
      <c r="EJ35" s="230">
        <f>'[1]January - 2022'!EM35</f>
        <v>240</v>
      </c>
      <c r="EK35" s="90">
        <f>'[1]January - 2022'!EN35</f>
        <v>6443600</v>
      </c>
      <c r="EL35" s="230">
        <f>'[1]January - 2022'!EO35</f>
        <v>500</v>
      </c>
      <c r="EM35" s="90">
        <f>'[1]January - 2022'!EP35</f>
        <v>2267000</v>
      </c>
      <c r="EN35" s="230">
        <f>'[1]January - 2022'!EQ35</f>
        <v>300</v>
      </c>
      <c r="EO35" s="90">
        <f>'[1]January - 2022'!ER35</f>
        <v>1027150</v>
      </c>
      <c r="EP35" s="230">
        <f>'[1]January - 2022'!ES35</f>
        <v>620</v>
      </c>
      <c r="EQ35" s="90">
        <f>'[1]January - 2022'!ET35</f>
        <v>14405500</v>
      </c>
      <c r="ER35" s="230">
        <f>'[1]January - 2022'!EU35</f>
        <v>1000</v>
      </c>
      <c r="ES35" s="555"/>
      <c r="ET35" s="281">
        <f>'[1]January - 2022'!EW35</f>
        <v>38229</v>
      </c>
      <c r="EU35" s="275">
        <f>'[1]January - 2022'!EX35</f>
        <v>14</v>
      </c>
      <c r="EV35" s="282">
        <f>'[1]January - 2022'!EY35</f>
        <v>33123</v>
      </c>
      <c r="EW35" s="275">
        <f>'[1]January - 2022'!EZ35</f>
        <v>13</v>
      </c>
      <c r="EX35" s="282">
        <f>'[1]January - 2022'!FA35</f>
        <v>4205</v>
      </c>
      <c r="EY35" s="275">
        <f>'[1]January - 2022'!FB35</f>
        <v>10</v>
      </c>
      <c r="EZ35" s="282">
        <f>'[1]January - 2022'!FC35</f>
        <v>55059</v>
      </c>
      <c r="FA35" s="275">
        <f>'[1]January - 2022'!FD35</f>
        <v>19</v>
      </c>
      <c r="FB35" s="282">
        <f>'[1]January - 2022'!FE35</f>
        <v>39311</v>
      </c>
      <c r="FC35" s="276">
        <f>'[1]January - 2022'!FF35</f>
        <v>31</v>
      </c>
    </row>
    <row r="36" spans="1:160" ht="30" customHeight="1" x14ac:dyDescent="0.25">
      <c r="A36" s="207">
        <v>43857</v>
      </c>
      <c r="B36" s="209">
        <f>'[1]January - 2022'!B36</f>
        <v>0.56000000000000005</v>
      </c>
      <c r="C36" s="250">
        <f>'[1]January - 2022'!E36</f>
        <v>49108</v>
      </c>
      <c r="D36" s="170">
        <f>'[1]January - 2022'!F36</f>
        <v>493</v>
      </c>
      <c r="E36" s="168">
        <f>'[1]January - 2022'!G36</f>
        <v>459</v>
      </c>
      <c r="F36" s="168">
        <f>'[1]January - 2022'!H36</f>
        <v>112408</v>
      </c>
      <c r="G36" s="170">
        <f>'[1]January - 2022'!I36</f>
        <v>389</v>
      </c>
      <c r="H36" s="168">
        <f>'[1]January - 2022'!J36</f>
        <v>424</v>
      </c>
      <c r="I36" s="168">
        <f>'[1]January - 2022'!K36</f>
        <v>164625</v>
      </c>
      <c r="J36" s="170">
        <f>'[1]January - 2022'!L36</f>
        <v>0</v>
      </c>
      <c r="K36" s="168">
        <f>'[1]January - 2022'!N36</f>
        <v>826801</v>
      </c>
      <c r="L36" s="170">
        <f>'[1]January - 2022'!O36</f>
        <v>240</v>
      </c>
      <c r="M36" s="168">
        <f>'[1]January - 2022'!Q36</f>
        <v>193754</v>
      </c>
      <c r="N36" s="170">
        <f>'[1]January - 2022'!R36</f>
        <v>0</v>
      </c>
      <c r="O36" s="168">
        <f>'[1]January - 2022'!S36</f>
        <v>56786.78</v>
      </c>
      <c r="P36" s="170">
        <f>'[1]January - 2022'!T36</f>
        <v>68.809999999997672</v>
      </c>
      <c r="Q36" s="168">
        <f>'[1]January - 2022'!U36</f>
        <v>15</v>
      </c>
      <c r="R36" s="168">
        <f>'[1]January - 2022'!V36</f>
        <v>4390</v>
      </c>
      <c r="S36" s="208">
        <f>'[1]January - 2022'!W36</f>
        <v>1</v>
      </c>
      <c r="T36" s="476"/>
      <c r="U36" s="169">
        <f>'[1]January - 2022'!AC36</f>
        <v>7297963.6799999997</v>
      </c>
      <c r="V36" s="288">
        <f>'[1]January - 2022'!AD36</f>
        <v>3118.0800000000745</v>
      </c>
      <c r="W36" s="92">
        <f>'[1]January - 2022'!AD36</f>
        <v>3118.0800000000745</v>
      </c>
      <c r="X36" s="287">
        <f>'[1]January - 2022'!AF36</f>
        <v>13983565.68</v>
      </c>
      <c r="Y36" s="288">
        <f>'[1]January - 2022'!AG36</f>
        <v>4725.839999999851</v>
      </c>
      <c r="Z36" s="92">
        <f>'[1]January - 2022'!AG36</f>
        <v>4725.839999999851</v>
      </c>
      <c r="AA36" s="287">
        <f>'[1]January - 2022'!AI36</f>
        <v>13841985.359999999</v>
      </c>
      <c r="AB36" s="288">
        <f>'[1]January - 2022'!AJ36</f>
        <v>146.16000000014901</v>
      </c>
      <c r="AC36" s="92">
        <f>'[1]January - 2022'!AJ36</f>
        <v>146.16000000014901</v>
      </c>
      <c r="AD36" s="287">
        <f>'[1]January - 2022'!AL36</f>
        <v>16811810.399999999</v>
      </c>
      <c r="AE36" s="288">
        <f>'[1]January - 2022'!AM36</f>
        <v>8428.5599999986589</v>
      </c>
      <c r="AF36" s="92">
        <f>'[1]January - 2022'!AM36</f>
        <v>8428.5599999986589</v>
      </c>
      <c r="AG36" s="287">
        <f>'[1]January - 2022'!AO36</f>
        <v>17278889.039999999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15761991.84</v>
      </c>
      <c r="AK36" s="288">
        <f>'[1]January - 2022'!AS36</f>
        <v>5115.5999999996275</v>
      </c>
      <c r="AL36" s="92">
        <f>'[1]January - 2022'!AS36</f>
        <v>5115.5999999996275</v>
      </c>
      <c r="AM36" s="287">
        <f>'[1]January - 2022'!AU36</f>
        <v>13385430.24</v>
      </c>
      <c r="AN36" s="288">
        <f>'[1]January - 2022'!AV36</f>
        <v>4092.480000000447</v>
      </c>
      <c r="AO36" s="92">
        <f>'[1]January - 2022'!AV36</f>
        <v>4092.480000000447</v>
      </c>
      <c r="AP36" s="287">
        <f>'[1]January - 2022'!AX36</f>
        <v>12872067.6</v>
      </c>
      <c r="AQ36" s="288">
        <f>'[1]January - 2022'!AY36</f>
        <v>4238.640000000596</v>
      </c>
      <c r="AR36" s="92">
        <f>'[1]January - 2022'!AY36</f>
        <v>4238.640000000596</v>
      </c>
      <c r="AS36" s="287">
        <f>'[1]January - 2022'!BA36</f>
        <v>10246498.08</v>
      </c>
      <c r="AT36" s="288">
        <f>'[1]January - 2022'!BB36</f>
        <v>3215.5200000014156</v>
      </c>
      <c r="AU36" s="92">
        <f>'[1]January - 2022'!BB36</f>
        <v>3215.5200000014156</v>
      </c>
      <c r="AV36" s="287">
        <f>'[1]January - 2022'!BD36</f>
        <v>15928273.199999999</v>
      </c>
      <c r="AW36" s="252">
        <f>'[1]January - 2022'!BE36</f>
        <v>5164.3199999984354</v>
      </c>
      <c r="AX36" s="253">
        <f>'[1]January - 2022'!BE36</f>
        <v>5164.3199999984354</v>
      </c>
      <c r="AY36" s="493"/>
      <c r="AZ36" s="272">
        <f>'[1]January - 2022'!BK36</f>
        <v>68689200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70920800</v>
      </c>
      <c r="BD36" s="245">
        <f>'[1]January - 2022'!BO36</f>
        <v>38500</v>
      </c>
      <c r="BE36" s="93">
        <f>'[1]January - 2022'!BO36</f>
        <v>38500</v>
      </c>
      <c r="BF36" s="272">
        <f>'[1]January - 2022'!BQ36</f>
        <v>65863100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7992730</v>
      </c>
      <c r="BT36" s="185">
        <f>'[1]January - 2022'!BU36</f>
        <v>5370</v>
      </c>
      <c r="BU36" s="589"/>
      <c r="BV36" s="88">
        <f>'[1]January - 2022'!BW36</f>
        <v>0.6</v>
      </c>
      <c r="BW36" s="241">
        <f>'[1]January - 2022'!BX36</f>
        <v>6.0000000000000053E-2</v>
      </c>
      <c r="BX36" s="88">
        <f>'[1]January - 2022'!BX36</f>
        <v>6.0000000000000053E-2</v>
      </c>
      <c r="BY36" s="89">
        <f>'[1]January - 2022'!BZ36</f>
        <v>58043</v>
      </c>
      <c r="BZ36" s="191">
        <f>'[1]January - 2022'!CA36</f>
        <v>17</v>
      </c>
      <c r="CA36" s="89">
        <f>'[1]January - 2022'!CB36</f>
        <v>49498</v>
      </c>
      <c r="CB36" s="191">
        <f>'[1]January - 2022'!CC36</f>
        <v>19</v>
      </c>
      <c r="CC36" s="89">
        <f>'[1]January - 2022'!CD36</f>
        <v>16963</v>
      </c>
      <c r="CD36" s="191">
        <f>'[1]January - 2022'!CE36</f>
        <v>4</v>
      </c>
      <c r="CE36" s="89">
        <f>'[1]January - 2022'!CF36</f>
        <v>22609</v>
      </c>
      <c r="CF36" s="191">
        <f>'[1]January - 2022'!CG36</f>
        <v>9</v>
      </c>
      <c r="CG36" s="89">
        <f>'[1]January - 2022'!CH36</f>
        <v>24641</v>
      </c>
      <c r="CH36" s="191">
        <f>'[1]January - 2022'!CI36</f>
        <v>10</v>
      </c>
      <c r="CI36" s="89">
        <f>'[1]January - 2022'!CJ36</f>
        <v>54607</v>
      </c>
      <c r="CJ36" s="191">
        <f>'[1]January - 2022'!CK36</f>
        <v>22</v>
      </c>
      <c r="CK36" s="89">
        <f>'[1]January - 2022'!CL36</f>
        <v>239333</v>
      </c>
      <c r="CL36" s="246">
        <f>'[1]January - 2022'!CM36</f>
        <v>108</v>
      </c>
      <c r="CM36" s="89">
        <f>'[1]January - 2022'!CM36</f>
        <v>108</v>
      </c>
      <c r="CN36" s="89">
        <f>'[1]January - 2022'!CO36</f>
        <v>185756</v>
      </c>
      <c r="CO36" s="246">
        <f>'[1]January - 2022'!CP36</f>
        <v>112</v>
      </c>
      <c r="CP36" s="89">
        <f>'[1]January - 2022'!CP36</f>
        <v>112</v>
      </c>
      <c r="CQ36" s="89">
        <f>'[1]January - 2022'!CR36</f>
        <v>333299</v>
      </c>
      <c r="CR36" s="246">
        <f>'[1]January - 2022'!CS36</f>
        <v>264</v>
      </c>
      <c r="CS36" s="89">
        <f>'[1]January - 2022'!CS36</f>
        <v>264</v>
      </c>
      <c r="CT36" s="89">
        <f>'[1]January - 2022'!CU36</f>
        <v>631833</v>
      </c>
      <c r="CU36" s="191">
        <f>'[1]January - 2022'!CV36</f>
        <v>260</v>
      </c>
      <c r="CV36" s="517"/>
      <c r="CW36" s="256">
        <f>'[1]January - 2022'!CX36</f>
        <v>6815</v>
      </c>
      <c r="CX36" s="198">
        <f>'[1]January - 2022'!CY36</f>
        <v>9</v>
      </c>
      <c r="CY36" s="257">
        <f>'[1]January - 2022'!CZ36</f>
        <v>4279</v>
      </c>
      <c r="CZ36" s="198">
        <f>'[1]January - 2022'!DA36</f>
        <v>9</v>
      </c>
      <c r="DA36" s="257">
        <f>'[1]January - 2022'!DB36</f>
        <v>27718</v>
      </c>
      <c r="DB36" s="198">
        <f>'[1]January - 2022'!DC36</f>
        <v>14</v>
      </c>
      <c r="DC36" s="257">
        <f>'[1]January - 2022'!DD36</f>
        <v>28345</v>
      </c>
      <c r="DD36" s="198">
        <f>'[1]January - 2022'!DE36</f>
        <v>17</v>
      </c>
      <c r="DE36" s="257">
        <f>'[1]January - 2022'!DF36</f>
        <v>19099</v>
      </c>
      <c r="DF36" s="198">
        <f>'[1]January - 2022'!DG36</f>
        <v>9</v>
      </c>
      <c r="DG36" s="257">
        <f>'[1]January - 2022'!DH36</f>
        <v>22194</v>
      </c>
      <c r="DH36" s="198">
        <f>'[1]January - 2022'!DI36</f>
        <v>8</v>
      </c>
      <c r="DI36" s="257">
        <f>'[1]January - 2022'!DJ36</f>
        <v>3715</v>
      </c>
      <c r="DJ36" s="198">
        <f>'[1]January - 2022'!DK36</f>
        <v>10</v>
      </c>
      <c r="DK36" s="257">
        <f>'[1]January - 2022'!DL36</f>
        <v>7414</v>
      </c>
      <c r="DL36" s="198">
        <f>'[1]January - 2022'!DM36</f>
        <v>10</v>
      </c>
      <c r="DM36" s="257">
        <f>'[1]January - 2022'!DN36</f>
        <v>2020</v>
      </c>
      <c r="DN36" s="198">
        <f>'[1]January - 2022'!DO36</f>
        <v>4</v>
      </c>
      <c r="DO36" s="257">
        <f>'[1]January - 2022'!DP36</f>
        <v>3942</v>
      </c>
      <c r="DP36" s="198">
        <f>'[1]January - 2022'!DQ36</f>
        <v>8</v>
      </c>
      <c r="DQ36" s="257">
        <f>'[1]January - 2022'!DR36</f>
        <v>26547</v>
      </c>
      <c r="DR36" s="206">
        <f>'[1]January - 2022'!DS36</f>
        <v>7</v>
      </c>
      <c r="DS36" s="533"/>
      <c r="DT36" s="210">
        <f>'[1]January - 2022'!DU36</f>
        <v>3551</v>
      </c>
      <c r="DU36" s="221">
        <f>'[1]January - 2022'!DV36</f>
        <v>8.1999999999998181</v>
      </c>
      <c r="DV36" s="91">
        <f>'[1]January - 2022'!DW36</f>
        <v>8553.7000000000007</v>
      </c>
      <c r="DW36" s="215">
        <f>'[1]January - 2022'!DX36</f>
        <v>7.2000000000007276</v>
      </c>
      <c r="DX36" s="91">
        <f>'[1]January - 2022'!DY36</f>
        <v>2684.1</v>
      </c>
      <c r="DY36" s="215">
        <f>'[1]January - 2022'!DZ36</f>
        <v>6.5999999999999091</v>
      </c>
      <c r="DZ36" s="91">
        <f>'[1]January - 2022'!EA36</f>
        <v>2812.3</v>
      </c>
      <c r="EA36" s="215">
        <f>'[1]January - 2022'!EB36</f>
        <v>6</v>
      </c>
      <c r="EB36" s="91">
        <f>'[1]January - 2022'!EC36</f>
        <v>900393</v>
      </c>
      <c r="EC36" s="215">
        <f>'[1]January - 2022'!ED36</f>
        <v>503</v>
      </c>
      <c r="ED36" s="91">
        <f>'[1]January - 2022'!EG36</f>
        <v>183971.7</v>
      </c>
      <c r="EE36" s="229">
        <f>'[1]January - 2022'!EH36</f>
        <v>148.90000000002328</v>
      </c>
      <c r="EF36" s="580"/>
      <c r="EG36" s="235">
        <f>'[1]January - 2022'!EJ36</f>
        <v>10550600</v>
      </c>
      <c r="EH36" s="230">
        <f>'[1]January - 2022'!EK36</f>
        <v>1900</v>
      </c>
      <c r="EI36" s="90">
        <f>'[1]January - 2022'!EL36</f>
        <v>839900</v>
      </c>
      <c r="EJ36" s="230">
        <f>'[1]January - 2022'!EM36</f>
        <v>250</v>
      </c>
      <c r="EK36" s="90">
        <f>'[1]January - 2022'!EN36</f>
        <v>6444300</v>
      </c>
      <c r="EL36" s="230">
        <f>'[1]January - 2022'!EO36</f>
        <v>700</v>
      </c>
      <c r="EM36" s="90">
        <f>'[1]January - 2022'!EP36</f>
        <v>2267300</v>
      </c>
      <c r="EN36" s="230">
        <f>'[1]January - 2022'!EQ36</f>
        <v>300</v>
      </c>
      <c r="EO36" s="90">
        <f>'[1]January - 2022'!ER36</f>
        <v>1027790</v>
      </c>
      <c r="EP36" s="230">
        <f>'[1]January - 2022'!ES36</f>
        <v>640</v>
      </c>
      <c r="EQ36" s="90">
        <f>'[1]January - 2022'!ET36</f>
        <v>14407400</v>
      </c>
      <c r="ER36" s="230">
        <f>'[1]January - 2022'!EU36</f>
        <v>1900</v>
      </c>
      <c r="ES36" s="555"/>
      <c r="ET36" s="281">
        <f>'[1]January - 2022'!EW36</f>
        <v>38242</v>
      </c>
      <c r="EU36" s="275">
        <f>'[1]January - 2022'!EX36</f>
        <v>13</v>
      </c>
      <c r="EV36" s="282">
        <f>'[1]January - 2022'!EY36</f>
        <v>33134</v>
      </c>
      <c r="EW36" s="275">
        <f>'[1]January - 2022'!EZ36</f>
        <v>11</v>
      </c>
      <c r="EX36" s="282">
        <f>'[1]January - 2022'!FA36</f>
        <v>4216</v>
      </c>
      <c r="EY36" s="275">
        <f>'[1]January - 2022'!FB36</f>
        <v>11</v>
      </c>
      <c r="EZ36" s="282">
        <f>'[1]January - 2022'!FC36</f>
        <v>55079</v>
      </c>
      <c r="FA36" s="275">
        <f>'[1]January - 2022'!FD36</f>
        <v>20</v>
      </c>
      <c r="FB36" s="282">
        <f>'[1]January - 2022'!FE36</f>
        <v>39345</v>
      </c>
      <c r="FC36" s="276">
        <f>'[1]January - 2022'!FF36</f>
        <v>34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-49108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-112408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-164625</v>
      </c>
      <c r="K37" s="168">
        <f>'[1]January - 2022'!N37</f>
        <v>0</v>
      </c>
      <c r="L37" s="170">
        <f>'[1]January - 2022'!O37</f>
        <v>-826801</v>
      </c>
      <c r="M37" s="168">
        <f>'[1]January - 2022'!Q37</f>
        <v>0</v>
      </c>
      <c r="N37" s="170">
        <f>'[1]January - 2022'!R37</f>
        <v>-193754</v>
      </c>
      <c r="O37" s="168">
        <f>'[1]January - 2022'!S37</f>
        <v>0</v>
      </c>
      <c r="P37" s="170">
        <f>'[1]January - 2022'!T37</f>
        <v>-56786.78</v>
      </c>
      <c r="Q37" s="168">
        <f>'[1]January - 2022'!U37</f>
        <v>12</v>
      </c>
      <c r="R37" s="168">
        <f>'[1]January - 2022'!V37</f>
        <v>0</v>
      </c>
      <c r="S37" s="208">
        <f>'[1]January - 2022'!W37</f>
        <v>-4390</v>
      </c>
      <c r="T37" s="476"/>
      <c r="U37" s="169">
        <f>'[1]January - 2022'!AC37</f>
        <v>0</v>
      </c>
      <c r="V37" s="288">
        <f>'[1]January - 2022'!AD37</f>
        <v>-7297963.6799999997</v>
      </c>
      <c r="W37" s="92">
        <f>'[1]January - 2022'!AD37</f>
        <v>-7297963.6799999997</v>
      </c>
      <c r="X37" s="287">
        <f>'[1]January - 2022'!AF37</f>
        <v>0</v>
      </c>
      <c r="Y37" s="288">
        <f>'[1]January - 2022'!AG37</f>
        <v>-13983565.68</v>
      </c>
      <c r="Z37" s="92">
        <f>'[1]January - 2022'!AG37</f>
        <v>-13983565.68</v>
      </c>
      <c r="AA37" s="287">
        <f>'[1]January - 2022'!AI37</f>
        <v>0</v>
      </c>
      <c r="AB37" s="288">
        <f>'[1]January - 2022'!AJ37</f>
        <v>-13841985.359999999</v>
      </c>
      <c r="AC37" s="92">
        <f>'[1]January - 2022'!AJ37</f>
        <v>-13841985.359999999</v>
      </c>
      <c r="AD37" s="287">
        <f>'[1]January - 2022'!AL37</f>
        <v>0</v>
      </c>
      <c r="AE37" s="288">
        <f>'[1]January - 2022'!AM37</f>
        <v>-16811810.399999999</v>
      </c>
      <c r="AF37" s="92">
        <f>'[1]January - 2022'!AM37</f>
        <v>-16811810.399999999</v>
      </c>
      <c r="AG37" s="287">
        <f>'[1]January - 2022'!AO37</f>
        <v>0</v>
      </c>
      <c r="AH37" s="288">
        <f>'[1]January - 2022'!AP37</f>
        <v>-17278889.039999999</v>
      </c>
      <c r="AI37" s="92">
        <f>'[1]January - 2022'!AP37</f>
        <v>-17278889.039999999</v>
      </c>
      <c r="AJ37" s="287">
        <f>'[1]January - 2022'!AR37</f>
        <v>0</v>
      </c>
      <c r="AK37" s="288">
        <f>'[1]January - 2022'!AS37</f>
        <v>-15761991.84</v>
      </c>
      <c r="AL37" s="92">
        <f>'[1]January - 2022'!AS37</f>
        <v>-15761991.84</v>
      </c>
      <c r="AM37" s="287">
        <f>'[1]January - 2022'!AU37</f>
        <v>0</v>
      </c>
      <c r="AN37" s="288">
        <f>'[1]January - 2022'!AV37</f>
        <v>-13385430.24</v>
      </c>
      <c r="AO37" s="92">
        <f>'[1]January - 2022'!AV37</f>
        <v>-13385430.24</v>
      </c>
      <c r="AP37" s="287">
        <f>'[1]January - 2022'!AX37</f>
        <v>0</v>
      </c>
      <c r="AQ37" s="288">
        <f>'[1]January - 2022'!AY37</f>
        <v>-12872067.6</v>
      </c>
      <c r="AR37" s="92">
        <f>'[1]January - 2022'!AY37</f>
        <v>-12872067.6</v>
      </c>
      <c r="AS37" s="287">
        <f>'[1]January - 2022'!BA37</f>
        <v>0</v>
      </c>
      <c r="AT37" s="288">
        <f>'[1]January - 2022'!BB37</f>
        <v>-10246498.08</v>
      </c>
      <c r="AU37" s="92">
        <f>'[1]January - 2022'!BB37</f>
        <v>-10246498.08</v>
      </c>
      <c r="AV37" s="287">
        <f>'[1]January - 2022'!BD37</f>
        <v>0</v>
      </c>
      <c r="AW37" s="252">
        <f>'[1]January - 2022'!BE37</f>
        <v>-15928273.199999999</v>
      </c>
      <c r="AX37" s="253">
        <f>'[1]January - 2022'!BE37</f>
        <v>-15928273.199999999</v>
      </c>
      <c r="AY37" s="493"/>
      <c r="AZ37" s="272">
        <f>'[1]January - 2022'!BK37</f>
        <v>0</v>
      </c>
      <c r="BA37" s="179">
        <f>'[1]January - 2022'!BL37</f>
        <v>-68689200</v>
      </c>
      <c r="BB37" s="93">
        <f>'[1]January - 2022'!BL37</f>
        <v>-68689200</v>
      </c>
      <c r="BC37" s="272">
        <f>'[1]January - 2022'!BN37</f>
        <v>0</v>
      </c>
      <c r="BD37" s="245">
        <f>'[1]January - 2022'!BO37</f>
        <v>-70920800</v>
      </c>
      <c r="BE37" s="93">
        <f>'[1]January - 2022'!BO37</f>
        <v>-70920800</v>
      </c>
      <c r="BF37" s="272">
        <f>'[1]January - 2022'!BQ37</f>
        <v>0</v>
      </c>
      <c r="BG37" s="245">
        <f>'[1]January - 2022'!BR37</f>
        <v>-65863100</v>
      </c>
      <c r="BH37" s="93">
        <f>'[1]January - 2022'!BR37</f>
        <v>-65863100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-7992730</v>
      </c>
      <c r="BU37" s="589"/>
      <c r="BV37" s="88">
        <f>'[1]January - 2022'!BW37</f>
        <v>0</v>
      </c>
      <c r="BW37" s="241">
        <f>'[1]January - 2022'!BX37</f>
        <v>0.6</v>
      </c>
      <c r="BX37" s="88">
        <f>'[1]January - 2022'!BX37</f>
        <v>0.6</v>
      </c>
      <c r="BY37" s="89">
        <f>'[1]January - 2022'!BZ37</f>
        <v>0</v>
      </c>
      <c r="BZ37" s="191">
        <f>'[1]January - 2022'!CA37</f>
        <v>-58043</v>
      </c>
      <c r="CA37" s="89">
        <f>'[1]January - 2022'!CB37</f>
        <v>0</v>
      </c>
      <c r="CB37" s="191">
        <f>'[1]January - 2022'!CC37</f>
        <v>-49498</v>
      </c>
      <c r="CC37" s="89">
        <f>'[1]January - 2022'!CD37</f>
        <v>0</v>
      </c>
      <c r="CD37" s="191">
        <f>'[1]January - 2022'!CE37</f>
        <v>-16963</v>
      </c>
      <c r="CE37" s="89">
        <f>'[1]January - 2022'!CF37</f>
        <v>0</v>
      </c>
      <c r="CF37" s="191">
        <f>'[1]January - 2022'!CG37</f>
        <v>-22609</v>
      </c>
      <c r="CG37" s="89">
        <f>'[1]January - 2022'!CH37</f>
        <v>0</v>
      </c>
      <c r="CH37" s="191">
        <f>'[1]January - 2022'!CI37</f>
        <v>-24641</v>
      </c>
      <c r="CI37" s="89">
        <f>'[1]January - 2022'!CJ37</f>
        <v>0</v>
      </c>
      <c r="CJ37" s="191">
        <f>'[1]January - 2022'!CK37</f>
        <v>-54607</v>
      </c>
      <c r="CK37" s="89">
        <f>'[1]January - 2022'!CL37</f>
        <v>0</v>
      </c>
      <c r="CL37" s="246">
        <f>'[1]January - 2022'!CM37</f>
        <v>-239333</v>
      </c>
      <c r="CM37" s="89">
        <f>'[1]January - 2022'!CM37</f>
        <v>-239333</v>
      </c>
      <c r="CN37" s="89">
        <f>'[1]January - 2022'!CO37</f>
        <v>0</v>
      </c>
      <c r="CO37" s="246">
        <f>'[1]January - 2022'!CP37</f>
        <v>-185756</v>
      </c>
      <c r="CP37" s="89">
        <f>'[1]January - 2022'!CP37</f>
        <v>-185756</v>
      </c>
      <c r="CQ37" s="89">
        <f>'[1]January - 2022'!CR37</f>
        <v>0</v>
      </c>
      <c r="CR37" s="246">
        <f>'[1]January - 2022'!CS37</f>
        <v>-333299</v>
      </c>
      <c r="CS37" s="89">
        <f>'[1]January - 2022'!CS37</f>
        <v>-333299</v>
      </c>
      <c r="CT37" s="89">
        <f>'[1]January - 2022'!CU37</f>
        <v>0</v>
      </c>
      <c r="CU37" s="191">
        <f>'[1]January - 2022'!CV37</f>
        <v>-631833</v>
      </c>
      <c r="CV37" s="517"/>
      <c r="CW37" s="256">
        <f>'[1]January - 2022'!CX37</f>
        <v>0</v>
      </c>
      <c r="CX37" s="198">
        <f>'[1]January - 2022'!CY37</f>
        <v>-6815</v>
      </c>
      <c r="CY37" s="257">
        <f>'[1]January - 2022'!CZ37</f>
        <v>0</v>
      </c>
      <c r="CZ37" s="198">
        <f>'[1]January - 2022'!DA37</f>
        <v>-4279</v>
      </c>
      <c r="DA37" s="257">
        <f>'[1]January - 2022'!DB37</f>
        <v>0</v>
      </c>
      <c r="DB37" s="198">
        <f>'[1]January - 2022'!DC37</f>
        <v>-27718</v>
      </c>
      <c r="DC37" s="257">
        <f>'[1]January - 2022'!DD37</f>
        <v>0</v>
      </c>
      <c r="DD37" s="198">
        <f>'[1]January - 2022'!DE37</f>
        <v>-28345</v>
      </c>
      <c r="DE37" s="257">
        <f>'[1]January - 2022'!DF37</f>
        <v>0</v>
      </c>
      <c r="DF37" s="198">
        <f>'[1]January - 2022'!DG37</f>
        <v>-19099</v>
      </c>
      <c r="DG37" s="257">
        <f>'[1]January - 2022'!DH37</f>
        <v>0</v>
      </c>
      <c r="DH37" s="198">
        <f>'[1]January - 2022'!DI37</f>
        <v>-22194</v>
      </c>
      <c r="DI37" s="257">
        <f>'[1]January - 2022'!DJ37</f>
        <v>0</v>
      </c>
      <c r="DJ37" s="198">
        <f>'[1]January - 2022'!DK37</f>
        <v>-3715</v>
      </c>
      <c r="DK37" s="257">
        <f>'[1]January - 2022'!DL37</f>
        <v>0</v>
      </c>
      <c r="DL37" s="198">
        <f>'[1]January - 2022'!DM37</f>
        <v>-7414</v>
      </c>
      <c r="DM37" s="257">
        <f>'[1]January - 2022'!DN37</f>
        <v>0</v>
      </c>
      <c r="DN37" s="198">
        <f>'[1]January - 2022'!DO37</f>
        <v>-2020</v>
      </c>
      <c r="DO37" s="257">
        <f>'[1]January - 2022'!DP37</f>
        <v>0</v>
      </c>
      <c r="DP37" s="198">
        <f>'[1]January - 2022'!DQ37</f>
        <v>-3942</v>
      </c>
      <c r="DQ37" s="257">
        <f>'[1]January - 2022'!DR37</f>
        <v>0</v>
      </c>
      <c r="DR37" s="206">
        <f>'[1]January - 2022'!DS37</f>
        <v>-26547</v>
      </c>
      <c r="DS37" s="533"/>
      <c r="DT37" s="210">
        <f>'[1]January - 2022'!DU37</f>
        <v>0</v>
      </c>
      <c r="DU37" s="221">
        <f>'[1]January - 2022'!DV37</f>
        <v>-3551</v>
      </c>
      <c r="DV37" s="91">
        <f>'[1]January - 2022'!DW37</f>
        <v>0</v>
      </c>
      <c r="DW37" s="215">
        <f>'[1]January - 2022'!DX37</f>
        <v>-8553.7000000000007</v>
      </c>
      <c r="DX37" s="91">
        <f>'[1]January - 2022'!DY37</f>
        <v>0</v>
      </c>
      <c r="DY37" s="215">
        <f>'[1]January - 2022'!DZ37</f>
        <v>-2684.1</v>
      </c>
      <c r="DZ37" s="91">
        <f>'[1]January - 2022'!EA37</f>
        <v>0</v>
      </c>
      <c r="EA37" s="215">
        <f>'[1]January - 2022'!EB37</f>
        <v>-2812.3</v>
      </c>
      <c r="EB37" s="91">
        <f>'[1]January - 2022'!EC37</f>
        <v>0</v>
      </c>
      <c r="EC37" s="215">
        <f>'[1]January - 2022'!ED37</f>
        <v>-900393</v>
      </c>
      <c r="ED37" s="91">
        <f>'[1]January - 2022'!EG37</f>
        <v>0</v>
      </c>
      <c r="EE37" s="229">
        <f>'[1]January - 2022'!EH37</f>
        <v>-183971.7</v>
      </c>
      <c r="EF37" s="580"/>
      <c r="EG37" s="235">
        <f>'[1]January - 2022'!EJ37</f>
        <v>0</v>
      </c>
      <c r="EH37" s="230">
        <f>'[1]January - 2022'!EK37</f>
        <v>-10550600</v>
      </c>
      <c r="EI37" s="90">
        <f>'[1]January - 2022'!EL37</f>
        <v>0</v>
      </c>
      <c r="EJ37" s="230">
        <f>'[1]January - 2022'!EM37</f>
        <v>-839900</v>
      </c>
      <c r="EK37" s="90">
        <f>'[1]January - 2022'!EN37</f>
        <v>0</v>
      </c>
      <c r="EL37" s="230">
        <f>'[1]January - 2022'!EO37</f>
        <v>-6444300</v>
      </c>
      <c r="EM37" s="90">
        <f>'[1]January - 2022'!EP37</f>
        <v>0</v>
      </c>
      <c r="EN37" s="230">
        <f>'[1]January - 2022'!EQ37</f>
        <v>-2267300</v>
      </c>
      <c r="EO37" s="90">
        <f>'[1]January - 2022'!ER37</f>
        <v>0</v>
      </c>
      <c r="EP37" s="230">
        <f>'[1]January - 2022'!ES37</f>
        <v>-1027790</v>
      </c>
      <c r="EQ37" s="90">
        <f>'[1]January - 2022'!ET37</f>
        <v>0</v>
      </c>
      <c r="ER37" s="230">
        <f>'[1]January - 2022'!EU37</f>
        <v>-14407400</v>
      </c>
      <c r="ES37" s="555"/>
      <c r="ET37" s="281">
        <f>'[1]January - 2022'!EW37</f>
        <v>0</v>
      </c>
      <c r="EU37" s="275">
        <f>'[1]January - 2022'!EX37</f>
        <v>-38242</v>
      </c>
      <c r="EV37" s="282">
        <f>'[1]January - 2022'!EY37</f>
        <v>0</v>
      </c>
      <c r="EW37" s="275">
        <f>'[1]January - 2022'!EZ37</f>
        <v>-33134</v>
      </c>
      <c r="EX37" s="282">
        <f>'[1]January - 2022'!FA37</f>
        <v>0</v>
      </c>
      <c r="EY37" s="275">
        <f>'[1]January - 2022'!FB37</f>
        <v>-4216</v>
      </c>
      <c r="EZ37" s="282">
        <f>'[1]January - 2022'!FC37</f>
        <v>0</v>
      </c>
      <c r="FA37" s="275">
        <f>'[1]January - 2022'!FD37</f>
        <v>-55079</v>
      </c>
      <c r="FB37" s="282">
        <f>'[1]January - 2022'!FE37</f>
        <v>0</v>
      </c>
      <c r="FC37" s="276">
        <f>'[1]January - 2022'!FF37</f>
        <v>-39345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476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93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589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517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533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580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55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476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93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590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517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533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580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55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517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533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580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556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35685.83999999892</v>
      </c>
      <c r="V44" s="381"/>
      <c r="W44" s="382"/>
      <c r="X44" s="380">
        <f>SUM(Z9:Z24)</f>
        <v>71764.559999998659</v>
      </c>
      <c r="Y44" s="381"/>
      <c r="Z44" s="382"/>
      <c r="AA44" s="380">
        <f>SUM(AC9:AC24)</f>
        <v>35419.439999999478</v>
      </c>
      <c r="AB44" s="381"/>
      <c r="AC44" s="382"/>
      <c r="AD44" s="380">
        <f>SUM(AF9:AF24)</f>
        <v>6382.3200000021607</v>
      </c>
      <c r="AE44" s="381"/>
      <c r="AF44" s="382"/>
      <c r="AG44" s="380">
        <f>SUM(AI9:AI24)</f>
        <v>89303.760000001639</v>
      </c>
      <c r="AH44" s="381"/>
      <c r="AI44" s="382"/>
      <c r="AJ44" s="380">
        <f>SUM(AL9:AL24)</f>
        <v>84821.519999999553</v>
      </c>
      <c r="AK44" s="381"/>
      <c r="AL44" s="382"/>
      <c r="AM44" s="380">
        <f>SUM(AO9:AO24)</f>
        <v>63579.599999999627</v>
      </c>
      <c r="AN44" s="381"/>
      <c r="AO44" s="382"/>
      <c r="AP44" s="380">
        <f>SUM(AR9:AR24)</f>
        <v>62653.919999999925</v>
      </c>
      <c r="AQ44" s="381"/>
      <c r="AR44" s="382"/>
      <c r="AS44" s="380">
        <f>SUM(AU9:AU24)</f>
        <v>44315.679999999702</v>
      </c>
      <c r="AT44" s="381"/>
      <c r="AU44" s="382"/>
      <c r="AV44" s="380">
        <f>SUM(AX9:AX24)</f>
        <v>80485.440000001341</v>
      </c>
      <c r="AW44" s="381"/>
      <c r="AX44" s="381"/>
      <c r="AY44" s="386"/>
      <c r="AZ44" s="381">
        <f>SUM(BB9:BB24)</f>
        <v>190800</v>
      </c>
      <c r="BA44" s="381"/>
      <c r="BB44" s="381"/>
      <c r="BC44" s="380">
        <f>SUM(BE9:BE24)</f>
        <v>0</v>
      </c>
      <c r="BD44" s="381"/>
      <c r="BE44" s="381"/>
      <c r="BF44" s="376">
        <f>SUM(BH9:BH24)</f>
        <v>383600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1505.7000000000116</v>
      </c>
      <c r="CL44" s="376"/>
      <c r="CM44" s="376"/>
      <c r="CN44" s="376">
        <f>SUM(CP9:CP24)</f>
        <v>1781.1199999999953</v>
      </c>
      <c r="CO44" s="376"/>
      <c r="CP44" s="376"/>
      <c r="CQ44" s="376">
        <f>SUM(CS9:CS24)</f>
        <v>5286.7600000000093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11358</v>
      </c>
      <c r="D45" s="594"/>
      <c r="E45" s="595"/>
      <c r="F45" s="594">
        <f>SUM(G9:G24)</f>
        <v>7513.5299999999988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1032.9800000000032</v>
      </c>
      <c r="P45" s="594"/>
      <c r="Q45" s="595"/>
      <c r="R45" s="597"/>
      <c r="S45" s="598"/>
      <c r="T45" s="412"/>
      <c r="U45" s="365">
        <f>SUM(V9:V24)</f>
        <v>35685.83999999892</v>
      </c>
      <c r="V45" s="365"/>
      <c r="W45" s="366"/>
      <c r="X45" s="365">
        <f>SUM(Y9:Y24)</f>
        <v>71764.559999998659</v>
      </c>
      <c r="Y45" s="365"/>
      <c r="Z45" s="366"/>
      <c r="AA45" s="365">
        <f>SUM(AB9:AB24)</f>
        <v>35419.439999999478</v>
      </c>
      <c r="AB45" s="365"/>
      <c r="AC45" s="366"/>
      <c r="AD45" s="365">
        <f>SUM(AE9:AE24)</f>
        <v>6382.3200000021607</v>
      </c>
      <c r="AE45" s="365"/>
      <c r="AF45" s="366"/>
      <c r="AG45" s="365">
        <f>SUM(AH9:AH24)</f>
        <v>89303.760000001639</v>
      </c>
      <c r="AH45" s="365"/>
      <c r="AI45" s="366"/>
      <c r="AJ45" s="365">
        <f>SUM(AK9:AK24)</f>
        <v>84821.519999999553</v>
      </c>
      <c r="AK45" s="365"/>
      <c r="AL45" s="366"/>
      <c r="AM45" s="365">
        <f>SUM(AN9:AN24)</f>
        <v>63579.599999999627</v>
      </c>
      <c r="AN45" s="365"/>
      <c r="AO45" s="366"/>
      <c r="AP45" s="365">
        <f>SUM(AQ9:AQ24)</f>
        <v>62653.919999999925</v>
      </c>
      <c r="AQ45" s="365"/>
      <c r="AR45" s="366"/>
      <c r="AS45" s="365">
        <f>SUM(AT9:AT24)</f>
        <v>44315.679999999702</v>
      </c>
      <c r="AT45" s="365"/>
      <c r="AU45" s="366"/>
      <c r="AV45" s="365">
        <f>SUM(AW9:AW24)</f>
        <v>80485.440000001341</v>
      </c>
      <c r="AW45" s="365"/>
      <c r="AX45" s="365"/>
      <c r="AY45" s="386"/>
      <c r="AZ45" s="366">
        <f>SUM(BA9:BA24)</f>
        <v>190800</v>
      </c>
      <c r="BA45" s="376"/>
      <c r="BB45" s="376"/>
      <c r="BC45" s="376">
        <f>SUM(BD9:BD24)</f>
        <v>0</v>
      </c>
      <c r="BD45" s="376"/>
      <c r="BE45" s="376"/>
      <c r="BF45" s="376">
        <f>SUM(BG9:BG24)</f>
        <v>383600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1505.7000000000116</v>
      </c>
      <c r="CL45" s="376"/>
      <c r="CM45" s="376"/>
      <c r="CN45" s="376">
        <f>SUM(CO9:CO24)</f>
        <v>1781.1199999999953</v>
      </c>
      <c r="CO45" s="376"/>
      <c r="CP45" s="376"/>
      <c r="CQ45" s="376">
        <f>SUM(CR9:CR24)</f>
        <v>5286.7600000000093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-7231779.1200000001</v>
      </c>
      <c r="V47" s="365"/>
      <c r="W47" s="366"/>
      <c r="X47" s="364">
        <f>SUM(Z9:Z39)</f>
        <v>-13854944.880000001</v>
      </c>
      <c r="Y47" s="365"/>
      <c r="Z47" s="366"/>
      <c r="AA47" s="364">
        <f>SUM(AC9:AC39)</f>
        <v>-13761743.52</v>
      </c>
      <c r="AB47" s="365"/>
      <c r="AC47" s="366"/>
      <c r="AD47" s="364">
        <f>SUM(AF9:AF39)</f>
        <v>-16751982.239999998</v>
      </c>
      <c r="AE47" s="365"/>
      <c r="AF47" s="366"/>
      <c r="AG47" s="364">
        <f>SUM(AI9:AI39)</f>
        <v>-17184031.199999999</v>
      </c>
      <c r="AH47" s="365"/>
      <c r="AI47" s="366"/>
      <c r="AJ47" s="364">
        <f>SUM(AL9:AL39)</f>
        <v>-15612567.6</v>
      </c>
      <c r="AK47" s="365"/>
      <c r="AL47" s="366"/>
      <c r="AM47" s="364">
        <f>SUM(AO9:AO39)</f>
        <v>-13275176.880000001</v>
      </c>
      <c r="AN47" s="365"/>
      <c r="AO47" s="366"/>
      <c r="AP47" s="364">
        <f>SUM(AR9:AR39)</f>
        <v>-12759329.52</v>
      </c>
      <c r="AQ47" s="365"/>
      <c r="AR47" s="366"/>
      <c r="AS47" s="364">
        <f>SUM(AU9:AU39)</f>
        <v>-10165642.4</v>
      </c>
      <c r="AT47" s="365"/>
      <c r="AU47" s="366"/>
      <c r="AV47" s="364">
        <f>SUM(AX9:AX39)</f>
        <v>-15785621.039999999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-236532.3</v>
      </c>
      <c r="CL47" s="365"/>
      <c r="CM47" s="366"/>
      <c r="CN47" s="364">
        <f>SUM(CP9:CP39)</f>
        <v>-182625.88</v>
      </c>
      <c r="CO47" s="365"/>
      <c r="CP47" s="366"/>
      <c r="CQ47" s="364">
        <f>SUM(CS9:CS39)</f>
        <v>-324174.24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-938355</v>
      </c>
      <c r="D48" s="362"/>
      <c r="E48" s="363"/>
      <c r="F48" s="361">
        <f>SUM(G9:G39)</f>
        <v>-100193.47</v>
      </c>
      <c r="G48" s="362"/>
      <c r="H48" s="363"/>
      <c r="I48" s="361">
        <f>SUM(J10:J39)</f>
        <v>-164625</v>
      </c>
      <c r="J48" s="363"/>
      <c r="K48" s="361">
        <f>SUM(L9:L39)</f>
        <v>-822048.6</v>
      </c>
      <c r="L48" s="363"/>
      <c r="M48" s="361"/>
      <c r="N48" s="363"/>
      <c r="O48" s="361">
        <f>SUM(P9:P39)</f>
        <v>-54947.85</v>
      </c>
      <c r="P48" s="362"/>
      <c r="Q48" s="363"/>
      <c r="R48" s="361">
        <f>SUM(S9:S39)</f>
        <v>-4176</v>
      </c>
      <c r="S48" s="362"/>
      <c r="T48" s="368"/>
      <c r="U48" s="369">
        <f>SUM(V9:V39)</f>
        <v>-7231779.1200000001</v>
      </c>
      <c r="V48" s="370"/>
      <c r="W48" s="371"/>
      <c r="X48" s="369">
        <f>SUM(Y9:Y39)</f>
        <v>-13854944.880000001</v>
      </c>
      <c r="Y48" s="370"/>
      <c r="Z48" s="371"/>
      <c r="AA48" s="358">
        <f>SUM(AB9:AB39)</f>
        <v>-13761743.52</v>
      </c>
      <c r="AB48" s="359"/>
      <c r="AC48" s="360"/>
      <c r="AD48" s="358">
        <f>SUM(AE9:AE39)</f>
        <v>-16751982.239999998</v>
      </c>
      <c r="AE48" s="359"/>
      <c r="AF48" s="360"/>
      <c r="AG48" s="358">
        <f>SUM(AH9:AH39)</f>
        <v>-17184031.199999999</v>
      </c>
      <c r="AH48" s="359"/>
      <c r="AI48" s="360"/>
      <c r="AJ48" s="358">
        <f>SUM(AK9:AK39)</f>
        <v>-15612567.6</v>
      </c>
      <c r="AK48" s="359"/>
      <c r="AL48" s="360"/>
      <c r="AM48" s="358">
        <f>SUM(AN9:AN39)</f>
        <v>-13275176.880000001</v>
      </c>
      <c r="AN48" s="359"/>
      <c r="AO48" s="360"/>
      <c r="AP48" s="358">
        <f>SUM(AQ9:AQ39)</f>
        <v>-12759329.52</v>
      </c>
      <c r="AQ48" s="359"/>
      <c r="AR48" s="360"/>
      <c r="AS48" s="358">
        <f>SUM(AT9:AT39)</f>
        <v>-10165642.4</v>
      </c>
      <c r="AT48" s="359"/>
      <c r="AU48" s="360"/>
      <c r="AV48" s="358">
        <f>SUM(AW9:AW39)</f>
        <v>-15785621.039999999</v>
      </c>
      <c r="AW48" s="359"/>
      <c r="AX48" s="359"/>
      <c r="AY48" s="386"/>
      <c r="AZ48" s="349">
        <f>SUM(BA9:BA40)</f>
        <v>-68270800</v>
      </c>
      <c r="BA48" s="349"/>
      <c r="BB48" s="350"/>
      <c r="BC48" s="349">
        <f t="shared" ref="BC48" si="0">SUM(BD9:BD40)</f>
        <v>-70700300</v>
      </c>
      <c r="BD48" s="349"/>
      <c r="BE48" s="350"/>
      <c r="BF48" s="349">
        <f t="shared" ref="BF48" si="1">SUM(BG9:BG40)</f>
        <v>-65479500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-7819480</v>
      </c>
      <c r="BT48" s="601"/>
      <c r="BU48" s="393"/>
      <c r="BV48" s="605"/>
      <c r="BW48" s="606"/>
      <c r="BX48" s="117"/>
      <c r="BY48" s="346">
        <f>SUM(BZ9:BZ39)</f>
        <v>-57522</v>
      </c>
      <c r="BZ48" s="347"/>
      <c r="CA48" s="346">
        <f>SUM(CB9:CB39)</f>
        <v>-48984</v>
      </c>
      <c r="CB48" s="347"/>
      <c r="CC48" s="346">
        <f>SUM(CD9:CD39)</f>
        <v>-16823</v>
      </c>
      <c r="CD48" s="347"/>
      <c r="CE48" s="346">
        <f>SUM(CF9:CF39)</f>
        <v>-22306</v>
      </c>
      <c r="CF48" s="347"/>
      <c r="CG48" s="346">
        <f>SUM(CH9:CH39)</f>
        <v>-24342</v>
      </c>
      <c r="CH48" s="347"/>
      <c r="CI48" s="346">
        <f>SUM(CJ9:CJ39)</f>
        <v>-53965</v>
      </c>
      <c r="CJ48" s="347"/>
      <c r="CK48" s="346">
        <f>SUM(CL9:CL39)</f>
        <v>-236532.3</v>
      </c>
      <c r="CL48" s="348"/>
      <c r="CM48" s="347"/>
      <c r="CN48" s="346">
        <f>SUM(CO9:CO39)</f>
        <v>-182625.88</v>
      </c>
      <c r="CO48" s="348"/>
      <c r="CP48" s="347"/>
      <c r="CQ48" s="346">
        <f>SUM(CR9:CR39)</f>
        <v>-324174.24</v>
      </c>
      <c r="CR48" s="348"/>
      <c r="CS48" s="347"/>
      <c r="CT48" s="346">
        <f>SUM(CU9:CU39)</f>
        <v>-625387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953201</v>
      </c>
      <c r="D49" s="342"/>
      <c r="E49" s="357"/>
      <c r="F49" s="341">
        <f>F47-F48</f>
        <v>113114.47</v>
      </c>
      <c r="G49" s="342"/>
      <c r="H49" s="357"/>
      <c r="I49" s="341">
        <f>I47-I48</f>
        <v>171673.9</v>
      </c>
      <c r="J49" s="357"/>
      <c r="K49" s="341">
        <f>K47-K48</f>
        <v>829750.8</v>
      </c>
      <c r="L49" s="357"/>
      <c r="M49" s="341"/>
      <c r="N49" s="357"/>
      <c r="O49" s="372">
        <f>O47-O48</f>
        <v>55784.85</v>
      </c>
      <c r="P49" s="372"/>
      <c r="Q49" s="372"/>
      <c r="R49" s="341">
        <f>R47-R48</f>
        <v>4652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-68618100</v>
      </c>
      <c r="BA49" s="349"/>
      <c r="BB49" s="350"/>
      <c r="BC49" s="349">
        <f t="shared" ref="BC49" si="2">BC48-BC47</f>
        <v>-71061400</v>
      </c>
      <c r="BD49" s="349"/>
      <c r="BE49" s="350"/>
      <c r="BF49" s="349">
        <f t="shared" ref="BF49" si="3">BF48-BF47</f>
        <v>-66038342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629281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-136382818.39999998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-136382818.39999998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574412.08000000101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574412.08000000101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-204450600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2022-01-28T06:01:40Z</dcterms:modified>
</cp:coreProperties>
</file>