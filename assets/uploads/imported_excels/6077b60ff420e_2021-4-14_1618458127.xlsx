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-120" yWindow="-120" windowWidth="19440" windowHeight="15600" firstSheet="2" activeTab="6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8" l="1"/>
  <c r="K13" i="8" l="1"/>
  <c r="K14" i="8"/>
  <c r="K15" i="8"/>
  <c r="B9" i="8" l="1"/>
  <c r="I7" i="8" l="1"/>
  <c r="K7" i="8" s="1"/>
  <c r="B8" i="2" l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W33" i="8"/>
  <c r="E34" i="8"/>
  <c r="I34" i="8"/>
  <c r="K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U30" i="8"/>
  <c r="S30" i="8"/>
  <c r="Q30" i="8"/>
  <c r="O30" i="8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K12" i="8" s="1"/>
  <c r="E12" i="8"/>
  <c r="C12" i="8"/>
  <c r="A12" i="8"/>
  <c r="W11" i="8"/>
  <c r="U11" i="8"/>
  <c r="S11" i="8"/>
  <c r="Q11" i="8"/>
  <c r="O11" i="8"/>
  <c r="M11" i="8"/>
  <c r="I11" i="8"/>
  <c r="K11" i="8" s="1"/>
  <c r="E11" i="8"/>
  <c r="C11" i="8"/>
  <c r="A11" i="8"/>
  <c r="W10" i="8"/>
  <c r="U10" i="8"/>
  <c r="S10" i="8"/>
  <c r="Q10" i="8"/>
  <c r="O10" i="8"/>
  <c r="M10" i="8"/>
  <c r="I10" i="8"/>
  <c r="K10" i="8" s="1"/>
  <c r="E10" i="8"/>
  <c r="C10" i="8"/>
  <c r="A10" i="8"/>
  <c r="W9" i="8"/>
  <c r="U9" i="8"/>
  <c r="S9" i="8"/>
  <c r="Q9" i="8"/>
  <c r="O9" i="8"/>
  <c r="M9" i="8"/>
  <c r="I9" i="8"/>
  <c r="K9" i="8" s="1"/>
  <c r="E9" i="8"/>
  <c r="C9" i="8"/>
  <c r="A9" i="8"/>
  <c r="W8" i="8"/>
  <c r="U8" i="8"/>
  <c r="S8" i="8"/>
  <c r="Q8" i="8"/>
  <c r="O8" i="8"/>
  <c r="M8" i="8"/>
  <c r="I8" i="8"/>
  <c r="K8" i="8" s="1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<sst xmlns="http://schemas.openxmlformats.org/spreadsheetml/2006/main" count="201" uniqueCount="128">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</sst>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1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-378949.99999999994</c:v>
                </c:pt>
                <c:pt idx="1">
                  <c:v>-2158800</c:v>
                </c:pt>
                <c:pt idx="2">
                  <c:v>-209570</c:v>
                </c:pt>
                <c:pt idx="3">
                  <c:v>-830880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-48022</c:v>
                </c:pt>
                <c:pt idx="1">
                  <c:v>0.18496962880506584</c:v>
                </c:pt>
                <c:pt idx="2" formatCode="_(* #,##0.00_);_(* \(#,##0.00\);_(* &quot;-&quot;??_);_(@_)">
                  <c:v>-189853</c:v>
                </c:pt>
                <c:pt idx="3">
                  <c:v>0.73126981253442513</c:v>
                </c:pt>
                <c:pt idx="4" formatCode="0.00">
                  <c:v>-26141</c:v>
                </c:pt>
                <c:pt idx="5">
                  <c:v>0.100689081391721</c:v>
                </c:pt>
                <c:pt idx="6" formatCode="0.00">
                  <c:v>-33068</c:v>
                </c:pt>
                <c:pt idx="7">
                  <c:v>0.12737028206501014</c:v>
                </c:pt>
                <c:pt idx="8" formatCode="0.00">
                  <c:v>-5832</c:v>
                </c:pt>
                <c:pt idx="9">
                  <c:v>2.246351412250935E-2</c:v>
                </c:pt>
                <c:pt idx="10" formatCode="0.00">
                  <c:v>-297</c:v>
                </c:pt>
                <c:pt idx="11">
                  <c:v>1.143975256238902E-3</c:v>
                </c:pt>
                <c:pt idx="12" formatCode="0.00">
                  <c:v>-66868</c:v>
                </c:pt>
                <c:pt idx="13">
                  <c:v>0.25756005870095255</c:v>
                </c:pt>
                <c:pt idx="14" formatCode="_(* #,##0.00_);_(* \(#,##0.00\);_(* &quot;-&quot;??_);_(@_)">
                  <c:v>-242368</c:v>
                </c:pt>
                <c:pt idx="15">
                  <c:v>0.93354543738757656</c:v>
                </c:pt>
                <c:pt idx="16" formatCode="0.00">
                  <c:v>-110066</c:v>
                </c:pt>
                <c:pt idx="17">
                  <c:v>0.42394875607135019</c:v>
                </c:pt>
                <c:pt idx="18" formatCode="0.00">
                  <c:v>-19008</c:v>
                </c:pt>
                <c:pt idx="19">
                  <c:v>7.3214416399289731E-2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1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4336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1"/>
                <c:pt idx="0">
                  <c:v>Total Consumption M3                       (Meter 1 : 2) 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-259621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-741523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1658240"/>
        <c:axId val="231659776"/>
      </c:barChart>
      <c:catAx>
        <c:axId val="231658240"/>
        <c:scaling>
          <c:orientation val="minMax"/>
        </c:scaling>
        <c:delete val="1"/>
        <c:axPos val="b"/>
        <c:majorTickMark val="none"/>
        <c:minorTickMark val="none"/>
        <c:tickLblPos val="nextTo"/>
        <c:crossAx val="231659776"/>
        <c:crosses val="autoZero"/>
        <c:auto val="1"/>
        <c:lblAlgn val="ctr"/>
        <c:lblOffset val="100"/>
        <c:noMultiLvlLbl val="0"/>
      </c:catAx>
      <c:valAx>
        <c:axId val="2316597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316582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="85" zoomScaleNormal="85" workbookViewId="0">
      <selection activeCell="E19" sqref="E19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4</v>
      </c>
      <c r="D2" s="46">
        <v>2021</v>
      </c>
      <c r="E2" s="107">
        <v>25520</v>
      </c>
      <c r="F2" s="48">
        <v>0.14000000000000001</v>
      </c>
      <c r="G2" s="107">
        <v>7195</v>
      </c>
      <c r="H2" s="48">
        <v>0.4453480216384178</v>
      </c>
      <c r="I2" s="65">
        <v>349</v>
      </c>
      <c r="J2" s="76">
        <v>0.4</v>
      </c>
      <c r="K2" s="108">
        <f>K33/31</f>
        <v>0</v>
      </c>
      <c r="L2" s="76">
        <v>1.5287027707808565</v>
      </c>
      <c r="M2" s="72">
        <v>61</v>
      </c>
      <c r="N2" s="72">
        <v>168</v>
      </c>
      <c r="O2" s="72">
        <v>434</v>
      </c>
    </row>
    <row r="3" spans="1:15" ht="15" x14ac:dyDescent="0.25">
      <c r="A3" s="45" t="s">
        <v>9</v>
      </c>
      <c r="B3" s="46">
        <f>B2+1</f>
        <v>2</v>
      </c>
      <c r="C3" s="47">
        <v>4</v>
      </c>
      <c r="D3" s="46">
        <v>2021</v>
      </c>
      <c r="E3" s="107">
        <v>25880</v>
      </c>
      <c r="F3" s="48">
        <v>0.14000000000000001</v>
      </c>
      <c r="G3" s="107">
        <v>7289</v>
      </c>
      <c r="H3" s="48">
        <v>0.4453480216384178</v>
      </c>
      <c r="I3" s="65">
        <v>296</v>
      </c>
      <c r="J3" s="76">
        <v>0.4</v>
      </c>
      <c r="K3" s="108">
        <v>0</v>
      </c>
      <c r="L3" s="76">
        <v>1.5287027707808565</v>
      </c>
      <c r="M3" s="72">
        <v>67</v>
      </c>
      <c r="N3" s="72">
        <v>182</v>
      </c>
      <c r="O3" s="72">
        <v>486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4</v>
      </c>
      <c r="D4" s="46">
        <v>2021</v>
      </c>
      <c r="E4" s="107">
        <v>25550</v>
      </c>
      <c r="F4" s="48">
        <v>0.14000000000000001</v>
      </c>
      <c r="G4" s="107">
        <v>6971</v>
      </c>
      <c r="H4" s="48">
        <v>0.4453480216384178</v>
      </c>
      <c r="I4" s="65">
        <v>381</v>
      </c>
      <c r="J4" s="76">
        <v>0.4</v>
      </c>
      <c r="K4" s="108">
        <v>0</v>
      </c>
      <c r="L4" s="76">
        <v>1.5287027707808565</v>
      </c>
      <c r="M4" s="72">
        <v>65</v>
      </c>
      <c r="N4" s="72">
        <v>176</v>
      </c>
      <c r="O4" s="72">
        <v>535</v>
      </c>
    </row>
    <row r="5" spans="1:15" ht="15" x14ac:dyDescent="0.25">
      <c r="A5" s="45" t="s">
        <v>9</v>
      </c>
      <c r="B5" s="46">
        <f t="shared" si="0"/>
        <v>4</v>
      </c>
      <c r="C5" s="47">
        <v>4</v>
      </c>
      <c r="D5" s="46">
        <v>2021</v>
      </c>
      <c r="E5" s="107">
        <v>26880</v>
      </c>
      <c r="F5" s="48">
        <v>0.14000000000000001</v>
      </c>
      <c r="G5" s="107">
        <v>7461</v>
      </c>
      <c r="H5" s="48">
        <v>0.4453480216384178</v>
      </c>
      <c r="I5" s="65">
        <v>370</v>
      </c>
      <c r="J5" s="76">
        <v>0.4</v>
      </c>
      <c r="K5" s="108">
        <v>0</v>
      </c>
      <c r="L5" s="76">
        <v>1.5287027707808565</v>
      </c>
      <c r="M5" s="72">
        <v>62</v>
      </c>
      <c r="N5" s="72">
        <v>172</v>
      </c>
      <c r="O5" s="72">
        <v>452</v>
      </c>
    </row>
    <row r="6" spans="1:15" ht="15" x14ac:dyDescent="0.25">
      <c r="A6" s="45" t="s">
        <v>9</v>
      </c>
      <c r="B6" s="46">
        <f t="shared" si="0"/>
        <v>5</v>
      </c>
      <c r="C6" s="47">
        <v>4</v>
      </c>
      <c r="D6" s="46">
        <v>2021</v>
      </c>
      <c r="E6" s="107">
        <v>25850</v>
      </c>
      <c r="F6" s="48">
        <v>0.14000000000000001</v>
      </c>
      <c r="G6" s="107">
        <v>7045</v>
      </c>
      <c r="H6" s="48">
        <v>0.4453480216384178</v>
      </c>
      <c r="I6" s="65">
        <v>350</v>
      </c>
      <c r="J6" s="76">
        <v>0.4</v>
      </c>
      <c r="K6" s="108">
        <v>0</v>
      </c>
      <c r="L6" s="76">
        <v>1.5287027707808565</v>
      </c>
      <c r="M6" s="72">
        <v>53</v>
      </c>
      <c r="N6" s="72">
        <v>148</v>
      </c>
      <c r="O6" s="72">
        <v>419</v>
      </c>
    </row>
    <row r="7" spans="1:15" ht="15" x14ac:dyDescent="0.25">
      <c r="A7" s="45" t="s">
        <v>9</v>
      </c>
      <c r="B7" s="46">
        <f t="shared" si="0"/>
        <v>6</v>
      </c>
      <c r="C7" s="47">
        <v>4</v>
      </c>
      <c r="D7" s="46">
        <v>2021</v>
      </c>
      <c r="E7" s="107">
        <v>25300</v>
      </c>
      <c r="F7" s="48">
        <v>0.14000000000000001</v>
      </c>
      <c r="G7" s="107">
        <v>6830</v>
      </c>
      <c r="H7" s="48">
        <v>0.4453480216384178</v>
      </c>
      <c r="I7" s="65">
        <v>309</v>
      </c>
      <c r="J7" s="76">
        <v>0.4</v>
      </c>
      <c r="K7" s="108">
        <v>0</v>
      </c>
      <c r="L7" s="76">
        <v>1.5287027707808565</v>
      </c>
      <c r="M7" s="72">
        <v>52</v>
      </c>
      <c r="N7" s="72">
        <v>147</v>
      </c>
      <c r="O7" s="72">
        <v>431</v>
      </c>
    </row>
    <row r="8" spans="1:15" ht="15" x14ac:dyDescent="0.25">
      <c r="A8" s="45" t="s">
        <v>9</v>
      </c>
      <c r="B8" s="46">
        <f t="shared" si="0"/>
        <v>7</v>
      </c>
      <c r="C8" s="47">
        <v>4</v>
      </c>
      <c r="D8" s="46">
        <v>2021</v>
      </c>
      <c r="E8" s="107">
        <v>20730</v>
      </c>
      <c r="F8" s="48">
        <v>0.14000000000000001</v>
      </c>
      <c r="G8" s="107">
        <v>6845</v>
      </c>
      <c r="H8" s="48">
        <v>0.4453480216384178</v>
      </c>
      <c r="I8" s="65">
        <v>331</v>
      </c>
      <c r="J8" s="76">
        <v>0.4</v>
      </c>
      <c r="K8" s="108">
        <v>0</v>
      </c>
      <c r="L8" s="76">
        <v>1.5287027707808565</v>
      </c>
      <c r="M8" s="72">
        <v>43</v>
      </c>
      <c r="N8" s="72">
        <v>118</v>
      </c>
      <c r="O8" s="72">
        <v>319</v>
      </c>
    </row>
    <row r="9" spans="1:15" ht="15" x14ac:dyDescent="0.25">
      <c r="A9" s="45" t="s">
        <v>9</v>
      </c>
      <c r="B9" s="46">
        <f t="shared" si="0"/>
        <v>8</v>
      </c>
      <c r="C9" s="47">
        <v>4</v>
      </c>
      <c r="D9" s="46">
        <v>2021</v>
      </c>
      <c r="E9" s="107">
        <v>24890</v>
      </c>
      <c r="F9" s="48">
        <v>0.14000000000000001</v>
      </c>
      <c r="G9" s="107">
        <v>6819</v>
      </c>
      <c r="H9" s="48">
        <v>0.4453480216384178</v>
      </c>
      <c r="I9" s="65">
        <v>266</v>
      </c>
      <c r="J9" s="76">
        <v>0.4</v>
      </c>
      <c r="K9" s="108">
        <v>0</v>
      </c>
      <c r="L9" s="76">
        <v>1.5287027707808565</v>
      </c>
      <c r="M9" s="72">
        <v>39</v>
      </c>
      <c r="N9" s="72">
        <v>109</v>
      </c>
      <c r="O9" s="72">
        <v>296</v>
      </c>
    </row>
    <row r="10" spans="1:15" ht="15" x14ac:dyDescent="0.25">
      <c r="A10" s="45" t="s">
        <v>9</v>
      </c>
      <c r="B10" s="46">
        <f t="shared" si="0"/>
        <v>9</v>
      </c>
      <c r="C10" s="47">
        <v>4</v>
      </c>
      <c r="D10" s="46">
        <v>2021</v>
      </c>
      <c r="E10" s="107">
        <v>22380</v>
      </c>
      <c r="F10" s="48">
        <v>0.14000000000000001</v>
      </c>
      <c r="G10" s="107">
        <v>6513</v>
      </c>
      <c r="H10" s="48">
        <v>0.4453480216384178</v>
      </c>
      <c r="I10" s="65">
        <v>316</v>
      </c>
      <c r="J10" s="76">
        <v>0.4</v>
      </c>
      <c r="K10" s="108">
        <v>0</v>
      </c>
      <c r="L10" s="76">
        <v>1.5287027707808565</v>
      </c>
      <c r="M10" s="72">
        <v>31</v>
      </c>
      <c r="N10" s="72">
        <v>92</v>
      </c>
      <c r="O10" s="72">
        <v>287</v>
      </c>
    </row>
    <row r="11" spans="1:15" ht="15" x14ac:dyDescent="0.25">
      <c r="A11" s="45" t="s">
        <v>9</v>
      </c>
      <c r="B11" s="46">
        <f t="shared" si="0"/>
        <v>10</v>
      </c>
      <c r="C11" s="47">
        <v>4</v>
      </c>
      <c r="D11" s="46">
        <v>2021</v>
      </c>
      <c r="E11" s="107">
        <v>24860</v>
      </c>
      <c r="F11" s="48">
        <v>0.14000000000000001</v>
      </c>
      <c r="G11" s="107">
        <v>6382</v>
      </c>
      <c r="H11" s="48">
        <v>0.4453480216384178</v>
      </c>
      <c r="I11" s="65">
        <v>316</v>
      </c>
      <c r="J11" s="76">
        <v>0.4</v>
      </c>
      <c r="K11" s="108">
        <v>0</v>
      </c>
      <c r="L11" s="76">
        <v>1.5287027707808565</v>
      </c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4</v>
      </c>
      <c r="D12" s="46">
        <v>2021</v>
      </c>
      <c r="E12" s="107">
        <v>23700</v>
      </c>
      <c r="F12" s="48">
        <v>0.14000000000000001</v>
      </c>
      <c r="G12" s="107">
        <v>6520</v>
      </c>
      <c r="H12" s="48">
        <v>0.4453480216384178</v>
      </c>
      <c r="I12" s="65">
        <v>326</v>
      </c>
      <c r="J12" s="76">
        <v>0.4</v>
      </c>
      <c r="K12" s="108">
        <v>0</v>
      </c>
      <c r="L12" s="76">
        <v>1.5287027707808565</v>
      </c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4</v>
      </c>
      <c r="D13" s="46">
        <v>2021</v>
      </c>
      <c r="E13" s="107">
        <v>23130</v>
      </c>
      <c r="F13" s="48">
        <v>0.14000000000000001</v>
      </c>
      <c r="G13" s="107">
        <v>6351</v>
      </c>
      <c r="H13" s="48">
        <v>0.4453480216384178</v>
      </c>
      <c r="I13" s="65">
        <v>274</v>
      </c>
      <c r="J13" s="76">
        <v>0.4</v>
      </c>
      <c r="K13" s="108">
        <v>0</v>
      </c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4</v>
      </c>
      <c r="D14" s="46">
        <v>2021</v>
      </c>
      <c r="E14" s="107">
        <v>24080</v>
      </c>
      <c r="F14" s="48">
        <v>0.14000000000000001</v>
      </c>
      <c r="G14" s="107">
        <v>6658</v>
      </c>
      <c r="H14" s="48">
        <v>0.4453480216384178</v>
      </c>
      <c r="I14" s="65">
        <v>332</v>
      </c>
      <c r="J14" s="76">
        <v>0.4</v>
      </c>
      <c r="K14" s="108">
        <v>0</v>
      </c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4</v>
      </c>
      <c r="D15" s="46">
        <v>2021</v>
      </c>
      <c r="E15" s="107"/>
      <c r="F15" s="48">
        <v>0.14000000000000001</v>
      </c>
      <c r="G15" s="107"/>
      <c r="H15" s="48">
        <v>0.4453480216384178</v>
      </c>
      <c r="I15" s="65"/>
      <c r="J15" s="76">
        <v>0.4</v>
      </c>
      <c r="K15" s="108">
        <v>0</v>
      </c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4</v>
      </c>
      <c r="D16" s="46">
        <v>2021</v>
      </c>
      <c r="E16" s="107"/>
      <c r="F16" s="48">
        <v>0.14000000000000001</v>
      </c>
      <c r="G16" s="107"/>
      <c r="H16" s="48">
        <v>0.4453480216384178</v>
      </c>
      <c r="I16" s="65"/>
      <c r="J16" s="76">
        <v>0.4</v>
      </c>
      <c r="K16" s="108">
        <v>0</v>
      </c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4</v>
      </c>
      <c r="D17" s="46">
        <v>2021</v>
      </c>
      <c r="E17" s="107"/>
      <c r="F17" s="48">
        <v>0.14000000000000001</v>
      </c>
      <c r="G17" s="107"/>
      <c r="H17" s="48">
        <v>0.4453480216384178</v>
      </c>
      <c r="I17" s="65"/>
      <c r="J17" s="76">
        <v>0.4</v>
      </c>
      <c r="K17" s="108">
        <v>0</v>
      </c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4</v>
      </c>
      <c r="D18" s="46">
        <v>2021</v>
      </c>
      <c r="E18" s="107"/>
      <c r="F18" s="48">
        <v>0.14000000000000001</v>
      </c>
      <c r="G18" s="107"/>
      <c r="H18" s="48">
        <v>0.4453480216384178</v>
      </c>
      <c r="I18" s="65"/>
      <c r="J18" s="76">
        <v>0.4</v>
      </c>
      <c r="K18" s="108">
        <v>0</v>
      </c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4</v>
      </c>
      <c r="D19" s="46">
        <v>2021</v>
      </c>
      <c r="E19" s="107"/>
      <c r="F19" s="48">
        <v>0.14000000000000001</v>
      </c>
      <c r="G19" s="107"/>
      <c r="H19" s="48">
        <v>0.4453480216384178</v>
      </c>
      <c r="I19" s="65"/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4</v>
      </c>
      <c r="D20" s="46">
        <v>2021</v>
      </c>
      <c r="E20" s="107"/>
      <c r="F20" s="48">
        <v>0.14000000000000001</v>
      </c>
      <c r="G20" s="107"/>
      <c r="H20" s="48">
        <v>0.4453480216384178</v>
      </c>
      <c r="I20" s="65"/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4</v>
      </c>
      <c r="D21" s="46">
        <v>2021</v>
      </c>
      <c r="E21" s="107"/>
      <c r="F21" s="48">
        <v>0.14000000000000001</v>
      </c>
      <c r="G21" s="107"/>
      <c r="H21" s="48">
        <v>0.4453480216384178</v>
      </c>
      <c r="I21" s="65"/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4</v>
      </c>
      <c r="D22" s="46">
        <v>2021</v>
      </c>
      <c r="E22" s="107"/>
      <c r="F22" s="48">
        <v>0.14000000000000001</v>
      </c>
      <c r="G22" s="107"/>
      <c r="H22" s="48">
        <v>0.4453480216384178</v>
      </c>
      <c r="I22" s="65"/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4</v>
      </c>
      <c r="D23" s="46">
        <v>2021</v>
      </c>
      <c r="E23" s="107"/>
      <c r="F23" s="48">
        <v>0.14000000000000001</v>
      </c>
      <c r="G23" s="107"/>
      <c r="H23" s="48">
        <v>0.4453480216384178</v>
      </c>
      <c r="I23" s="65"/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4</v>
      </c>
      <c r="D24" s="46">
        <v>2021</v>
      </c>
      <c r="E24" s="107"/>
      <c r="F24" s="48">
        <v>0.14000000000000001</v>
      </c>
      <c r="G24" s="107"/>
      <c r="H24" s="48">
        <v>0.4453480216384178</v>
      </c>
      <c r="I24" s="65"/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4</v>
      </c>
      <c r="D25" s="46">
        <v>2021</v>
      </c>
      <c r="E25" s="107"/>
      <c r="F25" s="48">
        <v>0.14000000000000001</v>
      </c>
      <c r="G25" s="107"/>
      <c r="H25" s="48">
        <v>0.4453480216384178</v>
      </c>
      <c r="I25" s="65"/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4</v>
      </c>
      <c r="D26" s="46">
        <v>2021</v>
      </c>
      <c r="E26" s="107"/>
      <c r="F26" s="48">
        <v>0.14000000000000001</v>
      </c>
      <c r="G26" s="107"/>
      <c r="H26" s="48">
        <v>0.4453480216384178</v>
      </c>
      <c r="I26" s="65"/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4</v>
      </c>
      <c r="D27" s="46">
        <v>2021</v>
      </c>
      <c r="E27" s="107"/>
      <c r="F27" s="48">
        <v>0.14000000000000001</v>
      </c>
      <c r="G27" s="107"/>
      <c r="H27" s="48">
        <v>0.4453480216384178</v>
      </c>
      <c r="I27" s="65"/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4</v>
      </c>
      <c r="D28" s="46">
        <v>2021</v>
      </c>
      <c r="E28" s="107"/>
      <c r="F28" s="48">
        <v>0.14000000000000001</v>
      </c>
      <c r="G28" s="107"/>
      <c r="H28" s="48">
        <v>0.4453480216384178</v>
      </c>
      <c r="I28" s="65"/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4</v>
      </c>
      <c r="D29" s="46">
        <v>2021</v>
      </c>
      <c r="E29" s="107"/>
      <c r="F29" s="48">
        <v>0.14000000000000001</v>
      </c>
      <c r="G29" s="107"/>
      <c r="H29" s="48">
        <v>0.4453480216384178</v>
      </c>
      <c r="I29" s="65"/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4</v>
      </c>
      <c r="D30" s="46">
        <v>2021</v>
      </c>
      <c r="E30" s="107"/>
      <c r="F30" s="48">
        <v>0.14000000000000001</v>
      </c>
      <c r="G30" s="107"/>
      <c r="H30" s="48">
        <v>0.4453480216384178</v>
      </c>
      <c r="I30" s="65"/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4</v>
      </c>
      <c r="D31" s="46">
        <v>2021</v>
      </c>
      <c r="E31" s="107"/>
      <c r="F31" s="48">
        <v>0.14000000000000001</v>
      </c>
      <c r="G31" s="107"/>
      <c r="H31" s="48">
        <v>0.4453480216384178</v>
      </c>
      <c r="I31" s="65"/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4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/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11" t="s">
        <v>53</v>
      </c>
      <c r="B33" s="111"/>
      <c r="C33" s="111"/>
      <c r="D33" s="111"/>
      <c r="E33" s="101">
        <f>SUM(E2:E32)</f>
        <v>318750</v>
      </c>
      <c r="F33" s="104">
        <v>0</v>
      </c>
      <c r="G33" s="101">
        <f>SUM(G2:G32)</f>
        <v>88879</v>
      </c>
      <c r="H33" s="102">
        <v>0</v>
      </c>
      <c r="I33" s="103">
        <f>SUM(I2:I32)</f>
        <v>4216</v>
      </c>
      <c r="J33" s="104">
        <v>0</v>
      </c>
      <c r="K33" s="105">
        <v>0</v>
      </c>
      <c r="L33" s="102">
        <v>0</v>
      </c>
      <c r="M33" s="106">
        <f t="shared" ref="M33:O33" si="1">SUM(M2:M32)</f>
        <v>473</v>
      </c>
      <c r="N33" s="106">
        <f t="shared" si="1"/>
        <v>1312</v>
      </c>
      <c r="O33" s="106">
        <f t="shared" si="1"/>
        <v>3659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topLeftCell="B1" zoomScale="78" zoomScaleNormal="78" workbookViewId="0">
      <selection activeCell="U17" sqref="U17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2" t="s">
        <v>10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77"/>
      <c r="V1" s="77"/>
    </row>
    <row r="2" spans="1:25" s="17" customFormat="1" ht="33" customHeight="1" x14ac:dyDescent="0.25">
      <c r="A2" s="29" t="s">
        <v>2</v>
      </c>
      <c r="B2" s="119" t="s">
        <v>11</v>
      </c>
      <c r="C2" s="119" t="s">
        <v>12</v>
      </c>
      <c r="D2" s="119" t="s">
        <v>13</v>
      </c>
      <c r="E2" s="119" t="s">
        <v>14</v>
      </c>
      <c r="F2" s="119" t="s">
        <v>15</v>
      </c>
      <c r="G2" s="114" t="s">
        <v>16</v>
      </c>
      <c r="H2" s="116" t="s">
        <v>17</v>
      </c>
      <c r="I2" s="119" t="s">
        <v>18</v>
      </c>
      <c r="J2" s="121" t="s">
        <v>19</v>
      </c>
      <c r="K2" s="122"/>
      <c r="L2" s="123"/>
      <c r="M2" s="114" t="s">
        <v>20</v>
      </c>
      <c r="N2" s="116" t="s">
        <v>21</v>
      </c>
      <c r="O2" s="117" t="s">
        <v>22</v>
      </c>
      <c r="P2" s="116" t="s">
        <v>23</v>
      </c>
      <c r="Q2" s="124" t="s">
        <v>24</v>
      </c>
      <c r="R2" s="119" t="s">
        <v>25</v>
      </c>
      <c r="S2" s="119" t="s">
        <v>26</v>
      </c>
      <c r="T2" s="119" t="s">
        <v>27</v>
      </c>
      <c r="V2" s="126" t="s">
        <v>6</v>
      </c>
      <c r="W2" s="126" t="s">
        <v>7</v>
      </c>
      <c r="X2" s="126" t="s">
        <v>8</v>
      </c>
    </row>
    <row r="3" spans="1:25" s="17" customFormat="1" ht="45" customHeight="1" x14ac:dyDescent="0.25">
      <c r="A3" s="30"/>
      <c r="B3" s="120"/>
      <c r="C3" s="120"/>
      <c r="D3" s="120"/>
      <c r="E3" s="120"/>
      <c r="F3" s="120"/>
      <c r="G3" s="115"/>
      <c r="H3" s="116"/>
      <c r="I3" s="120"/>
      <c r="J3" s="18" t="s">
        <v>28</v>
      </c>
      <c r="K3" s="18" t="s">
        <v>29</v>
      </c>
      <c r="L3" s="18" t="s">
        <v>30</v>
      </c>
      <c r="M3" s="115"/>
      <c r="N3" s="116"/>
      <c r="O3" s="118"/>
      <c r="P3" s="116"/>
      <c r="Q3" s="125"/>
      <c r="R3" s="120"/>
      <c r="S3" s="120"/>
      <c r="T3" s="120"/>
      <c r="V3" s="126"/>
      <c r="W3" s="126"/>
      <c r="X3" s="126"/>
    </row>
    <row r="4" spans="1:25" ht="21" customHeight="1" x14ac:dyDescent="0.25">
      <c r="A4" s="8">
        <v>44287</v>
      </c>
      <c r="B4" s="1">
        <v>860.77</v>
      </c>
      <c r="C4" s="1">
        <v>209.57</v>
      </c>
      <c r="D4" s="1">
        <v>7259830.0099999998</v>
      </c>
      <c r="E4" s="1">
        <v>7898651.3899999997</v>
      </c>
      <c r="F4" s="1">
        <v>2.1587999999999998</v>
      </c>
      <c r="G4" s="1">
        <v>662.88</v>
      </c>
      <c r="H4" s="1">
        <v>558.29999999999995</v>
      </c>
      <c r="I4" s="1">
        <v>206.17</v>
      </c>
      <c r="J4" s="1">
        <v>298.13</v>
      </c>
      <c r="K4" s="1">
        <v>316.49</v>
      </c>
      <c r="L4" s="1">
        <v>216.26</v>
      </c>
      <c r="M4" s="1">
        <v>448.28</v>
      </c>
      <c r="N4" s="1">
        <v>400.92</v>
      </c>
      <c r="O4" s="1">
        <v>128.63999999999999</v>
      </c>
      <c r="P4" s="1">
        <v>524.32000000000005</v>
      </c>
      <c r="Q4" s="1">
        <v>393.27</v>
      </c>
      <c r="R4" s="1">
        <v>130.52000000000001</v>
      </c>
      <c r="S4" s="1">
        <v>103.33</v>
      </c>
      <c r="T4" s="1">
        <v>378.95</v>
      </c>
      <c r="V4" s="71">
        <v>61</v>
      </c>
      <c r="W4" s="71">
        <v>168</v>
      </c>
      <c r="X4" s="71">
        <v>434</v>
      </c>
      <c r="Y4" s="17"/>
    </row>
    <row r="5" spans="1:25" ht="21" customHeight="1" x14ac:dyDescent="0.25">
      <c r="A5" s="8">
        <v>44288</v>
      </c>
      <c r="B5" s="1">
        <v>862.1</v>
      </c>
      <c r="C5" s="1">
        <v>209.82</v>
      </c>
      <c r="D5" s="1">
        <v>7262447.75</v>
      </c>
      <c r="E5" s="1">
        <v>7902483.6900000004</v>
      </c>
      <c r="F5" s="1">
        <v>2.1614</v>
      </c>
      <c r="G5" s="1">
        <v>663.9</v>
      </c>
      <c r="H5" s="1">
        <v>559.17999999999995</v>
      </c>
      <c r="I5" s="1">
        <v>206.43</v>
      </c>
      <c r="J5" s="1">
        <v>298.45999999999998</v>
      </c>
      <c r="K5" s="1">
        <v>316.93</v>
      </c>
      <c r="L5" s="1">
        <v>216.53</v>
      </c>
      <c r="M5" s="1">
        <v>449.09</v>
      </c>
      <c r="N5" s="1">
        <v>401.76</v>
      </c>
      <c r="O5" s="1">
        <v>128.91</v>
      </c>
      <c r="P5" s="1">
        <v>525.42999999999995</v>
      </c>
      <c r="Q5" s="1">
        <v>394.02</v>
      </c>
      <c r="R5" s="1">
        <v>130.83000000000001</v>
      </c>
      <c r="S5" s="1">
        <v>103.49</v>
      </c>
      <c r="T5" s="1">
        <v>379.49</v>
      </c>
      <c r="V5" s="71">
        <v>67</v>
      </c>
      <c r="W5" s="71">
        <v>182</v>
      </c>
      <c r="X5" s="71">
        <v>486</v>
      </c>
      <c r="Y5" s="17"/>
    </row>
    <row r="6" spans="1:25" ht="21" customHeight="1" x14ac:dyDescent="0.25">
      <c r="A6" s="8">
        <v>44289</v>
      </c>
      <c r="B6" s="1">
        <v>863.48</v>
      </c>
      <c r="C6" s="1">
        <v>210.07</v>
      </c>
      <c r="D6" s="1">
        <v>7265219.9000000004</v>
      </c>
      <c r="E6" s="1">
        <v>7906464.54</v>
      </c>
      <c r="F6" s="1">
        <v>2.1640000000000001</v>
      </c>
      <c r="G6" s="1">
        <v>664.95</v>
      </c>
      <c r="H6" s="1">
        <v>560.12</v>
      </c>
      <c r="I6" s="1">
        <v>206.76</v>
      </c>
      <c r="J6" s="1">
        <v>298.81</v>
      </c>
      <c r="K6" s="1">
        <v>317.39</v>
      </c>
      <c r="L6" s="1">
        <v>216.8</v>
      </c>
      <c r="M6" s="1">
        <v>449.89</v>
      </c>
      <c r="N6" s="1">
        <v>402.71</v>
      </c>
      <c r="O6" s="1">
        <v>129.19</v>
      </c>
      <c r="P6" s="1">
        <v>526.55999999999995</v>
      </c>
      <c r="Q6" s="1">
        <v>394.89</v>
      </c>
      <c r="R6" s="1">
        <v>131.03</v>
      </c>
      <c r="S6" s="1">
        <v>103.63</v>
      </c>
      <c r="T6" s="1">
        <v>380.04</v>
      </c>
      <c r="V6" s="71">
        <v>65</v>
      </c>
      <c r="W6" s="71">
        <v>176</v>
      </c>
      <c r="X6" s="71">
        <v>535</v>
      </c>
      <c r="Y6" s="17"/>
    </row>
    <row r="7" spans="1:25" ht="21" customHeight="1" x14ac:dyDescent="0.25">
      <c r="A7" s="8">
        <v>44290</v>
      </c>
      <c r="B7" s="1">
        <v>864.83</v>
      </c>
      <c r="C7" s="1">
        <v>210.34</v>
      </c>
      <c r="D7" s="109">
        <v>7267990.1100000003</v>
      </c>
      <c r="E7" s="1">
        <v>7910306.6200000001</v>
      </c>
      <c r="F7" s="1">
        <v>2.1667999999999998</v>
      </c>
      <c r="G7" s="1">
        <v>665.96</v>
      </c>
      <c r="H7" s="1">
        <v>561.04999999999995</v>
      </c>
      <c r="I7" s="1">
        <v>207.05</v>
      </c>
      <c r="J7" s="1">
        <v>299.20999999999998</v>
      </c>
      <c r="K7" s="1">
        <v>317.89999999999998</v>
      </c>
      <c r="L7" s="1">
        <v>217.12</v>
      </c>
      <c r="M7" s="1">
        <v>450.65</v>
      </c>
      <c r="N7" s="1">
        <v>403.61</v>
      </c>
      <c r="O7" s="1">
        <v>129.47999999999999</v>
      </c>
      <c r="P7" s="1">
        <v>527.71</v>
      </c>
      <c r="Q7" s="1">
        <v>395.75</v>
      </c>
      <c r="R7" s="1">
        <v>131.27000000000001</v>
      </c>
      <c r="S7" s="1">
        <v>103.75</v>
      </c>
      <c r="T7" s="1">
        <v>380.66</v>
      </c>
      <c r="V7" s="71">
        <v>62</v>
      </c>
      <c r="W7" s="71">
        <v>172</v>
      </c>
      <c r="X7" s="71">
        <v>452</v>
      </c>
      <c r="Y7" s="17"/>
    </row>
    <row r="8" spans="1:25" ht="21" customHeight="1" x14ac:dyDescent="0.25">
      <c r="A8" s="8">
        <v>44291</v>
      </c>
      <c r="B8" s="1">
        <v>866.08</v>
      </c>
      <c r="C8" s="1">
        <v>210.56</v>
      </c>
      <c r="D8" s="1">
        <v>7270854.5999999996</v>
      </c>
      <c r="E8" s="1">
        <v>7914233.3700000001</v>
      </c>
      <c r="F8" s="1">
        <v>2.1692999999999998</v>
      </c>
      <c r="G8" s="1">
        <v>666.94</v>
      </c>
      <c r="H8" s="1">
        <v>562.09</v>
      </c>
      <c r="I8" s="1">
        <v>207.36</v>
      </c>
      <c r="J8" s="1">
        <v>299.56</v>
      </c>
      <c r="K8" s="1">
        <v>318.31</v>
      </c>
      <c r="L8" s="1">
        <v>217.39</v>
      </c>
      <c r="M8" s="1">
        <v>451.42</v>
      </c>
      <c r="N8" s="1">
        <v>404.5</v>
      </c>
      <c r="O8" s="1">
        <v>129.72</v>
      </c>
      <c r="P8" s="1">
        <v>528.76</v>
      </c>
      <c r="Q8" s="1">
        <v>396.63</v>
      </c>
      <c r="R8" s="1">
        <v>131.59</v>
      </c>
      <c r="S8" s="1">
        <v>103.89</v>
      </c>
      <c r="T8" s="1">
        <v>381.23</v>
      </c>
      <c r="V8" s="71">
        <v>53</v>
      </c>
      <c r="W8" s="71">
        <v>148</v>
      </c>
      <c r="X8" s="71">
        <v>419</v>
      </c>
      <c r="Y8" s="17"/>
    </row>
    <row r="9" spans="1:25" ht="21" customHeight="1" x14ac:dyDescent="0.25">
      <c r="A9" s="8">
        <v>44292</v>
      </c>
      <c r="B9" s="1">
        <v>867.44</v>
      </c>
      <c r="C9" s="1">
        <v>210.82</v>
      </c>
      <c r="D9" s="1">
        <v>7273739</v>
      </c>
      <c r="E9" s="1">
        <v>7918241.9400000004</v>
      </c>
      <c r="F9" s="1">
        <v>2.1720999999999999</v>
      </c>
      <c r="G9" s="1">
        <v>667.98</v>
      </c>
      <c r="H9" s="1">
        <v>563.17999999999995</v>
      </c>
      <c r="I9" s="1">
        <v>207.7</v>
      </c>
      <c r="J9" s="1">
        <v>300.02</v>
      </c>
      <c r="K9" s="1">
        <v>318.81</v>
      </c>
      <c r="L9" s="1">
        <v>217.68</v>
      </c>
      <c r="M9" s="1">
        <v>452.23</v>
      </c>
      <c r="N9" s="1">
        <v>405.46</v>
      </c>
      <c r="O9" s="1">
        <v>130</v>
      </c>
      <c r="P9" s="1">
        <v>529.91999999999996</v>
      </c>
      <c r="Q9" s="1">
        <v>397.47</v>
      </c>
      <c r="R9" s="1">
        <v>131.91</v>
      </c>
      <c r="S9" s="1">
        <v>104.02</v>
      </c>
      <c r="T9" s="1">
        <v>381.8</v>
      </c>
      <c r="V9" s="71">
        <v>52</v>
      </c>
      <c r="W9" s="71">
        <v>147</v>
      </c>
      <c r="X9" s="71">
        <v>431</v>
      </c>
      <c r="Y9" s="17"/>
    </row>
    <row r="10" spans="1:25" ht="21" customHeight="1" x14ac:dyDescent="0.25">
      <c r="A10" s="8">
        <v>44293</v>
      </c>
      <c r="B10" s="1">
        <v>868.73</v>
      </c>
      <c r="C10" s="1">
        <v>211.06</v>
      </c>
      <c r="D10" s="1">
        <v>7276083.0499999998</v>
      </c>
      <c r="E10" s="1">
        <v>7921697.7699999996</v>
      </c>
      <c r="F10" s="1">
        <v>2.1745999999999999</v>
      </c>
      <c r="G10" s="1">
        <v>668.87</v>
      </c>
      <c r="H10" s="1">
        <v>564.16</v>
      </c>
      <c r="I10" s="1">
        <v>208.01</v>
      </c>
      <c r="J10" s="1">
        <v>300.33999999999997</v>
      </c>
      <c r="K10" s="1">
        <v>319.19</v>
      </c>
      <c r="L10" s="1">
        <v>217.92</v>
      </c>
      <c r="M10" s="1">
        <v>452.98</v>
      </c>
      <c r="N10" s="1">
        <v>406.27</v>
      </c>
      <c r="O10" s="1">
        <v>130.22999999999999</v>
      </c>
      <c r="P10" s="1">
        <v>530.91</v>
      </c>
      <c r="Q10" s="1">
        <v>398.26</v>
      </c>
      <c r="R10" s="1">
        <v>132.24</v>
      </c>
      <c r="S10" s="1">
        <v>104.14</v>
      </c>
      <c r="T10" s="1">
        <v>382.37</v>
      </c>
      <c r="V10" s="71">
        <v>43</v>
      </c>
      <c r="W10" s="71">
        <v>118</v>
      </c>
      <c r="X10" s="71">
        <v>319</v>
      </c>
      <c r="Y10" s="17"/>
    </row>
    <row r="11" spans="1:25" ht="21" customHeight="1" x14ac:dyDescent="0.25">
      <c r="A11" s="8">
        <v>44294</v>
      </c>
      <c r="B11" s="1">
        <v>870.09</v>
      </c>
      <c r="C11" s="1">
        <v>211.29</v>
      </c>
      <c r="D11" s="1">
        <v>7278703.1900000004</v>
      </c>
      <c r="E11" s="1">
        <v>7925227.9900000002</v>
      </c>
      <c r="F11" s="1">
        <v>2.1770999999999998</v>
      </c>
      <c r="G11" s="1">
        <v>669.79</v>
      </c>
      <c r="H11" s="1">
        <v>565.24</v>
      </c>
      <c r="I11" s="1">
        <v>208.33</v>
      </c>
      <c r="J11" s="1">
        <v>300.69</v>
      </c>
      <c r="K11" s="1">
        <v>319.60000000000002</v>
      </c>
      <c r="L11" s="1">
        <v>218.17</v>
      </c>
      <c r="M11" s="1">
        <v>453.82</v>
      </c>
      <c r="N11" s="1">
        <v>406.95</v>
      </c>
      <c r="O11" s="1">
        <v>130.49</v>
      </c>
      <c r="P11" s="1">
        <v>531.85</v>
      </c>
      <c r="Q11" s="1">
        <v>399.18</v>
      </c>
      <c r="R11" s="1">
        <v>132.54</v>
      </c>
      <c r="S11" s="1">
        <v>104.27</v>
      </c>
      <c r="T11" s="1">
        <v>382.9</v>
      </c>
      <c r="V11" s="71">
        <v>39</v>
      </c>
      <c r="W11" s="71">
        <v>109</v>
      </c>
      <c r="X11" s="71">
        <v>296</v>
      </c>
      <c r="Y11" s="17"/>
    </row>
    <row r="12" spans="1:25" ht="21" customHeight="1" x14ac:dyDescent="0.25">
      <c r="A12" s="8">
        <v>44295</v>
      </c>
      <c r="B12" s="1">
        <v>871.46</v>
      </c>
      <c r="C12" s="1">
        <v>211.53</v>
      </c>
      <c r="D12" s="1">
        <v>7281406.1200000001</v>
      </c>
      <c r="E12" s="1">
        <v>7928757.0800000001</v>
      </c>
      <c r="F12" s="1">
        <v>2.1797</v>
      </c>
      <c r="G12" s="1">
        <v>670.74</v>
      </c>
      <c r="H12" s="1">
        <v>566.30999999999995</v>
      </c>
      <c r="I12" s="1">
        <v>208.64</v>
      </c>
      <c r="J12" s="1">
        <v>300.98</v>
      </c>
      <c r="K12" s="1">
        <v>320</v>
      </c>
      <c r="L12" s="1">
        <v>218.38</v>
      </c>
      <c r="M12" s="1">
        <v>454.73</v>
      </c>
      <c r="N12" s="1">
        <v>407.62</v>
      </c>
      <c r="O12" s="1">
        <v>130.80000000000001</v>
      </c>
      <c r="P12" s="1">
        <v>532.89</v>
      </c>
      <c r="Q12" s="1">
        <v>400.13</v>
      </c>
      <c r="R12" s="1">
        <v>132.87</v>
      </c>
      <c r="S12" s="1">
        <v>104.39</v>
      </c>
      <c r="T12" s="1">
        <v>383.45</v>
      </c>
      <c r="V12" s="71">
        <v>31</v>
      </c>
      <c r="W12" s="71">
        <v>92</v>
      </c>
      <c r="X12" s="71">
        <v>287</v>
      </c>
      <c r="Y12" s="17"/>
    </row>
    <row r="13" spans="1:25" ht="21" customHeight="1" x14ac:dyDescent="0.25">
      <c r="A13" s="8">
        <v>44296</v>
      </c>
      <c r="B13" s="1">
        <v>872.81</v>
      </c>
      <c r="C13" s="1">
        <v>211.76</v>
      </c>
      <c r="D13" s="1">
        <v>7283841.7999999998</v>
      </c>
      <c r="E13" s="1">
        <v>7931531</v>
      </c>
      <c r="F13" s="1">
        <v>2.1821999999999999</v>
      </c>
      <c r="G13" s="1">
        <v>671.61</v>
      </c>
      <c r="H13" s="1">
        <v>567.26</v>
      </c>
      <c r="I13" s="1">
        <v>208.97</v>
      </c>
      <c r="J13" s="1">
        <v>301.31</v>
      </c>
      <c r="K13" s="1">
        <v>320.32</v>
      </c>
      <c r="L13" s="1">
        <v>218.61</v>
      </c>
      <c r="M13" s="1">
        <v>455.61</v>
      </c>
      <c r="N13" s="1">
        <v>408.21</v>
      </c>
      <c r="O13" s="1">
        <v>131.07</v>
      </c>
      <c r="P13" s="1">
        <v>533.80999999999995</v>
      </c>
      <c r="Q13" s="1">
        <v>400.84</v>
      </c>
      <c r="R13" s="1">
        <v>133.19999999999999</v>
      </c>
      <c r="S13" s="1">
        <v>104.52</v>
      </c>
      <c r="T13" s="1">
        <v>383.71</v>
      </c>
      <c r="V13" s="71"/>
      <c r="W13" s="71"/>
      <c r="X13" s="71"/>
      <c r="Y13" s="17"/>
    </row>
    <row r="14" spans="1:25" ht="21" customHeight="1" x14ac:dyDescent="0.25">
      <c r="A14" s="8">
        <v>44297</v>
      </c>
      <c r="B14" s="1">
        <v>874.27</v>
      </c>
      <c r="C14" s="1">
        <v>211.99</v>
      </c>
      <c r="D14" s="1">
        <v>7286342.4900000002</v>
      </c>
      <c r="E14" s="1">
        <v>7934889.8499999996</v>
      </c>
      <c r="F14" s="1">
        <v>2.1846999999999999</v>
      </c>
      <c r="G14" s="1">
        <v>672.65</v>
      </c>
      <c r="H14" s="1">
        <v>568.34</v>
      </c>
      <c r="I14" s="1">
        <v>209.32</v>
      </c>
      <c r="J14" s="1">
        <v>301.64</v>
      </c>
      <c r="K14" s="1">
        <v>320.7</v>
      </c>
      <c r="L14" s="1">
        <v>218.86</v>
      </c>
      <c r="M14" s="1">
        <v>456.53</v>
      </c>
      <c r="N14" s="1">
        <v>409.01</v>
      </c>
      <c r="O14" s="1">
        <v>131.34</v>
      </c>
      <c r="P14" s="1">
        <v>534.79999999999995</v>
      </c>
      <c r="Q14" s="1">
        <v>401.6</v>
      </c>
      <c r="R14" s="1">
        <v>133.53</v>
      </c>
      <c r="S14" s="1">
        <v>104.65</v>
      </c>
      <c r="T14" s="1">
        <v>384.25</v>
      </c>
      <c r="V14" s="71"/>
      <c r="W14" s="71"/>
      <c r="X14" s="71"/>
      <c r="Y14" s="17"/>
    </row>
    <row r="15" spans="1:25" ht="21" customHeight="1" x14ac:dyDescent="0.25">
      <c r="A15" s="8">
        <v>44298</v>
      </c>
      <c r="B15" s="1">
        <v>875.6</v>
      </c>
      <c r="C15" s="1">
        <v>212.19</v>
      </c>
      <c r="D15" s="1">
        <v>7288764.9400000004</v>
      </c>
      <c r="E15" s="1">
        <v>7937789.4100000001</v>
      </c>
      <c r="F15" s="1">
        <v>2.1869999999999998</v>
      </c>
      <c r="G15" s="1">
        <v>673.64</v>
      </c>
      <c r="H15" s="1">
        <v>569.29</v>
      </c>
      <c r="I15" s="1">
        <v>209.66</v>
      </c>
      <c r="J15" s="1">
        <v>301.89</v>
      </c>
      <c r="K15" s="1">
        <v>320.97000000000003</v>
      </c>
      <c r="L15" s="1">
        <v>219.04</v>
      </c>
      <c r="M15" s="1">
        <v>457.38</v>
      </c>
      <c r="N15" s="1">
        <v>409.88</v>
      </c>
      <c r="O15" s="1">
        <v>131.58000000000001</v>
      </c>
      <c r="P15" s="1">
        <v>535.65</v>
      </c>
      <c r="Q15" s="1">
        <v>402.35</v>
      </c>
      <c r="R15" s="1">
        <v>133.81</v>
      </c>
      <c r="S15" s="1">
        <v>104.78</v>
      </c>
      <c r="T15" s="1">
        <v>384.73</v>
      </c>
      <c r="V15" s="71"/>
      <c r="W15" s="71"/>
      <c r="X15" s="71"/>
      <c r="Y15" s="17"/>
    </row>
    <row r="16" spans="1:25" ht="21" customHeight="1" x14ac:dyDescent="0.25">
      <c r="A16" s="8">
        <v>44299</v>
      </c>
      <c r="B16" s="1">
        <v>876.99</v>
      </c>
      <c r="C16" s="1">
        <v>212.42</v>
      </c>
      <c r="D16" s="1">
        <v>7291266.0599999996</v>
      </c>
      <c r="E16" s="1">
        <v>7940809.6299999999</v>
      </c>
      <c r="F16" s="1">
        <v>2.1894999999999998</v>
      </c>
      <c r="G16" s="1">
        <v>674.59</v>
      </c>
      <c r="H16" s="1">
        <v>570.23</v>
      </c>
      <c r="I16" s="1">
        <v>210.03</v>
      </c>
      <c r="J16" s="1">
        <v>302.14</v>
      </c>
      <c r="K16" s="1">
        <v>321.32</v>
      </c>
      <c r="L16" s="1">
        <v>219.24</v>
      </c>
      <c r="M16" s="1">
        <v>458.15</v>
      </c>
      <c r="N16" s="1">
        <v>410.86</v>
      </c>
      <c r="O16" s="1">
        <v>131.82</v>
      </c>
      <c r="P16" s="1">
        <v>536.6</v>
      </c>
      <c r="Q16" s="1">
        <v>403.12</v>
      </c>
      <c r="R16" s="1">
        <v>134.11000000000001</v>
      </c>
      <c r="S16" s="1">
        <v>104.91</v>
      </c>
      <c r="T16" s="1">
        <v>385.23</v>
      </c>
      <c r="V16" s="71"/>
      <c r="W16" s="71"/>
      <c r="X16" s="71"/>
      <c r="Y16" s="17"/>
    </row>
    <row r="17" spans="1:25" ht="21" customHeight="1" x14ac:dyDescent="0.25">
      <c r="A17" s="8">
        <v>44300</v>
      </c>
      <c r="B17" s="1">
        <v>878.33</v>
      </c>
      <c r="C17" s="1">
        <v>212.66</v>
      </c>
      <c r="D17" s="1">
        <v>7293555.9000000004</v>
      </c>
      <c r="E17" s="1">
        <v>7943907.4699999997</v>
      </c>
      <c r="F17" s="1">
        <v>2.1917</v>
      </c>
      <c r="G17" s="1">
        <v>675.45</v>
      </c>
      <c r="H17" s="1">
        <v>571.17999999999995</v>
      </c>
      <c r="I17" s="1">
        <v>210.36</v>
      </c>
      <c r="J17" s="1">
        <v>302.3</v>
      </c>
      <c r="K17" s="1">
        <v>321.60000000000002</v>
      </c>
      <c r="L17" s="1">
        <v>219.42</v>
      </c>
      <c r="M17" s="1">
        <v>458.94</v>
      </c>
      <c r="N17" s="1">
        <v>411.74</v>
      </c>
      <c r="O17" s="1">
        <v>132.04</v>
      </c>
      <c r="P17" s="1">
        <v>537.51</v>
      </c>
      <c r="Q17" s="1">
        <v>403.84</v>
      </c>
      <c r="R17" s="1">
        <v>134.36000000000001</v>
      </c>
      <c r="S17" s="1">
        <v>105.05</v>
      </c>
      <c r="T17" s="1">
        <v>385.72</v>
      </c>
      <c r="V17" s="71"/>
      <c r="W17" s="71"/>
      <c r="X17" s="71"/>
      <c r="Y17" s="17"/>
    </row>
    <row r="18" spans="1:25" ht="21" customHeight="1" x14ac:dyDescent="0.25">
      <c r="A18" s="8">
        <v>44301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44302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44303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44304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44305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44306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44307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44308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44309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44310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44311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44312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44313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44314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44315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44316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44317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473</v>
      </c>
      <c r="W35" s="78">
        <f>SUM(W4:W34)</f>
        <v>1312</v>
      </c>
      <c r="X35" s="78">
        <f>SUM(X4:X34)</f>
        <v>3659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P44" sqref="P4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7" t="s">
        <v>32</v>
      </c>
      <c r="B2" s="119" t="s">
        <v>33</v>
      </c>
      <c r="C2" s="119" t="s">
        <v>34</v>
      </c>
      <c r="D2" s="119" t="s">
        <v>120</v>
      </c>
      <c r="E2" s="117" t="s">
        <v>35</v>
      </c>
      <c r="F2" s="127" t="s">
        <v>36</v>
      </c>
      <c r="G2" s="128"/>
      <c r="H2" s="129"/>
      <c r="I2" s="130" t="s">
        <v>37</v>
      </c>
      <c r="J2" s="130" t="s">
        <v>38</v>
      </c>
      <c r="K2" s="130" t="s">
        <v>39</v>
      </c>
      <c r="L2" s="130" t="s">
        <v>40</v>
      </c>
      <c r="M2" s="131" t="s">
        <v>41</v>
      </c>
      <c r="N2" s="131"/>
      <c r="O2" s="131"/>
      <c r="P2" s="131"/>
      <c r="Q2" s="131"/>
      <c r="R2" s="131"/>
      <c r="S2" s="130" t="s">
        <v>42</v>
      </c>
      <c r="T2" s="130"/>
      <c r="U2" s="132" t="s">
        <v>43</v>
      </c>
      <c r="V2" s="130" t="s">
        <v>44</v>
      </c>
    </row>
    <row r="3" spans="1:22" x14ac:dyDescent="0.25">
      <c r="A3" s="118"/>
      <c r="B3" s="120"/>
      <c r="C3" s="120"/>
      <c r="D3" s="120"/>
      <c r="E3" s="118"/>
      <c r="F3" s="6" t="s">
        <v>28</v>
      </c>
      <c r="G3" s="6" t="s">
        <v>29</v>
      </c>
      <c r="H3" s="6" t="s">
        <v>30</v>
      </c>
      <c r="I3" s="130"/>
      <c r="J3" s="130"/>
      <c r="K3" s="130"/>
      <c r="L3" s="130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2"/>
      <c r="V3" s="130"/>
    </row>
    <row r="4" spans="1:22" x14ac:dyDescent="0.25">
      <c r="A4" s="3">
        <f>'Kwh Reading'!A4</f>
        <v>44287</v>
      </c>
      <c r="B4" s="26">
        <v>25520</v>
      </c>
      <c r="C4" s="4">
        <f>('Kwh Reading'!T5-'Kwh Reading'!T4)*1000</f>
        <v>540.00000000002046</v>
      </c>
      <c r="D4" s="2">
        <f>('Kwh Reading'!F5-'Kwh Reading'!F4)*1000000</f>
        <v>2600.0000000001578</v>
      </c>
      <c r="E4" s="2">
        <f>('Kwh Reading'!C5-'Kwh Reading'!C4)*1000</f>
        <v>250</v>
      </c>
      <c r="F4" s="2">
        <f>('Kwh Reading'!J5-'Kwh Reading'!J4)*1000</f>
        <v>329.99999999998408</v>
      </c>
      <c r="G4" s="2">
        <f>('Kwh Reading'!K5-'Kwh Reading'!K4)*1000</f>
        <v>439.99999999999773</v>
      </c>
      <c r="H4" s="2">
        <f>('Kwh Reading'!L5-'Kwh Reading'!L4)*1000</f>
        <v>270.00000000001023</v>
      </c>
      <c r="I4" s="2">
        <f>('Kwh Reading'!R5-'Kwh Reading'!R4)*1000</f>
        <v>310.00000000000227</v>
      </c>
      <c r="J4" s="2">
        <f>('Kwh Reading'!S5-'Kwh Reading'!S4)*1000</f>
        <v>159.99999999999659</v>
      </c>
      <c r="K4" s="2">
        <f>('Kwh Reading'!I5-'Kwh Reading'!I4)*1000</f>
        <v>260.00000000001933</v>
      </c>
      <c r="L4" s="2">
        <f>('Kwh Reading'!B5-'Kwh Reading'!B4)*1000</f>
        <v>1330.0000000000409</v>
      </c>
      <c r="M4" s="2">
        <f>('Kwh Reading'!M5-'Kwh Reading'!M4)*1000</f>
        <v>810.00000000000227</v>
      </c>
      <c r="N4" s="2">
        <f>('Kwh Reading'!H5-'Kwh Reading'!H4)*1000</f>
        <v>879.99999999999545</v>
      </c>
      <c r="O4" s="2">
        <f>('Kwh Reading'!P5-'Kwh Reading'!P4)*1000</f>
        <v>1109.9999999999</v>
      </c>
      <c r="P4" s="2">
        <f>('Kwh Reading'!G5-'Kwh Reading'!G4)*1000</f>
        <v>1019.9999999999818</v>
      </c>
      <c r="Q4" s="2">
        <f>('Kwh Reading'!Q5-'Kwh Reading'!Q4)*1000</f>
        <v>750</v>
      </c>
      <c r="R4" s="2">
        <f>('Kwh Reading'!N5-'Kwh Reading'!N4)*1000</f>
        <v>839.99999999997499</v>
      </c>
      <c r="S4" s="2">
        <f>'Kwh Reading'!E5-'Kwh Reading'!E4</f>
        <v>3832.3000000007451</v>
      </c>
      <c r="T4" s="2">
        <f>'Kwh Reading'!D5-'Kwh Reading'!D4</f>
        <v>2617.7400000002235</v>
      </c>
      <c r="U4" s="27">
        <f>('Kwh Reading'!O5-'Kwh Reading'!O4)*1000</f>
        <v>270.00000000001023</v>
      </c>
      <c r="V4" s="16">
        <f>B4-(SUM(C4:U4))</f>
        <v>6899.9599999989368</v>
      </c>
    </row>
    <row r="5" spans="1:22" x14ac:dyDescent="0.25">
      <c r="A5" s="3">
        <f>'Kwh Reading'!A5</f>
        <v>44288</v>
      </c>
      <c r="B5" s="26">
        <f>TOTAL!E3</f>
        <v>25880</v>
      </c>
      <c r="C5" s="4">
        <f>('Kwh Reading'!T6-'Kwh Reading'!T5)*1000</f>
        <v>550.00000000001137</v>
      </c>
      <c r="D5" s="2">
        <f>('Kwh Reading'!F6-'Kwh Reading'!F5)*1000000</f>
        <v>2600.0000000001578</v>
      </c>
      <c r="E5" s="2">
        <f>('Kwh Reading'!C6-'Kwh Reading'!C5)*1000</f>
        <v>250</v>
      </c>
      <c r="F5" s="2">
        <f>('Kwh Reading'!J6-'Kwh Reading'!J5)*1000</f>
        <v>350.00000000002274</v>
      </c>
      <c r="G5" s="2">
        <f>('Kwh Reading'!K6-'Kwh Reading'!K5)*1000</f>
        <v>459.99999999997954</v>
      </c>
      <c r="H5" s="2">
        <f>('Kwh Reading'!L6-'Kwh Reading'!L5)*1000</f>
        <v>270.00000000001023</v>
      </c>
      <c r="I5" s="2">
        <f>('Kwh Reading'!R6-'Kwh Reading'!R5)*1000</f>
        <v>199.99999999998863</v>
      </c>
      <c r="J5" s="2">
        <f>('Kwh Reading'!S6-'Kwh Reading'!S5)*1000</f>
        <v>140.00000000000057</v>
      </c>
      <c r="K5" s="2">
        <f>('Kwh Reading'!I6-'Kwh Reading'!I5)*1000</f>
        <v>329.99999999998408</v>
      </c>
      <c r="L5" s="2">
        <f>('Kwh Reading'!B6-'Kwh Reading'!B5)*1000</f>
        <v>1379.9999999999955</v>
      </c>
      <c r="M5" s="2">
        <f>('Kwh Reading'!M6-'Kwh Reading'!M5)*1000</f>
        <v>800.00000000001137</v>
      </c>
      <c r="N5" s="2">
        <f>('Kwh Reading'!H6-'Kwh Reading'!H5)*1000</f>
        <v>940.00000000005457</v>
      </c>
      <c r="O5" s="2">
        <f>('Kwh Reading'!P6-'Kwh Reading'!P5)*1000</f>
        <v>1129.9999999999955</v>
      </c>
      <c r="P5" s="2">
        <f>('Kwh Reading'!G6-'Kwh Reading'!G5)*1000</f>
        <v>1050.0000000000682</v>
      </c>
      <c r="Q5" s="2">
        <f>('Kwh Reading'!Q6-'Kwh Reading'!Q5)*1000</f>
        <v>870.00000000000455</v>
      </c>
      <c r="R5" s="2">
        <f>('Kwh Reading'!N6-'Kwh Reading'!N5)*1000</f>
        <v>949.99999999998863</v>
      </c>
      <c r="S5" s="2">
        <f>'Kwh Reading'!E6-'Kwh Reading'!E5</f>
        <v>3980.8499999996275</v>
      </c>
      <c r="T5" s="2">
        <f>'Kwh Reading'!D6-'Kwh Reading'!D5</f>
        <v>2772.1500000003725</v>
      </c>
      <c r="U5" s="27">
        <f>('Kwh Reading'!O6-'Kwh Reading'!O5)*1000</f>
        <v>280.00000000000114</v>
      </c>
      <c r="V5" s="16">
        <f>B5-(SUM(C5:U5))</f>
        <v>6576.9999999997272</v>
      </c>
    </row>
    <row r="6" spans="1:22" x14ac:dyDescent="0.25">
      <c r="A6" s="3">
        <f>'Kwh Reading'!A6</f>
        <v>44289</v>
      </c>
      <c r="B6" s="26">
        <f>TOTAL!E4</f>
        <v>25550</v>
      </c>
      <c r="C6" s="4">
        <f>('Kwh Reading'!T7-'Kwh Reading'!T6)*1000</f>
        <v>620.00000000000455</v>
      </c>
      <c r="D6" s="2">
        <f>('Kwh Reading'!F7-'Kwh Reading'!F6)*1000000</f>
        <v>2799.9999999996917</v>
      </c>
      <c r="E6" s="2">
        <f>('Kwh Reading'!C7-'Kwh Reading'!C6)*1000</f>
        <v>270.00000000001023</v>
      </c>
      <c r="F6" s="2">
        <f>('Kwh Reading'!J7-'Kwh Reading'!J6)*1000</f>
        <v>399.99999999997726</v>
      </c>
      <c r="G6" s="2">
        <f>('Kwh Reading'!K7-'Kwh Reading'!K6)*1000</f>
        <v>509.99999999999091</v>
      </c>
      <c r="H6" s="2">
        <f>('Kwh Reading'!L7-'Kwh Reading'!L6)*1000</f>
        <v>319.99999999999318</v>
      </c>
      <c r="I6" s="2">
        <f>('Kwh Reading'!R7-'Kwh Reading'!R6)*1000</f>
        <v>240.00000000000909</v>
      </c>
      <c r="J6" s="2">
        <f>('Kwh Reading'!S7-'Kwh Reading'!S6)*1000</f>
        <v>120.00000000000455</v>
      </c>
      <c r="K6" s="2">
        <f>('Kwh Reading'!I7-'Kwh Reading'!I6)*1000</f>
        <v>290.00000000002046</v>
      </c>
      <c r="L6" s="2">
        <f>('Kwh Reading'!B7-'Kwh Reading'!B6)*1000</f>
        <v>1350.0000000000227</v>
      </c>
      <c r="M6" s="2">
        <f>('Kwh Reading'!M7-'Kwh Reading'!M6)*1000</f>
        <v>759.99999999999091</v>
      </c>
      <c r="N6" s="2">
        <f>('Kwh Reading'!H7-'Kwh Reading'!H6)*1000</f>
        <v>929.99999999994998</v>
      </c>
      <c r="O6" s="2">
        <f>('Kwh Reading'!P7-'Kwh Reading'!P6)*1000</f>
        <v>1150.0000000000909</v>
      </c>
      <c r="P6" s="2">
        <f>('Kwh Reading'!G7-'Kwh Reading'!G6)*1000</f>
        <v>1009.9999999999909</v>
      </c>
      <c r="Q6" s="2">
        <f>('Kwh Reading'!Q7-'Kwh Reading'!Q6)*1000</f>
        <v>860.00000000001364</v>
      </c>
      <c r="R6" s="2">
        <f>('Kwh Reading'!N7-'Kwh Reading'!N6)*1000</f>
        <v>900.00000000003411</v>
      </c>
      <c r="S6" s="2">
        <f>'Kwh Reading'!E7-'Kwh Reading'!E6</f>
        <v>3842.0800000000745</v>
      </c>
      <c r="T6" s="2">
        <f>'Kwh Reading'!D7-'Kwh Reading'!D6</f>
        <v>2770.2099999999627</v>
      </c>
      <c r="U6" s="27">
        <f>('Kwh Reading'!O7-'Kwh Reading'!O6)*1000</f>
        <v>289.99999999999204</v>
      </c>
      <c r="V6" s="16">
        <f t="shared" ref="V6:V34" si="0">B6-(SUM(C6:U6))</f>
        <v>6117.7100000001737</v>
      </c>
    </row>
    <row r="7" spans="1:22" x14ac:dyDescent="0.25">
      <c r="A7" s="3">
        <f>'Kwh Reading'!A7</f>
        <v>44290</v>
      </c>
      <c r="B7" s="26">
        <f>TOTAL!E5</f>
        <v>26880</v>
      </c>
      <c r="C7" s="4">
        <f>('Kwh Reading'!T8-'Kwh Reading'!T7)*1000</f>
        <v>569.99999999999318</v>
      </c>
      <c r="D7" s="2">
        <f>('Kwh Reading'!F8-'Kwh Reading'!F7)*1000000</f>
        <v>2499.9999999999468</v>
      </c>
      <c r="E7" s="2">
        <f>('Kwh Reading'!C8-'Kwh Reading'!C7)*1000</f>
        <v>219.99999999999886</v>
      </c>
      <c r="F7" s="2">
        <f>('Kwh Reading'!J8-'Kwh Reading'!J7)*1000</f>
        <v>350.00000000002274</v>
      </c>
      <c r="G7" s="2">
        <f>('Kwh Reading'!K8-'Kwh Reading'!K7)*1000</f>
        <v>410.00000000002501</v>
      </c>
      <c r="H7" s="2">
        <f>('Kwh Reading'!L8-'Kwh Reading'!L7)*1000</f>
        <v>269.99999999998181</v>
      </c>
      <c r="I7" s="2">
        <f>('Kwh Reading'!R8-'Kwh Reading'!R7)*1000</f>
        <v>319.99999999999318</v>
      </c>
      <c r="J7" s="2">
        <f>('Kwh Reading'!S8-'Kwh Reading'!S7)*1000</f>
        <v>140.00000000000057</v>
      </c>
      <c r="K7" s="2">
        <f>('Kwh Reading'!I8-'Kwh Reading'!I7)*1000</f>
        <v>310.00000000000227</v>
      </c>
      <c r="L7" s="2">
        <f>('Kwh Reading'!B8-'Kwh Reading'!B7)*1000</f>
        <v>1250</v>
      </c>
      <c r="M7" s="2">
        <f>('Kwh Reading'!M8-'Kwh Reading'!M7)*1000</f>
        <v>770.00000000003865</v>
      </c>
      <c r="N7" s="2">
        <f>('Kwh Reading'!H8-'Kwh Reading'!H7)*1000</f>
        <v>1040.0000000000773</v>
      </c>
      <c r="O7" s="2">
        <f>('Kwh Reading'!P8-'Kwh Reading'!P7)*1000</f>
        <v>1049.9999999999545</v>
      </c>
      <c r="P7" s="2">
        <f>('Kwh Reading'!G8-'Kwh Reading'!G7)*1000</f>
        <v>980.00000000001819</v>
      </c>
      <c r="Q7" s="2">
        <f>('Kwh Reading'!Q8-'Kwh Reading'!Q7)*1000</f>
        <v>879.99999999999545</v>
      </c>
      <c r="R7" s="2">
        <f>('Kwh Reading'!N8-'Kwh Reading'!N7)*1000</f>
        <v>889.99999999998636</v>
      </c>
      <c r="S7" s="2">
        <f>'Kwh Reading'!E8-'Kwh Reading'!E7</f>
        <v>3926.75</v>
      </c>
      <c r="T7" s="2">
        <f>'Kwh Reading'!D8-'Kwh Reading'!D7</f>
        <v>2864.4899999992922</v>
      </c>
      <c r="U7" s="27">
        <f>('Kwh Reading'!O8-'Kwh Reading'!O7)*1000</f>
        <v>240.00000000000909</v>
      </c>
      <c r="V7" s="16">
        <f t="shared" si="0"/>
        <v>7898.7600000006641</v>
      </c>
    </row>
    <row r="8" spans="1:22" x14ac:dyDescent="0.25">
      <c r="A8" s="3">
        <f>'Kwh Reading'!A8</f>
        <v>44291</v>
      </c>
      <c r="B8" s="26">
        <f>TOTAL!E6</f>
        <v>25850</v>
      </c>
      <c r="C8" s="4">
        <f>('Kwh Reading'!T9-'Kwh Reading'!T8)*1000</f>
        <v>569.99999999999318</v>
      </c>
      <c r="D8" s="2">
        <f>('Kwh Reading'!F9-'Kwh Reading'!F8)*1000000</f>
        <v>2800.0000000001355</v>
      </c>
      <c r="E8" s="2">
        <f>('Kwh Reading'!C9-'Kwh Reading'!C8)*1000</f>
        <v>259.99999999999091</v>
      </c>
      <c r="F8" s="2">
        <f>('Kwh Reading'!J9-'Kwh Reading'!J8)*1000</f>
        <v>459.99999999997954</v>
      </c>
      <c r="G8" s="2">
        <f>('Kwh Reading'!K9-'Kwh Reading'!K8)*1000</f>
        <v>500</v>
      </c>
      <c r="H8" s="2">
        <f>('Kwh Reading'!L9-'Kwh Reading'!L8)*1000</f>
        <v>290.00000000002046</v>
      </c>
      <c r="I8" s="2">
        <f>('Kwh Reading'!R9-'Kwh Reading'!R8)*1000</f>
        <v>319.99999999999318</v>
      </c>
      <c r="J8" s="2">
        <f>('Kwh Reading'!S9-'Kwh Reading'!S8)*1000</f>
        <v>129.99999999999545</v>
      </c>
      <c r="K8" s="2">
        <f>('Kwh Reading'!I9-'Kwh Reading'!I8)*1000</f>
        <v>339.99999999997499</v>
      </c>
      <c r="L8" s="2">
        <f>('Kwh Reading'!B9-'Kwh Reading'!B8)*1000</f>
        <v>1360.0000000000136</v>
      </c>
      <c r="M8" s="2">
        <f>('Kwh Reading'!M9-'Kwh Reading'!M8)*1000</f>
        <v>810.00000000000227</v>
      </c>
      <c r="N8" s="2">
        <f>('Kwh Reading'!H9-'Kwh Reading'!H8)*1000</f>
        <v>1089.9999999999181</v>
      </c>
      <c r="O8" s="2">
        <f>('Kwh Reading'!P9-'Kwh Reading'!P8)*1000</f>
        <v>1159.9999999999682</v>
      </c>
      <c r="P8" s="2">
        <f>('Kwh Reading'!G9-'Kwh Reading'!G8)*1000</f>
        <v>1039.9999999999636</v>
      </c>
      <c r="Q8" s="2">
        <f>('Kwh Reading'!Q9-'Kwh Reading'!Q8)*1000</f>
        <v>840.00000000003183</v>
      </c>
      <c r="R8" s="2">
        <f>('Kwh Reading'!N9-'Kwh Reading'!N8)*1000</f>
        <v>959.99999999997954</v>
      </c>
      <c r="S8" s="2">
        <f>'Kwh Reading'!E9-'Kwh Reading'!E8</f>
        <v>4008.570000000298</v>
      </c>
      <c r="T8" s="2">
        <f>'Kwh Reading'!D9-'Kwh Reading'!D8</f>
        <v>2884.4000000003725</v>
      </c>
      <c r="U8" s="27">
        <f>('Kwh Reading'!O9-'Kwh Reading'!O8)*1000</f>
        <v>280.00000000000114</v>
      </c>
      <c r="V8" s="16">
        <f t="shared" si="0"/>
        <v>5747.0299999993658</v>
      </c>
    </row>
    <row r="9" spans="1:22" x14ac:dyDescent="0.25">
      <c r="A9" s="3">
        <f>'Kwh Reading'!A9</f>
        <v>44292</v>
      </c>
      <c r="B9" s="26">
        <f>TOTAL!E7</f>
        <v>25300</v>
      </c>
      <c r="C9" s="4">
        <f>('Kwh Reading'!T10-'Kwh Reading'!T9)*1000</f>
        <v>569.99999999999318</v>
      </c>
      <c r="D9" s="2">
        <f>('Kwh Reading'!F10-'Kwh Reading'!F9)*1000000</f>
        <v>2499.9999999999468</v>
      </c>
      <c r="E9" s="2">
        <f>('Kwh Reading'!C10-'Kwh Reading'!C9)*1000</f>
        <v>240.00000000000909</v>
      </c>
      <c r="F9" s="2">
        <f>('Kwh Reading'!J10-'Kwh Reading'!J9)*1000</f>
        <v>319.99999999999318</v>
      </c>
      <c r="G9" s="2">
        <f>('Kwh Reading'!K10-'Kwh Reading'!K9)*1000</f>
        <v>379.99999999999545</v>
      </c>
      <c r="H9" s="2">
        <f>('Kwh Reading'!L10-'Kwh Reading'!L9)*1000</f>
        <v>239.99999999998067</v>
      </c>
      <c r="I9" s="2">
        <f>('Kwh Reading'!R10-'Kwh Reading'!R9)*1000</f>
        <v>330.00000000001251</v>
      </c>
      <c r="J9" s="2">
        <f>('Kwh Reading'!S10-'Kwh Reading'!S9)*1000</f>
        <v>120.00000000000455</v>
      </c>
      <c r="K9" s="2">
        <f>('Kwh Reading'!I10-'Kwh Reading'!I9)*1000</f>
        <v>310.00000000000227</v>
      </c>
      <c r="L9" s="2">
        <f>('Kwh Reading'!B10-'Kwh Reading'!B9)*1000</f>
        <v>1289.9999999999636</v>
      </c>
      <c r="M9" s="2">
        <f>('Kwh Reading'!M10-'Kwh Reading'!M9)*1000</f>
        <v>750</v>
      </c>
      <c r="N9" s="2">
        <f>('Kwh Reading'!H10-'Kwh Reading'!H9)*1000</f>
        <v>980.00000000001819</v>
      </c>
      <c r="O9" s="2">
        <f>('Kwh Reading'!P10-'Kwh Reading'!P9)*1000</f>
        <v>990.00000000000909</v>
      </c>
      <c r="P9" s="2">
        <f>('Kwh Reading'!G10-'Kwh Reading'!G9)*1000</f>
        <v>889.99999999998636</v>
      </c>
      <c r="Q9" s="2">
        <f>('Kwh Reading'!Q10-'Kwh Reading'!Q9)*1000</f>
        <v>789.99999999996362</v>
      </c>
      <c r="R9" s="2">
        <f>('Kwh Reading'!N10-'Kwh Reading'!N9)*1000</f>
        <v>810.00000000000227</v>
      </c>
      <c r="S9" s="2">
        <f>'Kwh Reading'!E10-'Kwh Reading'!E9</f>
        <v>3455.8299999991432</v>
      </c>
      <c r="T9" s="2">
        <f>'Kwh Reading'!D10-'Kwh Reading'!D9</f>
        <v>2344.0499999998137</v>
      </c>
      <c r="U9" s="27">
        <f>('Kwh Reading'!O10-'Kwh Reading'!O9)*1000</f>
        <v>229.99999999998977</v>
      </c>
      <c r="V9" s="16">
        <f t="shared" si="0"/>
        <v>7760.1200000011704</v>
      </c>
    </row>
    <row r="10" spans="1:22" x14ac:dyDescent="0.25">
      <c r="A10" s="3">
        <f>'Kwh Reading'!A10</f>
        <v>44293</v>
      </c>
      <c r="B10" s="26">
        <f>TOTAL!E8</f>
        <v>20730</v>
      </c>
      <c r="C10" s="4">
        <f>('Kwh Reading'!T11-'Kwh Reading'!T10)*1000</f>
        <v>529.99999999997272</v>
      </c>
      <c r="D10" s="2">
        <f>('Kwh Reading'!F11-'Kwh Reading'!F10)*1000000</f>
        <v>2499.9999999999468</v>
      </c>
      <c r="E10" s="2">
        <f>('Kwh Reading'!C11-'Kwh Reading'!C10)*1000</f>
        <v>229.99999999998977</v>
      </c>
      <c r="F10" s="2">
        <f>('Kwh Reading'!J11-'Kwh Reading'!J10)*1000</f>
        <v>350.00000000002274</v>
      </c>
      <c r="G10" s="2">
        <f>('Kwh Reading'!K11-'Kwh Reading'!K10)*1000</f>
        <v>410.00000000002501</v>
      </c>
      <c r="H10" s="2">
        <f>('Kwh Reading'!L11-'Kwh Reading'!L10)*1000</f>
        <v>250</v>
      </c>
      <c r="I10" s="2">
        <f>('Kwh Reading'!R11-'Kwh Reading'!R10)*1000</f>
        <v>299.99999999998295</v>
      </c>
      <c r="J10" s="2">
        <f>('Kwh Reading'!S11-'Kwh Reading'!S10)*1000</f>
        <v>129.99999999999545</v>
      </c>
      <c r="K10" s="2">
        <f>('Kwh Reading'!I11-'Kwh Reading'!I10)*1000</f>
        <v>320.0000000000216</v>
      </c>
      <c r="L10" s="2">
        <f>('Kwh Reading'!B11-'Kwh Reading'!B10)*1000</f>
        <v>1360.0000000000136</v>
      </c>
      <c r="M10" s="2">
        <f>('Kwh Reading'!M11-'Kwh Reading'!M10)*1000</f>
        <v>839.99999999997499</v>
      </c>
      <c r="N10" s="2">
        <f>('Kwh Reading'!H11-'Kwh Reading'!H10)*1000</f>
        <v>1080.0000000000409</v>
      </c>
      <c r="O10" s="2">
        <f>('Kwh Reading'!P11-'Kwh Reading'!P10)*1000</f>
        <v>940.00000000005457</v>
      </c>
      <c r="P10" s="2">
        <f>('Kwh Reading'!G11-'Kwh Reading'!G10)*1000</f>
        <v>919.99999999995907</v>
      </c>
      <c r="Q10" s="2">
        <f>('Kwh Reading'!Q11-'Kwh Reading'!Q10)*1000</f>
        <v>920.00000000001592</v>
      </c>
      <c r="R10" s="2">
        <f>('Kwh Reading'!N11-'Kwh Reading'!N10)*1000</f>
        <v>680.00000000000682</v>
      </c>
      <c r="S10" s="34">
        <f>'Kwh Reading'!E11-'Kwh Reading'!E10</f>
        <v>3530.2200000006706</v>
      </c>
      <c r="T10" s="34">
        <f>'Kwh Reading'!D11-'Kwh Reading'!D10</f>
        <v>2620.140000000596</v>
      </c>
      <c r="U10" s="27">
        <f>('Kwh Reading'!O11-'Kwh Reading'!O10)*1000</f>
        <v>260.00000000001933</v>
      </c>
      <c r="V10" s="16">
        <f t="shared" si="0"/>
        <v>2559.6399999986934</v>
      </c>
    </row>
    <row r="11" spans="1:22" x14ac:dyDescent="0.25">
      <c r="A11" s="3">
        <f>'Kwh Reading'!A11</f>
        <v>44294</v>
      </c>
      <c r="B11" s="26">
        <f>TOTAL!E9</f>
        <v>24890</v>
      </c>
      <c r="C11" s="4">
        <f>('Kwh Reading'!T12-'Kwh Reading'!T11)*1000</f>
        <v>550.00000000001137</v>
      </c>
      <c r="D11" s="2">
        <f>('Kwh Reading'!F12-'Kwh Reading'!F11)*1000000</f>
        <v>2600.0000000001578</v>
      </c>
      <c r="E11" s="2">
        <f>('Kwh Reading'!C12-'Kwh Reading'!C11)*1000</f>
        <v>240.00000000000909</v>
      </c>
      <c r="F11" s="2">
        <f>('Kwh Reading'!J12-'Kwh Reading'!J11)*1000</f>
        <v>290.00000000002046</v>
      </c>
      <c r="G11" s="2">
        <f>('Kwh Reading'!K12-'Kwh Reading'!K11)*1000</f>
        <v>399.99999999997726</v>
      </c>
      <c r="H11" s="2">
        <f>('Kwh Reading'!L12-'Kwh Reading'!L11)*1000</f>
        <v>210.00000000000796</v>
      </c>
      <c r="I11" s="2">
        <f>('Kwh Reading'!R12-'Kwh Reading'!R11)*1000</f>
        <v>330.00000000001251</v>
      </c>
      <c r="J11" s="2">
        <f>('Kwh Reading'!S12-'Kwh Reading'!S11)*1000</f>
        <v>120.00000000000455</v>
      </c>
      <c r="K11" s="2">
        <f>('Kwh Reading'!I12-'Kwh Reading'!I11)*1000</f>
        <v>309.99999999997385</v>
      </c>
      <c r="L11" s="2">
        <f>('Kwh Reading'!B12-'Kwh Reading'!B11)*1000</f>
        <v>1370.0000000000045</v>
      </c>
      <c r="M11" s="2">
        <f>('Kwh Reading'!M12-'Kwh Reading'!M11)*1000</f>
        <v>910.00000000002501</v>
      </c>
      <c r="N11" s="2">
        <f>('Kwh Reading'!H12-'Kwh Reading'!H11)*1000</f>
        <v>1069.9999999999363</v>
      </c>
      <c r="O11" s="2">
        <f>('Kwh Reading'!P12-'Kwh Reading'!P11)*1000</f>
        <v>1039.9999999999636</v>
      </c>
      <c r="P11" s="2">
        <f>('Kwh Reading'!G12-'Kwh Reading'!G11)*1000</f>
        <v>950.00000000004547</v>
      </c>
      <c r="Q11" s="2">
        <f>('Kwh Reading'!Q12-'Kwh Reading'!Q11)*1000</f>
        <v>949.99999999998863</v>
      </c>
      <c r="R11" s="2">
        <f>('Kwh Reading'!N12-'Kwh Reading'!N11)*1000</f>
        <v>670.00000000001592</v>
      </c>
      <c r="S11" s="34">
        <f>'Kwh Reading'!E12-'Kwh Reading'!E11</f>
        <v>3529.089999999851</v>
      </c>
      <c r="T11" s="34">
        <f>'Kwh Reading'!D12-'Kwh Reading'!D11</f>
        <v>2702.929999999702</v>
      </c>
      <c r="U11" s="27">
        <f>('Kwh Reading'!O12-'Kwh Reading'!O11)*1000</f>
        <v>310.00000000000227</v>
      </c>
      <c r="V11" s="16">
        <f t="shared" si="0"/>
        <v>6337.9800000002906</v>
      </c>
    </row>
    <row r="12" spans="1:22" x14ac:dyDescent="0.25">
      <c r="A12" s="3">
        <f>'Kwh Reading'!A12</f>
        <v>44295</v>
      </c>
      <c r="B12" s="26">
        <f>TOTAL!E10</f>
        <v>22380</v>
      </c>
      <c r="C12" s="4">
        <f>('Kwh Reading'!T13-'Kwh Reading'!T12)*1000</f>
        <v>259.99999999999091</v>
      </c>
      <c r="D12" s="2">
        <f>('Kwh Reading'!F13-'Kwh Reading'!F12)*1000000</f>
        <v>2499.9999999999468</v>
      </c>
      <c r="E12" s="2">
        <f>('Kwh Reading'!C13-'Kwh Reading'!C12)*1000</f>
        <v>229.99999999998977</v>
      </c>
      <c r="F12" s="2">
        <f>('Kwh Reading'!J13-'Kwh Reading'!J12)*1000</f>
        <v>329.99999999998408</v>
      </c>
      <c r="G12" s="2">
        <f>('Kwh Reading'!K13-'Kwh Reading'!K12)*1000</f>
        <v>319.99999999999318</v>
      </c>
      <c r="H12" s="2">
        <f>('Kwh Reading'!L13-'Kwh Reading'!L12)*1000</f>
        <v>230.00000000001819</v>
      </c>
      <c r="I12" s="2">
        <f>('Kwh Reading'!R13-'Kwh Reading'!R12)*1000</f>
        <v>329.99999999998408</v>
      </c>
      <c r="J12" s="2">
        <f>('Kwh Reading'!S13-'Kwh Reading'!S12)*1000</f>
        <v>129.99999999999545</v>
      </c>
      <c r="K12" s="2">
        <f>('Kwh Reading'!I13-'Kwh Reading'!I12)*1000</f>
        <v>330.00000000001251</v>
      </c>
      <c r="L12" s="2">
        <f>('Kwh Reading'!B13-'Kwh Reading'!B12)*1000</f>
        <v>1349.9999999999091</v>
      </c>
      <c r="M12" s="2">
        <f>('Kwh Reading'!M13-'Kwh Reading'!M12)*1000</f>
        <v>879.99999999999545</v>
      </c>
      <c r="N12" s="2">
        <f>('Kwh Reading'!H13-'Kwh Reading'!H12)*1000</f>
        <v>950.00000000004547</v>
      </c>
      <c r="O12" s="2">
        <f>('Kwh Reading'!P13-'Kwh Reading'!P12)*1000</f>
        <v>919.99999999995907</v>
      </c>
      <c r="P12" s="2">
        <f>('Kwh Reading'!G13-'Kwh Reading'!G12)*1000</f>
        <v>870.00000000000455</v>
      </c>
      <c r="Q12" s="2">
        <f>('Kwh Reading'!Q13-'Kwh Reading'!Q12)*1000</f>
        <v>709.99999999997954</v>
      </c>
      <c r="R12" s="2">
        <f>('Kwh Reading'!N13-'Kwh Reading'!N12)*1000</f>
        <v>589.99999999997499</v>
      </c>
      <c r="S12" s="34">
        <f>'Kwh Reading'!E13-'Kwh Reading'!E12</f>
        <v>2773.9199999999255</v>
      </c>
      <c r="T12" s="34">
        <f>'Kwh Reading'!D13-'Kwh Reading'!D12</f>
        <v>2435.679999999702</v>
      </c>
      <c r="U12" s="27">
        <f>('Kwh Reading'!O13-'Kwh Reading'!O12)*1000</f>
        <v>269.99999999998181</v>
      </c>
      <c r="V12" s="16">
        <f t="shared" si="0"/>
        <v>5970.4000000006054</v>
      </c>
    </row>
    <row r="13" spans="1:22" x14ac:dyDescent="0.25">
      <c r="A13" s="3">
        <f>'Kwh Reading'!A13</f>
        <v>44296</v>
      </c>
      <c r="B13" s="26">
        <f>TOTAL!E11</f>
        <v>24860</v>
      </c>
      <c r="C13" s="4">
        <f>('Kwh Reading'!T14-'Kwh Reading'!T13)*1000</f>
        <v>540.00000000002046</v>
      </c>
      <c r="D13" s="2">
        <f>('Kwh Reading'!F14-'Kwh Reading'!F13)*1000000</f>
        <v>2499.9999999999468</v>
      </c>
      <c r="E13" s="2">
        <f>('Kwh Reading'!C14-'Kwh Reading'!C13)*1000</f>
        <v>230.00000000001819</v>
      </c>
      <c r="F13" s="2">
        <f>('Kwh Reading'!J14-'Kwh Reading'!J13)*1000</f>
        <v>329.99999999998408</v>
      </c>
      <c r="G13" s="2">
        <f>('Kwh Reading'!K14-'Kwh Reading'!K13)*1000</f>
        <v>379.99999999999545</v>
      </c>
      <c r="H13" s="2">
        <f>('Kwh Reading'!L14-'Kwh Reading'!L13)*1000</f>
        <v>250</v>
      </c>
      <c r="I13" s="2">
        <f>('Kwh Reading'!R14-'Kwh Reading'!R13)*1000</f>
        <v>330.00000000001251</v>
      </c>
      <c r="J13" s="2">
        <f>('Kwh Reading'!S14-'Kwh Reading'!S13)*1000</f>
        <v>130.00000000000966</v>
      </c>
      <c r="K13" s="2">
        <f>('Kwh Reading'!I14-'Kwh Reading'!I13)*1000</f>
        <v>349.99999999999432</v>
      </c>
      <c r="L13" s="2">
        <f>('Kwh Reading'!B14-'Kwh Reading'!B13)*1000</f>
        <v>1460.0000000000364</v>
      </c>
      <c r="M13" s="2">
        <f>('Kwh Reading'!M14-'Kwh Reading'!M13)*1000</f>
        <v>919.99999999995907</v>
      </c>
      <c r="N13" s="2">
        <f>('Kwh Reading'!H14-'Kwh Reading'!H13)*1000</f>
        <v>1080.0000000000409</v>
      </c>
      <c r="O13" s="2">
        <f>('Kwh Reading'!P14-'Kwh Reading'!P13)*1000</f>
        <v>990.00000000000909</v>
      </c>
      <c r="P13" s="2">
        <f>('Kwh Reading'!G14-'Kwh Reading'!G13)*1000</f>
        <v>1039.9999999999636</v>
      </c>
      <c r="Q13" s="2">
        <f>('Kwh Reading'!Q14-'Kwh Reading'!Q13)*1000</f>
        <v>760.00000000004775</v>
      </c>
      <c r="R13" s="2">
        <f>('Kwh Reading'!N14-'Kwh Reading'!N13)*1000</f>
        <v>800.00000000001137</v>
      </c>
      <c r="S13" s="34">
        <f>'Kwh Reading'!E14-'Kwh Reading'!E13</f>
        <v>3358.8499999996275</v>
      </c>
      <c r="T13" s="34">
        <f>'Kwh Reading'!D14-'Kwh Reading'!D13</f>
        <v>2500.6900000004098</v>
      </c>
      <c r="U13" s="27">
        <f>('Kwh Reading'!O14-'Kwh Reading'!O13)*1000</f>
        <v>270.00000000001023</v>
      </c>
      <c r="V13" s="16">
        <f t="shared" si="0"/>
        <v>6640.4599999999009</v>
      </c>
    </row>
    <row r="14" spans="1:22" x14ac:dyDescent="0.25">
      <c r="A14" s="3">
        <f>'Kwh Reading'!A14</f>
        <v>44297</v>
      </c>
      <c r="B14" s="26">
        <f>TOTAL!E12</f>
        <v>23700</v>
      </c>
      <c r="C14" s="4">
        <f>('Kwh Reading'!T15-'Kwh Reading'!T14)*1000</f>
        <v>480.00000000001819</v>
      </c>
      <c r="D14" s="2">
        <f>('Kwh Reading'!F15-'Kwh Reading'!F14)*1000000</f>
        <v>2299.9999999999686</v>
      </c>
      <c r="E14" s="2">
        <f>('Kwh Reading'!C15-'Kwh Reading'!C14)*1000</f>
        <v>199.99999999998863</v>
      </c>
      <c r="F14" s="2">
        <f>('Kwh Reading'!J15-'Kwh Reading'!J14)*1000</f>
        <v>250</v>
      </c>
      <c r="G14" s="2">
        <f>('Kwh Reading'!K15-'Kwh Reading'!K14)*1000</f>
        <v>270.00000000003865</v>
      </c>
      <c r="H14" s="2">
        <f>('Kwh Reading'!L15-'Kwh Reading'!L14)*1000</f>
        <v>179.9999999999784</v>
      </c>
      <c r="I14" s="2">
        <f>('Kwh Reading'!R15-'Kwh Reading'!R14)*1000</f>
        <v>280.00000000000114</v>
      </c>
      <c r="J14" s="2">
        <f>('Kwh Reading'!S15-'Kwh Reading'!S14)*1000</f>
        <v>129.99999999999545</v>
      </c>
      <c r="K14" s="2">
        <f>('Kwh Reading'!I15-'Kwh Reading'!I14)*1000</f>
        <v>340.00000000000341</v>
      </c>
      <c r="L14" s="2">
        <f>('Kwh Reading'!B15-'Kwh Reading'!B14)*1000</f>
        <v>1330.0000000000409</v>
      </c>
      <c r="M14" s="2">
        <f>('Kwh Reading'!M15-'Kwh Reading'!M14)*1000</f>
        <v>850.00000000002274</v>
      </c>
      <c r="N14" s="2">
        <f>('Kwh Reading'!H15-'Kwh Reading'!H14)*1000</f>
        <v>949.99999999993179</v>
      </c>
      <c r="O14" s="2">
        <f>('Kwh Reading'!P15-'Kwh Reading'!P14)*1000</f>
        <v>850.00000000002274</v>
      </c>
      <c r="P14" s="2">
        <f>('Kwh Reading'!G15-'Kwh Reading'!G14)*1000</f>
        <v>990.00000000000909</v>
      </c>
      <c r="Q14" s="2">
        <f>('Kwh Reading'!Q15-'Kwh Reading'!Q14)*1000</f>
        <v>750</v>
      </c>
      <c r="R14" s="2">
        <f>('Kwh Reading'!N15-'Kwh Reading'!N14)*1000</f>
        <v>870.00000000000455</v>
      </c>
      <c r="S14" s="34">
        <f>'Kwh Reading'!E15-'Kwh Reading'!E14</f>
        <v>2899.5600000005215</v>
      </c>
      <c r="T14" s="34">
        <f>'Kwh Reading'!D15-'Kwh Reading'!D14</f>
        <v>2422.4500000001863</v>
      </c>
      <c r="U14" s="27">
        <f>('Kwh Reading'!O15-'Kwh Reading'!O14)*1000</f>
        <v>240.00000000000909</v>
      </c>
      <c r="V14" s="16">
        <f t="shared" si="0"/>
        <v>7117.9899999992558</v>
      </c>
    </row>
    <row r="15" spans="1:22" x14ac:dyDescent="0.25">
      <c r="A15" s="3">
        <f>'Kwh Reading'!A15</f>
        <v>44298</v>
      </c>
      <c r="B15" s="26">
        <f>TOTAL!E13</f>
        <v>23130</v>
      </c>
      <c r="C15" s="4">
        <f>('Kwh Reading'!T16-'Kwh Reading'!T15)*1000</f>
        <v>500</v>
      </c>
      <c r="D15" s="2">
        <f>('Kwh Reading'!F16-'Kwh Reading'!F15)*1000000</f>
        <v>2499.9999999999468</v>
      </c>
      <c r="E15" s="2">
        <f>('Kwh Reading'!C16-'Kwh Reading'!C15)*1000</f>
        <v>229.99999999998977</v>
      </c>
      <c r="F15" s="2">
        <f>('Kwh Reading'!J16-'Kwh Reading'!J15)*1000</f>
        <v>250</v>
      </c>
      <c r="G15" s="2">
        <f>('Kwh Reading'!K16-'Kwh Reading'!K15)*1000</f>
        <v>349.99999999996589</v>
      </c>
      <c r="H15" s="2">
        <f>('Kwh Reading'!L16-'Kwh Reading'!L15)*1000</f>
        <v>200.00000000001705</v>
      </c>
      <c r="I15" s="2">
        <f>('Kwh Reading'!R16-'Kwh Reading'!R15)*1000</f>
        <v>300.00000000001137</v>
      </c>
      <c r="J15" s="2">
        <f>('Kwh Reading'!S16-'Kwh Reading'!S15)*1000</f>
        <v>129.99999999999545</v>
      </c>
      <c r="K15" s="2">
        <f>('Kwh Reading'!I16-'Kwh Reading'!I15)*1000</f>
        <v>370.00000000000455</v>
      </c>
      <c r="L15" s="2">
        <f>('Kwh Reading'!B16-'Kwh Reading'!B15)*1000</f>
        <v>1389.9999999999864</v>
      </c>
      <c r="M15" s="2">
        <f>('Kwh Reading'!M16-'Kwh Reading'!M15)*1000</f>
        <v>769.99999999998181</v>
      </c>
      <c r="N15" s="2">
        <f>('Kwh Reading'!H16-'Kwh Reading'!H15)*1000</f>
        <v>940.00000000005457</v>
      </c>
      <c r="O15" s="2">
        <f>('Kwh Reading'!P16-'Kwh Reading'!P15)*1000</f>
        <v>950.00000000004547</v>
      </c>
      <c r="P15" s="2">
        <f>('Kwh Reading'!G16-'Kwh Reading'!G15)*1000</f>
        <v>950.00000000004547</v>
      </c>
      <c r="Q15" s="2">
        <f>('Kwh Reading'!Q16-'Kwh Reading'!Q15)*1000</f>
        <v>769.99999999998181</v>
      </c>
      <c r="R15" s="2">
        <f>('Kwh Reading'!N16-'Kwh Reading'!N15)*1000</f>
        <v>980.00000000001819</v>
      </c>
      <c r="S15" s="34">
        <f>'Kwh Reading'!E16-'Kwh Reading'!E15</f>
        <v>3020.2199999997392</v>
      </c>
      <c r="T15" s="34">
        <f>'Kwh Reading'!D16-'Kwh Reading'!D15</f>
        <v>2501.1199999991804</v>
      </c>
      <c r="U15" s="27">
        <f>('Kwh Reading'!O16-'Kwh Reading'!O15)*1000</f>
        <v>239.99999999998067</v>
      </c>
      <c r="V15" s="16">
        <f t="shared" si="0"/>
        <v>5788.6600000010549</v>
      </c>
    </row>
    <row r="16" spans="1:22" x14ac:dyDescent="0.25">
      <c r="A16" s="3">
        <f>'Kwh Reading'!A16</f>
        <v>44299</v>
      </c>
      <c r="B16" s="26">
        <f>TOTAL!E14</f>
        <v>24080</v>
      </c>
      <c r="C16" s="4">
        <f>('Kwh Reading'!T17-'Kwh Reading'!T16)*1000</f>
        <v>490.00000000000909</v>
      </c>
      <c r="D16" s="2">
        <f>('Kwh Reading'!F17-'Kwh Reading'!F16)*1000000</f>
        <v>2200.0000000002019</v>
      </c>
      <c r="E16" s="2">
        <f>('Kwh Reading'!C17-'Kwh Reading'!C16)*1000</f>
        <v>240.00000000000909</v>
      </c>
      <c r="F16" s="2">
        <f>('Kwh Reading'!J17-'Kwh Reading'!J16)*1000</f>
        <v>160.00000000002501</v>
      </c>
      <c r="G16" s="2">
        <f>('Kwh Reading'!K17-'Kwh Reading'!K16)*1000</f>
        <v>280.00000000002956</v>
      </c>
      <c r="H16" s="2">
        <f>('Kwh Reading'!L17-'Kwh Reading'!L16)*1000</f>
        <v>179.9999999999784</v>
      </c>
      <c r="I16" s="2">
        <f>('Kwh Reading'!R17-'Kwh Reading'!R16)*1000</f>
        <v>250</v>
      </c>
      <c r="J16" s="2">
        <f>('Kwh Reading'!S17-'Kwh Reading'!S16)*1000</f>
        <v>140.00000000000057</v>
      </c>
      <c r="K16" s="2">
        <f>('Kwh Reading'!I17-'Kwh Reading'!I16)*1000</f>
        <v>330.00000000001251</v>
      </c>
      <c r="L16" s="2">
        <f>('Kwh Reading'!B17-'Kwh Reading'!B16)*1000</f>
        <v>1340.0000000000318</v>
      </c>
      <c r="M16" s="2">
        <f>('Kwh Reading'!M17-'Kwh Reading'!M16)*1000</f>
        <v>790.00000000002046</v>
      </c>
      <c r="N16" s="2">
        <f>('Kwh Reading'!H17-'Kwh Reading'!H16)*1000</f>
        <v>949.99999999993179</v>
      </c>
      <c r="O16" s="2">
        <f>('Kwh Reading'!P17-'Kwh Reading'!P16)*1000</f>
        <v>909.99999999996817</v>
      </c>
      <c r="P16" s="2">
        <f>('Kwh Reading'!G17-'Kwh Reading'!G16)*1000</f>
        <v>860.00000000001364</v>
      </c>
      <c r="Q16" s="2">
        <f>('Kwh Reading'!Q17-'Kwh Reading'!Q16)*1000</f>
        <v>719.99999999997044</v>
      </c>
      <c r="R16" s="2">
        <f>('Kwh Reading'!N17-'Kwh Reading'!N16)*1000</f>
        <v>879.99999999999545</v>
      </c>
      <c r="S16" s="34">
        <f>'Kwh Reading'!E17-'Kwh Reading'!E16</f>
        <v>3097.839999999851</v>
      </c>
      <c r="T16" s="34">
        <f>'Kwh Reading'!D17-'Kwh Reading'!D16</f>
        <v>2289.8400000007823</v>
      </c>
      <c r="U16" s="27">
        <f>('Kwh Reading'!O17-'Kwh Reading'!O16)*1000</f>
        <v>219.99999999999886</v>
      </c>
      <c r="V16" s="16">
        <f t="shared" si="0"/>
        <v>7752.3199999991684</v>
      </c>
    </row>
    <row r="17" spans="1:22" x14ac:dyDescent="0.25">
      <c r="A17" s="3">
        <f>'Kwh Reading'!A17</f>
        <v>44300</v>
      </c>
      <c r="B17" s="26">
        <f>TOTAL!E15</f>
        <v>0</v>
      </c>
      <c r="C17" s="4">
        <f>('Kwh Reading'!T18-'Kwh Reading'!T17)*1000</f>
        <v>-385720</v>
      </c>
      <c r="D17" s="2">
        <f>('Kwh Reading'!F18-'Kwh Reading'!F17)*1000000</f>
        <v>-2191700</v>
      </c>
      <c r="E17" s="2">
        <f>('Kwh Reading'!C18-'Kwh Reading'!C17)*1000</f>
        <v>-212660</v>
      </c>
      <c r="F17" s="2">
        <f>('Kwh Reading'!J18-'Kwh Reading'!J17)*1000</f>
        <v>-302300</v>
      </c>
      <c r="G17" s="2">
        <f>('Kwh Reading'!K18-'Kwh Reading'!K17)*1000</f>
        <v>-321600</v>
      </c>
      <c r="H17" s="2">
        <f>('Kwh Reading'!L18-'Kwh Reading'!L17)*1000</f>
        <v>-219420</v>
      </c>
      <c r="I17" s="2">
        <f>('Kwh Reading'!R18-'Kwh Reading'!R17)*1000</f>
        <v>-134360</v>
      </c>
      <c r="J17" s="2">
        <f>('Kwh Reading'!S18-'Kwh Reading'!S17)*1000</f>
        <v>-105050</v>
      </c>
      <c r="K17" s="2">
        <f>('Kwh Reading'!I18-'Kwh Reading'!I17)*1000</f>
        <v>-210360</v>
      </c>
      <c r="L17" s="2">
        <f>('Kwh Reading'!B18-'Kwh Reading'!B17)*1000</f>
        <v>-878330</v>
      </c>
      <c r="M17" s="2">
        <f>('Kwh Reading'!M18-'Kwh Reading'!M17)*1000</f>
        <v>-458940</v>
      </c>
      <c r="N17" s="2">
        <f>('Kwh Reading'!H18-'Kwh Reading'!H17)*1000</f>
        <v>-571180</v>
      </c>
      <c r="O17" s="2">
        <f>('Kwh Reading'!P18-'Kwh Reading'!P17)*1000</f>
        <v>-537510</v>
      </c>
      <c r="P17" s="2">
        <f>('Kwh Reading'!G18-'Kwh Reading'!G17)*1000</f>
        <v>-675450</v>
      </c>
      <c r="Q17" s="2">
        <f>('Kwh Reading'!Q18-'Kwh Reading'!Q17)*1000</f>
        <v>-403840</v>
      </c>
      <c r="R17" s="2">
        <f>('Kwh Reading'!N18-'Kwh Reading'!N17)*1000</f>
        <v>-411740</v>
      </c>
      <c r="S17" s="34">
        <f>'Kwh Reading'!E18-'Kwh Reading'!E17</f>
        <v>-7943907.4699999997</v>
      </c>
      <c r="T17" s="34">
        <f>'Kwh Reading'!D18-'Kwh Reading'!D17</f>
        <v>-7293555.9000000004</v>
      </c>
      <c r="U17" s="27">
        <f>('Kwh Reading'!O18-'Kwh Reading'!O17)*1000</f>
        <v>-132040</v>
      </c>
      <c r="V17" s="16">
        <f t="shared" si="0"/>
        <v>23389663.369999997</v>
      </c>
    </row>
    <row r="18" spans="1:22" x14ac:dyDescent="0.25">
      <c r="A18" s="3">
        <f>'Kwh Reading'!A18</f>
        <v>44301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0"/>
        <v>0</v>
      </c>
    </row>
    <row r="19" spans="1:22" x14ac:dyDescent="0.25">
      <c r="A19" s="3">
        <f>'Kwh Reading'!A19</f>
        <v>44302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0"/>
        <v>0</v>
      </c>
    </row>
    <row r="20" spans="1:22" x14ac:dyDescent="0.25">
      <c r="A20" s="3">
        <f>'Kwh Reading'!A20</f>
        <v>44303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0"/>
        <v>0</v>
      </c>
    </row>
    <row r="21" spans="1:22" ht="16.5" customHeight="1" x14ac:dyDescent="0.25">
      <c r="A21" s="3">
        <f>'Kwh Reading'!A21</f>
        <v>44304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0"/>
        <v>0</v>
      </c>
    </row>
    <row r="22" spans="1:22" x14ac:dyDescent="0.25">
      <c r="A22" s="3">
        <f>'Kwh Reading'!A22</f>
        <v>44305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0"/>
        <v>0</v>
      </c>
    </row>
    <row r="23" spans="1:22" x14ac:dyDescent="0.25">
      <c r="A23" s="3">
        <f>'Kwh Reading'!A23</f>
        <v>44306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44307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44308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44309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44310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44311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44312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44313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44314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44315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44316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44317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318750</v>
      </c>
      <c r="C35" s="75">
        <f t="shared" ref="C35" si="1">SUM(C4:C34)</f>
        <v>-378949.99999999994</v>
      </c>
      <c r="D35" s="75">
        <f t="shared" ref="D35" si="2">SUM(D4:D34)</f>
        <v>-2158800</v>
      </c>
      <c r="E35" s="75">
        <f t="shared" ref="E35" si="3">SUM(E4:E34)</f>
        <v>-209570</v>
      </c>
      <c r="F35" s="75">
        <f t="shared" ref="F35" si="4">SUM(F4:F34)</f>
        <v>-298130</v>
      </c>
      <c r="G35" s="75">
        <f t="shared" ref="G35:U35" si="5">SUM(G4:G34)</f>
        <v>-316490</v>
      </c>
      <c r="H35" s="75">
        <f t="shared" si="5"/>
        <v>-216260</v>
      </c>
      <c r="I35" s="75">
        <f t="shared" si="5"/>
        <v>-130520</v>
      </c>
      <c r="J35" s="75">
        <f t="shared" si="5"/>
        <v>-103330</v>
      </c>
      <c r="K35" s="75">
        <f t="shared" si="5"/>
        <v>-206169.99999999997</v>
      </c>
      <c r="L35" s="75">
        <f t="shared" si="5"/>
        <v>-860770</v>
      </c>
      <c r="M35" s="75">
        <f t="shared" si="5"/>
        <v>-448280</v>
      </c>
      <c r="N35" s="75">
        <f t="shared" si="5"/>
        <v>-558300</v>
      </c>
      <c r="O35" s="75">
        <f t="shared" si="5"/>
        <v>-524320</v>
      </c>
      <c r="P35" s="75">
        <f t="shared" si="5"/>
        <v>-662880</v>
      </c>
      <c r="Q35" s="75">
        <f t="shared" si="5"/>
        <v>-393270</v>
      </c>
      <c r="R35" s="75">
        <f t="shared" si="5"/>
        <v>-400920</v>
      </c>
      <c r="S35" s="75">
        <f t="shared" si="5"/>
        <v>-7898651.3899999997</v>
      </c>
      <c r="T35" s="75">
        <f t="shared" si="5"/>
        <v>-7259830.0099999998</v>
      </c>
      <c r="U35" s="75">
        <f t="shared" si="5"/>
        <v>-128640</v>
      </c>
      <c r="V35" s="75">
        <f>SUM(V4:V34)</f>
        <v>23472831.399999995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3" sqref="B13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44287</v>
      </c>
      <c r="B3" s="83">
        <f>TOTAL!E2</f>
        <v>25520</v>
      </c>
      <c r="C3" s="1">
        <f>'Kwh Consumption'!C4</f>
        <v>540.00000000002046</v>
      </c>
      <c r="D3" s="1">
        <f>'Kwh Consumption'!D4</f>
        <v>2600.0000000001578</v>
      </c>
      <c r="E3" s="1">
        <f>'Kwh Consumption'!E4</f>
        <v>250</v>
      </c>
      <c r="F3" s="1">
        <f>('Kwh Consumption'!F4+'Kwh Consumption'!G4+'Kwh Consumption'!H4)</f>
        <v>1039.999999999992</v>
      </c>
      <c r="G3" s="16">
        <f>('Kwh Consumption'!I4+'Kwh Consumption'!J4)</f>
        <v>469.99999999999886</v>
      </c>
      <c r="H3" s="1">
        <f>('Kwh Consumption'!K4+'Kwh Consumption'!L4)</f>
        <v>1590.0000000000603</v>
      </c>
      <c r="I3" s="1">
        <f>('Kwh Consumption'!M4+'Kwh Consumption'!N4+'Kwh Consumption'!O4+'Kwh Consumption'!P4+'Kwh Consumption'!Q4+'Kwh Consumption'!R4)</f>
        <v>5409.9999999998545</v>
      </c>
      <c r="J3" s="1">
        <f>('Kwh Consumption'!S4+'Kwh Consumption'!T4)</f>
        <v>6450.0400000009686</v>
      </c>
      <c r="K3" s="1">
        <f>'Kwh Consumption'!U4</f>
        <v>270.00000000001023</v>
      </c>
      <c r="L3" s="32">
        <f t="shared" ref="L3:L33" si="0">B3-C3-D3-E3-F3-G3-H3-I3-J3-K3</f>
        <v>6899.9599999989341</v>
      </c>
    </row>
    <row r="4" spans="1:12" x14ac:dyDescent="0.25">
      <c r="A4" s="14">
        <f>'Kwh Reading'!A5</f>
        <v>44288</v>
      </c>
      <c r="B4" s="83">
        <f>TOTAL!E3</f>
        <v>25880</v>
      </c>
      <c r="C4" s="1">
        <f>'Kwh Consumption'!C5</f>
        <v>550.00000000001137</v>
      </c>
      <c r="D4" s="1">
        <f>'Kwh Consumption'!D5</f>
        <v>2600.0000000001578</v>
      </c>
      <c r="E4" s="1">
        <f>'Kwh Consumption'!E5</f>
        <v>250</v>
      </c>
      <c r="F4" s="1">
        <f>('Kwh Consumption'!F5+'Kwh Consumption'!G5+'Kwh Consumption'!H5)</f>
        <v>1080.0000000000125</v>
      </c>
      <c r="G4" s="16">
        <f>('Kwh Consumption'!I5+'Kwh Consumption'!J5)</f>
        <v>339.9999999999892</v>
      </c>
      <c r="H4" s="1">
        <f>('Kwh Consumption'!K5+'Kwh Consumption'!L5)</f>
        <v>1709.9999999999795</v>
      </c>
      <c r="I4" s="1">
        <f>('Kwh Consumption'!M5+'Kwh Consumption'!N5+'Kwh Consumption'!O5+'Kwh Consumption'!P5+'Kwh Consumption'!Q5+'Kwh Consumption'!R5)</f>
        <v>5740.0000000001237</v>
      </c>
      <c r="J4" s="1">
        <f>('Kwh Consumption'!S5+'Kwh Consumption'!T5)</f>
        <v>6753</v>
      </c>
      <c r="K4" s="1">
        <f>'Kwh Consumption'!U5</f>
        <v>280.00000000000114</v>
      </c>
      <c r="L4" s="32">
        <f t="shared" si="0"/>
        <v>6576.9999999997299</v>
      </c>
    </row>
    <row r="5" spans="1:12" x14ac:dyDescent="0.25">
      <c r="A5" s="14">
        <f>'Kwh Reading'!A6</f>
        <v>44289</v>
      </c>
      <c r="B5" s="83">
        <f>TOTAL!E4</f>
        <v>25550</v>
      </c>
      <c r="C5" s="1">
        <f>'Kwh Consumption'!C6</f>
        <v>620.00000000000455</v>
      </c>
      <c r="D5" s="1">
        <f>'Kwh Consumption'!D6</f>
        <v>2799.9999999996917</v>
      </c>
      <c r="E5" s="1">
        <f>'Kwh Consumption'!E6</f>
        <v>270.00000000001023</v>
      </c>
      <c r="F5" s="1">
        <f>('Kwh Consumption'!F6+'Kwh Consumption'!G6+'Kwh Consumption'!H6)</f>
        <v>1229.9999999999613</v>
      </c>
      <c r="G5" s="16">
        <f>('Kwh Consumption'!I6+'Kwh Consumption'!J6)</f>
        <v>360.00000000001364</v>
      </c>
      <c r="H5" s="1">
        <f>('Kwh Consumption'!K6+'Kwh Consumption'!L6)</f>
        <v>1640.0000000000432</v>
      </c>
      <c r="I5" s="1">
        <f>('Kwh Consumption'!M6+'Kwh Consumption'!N6+'Kwh Consumption'!O6+'Kwh Consumption'!P6+'Kwh Consumption'!Q6+'Kwh Consumption'!R6)</f>
        <v>5610.0000000000709</v>
      </c>
      <c r="J5" s="1">
        <f>('Kwh Consumption'!S6+'Kwh Consumption'!T6)</f>
        <v>6612.2900000000373</v>
      </c>
      <c r="K5" s="1">
        <f>'Kwh Consumption'!U6</f>
        <v>289.99999999999204</v>
      </c>
      <c r="L5" s="32">
        <f t="shared" si="0"/>
        <v>6117.7100000001765</v>
      </c>
    </row>
    <row r="6" spans="1:12" x14ac:dyDescent="0.25">
      <c r="A6" s="14">
        <f>'Kwh Reading'!A7</f>
        <v>44290</v>
      </c>
      <c r="B6" s="83">
        <f>TOTAL!E5</f>
        <v>26880</v>
      </c>
      <c r="C6" s="1">
        <f>'Kwh Consumption'!C7</f>
        <v>569.99999999999318</v>
      </c>
      <c r="D6" s="1">
        <f>'Kwh Consumption'!D7</f>
        <v>2499.9999999999468</v>
      </c>
      <c r="E6" s="1">
        <f>'Kwh Consumption'!E7</f>
        <v>219.99999999999886</v>
      </c>
      <c r="F6" s="1">
        <f>('Kwh Consumption'!F7+'Kwh Consumption'!G7+'Kwh Consumption'!H7)</f>
        <v>1030.0000000000296</v>
      </c>
      <c r="G6" s="16">
        <f>('Kwh Consumption'!I7+'Kwh Consumption'!J7)</f>
        <v>459.99999999999375</v>
      </c>
      <c r="H6" s="1">
        <f>('Kwh Consumption'!K7+'Kwh Consumption'!L7)</f>
        <v>1560.0000000000023</v>
      </c>
      <c r="I6" s="1">
        <f>('Kwh Consumption'!M7+'Kwh Consumption'!N7+'Kwh Consumption'!O7+'Kwh Consumption'!P7+'Kwh Consumption'!Q7+'Kwh Consumption'!R7)</f>
        <v>5610.00000000007</v>
      </c>
      <c r="J6" s="1">
        <f>('Kwh Consumption'!S7+'Kwh Consumption'!T7)</f>
        <v>6791.2399999992922</v>
      </c>
      <c r="K6" s="1">
        <f>'Kwh Consumption'!U7</f>
        <v>240.00000000000909</v>
      </c>
      <c r="L6" s="32">
        <f t="shared" si="0"/>
        <v>7898.760000000666</v>
      </c>
    </row>
    <row r="7" spans="1:12" x14ac:dyDescent="0.25">
      <c r="A7" s="14">
        <f>'Kwh Reading'!A8</f>
        <v>44291</v>
      </c>
      <c r="B7" s="83">
        <f>TOTAL!E6</f>
        <v>25850</v>
      </c>
      <c r="C7" s="1">
        <f>'Kwh Consumption'!C8</f>
        <v>569.99999999999318</v>
      </c>
      <c r="D7" s="1">
        <f>'Kwh Consumption'!D8</f>
        <v>2800.0000000001355</v>
      </c>
      <c r="E7" s="1">
        <f>'Kwh Consumption'!E8</f>
        <v>259.99999999999091</v>
      </c>
      <c r="F7" s="1">
        <f>('Kwh Consumption'!F8+'Kwh Consumption'!G8+'Kwh Consumption'!H8)</f>
        <v>1250</v>
      </c>
      <c r="G7" s="16">
        <f>('Kwh Consumption'!I8+'Kwh Consumption'!J8)</f>
        <v>449.99999999998863</v>
      </c>
      <c r="H7" s="1">
        <f>('Kwh Consumption'!K8+'Kwh Consumption'!L8)</f>
        <v>1699.9999999999886</v>
      </c>
      <c r="I7" s="1">
        <f>('Kwh Consumption'!M8+'Kwh Consumption'!N8+'Kwh Consumption'!O8+'Kwh Consumption'!P8+'Kwh Consumption'!Q8+'Kwh Consumption'!R8)</f>
        <v>5899.9999999998636</v>
      </c>
      <c r="J7" s="1">
        <f>('Kwh Consumption'!S8+'Kwh Consumption'!T8)</f>
        <v>6892.9700000006706</v>
      </c>
      <c r="K7" s="1">
        <f>'Kwh Consumption'!U8</f>
        <v>280.00000000000114</v>
      </c>
      <c r="L7" s="32">
        <f t="shared" si="0"/>
        <v>5747.0299999993704</v>
      </c>
    </row>
    <row r="8" spans="1:12" x14ac:dyDescent="0.25">
      <c r="A8" s="14">
        <f>'Kwh Reading'!A9</f>
        <v>44292</v>
      </c>
      <c r="B8" s="83">
        <f>TOTAL!E7</f>
        <v>25300</v>
      </c>
      <c r="C8" s="1">
        <f>'Kwh Consumption'!C9</f>
        <v>569.99999999999318</v>
      </c>
      <c r="D8" s="1">
        <f>'Kwh Consumption'!D9</f>
        <v>2499.9999999999468</v>
      </c>
      <c r="E8" s="1">
        <f>'Kwh Consumption'!E9</f>
        <v>240.00000000000909</v>
      </c>
      <c r="F8" s="1">
        <f>('Kwh Consumption'!F9+'Kwh Consumption'!G9+'Kwh Consumption'!H9)</f>
        <v>939.9999999999693</v>
      </c>
      <c r="G8" s="16">
        <f>('Kwh Consumption'!I9+'Kwh Consumption'!J9)</f>
        <v>450.00000000001705</v>
      </c>
      <c r="H8" s="1">
        <f>('Kwh Consumption'!K9+'Kwh Consumption'!L9)</f>
        <v>1599.9999999999659</v>
      </c>
      <c r="I8" s="1">
        <f>('Kwh Consumption'!M9+'Kwh Consumption'!N9+'Kwh Consumption'!O9+'Kwh Consumption'!P9+'Kwh Consumption'!Q9+'Kwh Consumption'!R9)</f>
        <v>5209.99999999998</v>
      </c>
      <c r="J8" s="1">
        <f>('Kwh Consumption'!S9+'Kwh Consumption'!T9)</f>
        <v>5799.8799999989569</v>
      </c>
      <c r="K8" s="1">
        <f>'Kwh Consumption'!U9</f>
        <v>229.99999999998977</v>
      </c>
      <c r="L8" s="32">
        <f t="shared" si="0"/>
        <v>7760.1200000011677</v>
      </c>
    </row>
    <row r="9" spans="1:12" x14ac:dyDescent="0.25">
      <c r="A9" s="14">
        <f>'Kwh Reading'!A10</f>
        <v>44293</v>
      </c>
      <c r="B9" s="83">
        <f>TOTAL!E8</f>
        <v>20730</v>
      </c>
      <c r="C9" s="1">
        <f>'Kwh Consumption'!C10</f>
        <v>529.99999999997272</v>
      </c>
      <c r="D9" s="1">
        <f>'Kwh Consumption'!D10</f>
        <v>2499.9999999999468</v>
      </c>
      <c r="E9" s="1">
        <f>'Kwh Consumption'!E10</f>
        <v>229.99999999998977</v>
      </c>
      <c r="F9" s="1">
        <f>('Kwh Consumption'!F10+'Kwh Consumption'!G10+'Kwh Consumption'!H10)</f>
        <v>1010.0000000000477</v>
      </c>
      <c r="G9" s="16">
        <f>('Kwh Consumption'!I10+'Kwh Consumption'!J10)</f>
        <v>429.9999999999784</v>
      </c>
      <c r="H9" s="1">
        <f>('Kwh Consumption'!K10+'Kwh Consumption'!L10)</f>
        <v>1680.0000000000352</v>
      </c>
      <c r="I9" s="1">
        <f>('Kwh Consumption'!M10+'Kwh Consumption'!N10+'Kwh Consumption'!O10+'Kwh Consumption'!P10+'Kwh Consumption'!Q10+'Kwh Consumption'!R10)</f>
        <v>5380.0000000000528</v>
      </c>
      <c r="J9" s="1">
        <f>('Kwh Consumption'!S10+'Kwh Consumption'!T10)</f>
        <v>6150.3600000012666</v>
      </c>
      <c r="K9" s="1">
        <f>'Kwh Consumption'!U10</f>
        <v>260.00000000001933</v>
      </c>
      <c r="L9" s="32">
        <f t="shared" si="0"/>
        <v>2559.6399999986961</v>
      </c>
    </row>
    <row r="10" spans="1:12" x14ac:dyDescent="0.25">
      <c r="A10" s="14">
        <f>'Kwh Reading'!A11</f>
        <v>44294</v>
      </c>
      <c r="B10" s="83">
        <f>TOTAL!E9</f>
        <v>24890</v>
      </c>
      <c r="C10" s="1">
        <f>'Kwh Consumption'!C11</f>
        <v>550.00000000001137</v>
      </c>
      <c r="D10" s="1">
        <f>'Kwh Consumption'!D11</f>
        <v>2600.0000000001578</v>
      </c>
      <c r="E10" s="1">
        <f>'Kwh Consumption'!E11</f>
        <v>240.00000000000909</v>
      </c>
      <c r="F10" s="1">
        <f>('Kwh Consumption'!F11+'Kwh Consumption'!G11+'Kwh Consumption'!H11)</f>
        <v>900.00000000000568</v>
      </c>
      <c r="G10" s="16">
        <f>('Kwh Consumption'!I11+'Kwh Consumption'!J11)</f>
        <v>450.00000000001705</v>
      </c>
      <c r="H10" s="1">
        <f>('Kwh Consumption'!K11+'Kwh Consumption'!L11)</f>
        <v>1679.9999999999784</v>
      </c>
      <c r="I10" s="1">
        <f>('Kwh Consumption'!M11+'Kwh Consumption'!N11+'Kwh Consumption'!O11+'Kwh Consumption'!P11+'Kwh Consumption'!Q11+'Kwh Consumption'!R11)</f>
        <v>5589.9999999999745</v>
      </c>
      <c r="J10" s="1">
        <f>('Kwh Consumption'!S11+'Kwh Consumption'!T11)</f>
        <v>6232.019999999553</v>
      </c>
      <c r="K10" s="1">
        <f>'Kwh Consumption'!U11</f>
        <v>310.00000000000227</v>
      </c>
      <c r="L10" s="32">
        <f t="shared" si="0"/>
        <v>6337.9800000002924</v>
      </c>
    </row>
    <row r="11" spans="1:12" x14ac:dyDescent="0.25">
      <c r="A11" s="14">
        <f>'Kwh Reading'!A12</f>
        <v>44295</v>
      </c>
      <c r="B11" s="83">
        <f>TOTAL!E10</f>
        <v>22380</v>
      </c>
      <c r="C11" s="1">
        <f>'Kwh Consumption'!C12</f>
        <v>259.99999999999091</v>
      </c>
      <c r="D11" s="1">
        <f>'Kwh Consumption'!D12</f>
        <v>2499.9999999999468</v>
      </c>
      <c r="E11" s="1">
        <f>'Kwh Consumption'!E12</f>
        <v>229.99999999998977</v>
      </c>
      <c r="F11" s="1">
        <f>('Kwh Consumption'!F12+'Kwh Consumption'!G12+'Kwh Consumption'!H12)</f>
        <v>879.99999999999545</v>
      </c>
      <c r="G11" s="16">
        <f>('Kwh Consumption'!I12+'Kwh Consumption'!J12)</f>
        <v>459.99999999997954</v>
      </c>
      <c r="H11" s="1">
        <f>('Kwh Consumption'!K12+'Kwh Consumption'!L12)</f>
        <v>1679.9999999999216</v>
      </c>
      <c r="I11" s="1">
        <f>('Kwh Consumption'!M12+'Kwh Consumption'!N12+'Kwh Consumption'!O12+'Kwh Consumption'!P12+'Kwh Consumption'!Q12+'Kwh Consumption'!R12)</f>
        <v>4919.9999999999582</v>
      </c>
      <c r="J11" s="1">
        <f>('Kwh Consumption'!S12+'Kwh Consumption'!T12)</f>
        <v>5209.5999999996275</v>
      </c>
      <c r="K11" s="1">
        <f>'Kwh Consumption'!U12</f>
        <v>269.99999999998181</v>
      </c>
      <c r="L11" s="32">
        <f t="shared" si="0"/>
        <v>5970.400000000609</v>
      </c>
    </row>
    <row r="12" spans="1:12" x14ac:dyDescent="0.25">
      <c r="A12" s="14">
        <f>'Kwh Reading'!A13</f>
        <v>44296</v>
      </c>
      <c r="B12" s="83">
        <f>TOTAL!E11</f>
        <v>24860</v>
      </c>
      <c r="C12" s="1">
        <f>'Kwh Consumption'!C13</f>
        <v>540.00000000002046</v>
      </c>
      <c r="D12" s="1">
        <f>'Kwh Consumption'!D13</f>
        <v>2499.9999999999468</v>
      </c>
      <c r="E12" s="1">
        <f>'Kwh Consumption'!E13</f>
        <v>230.00000000001819</v>
      </c>
      <c r="F12" s="1">
        <f>('Kwh Consumption'!F13+'Kwh Consumption'!G13+'Kwh Consumption'!H13)</f>
        <v>959.99999999997954</v>
      </c>
      <c r="G12" s="16">
        <f>('Kwh Consumption'!I13+'Kwh Consumption'!J13)</f>
        <v>460.00000000002217</v>
      </c>
      <c r="H12" s="1">
        <f>('Kwh Consumption'!K13+'Kwh Consumption'!L13)</f>
        <v>1810.0000000000307</v>
      </c>
      <c r="I12" s="1">
        <f>('Kwh Consumption'!M13+'Kwh Consumption'!N13+'Kwh Consumption'!O13+'Kwh Consumption'!P13+'Kwh Consumption'!Q13+'Kwh Consumption'!R13)</f>
        <v>5590.0000000000309</v>
      </c>
      <c r="J12" s="1">
        <f>('Kwh Consumption'!S13+'Kwh Consumption'!T13)</f>
        <v>5859.5400000000373</v>
      </c>
      <c r="K12" s="1">
        <f>'Kwh Consumption'!U13</f>
        <v>270.00000000001023</v>
      </c>
      <c r="L12" s="32">
        <f t="shared" si="0"/>
        <v>6640.4599999999073</v>
      </c>
    </row>
    <row r="13" spans="1:12" x14ac:dyDescent="0.25">
      <c r="A13" s="14">
        <f>'Kwh Reading'!A14</f>
        <v>44297</v>
      </c>
      <c r="B13" s="83">
        <f>TOTAL!E12</f>
        <v>23700</v>
      </c>
      <c r="C13" s="1">
        <f>'Kwh Consumption'!C14</f>
        <v>480.00000000001819</v>
      </c>
      <c r="D13" s="1">
        <f>'Kwh Consumption'!D14</f>
        <v>2299.9999999999686</v>
      </c>
      <c r="E13" s="1">
        <f>'Kwh Consumption'!E14</f>
        <v>199.99999999998863</v>
      </c>
      <c r="F13" s="1">
        <f>('Kwh Consumption'!F14+'Kwh Consumption'!G14+'Kwh Consumption'!H14)</f>
        <v>700.00000000001705</v>
      </c>
      <c r="G13" s="16">
        <f>('Kwh Consumption'!I14+'Kwh Consumption'!J14)</f>
        <v>409.99999999999659</v>
      </c>
      <c r="H13" s="1">
        <f>('Kwh Consumption'!K14+'Kwh Consumption'!L14)</f>
        <v>1670.0000000000443</v>
      </c>
      <c r="I13" s="1">
        <f>('Kwh Consumption'!M14+'Kwh Consumption'!N14+'Kwh Consumption'!O14+'Kwh Consumption'!P14+'Kwh Consumption'!Q14+'Kwh Consumption'!R14)</f>
        <v>5259.9999999999909</v>
      </c>
      <c r="J13" s="1">
        <f>('Kwh Consumption'!S14+'Kwh Consumption'!T14)</f>
        <v>5322.0100000007078</v>
      </c>
      <c r="K13" s="1">
        <f>'Kwh Consumption'!U14</f>
        <v>240.00000000000909</v>
      </c>
      <c r="L13" s="32">
        <f t="shared" si="0"/>
        <v>7117.9899999992595</v>
      </c>
    </row>
    <row r="14" spans="1:12" x14ac:dyDescent="0.25">
      <c r="A14" s="14">
        <f>'Kwh Reading'!A15</f>
        <v>44298</v>
      </c>
      <c r="B14" s="83">
        <f>TOTAL!E13</f>
        <v>23130</v>
      </c>
      <c r="C14" s="1">
        <f>'Kwh Consumption'!C15</f>
        <v>500</v>
      </c>
      <c r="D14" s="1">
        <f>'Kwh Consumption'!D15</f>
        <v>2499.9999999999468</v>
      </c>
      <c r="E14" s="1">
        <f>'Kwh Consumption'!E15</f>
        <v>229.99999999998977</v>
      </c>
      <c r="F14" s="1">
        <f>('Kwh Consumption'!F15+'Kwh Consumption'!G15+'Kwh Consumption'!H15)</f>
        <v>799.99999999998295</v>
      </c>
      <c r="G14" s="16">
        <f>('Kwh Consumption'!I15+'Kwh Consumption'!J15)</f>
        <v>430.00000000000682</v>
      </c>
      <c r="H14" s="1">
        <f>('Kwh Consumption'!K15+'Kwh Consumption'!L15)</f>
        <v>1759.9999999999909</v>
      </c>
      <c r="I14" s="1">
        <f>('Kwh Consumption'!M15+'Kwh Consumption'!N15+'Kwh Consumption'!O15+'Kwh Consumption'!P15+'Kwh Consumption'!Q15+'Kwh Consumption'!R15)</f>
        <v>5360.0000000001273</v>
      </c>
      <c r="J14" s="1">
        <f>('Kwh Consumption'!S15+'Kwh Consumption'!T15)</f>
        <v>5521.3399999989197</v>
      </c>
      <c r="K14" s="1">
        <f>'Kwh Consumption'!U15</f>
        <v>239.99999999998067</v>
      </c>
      <c r="L14" s="32">
        <f t="shared" si="0"/>
        <v>5788.6600000010594</v>
      </c>
    </row>
    <row r="15" spans="1:12" x14ac:dyDescent="0.25">
      <c r="A15" s="14">
        <f>'Kwh Reading'!A16</f>
        <v>44299</v>
      </c>
      <c r="B15" s="83">
        <f>TOTAL!E14</f>
        <v>24080</v>
      </c>
      <c r="C15" s="1">
        <f>'Kwh Consumption'!C16</f>
        <v>490.00000000000909</v>
      </c>
      <c r="D15" s="1">
        <f>'Kwh Consumption'!D16</f>
        <v>2200.0000000002019</v>
      </c>
      <c r="E15" s="1">
        <f>'Kwh Consumption'!E16</f>
        <v>240.00000000000909</v>
      </c>
      <c r="F15" s="1">
        <f>('Kwh Consumption'!F16+'Kwh Consumption'!G16+'Kwh Consumption'!H16)</f>
        <v>620.00000000003297</v>
      </c>
      <c r="G15" s="16">
        <f>('Kwh Consumption'!I16+'Kwh Consumption'!J16)</f>
        <v>390.00000000000057</v>
      </c>
      <c r="H15" s="1">
        <f>('Kwh Consumption'!K16+'Kwh Consumption'!L16)</f>
        <v>1670.0000000000443</v>
      </c>
      <c r="I15" s="1">
        <f>('Kwh Consumption'!M16+'Kwh Consumption'!N16+'Kwh Consumption'!O16+'Kwh Consumption'!P16+'Kwh Consumption'!Q16+'Kwh Consumption'!R16)</f>
        <v>5109.9999999999</v>
      </c>
      <c r="J15" s="1">
        <f>('Kwh Consumption'!S16+'Kwh Consumption'!T16)</f>
        <v>5387.6800000006333</v>
      </c>
      <c r="K15" s="1">
        <f>'Kwh Consumption'!U16</f>
        <v>219.99999999999886</v>
      </c>
      <c r="L15" s="32">
        <f t="shared" si="0"/>
        <v>7752.319999999173</v>
      </c>
    </row>
    <row r="16" spans="1:12" x14ac:dyDescent="0.25">
      <c r="A16" s="14">
        <f>'Kwh Reading'!A17</f>
        <v>44300</v>
      </c>
      <c r="B16" s="83">
        <f>TOTAL!E15</f>
        <v>0</v>
      </c>
      <c r="C16" s="1">
        <f>'Kwh Consumption'!C17</f>
        <v>-385720</v>
      </c>
      <c r="D16" s="1">
        <f>'Kwh Consumption'!D17</f>
        <v>-2191700</v>
      </c>
      <c r="E16" s="1">
        <f>'Kwh Consumption'!E17</f>
        <v>-212660</v>
      </c>
      <c r="F16" s="1">
        <f>('Kwh Consumption'!F17+'Kwh Consumption'!G17+'Kwh Consumption'!H17)</f>
        <v>-843320</v>
      </c>
      <c r="G16" s="16">
        <f>('Kwh Consumption'!I17+'Kwh Consumption'!J17)</f>
        <v>-239410</v>
      </c>
      <c r="H16" s="1">
        <f>('Kwh Consumption'!K17+'Kwh Consumption'!L17)</f>
        <v>-1088690</v>
      </c>
      <c r="I16" s="1">
        <f>('Kwh Consumption'!M17+'Kwh Consumption'!N17+'Kwh Consumption'!O17+'Kwh Consumption'!P17+'Kwh Consumption'!Q17+'Kwh Consumption'!R17)</f>
        <v>-3058660</v>
      </c>
      <c r="J16" s="1">
        <f>('Kwh Consumption'!S17+'Kwh Consumption'!T17)</f>
        <v>-15237463.370000001</v>
      </c>
      <c r="K16" s="1">
        <f>'Kwh Consumption'!U17</f>
        <v>-132040</v>
      </c>
      <c r="L16" s="32">
        <f t="shared" si="0"/>
        <v>23389663.370000001</v>
      </c>
    </row>
    <row r="17" spans="1:12" x14ac:dyDescent="0.25">
      <c r="A17" s="14">
        <f>'Kwh Reading'!A18</f>
        <v>44301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44302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44303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44304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44305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44306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44307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44308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44309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44310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44311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44312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44313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44314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44315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44316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44317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318750</v>
      </c>
      <c r="C34" s="75">
        <f>SUM(C3:C33)</f>
        <v>-378949.99999999994</v>
      </c>
      <c r="D34" s="75">
        <f t="shared" ref="D34:L34" si="1">SUM(D3:D33)</f>
        <v>-2158800</v>
      </c>
      <c r="E34" s="75">
        <f t="shared" si="1"/>
        <v>-209570</v>
      </c>
      <c r="F34" s="75">
        <f t="shared" si="1"/>
        <v>-830880</v>
      </c>
      <c r="G34" s="75">
        <f t="shared" si="1"/>
        <v>-233850</v>
      </c>
      <c r="H34" s="75">
        <f t="shared" si="1"/>
        <v>-1066940</v>
      </c>
      <c r="I34" s="75">
        <f t="shared" si="1"/>
        <v>-2987970</v>
      </c>
      <c r="J34" s="75">
        <f t="shared" si="1"/>
        <v>-15158481.4</v>
      </c>
      <c r="K34" s="75">
        <f t="shared" si="1"/>
        <v>-128640</v>
      </c>
      <c r="L34" s="75">
        <f t="shared" si="1"/>
        <v>23472831.399999999</v>
      </c>
      <c r="M34" s="84">
        <f>C34+D34+E34+F34+G34+H34+I34+J34+K34+L34</f>
        <v>318750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-53053</v>
      </c>
      <c r="D36" s="75">
        <f>D34*B36</f>
        <v>-302232</v>
      </c>
      <c r="E36" s="75">
        <f>E34*B36</f>
        <v>-29339.800000000003</v>
      </c>
      <c r="F36" s="75">
        <f>F34*B36</f>
        <v>-116323.20000000001</v>
      </c>
      <c r="G36" s="75">
        <f>G34*B36</f>
        <v>-32739.000000000004</v>
      </c>
      <c r="H36" s="75">
        <f>H34*B36</f>
        <v>-149371.6</v>
      </c>
      <c r="I36" s="75">
        <f>I34*B36</f>
        <v>-418315.80000000005</v>
      </c>
      <c r="J36" s="75">
        <f>J34*B36</f>
        <v>-2122187.3960000002</v>
      </c>
      <c r="K36" s="75">
        <f>K34*B36</f>
        <v>-18009.600000000002</v>
      </c>
      <c r="L36" s="75">
        <f>L34*B36</f>
        <v>3286196.3960000002</v>
      </c>
      <c r="M36" s="84">
        <f>C36+D36+E36+F36+G36+H36+I36+J36+K36+L36</f>
        <v>44625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23" sqref="P2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44287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75.600000000002879</v>
      </c>
      <c r="E3" s="1">
        <f>'Kwh Consumption'!D4*' Kwh area wise $ '!B3</f>
        <v>364.00000000002211</v>
      </c>
      <c r="F3" s="1">
        <f>'Kwh Consumption'!E4*' Kwh area wise $ '!B3</f>
        <v>35</v>
      </c>
      <c r="G3" s="1">
        <f>('Kwh Consumption'!F4+'Kwh Consumption'!G4+'Kwh Consumption'!H4)*' Kwh area wise $ '!B3</f>
        <v>145.59999999999889</v>
      </c>
      <c r="H3" s="16">
        <f>('Kwh Consumption'!I4+'Kwh Consumption'!J4)*' Kwh area wise $ '!B3</f>
        <v>65.799999999999841</v>
      </c>
      <c r="I3" s="1">
        <f>('Kwh Consumption'!K4+'Kwh Consumption'!L4)*' Kwh area wise $ '!B3</f>
        <v>222.60000000000846</v>
      </c>
      <c r="J3" s="1">
        <f>('Kwh Consumption'!M4+'Kwh Consumption'!N4+'Kwh Consumption'!O4+'Kwh Consumption'!P4+'Kwh Consumption'!Q4+'Kwh Consumption'!R4)*' Kwh area wise $ '!B3</f>
        <v>757.39999999997974</v>
      </c>
      <c r="K3" s="1">
        <f>('Kwh Consumption'!S4+'Kwh Consumption'!T4)*' Kwh area wise $ '!B3</f>
        <v>903.0056000001357</v>
      </c>
      <c r="L3" s="1">
        <f>'Kwh Consumption'!U4*' Kwh area wise $ '!B3</f>
        <v>37.80000000000144</v>
      </c>
      <c r="M3" s="1">
        <f>'Kwh Consumption'!V4*' Kwh area wise $ '!B3</f>
        <v>965.99439999985123</v>
      </c>
    </row>
    <row r="4" spans="1:13" x14ac:dyDescent="0.25">
      <c r="A4" s="14">
        <f>'Kwh Reading'!A5</f>
        <v>44288</v>
      </c>
      <c r="B4" s="11">
        <f>TOTAL!F3</f>
        <v>0.14000000000000001</v>
      </c>
      <c r="C4" s="11">
        <f>'Kwh Consumption'!B5*' Kwh area wise $ '!B4</f>
        <v>3623.2000000000003</v>
      </c>
      <c r="D4" s="1">
        <f>'Kwh Consumption'!C5*' Kwh area wise $ '!B4</f>
        <v>77.000000000001606</v>
      </c>
      <c r="E4" s="1">
        <f>'Kwh Consumption'!D5*' Kwh area wise $ '!B4</f>
        <v>364.00000000002211</v>
      </c>
      <c r="F4" s="1">
        <f>'Kwh Consumption'!E5*' Kwh area wise $ '!B4</f>
        <v>35</v>
      </c>
      <c r="G4" s="1">
        <f>('Kwh Consumption'!F5+'Kwh Consumption'!G5+'Kwh Consumption'!H5)*' Kwh area wise $ '!B4</f>
        <v>151.20000000000178</v>
      </c>
      <c r="H4" s="16">
        <f>('Kwh Consumption'!I5+'Kwh Consumption'!J5)*' Kwh area wise $ '!B4</f>
        <v>47.599999999998495</v>
      </c>
      <c r="I4" s="1">
        <f>('Kwh Consumption'!K5+'Kwh Consumption'!L5)*' Kwh area wise $ '!B4</f>
        <v>239.39999999999716</v>
      </c>
      <c r="J4" s="1">
        <f>('Kwh Consumption'!M5+'Kwh Consumption'!N5+'Kwh Consumption'!O5+'Kwh Consumption'!P5+'Kwh Consumption'!Q5+'Kwh Consumption'!R5)*' Kwh area wise $ '!B4</f>
        <v>803.60000000001742</v>
      </c>
      <c r="K4" s="1">
        <f>('Kwh Consumption'!S5+'Kwh Consumption'!T5)*' Kwh area wise $ '!B4</f>
        <v>945.42000000000007</v>
      </c>
      <c r="L4" s="1">
        <f>'Kwh Consumption'!U5*' Kwh area wise $ '!B4</f>
        <v>39.200000000000166</v>
      </c>
      <c r="M4" s="1">
        <f>'Kwh Consumption'!V5*' Kwh area wise $ '!B4</f>
        <v>920.77999999996189</v>
      </c>
    </row>
    <row r="5" spans="1:13" x14ac:dyDescent="0.25">
      <c r="A5" s="14">
        <f>'Kwh Reading'!A6</f>
        <v>44289</v>
      </c>
      <c r="B5" s="11">
        <f>TOTAL!F4</f>
        <v>0.14000000000000001</v>
      </c>
      <c r="C5" s="11">
        <f>'Kwh Consumption'!B6*' Kwh area wise $ '!B5</f>
        <v>3577.0000000000005</v>
      </c>
      <c r="D5" s="1">
        <f>'Kwh Consumption'!C6*' Kwh area wise $ '!B5</f>
        <v>86.800000000000651</v>
      </c>
      <c r="E5" s="1">
        <f>'Kwh Consumption'!D6*' Kwh area wise $ '!B5</f>
        <v>391.99999999995686</v>
      </c>
      <c r="F5" s="1">
        <f>'Kwh Consumption'!E6*' Kwh area wise $ '!B5</f>
        <v>37.80000000000144</v>
      </c>
      <c r="G5" s="1">
        <f>('Kwh Consumption'!F6+'Kwh Consumption'!G6+'Kwh Consumption'!H6)*' Kwh area wise $ '!B5</f>
        <v>172.19999999999462</v>
      </c>
      <c r="H5" s="16">
        <f>('Kwh Consumption'!I6+'Kwh Consumption'!J6)*' Kwh area wise $ '!B5</f>
        <v>50.400000000001917</v>
      </c>
      <c r="I5" s="1">
        <f>('Kwh Consumption'!K6+'Kwh Consumption'!L6)*' Kwh area wise $ '!B5</f>
        <v>229.60000000000608</v>
      </c>
      <c r="J5" s="1">
        <f>('Kwh Consumption'!M6+'Kwh Consumption'!N6+'Kwh Consumption'!O6+'Kwh Consumption'!P6+'Kwh Consumption'!Q6+'Kwh Consumption'!R6)*' Kwh area wise $ '!B5</f>
        <v>785.40000000000998</v>
      </c>
      <c r="K5" s="1">
        <f>('Kwh Consumption'!S6+'Kwh Consumption'!T6)*' Kwh area wise $ '!B5</f>
        <v>925.72060000000533</v>
      </c>
      <c r="L5" s="1">
        <f>'Kwh Consumption'!U6*' Kwh area wise $ '!B5</f>
        <v>40.599999999998893</v>
      </c>
      <c r="M5" s="1">
        <f>'Kwh Consumption'!V6*' Kwh area wise $ '!B5</f>
        <v>856.47940000002438</v>
      </c>
    </row>
    <row r="6" spans="1:13" x14ac:dyDescent="0.25">
      <c r="A6" s="14">
        <f>'Kwh Reading'!A7</f>
        <v>44290</v>
      </c>
      <c r="B6" s="11">
        <f>TOTAL!F5</f>
        <v>0.14000000000000001</v>
      </c>
      <c r="C6" s="11">
        <f>'Kwh Consumption'!B7*' Kwh area wise $ '!B6</f>
        <v>3763.2000000000003</v>
      </c>
      <c r="D6" s="1">
        <f>'Kwh Consumption'!C7*' Kwh area wise $ '!B6</f>
        <v>79.799999999999059</v>
      </c>
      <c r="E6" s="1">
        <f>'Kwh Consumption'!D7*' Kwh area wise $ '!B6</f>
        <v>349.99999999999261</v>
      </c>
      <c r="F6" s="1">
        <f>'Kwh Consumption'!E7*' Kwh area wise $ '!B6</f>
        <v>30.799999999999844</v>
      </c>
      <c r="G6" s="1">
        <f>('Kwh Consumption'!F7+'Kwh Consumption'!G7+'Kwh Consumption'!H7)*' Kwh area wise $ '!B6</f>
        <v>144.20000000000414</v>
      </c>
      <c r="H6" s="16">
        <f>('Kwh Consumption'!I7+'Kwh Consumption'!J7)*' Kwh area wise $ '!B6</f>
        <v>64.399999999999125</v>
      </c>
      <c r="I6" s="1">
        <f>('Kwh Consumption'!K7+'Kwh Consumption'!L7)*' Kwh area wise $ '!B6</f>
        <v>218.40000000000035</v>
      </c>
      <c r="J6" s="1">
        <f>('Kwh Consumption'!M7+'Kwh Consumption'!N7+'Kwh Consumption'!O7+'Kwh Consumption'!P7+'Kwh Consumption'!Q7+'Kwh Consumption'!R7)*' Kwh area wise $ '!B6</f>
        <v>785.40000000000987</v>
      </c>
      <c r="K6" s="1">
        <f>('Kwh Consumption'!S7+'Kwh Consumption'!T7)*' Kwh area wise $ '!B6</f>
        <v>950.77359999990097</v>
      </c>
      <c r="L6" s="1">
        <f>'Kwh Consumption'!U7*' Kwh area wise $ '!B6</f>
        <v>33.600000000001273</v>
      </c>
      <c r="M6" s="1">
        <f>'Kwh Consumption'!V7*' Kwh area wise $ '!B6</f>
        <v>1105.8264000000931</v>
      </c>
    </row>
    <row r="7" spans="1:13" x14ac:dyDescent="0.25">
      <c r="A7" s="14">
        <f>'Kwh Reading'!A8</f>
        <v>44291</v>
      </c>
      <c r="B7" s="11">
        <f>TOTAL!F6</f>
        <v>0.14000000000000001</v>
      </c>
      <c r="C7" s="11">
        <f>'Kwh Consumption'!B8*' Kwh area wise $ '!B7</f>
        <v>3619.0000000000005</v>
      </c>
      <c r="D7" s="1">
        <f>'Kwh Consumption'!C8*' Kwh area wise $ '!B7</f>
        <v>79.799999999999059</v>
      </c>
      <c r="E7" s="1">
        <f>'Kwh Consumption'!D8*' Kwh area wise $ '!B7</f>
        <v>392.00000000001899</v>
      </c>
      <c r="F7" s="1">
        <f>'Kwh Consumption'!E8*' Kwh area wise $ '!B7</f>
        <v>36.399999999998727</v>
      </c>
      <c r="G7" s="1">
        <f>('Kwh Consumption'!F8+'Kwh Consumption'!G8+'Kwh Consumption'!H8)*' Kwh area wise $ '!B7</f>
        <v>175.00000000000003</v>
      </c>
      <c r="H7" s="16">
        <f>('Kwh Consumption'!I8+'Kwh Consumption'!J8)*' Kwh area wise $ '!B7</f>
        <v>62.999999999998415</v>
      </c>
      <c r="I7" s="1">
        <f>('Kwh Consumption'!K8+'Kwh Consumption'!L8)*' Kwh area wise $ '!B7</f>
        <v>237.99999999999844</v>
      </c>
      <c r="J7" s="1">
        <f>('Kwh Consumption'!M8+'Kwh Consumption'!N8+'Kwh Consumption'!O8+'Kwh Consumption'!P8+'Kwh Consumption'!Q8+'Kwh Consumption'!R8)*' Kwh area wise $ '!B7</f>
        <v>825.99999999998101</v>
      </c>
      <c r="K7" s="1">
        <f>('Kwh Consumption'!S8+'Kwh Consumption'!T8)*' Kwh area wise $ '!B7</f>
        <v>965.01580000009392</v>
      </c>
      <c r="L7" s="1">
        <f>'Kwh Consumption'!U8*' Kwh area wise $ '!B7</f>
        <v>39.200000000000166</v>
      </c>
      <c r="M7" s="1">
        <f>'Kwh Consumption'!V8*' Kwh area wise $ '!B7</f>
        <v>804.58419999991133</v>
      </c>
    </row>
    <row r="8" spans="1:13" x14ac:dyDescent="0.25">
      <c r="A8" s="14">
        <f>'Kwh Reading'!A9</f>
        <v>44292</v>
      </c>
      <c r="B8" s="11">
        <f>TOTAL!F7</f>
        <v>0.14000000000000001</v>
      </c>
      <c r="C8" s="11">
        <f>'Kwh Consumption'!B9*' Kwh area wise $ '!B8</f>
        <v>3542.0000000000005</v>
      </c>
      <c r="D8" s="1">
        <f>'Kwh Consumption'!C9*' Kwh area wise $ '!B8</f>
        <v>79.799999999999059</v>
      </c>
      <c r="E8" s="1">
        <f>'Kwh Consumption'!D9*' Kwh area wise $ '!B8</f>
        <v>349.99999999999261</v>
      </c>
      <c r="F8" s="1">
        <f>'Kwh Consumption'!E9*' Kwh area wise $ '!B8</f>
        <v>33.600000000001273</v>
      </c>
      <c r="G8" s="1">
        <f>('Kwh Consumption'!F9+'Kwh Consumption'!G9+'Kwh Consumption'!H9)*' Kwh area wise $ '!B8</f>
        <v>131.5999999999957</v>
      </c>
      <c r="H8" s="16">
        <f>('Kwh Consumption'!I9+'Kwh Consumption'!J9)*' Kwh area wise $ '!B8</f>
        <v>63.000000000002395</v>
      </c>
      <c r="I8" s="1">
        <f>('Kwh Consumption'!K9+'Kwh Consumption'!L9)*' Kwh area wise $ '!B8</f>
        <v>223.99999999999525</v>
      </c>
      <c r="J8" s="1">
        <f>('Kwh Consumption'!M9+'Kwh Consumption'!N9+'Kwh Consumption'!O9+'Kwh Consumption'!P9+'Kwh Consumption'!Q9+'Kwh Consumption'!R9)*' Kwh area wise $ '!B8</f>
        <v>729.39999999999725</v>
      </c>
      <c r="K8" s="1">
        <f>('Kwh Consumption'!S9+'Kwh Consumption'!T9)*' Kwh area wise $ '!B8</f>
        <v>811.98319999985404</v>
      </c>
      <c r="L8" s="1">
        <f>'Kwh Consumption'!U9*' Kwh area wise $ '!B8</f>
        <v>32.199999999998568</v>
      </c>
      <c r="M8" s="1">
        <f>'Kwh Consumption'!V9*' Kwh area wise $ '!B8</f>
        <v>1086.4168000001639</v>
      </c>
    </row>
    <row r="9" spans="1:13" x14ac:dyDescent="0.25">
      <c r="A9" s="14">
        <f>'Kwh Reading'!A10</f>
        <v>44293</v>
      </c>
      <c r="B9" s="11">
        <f>TOTAL!F8</f>
        <v>0.14000000000000001</v>
      </c>
      <c r="C9" s="11">
        <f>'Kwh Consumption'!B10*' Kwh area wise $ '!B9</f>
        <v>2902.2000000000003</v>
      </c>
      <c r="D9" s="1">
        <f>'Kwh Consumption'!C10*' Kwh area wise $ '!B9</f>
        <v>74.19999999999618</v>
      </c>
      <c r="E9" s="1">
        <f>'Kwh Consumption'!D10*' Kwh area wise $ '!B9</f>
        <v>349.99999999999261</v>
      </c>
      <c r="F9" s="1">
        <f>'Kwh Consumption'!E10*' Kwh area wise $ '!B9</f>
        <v>32.199999999998568</v>
      </c>
      <c r="G9" s="1">
        <f>('Kwh Consumption'!F10+'Kwh Consumption'!G10+'Kwh Consumption'!H10)*' Kwh area wise $ '!B9</f>
        <v>141.40000000000668</v>
      </c>
      <c r="H9" s="16">
        <f>('Kwh Consumption'!I10+'Kwh Consumption'!J10)*' Kwh area wise $ '!B9</f>
        <v>60.199999999996983</v>
      </c>
      <c r="I9" s="1">
        <f>('Kwh Consumption'!K10+'Kwh Consumption'!L10)*' Kwh area wise $ '!B9</f>
        <v>235.20000000000496</v>
      </c>
      <c r="J9" s="1">
        <f>('Kwh Consumption'!M10+'Kwh Consumption'!N10+'Kwh Consumption'!O10+'Kwh Consumption'!P10+'Kwh Consumption'!Q10+'Kwh Consumption'!R10)*' Kwh area wise $ '!B9</f>
        <v>753.20000000000744</v>
      </c>
      <c r="K9" s="1">
        <f>('Kwh Consumption'!S10+'Kwh Consumption'!T10)*' Kwh area wise $ '!B9</f>
        <v>861.05040000017743</v>
      </c>
      <c r="L9" s="1">
        <f>'Kwh Consumption'!U10*' Kwh area wise $ '!B9</f>
        <v>36.400000000002706</v>
      </c>
      <c r="M9" s="1">
        <f>'Kwh Consumption'!V10*' Kwh area wise $ '!B9</f>
        <v>358.34959999981709</v>
      </c>
    </row>
    <row r="10" spans="1:13" x14ac:dyDescent="0.25">
      <c r="A10" s="14">
        <f>'Kwh Reading'!A11</f>
        <v>44294</v>
      </c>
      <c r="B10" s="11">
        <f>TOTAL!F9</f>
        <v>0.14000000000000001</v>
      </c>
      <c r="C10" s="11">
        <f>'Kwh Consumption'!B11*' Kwh area wise $ '!B10</f>
        <v>3484.6000000000004</v>
      </c>
      <c r="D10" s="1">
        <f>'Kwh Consumption'!C11*' Kwh area wise $ '!B10</f>
        <v>77.000000000001606</v>
      </c>
      <c r="E10" s="1">
        <f>'Kwh Consumption'!D11*' Kwh area wise $ '!B10</f>
        <v>364.00000000002211</v>
      </c>
      <c r="F10" s="1">
        <f>'Kwh Consumption'!E11*' Kwh area wise $ '!B10</f>
        <v>33.600000000001273</v>
      </c>
      <c r="G10" s="1">
        <f>('Kwh Consumption'!F11+'Kwh Consumption'!G11+'Kwh Consumption'!H11)*' Kwh area wise $ '!B10</f>
        <v>126.00000000000081</v>
      </c>
      <c r="H10" s="16">
        <f>('Kwh Consumption'!I11+'Kwh Consumption'!J11)*' Kwh area wise $ '!B10</f>
        <v>63.000000000002395</v>
      </c>
      <c r="I10" s="1">
        <f>('Kwh Consumption'!K11+'Kwh Consumption'!L11)*' Kwh area wise $ '!B10</f>
        <v>235.199999999997</v>
      </c>
      <c r="J10" s="1">
        <f>('Kwh Consumption'!M11+'Kwh Consumption'!N11+'Kwh Consumption'!O11+'Kwh Consumption'!P11+'Kwh Consumption'!Q11+'Kwh Consumption'!R11)*' Kwh area wise $ '!B10</f>
        <v>782.5999999999965</v>
      </c>
      <c r="K10" s="1">
        <f>('Kwh Consumption'!S11+'Kwh Consumption'!T11)*' Kwh area wise $ '!B10</f>
        <v>872.48279999993747</v>
      </c>
      <c r="L10" s="1">
        <f>'Kwh Consumption'!U11*' Kwh area wise $ '!B10</f>
        <v>43.400000000000325</v>
      </c>
      <c r="M10" s="1">
        <f>'Kwh Consumption'!V11*' Kwh area wise $ '!B10</f>
        <v>887.31720000004077</v>
      </c>
    </row>
    <row r="11" spans="1:13" x14ac:dyDescent="0.25">
      <c r="A11" s="14">
        <f>'Kwh Reading'!A12</f>
        <v>44295</v>
      </c>
      <c r="B11" s="11">
        <f>TOTAL!F10</f>
        <v>0.14000000000000001</v>
      </c>
      <c r="C11" s="11">
        <f>'Kwh Consumption'!B12*' Kwh area wise $ '!B11</f>
        <v>3133.2000000000003</v>
      </c>
      <c r="D11" s="1">
        <f>'Kwh Consumption'!C12*' Kwh area wise $ '!B11</f>
        <v>36.399999999998727</v>
      </c>
      <c r="E11" s="1">
        <f>'Kwh Consumption'!D12*' Kwh area wise $ '!B11</f>
        <v>349.99999999999261</v>
      </c>
      <c r="F11" s="1">
        <f>'Kwh Consumption'!E12*' Kwh area wise $ '!B11</f>
        <v>32.199999999998568</v>
      </c>
      <c r="G11" s="1">
        <f>('Kwh Consumption'!F12+'Kwh Consumption'!G12+'Kwh Consumption'!H12)*' Kwh area wise $ '!B11</f>
        <v>123.19999999999938</v>
      </c>
      <c r="H11" s="16">
        <f>('Kwh Consumption'!I12+'Kwh Consumption'!J12)*' Kwh area wise $ '!B11</f>
        <v>64.399999999997135</v>
      </c>
      <c r="I11" s="1">
        <f>('Kwh Consumption'!K12+'Kwh Consumption'!L12)*' Kwh area wise $ '!B11</f>
        <v>235.19999999998905</v>
      </c>
      <c r="J11" s="1">
        <f>('Kwh Consumption'!M12+'Kwh Consumption'!N12+'Kwh Consumption'!O12+'Kwh Consumption'!P12+'Kwh Consumption'!Q12+'Kwh Consumption'!R12)*' Kwh area wise $ '!B11</f>
        <v>688.79999999999416</v>
      </c>
      <c r="K11" s="1">
        <f>('Kwh Consumption'!S12+'Kwh Consumption'!T12)*' Kwh area wise $ '!B11</f>
        <v>729.34399999994787</v>
      </c>
      <c r="L11" s="1">
        <f>'Kwh Consumption'!U12*' Kwh area wise $ '!B11</f>
        <v>37.799999999997461</v>
      </c>
      <c r="M11" s="1">
        <f>'Kwh Consumption'!V12*' Kwh area wise $ '!B11</f>
        <v>835.8560000000848</v>
      </c>
    </row>
    <row r="12" spans="1:13" x14ac:dyDescent="0.25">
      <c r="A12" s="14">
        <f>'Kwh Reading'!A13</f>
        <v>44296</v>
      </c>
      <c r="B12" s="11">
        <f>TOTAL!F11</f>
        <v>0.14000000000000001</v>
      </c>
      <c r="C12" s="11">
        <f>'Kwh Consumption'!B13*' Kwh area wise $ '!B12</f>
        <v>3480.4000000000005</v>
      </c>
      <c r="D12" s="1">
        <f>'Kwh Consumption'!C13*' Kwh area wise $ '!B12</f>
        <v>75.600000000002879</v>
      </c>
      <c r="E12" s="1">
        <f>'Kwh Consumption'!D13*' Kwh area wise $ '!B12</f>
        <v>349.99999999999261</v>
      </c>
      <c r="F12" s="1">
        <f>'Kwh Consumption'!E13*' Kwh area wise $ '!B12</f>
        <v>32.200000000002547</v>
      </c>
      <c r="G12" s="1">
        <f>('Kwh Consumption'!F13+'Kwh Consumption'!G13+'Kwh Consumption'!H13)*' Kwh area wise $ '!B12</f>
        <v>134.39999999999714</v>
      </c>
      <c r="H12" s="16">
        <f>('Kwh Consumption'!I13+'Kwh Consumption'!J13)*' Kwh area wise $ '!B12</f>
        <v>64.400000000003104</v>
      </c>
      <c r="I12" s="1">
        <f>('Kwh Consumption'!K13+'Kwh Consumption'!L13)*' Kwh area wise $ '!B12</f>
        <v>253.40000000000433</v>
      </c>
      <c r="J12" s="1">
        <f>('Kwh Consumption'!M13+'Kwh Consumption'!N13+'Kwh Consumption'!O13+'Kwh Consumption'!P13+'Kwh Consumption'!Q13+'Kwh Consumption'!R13)*' Kwh area wise $ '!B12</f>
        <v>782.60000000000446</v>
      </c>
      <c r="K12" s="1">
        <f>('Kwh Consumption'!S13+'Kwh Consumption'!T13)*' Kwh area wise $ '!B12</f>
        <v>820.33560000000534</v>
      </c>
      <c r="L12" s="1">
        <f>'Kwh Consumption'!U13*' Kwh area wise $ '!B12</f>
        <v>37.80000000000144</v>
      </c>
      <c r="M12" s="1">
        <f>'Kwh Consumption'!V13*' Kwh area wise $ '!B12</f>
        <v>929.66439999998624</v>
      </c>
    </row>
    <row r="13" spans="1:13" x14ac:dyDescent="0.25">
      <c r="A13" s="14">
        <f>'Kwh Reading'!A14</f>
        <v>44297</v>
      </c>
      <c r="B13" s="11">
        <f>TOTAL!F12</f>
        <v>0.14000000000000001</v>
      </c>
      <c r="C13" s="11">
        <f>'Kwh Consumption'!B14*' Kwh area wise $ '!B13</f>
        <v>3318.0000000000005</v>
      </c>
      <c r="D13" s="1">
        <f>'Kwh Consumption'!C14*' Kwh area wise $ '!B13</f>
        <v>67.200000000002547</v>
      </c>
      <c r="E13" s="1">
        <f>'Kwh Consumption'!D14*' Kwh area wise $ '!B13</f>
        <v>321.99999999999562</v>
      </c>
      <c r="F13" s="1">
        <f>'Kwh Consumption'!E14*' Kwh area wise $ '!B13</f>
        <v>27.999999999998412</v>
      </c>
      <c r="G13" s="1">
        <f>('Kwh Consumption'!F14+'Kwh Consumption'!G14+'Kwh Consumption'!H14)*' Kwh area wise $ '!B13</f>
        <v>98.000000000002402</v>
      </c>
      <c r="H13" s="16">
        <f>('Kwh Consumption'!I14+'Kwh Consumption'!J14)*' Kwh area wise $ '!B13</f>
        <v>57.39999999999953</v>
      </c>
      <c r="I13" s="1">
        <f>('Kwh Consumption'!K14+'Kwh Consumption'!L14)*' Kwh area wise $ '!B13</f>
        <v>233.80000000000624</v>
      </c>
      <c r="J13" s="1">
        <f>('Kwh Consumption'!M14+'Kwh Consumption'!N14+'Kwh Consumption'!O14+'Kwh Consumption'!P14+'Kwh Consumption'!Q14+'Kwh Consumption'!R14)*' Kwh area wise $ '!B13</f>
        <v>736.39999999999884</v>
      </c>
      <c r="K13" s="1">
        <f>('Kwh Consumption'!S14+'Kwh Consumption'!T14)*' Kwh area wise $ '!B13</f>
        <v>745.08140000009917</v>
      </c>
      <c r="L13" s="1">
        <f>'Kwh Consumption'!U14*' Kwh area wise $ '!B13</f>
        <v>33.600000000001273</v>
      </c>
      <c r="M13" s="1">
        <f>'Kwh Consumption'!V14*' Kwh area wise $ '!B13</f>
        <v>996.51859999989586</v>
      </c>
    </row>
    <row r="14" spans="1:13" x14ac:dyDescent="0.25">
      <c r="A14" s="14">
        <f>'Kwh Reading'!A15</f>
        <v>44298</v>
      </c>
      <c r="B14" s="11">
        <f>TOTAL!F13</f>
        <v>0.14000000000000001</v>
      </c>
      <c r="C14" s="11">
        <f>'Kwh Consumption'!B15*' Kwh area wise $ '!B14</f>
        <v>3238.2000000000003</v>
      </c>
      <c r="D14" s="1">
        <f>'Kwh Consumption'!C15*' Kwh area wise $ '!B14</f>
        <v>70</v>
      </c>
      <c r="E14" s="1">
        <f>'Kwh Consumption'!D15*' Kwh area wise $ '!B14</f>
        <v>349.99999999999261</v>
      </c>
      <c r="F14" s="1">
        <f>'Kwh Consumption'!E15*' Kwh area wise $ '!B14</f>
        <v>32.199999999998568</v>
      </c>
      <c r="G14" s="1">
        <f>('Kwh Consumption'!F15+'Kwh Consumption'!G15+'Kwh Consumption'!H15)*' Kwh area wise $ '!B14</f>
        <v>111.99999999999763</v>
      </c>
      <c r="H14" s="16">
        <f>('Kwh Consumption'!I15+'Kwh Consumption'!J15)*' Kwh area wise $ '!B14</f>
        <v>60.200000000000962</v>
      </c>
      <c r="I14" s="1">
        <f>('Kwh Consumption'!K15+'Kwh Consumption'!L15)*' Kwh area wise $ '!B14</f>
        <v>246.39999999999876</v>
      </c>
      <c r="J14" s="1">
        <f>('Kwh Consumption'!M15+'Kwh Consumption'!N15+'Kwh Consumption'!O15+'Kwh Consumption'!P15+'Kwh Consumption'!Q15+'Kwh Consumption'!R15)*' Kwh area wise $ '!B14</f>
        <v>750.40000000001794</v>
      </c>
      <c r="K14" s="1">
        <f>('Kwh Consumption'!S15+'Kwh Consumption'!T15)*' Kwh area wise $ '!B14</f>
        <v>772.98759999984884</v>
      </c>
      <c r="L14" s="1">
        <f>'Kwh Consumption'!U15*' Kwh area wise $ '!B14</f>
        <v>33.599999999997294</v>
      </c>
      <c r="M14" s="1">
        <f>'Kwh Consumption'!V15*' Kwh area wise $ '!B14</f>
        <v>810.41240000014773</v>
      </c>
    </row>
    <row r="15" spans="1:13" x14ac:dyDescent="0.25">
      <c r="A15" s="14">
        <f>'Kwh Reading'!A16</f>
        <v>44299</v>
      </c>
      <c r="B15" s="11">
        <f>TOTAL!F14</f>
        <v>0.14000000000000001</v>
      </c>
      <c r="C15" s="11">
        <f>'Kwh Consumption'!B16*' Kwh area wise $ '!B15</f>
        <v>3371.2000000000003</v>
      </c>
      <c r="D15" s="1">
        <f>'Kwh Consumption'!C16*' Kwh area wise $ '!B15</f>
        <v>68.600000000001273</v>
      </c>
      <c r="E15" s="1">
        <f>'Kwh Consumption'!D16*' Kwh area wise $ '!B15</f>
        <v>308.00000000002831</v>
      </c>
      <c r="F15" s="1">
        <f>'Kwh Consumption'!E16*' Kwh area wise $ '!B15</f>
        <v>33.600000000001273</v>
      </c>
      <c r="G15" s="1">
        <f>('Kwh Consumption'!F16+'Kwh Consumption'!G16+'Kwh Consumption'!H16)*' Kwh area wise $ '!B15</f>
        <v>86.80000000000463</v>
      </c>
      <c r="H15" s="16">
        <f>('Kwh Consumption'!I16+'Kwh Consumption'!J16)*' Kwh area wise $ '!B15</f>
        <v>54.600000000000087</v>
      </c>
      <c r="I15" s="1">
        <f>('Kwh Consumption'!K16+'Kwh Consumption'!L16)*' Kwh area wise $ '!B15</f>
        <v>233.80000000000624</v>
      </c>
      <c r="J15" s="1">
        <f>('Kwh Consumption'!M16+'Kwh Consumption'!N16+'Kwh Consumption'!O16+'Kwh Consumption'!P16+'Kwh Consumption'!Q16+'Kwh Consumption'!R16)*' Kwh area wise $ '!B15</f>
        <v>715.39999999998611</v>
      </c>
      <c r="K15" s="1">
        <f>('Kwh Consumption'!S16+'Kwh Consumption'!T16)*' Kwh area wise $ '!B15</f>
        <v>754.27520000008872</v>
      </c>
      <c r="L15" s="1">
        <f>'Kwh Consumption'!U16*' Kwh area wise $ '!B15</f>
        <v>30.799999999999844</v>
      </c>
      <c r="M15" s="1">
        <f>'Kwh Consumption'!V16*' Kwh area wise $ '!B15</f>
        <v>1085.3247999998837</v>
      </c>
    </row>
    <row r="16" spans="1:13" x14ac:dyDescent="0.25">
      <c r="A16" s="14">
        <f>'Kwh Reading'!A17</f>
        <v>44300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-54000.800000000003</v>
      </c>
      <c r="E16" s="1">
        <f>'Kwh Consumption'!D17*' Kwh area wise $ '!B16</f>
        <v>-306838.00000000006</v>
      </c>
      <c r="F16" s="1">
        <f>'Kwh Consumption'!E17*' Kwh area wise $ '!B16</f>
        <v>-29772.400000000001</v>
      </c>
      <c r="G16" s="1">
        <f>('Kwh Consumption'!F17+'Kwh Consumption'!G17+'Kwh Consumption'!H17)*' Kwh area wise $ '!B16</f>
        <v>-118064.80000000002</v>
      </c>
      <c r="H16" s="16">
        <f>('Kwh Consumption'!I17+'Kwh Consumption'!J17)*' Kwh area wise $ '!B16</f>
        <v>-33517.4</v>
      </c>
      <c r="I16" s="1">
        <f>('Kwh Consumption'!K17+'Kwh Consumption'!L17)*' Kwh area wise $ '!B16</f>
        <v>-152416.6</v>
      </c>
      <c r="J16" s="1">
        <f>('Kwh Consumption'!M17+'Kwh Consumption'!N17+'Kwh Consumption'!O17+'Kwh Consumption'!P17+'Kwh Consumption'!Q17+'Kwh Consumption'!R17)*' Kwh area wise $ '!B16</f>
        <v>-428212.4</v>
      </c>
      <c r="K16" s="1">
        <f>('Kwh Consumption'!S17+'Kwh Consumption'!T17)*' Kwh area wise $ '!B16</f>
        <v>-2133244.8718000003</v>
      </c>
      <c r="L16" s="1">
        <f>'Kwh Consumption'!U17*' Kwh area wise $ '!B16</f>
        <v>-18485.600000000002</v>
      </c>
      <c r="M16" s="1">
        <f>'Kwh Consumption'!V17*' Kwh area wise $ '!B16</f>
        <v>3274552.8717999998</v>
      </c>
    </row>
    <row r="17" spans="1:13" x14ac:dyDescent="0.25">
      <c r="A17" s="14">
        <f>'Kwh Reading'!A18</f>
        <v>44301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44302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44303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44304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44305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44306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44307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44308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44309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44310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44311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44312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44313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44314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44315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44316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44317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3" t="s">
        <v>53</v>
      </c>
      <c r="B34" s="133"/>
      <c r="C34" s="75">
        <f t="shared" ref="C34:L34" si="0">SUM(C3:C33)</f>
        <v>44624.999999999993</v>
      </c>
      <c r="D34" s="75">
        <f t="shared" si="0"/>
        <v>-53053</v>
      </c>
      <c r="E34" s="75">
        <f t="shared" si="0"/>
        <v>-302232.00000000006</v>
      </c>
      <c r="F34" s="75">
        <f t="shared" si="0"/>
        <v>-29339.8</v>
      </c>
      <c r="G34" s="75">
        <f t="shared" si="0"/>
        <v>-116323.20000000001</v>
      </c>
      <c r="H34" s="75">
        <f t="shared" si="0"/>
        <v>-32739</v>
      </c>
      <c r="I34" s="75">
        <f t="shared" si="0"/>
        <v>-149371.6</v>
      </c>
      <c r="J34" s="75">
        <f t="shared" si="0"/>
        <v>-418315.80000000005</v>
      </c>
      <c r="K34" s="75">
        <f t="shared" si="0"/>
        <v>-2122187.3960000002</v>
      </c>
      <c r="L34" s="75">
        <f t="shared" si="0"/>
        <v>-18009.600000000002</v>
      </c>
      <c r="M34" s="75">
        <f>SUM(M3:M33)</f>
        <v>3286196.3959999997</v>
      </c>
      <c r="N34" s="84">
        <f>D34+E34+F34+G34+H34+I34+J34+K34+L34+M34</f>
        <v>44624.999999999534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S16" sqref="S16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44287</v>
      </c>
      <c r="B3" s="33">
        <v>150806</v>
      </c>
      <c r="C3" s="56">
        <v>108815</v>
      </c>
      <c r="D3" s="33">
        <v>195982</v>
      </c>
      <c r="E3" s="33">
        <v>242368</v>
      </c>
      <c r="F3" s="33">
        <v>66868</v>
      </c>
      <c r="G3" s="33">
        <v>110066</v>
      </c>
      <c r="H3" s="33">
        <v>48022</v>
      </c>
      <c r="I3" s="33">
        <v>59209</v>
      </c>
      <c r="J3" s="33">
        <v>19008</v>
      </c>
      <c r="K3" s="33">
        <v>1024</v>
      </c>
      <c r="L3" s="33">
        <v>16640</v>
      </c>
      <c r="M3" s="33">
        <v>22889</v>
      </c>
      <c r="N3" s="33">
        <v>6642</v>
      </c>
      <c r="O3" s="33">
        <v>1592</v>
      </c>
      <c r="P3" s="33">
        <v>26141</v>
      </c>
      <c r="Q3" s="33">
        <v>297</v>
      </c>
      <c r="R3" s="33">
        <v>5832</v>
      </c>
    </row>
    <row r="4" spans="1:21" x14ac:dyDescent="0.25">
      <c r="A4" s="54">
        <v>44288</v>
      </c>
      <c r="B4" s="56">
        <v>150946</v>
      </c>
      <c r="C4" s="56">
        <v>109025</v>
      </c>
      <c r="D4" s="55">
        <v>196125</v>
      </c>
      <c r="E4" s="55">
        <v>242429</v>
      </c>
      <c r="F4" s="55">
        <v>66868</v>
      </c>
      <c r="G4" s="55">
        <v>110092</v>
      </c>
      <c r="H4" s="33">
        <v>48062</v>
      </c>
      <c r="I4" s="55">
        <v>59254</v>
      </c>
      <c r="J4" s="55">
        <v>19018</v>
      </c>
      <c r="K4" s="55">
        <v>1024</v>
      </c>
      <c r="L4" s="55">
        <v>16648</v>
      </c>
      <c r="M4" s="55">
        <v>22903</v>
      </c>
      <c r="N4" s="55">
        <v>6845</v>
      </c>
      <c r="O4" s="55">
        <v>1592</v>
      </c>
      <c r="P4" s="55">
        <v>26141</v>
      </c>
      <c r="Q4" s="33">
        <v>299</v>
      </c>
      <c r="R4" s="55">
        <v>5838</v>
      </c>
    </row>
    <row r="5" spans="1:21" x14ac:dyDescent="0.25">
      <c r="A5" s="54">
        <v>44289</v>
      </c>
      <c r="B5" s="55">
        <v>151094</v>
      </c>
      <c r="C5" s="33">
        <v>109249</v>
      </c>
      <c r="D5" s="55">
        <v>196281</v>
      </c>
      <c r="E5" s="55">
        <v>242492</v>
      </c>
      <c r="F5" s="55">
        <v>66868</v>
      </c>
      <c r="G5" s="55">
        <v>110119</v>
      </c>
      <c r="H5" s="33">
        <v>48105</v>
      </c>
      <c r="I5" s="55">
        <v>59303</v>
      </c>
      <c r="J5" s="55">
        <v>19030</v>
      </c>
      <c r="K5" s="55">
        <v>1024</v>
      </c>
      <c r="L5" s="55">
        <v>16656</v>
      </c>
      <c r="M5" s="55">
        <v>22917</v>
      </c>
      <c r="N5" s="55">
        <v>6848</v>
      </c>
      <c r="O5" s="55">
        <v>1594</v>
      </c>
      <c r="P5" s="55">
        <v>26141</v>
      </c>
      <c r="Q5" s="33">
        <v>304</v>
      </c>
      <c r="R5" s="55">
        <v>5845</v>
      </c>
    </row>
    <row r="6" spans="1:21" x14ac:dyDescent="0.25">
      <c r="A6" s="54">
        <v>44290</v>
      </c>
      <c r="B6" s="56">
        <v>151263</v>
      </c>
      <c r="C6" s="56">
        <v>109508</v>
      </c>
      <c r="D6" s="55">
        <v>196482</v>
      </c>
      <c r="E6" s="55">
        <v>242552</v>
      </c>
      <c r="F6" s="55">
        <v>66868</v>
      </c>
      <c r="G6" s="55">
        <v>110150</v>
      </c>
      <c r="H6" s="33">
        <v>48154</v>
      </c>
      <c r="I6" s="55">
        <v>59362</v>
      </c>
      <c r="J6" s="55">
        <v>19041</v>
      </c>
      <c r="K6" s="55">
        <v>1024</v>
      </c>
      <c r="L6" s="55">
        <v>16664</v>
      </c>
      <c r="M6" s="55">
        <v>22929</v>
      </c>
      <c r="N6" s="55">
        <v>6850</v>
      </c>
      <c r="O6" s="55">
        <v>1595</v>
      </c>
      <c r="P6" s="55">
        <v>26141</v>
      </c>
      <c r="Q6" s="33">
        <v>305</v>
      </c>
      <c r="R6" s="55">
        <v>5851</v>
      </c>
    </row>
    <row r="7" spans="1:21" x14ac:dyDescent="0.25">
      <c r="A7" s="54">
        <v>44291</v>
      </c>
      <c r="B7" s="56">
        <v>151446</v>
      </c>
      <c r="C7" s="33">
        <v>109807</v>
      </c>
      <c r="D7" s="55">
        <v>196691</v>
      </c>
      <c r="E7" s="55">
        <v>242624</v>
      </c>
      <c r="F7" s="55">
        <v>66868</v>
      </c>
      <c r="G7" s="55">
        <v>110180</v>
      </c>
      <c r="H7" s="33">
        <v>48208</v>
      </c>
      <c r="I7" s="55">
        <v>59460</v>
      </c>
      <c r="J7" s="55">
        <v>19054</v>
      </c>
      <c r="K7" s="55">
        <v>1024</v>
      </c>
      <c r="L7" s="55">
        <v>16672</v>
      </c>
      <c r="M7" s="55">
        <v>22942</v>
      </c>
      <c r="N7" s="55">
        <v>6851</v>
      </c>
      <c r="O7" s="55">
        <v>1595</v>
      </c>
      <c r="P7" s="55">
        <v>26177</v>
      </c>
      <c r="Q7" s="33">
        <v>309.10000000000002</v>
      </c>
      <c r="R7" s="55">
        <v>5862</v>
      </c>
    </row>
    <row r="8" spans="1:21" x14ac:dyDescent="0.25">
      <c r="A8" s="54">
        <v>44292</v>
      </c>
      <c r="B8" s="33">
        <v>151611</v>
      </c>
      <c r="C8" s="56">
        <v>110074</v>
      </c>
      <c r="D8" s="55">
        <v>196896</v>
      </c>
      <c r="E8" s="55">
        <v>242687</v>
      </c>
      <c r="F8" s="55">
        <v>66868</v>
      </c>
      <c r="G8" s="55">
        <v>110208</v>
      </c>
      <c r="H8" s="33">
        <v>48260</v>
      </c>
      <c r="I8" s="55">
        <v>59526</v>
      </c>
      <c r="J8" s="55">
        <v>19066</v>
      </c>
      <c r="K8" s="55">
        <v>1024</v>
      </c>
      <c r="L8" s="55">
        <v>16678</v>
      </c>
      <c r="M8" s="55">
        <v>22954</v>
      </c>
      <c r="N8" s="55">
        <v>6854</v>
      </c>
      <c r="O8" s="55">
        <v>1597</v>
      </c>
      <c r="P8" s="55">
        <v>26182</v>
      </c>
      <c r="Q8" s="33">
        <v>313</v>
      </c>
      <c r="R8" s="55">
        <v>5869</v>
      </c>
    </row>
    <row r="9" spans="1:21" x14ac:dyDescent="0.25">
      <c r="A9" s="54">
        <v>44293</v>
      </c>
      <c r="B9" s="33">
        <v>151727</v>
      </c>
      <c r="C9" s="33">
        <v>110272</v>
      </c>
      <c r="D9" s="55">
        <v>196985</v>
      </c>
      <c r="E9" s="55">
        <v>242747</v>
      </c>
      <c r="F9" s="55">
        <v>66868</v>
      </c>
      <c r="G9" s="55">
        <v>110232</v>
      </c>
      <c r="H9" s="33">
        <v>48304</v>
      </c>
      <c r="I9" s="55">
        <v>59603</v>
      </c>
      <c r="J9" s="55">
        <v>19078</v>
      </c>
      <c r="K9" s="55">
        <v>1024</v>
      </c>
      <c r="L9" s="55">
        <v>16685</v>
      </c>
      <c r="M9" s="55">
        <v>22978</v>
      </c>
      <c r="N9" s="55">
        <v>6857</v>
      </c>
      <c r="O9" s="55">
        <v>1598</v>
      </c>
      <c r="P9" s="55">
        <v>26197</v>
      </c>
      <c r="Q9" s="33">
        <v>317</v>
      </c>
      <c r="R9" s="55">
        <v>5877</v>
      </c>
    </row>
    <row r="10" spans="1:21" x14ac:dyDescent="0.25">
      <c r="A10" s="54">
        <v>44294</v>
      </c>
      <c r="B10" s="33">
        <v>151865</v>
      </c>
      <c r="C10" s="56">
        <v>110497</v>
      </c>
      <c r="D10" s="55">
        <v>197120</v>
      </c>
      <c r="E10" s="55">
        <v>242813</v>
      </c>
      <c r="F10" s="55">
        <v>66869</v>
      </c>
      <c r="G10" s="55">
        <v>110257</v>
      </c>
      <c r="H10" s="33">
        <v>48358</v>
      </c>
      <c r="I10" s="55">
        <v>59674</v>
      </c>
      <c r="J10" s="55">
        <v>19089</v>
      </c>
      <c r="K10" s="55">
        <v>1024</v>
      </c>
      <c r="L10" s="55">
        <v>16693</v>
      </c>
      <c r="M10" s="55">
        <v>22984</v>
      </c>
      <c r="N10" s="55">
        <v>6661</v>
      </c>
      <c r="O10" s="55">
        <v>1601</v>
      </c>
      <c r="P10" s="55">
        <v>26205</v>
      </c>
      <c r="Q10" s="33">
        <v>323</v>
      </c>
      <c r="R10" s="55">
        <v>5885</v>
      </c>
    </row>
    <row r="11" spans="1:21" x14ac:dyDescent="0.25">
      <c r="A11" s="54">
        <v>44295</v>
      </c>
      <c r="B11" s="33">
        <v>152004</v>
      </c>
      <c r="C11" s="33">
        <v>110716</v>
      </c>
      <c r="D11" s="55">
        <v>197248</v>
      </c>
      <c r="E11" s="55">
        <v>242876</v>
      </c>
      <c r="F11" s="55">
        <v>66870</v>
      </c>
      <c r="G11" s="55">
        <v>110280</v>
      </c>
      <c r="H11" s="33">
        <v>48401</v>
      </c>
      <c r="I11" s="55">
        <v>59747</v>
      </c>
      <c r="J11" s="55">
        <v>19100</v>
      </c>
      <c r="K11" s="55">
        <v>1024</v>
      </c>
      <c r="L11" s="55">
        <v>16700</v>
      </c>
      <c r="M11" s="55">
        <v>22697</v>
      </c>
      <c r="N11" s="55">
        <v>6865</v>
      </c>
      <c r="O11" s="55">
        <v>1602</v>
      </c>
      <c r="P11" s="55">
        <v>26211</v>
      </c>
      <c r="Q11" s="33">
        <v>327</v>
      </c>
      <c r="R11" s="55">
        <v>5890</v>
      </c>
    </row>
    <row r="12" spans="1:21" x14ac:dyDescent="0.25">
      <c r="A12" s="54">
        <v>44296</v>
      </c>
      <c r="B12" s="33">
        <v>152192</v>
      </c>
      <c r="C12" s="56">
        <v>111001</v>
      </c>
      <c r="D12" s="55">
        <v>197468</v>
      </c>
      <c r="E12" s="55">
        <v>242941</v>
      </c>
      <c r="F12" s="55">
        <v>66871</v>
      </c>
      <c r="G12" s="55">
        <v>110305</v>
      </c>
      <c r="H12" s="33">
        <v>48463</v>
      </c>
      <c r="I12" s="55">
        <v>59824</v>
      </c>
      <c r="J12" s="55">
        <v>19113</v>
      </c>
      <c r="K12" s="55">
        <v>1024</v>
      </c>
      <c r="L12" s="55">
        <v>16708</v>
      </c>
      <c r="M12" s="55">
        <v>23010</v>
      </c>
      <c r="N12" s="55">
        <v>6867</v>
      </c>
      <c r="O12" s="55">
        <v>1603</v>
      </c>
      <c r="P12" s="55">
        <v>26214</v>
      </c>
      <c r="Q12" s="33">
        <v>329</v>
      </c>
      <c r="R12" s="55">
        <v>5891</v>
      </c>
    </row>
    <row r="13" spans="1:21" x14ac:dyDescent="0.25">
      <c r="A13" s="54">
        <v>44297</v>
      </c>
      <c r="B13" s="33">
        <v>152328</v>
      </c>
      <c r="C13" s="33">
        <v>111221</v>
      </c>
      <c r="D13" s="55">
        <v>197616</v>
      </c>
      <c r="E13" s="55">
        <v>243002</v>
      </c>
      <c r="F13" s="55">
        <v>66871</v>
      </c>
      <c r="G13" s="55">
        <v>110325</v>
      </c>
      <c r="H13" s="33">
        <v>48505</v>
      </c>
      <c r="I13" s="55">
        <v>59897</v>
      </c>
      <c r="J13" s="55">
        <v>19126</v>
      </c>
      <c r="K13" s="55">
        <v>1024</v>
      </c>
      <c r="L13" s="55">
        <v>16715</v>
      </c>
      <c r="M13" s="55">
        <v>23024</v>
      </c>
      <c r="N13" s="55">
        <v>6869</v>
      </c>
      <c r="O13" s="55">
        <v>1603</v>
      </c>
      <c r="P13" s="55">
        <v>26219</v>
      </c>
      <c r="Q13" s="33">
        <v>335</v>
      </c>
      <c r="R13" s="55">
        <v>5896</v>
      </c>
    </row>
    <row r="14" spans="1:21" x14ac:dyDescent="0.25">
      <c r="A14" s="54">
        <v>44298</v>
      </c>
      <c r="B14" s="33">
        <v>152450</v>
      </c>
      <c r="C14" s="56">
        <v>111422</v>
      </c>
      <c r="D14" s="55">
        <v>197725</v>
      </c>
      <c r="E14" s="55">
        <v>243061</v>
      </c>
      <c r="F14" s="55">
        <v>66872</v>
      </c>
      <c r="G14" s="55">
        <v>110342</v>
      </c>
      <c r="H14" s="33">
        <v>48549</v>
      </c>
      <c r="I14" s="55">
        <v>59972</v>
      </c>
      <c r="J14" s="55">
        <v>19140</v>
      </c>
      <c r="K14" s="55">
        <v>1024</v>
      </c>
      <c r="L14" s="55">
        <v>16723</v>
      </c>
      <c r="M14" s="55">
        <v>23037</v>
      </c>
      <c r="N14" s="55">
        <v>6871</v>
      </c>
      <c r="O14" s="55">
        <v>1603</v>
      </c>
      <c r="P14" s="55">
        <v>26234</v>
      </c>
      <c r="Q14" s="33">
        <v>339</v>
      </c>
      <c r="R14" s="55">
        <v>5900</v>
      </c>
    </row>
    <row r="15" spans="1:21" x14ac:dyDescent="0.25">
      <c r="A15" s="54">
        <v>44299</v>
      </c>
      <c r="B15" s="33">
        <v>152657</v>
      </c>
      <c r="C15" s="33">
        <v>111753</v>
      </c>
      <c r="D15" s="55">
        <v>197847</v>
      </c>
      <c r="E15" s="55">
        <v>243131</v>
      </c>
      <c r="F15" s="55">
        <v>66873</v>
      </c>
      <c r="G15" s="55">
        <v>110362</v>
      </c>
      <c r="H15" s="33">
        <v>48592</v>
      </c>
      <c r="I15" s="55">
        <v>60072</v>
      </c>
      <c r="J15" s="55">
        <v>19151</v>
      </c>
      <c r="K15" s="55">
        <v>1024</v>
      </c>
      <c r="L15" s="55">
        <v>16730</v>
      </c>
      <c r="M15" s="55">
        <v>23053</v>
      </c>
      <c r="N15" s="55">
        <v>6875</v>
      </c>
      <c r="O15" s="55">
        <v>1603</v>
      </c>
      <c r="P15" s="55">
        <v>26256</v>
      </c>
      <c r="Q15" s="33">
        <v>342</v>
      </c>
      <c r="R15" s="55">
        <v>5905</v>
      </c>
      <c r="T15" s="110"/>
      <c r="U15" s="110"/>
    </row>
    <row r="16" spans="1:21" x14ac:dyDescent="0.25">
      <c r="A16" s="54">
        <v>44300</v>
      </c>
      <c r="B16" s="33">
        <v>152830</v>
      </c>
      <c r="C16" s="56">
        <v>111873</v>
      </c>
      <c r="D16" s="55">
        <v>197979</v>
      </c>
      <c r="E16" s="55">
        <v>243204</v>
      </c>
      <c r="F16" s="55">
        <v>66874</v>
      </c>
      <c r="G16" s="55">
        <v>110378</v>
      </c>
      <c r="H16" s="33">
        <v>48631</v>
      </c>
      <c r="I16" s="55">
        <v>60184</v>
      </c>
      <c r="J16" s="55">
        <v>19161</v>
      </c>
      <c r="K16" s="55">
        <v>1024</v>
      </c>
      <c r="L16" s="55">
        <v>16738</v>
      </c>
      <c r="M16" s="55">
        <v>23068</v>
      </c>
      <c r="N16" s="55">
        <v>6878</v>
      </c>
      <c r="O16" s="55">
        <v>1603</v>
      </c>
      <c r="P16" s="55">
        <v>26289</v>
      </c>
      <c r="Q16" s="33">
        <v>347</v>
      </c>
      <c r="R16" s="55">
        <v>5909</v>
      </c>
    </row>
    <row r="17" spans="1:22" x14ac:dyDescent="0.25">
      <c r="A17" s="54">
        <v>44301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44302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  <c r="U18" s="110"/>
    </row>
    <row r="19" spans="1:22" x14ac:dyDescent="0.25">
      <c r="A19" s="54">
        <v>44303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44304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44305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44306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44307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44308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44309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44310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44311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44312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44313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44314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44315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44316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44317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tabSelected="1" zoomScale="70" zoomScaleNormal="70" workbookViewId="0">
      <pane ySplit="3" topLeftCell="A4" activePane="bottomLeft" state="frozen"/>
      <selection activeCell="C25" sqref="C25"/>
      <selection pane="bottomLeft" activeCell="I16" sqref="I1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4" t="s">
        <v>32</v>
      </c>
      <c r="B2" s="135" t="s">
        <v>109</v>
      </c>
      <c r="C2" s="135" t="s">
        <v>110</v>
      </c>
      <c r="D2" s="135"/>
      <c r="E2" s="136" t="s">
        <v>98</v>
      </c>
      <c r="F2" s="137"/>
      <c r="G2" s="138" t="s">
        <v>113</v>
      </c>
      <c r="H2" s="137"/>
      <c r="I2" s="138" t="s">
        <v>111</v>
      </c>
      <c r="J2" s="137"/>
      <c r="K2" s="138" t="s">
        <v>112</v>
      </c>
      <c r="L2" s="137"/>
      <c r="M2" s="138" t="s">
        <v>108</v>
      </c>
      <c r="N2" s="137"/>
      <c r="O2" s="138" t="s">
        <v>107</v>
      </c>
      <c r="P2" s="137"/>
      <c r="Q2" s="138" t="s">
        <v>114</v>
      </c>
      <c r="R2" s="137"/>
      <c r="S2" s="138" t="s">
        <v>115</v>
      </c>
      <c r="T2" s="137"/>
      <c r="U2" s="138" t="s">
        <v>116</v>
      </c>
      <c r="V2" s="137"/>
      <c r="W2" s="138" t="s">
        <v>100</v>
      </c>
      <c r="X2" s="139"/>
      <c r="Y2" s="140" t="s">
        <v>53</v>
      </c>
      <c r="Z2" s="140"/>
    </row>
    <row r="3" spans="1:26" ht="30" x14ac:dyDescent="0.35">
      <c r="A3" s="134"/>
      <c r="B3" s="135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44287</v>
      </c>
      <c r="B4" s="65">
        <v>469</v>
      </c>
      <c r="C4" s="66">
        <f>('Water Reading'!B4-'Water Reading'!B3)+('Water Reading'!C4-'Water Reading'!C3)</f>
        <v>350</v>
      </c>
      <c r="D4" s="67">
        <f>C4/B4</f>
        <v>0.74626865671641796</v>
      </c>
      <c r="E4" s="88">
        <f>'Water Reading'!H4-'Water Reading'!H3</f>
        <v>40</v>
      </c>
      <c r="F4" s="89">
        <f>E4/C4</f>
        <v>0.11428571428571428</v>
      </c>
      <c r="G4" s="93">
        <f>('Water Reading'!D4-'Water Reading'!D3)-('Water Reading'!R4-'Water Reading'!R3)-('Water Reading'!Q4-'Water Reading'!Q3)</f>
        <v>135</v>
      </c>
      <c r="H4" s="89">
        <f>G4/C4</f>
        <v>0.38571428571428573</v>
      </c>
      <c r="I4" s="90">
        <f>'Water Reading'!P4-'Water Reading'!P3</f>
        <v>0</v>
      </c>
      <c r="J4" s="68">
        <f>I4/C4</f>
        <v>0</v>
      </c>
      <c r="K4" s="91">
        <f>('Water Reading'!I4-'Water Reading'!I3)</f>
        <v>45</v>
      </c>
      <c r="L4" s="68">
        <f>K4/C4</f>
        <v>0.12857142857142856</v>
      </c>
      <c r="M4" s="90">
        <f>'Water Reading'!R4-'Water Reading'!R3</f>
        <v>6</v>
      </c>
      <c r="N4" s="92">
        <f>M4/C4</f>
        <v>1.7142857142857144E-2</v>
      </c>
      <c r="O4" s="90">
        <f>'Water Reading'!Q4-'Water Reading'!Q3</f>
        <v>2</v>
      </c>
      <c r="P4" s="99">
        <f>O4/C4</f>
        <v>5.7142857142857143E-3</v>
      </c>
      <c r="Q4" s="91">
        <f>'Water Reading'!F4-'Water Reading'!F3</f>
        <v>0</v>
      </c>
      <c r="R4" s="100">
        <f>Q4/C4</f>
        <v>0</v>
      </c>
      <c r="S4" s="90">
        <f>'Water Reading'!E4-'Water Reading'!E3</f>
        <v>61</v>
      </c>
      <c r="T4" s="100">
        <f>S4/C4</f>
        <v>0.17428571428571429</v>
      </c>
      <c r="U4" s="90">
        <f>'Water Reading'!G4-'Water Reading'!G3</f>
        <v>26</v>
      </c>
      <c r="V4" s="100">
        <f>U4/C4</f>
        <v>7.4285714285714288E-2</v>
      </c>
      <c r="W4" s="90">
        <f>'Water Reading'!J4-'Water Reading'!J3</f>
        <v>10</v>
      </c>
      <c r="X4" s="100">
        <f>W4/C4</f>
        <v>2.8571428571428571E-2</v>
      </c>
      <c r="Y4" s="66">
        <f t="shared" ref="Y4:Y34" si="0">E4+I4+K4+M4+O4+G4+Q4+S4+U4+W4</f>
        <v>325</v>
      </c>
      <c r="Z4" s="67">
        <f t="shared" ref="Z4:Z35" si="1">Y4/B4</f>
        <v>0.69296375266524524</v>
      </c>
    </row>
    <row r="5" spans="1:26" x14ac:dyDescent="0.25">
      <c r="A5" s="8">
        <f>'Water Reading'!A4</f>
        <v>44288</v>
      </c>
      <c r="B5" s="65">
        <f>TOTAL!I3</f>
        <v>296</v>
      </c>
      <c r="C5" s="66">
        <f>('Water Reading'!B5-'Water Reading'!B4)+('Water Reading'!C5-'Water Reading'!C4)</f>
        <v>372</v>
      </c>
      <c r="D5" s="67">
        <f t="shared" ref="D5:D34" si="2">C5/B5</f>
        <v>1.2567567567567568</v>
      </c>
      <c r="E5" s="88">
        <f>'Water Reading'!H5-'Water Reading'!H4</f>
        <v>43</v>
      </c>
      <c r="F5" s="89">
        <f t="shared" ref="F5:F34" si="3">E5/C5</f>
        <v>0.11559139784946236</v>
      </c>
      <c r="G5" s="93">
        <f>('Water Reading'!D5-'Water Reading'!D4)-('Water Reading'!R5-'Water Reading'!R4)-('Water Reading'!Q5-'Water Reading'!Q4)</f>
        <v>144</v>
      </c>
      <c r="H5" s="89">
        <f t="shared" ref="H5:H34" si="4">G5/C5</f>
        <v>0.38709677419354838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49</v>
      </c>
      <c r="L5" s="68">
        <f t="shared" ref="L5:L34" si="6">K5/C5</f>
        <v>0.13172043010752688</v>
      </c>
      <c r="M5" s="90">
        <f>'Water Reading'!R5-'Water Reading'!R4</f>
        <v>7</v>
      </c>
      <c r="N5" s="92">
        <f t="shared" ref="N5:N34" si="7">M5/C5</f>
        <v>1.8817204301075269E-2</v>
      </c>
      <c r="O5" s="90">
        <f>'Water Reading'!Q5-'Water Reading'!Q4</f>
        <v>5</v>
      </c>
      <c r="P5" s="99">
        <f t="shared" ref="P5:P34" si="8">O5/C5</f>
        <v>1.3440860215053764E-2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63</v>
      </c>
      <c r="T5" s="100">
        <f t="shared" ref="T5:T34" si="10">S5/C5</f>
        <v>0.16935483870967741</v>
      </c>
      <c r="U5" s="90">
        <f>'Water Reading'!G5-'Water Reading'!G4</f>
        <v>27</v>
      </c>
      <c r="V5" s="100">
        <f t="shared" ref="V5:V34" si="11">U5/C5</f>
        <v>7.2580645161290328E-2</v>
      </c>
      <c r="W5" s="90">
        <f>'Water Reading'!J5-'Water Reading'!J4</f>
        <v>12</v>
      </c>
      <c r="X5" s="100">
        <f t="shared" ref="X5:X34" si="12">W5/C5</f>
        <v>3.2258064516129031E-2</v>
      </c>
      <c r="Y5" s="66">
        <f t="shared" si="0"/>
        <v>350</v>
      </c>
      <c r="Z5" s="67">
        <f t="shared" si="1"/>
        <v>1.1824324324324325</v>
      </c>
    </row>
    <row r="6" spans="1:26" x14ac:dyDescent="0.25">
      <c r="A6" s="8">
        <f>'Water Reading'!A5</f>
        <v>44289</v>
      </c>
      <c r="B6" s="65">
        <f>TOTAL!I4</f>
        <v>381</v>
      </c>
      <c r="C6" s="66">
        <f>('Water Reading'!B6-'Water Reading'!B5)+('Water Reading'!C6-'Water Reading'!C5)</f>
        <v>428</v>
      </c>
      <c r="D6" s="67">
        <f t="shared" si="2"/>
        <v>1.1233595800524934</v>
      </c>
      <c r="E6" s="88">
        <f>'Water Reading'!H6-'Water Reading'!H5</f>
        <v>49</v>
      </c>
      <c r="F6" s="89">
        <f t="shared" si="3"/>
        <v>0.11448598130841121</v>
      </c>
      <c r="G6" s="93">
        <f>('Water Reading'!D6-'Water Reading'!D5)-('Water Reading'!R6-'Water Reading'!R5)-('Water Reading'!Q6-'Water Reading'!Q5)</f>
        <v>194</v>
      </c>
      <c r="H6" s="89">
        <f t="shared" si="4"/>
        <v>0.45327102803738317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59</v>
      </c>
      <c r="L6" s="68">
        <f t="shared" si="6"/>
        <v>0.13785046728971961</v>
      </c>
      <c r="M6" s="90">
        <f>'Water Reading'!R6-'Water Reading'!R5</f>
        <v>6</v>
      </c>
      <c r="N6" s="92">
        <f t="shared" si="7"/>
        <v>1.4018691588785047E-2</v>
      </c>
      <c r="O6" s="90">
        <f>'Water Reading'!Q6-'Water Reading'!Q5</f>
        <v>1</v>
      </c>
      <c r="P6" s="99">
        <f t="shared" si="8"/>
        <v>2.3364485981308409E-3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60</v>
      </c>
      <c r="T6" s="100">
        <f t="shared" si="10"/>
        <v>0.14018691588785046</v>
      </c>
      <c r="U6" s="90">
        <f>'Water Reading'!G6-'Water Reading'!G5</f>
        <v>31</v>
      </c>
      <c r="V6" s="100">
        <f t="shared" si="11"/>
        <v>7.2429906542056069E-2</v>
      </c>
      <c r="W6" s="90">
        <f>'Water Reading'!J6-'Water Reading'!J5</f>
        <v>11</v>
      </c>
      <c r="X6" s="100">
        <f t="shared" si="12"/>
        <v>2.5700934579439252E-2</v>
      </c>
      <c r="Y6" s="66">
        <f t="shared" si="0"/>
        <v>411</v>
      </c>
      <c r="Z6" s="67">
        <f t="shared" si="1"/>
        <v>1.078740157480315</v>
      </c>
    </row>
    <row r="7" spans="1:26" x14ac:dyDescent="0.25">
      <c r="A7" s="8">
        <f>'Water Reading'!A6</f>
        <v>44290</v>
      </c>
      <c r="B7" s="65">
        <f>TOTAL!I5</f>
        <v>370</v>
      </c>
      <c r="C7" s="66">
        <f>('Water Reading'!B7-'Water Reading'!B6)+('Water Reading'!C7-'Water Reading'!C6)</f>
        <v>482</v>
      </c>
      <c r="D7" s="67">
        <f t="shared" si="2"/>
        <v>1.3027027027027027</v>
      </c>
      <c r="E7" s="88">
        <f>'Water Reading'!H7-'Water Reading'!H6</f>
        <v>54</v>
      </c>
      <c r="F7" s="89">
        <f t="shared" si="3"/>
        <v>0.11203319502074689</v>
      </c>
      <c r="G7" s="93">
        <f>('Water Reading'!D7-'Water Reading'!D6)-('Water Reading'!R7-'Water Reading'!R6)-('Water Reading'!Q7-'Water Reading'!Q6)</f>
        <v>193.89999999999998</v>
      </c>
      <c r="H7" s="89">
        <f t="shared" si="4"/>
        <v>0.40228215767634851</v>
      </c>
      <c r="I7" s="90">
        <f>'Water Reading'!P7-'Water Reading'!P6</f>
        <v>36</v>
      </c>
      <c r="J7" s="68">
        <f t="shared" si="5"/>
        <v>7.4688796680497924E-2</v>
      </c>
      <c r="K7" s="91">
        <f>('Water Reading'!I7-'Water Reading'!I6)-I7</f>
        <v>62</v>
      </c>
      <c r="L7" s="68">
        <f t="shared" si="6"/>
        <v>0.12863070539419086</v>
      </c>
      <c r="M7" s="90">
        <f>'Water Reading'!R7-'Water Reading'!R6</f>
        <v>11</v>
      </c>
      <c r="N7" s="92">
        <f t="shared" si="7"/>
        <v>2.2821576763485476E-2</v>
      </c>
      <c r="O7" s="90">
        <f>'Water Reading'!Q7-'Water Reading'!Q6</f>
        <v>4.1000000000000227</v>
      </c>
      <c r="P7" s="99">
        <f t="shared" si="8"/>
        <v>8.5062240663900893E-3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72</v>
      </c>
      <c r="T7" s="100">
        <f t="shared" si="10"/>
        <v>0.14937759336099585</v>
      </c>
      <c r="U7" s="90">
        <f>'Water Reading'!G7-'Water Reading'!G6</f>
        <v>30</v>
      </c>
      <c r="V7" s="100">
        <f t="shared" si="11"/>
        <v>6.2240663900414939E-2</v>
      </c>
      <c r="W7" s="90">
        <f>'Water Reading'!J7-'Water Reading'!J6</f>
        <v>13</v>
      </c>
      <c r="X7" s="100">
        <f t="shared" si="12"/>
        <v>2.6970954356846474E-2</v>
      </c>
      <c r="Y7" s="66">
        <f t="shared" si="0"/>
        <v>476</v>
      </c>
      <c r="Z7" s="67">
        <f t="shared" si="1"/>
        <v>1.2864864864864864</v>
      </c>
    </row>
    <row r="8" spans="1:26" x14ac:dyDescent="0.25">
      <c r="A8" s="8">
        <f>'Water Reading'!A7</f>
        <v>44291</v>
      </c>
      <c r="B8" s="65">
        <f>TOTAL!I6</f>
        <v>350</v>
      </c>
      <c r="C8" s="66">
        <f>('Water Reading'!B8-'Water Reading'!B7)+('Water Reading'!C8-'Water Reading'!C7)</f>
        <v>432</v>
      </c>
      <c r="D8" s="67">
        <f t="shared" si="2"/>
        <v>1.2342857142857142</v>
      </c>
      <c r="E8" s="88">
        <f>'Water Reading'!H8-'Water Reading'!H7</f>
        <v>52</v>
      </c>
      <c r="F8" s="89">
        <f t="shared" si="3"/>
        <v>0.12037037037037036</v>
      </c>
      <c r="G8" s="93">
        <f>('Water Reading'!D8-'Water Reading'!D7)-('Water Reading'!R8-'Water Reading'!R7)-('Water Reading'!Q8-'Water Reading'!Q7)</f>
        <v>194.10000000000002</v>
      </c>
      <c r="H8" s="89">
        <f t="shared" si="4"/>
        <v>0.44930555555555562</v>
      </c>
      <c r="I8" s="90">
        <f>'Water Reading'!P8-'Water Reading'!P7</f>
        <v>5</v>
      </c>
      <c r="J8" s="68">
        <f t="shared" si="5"/>
        <v>1.1574074074074073E-2</v>
      </c>
      <c r="K8" s="91">
        <f>('Water Reading'!I8-'Water Reading'!I7)-I8</f>
        <v>61</v>
      </c>
      <c r="L8" s="68">
        <f t="shared" si="6"/>
        <v>0.14120370370370369</v>
      </c>
      <c r="M8" s="90">
        <f>'Water Reading'!R8-'Water Reading'!R7</f>
        <v>7</v>
      </c>
      <c r="N8" s="92">
        <f t="shared" si="7"/>
        <v>1.6203703703703703E-2</v>
      </c>
      <c r="O8" s="90">
        <f>'Water Reading'!Q8-'Water Reading'!Q7</f>
        <v>3.8999999999999773</v>
      </c>
      <c r="P8" s="99">
        <f t="shared" si="8"/>
        <v>9.0277777777777249E-3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63</v>
      </c>
      <c r="T8" s="100">
        <f t="shared" si="10"/>
        <v>0.14583333333333334</v>
      </c>
      <c r="U8" s="90">
        <f>'Water Reading'!G8-'Water Reading'!G7</f>
        <v>28</v>
      </c>
      <c r="V8" s="100">
        <f t="shared" si="11"/>
        <v>6.4814814814814811E-2</v>
      </c>
      <c r="W8" s="90">
        <f>'Water Reading'!J8-'Water Reading'!J7</f>
        <v>12</v>
      </c>
      <c r="X8" s="100">
        <f t="shared" si="12"/>
        <v>2.7777777777777776E-2</v>
      </c>
      <c r="Y8" s="66">
        <f t="shared" si="0"/>
        <v>426</v>
      </c>
      <c r="Z8" s="67">
        <f t="shared" si="1"/>
        <v>1.2171428571428571</v>
      </c>
    </row>
    <row r="9" spans="1:26" x14ac:dyDescent="0.25">
      <c r="A9" s="8">
        <f>'Water Reading'!A8</f>
        <v>44292</v>
      </c>
      <c r="B9" s="65">
        <f>TOTAL!I7</f>
        <v>309</v>
      </c>
      <c r="C9" s="66">
        <f>('Water Reading'!B9-'Water Reading'!B8)+('Water Reading'!C9-'Water Reading'!C8)</f>
        <v>314</v>
      </c>
      <c r="D9" s="67">
        <f t="shared" si="2"/>
        <v>1.0161812297734627</v>
      </c>
      <c r="E9" s="88">
        <f>'Water Reading'!H9-'Water Reading'!H8</f>
        <v>44</v>
      </c>
      <c r="F9" s="89">
        <f t="shared" si="3"/>
        <v>0.14012738853503184</v>
      </c>
      <c r="G9" s="93">
        <f>('Water Reading'!D9-'Water Reading'!D8)-('Water Reading'!R9-'Water Reading'!R8)-('Water Reading'!Q9-'Water Reading'!Q8)</f>
        <v>77</v>
      </c>
      <c r="H9" s="89">
        <f t="shared" si="4"/>
        <v>0.24522292993630573</v>
      </c>
      <c r="I9" s="90">
        <f>'Water Reading'!P9-'Water Reading'!P8</f>
        <v>15</v>
      </c>
      <c r="J9" s="68">
        <f t="shared" si="5"/>
        <v>4.7770700636942678E-2</v>
      </c>
      <c r="K9" s="91">
        <f>('Water Reading'!I9-'Water Reading'!I8)-I9</f>
        <v>62</v>
      </c>
      <c r="L9" s="68">
        <f t="shared" si="6"/>
        <v>0.19745222929936307</v>
      </c>
      <c r="M9" s="90">
        <f>'Water Reading'!R9-'Water Reading'!R8</f>
        <v>8</v>
      </c>
      <c r="N9" s="92">
        <f t="shared" si="7"/>
        <v>2.5477707006369428E-2</v>
      </c>
      <c r="O9" s="90">
        <f>'Water Reading'!Q9-'Water Reading'!Q8</f>
        <v>4</v>
      </c>
      <c r="P9" s="99">
        <f t="shared" si="8"/>
        <v>1.2738853503184714E-2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60</v>
      </c>
      <c r="T9" s="100">
        <f t="shared" si="10"/>
        <v>0.19108280254777071</v>
      </c>
      <c r="U9" s="90">
        <f>'Water Reading'!G9-'Water Reading'!G8</f>
        <v>24</v>
      </c>
      <c r="V9" s="100">
        <f t="shared" si="11"/>
        <v>7.6433121019108277E-2</v>
      </c>
      <c r="W9" s="90">
        <f>'Water Reading'!J9-'Water Reading'!J8</f>
        <v>12</v>
      </c>
      <c r="X9" s="100">
        <f t="shared" si="12"/>
        <v>3.8216560509554139E-2</v>
      </c>
      <c r="Y9" s="66">
        <f t="shared" si="0"/>
        <v>306</v>
      </c>
      <c r="Z9" s="67">
        <f t="shared" si="1"/>
        <v>0.99029126213592233</v>
      </c>
    </row>
    <row r="10" spans="1:26" x14ac:dyDescent="0.25">
      <c r="A10" s="8">
        <f>'Water Reading'!A9</f>
        <v>44293</v>
      </c>
      <c r="B10" s="65">
        <f>TOTAL!I8</f>
        <v>331</v>
      </c>
      <c r="C10" s="66">
        <f>('Water Reading'!B10-'Water Reading'!B9)+('Water Reading'!C10-'Water Reading'!C9)</f>
        <v>363</v>
      </c>
      <c r="D10" s="67">
        <f t="shared" si="2"/>
        <v>1.0966767371601209</v>
      </c>
      <c r="E10" s="88">
        <f>'Water Reading'!H10-'Water Reading'!H9</f>
        <v>54</v>
      </c>
      <c r="F10" s="89">
        <f t="shared" si="3"/>
        <v>0.1487603305785124</v>
      </c>
      <c r="G10" s="93">
        <f>('Water Reading'!D10-'Water Reading'!D9)-('Water Reading'!R10-'Water Reading'!R9)-('Water Reading'!Q10-'Water Reading'!Q9)</f>
        <v>121</v>
      </c>
      <c r="H10" s="89">
        <f t="shared" si="4"/>
        <v>0.33333333333333331</v>
      </c>
      <c r="I10" s="90">
        <f>'Water Reading'!P10-'Water Reading'!P9</f>
        <v>8</v>
      </c>
      <c r="J10" s="68">
        <f t="shared" si="5"/>
        <v>2.2038567493112948E-2</v>
      </c>
      <c r="K10" s="91">
        <f>('Water Reading'!I10-'Water Reading'!I9)-I10</f>
        <v>63</v>
      </c>
      <c r="L10" s="68">
        <f t="shared" si="6"/>
        <v>0.17355371900826447</v>
      </c>
      <c r="M10" s="90">
        <f>'Water Reading'!R10-'Water Reading'!R9</f>
        <v>8</v>
      </c>
      <c r="N10" s="92">
        <f t="shared" si="7"/>
        <v>2.2038567493112948E-2</v>
      </c>
      <c r="O10" s="90">
        <f>'Water Reading'!Q10-'Water Reading'!Q9</f>
        <v>6</v>
      </c>
      <c r="P10" s="99">
        <f t="shared" si="8"/>
        <v>1.6528925619834711E-2</v>
      </c>
      <c r="Q10" s="91">
        <f>'Water Reading'!F10-'Water Reading'!F9</f>
        <v>1</v>
      </c>
      <c r="R10" s="100">
        <f t="shared" si="9"/>
        <v>2.7548209366391185E-3</v>
      </c>
      <c r="S10" s="90">
        <f>'Water Reading'!E10-'Water Reading'!E9</f>
        <v>66</v>
      </c>
      <c r="T10" s="100">
        <f t="shared" si="10"/>
        <v>0.18181818181818182</v>
      </c>
      <c r="U10" s="90">
        <f>'Water Reading'!G10-'Water Reading'!G9</f>
        <v>25</v>
      </c>
      <c r="V10" s="100">
        <f t="shared" si="11"/>
        <v>6.8870523415977963E-2</v>
      </c>
      <c r="W10" s="90">
        <f>'Water Reading'!J10-'Water Reading'!J9</f>
        <v>11</v>
      </c>
      <c r="X10" s="100">
        <f t="shared" si="12"/>
        <v>3.0303030303030304E-2</v>
      </c>
      <c r="Y10" s="66">
        <f t="shared" si="0"/>
        <v>363</v>
      </c>
      <c r="Z10" s="67">
        <f t="shared" si="1"/>
        <v>1.0966767371601209</v>
      </c>
    </row>
    <row r="11" spans="1:26" x14ac:dyDescent="0.25">
      <c r="A11" s="8">
        <f>'Water Reading'!A10</f>
        <v>44294</v>
      </c>
      <c r="B11" s="65">
        <f>TOTAL!I9</f>
        <v>266</v>
      </c>
      <c r="C11" s="66">
        <f>('Water Reading'!B11-'Water Reading'!B10)+('Water Reading'!C11-'Water Reading'!C10)</f>
        <v>358</v>
      </c>
      <c r="D11" s="67">
        <f t="shared" si="2"/>
        <v>1.3458646616541354</v>
      </c>
      <c r="E11" s="88">
        <f>'Water Reading'!H11-'Water Reading'!H10</f>
        <v>43</v>
      </c>
      <c r="F11" s="89">
        <f t="shared" si="3"/>
        <v>0.12011173184357542</v>
      </c>
      <c r="G11" s="93">
        <f>('Water Reading'!D11-'Water Reading'!D10)-('Water Reading'!R11-'Water Reading'!R10)-('Water Reading'!Q11-'Water Reading'!Q10)</f>
        <v>119</v>
      </c>
      <c r="H11" s="89">
        <f t="shared" si="4"/>
        <v>0.33240223463687152</v>
      </c>
      <c r="I11" s="90">
        <f>'Water Reading'!P11-'Water Reading'!P10</f>
        <v>6</v>
      </c>
      <c r="J11" s="68">
        <f t="shared" si="5"/>
        <v>1.6759776536312849E-2</v>
      </c>
      <c r="K11" s="91">
        <f>('Water Reading'!I11-'Water Reading'!I10)-I11</f>
        <v>67</v>
      </c>
      <c r="L11" s="68">
        <f t="shared" si="6"/>
        <v>0.18715083798882681</v>
      </c>
      <c r="M11" s="90">
        <f>'Water Reading'!R11-'Water Reading'!R10</f>
        <v>5</v>
      </c>
      <c r="N11" s="92">
        <f t="shared" si="7"/>
        <v>1.3966480446927373E-2</v>
      </c>
      <c r="O11" s="98">
        <f>'Water Reading'!Q11-'Water Reading'!Q10</f>
        <v>4</v>
      </c>
      <c r="P11" s="99">
        <f t="shared" si="8"/>
        <v>1.11731843575419E-2</v>
      </c>
      <c r="Q11" s="91">
        <f>'Water Reading'!F11-'Water Reading'!F10</f>
        <v>1</v>
      </c>
      <c r="R11" s="100">
        <f t="shared" si="9"/>
        <v>2.7932960893854749E-3</v>
      </c>
      <c r="S11" s="90">
        <f>'Water Reading'!E11-'Water Reading'!E10</f>
        <v>63</v>
      </c>
      <c r="T11" s="100">
        <f t="shared" si="10"/>
        <v>0.17597765363128492</v>
      </c>
      <c r="U11" s="90">
        <f>'Water Reading'!G11-'Water Reading'!G10</f>
        <v>23</v>
      </c>
      <c r="V11" s="100">
        <f t="shared" si="11"/>
        <v>6.4245810055865923E-2</v>
      </c>
      <c r="W11" s="90">
        <f>'Water Reading'!J11-'Water Reading'!J10</f>
        <v>11</v>
      </c>
      <c r="X11" s="100">
        <f t="shared" si="12"/>
        <v>3.0726256983240222E-2</v>
      </c>
      <c r="Y11" s="66">
        <f t="shared" si="0"/>
        <v>342</v>
      </c>
      <c r="Z11" s="67">
        <f t="shared" si="1"/>
        <v>1.2857142857142858</v>
      </c>
    </row>
    <row r="12" spans="1:26" x14ac:dyDescent="0.25">
      <c r="A12" s="8">
        <f>'Water Reading'!A11</f>
        <v>44295</v>
      </c>
      <c r="B12" s="65">
        <f>TOTAL!I10</f>
        <v>316</v>
      </c>
      <c r="C12" s="66">
        <f>('Water Reading'!B12-'Water Reading'!B11)+('Water Reading'!C12-'Water Reading'!C11)</f>
        <v>473</v>
      </c>
      <c r="D12" s="67">
        <f t="shared" si="2"/>
        <v>1.4968354430379747</v>
      </c>
      <c r="E12" s="88">
        <f>'Water Reading'!H12-'Water Reading'!H11</f>
        <v>62</v>
      </c>
      <c r="F12" s="89">
        <f t="shared" si="3"/>
        <v>0.13107822410147993</v>
      </c>
      <c r="G12" s="93">
        <f>('Water Reading'!D12-'Water Reading'!D11)-('Water Reading'!R12-'Water Reading'!R11)-('Water Reading'!Q12-'Water Reading'!Q11)</f>
        <v>217</v>
      </c>
      <c r="H12" s="89">
        <f t="shared" si="4"/>
        <v>0.45877378435517968</v>
      </c>
      <c r="I12" s="90">
        <f>'Water Reading'!P12-'Water Reading'!P11</f>
        <v>3</v>
      </c>
      <c r="J12" s="68">
        <f t="shared" si="5"/>
        <v>6.3424947145877377E-3</v>
      </c>
      <c r="K12" s="91">
        <f>('Water Reading'!I12-'Water Reading'!I11)-I12</f>
        <v>74</v>
      </c>
      <c r="L12" s="68">
        <f t="shared" si="6"/>
        <v>0.15644820295983086</v>
      </c>
      <c r="M12" s="90">
        <f>'Water Reading'!R12-'Water Reading'!R11</f>
        <v>1</v>
      </c>
      <c r="N12" s="92">
        <f t="shared" si="7"/>
        <v>2.1141649048625794E-3</v>
      </c>
      <c r="O12" s="98">
        <f>'Water Reading'!Q12-'Water Reading'!Q11</f>
        <v>2</v>
      </c>
      <c r="P12" s="99">
        <f t="shared" si="8"/>
        <v>4.2283298097251587E-3</v>
      </c>
      <c r="Q12" s="91">
        <f>'Water Reading'!F12-'Water Reading'!F11</f>
        <v>1</v>
      </c>
      <c r="R12" s="100">
        <f t="shared" si="9"/>
        <v>2.1141649048625794E-3</v>
      </c>
      <c r="S12" s="90">
        <f>'Water Reading'!E12-'Water Reading'!E11</f>
        <v>65</v>
      </c>
      <c r="T12" s="100">
        <f t="shared" si="10"/>
        <v>0.13742071881606766</v>
      </c>
      <c r="U12" s="90">
        <f>'Water Reading'!G12-'Water Reading'!G11</f>
        <v>25</v>
      </c>
      <c r="V12" s="100">
        <f t="shared" si="11"/>
        <v>5.2854122621564484E-2</v>
      </c>
      <c r="W12" s="90">
        <f>'Water Reading'!J12-'Water Reading'!J11</f>
        <v>13</v>
      </c>
      <c r="X12" s="100">
        <f t="shared" si="12"/>
        <v>2.748414376321353E-2</v>
      </c>
      <c r="Y12" s="66">
        <f t="shared" si="0"/>
        <v>463</v>
      </c>
      <c r="Z12" s="67">
        <f t="shared" si="1"/>
        <v>1.4651898734177216</v>
      </c>
    </row>
    <row r="13" spans="1:26" x14ac:dyDescent="0.25">
      <c r="A13" s="8">
        <f>'Water Reading'!A12</f>
        <v>44296</v>
      </c>
      <c r="B13" s="65">
        <f>TOTAL!I11</f>
        <v>316</v>
      </c>
      <c r="C13" s="66">
        <f>('Water Reading'!B13-'Water Reading'!B12)+('Water Reading'!C13-'Water Reading'!C12)</f>
        <v>356</v>
      </c>
      <c r="D13" s="67">
        <f t="shared" si="2"/>
        <v>1.1265822784810127</v>
      </c>
      <c r="E13" s="87">
        <f>'Water Reading'!H13-'Water Reading'!H12</f>
        <v>42</v>
      </c>
      <c r="F13" s="89">
        <f t="shared" si="3"/>
        <v>0.11797752808988764</v>
      </c>
      <c r="G13" s="93">
        <f>('Water Reading'!D13-'Water Reading'!D12)-('Water Reading'!R13-'Water Reading'!R12)-('Water Reading'!Q13-'Water Reading'!Q12)</f>
        <v>137</v>
      </c>
      <c r="H13" s="89">
        <f t="shared" si="4"/>
        <v>0.3848314606741573</v>
      </c>
      <c r="I13" s="90">
        <f>'Water Reading'!P13-'Water Reading'!P12</f>
        <v>5</v>
      </c>
      <c r="J13" s="68">
        <f t="shared" si="5"/>
        <v>1.4044943820224719E-2</v>
      </c>
      <c r="K13" s="91">
        <f>('Water Reading'!I13-'Water Reading'!I12)-I13</f>
        <v>68</v>
      </c>
      <c r="L13" s="68">
        <f t="shared" si="6"/>
        <v>0.19101123595505617</v>
      </c>
      <c r="M13" s="90">
        <f>'Water Reading'!R13-'Water Reading'!R12</f>
        <v>5</v>
      </c>
      <c r="N13" s="92">
        <f t="shared" si="7"/>
        <v>1.4044943820224719E-2</v>
      </c>
      <c r="O13" s="90">
        <f>'Water Reading'!Q13-'Water Reading'!Q12</f>
        <v>6</v>
      </c>
      <c r="P13" s="99">
        <f t="shared" si="8"/>
        <v>1.6853932584269662E-2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61</v>
      </c>
      <c r="T13" s="100">
        <f t="shared" si="10"/>
        <v>0.17134831460674158</v>
      </c>
      <c r="U13" s="90">
        <f>'Water Reading'!G13-'Water Reading'!G12</f>
        <v>20</v>
      </c>
      <c r="V13" s="100">
        <f t="shared" si="11"/>
        <v>5.6179775280898875E-2</v>
      </c>
      <c r="W13" s="90">
        <f>'Water Reading'!J13-'Water Reading'!J12</f>
        <v>13</v>
      </c>
      <c r="X13" s="100">
        <f t="shared" si="12"/>
        <v>3.6516853932584269E-2</v>
      </c>
      <c r="Y13" s="66">
        <f t="shared" si="0"/>
        <v>357</v>
      </c>
      <c r="Z13" s="67">
        <f t="shared" si="1"/>
        <v>1.129746835443038</v>
      </c>
    </row>
    <row r="14" spans="1:26" x14ac:dyDescent="0.25">
      <c r="A14" s="8">
        <f>'Water Reading'!A13</f>
        <v>44297</v>
      </c>
      <c r="B14" s="65">
        <f>TOTAL!I12</f>
        <v>326</v>
      </c>
      <c r="C14" s="66">
        <f>('Water Reading'!B14-'Water Reading'!B13)+('Water Reading'!C14-'Water Reading'!C13)</f>
        <v>323</v>
      </c>
      <c r="D14" s="67">
        <f t="shared" si="2"/>
        <v>0.99079754601226999</v>
      </c>
      <c r="E14" s="88">
        <f>'Water Reading'!H14-'Water Reading'!H13</f>
        <v>44</v>
      </c>
      <c r="F14" s="89">
        <f t="shared" si="3"/>
        <v>0.13622291021671826</v>
      </c>
      <c r="G14" s="93">
        <f>('Water Reading'!D14-'Water Reading'!D13)-('Water Reading'!R14-'Water Reading'!R13)-('Water Reading'!Q14-'Water Reading'!Q13)</f>
        <v>101</v>
      </c>
      <c r="H14" s="89">
        <f t="shared" si="4"/>
        <v>0.31269349845201239</v>
      </c>
      <c r="I14" s="90">
        <f>'Water Reading'!P14-'Water Reading'!P13</f>
        <v>15</v>
      </c>
      <c r="J14" s="68">
        <f t="shared" si="5"/>
        <v>4.6439628482972138E-2</v>
      </c>
      <c r="K14" s="91">
        <f>('Water Reading'!I14-'Water Reading'!I13)-I14</f>
        <v>60</v>
      </c>
      <c r="L14" s="68">
        <f t="shared" si="6"/>
        <v>0.18575851393188855</v>
      </c>
      <c r="M14" s="90">
        <f>'Water Reading'!R14-'Water Reading'!R13</f>
        <v>4</v>
      </c>
      <c r="N14" s="92">
        <f t="shared" si="7"/>
        <v>1.238390092879257E-2</v>
      </c>
      <c r="O14" s="90">
        <f>'Water Reading'!Q14-'Water Reading'!Q13</f>
        <v>4</v>
      </c>
      <c r="P14" s="99">
        <f t="shared" si="8"/>
        <v>1.238390092879257E-2</v>
      </c>
      <c r="Q14" s="91">
        <f>'Water Reading'!F14-'Water Reading'!F13</f>
        <v>1</v>
      </c>
      <c r="R14" s="100">
        <f t="shared" si="9"/>
        <v>3.0959752321981426E-3</v>
      </c>
      <c r="S14" s="94">
        <f>'Water Reading'!E14-'Water Reading'!E13</f>
        <v>59</v>
      </c>
      <c r="T14" s="100">
        <f t="shared" si="10"/>
        <v>0.1826625386996904</v>
      </c>
      <c r="U14" s="90">
        <f>'Water Reading'!G14-'Water Reading'!G13</f>
        <v>17</v>
      </c>
      <c r="V14" s="100">
        <f t="shared" si="11"/>
        <v>5.2631578947368418E-2</v>
      </c>
      <c r="W14" s="90">
        <f>'Water Reading'!J14-'Water Reading'!J13</f>
        <v>14</v>
      </c>
      <c r="X14" s="100">
        <f t="shared" si="12"/>
        <v>4.3343653250773995E-2</v>
      </c>
      <c r="Y14" s="66">
        <f t="shared" si="0"/>
        <v>319</v>
      </c>
      <c r="Z14" s="67">
        <f t="shared" si="1"/>
        <v>0.9785276073619632</v>
      </c>
    </row>
    <row r="15" spans="1:26" x14ac:dyDescent="0.25">
      <c r="A15" s="8">
        <f>'Water Reading'!A14</f>
        <v>44298</v>
      </c>
      <c r="B15" s="65">
        <f>TOTAL!I13</f>
        <v>274</v>
      </c>
      <c r="C15" s="66">
        <f>('Water Reading'!B15-'Water Reading'!B14)+('Water Reading'!C15-'Water Reading'!C14)</f>
        <v>538</v>
      </c>
      <c r="D15" s="67">
        <f t="shared" si="2"/>
        <v>1.9635036496350364</v>
      </c>
      <c r="E15" s="87">
        <f>'Water Reading'!H15-'Water Reading'!H14</f>
        <v>43</v>
      </c>
      <c r="F15" s="89">
        <f t="shared" si="3"/>
        <v>7.9925650557620811E-2</v>
      </c>
      <c r="G15" s="93">
        <f>('Water Reading'!D15-'Water Reading'!D14)-('Water Reading'!R15-'Water Reading'!R14)-('Water Reading'!Q15-'Water Reading'!Q14)</f>
        <v>114</v>
      </c>
      <c r="H15" s="89">
        <f t="shared" si="4"/>
        <v>0.21189591078066913</v>
      </c>
      <c r="I15" s="90">
        <f>'Water Reading'!P15-'Water Reading'!P14</f>
        <v>22</v>
      </c>
      <c r="J15" s="68">
        <f t="shared" si="5"/>
        <v>4.0892193308550186E-2</v>
      </c>
      <c r="K15" s="91">
        <f>('Water Reading'!I15-'Water Reading'!I14)-I15</f>
        <v>78</v>
      </c>
      <c r="L15" s="68">
        <f t="shared" si="6"/>
        <v>0.1449814126394052</v>
      </c>
      <c r="M15" s="90">
        <f>'Water Reading'!R15-'Water Reading'!R14</f>
        <v>5</v>
      </c>
      <c r="N15" s="92">
        <f t="shared" si="7"/>
        <v>9.2936802973977699E-3</v>
      </c>
      <c r="O15" s="90">
        <f>'Water Reading'!Q15-'Water Reading'!Q14</f>
        <v>3</v>
      </c>
      <c r="P15" s="99">
        <f t="shared" si="8"/>
        <v>5.5762081784386614E-3</v>
      </c>
      <c r="Q15" s="91">
        <f>'Water Reading'!F15-'Water Reading'!F14</f>
        <v>1</v>
      </c>
      <c r="R15" s="100">
        <f t="shared" si="9"/>
        <v>1.8587360594795538E-3</v>
      </c>
      <c r="S15" s="94">
        <f>'Water Reading'!E15-'Water Reading'!E14</f>
        <v>70</v>
      </c>
      <c r="T15" s="100">
        <f t="shared" si="10"/>
        <v>0.13011152416356878</v>
      </c>
      <c r="U15" s="90">
        <f>'Water Reading'!G15-'Water Reading'!G14</f>
        <v>20</v>
      </c>
      <c r="V15" s="100">
        <f t="shared" si="11"/>
        <v>3.717472118959108E-2</v>
      </c>
      <c r="W15" s="90">
        <f>'Water Reading'!J15-'Water Reading'!J14</f>
        <v>11</v>
      </c>
      <c r="X15" s="100">
        <f t="shared" si="12"/>
        <v>2.0446096654275093E-2</v>
      </c>
      <c r="Y15" s="66">
        <f t="shared" si="0"/>
        <v>367</v>
      </c>
      <c r="Z15" s="67">
        <f t="shared" si="1"/>
        <v>1.3394160583941606</v>
      </c>
    </row>
    <row r="16" spans="1:26" x14ac:dyDescent="0.25">
      <c r="A16" s="8">
        <f>'Water Reading'!A15</f>
        <v>44299</v>
      </c>
      <c r="B16" s="65">
        <f>TOTAL!I14</f>
        <v>332</v>
      </c>
      <c r="C16" s="66">
        <f>('Water Reading'!B16-'Water Reading'!B15)+('Water Reading'!C16-'Water Reading'!C15)</f>
        <v>293</v>
      </c>
      <c r="D16" s="67">
        <f t="shared" si="2"/>
        <v>0.88253012048192769</v>
      </c>
      <c r="E16" s="87">
        <f>'Water Reading'!H16-'Water Reading'!H15</f>
        <v>39</v>
      </c>
      <c r="F16" s="89">
        <f t="shared" si="3"/>
        <v>0.13310580204778158</v>
      </c>
      <c r="G16" s="93">
        <f>('Water Reading'!D16-'Water Reading'!D15)-('Water Reading'!R16-'Water Reading'!R15)-('Water Reading'!Q16-'Water Reading'!Q15)</f>
        <v>123</v>
      </c>
      <c r="H16" s="89">
        <f t="shared" si="4"/>
        <v>0.41979522184300339</v>
      </c>
      <c r="I16" s="90">
        <f>'Water Reading'!P16-'Water Reading'!P15</f>
        <v>33</v>
      </c>
      <c r="J16" s="68">
        <f t="shared" si="5"/>
        <v>0.11262798634812286</v>
      </c>
      <c r="K16" s="91">
        <f>('Water Reading'!I16-'Water Reading'!I15)-I16</f>
        <v>79</v>
      </c>
      <c r="L16" s="68">
        <f t="shared" si="6"/>
        <v>0.2696245733788396</v>
      </c>
      <c r="M16" s="90">
        <f>'Water Reading'!R16-'Water Reading'!R15</f>
        <v>4</v>
      </c>
      <c r="N16" s="92">
        <f t="shared" si="7"/>
        <v>1.3651877133105802E-2</v>
      </c>
      <c r="O16" s="90">
        <f>'Water Reading'!Q16-'Water Reading'!Q15</f>
        <v>5</v>
      </c>
      <c r="P16" s="99">
        <f t="shared" si="8"/>
        <v>1.7064846416382253E-2</v>
      </c>
      <c r="Q16" s="91">
        <f>'Water Reading'!F16-'Water Reading'!F15</f>
        <v>1</v>
      </c>
      <c r="R16" s="100">
        <f t="shared" si="9"/>
        <v>3.4129692832764505E-3</v>
      </c>
      <c r="S16" s="94">
        <f>'Water Reading'!E16-'Water Reading'!E15</f>
        <v>73</v>
      </c>
      <c r="T16" s="100">
        <f t="shared" si="10"/>
        <v>0.24914675767918087</v>
      </c>
      <c r="U16" s="90">
        <f>'Water Reading'!G16-'Water Reading'!G15</f>
        <v>16</v>
      </c>
      <c r="V16" s="100">
        <f t="shared" si="11"/>
        <v>5.4607508532423209E-2</v>
      </c>
      <c r="W16" s="90">
        <f>'Water Reading'!J16-'Water Reading'!J15</f>
        <v>10</v>
      </c>
      <c r="X16" s="100">
        <f t="shared" si="12"/>
        <v>3.4129692832764506E-2</v>
      </c>
      <c r="Y16" s="66">
        <f t="shared" si="0"/>
        <v>383</v>
      </c>
      <c r="Z16" s="67">
        <f t="shared" si="1"/>
        <v>1.1536144578313252</v>
      </c>
    </row>
    <row r="17" spans="1:26" x14ac:dyDescent="0.25">
      <c r="A17" s="8">
        <f>'Water Reading'!A16</f>
        <v>44300</v>
      </c>
      <c r="B17" s="65">
        <f>TOTAL!I15</f>
        <v>0</v>
      </c>
      <c r="C17" s="66">
        <f>('Water Reading'!B17-'Water Reading'!B16)+('Water Reading'!C17-'Water Reading'!C16)</f>
        <v>-264703</v>
      </c>
      <c r="D17" s="67" t="e">
        <f t="shared" si="2"/>
        <v>#DIV/0!</v>
      </c>
      <c r="E17" s="87">
        <f>'Water Reading'!H17-'Water Reading'!H16</f>
        <v>-48631</v>
      </c>
      <c r="F17" s="89">
        <f t="shared" si="3"/>
        <v>0.18371911160810417</v>
      </c>
      <c r="G17" s="93">
        <f>('Water Reading'!D17-'Water Reading'!D16)-('Water Reading'!R17-'Water Reading'!R16)-('Water Reading'!Q17-'Water Reading'!Q16)</f>
        <v>-191723</v>
      </c>
      <c r="H17" s="89">
        <f t="shared" si="4"/>
        <v>0.72429477565422384</v>
      </c>
      <c r="I17" s="90">
        <f>'Water Reading'!P17-'Water Reading'!P16</f>
        <v>-26289</v>
      </c>
      <c r="J17" s="68">
        <f t="shared" si="5"/>
        <v>9.9315081430886687E-2</v>
      </c>
      <c r="K17" s="90">
        <f>('Water Reading'!I17-'Water Reading'!I16)-('Water Reading'!P17-'Water Reading'!P16)</f>
        <v>-33895</v>
      </c>
      <c r="L17" s="68">
        <f t="shared" si="6"/>
        <v>0.12804917209098499</v>
      </c>
      <c r="M17" s="90">
        <f>'Water Reading'!R17-'Water Reading'!R16</f>
        <v>-5909</v>
      </c>
      <c r="N17" s="92">
        <f t="shared" si="7"/>
        <v>2.2323131962992487E-2</v>
      </c>
      <c r="O17" s="90">
        <f>'Water Reading'!Q17-'Water Reading'!Q16</f>
        <v>-347</v>
      </c>
      <c r="P17" s="99">
        <f t="shared" si="8"/>
        <v>1.3109031631677768E-3</v>
      </c>
      <c r="Q17" s="91">
        <f>'Water Reading'!F17-'Water Reading'!F16</f>
        <v>-66874</v>
      </c>
      <c r="R17" s="100">
        <f t="shared" si="9"/>
        <v>0.25263786205672017</v>
      </c>
      <c r="S17" s="94">
        <f>'Water Reading'!E17-'Water Reading'!E16</f>
        <v>-243204</v>
      </c>
      <c r="T17" s="100">
        <f t="shared" si="10"/>
        <v>0.91878067116730822</v>
      </c>
      <c r="U17" s="90">
        <f>'Water Reading'!G17-'Water Reading'!G16</f>
        <v>-110378</v>
      </c>
      <c r="V17" s="100">
        <f t="shared" si="11"/>
        <v>0.4169880960926019</v>
      </c>
      <c r="W17" s="90">
        <f>'Water Reading'!J17-'Water Reading'!J16</f>
        <v>-19161</v>
      </c>
      <c r="X17" s="100">
        <f t="shared" si="12"/>
        <v>7.2386788211693864E-2</v>
      </c>
      <c r="Y17" s="66">
        <f t="shared" si="0"/>
        <v>-746411</v>
      </c>
      <c r="Z17" s="67" t="e">
        <f t="shared" si="1"/>
        <v>#DIV/0!</v>
      </c>
    </row>
    <row r="18" spans="1:26" x14ac:dyDescent="0.25">
      <c r="A18" s="8">
        <f>'Water Reading'!A17</f>
        <v>44301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0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44302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0">
        <f>('Water Reading'!I19-'Water Reading'!I18)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44303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0">
        <f>('Water Reading'!I20-'Water Reading'!I19)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44304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0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44305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0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44306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0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44307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44308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44309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44310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44311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44312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44313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44314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44315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44316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44317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4336</v>
      </c>
      <c r="C35" s="75">
        <f>SUM(C4:C34)</f>
        <v>-259621</v>
      </c>
      <c r="D35" s="96">
        <f>C35/B35</f>
        <v>-59.875691881918819</v>
      </c>
      <c r="E35" s="7">
        <f>SUM(E4:E34)</f>
        <v>-48022</v>
      </c>
      <c r="F35" s="95">
        <f>E35/C35</f>
        <v>0.18496962880506584</v>
      </c>
      <c r="G35" s="75">
        <f>SUM(G4:G34)</f>
        <v>-189853</v>
      </c>
      <c r="H35" s="95">
        <f>G35/C35</f>
        <v>0.73126981253442513</v>
      </c>
      <c r="I35" s="7">
        <f>SUM(I4:I34)</f>
        <v>-26141</v>
      </c>
      <c r="J35" s="95">
        <f>I35/C35</f>
        <v>0.100689081391721</v>
      </c>
      <c r="K35" s="7">
        <f>SUM(K4:K34)</f>
        <v>-33068</v>
      </c>
      <c r="L35" s="95">
        <f>K35/C35</f>
        <v>0.12737028206501014</v>
      </c>
      <c r="M35" s="7">
        <f>SUM(M4:M34)</f>
        <v>-5832</v>
      </c>
      <c r="N35" s="95">
        <f>M35/C35</f>
        <v>2.246351412250935E-2</v>
      </c>
      <c r="O35" s="7">
        <f>SUM(O4:O34)</f>
        <v>-297</v>
      </c>
      <c r="P35" s="95">
        <f>O35/C35</f>
        <v>1.143975256238902E-3</v>
      </c>
      <c r="Q35" s="7">
        <f>SUM(Q4:Q34)</f>
        <v>-66868</v>
      </c>
      <c r="R35" s="95">
        <f>Q35/C35</f>
        <v>0.25756005870095255</v>
      </c>
      <c r="S35" s="75">
        <f>SUM(S4:S34)</f>
        <v>-242368</v>
      </c>
      <c r="T35" s="95">
        <f>S35/C35</f>
        <v>0.93354543738757656</v>
      </c>
      <c r="U35" s="7">
        <f>SUM(U4:U34)</f>
        <v>-110066</v>
      </c>
      <c r="V35" s="95">
        <f>U35/C35</f>
        <v>0.42394875607135019</v>
      </c>
      <c r="W35" s="7">
        <f>SUM(W4:W34)</f>
        <v>-19008</v>
      </c>
      <c r="X35" s="95">
        <f>W35/C35</f>
        <v>7.3214416399289731E-2</v>
      </c>
      <c r="Y35" s="75">
        <f>SUM(Y4:Y34)</f>
        <v>-741523</v>
      </c>
      <c r="Z35" s="95">
        <f t="shared" si="1"/>
        <v>-171.0154520295203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2021-04-14T05:07:39Z</dcterms:modified>
  <cp:category/>
  <cp:contentStatus/>
</cp:coreProperties>
</file>