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23"/>
  <c r="F15"/>
  <c r="F16"/>
  <c r="G15"/>
  <c r="H15"/>
  <c r="I15"/>
  <c r="J15"/>
  <c r="G16"/>
  <c r="H16"/>
  <c r="I16"/>
  <c r="J16"/>
  <c r="F17"/>
  <c r="G17"/>
  <c r="H17"/>
  <c r="I17"/>
  <c r="J17"/>
  <c r="F18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G36"/>
  <c r="H36"/>
  <c r="I36"/>
  <c r="J36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D9" i="1"/>
  <c r="AC19" i="13" l="1"/>
  <c r="AC20"/>
  <c r="AC21"/>
  <c r="AC22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G35"/>
  <c r="U36" i="1"/>
  <c r="U35"/>
  <c r="F30" i="3"/>
  <c r="G32" i="15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U23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D16"/>
  <c r="F16" s="1"/>
  <c r="V15"/>
  <c r="D15"/>
  <c r="F15" s="1"/>
  <c r="V14"/>
  <c r="D14"/>
  <c r="F14" s="1"/>
  <c r="V13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S29" i="14" l="1"/>
  <c r="S37"/>
  <c r="R21"/>
  <c r="A1" i="12"/>
  <c r="I3" i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X23"/>
  <c r="X10"/>
  <c r="J11" i="23" s="1"/>
  <c r="X24" i="18"/>
  <c r="X25"/>
  <c r="X8"/>
  <c r="J9" i="23" s="1"/>
  <c r="X11" i="18"/>
  <c r="J12" i="23" s="1"/>
  <c r="X12" i="18"/>
  <c r="X15"/>
  <c r="X26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C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AN20"/>
  <c r="W16" i="25" s="1"/>
  <c r="AN17" i="3"/>
  <c r="W13" i="25" s="1"/>
  <c r="AN12" i="3"/>
  <c r="G11" i="23" s="1"/>
  <c r="AN18" i="3"/>
  <c r="AN11"/>
  <c r="AN15"/>
  <c r="U38"/>
  <c r="AN38" s="1"/>
  <c r="W7" i="25" l="1"/>
  <c r="G10" i="23"/>
  <c r="W11" i="25"/>
  <c r="G14" i="23"/>
  <c r="W2" i="25"/>
  <c r="G8" i="23"/>
  <c r="W14" i="25"/>
  <c r="W12"/>
  <c r="W10"/>
  <c r="AN37" i="3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<sst xmlns="http://schemas.openxmlformats.org/spreadsheetml/2006/main" count="542" uniqueCount="329">
  <si>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</si>
  <si>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</si>
  <si>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</si>
  <si>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</si>
  <si>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</si>
  <si>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</si>
  <si>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</si>
  <si>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</si>
  <si>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</si>
  <si>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</si>
  <si>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</si>
  <si>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</si>
  <si>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</si>
  <si>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</si>
  <si>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</si>
  <si>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</si>
  <si>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</si>
  <si>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</si>
  <si>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</si>
  <si>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</si>
  <si>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</si>
  <si>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</si>
  <si>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</si>
  <si>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</si>
  <si>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</si>
  <si>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</si>
  <si>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</si>
  <si>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</si>
  <si>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</si>
  <si>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</si>
  <si>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</si>
  <si>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</si>
  <si>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</si>
  <si>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</si>
  <si>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</si>
  <si>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</si>
  <si>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</si>
  <si>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</si>
  <si>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</si>
  <si>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</si>
  <si>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</si>
  <si>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</si>
  <si>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</si>
  <si>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</si>
  <si>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</si>
  <si>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</si>
  <si>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</si>
  <si>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</si>
  <si>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</si>
  <si>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</si>
  <si>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</si>
  <si>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</si>
  <si>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</si>
  <si>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</si>
  <si>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</si>
  <si>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</si>
  <si>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</si>
  <si>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</si>
  <si>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</si>
  <si>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</si>
  <si>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</si>
  <si>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</si>
  <si>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</si>
  <si>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</si>
  <si>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</si>
  <si>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</si>
  <si>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</si>
  <si>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</si>
  <si>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</si>
  <si>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</si>
  <si>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</si>
  <si>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</si>
  <si>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</si>
  <si>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</si>
  <si>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</si>
  <si>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</si>
  <si>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</si>
  <si>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</si>
  <si>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</si>
  <si>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</si>
  <si>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</si>
  <si>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</si>
  <si>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</si>
  <si>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</si>
  <si>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</si>
  <si>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</si>
  <si>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</si>
  <si>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</si>
  <si>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</si>
  <si>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</si>
  <si>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</si>
  <si>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</si>
  <si>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</si>
  <si>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</si>
  <si>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</si>
  <si>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</si>
  <si>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</si>
  <si>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</si>
  <si>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</si>
  <si>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</si>
  <si>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</si>
  <si>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</si>
  <si>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</si>
  <si>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</si>
  <si>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</si>
  <si>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</si>
  <si>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</si>
  <si>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</si>
  <si>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</si>
  <si>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</si>
  <si>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</si>
  <si>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</si>
  <si>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</si>
  <si>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</si>
  <si>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</si>
  <si>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</si>
  <si>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</si>
  <si>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</si>
  <si>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</si>
  <si>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</si>
  <si>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</si>
  <si>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</si>
  <si>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</si>
  <si>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</si>
  <si>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</si>
  <si>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</si>
  <si>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</si>
  <si>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</si>
  <si>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</si>
  <si>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</si>
  <si>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</si>
  <si>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</si>
  <si>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</si>
  <si>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</si>
  <si>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</si>
  <si>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</si>
  <si>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</si>
  <si>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</si>
  <si>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</si>
  <si>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</si>
  <si>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</si>
  <si>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</si>
  <si>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</si>
  <si>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</si>
  <si>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</si>
  <si>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</si>
  <si>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</si>
  <si>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</si>
  <si>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</si>
  <si>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</si>
  <si>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</si>
  <si>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</si>
  <si>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</si>
  <si>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</si>
  <si>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</si>
  <si>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</si>
  <si>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</si>
  <si>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</si>
  <si>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</si>
  <si>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</si>
  <si>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</si>
  <si>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</si>
  <si>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</si>
  <si>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</si>
  <si>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</si>
  <si>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</si>
  <si>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</si>
  <si>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</si>
  <si>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</si>
  <si>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</si>
  <si>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</si>
  <si>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</si>
  <si>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</si>
  <si>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</si>
  <si>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</si>
  <si>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</si>
  <si>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</si>
  <si>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</si>
  <si>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</si>
  <si>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</si>
  <si>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</si>
  <si>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</si>
  <si>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</si>
  <si>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</si>
  <si>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</si>
  <si>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</si>
  <si>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</si>
  <si>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</si>
  <si>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</si>
  <si>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</si>
  <si>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</si>
  <si>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</si>
  <si>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</si>
  <si>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</si>
  <si>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</si>
  <si>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</si>
  <si>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</si>
  <si>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</si>
  <si>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</si>
  <si>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</si>
  <si>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</si>
  <si>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</si>
  <si>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</si>
  <si>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</si>
  <si>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</si>
  <si>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</si>
  <si>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</si>
  <si>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</si>
  <si>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</si>
  <si>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</si>
  <si>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</si>
  <si>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</si>
  <si>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</si>
  <si>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</si>
  <si>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</si>
  <si>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</si>
  <si>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</si>
  <si>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</si>
  <si>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</si>
  <si>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</si>
  <si>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</si>
  <si>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</si>
  <si>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</si>
  <si>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</si>
  <si>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</si>
  <si>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</si>
  <si>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</si>
  <si>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</si>
  <si>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</si>
  <si>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</si>
  <si>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</si>
  <si>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</si>
  <si>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</si>
  <si>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</si>
  <si>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</si>
  <si>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</si>
  <si>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</si>
  <si>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</si>
  <si>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</si>
  <si>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</si>
  <si>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</si>
  <si>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</si>
  <si>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</si>
  <si>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</si>
  <si>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</si>
  <si>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</si>
  <si>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</si>
  <si>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</si>
  <si>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</si>
  <si>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</si>
  <si>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</si>
  <si>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</si>
  <si>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</si>
  <si>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</si>
  <si>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</si>
  <si>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</si>
  <si>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</si>
  <si>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</si>
  <si>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</si>
  <si>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</si>
  <si>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</si>
  <si>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</si>
  <si>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</si>
  <si>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</si>
  <si>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</si>
  <si>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</si>
  <si>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</si>
  <si>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</si>
  <si>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</si>
  <si>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</si>
  <si>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</si>
  <si>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</si>
  <si>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</si>
  <si>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</si>
  <si>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</si>
  <si>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</si>
  <si>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</si>
  <si>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</si>
  <si>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</si>
  <si>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</si>
  <si>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</si>
  <si>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</si>
  <si>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</si>
  <si>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</si>
  <si>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</si>
  <si>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</si>
  <si>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</si>
  <si>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</si>
  <si>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</si>
  <si>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</si>
  <si>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</si>
  <si>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</si>
  <si>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</si>
  <si>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</si>
  <si>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</si>
  <si>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</si>
  <si>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</si>
  <si>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</si>
  <si>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</si>
  <si>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</si>
  <si>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</si>
  <si>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</si>
  <si>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</si>
  <si>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</si>
  <si>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</si>
  <si>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</si>
  <si>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</si>
  <si>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</si>
  <si>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</si>
  <si>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</si>
  <si>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</si>
  <si>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</si>
  <si>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</si>
  <si>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</si>
  <si>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</si>
  <si>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</si>
  <si>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</si>
  <si>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</si>
  <si>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</si>
  <si>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</si>
  <si>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</si>
  <si>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 880DKQ</t>
  </si>
  <si>
    <t>Emanuel</t>
  </si>
  <si>
    <t>Noel</t>
  </si>
  <si>
    <t xml:space="preserve"> T818 CBX</t>
  </si>
  <si>
    <t>Sita</t>
  </si>
  <si>
    <t>Cssh paid</t>
  </si>
  <si>
    <t>T466DNY</t>
  </si>
  <si>
    <t>Abdullah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</si>
</sst>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3095680"/>
        <c:axId val="1230974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3099008"/>
        <c:axId val="123100544"/>
      </c:lineChart>
      <c:catAx>
        <c:axId val="1230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97472"/>
        <c:crosses val="autoZero"/>
        <c:auto val="1"/>
        <c:lblAlgn val="ctr"/>
        <c:lblOffset val="100"/>
      </c:catAx>
      <c:valAx>
        <c:axId val="1230974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95680"/>
        <c:crosses val="autoZero"/>
        <c:crossBetween val="between"/>
        <c:majorUnit val="200"/>
      </c:valAx>
      <c:catAx>
        <c:axId val="123099008"/>
        <c:scaling>
          <c:orientation val="minMax"/>
        </c:scaling>
        <c:delete val="1"/>
        <c:axPos val="b"/>
        <c:tickLblPos val="none"/>
        <c:crossAx val="123100544"/>
        <c:crosses val="autoZero"/>
        <c:auto val="1"/>
        <c:lblAlgn val="ctr"/>
        <c:lblOffset val="100"/>
      </c:catAx>
      <c:valAx>
        <c:axId val="123100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99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7275776"/>
        <c:axId val="1272773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7283200"/>
        <c:axId val="127284736"/>
      </c:lineChart>
      <c:catAx>
        <c:axId val="12727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7312"/>
        <c:crosses val="autoZero"/>
        <c:auto val="1"/>
        <c:lblAlgn val="ctr"/>
        <c:lblOffset val="100"/>
      </c:catAx>
      <c:valAx>
        <c:axId val="12727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5776"/>
        <c:crosses val="autoZero"/>
        <c:crossBetween val="between"/>
        <c:majorUnit val="200"/>
      </c:valAx>
      <c:catAx>
        <c:axId val="127283200"/>
        <c:scaling>
          <c:orientation val="minMax"/>
        </c:scaling>
        <c:delete val="1"/>
        <c:axPos val="b"/>
        <c:tickLblPos val="none"/>
        <c:crossAx val="127284736"/>
        <c:crosses val="autoZero"/>
        <c:auto val="1"/>
        <c:lblAlgn val="ctr"/>
        <c:lblOffset val="100"/>
      </c:catAx>
      <c:valAx>
        <c:axId val="127284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83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7674240"/>
        <c:axId val="127675776"/>
      </c:lineChart>
      <c:catAx>
        <c:axId val="1276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5776"/>
        <c:crosses val="autoZero"/>
        <c:auto val="1"/>
        <c:lblAlgn val="ctr"/>
        <c:lblOffset val="200"/>
        <c:tickLblSkip val="1"/>
      </c:catAx>
      <c:valAx>
        <c:axId val="127675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7704448"/>
        <c:axId val="128459904"/>
      </c:lineChart>
      <c:catAx>
        <c:axId val="12770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59904"/>
        <c:crosses val="autoZero"/>
        <c:auto val="1"/>
        <c:lblAlgn val="ctr"/>
        <c:lblOffset val="100"/>
      </c:catAx>
      <c:valAx>
        <c:axId val="1284599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8504960"/>
        <c:axId val="128506880"/>
      </c:lineChart>
      <c:catAx>
        <c:axId val="128504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06880"/>
        <c:crosses val="autoZero"/>
        <c:auto val="1"/>
        <c:lblAlgn val="ctr"/>
        <c:lblOffset val="100"/>
      </c:catAx>
      <c:valAx>
        <c:axId val="128506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04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7962496"/>
        <c:axId val="127981056"/>
      </c:lineChart>
      <c:catAx>
        <c:axId val="127962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81056"/>
        <c:crosses val="autoZero"/>
        <c:auto val="1"/>
        <c:lblAlgn val="ctr"/>
        <c:lblOffset val="100"/>
      </c:catAx>
      <c:valAx>
        <c:axId val="127981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62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7969152"/>
        <c:axId val="127970688"/>
      </c:lineChart>
      <c:catAx>
        <c:axId val="12796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70688"/>
        <c:crosses val="autoZero"/>
        <c:auto val="1"/>
        <c:lblAlgn val="ctr"/>
        <c:lblOffset val="100"/>
      </c:catAx>
      <c:valAx>
        <c:axId val="127970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6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9536384"/>
        <c:axId val="129537920"/>
      </c:lineChart>
      <c:catAx>
        <c:axId val="12953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37920"/>
        <c:crosses val="autoZero"/>
        <c:auto val="1"/>
        <c:lblAlgn val="ctr"/>
        <c:lblOffset val="100"/>
      </c:catAx>
      <c:valAx>
        <c:axId val="12953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30172416"/>
        <c:axId val="130173952"/>
      </c:lineChart>
      <c:catAx>
        <c:axId val="1301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73952"/>
        <c:crosses val="autoZero"/>
        <c:auto val="1"/>
        <c:lblAlgn val="ctr"/>
        <c:lblOffset val="100"/>
      </c:catAx>
      <c:valAx>
        <c:axId val="13017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228"/>
          <c:y val="7.471324705111287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0202624"/>
        <c:axId val="130212608"/>
      </c:lineChart>
      <c:catAx>
        <c:axId val="13020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12608"/>
        <c:crosses val="autoZero"/>
        <c:auto val="1"/>
        <c:lblAlgn val="ctr"/>
        <c:lblOffset val="200"/>
        <c:tickLblSkip val="1"/>
      </c:catAx>
      <c:valAx>
        <c:axId val="130212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0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29082496"/>
        <c:axId val="129084032"/>
      </c:lineChart>
      <c:catAx>
        <c:axId val="1290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84032"/>
        <c:crosses val="autoZero"/>
        <c:auto val="1"/>
        <c:lblAlgn val="ctr"/>
        <c:lblOffset val="100"/>
      </c:catAx>
      <c:valAx>
        <c:axId val="1290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29100416"/>
        <c:axId val="130712320"/>
      </c:lineChart>
      <c:catAx>
        <c:axId val="129100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2320"/>
        <c:crosses val="autoZero"/>
        <c:auto val="1"/>
        <c:lblAlgn val="ctr"/>
        <c:lblOffset val="100"/>
      </c:catAx>
      <c:valAx>
        <c:axId val="130712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00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30888832"/>
        <c:axId val="130890752"/>
      </c:lineChart>
      <c:catAx>
        <c:axId val="13088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0752"/>
        <c:crosses val="autoZero"/>
        <c:auto val="1"/>
        <c:lblAlgn val="ctr"/>
        <c:lblOffset val="100"/>
      </c:catAx>
      <c:valAx>
        <c:axId val="130890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8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30936192"/>
        <c:axId val="130937984"/>
      </c:lineChart>
      <c:catAx>
        <c:axId val="1309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37984"/>
        <c:crosses val="autoZero"/>
        <c:auto val="1"/>
        <c:lblAlgn val="ctr"/>
        <c:lblOffset val="100"/>
      </c:catAx>
      <c:valAx>
        <c:axId val="13093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30512768"/>
        <c:axId val="130514304"/>
      </c:lineChart>
      <c:catAx>
        <c:axId val="1305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4304"/>
        <c:crosses val="autoZero"/>
        <c:auto val="1"/>
        <c:lblAlgn val="ctr"/>
        <c:lblOffset val="100"/>
      </c:catAx>
      <c:valAx>
        <c:axId val="13051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31206144"/>
        <c:axId val="131212032"/>
      </c:lineChart>
      <c:catAx>
        <c:axId val="1312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12032"/>
        <c:crosses val="autoZero"/>
        <c:auto val="1"/>
        <c:lblAlgn val="ctr"/>
        <c:lblOffset val="100"/>
      </c:catAx>
      <c:valAx>
        <c:axId val="13121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484"/>
          <c:y val="7.471324705111323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1642496"/>
        <c:axId val="1316440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3343232"/>
        <c:axId val="123344768"/>
      </c:lineChart>
      <c:catAx>
        <c:axId val="131642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4032"/>
        <c:crosses val="autoZero"/>
        <c:lblAlgn val="ctr"/>
        <c:lblOffset val="100"/>
        <c:tickMarkSkip val="1"/>
      </c:catAx>
      <c:valAx>
        <c:axId val="131644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2496"/>
        <c:crosses val="autoZero"/>
        <c:crossBetween val="between"/>
      </c:valAx>
      <c:catAx>
        <c:axId val="123343232"/>
        <c:scaling>
          <c:orientation val="minMax"/>
        </c:scaling>
        <c:delete val="1"/>
        <c:axPos val="b"/>
        <c:numFmt formatCode="[$-409]d\-mmm\-yy;@" sourceLinked="1"/>
        <c:tickLblPos val="none"/>
        <c:crossAx val="123344768"/>
        <c:crosses val="autoZero"/>
        <c:lblAlgn val="ctr"/>
        <c:lblOffset val="100"/>
      </c:catAx>
      <c:valAx>
        <c:axId val="12334476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43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3369344"/>
        <c:axId val="123370880"/>
      </c:lineChart>
      <c:catAx>
        <c:axId val="1233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70880"/>
        <c:crosses val="autoZero"/>
        <c:auto val="1"/>
        <c:lblAlgn val="ctr"/>
        <c:lblOffset val="100"/>
      </c:catAx>
      <c:valAx>
        <c:axId val="123370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3403648"/>
        <c:axId val="156513408"/>
      </c:lineChart>
      <c:catAx>
        <c:axId val="12340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3408"/>
        <c:crosses val="autoZero"/>
        <c:auto val="1"/>
        <c:lblAlgn val="ctr"/>
        <c:lblOffset val="100"/>
      </c:catAx>
      <c:valAx>
        <c:axId val="1565134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0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6564864"/>
        <c:axId val="157353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7354624"/>
        <c:axId val="157364608"/>
      </c:lineChart>
      <c:catAx>
        <c:axId val="156564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3088"/>
        <c:crosses val="autoZero"/>
        <c:lblAlgn val="ctr"/>
        <c:lblOffset val="100"/>
        <c:tickMarkSkip val="1"/>
      </c:catAx>
      <c:valAx>
        <c:axId val="15735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4864"/>
        <c:crosses val="autoZero"/>
        <c:crossBetween val="between"/>
      </c:valAx>
      <c:catAx>
        <c:axId val="157354624"/>
        <c:scaling>
          <c:orientation val="minMax"/>
        </c:scaling>
        <c:delete val="1"/>
        <c:axPos val="b"/>
        <c:numFmt formatCode="General" sourceLinked="1"/>
        <c:tickLblPos val="none"/>
        <c:crossAx val="157364608"/>
        <c:crosses val="autoZero"/>
        <c:lblAlgn val="ctr"/>
        <c:lblOffset val="100"/>
      </c:catAx>
      <c:valAx>
        <c:axId val="157364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7548544"/>
        <c:axId val="157550080"/>
      </c:lineChart>
      <c:catAx>
        <c:axId val="15754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50080"/>
        <c:crosses val="autoZero"/>
        <c:auto val="1"/>
        <c:lblAlgn val="ctr"/>
        <c:lblOffset val="100"/>
      </c:catAx>
      <c:valAx>
        <c:axId val="15755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7574656"/>
        <c:axId val="157576192"/>
      </c:lineChart>
      <c:catAx>
        <c:axId val="15757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6192"/>
        <c:crosses val="autoZero"/>
        <c:auto val="1"/>
        <c:lblAlgn val="ctr"/>
        <c:lblOffset val="100"/>
      </c:catAx>
      <c:valAx>
        <c:axId val="15757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8090368"/>
        <c:axId val="15809190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8105984"/>
        <c:axId val="158107520"/>
      </c:lineChart>
      <c:catAx>
        <c:axId val="1580903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1904"/>
        <c:crosses val="autoZero"/>
        <c:lblAlgn val="ctr"/>
        <c:lblOffset val="100"/>
        <c:tickMarkSkip val="1"/>
      </c:catAx>
      <c:valAx>
        <c:axId val="1580919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0368"/>
        <c:crosses val="autoZero"/>
        <c:crossBetween val="between"/>
      </c:valAx>
      <c:catAx>
        <c:axId val="158105984"/>
        <c:scaling>
          <c:orientation val="minMax"/>
        </c:scaling>
        <c:delete val="1"/>
        <c:axPos val="b"/>
        <c:numFmt formatCode="[$-409]d\-mmm\-yy;@" sourceLinked="1"/>
        <c:tickLblPos val="none"/>
        <c:crossAx val="158107520"/>
        <c:crosses val="autoZero"/>
        <c:lblAlgn val="ctr"/>
        <c:lblOffset val="100"/>
      </c:catAx>
      <c:valAx>
        <c:axId val="1581075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8133632"/>
        <c:axId val="159188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9189632"/>
        <c:axId val="159203712"/>
      </c:lineChart>
      <c:catAx>
        <c:axId val="158133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88096"/>
        <c:crosses val="autoZero"/>
        <c:lblAlgn val="ctr"/>
        <c:lblOffset val="100"/>
        <c:tickMarkSkip val="1"/>
      </c:catAx>
      <c:valAx>
        <c:axId val="15918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3632"/>
        <c:crosses val="autoZero"/>
        <c:crossBetween val="between"/>
      </c:valAx>
      <c:catAx>
        <c:axId val="159189632"/>
        <c:scaling>
          <c:orientation val="minMax"/>
        </c:scaling>
        <c:delete val="1"/>
        <c:axPos val="b"/>
        <c:numFmt formatCode="General" sourceLinked="1"/>
        <c:tickLblPos val="none"/>
        <c:crossAx val="159203712"/>
        <c:crosses val="autoZero"/>
        <c:lblAlgn val="ctr"/>
        <c:lblOffset val="100"/>
      </c:catAx>
      <c:valAx>
        <c:axId val="159203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89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9414912"/>
        <c:axId val="1594248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9426432"/>
        <c:axId val="159427968"/>
      </c:lineChart>
      <c:catAx>
        <c:axId val="159414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24896"/>
        <c:crosses val="autoZero"/>
        <c:lblAlgn val="ctr"/>
        <c:lblOffset val="100"/>
        <c:tickMarkSkip val="1"/>
      </c:catAx>
      <c:valAx>
        <c:axId val="1594248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4912"/>
        <c:crosses val="autoZero"/>
        <c:crossBetween val="between"/>
      </c:valAx>
      <c:catAx>
        <c:axId val="159426432"/>
        <c:scaling>
          <c:orientation val="minMax"/>
        </c:scaling>
        <c:delete val="1"/>
        <c:axPos val="b"/>
        <c:numFmt formatCode="[$-409]d\-mmm\-yy;@" sourceLinked="1"/>
        <c:tickLblPos val="none"/>
        <c:crossAx val="159427968"/>
        <c:crosses val="autoZero"/>
        <c:lblAlgn val="ctr"/>
        <c:lblOffset val="100"/>
      </c:catAx>
      <c:valAx>
        <c:axId val="1594279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26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0650368"/>
        <c:axId val="1606519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0657792"/>
        <c:axId val="160659328"/>
      </c:lineChart>
      <c:catAx>
        <c:axId val="1606503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1904"/>
        <c:crosses val="autoZero"/>
        <c:lblAlgn val="ctr"/>
        <c:lblOffset val="100"/>
        <c:tickMarkSkip val="1"/>
      </c:catAx>
      <c:valAx>
        <c:axId val="16065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0368"/>
        <c:crosses val="autoZero"/>
        <c:crossBetween val="between"/>
      </c:valAx>
      <c:catAx>
        <c:axId val="160657792"/>
        <c:scaling>
          <c:orientation val="minMax"/>
        </c:scaling>
        <c:delete val="1"/>
        <c:axPos val="b"/>
        <c:numFmt formatCode="General" sourceLinked="1"/>
        <c:tickLblPos val="none"/>
        <c:crossAx val="160659328"/>
        <c:crosses val="autoZero"/>
        <c:lblAlgn val="ctr"/>
        <c:lblOffset val="100"/>
      </c:catAx>
      <c:valAx>
        <c:axId val="1606593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7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0971008"/>
        <c:axId val="160981376"/>
      </c:lineChart>
      <c:catAx>
        <c:axId val="160971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1376"/>
        <c:crosses val="autoZero"/>
        <c:auto val="1"/>
        <c:lblAlgn val="ctr"/>
        <c:lblOffset val="100"/>
      </c:catAx>
      <c:valAx>
        <c:axId val="160981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71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0998144"/>
        <c:axId val="161000064"/>
      </c:lineChart>
      <c:catAx>
        <c:axId val="160998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00064"/>
        <c:crosses val="autoZero"/>
        <c:auto val="1"/>
        <c:lblAlgn val="ctr"/>
        <c:lblOffset val="100"/>
      </c:catAx>
      <c:valAx>
        <c:axId val="161000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8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538176"/>
        <c:axId val="159548160"/>
      </c:lineChart>
      <c:catAx>
        <c:axId val="15953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48160"/>
        <c:crosses val="autoZero"/>
        <c:auto val="1"/>
        <c:lblAlgn val="ctr"/>
        <c:lblOffset val="200"/>
        <c:tickLblSkip val="1"/>
      </c:catAx>
      <c:valAx>
        <c:axId val="1595481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1547008"/>
        <c:axId val="161548544"/>
      </c:lineChart>
      <c:catAx>
        <c:axId val="16154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8544"/>
        <c:crosses val="autoZero"/>
        <c:auto val="1"/>
        <c:lblAlgn val="ctr"/>
        <c:lblOffset val="100"/>
      </c:catAx>
      <c:valAx>
        <c:axId val="1615485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4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1573120"/>
        <c:axId val="161583104"/>
      </c:lineChart>
      <c:catAx>
        <c:axId val="16157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3104"/>
        <c:crosses val="autoZero"/>
        <c:auto val="1"/>
        <c:lblAlgn val="ctr"/>
        <c:lblOffset val="100"/>
      </c:catAx>
      <c:valAx>
        <c:axId val="16158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7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2701312"/>
        <c:axId val="162703232"/>
      </c:lineChart>
      <c:catAx>
        <c:axId val="162701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03232"/>
        <c:crosses val="autoZero"/>
        <c:auto val="1"/>
        <c:lblAlgn val="ctr"/>
        <c:lblOffset val="100"/>
      </c:catAx>
      <c:valAx>
        <c:axId val="162703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01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2859264"/>
        <c:axId val="162886016"/>
      </c:lineChart>
      <c:catAx>
        <c:axId val="162859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6016"/>
        <c:crosses val="autoZero"/>
        <c:auto val="1"/>
        <c:lblAlgn val="ctr"/>
        <c:lblOffset val="100"/>
      </c:catAx>
      <c:valAx>
        <c:axId val="162886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9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2595584"/>
        <c:axId val="162597120"/>
      </c:lineChart>
      <c:catAx>
        <c:axId val="1625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7120"/>
        <c:crosses val="autoZero"/>
        <c:auto val="1"/>
        <c:lblAlgn val="ctr"/>
        <c:lblOffset val="200"/>
        <c:tickLblSkip val="1"/>
      </c:catAx>
      <c:valAx>
        <c:axId val="162597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2625792"/>
        <c:axId val="162635776"/>
      </c:lineChart>
      <c:catAx>
        <c:axId val="1626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35776"/>
        <c:crosses val="autoZero"/>
        <c:auto val="1"/>
        <c:lblAlgn val="ctr"/>
        <c:lblOffset val="100"/>
      </c:catAx>
      <c:valAx>
        <c:axId val="162635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4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446784"/>
        <c:axId val="163448320"/>
      </c:lineChart>
      <c:catAx>
        <c:axId val="16344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8320"/>
        <c:crosses val="autoZero"/>
        <c:auto val="1"/>
        <c:lblAlgn val="ctr"/>
        <c:lblOffset val="100"/>
      </c:catAx>
      <c:valAx>
        <c:axId val="163448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4365824"/>
        <c:axId val="164367744"/>
      </c:lineChart>
      <c:catAx>
        <c:axId val="16436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7744"/>
        <c:crosses val="autoZero"/>
        <c:auto val="1"/>
        <c:lblAlgn val="ctr"/>
        <c:lblOffset val="100"/>
      </c:catAx>
      <c:valAx>
        <c:axId val="164367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5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4405248"/>
        <c:axId val="164407168"/>
      </c:lineChart>
      <c:catAx>
        <c:axId val="164405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7168"/>
        <c:crosses val="autoZero"/>
        <c:auto val="1"/>
        <c:lblAlgn val="ctr"/>
        <c:lblOffset val="100"/>
      </c:catAx>
      <c:valAx>
        <c:axId val="1644071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52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583680"/>
        <c:axId val="164585472"/>
      </c:lineChart>
      <c:catAx>
        <c:axId val="16458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5472"/>
        <c:crosses val="autoZero"/>
        <c:auto val="1"/>
        <c:lblAlgn val="ctr"/>
        <c:lblOffset val="200"/>
        <c:tickLblSkip val="1"/>
      </c:catAx>
      <c:valAx>
        <c:axId val="164585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618240"/>
        <c:axId val="164619776"/>
      </c:lineChart>
      <c:catAx>
        <c:axId val="1646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9776"/>
        <c:crosses val="autoZero"/>
        <c:auto val="1"/>
        <c:lblAlgn val="ctr"/>
        <c:lblOffset val="100"/>
      </c:catAx>
      <c:valAx>
        <c:axId val="16461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9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4771328"/>
        <c:axId val="164772864"/>
      </c:lineChart>
      <c:catAx>
        <c:axId val="16477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2864"/>
        <c:crosses val="autoZero"/>
        <c:auto val="1"/>
        <c:lblAlgn val="ctr"/>
        <c:lblOffset val="100"/>
      </c:catAx>
      <c:valAx>
        <c:axId val="16477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4813824"/>
        <c:axId val="165311616"/>
      </c:lineChart>
      <c:catAx>
        <c:axId val="164813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11616"/>
        <c:crosses val="autoZero"/>
        <c:auto val="1"/>
        <c:lblAlgn val="ctr"/>
        <c:lblOffset val="100"/>
      </c:catAx>
      <c:valAx>
        <c:axId val="165311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3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5086720"/>
        <c:axId val="165088640"/>
      </c:lineChart>
      <c:catAx>
        <c:axId val="16508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88640"/>
        <c:crosses val="autoZero"/>
        <c:auto val="1"/>
        <c:lblAlgn val="ctr"/>
        <c:lblOffset val="100"/>
      </c:catAx>
      <c:valAx>
        <c:axId val="165088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86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5122048"/>
        <c:axId val="165123584"/>
      </c:lineChart>
      <c:catAx>
        <c:axId val="1651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23584"/>
        <c:crosses val="autoZero"/>
        <c:auto val="1"/>
        <c:lblAlgn val="ctr"/>
        <c:lblOffset val="200"/>
        <c:tickLblSkip val="1"/>
      </c:catAx>
      <c:valAx>
        <c:axId val="16512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811712"/>
        <c:axId val="165813248"/>
      </c:lineChart>
      <c:catAx>
        <c:axId val="1658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3248"/>
        <c:crosses val="autoZero"/>
        <c:auto val="1"/>
        <c:lblAlgn val="ctr"/>
        <c:lblOffset val="100"/>
      </c:catAx>
      <c:valAx>
        <c:axId val="16581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9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5821440"/>
        <c:axId val="165847808"/>
      </c:lineChart>
      <c:catAx>
        <c:axId val="16582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47808"/>
        <c:crosses val="autoZero"/>
        <c:auto val="1"/>
        <c:lblAlgn val="ctr"/>
        <c:lblOffset val="100"/>
      </c:catAx>
      <c:valAx>
        <c:axId val="16584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49.588000000017935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62.567999999941101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54.868000000005125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57.420000000012813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 t="str">
        <f>IF('Utility summery'!M16&lt;0,"0",'Utility summery'!M16)</f>
        <v>0</v>
      </c>
      <c r="H12" s="492">
        <v>0</v>
      </c>
      <c r="I12" s="484" t="str">
        <f>IF('UTILITY REPORT 1'!G13&lt;0,"0",'UTILITY REPORT 1'!G13)</f>
        <v>0</v>
      </c>
      <c r="J12" s="492">
        <v>0</v>
      </c>
      <c r="K12" s="483">
        <f>'UTILITY REPORT 1'!C13</f>
        <v>3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 t="str">
        <f>IF('Kit report'!F14&lt;0,"0",'Kit report'!F14)</f>
        <v>0</v>
      </c>
      <c r="I12" s="540" t="str">
        <f>IF('Kit report'!X14&lt;0,"0",'Kit report'!X14)</f>
        <v>0</v>
      </c>
      <c r="J12" s="540" t="str">
        <f>IF('Utility summery'!H16&lt;0,"0",'Utility summery'!H16)</f>
        <v>0</v>
      </c>
      <c r="K12" s="541" t="str">
        <f>IF('UTILITY REPORT 1'!H13&lt;0,"0",'UTILITY REPORT 1'!H13)</f>
        <v>0</v>
      </c>
      <c r="L12" s="540" t="str">
        <f>'Water-Meter'!K16</f>
        <v>0</v>
      </c>
      <c r="M12" s="541" t="str">
        <f>'Water-Meter'!H16</f>
        <v>0</v>
      </c>
      <c r="N12" s="541" t="str">
        <f>'Water-Meter'!Q16</f>
        <v>0</v>
      </c>
      <c r="O12" s="540" t="e">
        <f>K12*E12+H12*I12+#REF!*#REF!+J12*L12</f>
        <v>#REF!</v>
      </c>
      <c r="P12" s="547" t="str">
        <f>'Water-Meter'!E16</f>
        <v>0</v>
      </c>
      <c r="Q12" s="289" t="str">
        <f>IF('Water-Meter'!U16&lt;0,"0",'Water-Meter'!U16)</f>
        <v>0</v>
      </c>
      <c r="R12" s="289" t="str">
        <f>IF('Water-Meter'!X16&lt;0,"0",'Water-Meter'!X16)</f>
        <v>0</v>
      </c>
      <c r="S12" s="289" t="str">
        <f>IF('Water-Meter'!AA16&lt;0,"0",'Water-Meter'!AA16)</f>
        <v>0</v>
      </c>
      <c r="T12" s="289" t="str">
        <f>IF('Water-Meter'!AD16&lt;0,"0",'Water-Meter'!AD16)</f>
        <v>0</v>
      </c>
      <c r="U12" s="289" t="str">
        <f>IF('Water-Meter'!AG16&lt;0,"0",'Water-Meter'!AG16)</f>
        <v>0</v>
      </c>
      <c r="V12" s="289" t="str">
        <f>IF('Water-Meter'!AJ16&lt;0,"0",'Water-Meter'!AJ16)</f>
        <v>0</v>
      </c>
      <c r="W12" s="31">
        <f>'Water-Meter'!AN16</f>
        <v>0</v>
      </c>
      <c r="X12" s="558">
        <f>Total!K12</f>
        <v>3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317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3</v>
      </c>
      <c r="D13" s="472">
        <v>1</v>
      </c>
      <c r="E13" s="471">
        <f>Gen!T21</f>
        <v>0</v>
      </c>
      <c r="F13" s="471">
        <f>Gen!U21</f>
        <v>0</v>
      </c>
      <c r="G13" s="471" t="str">
        <f>'Water-Meter'!E16</f>
        <v>0</v>
      </c>
      <c r="H13" s="471">
        <f>'Utility report '!AC16</f>
        <v>-38396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49.588000000017935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62.567999999941101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54.868000000005125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57.420000000012813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3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-38396</v>
      </c>
      <c r="H16" s="180">
        <f>'Utility report '!AE16</f>
        <v>-204992</v>
      </c>
      <c r="I16" s="348" t="str">
        <f>'Water-Meter'!E16</f>
        <v>0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-317703.364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0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50</v>
      </c>
      <c r="C39" s="537">
        <f>SUM(C7:C35)</f>
        <v>19542</v>
      </c>
      <c r="D39" s="537">
        <f>SUM(D7:D35)</f>
        <v>8313.9600000000009</v>
      </c>
      <c r="E39" s="537">
        <f t="shared" ref="E39:S39" si="3">SUM(E7:E35)</f>
        <v>499.12</v>
      </c>
      <c r="F39" s="537">
        <f t="shared" si="3"/>
        <v>8813.08</v>
      </c>
      <c r="G39" s="537">
        <f t="shared" si="3"/>
        <v>-37882</v>
      </c>
      <c r="H39" s="537">
        <f t="shared" si="3"/>
        <v>-204651</v>
      </c>
      <c r="I39" s="537">
        <f t="shared" si="3"/>
        <v>476</v>
      </c>
      <c r="J39" s="537">
        <f t="shared" si="3"/>
        <v>850</v>
      </c>
      <c r="K39" s="537">
        <f t="shared" si="3"/>
        <v>806</v>
      </c>
      <c r="L39" s="537">
        <f t="shared" si="3"/>
        <v>6</v>
      </c>
      <c r="M39" s="537">
        <f t="shared" si="3"/>
        <v>-317164.40800000005</v>
      </c>
      <c r="N39" s="537">
        <f t="shared" si="3"/>
        <v>11639.543999999998</v>
      </c>
      <c r="O39" s="537">
        <f t="shared" si="3"/>
        <v>698.76799999999992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C15" sqref="AC1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315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8" t="s">
        <v>98</v>
      </c>
      <c r="B2" s="785" t="s">
        <v>99</v>
      </c>
      <c r="C2" s="786"/>
      <c r="D2" s="787"/>
      <c r="E2" s="149"/>
      <c r="F2" s="149"/>
      <c r="G2" s="149"/>
      <c r="H2" s="146" t="s">
        <v>124</v>
      </c>
      <c r="I2" s="335" t="s">
        <v>100</v>
      </c>
      <c r="J2" s="790" t="s">
        <v>122</v>
      </c>
      <c r="K2" s="487"/>
      <c r="L2" s="792" t="s">
        <v>123</v>
      </c>
      <c r="M2" s="486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6" t="s">
        <v>104</v>
      </c>
      <c r="AB2" s="785" t="s">
        <v>164</v>
      </c>
      <c r="AC2" s="787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8">
        <f>SUM(D3/B3)</f>
        <v>1.3262195121951219</v>
      </c>
      <c r="G3" s="789"/>
      <c r="H3" s="129">
        <f>Gen!D11</f>
        <v>43590.620000000017</v>
      </c>
      <c r="I3" s="139"/>
      <c r="J3" s="790"/>
      <c r="K3" s="487" t="s">
        <v>165</v>
      </c>
      <c r="L3" s="792"/>
      <c r="M3" s="337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90"/>
      <c r="K4" s="487"/>
      <c r="L4" s="792"/>
      <c r="M4" s="141"/>
      <c r="N4" s="791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3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37951.190000000017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3"/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36782.780000000013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3"/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35711.270000000011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0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34794.94000000001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0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3</v>
      </c>
      <c r="C16" s="156">
        <f>Gen!C21</f>
        <v>3.9E-2</v>
      </c>
      <c r="D16" s="495">
        <f>'Summery Report'!E15</f>
        <v>3</v>
      </c>
      <c r="E16" s="496">
        <f t="shared" si="13"/>
        <v>1.3262195121951219</v>
      </c>
      <c r="F16" s="497">
        <f t="shared" si="14"/>
        <v>0</v>
      </c>
      <c r="G16" s="497">
        <f t="shared" si="0"/>
        <v>0</v>
      </c>
      <c r="H16" s="496">
        <f>Gen!D21</f>
        <v>33816.900000000009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487.7493737090856</v>
      </c>
      <c r="N16" s="201" t="str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-16923</v>
      </c>
      <c r="V16" s="501">
        <f t="shared" si="16"/>
        <v>0</v>
      </c>
      <c r="W16" s="446"/>
      <c r="X16" s="563"/>
      <c r="Y16" s="499">
        <f t="shared" si="8"/>
        <v>-25036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-38396</v>
      </c>
      <c r="AD16" s="564"/>
      <c r="AE16" s="219">
        <f t="shared" si="15"/>
        <v>-204992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33816.900000000009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4800000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33816.900000000009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33816.900000000009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33816.900000000009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33816.900000000009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33816.900000000009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33816.900000000009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33816.900000000009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33816.900000000009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33816.900000000009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33816.900000000009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33816.900000000009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33816.900000000009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33816.900000000009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33816.900000000009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33816.900000000009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33816.900000000009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33816.900000000009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33816.900000000009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33816.900000000009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9205.39</v>
      </c>
      <c r="K37" s="163"/>
      <c r="L37" s="140">
        <f t="shared" si="1"/>
        <v>9205.39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7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7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6" t="s">
        <v>156</v>
      </c>
      <c r="C3" s="797"/>
      <c r="D3" s="196"/>
      <c r="E3" s="699">
        <v>8794.7000000000007</v>
      </c>
      <c r="F3" s="706" t="s">
        <v>157</v>
      </c>
      <c r="G3" s="707"/>
      <c r="H3" s="796" t="s">
        <v>156</v>
      </c>
      <c r="I3" s="797"/>
      <c r="J3" s="763">
        <f>'Water-Meter'!G5</f>
        <v>38000</v>
      </c>
      <c r="K3" s="708">
        <f>'Water-Meter'!G5</f>
        <v>38000</v>
      </c>
      <c r="L3" s="288"/>
      <c r="M3" s="796" t="s">
        <v>156</v>
      </c>
      <c r="N3" s="797"/>
      <c r="O3" s="196">
        <f>'Water-Meter'!J5</f>
        <v>8021</v>
      </c>
      <c r="P3" s="709">
        <f>'Water-Meter'!J5</f>
        <v>8021</v>
      </c>
      <c r="Q3" s="195"/>
      <c r="R3" s="696"/>
      <c r="S3" s="697"/>
      <c r="T3" s="796" t="s">
        <v>156</v>
      </c>
      <c r="U3" s="797"/>
      <c r="V3" s="196"/>
      <c r="W3" s="700">
        <v>7819.2</v>
      </c>
      <c r="X3" s="710">
        <f t="shared" ref="X3:X35" si="0">(W3-V3)*200</f>
        <v>1563840</v>
      </c>
      <c r="Y3" s="796" t="s">
        <v>156</v>
      </c>
      <c r="Z3" s="797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>
        <v>8805.9</v>
      </c>
      <c r="F10" s="703">
        <f t="shared" si="2"/>
        <v>192.00000000004366</v>
      </c>
      <c r="G10" s="698"/>
      <c r="H10" s="720">
        <f t="shared" si="6"/>
        <v>44081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8029</v>
      </c>
      <c r="P10" s="702">
        <f>'Water-Meter'!J12</f>
        <v>8029</v>
      </c>
      <c r="Q10" s="740">
        <f t="shared" si="8"/>
        <v>-8028</v>
      </c>
      <c r="R10" s="746">
        <f t="shared" si="4"/>
        <v>-4.9708978328173377</v>
      </c>
      <c r="S10" s="747">
        <f>Gen!T17</f>
        <v>910.27</v>
      </c>
      <c r="T10" s="735">
        <f t="shared" si="9"/>
        <v>44081</v>
      </c>
      <c r="U10" s="698"/>
      <c r="V10" s="703">
        <f t="shared" si="5"/>
        <v>7820.9</v>
      </c>
      <c r="W10" s="700">
        <v>7821.1</v>
      </c>
      <c r="X10" s="736">
        <f t="shared" si="0"/>
        <v>40.000000000145519</v>
      </c>
      <c r="Y10" s="730">
        <f t="shared" si="10"/>
        <v>44081</v>
      </c>
      <c r="Z10" s="698"/>
      <c r="AA10" s="698"/>
      <c r="AB10" s="728">
        <f>'Water-Meter'!P12</f>
        <v>20264</v>
      </c>
      <c r="AC10" s="729">
        <f t="shared" si="11"/>
        <v>-20263</v>
      </c>
    </row>
    <row r="11" spans="1:29" ht="19.5" thickBot="1">
      <c r="A11" s="712">
        <f>Gen!C18</f>
        <v>3.9E-2</v>
      </c>
      <c r="B11" s="719">
        <f>Gen!B18</f>
        <v>44082</v>
      </c>
      <c r="C11" s="698"/>
      <c r="D11" s="703">
        <f t="shared" si="1"/>
        <v>8805.9</v>
      </c>
      <c r="E11" s="699">
        <v>8807.5</v>
      </c>
      <c r="F11" s="703">
        <f t="shared" si="2"/>
        <v>192.00000000004366</v>
      </c>
      <c r="G11" s="698"/>
      <c r="H11" s="720">
        <f t="shared" si="6"/>
        <v>44082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8030</v>
      </c>
      <c r="P11" s="702">
        <f>'Water-Meter'!J13</f>
        <v>8030</v>
      </c>
      <c r="Q11" s="740">
        <f t="shared" si="8"/>
        <v>-8029</v>
      </c>
      <c r="R11" s="746">
        <f t="shared" si="4"/>
        <v>-4.9715170278637775</v>
      </c>
      <c r="S11" s="747">
        <f>Gen!T18</f>
        <v>948.21</v>
      </c>
      <c r="T11" s="735">
        <f t="shared" si="9"/>
        <v>44082</v>
      </c>
      <c r="U11" s="698"/>
      <c r="V11" s="703">
        <f t="shared" si="5"/>
        <v>7821.1</v>
      </c>
      <c r="W11" s="700">
        <v>7821.4</v>
      </c>
      <c r="X11" s="736">
        <f t="shared" si="0"/>
        <v>59.999999999854481</v>
      </c>
      <c r="Y11" s="730">
        <f t="shared" si="10"/>
        <v>44082</v>
      </c>
      <c r="Z11" s="698"/>
      <c r="AA11" s="698"/>
      <c r="AB11" s="728">
        <f>'Water-Meter'!P13</f>
        <v>20268</v>
      </c>
      <c r="AC11" s="729">
        <f t="shared" si="11"/>
        <v>-20264</v>
      </c>
    </row>
    <row r="12" spans="1:29" ht="19.5" thickBot="1">
      <c r="A12" s="712">
        <f>Gen!C19</f>
        <v>6.5000000000000002E-2</v>
      </c>
      <c r="B12" s="719">
        <f>Gen!B19</f>
        <v>44083</v>
      </c>
      <c r="C12" s="698"/>
      <c r="D12" s="703">
        <f t="shared" si="1"/>
        <v>8807.5</v>
      </c>
      <c r="E12" s="699">
        <v>8809.1</v>
      </c>
      <c r="F12" s="703">
        <f t="shared" si="2"/>
        <v>192.00000000004366</v>
      </c>
      <c r="G12" s="698"/>
      <c r="H12" s="720">
        <f t="shared" si="6"/>
        <v>44083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8032</v>
      </c>
      <c r="P12" s="702">
        <f>'Water-Meter'!J14</f>
        <v>8032</v>
      </c>
      <c r="Q12" s="740">
        <f t="shared" si="8"/>
        <v>-8030</v>
      </c>
      <c r="R12" s="746">
        <f t="shared" si="4"/>
        <v>-4.9721362229102164</v>
      </c>
      <c r="S12" s="747">
        <f>Gen!T19</f>
        <v>916.32999999999993</v>
      </c>
      <c r="T12" s="735">
        <f t="shared" si="9"/>
        <v>44083</v>
      </c>
      <c r="U12" s="698"/>
      <c r="V12" s="703">
        <f t="shared" si="5"/>
        <v>7821.4</v>
      </c>
      <c r="W12" s="700">
        <v>7821.4</v>
      </c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20269</v>
      </c>
      <c r="AC12" s="729">
        <f t="shared" si="11"/>
        <v>-20268</v>
      </c>
    </row>
    <row r="13" spans="1:29" ht="19.5" thickBot="1">
      <c r="A13" s="712">
        <f>Gen!C20</f>
        <v>1.2999999999999999E-2</v>
      </c>
      <c r="B13" s="719">
        <f>Gen!B20</f>
        <v>44084</v>
      </c>
      <c r="C13" s="698"/>
      <c r="D13" s="703">
        <f t="shared" si="1"/>
        <v>8809.1</v>
      </c>
      <c r="E13" s="699">
        <v>8810.7999999999993</v>
      </c>
      <c r="F13" s="703">
        <f t="shared" si="2"/>
        <v>203.99999999986903</v>
      </c>
      <c r="G13" s="698"/>
      <c r="H13" s="720">
        <f t="shared" si="6"/>
        <v>44084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8033</v>
      </c>
      <c r="P13" s="702">
        <f>'Water-Meter'!J15</f>
        <v>8033</v>
      </c>
      <c r="Q13" s="740">
        <f t="shared" si="8"/>
        <v>-8032</v>
      </c>
      <c r="R13" s="746">
        <f t="shared" si="4"/>
        <v>-4.973374613003096</v>
      </c>
      <c r="S13" s="747">
        <f>Gen!T20</f>
        <v>978.04</v>
      </c>
      <c r="T13" s="735">
        <f t="shared" si="9"/>
        <v>44084</v>
      </c>
      <c r="U13" s="698"/>
      <c r="V13" s="703">
        <f t="shared" si="5"/>
        <v>7821.4</v>
      </c>
      <c r="W13" s="700">
        <v>7822.1</v>
      </c>
      <c r="X13" s="736">
        <f t="shared" si="0"/>
        <v>140.00000000014552</v>
      </c>
      <c r="Y13" s="730">
        <f t="shared" si="10"/>
        <v>44084</v>
      </c>
      <c r="Z13" s="698"/>
      <c r="AA13" s="698"/>
      <c r="AB13" s="728">
        <f>'Water-Meter'!P15</f>
        <v>20270</v>
      </c>
      <c r="AC13" s="729">
        <f t="shared" si="11"/>
        <v>-20269</v>
      </c>
    </row>
    <row r="14" spans="1:29" ht="19.5" thickBot="1">
      <c r="A14" s="712">
        <f>Gen!C21</f>
        <v>3.9E-2</v>
      </c>
      <c r="B14" s="719">
        <f>Gen!B21</f>
        <v>44085</v>
      </c>
      <c r="C14" s="698"/>
      <c r="D14" s="703">
        <f t="shared" si="1"/>
        <v>8810.7999999999993</v>
      </c>
      <c r="E14" s="699"/>
      <c r="F14" s="703">
        <f t="shared" si="2"/>
        <v>-1057296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-8033</v>
      </c>
      <c r="R14" s="746">
        <f t="shared" si="4"/>
        <v>-4.9739938080495358</v>
      </c>
      <c r="S14" s="747">
        <f>Gen!T21</f>
        <v>0</v>
      </c>
      <c r="T14" s="735">
        <f t="shared" si="9"/>
        <v>44085</v>
      </c>
      <c r="U14" s="698"/>
      <c r="V14" s="703">
        <f t="shared" si="5"/>
        <v>7822.1</v>
      </c>
      <c r="W14" s="700"/>
      <c r="X14" s="736">
        <f t="shared" si="0"/>
        <v>-1564420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-20270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6" sqref="E1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316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37951.190000000017</v>
      </c>
      <c r="K11" s="347">
        <f>'Water-Meter'!E12</f>
        <v>58</v>
      </c>
      <c r="L11" s="526">
        <f>'Lpg (2)'!G16</f>
        <v>49.588000000017935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36782.780000000013</v>
      </c>
      <c r="K12" s="347">
        <f>'Water-Meter'!E13</f>
        <v>46</v>
      </c>
      <c r="L12" s="526">
        <f>'Lpg (2)'!G17</f>
        <v>62.567999999941101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35711.270000000011</v>
      </c>
      <c r="K13" s="347">
        <f>'Water-Meter'!E14</f>
        <v>52</v>
      </c>
      <c r="L13" s="526">
        <f>'Lpg (2)'!G18</f>
        <v>54.868000000005125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34794.94000000001</v>
      </c>
      <c r="K14" s="347">
        <f>'Water-Meter'!E15</f>
        <v>55</v>
      </c>
      <c r="L14" s="526">
        <f>'Lpg (2)'!G19</f>
        <v>57.420000000012813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-153888</v>
      </c>
      <c r="C15" s="88">
        <f>Gen!C21</f>
        <v>3.9E-2</v>
      </c>
      <c r="D15" s="512">
        <f t="shared" si="0"/>
        <v>3</v>
      </c>
      <c r="E15" s="75">
        <v>3</v>
      </c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33816.900000000009</v>
      </c>
      <c r="K15" s="347" t="str">
        <f>'Water-Meter'!E16</f>
        <v>0</v>
      </c>
      <c r="L15" s="526">
        <f>'Lpg (2)'!G20</f>
        <v>-317703.364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2199</v>
      </c>
      <c r="G16" s="86">
        <f>Gen!T20</f>
        <v>978.04</v>
      </c>
      <c r="H16" s="86">
        <f>Gen!AK22</f>
        <v>0</v>
      </c>
      <c r="I16" s="86">
        <f t="shared" si="1"/>
        <v>978.04</v>
      </c>
      <c r="J16" s="525">
        <f>Gen!D22</f>
        <v>33816.900000000009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33816.900000000009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33816.900000000009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33816.900000000009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33816.900000000009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33816.900000000009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33816.900000000009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33816.900000000009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33816.900000000009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33816.900000000009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33816.900000000009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33816.900000000009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33816.900000000009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33816.900000000009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33816.900000000009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33816.900000000009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33816.900000000009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33816.900000000009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33816.900000000009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33816.900000000009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33816.900000000009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B1" activePane="topRight" state="frozen"/>
      <selection pane="topRight" activeCell="R16" sqref="R1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f>A6</f>
        <v>44075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21400.2</v>
      </c>
      <c r="E12" s="360"/>
      <c r="F12" s="360"/>
      <c r="G12" s="360">
        <v>258.14</v>
      </c>
      <c r="H12" s="360"/>
      <c r="I12" s="360">
        <v>30947.1</v>
      </c>
      <c r="J12" s="360">
        <v>20536.099999999999</v>
      </c>
      <c r="K12" s="359">
        <f t="shared" si="0"/>
        <v>35036</v>
      </c>
      <c r="L12" s="360">
        <v>35049</v>
      </c>
      <c r="M12" s="359">
        <f t="shared" si="1"/>
        <v>13</v>
      </c>
      <c r="N12" s="361">
        <f t="shared" si="2"/>
        <v>30139</v>
      </c>
      <c r="O12" s="360">
        <v>30140</v>
      </c>
      <c r="P12" s="359">
        <f t="shared" si="3"/>
        <v>1</v>
      </c>
      <c r="Q12" s="359">
        <f t="shared" si="4"/>
        <v>35515</v>
      </c>
      <c r="R12" s="360">
        <v>35515</v>
      </c>
      <c r="S12" s="359">
        <f t="shared" si="5"/>
        <v>0</v>
      </c>
      <c r="T12" s="359">
        <f t="shared" si="6"/>
        <v>32245</v>
      </c>
      <c r="U12" s="360">
        <v>32246</v>
      </c>
      <c r="V12" s="359">
        <f t="shared" si="7"/>
        <v>1</v>
      </c>
      <c r="W12" s="361">
        <f t="shared" si="8"/>
        <v>20854</v>
      </c>
      <c r="X12" s="360">
        <v>20866</v>
      </c>
      <c r="Y12" s="359">
        <f t="shared" si="9"/>
        <v>12</v>
      </c>
      <c r="Z12" s="362">
        <f t="shared" si="10"/>
        <v>27</v>
      </c>
      <c r="AA12" s="127">
        <v>200</v>
      </c>
      <c r="AB12" s="127">
        <v>110</v>
      </c>
      <c r="AC12" s="312">
        <f>Gen!T17</f>
        <v>910.27</v>
      </c>
    </row>
    <row r="13" spans="1:29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21400.2</v>
      </c>
      <c r="E13" s="360"/>
      <c r="F13" s="360"/>
      <c r="G13" s="360">
        <v>123.3</v>
      </c>
      <c r="H13" s="360"/>
      <c r="I13" s="360">
        <v>30950.3</v>
      </c>
      <c r="J13" s="360">
        <v>20539.099999999999</v>
      </c>
      <c r="K13" s="359">
        <f t="shared" si="0"/>
        <v>35049</v>
      </c>
      <c r="L13" s="360">
        <v>35049</v>
      </c>
      <c r="M13" s="359">
        <f t="shared" si="1"/>
        <v>0</v>
      </c>
      <c r="N13" s="361">
        <f t="shared" si="2"/>
        <v>30140</v>
      </c>
      <c r="O13" s="360">
        <v>30152</v>
      </c>
      <c r="P13" s="359">
        <f t="shared" si="3"/>
        <v>12</v>
      </c>
      <c r="Q13" s="359">
        <f t="shared" si="4"/>
        <v>35515</v>
      </c>
      <c r="R13" s="360">
        <v>35528</v>
      </c>
      <c r="S13" s="359">
        <f t="shared" si="5"/>
        <v>13</v>
      </c>
      <c r="T13" s="359">
        <f t="shared" si="6"/>
        <v>32246</v>
      </c>
      <c r="U13" s="360">
        <v>32246</v>
      </c>
      <c r="V13" s="359">
        <f t="shared" si="7"/>
        <v>0</v>
      </c>
      <c r="W13" s="361">
        <f t="shared" si="8"/>
        <v>20866</v>
      </c>
      <c r="X13" s="360">
        <v>20866</v>
      </c>
      <c r="Y13" s="359">
        <f t="shared" si="9"/>
        <v>0</v>
      </c>
      <c r="Z13" s="362">
        <f t="shared" si="10"/>
        <v>25</v>
      </c>
      <c r="AA13" s="127">
        <v>200</v>
      </c>
      <c r="AB13" s="127">
        <v>100</v>
      </c>
      <c r="AC13" s="312">
        <f>Gen!T18</f>
        <v>948.21</v>
      </c>
    </row>
    <row r="14" spans="1:29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21400.2</v>
      </c>
      <c r="E14" s="360"/>
      <c r="F14" s="360"/>
      <c r="G14" s="360"/>
      <c r="H14" s="360"/>
      <c r="I14" s="360">
        <v>30953.4</v>
      </c>
      <c r="J14" s="360">
        <v>20541.7</v>
      </c>
      <c r="K14" s="359">
        <f t="shared" si="0"/>
        <v>35049</v>
      </c>
      <c r="L14" s="360">
        <v>35049</v>
      </c>
      <c r="M14" s="359">
        <f t="shared" si="1"/>
        <v>0</v>
      </c>
      <c r="N14" s="361">
        <f t="shared" si="2"/>
        <v>30152</v>
      </c>
      <c r="O14" s="360">
        <v>30152</v>
      </c>
      <c r="P14" s="359">
        <f t="shared" si="3"/>
        <v>0</v>
      </c>
      <c r="Q14" s="359">
        <f t="shared" si="4"/>
        <v>35528</v>
      </c>
      <c r="R14" s="360">
        <v>35528</v>
      </c>
      <c r="S14" s="359">
        <f t="shared" si="5"/>
        <v>0</v>
      </c>
      <c r="T14" s="359">
        <f t="shared" si="6"/>
        <v>32246</v>
      </c>
      <c r="U14" s="360">
        <v>32257</v>
      </c>
      <c r="V14" s="359">
        <f t="shared" si="7"/>
        <v>11</v>
      </c>
      <c r="W14" s="361">
        <f t="shared" si="8"/>
        <v>20866</v>
      </c>
      <c r="X14" s="360">
        <v>20878</v>
      </c>
      <c r="Y14" s="359">
        <f t="shared" si="9"/>
        <v>12</v>
      </c>
      <c r="Z14" s="362">
        <f t="shared" si="10"/>
        <v>23</v>
      </c>
      <c r="AA14" s="127">
        <v>180</v>
      </c>
      <c r="AB14" s="127">
        <v>90</v>
      </c>
      <c r="AC14" s="312">
        <f>Gen!T19</f>
        <v>916.32999999999993</v>
      </c>
    </row>
    <row r="15" spans="1:29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21400.2</v>
      </c>
      <c r="E15" s="360"/>
      <c r="F15" s="360"/>
      <c r="G15" s="360"/>
      <c r="H15" s="360"/>
      <c r="I15" s="360">
        <v>30956.7</v>
      </c>
      <c r="J15" s="360">
        <v>20544.400000000001</v>
      </c>
      <c r="K15" s="359">
        <f t="shared" si="0"/>
        <v>35049</v>
      </c>
      <c r="L15" s="360">
        <v>35060</v>
      </c>
      <c r="M15" s="359">
        <f t="shared" si="1"/>
        <v>11</v>
      </c>
      <c r="N15" s="361">
        <f t="shared" si="2"/>
        <v>30152</v>
      </c>
      <c r="O15" s="360">
        <v>30152</v>
      </c>
      <c r="P15" s="359">
        <f t="shared" si="3"/>
        <v>0</v>
      </c>
      <c r="Q15" s="359">
        <f t="shared" si="4"/>
        <v>35528</v>
      </c>
      <c r="R15" s="360">
        <v>35540</v>
      </c>
      <c r="S15" s="359">
        <f t="shared" si="5"/>
        <v>12</v>
      </c>
      <c r="T15" s="359">
        <f t="shared" si="6"/>
        <v>32257</v>
      </c>
      <c r="U15" s="360">
        <v>32258</v>
      </c>
      <c r="V15" s="359">
        <f t="shared" si="7"/>
        <v>1</v>
      </c>
      <c r="W15" s="361">
        <f t="shared" si="8"/>
        <v>20878</v>
      </c>
      <c r="X15" s="360">
        <v>20878</v>
      </c>
      <c r="Y15" s="359">
        <f t="shared" si="9"/>
        <v>0</v>
      </c>
      <c r="Z15" s="362">
        <f t="shared" si="10"/>
        <v>24</v>
      </c>
      <c r="AA15" s="127">
        <v>190</v>
      </c>
      <c r="AB15" s="127">
        <v>90</v>
      </c>
      <c r="AC15" s="312">
        <f>Gen!T20</f>
        <v>978.04</v>
      </c>
    </row>
    <row r="16" spans="1:29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21400.2</v>
      </c>
      <c r="E16" s="360"/>
      <c r="F16" s="360"/>
      <c r="G16" s="360"/>
      <c r="H16" s="360"/>
      <c r="I16" s="360"/>
      <c r="J16" s="360"/>
      <c r="K16" s="359">
        <f t="shared" si="0"/>
        <v>35060</v>
      </c>
      <c r="L16" s="360"/>
      <c r="M16" s="359">
        <f>L16-K16</f>
        <v>-35060</v>
      </c>
      <c r="N16" s="361">
        <f t="shared" si="2"/>
        <v>30152</v>
      </c>
      <c r="O16" s="360"/>
      <c r="P16" s="359">
        <f t="shared" si="3"/>
        <v>-30152</v>
      </c>
      <c r="Q16" s="359">
        <f t="shared" si="4"/>
        <v>35540</v>
      </c>
      <c r="R16" s="360"/>
      <c r="S16" s="359">
        <f t="shared" si="5"/>
        <v>-35540</v>
      </c>
      <c r="T16" s="359">
        <f t="shared" si="6"/>
        <v>32258</v>
      </c>
      <c r="U16" s="360"/>
      <c r="V16" s="359">
        <f t="shared" si="7"/>
        <v>-32258</v>
      </c>
      <c r="W16" s="361">
        <f t="shared" si="8"/>
        <v>20878</v>
      </c>
      <c r="X16" s="360"/>
      <c r="Y16" s="359">
        <f t="shared" si="9"/>
        <v>-20878</v>
      </c>
      <c r="Z16" s="362">
        <f t="shared" si="10"/>
        <v>-153888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0" zoomScale="110" zoomScaleNormal="110" workbookViewId="0">
      <pane xSplit="2" topLeftCell="C1" activePane="topRight" state="frozen"/>
      <selection pane="topRight" activeCell="D22" sqref="D22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2"/>
      <c r="C1" s="812"/>
    </row>
    <row r="2" spans="2:47" ht="26.25">
      <c r="B2" s="812"/>
      <c r="C2" s="812"/>
      <c r="E2" s="813" t="s">
        <v>320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 ht="12.75" customHeight="1">
      <c r="B3" s="812"/>
      <c r="C3" s="812"/>
      <c r="I3" s="830">
        <f>'Daily report Gen'!A6</f>
        <v>44075</v>
      </c>
      <c r="J3" s="830"/>
      <c r="K3" s="830"/>
      <c r="L3" s="224"/>
      <c r="R3" s="224"/>
    </row>
    <row r="4" spans="2:47">
      <c r="B4" s="812"/>
      <c r="C4" s="812"/>
      <c r="I4" s="830"/>
      <c r="J4" s="830"/>
      <c r="K4" s="830"/>
      <c r="L4" s="224"/>
      <c r="R4" s="224"/>
    </row>
    <row r="5" spans="2:47" ht="12" thickBot="1">
      <c r="B5" s="812"/>
      <c r="C5" s="812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2"/>
      <c r="C6" s="812"/>
      <c r="D6" s="229"/>
      <c r="G6" s="821" t="s">
        <v>57</v>
      </c>
      <c r="H6" s="822"/>
      <c r="I6" s="822"/>
      <c r="J6" s="822"/>
      <c r="K6" s="822"/>
      <c r="L6" s="822"/>
      <c r="M6" s="823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251">
        <v>355.12</v>
      </c>
      <c r="I11" s="250"/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70">
        <v>993</v>
      </c>
      <c r="T17" s="678">
        <f t="shared" si="0"/>
        <v>910.27</v>
      </c>
      <c r="U17" s="264">
        <f t="shared" si="1"/>
        <v>2010</v>
      </c>
      <c r="V17" s="679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>
        <v>3.9E-2</v>
      </c>
      <c r="D18" s="691">
        <f t="shared" si="6"/>
        <v>36782.780000000013</v>
      </c>
      <c r="E18" s="269"/>
      <c r="F18" s="690"/>
      <c r="G18" s="685"/>
      <c r="H18" s="665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70"/>
      <c r="T18" s="678">
        <f t="shared" si="0"/>
        <v>948.21</v>
      </c>
      <c r="U18" s="264">
        <f t="shared" si="1"/>
        <v>2245</v>
      </c>
      <c r="V18" s="679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36782.780000000013</v>
      </c>
    </row>
    <row r="19" spans="2:47" ht="13.5" customHeight="1">
      <c r="B19" s="695">
        <v>44083</v>
      </c>
      <c r="C19" s="683">
        <v>6.5000000000000002E-2</v>
      </c>
      <c r="D19" s="691">
        <f t="shared" si="6"/>
        <v>35711.270000000011</v>
      </c>
      <c r="E19" s="269"/>
      <c r="F19" s="690"/>
      <c r="G19" s="685"/>
      <c r="H19" s="665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70">
        <v>1135</v>
      </c>
      <c r="T19" s="678">
        <f t="shared" si="0"/>
        <v>916.32999999999993</v>
      </c>
      <c r="U19" s="264">
        <f t="shared" si="1"/>
        <v>2101</v>
      </c>
      <c r="V19" s="679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35711.270000000011</v>
      </c>
    </row>
    <row r="20" spans="2:47" ht="14.25">
      <c r="B20" s="695">
        <v>44084</v>
      </c>
      <c r="C20" s="683">
        <v>1.2999999999999999E-2</v>
      </c>
      <c r="D20" s="691">
        <f t="shared" si="6"/>
        <v>34794.94000000001</v>
      </c>
      <c r="E20" s="269"/>
      <c r="F20" s="690"/>
      <c r="G20" s="685"/>
      <c r="H20" s="665">
        <v>414.86</v>
      </c>
      <c r="I20" s="265"/>
      <c r="J20" s="270"/>
      <c r="K20" s="250">
        <v>563.17999999999995</v>
      </c>
      <c r="L20" s="250"/>
      <c r="M20" s="628"/>
      <c r="N20" s="350">
        <v>1010</v>
      </c>
      <c r="O20" s="252"/>
      <c r="P20" s="252"/>
      <c r="Q20" s="252">
        <v>1189</v>
      </c>
      <c r="R20" s="252"/>
      <c r="S20" s="671"/>
      <c r="T20" s="678">
        <f t="shared" si="0"/>
        <v>978.04</v>
      </c>
      <c r="U20" s="264">
        <f t="shared" si="1"/>
        <v>2199</v>
      </c>
      <c r="V20" s="679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34794.94000000001</v>
      </c>
    </row>
    <row r="21" spans="2:47" ht="14.25">
      <c r="B21" s="695">
        <v>44085</v>
      </c>
      <c r="C21" s="683">
        <v>3.9E-2</v>
      </c>
      <c r="D21" s="691">
        <f t="shared" si="6"/>
        <v>33816.900000000009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33816.900000000009</v>
      </c>
    </row>
    <row r="22" spans="2:47" ht="14.25">
      <c r="B22" s="695">
        <v>44086</v>
      </c>
      <c r="C22" s="683"/>
      <c r="D22" s="691">
        <f t="shared" si="6"/>
        <v>33816.900000000009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33816.900000000009</v>
      </c>
    </row>
    <row r="23" spans="2:47" ht="14.25">
      <c r="B23" s="695">
        <v>44087</v>
      </c>
      <c r="C23" s="683"/>
      <c r="D23" s="691">
        <f t="shared" si="6"/>
        <v>33816.900000000009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33816.900000000009</v>
      </c>
    </row>
    <row r="24" spans="2:47" ht="14.25">
      <c r="B24" s="695">
        <v>44088</v>
      </c>
      <c r="C24" s="683"/>
      <c r="D24" s="691">
        <f t="shared" si="6"/>
        <v>33816.900000000009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33816.900000000009</v>
      </c>
    </row>
    <row r="25" spans="2:47" ht="14.25">
      <c r="B25" s="695">
        <v>44089</v>
      </c>
      <c r="C25" s="683"/>
      <c r="D25" s="691">
        <f t="shared" si="6"/>
        <v>33816.900000000009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33816.900000000009</v>
      </c>
    </row>
    <row r="26" spans="2:47" ht="14.25">
      <c r="B26" s="695">
        <v>44090</v>
      </c>
      <c r="C26" s="683"/>
      <c r="D26" s="691">
        <f t="shared" si="6"/>
        <v>33816.900000000009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33816.900000000009</v>
      </c>
    </row>
    <row r="27" spans="2:47" ht="14.25">
      <c r="B27" s="695">
        <v>44091</v>
      </c>
      <c r="C27" s="683"/>
      <c r="D27" s="691">
        <f t="shared" si="6"/>
        <v>33816.900000000009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33816.900000000009</v>
      </c>
    </row>
    <row r="28" spans="2:47" ht="14.25">
      <c r="B28" s="695">
        <v>44092</v>
      </c>
      <c r="C28" s="683"/>
      <c r="D28" s="691">
        <f t="shared" si="6"/>
        <v>33816.900000000009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33816.900000000009</v>
      </c>
    </row>
    <row r="29" spans="2:47" ht="14.25">
      <c r="B29" s="695">
        <v>44093</v>
      </c>
      <c r="C29" s="683"/>
      <c r="D29" s="691">
        <f t="shared" si="6"/>
        <v>33816.900000000009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33816.900000000009</v>
      </c>
    </row>
    <row r="30" spans="2:47" ht="14.25">
      <c r="B30" s="695">
        <v>44094</v>
      </c>
      <c r="C30" s="683"/>
      <c r="D30" s="691">
        <f t="shared" si="6"/>
        <v>33816.900000000009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33816.900000000009</v>
      </c>
    </row>
    <row r="31" spans="2:47" ht="14.25">
      <c r="B31" s="695">
        <v>44095</v>
      </c>
      <c r="C31" s="683"/>
      <c r="D31" s="691">
        <f t="shared" si="6"/>
        <v>33816.900000000009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33816.900000000009</v>
      </c>
    </row>
    <row r="32" spans="2:47" ht="14.25">
      <c r="B32" s="695">
        <v>44096</v>
      </c>
      <c r="C32" s="683"/>
      <c r="D32" s="691">
        <f t="shared" si="6"/>
        <v>33816.900000000009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33816.900000000009</v>
      </c>
    </row>
    <row r="33" spans="2:47" ht="14.25">
      <c r="B33" s="695">
        <v>44097</v>
      </c>
      <c r="C33" s="683"/>
      <c r="D33" s="691">
        <f t="shared" si="6"/>
        <v>33816.900000000009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33816.900000000009</v>
      </c>
    </row>
    <row r="34" spans="2:47" ht="14.25">
      <c r="B34" s="695">
        <v>44098</v>
      </c>
      <c r="C34" s="683"/>
      <c r="D34" s="691">
        <f t="shared" si="6"/>
        <v>33816.900000000009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33816.900000000009</v>
      </c>
    </row>
    <row r="35" spans="2:47" ht="14.25">
      <c r="B35" s="695">
        <v>44099</v>
      </c>
      <c r="C35" s="683"/>
      <c r="D35" s="691">
        <f t="shared" si="6"/>
        <v>33816.900000000009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33816.900000000009</v>
      </c>
    </row>
    <row r="36" spans="2:47" ht="14.25">
      <c r="B36" s="695">
        <v>44100</v>
      </c>
      <c r="C36" s="683"/>
      <c r="D36" s="691">
        <f t="shared" si="6"/>
        <v>33816.900000000009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33816.900000000009</v>
      </c>
    </row>
    <row r="37" spans="2:47" ht="14.25">
      <c r="B37" s="695">
        <v>44101</v>
      </c>
      <c r="C37" s="683"/>
      <c r="D37" s="691">
        <f t="shared" si="6"/>
        <v>33816.900000000009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33816.900000000009</v>
      </c>
    </row>
    <row r="38" spans="2:47" ht="14.25">
      <c r="B38" s="695">
        <v>44102</v>
      </c>
      <c r="C38" s="683"/>
      <c r="D38" s="691">
        <f t="shared" si="6"/>
        <v>33816.900000000009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33816.900000000009</v>
      </c>
    </row>
    <row r="39" spans="2:47" ht="14.25">
      <c r="B39" s="695">
        <v>44103</v>
      </c>
      <c r="C39" s="683"/>
      <c r="D39" s="691">
        <f t="shared" si="6"/>
        <v>33816.900000000009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33816.900000000009</v>
      </c>
    </row>
    <row r="40" spans="2:47" ht="14.25">
      <c r="B40" s="695">
        <v>44104</v>
      </c>
      <c r="C40" s="683"/>
      <c r="D40" s="691">
        <f t="shared" si="6"/>
        <v>33816.900000000009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33816.900000000009</v>
      </c>
    </row>
    <row r="41" spans="2:47" ht="14.25">
      <c r="B41" s="695"/>
      <c r="C41" s="683"/>
      <c r="D41" s="691">
        <f t="shared" si="6"/>
        <v>33816.900000000009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33816.900000000009</v>
      </c>
    </row>
    <row r="42" spans="2:47" ht="14.25">
      <c r="B42" s="695"/>
      <c r="C42" s="684"/>
      <c r="D42" s="691">
        <f t="shared" si="6"/>
        <v>33816.900000000009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33816.900000000009</v>
      </c>
    </row>
    <row r="43" spans="2:47" ht="14.25">
      <c r="B43" s="591" t="s">
        <v>25</v>
      </c>
      <c r="C43" s="554">
        <f>AVERAGE(C11:C42)</f>
        <v>5.1972727272727275E-2</v>
      </c>
      <c r="D43" s="689">
        <f t="shared" si="6"/>
        <v>33816.900000000009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33816.900000000009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>SUM(H11:H44)</f>
        <v>2167.2600000000002</v>
      </c>
      <c r="I45" s="363">
        <f t="shared" si="8"/>
        <v>1297.6299999999999</v>
      </c>
      <c r="J45" s="368">
        <f t="shared" si="8"/>
        <v>0</v>
      </c>
      <c r="K45" s="363">
        <f t="shared" si="8"/>
        <v>1902.27</v>
      </c>
      <c r="L45" s="368">
        <f t="shared" si="8"/>
        <v>1856.7599999999998</v>
      </c>
      <c r="M45" s="363">
        <f t="shared" si="8"/>
        <v>1981.47</v>
      </c>
      <c r="N45" s="368">
        <f t="shared" si="8"/>
        <v>5232</v>
      </c>
      <c r="O45" s="658">
        <f t="shared" si="8"/>
        <v>3144</v>
      </c>
      <c r="P45" s="368">
        <f t="shared" si="8"/>
        <v>0</v>
      </c>
      <c r="Q45" s="363">
        <f>SUM(Q11:Q43)</f>
        <v>4534</v>
      </c>
      <c r="R45" s="368">
        <f>SUM(R11:R44)</f>
        <v>4330</v>
      </c>
      <c r="S45" s="363">
        <f>SUM(S11:S44)</f>
        <v>4413</v>
      </c>
      <c r="T45" s="655">
        <f t="shared" si="0"/>
        <v>9205.39</v>
      </c>
      <c r="U45" s="363">
        <f>SUM(N45:S45)</f>
        <v>21653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35.659999999999997</v>
      </c>
      <c r="Y45" s="650">
        <f t="shared" si="9"/>
        <v>64.16</v>
      </c>
      <c r="Z45" s="281">
        <f t="shared" si="9"/>
        <v>0</v>
      </c>
      <c r="AA45" s="650">
        <f t="shared" si="9"/>
        <v>237.5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146</v>
      </c>
      <c r="AJ45" s="281">
        <f>SUM(AJ9:AJ39)</f>
        <v>85.01</v>
      </c>
      <c r="AK45" s="650">
        <f>SUM(AK9:AK44)</f>
        <v>568.32999999999993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9773.7200000000012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575.33687499999996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21310477.849999998</v>
      </c>
      <c r="V47" s="373" t="s">
        <v>244</v>
      </c>
      <c r="AS47" s="618">
        <f>AS45*2143</f>
        <v>20945081.960000001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9309.9510048055909</v>
      </c>
      <c r="V48" s="373" t="s">
        <v>245</v>
      </c>
      <c r="X48" s="234"/>
      <c r="Y48" s="234"/>
      <c r="Z48" s="234"/>
      <c r="AA48" s="234"/>
      <c r="AB48" s="234"/>
      <c r="AS48" s="372">
        <f>AS47/2289</f>
        <v>9150.3197728265623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6" t="s">
        <v>241</v>
      </c>
      <c r="D50" s="807"/>
      <c r="E50" s="807"/>
      <c r="F50" s="807"/>
      <c r="G50" s="808"/>
      <c r="H50" s="629"/>
      <c r="I50" s="809" t="s">
        <v>213</v>
      </c>
      <c r="J50" s="810"/>
      <c r="K50" s="810"/>
      <c r="L50" s="810"/>
      <c r="M50" s="811"/>
      <c r="N50" s="629"/>
      <c r="O50" s="824" t="s">
        <v>309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766" t="s">
        <v>196</v>
      </c>
      <c r="W51" s="768" t="s">
        <v>227</v>
      </c>
      <c r="X51" s="767" t="s">
        <v>212</v>
      </c>
      <c r="Y51" s="406" t="s">
        <v>228</v>
      </c>
      <c r="Z51" s="407" t="s">
        <v>229</v>
      </c>
    </row>
    <row r="52" spans="3:47" ht="11.25" customHeight="1">
      <c r="C52" s="594">
        <v>44081</v>
      </c>
      <c r="D52" s="595" t="s">
        <v>321</v>
      </c>
      <c r="E52" s="596">
        <v>146</v>
      </c>
      <c r="F52" s="595" t="s">
        <v>322</v>
      </c>
      <c r="G52" s="630" t="s">
        <v>323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>
        <v>44081</v>
      </c>
      <c r="V52" s="635" t="s">
        <v>324</v>
      </c>
      <c r="W52" s="764">
        <v>39</v>
      </c>
      <c r="X52" s="636" t="s">
        <v>325</v>
      </c>
      <c r="Y52" s="636" t="s">
        <v>323</v>
      </c>
      <c r="Z52" s="637" t="s">
        <v>326</v>
      </c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>
        <v>44081</v>
      </c>
      <c r="V53" s="451" t="s">
        <v>327</v>
      </c>
      <c r="W53" s="765">
        <v>46.01</v>
      </c>
      <c r="X53" s="357" t="s">
        <v>328</v>
      </c>
      <c r="Y53" s="357" t="s">
        <v>323</v>
      </c>
      <c r="Z53" s="638" t="s">
        <v>326</v>
      </c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765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765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765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765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765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765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765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765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765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765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765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765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765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765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765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765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765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765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765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765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765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765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764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10" zoomScale="70" zoomScaleNormal="70" workbookViewId="0">
      <selection activeCell="F24" sqref="F2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2"/>
      <c r="D6" s="833"/>
      <c r="E6" s="834"/>
      <c r="F6" s="834"/>
      <c r="G6" s="49" t="s">
        <v>4</v>
      </c>
      <c r="H6" s="47" t="s">
        <v>14</v>
      </c>
      <c r="I6" s="42"/>
      <c r="J6" s="115"/>
    </row>
    <row r="7" spans="1:15" ht="18" customHeight="1">
      <c r="A7" s="835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6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72165.570000000007</v>
      </c>
      <c r="G16" s="318">
        <f t="shared" si="0"/>
        <v>49.588000000017935</v>
      </c>
      <c r="H16" s="113">
        <f>Gen!C17</f>
        <v>2.5999999999999999E-2</v>
      </c>
      <c r="I16" s="6">
        <f t="shared" si="2"/>
        <v>2775598.8461538465</v>
      </c>
      <c r="J16" s="118">
        <f t="shared" si="1"/>
        <v>1.7865694125335199E-5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72179.789999999994</v>
      </c>
      <c r="G17" s="318">
        <f t="shared" si="0"/>
        <v>62.567999999941101</v>
      </c>
      <c r="H17" s="113">
        <f>Gen!C18</f>
        <v>3.9E-2</v>
      </c>
      <c r="I17" s="6">
        <f t="shared" si="2"/>
        <v>1850763.846153846</v>
      </c>
      <c r="J17" s="118">
        <f t="shared" si="1"/>
        <v>3.3806582147131534E-5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72192.259999999995</v>
      </c>
      <c r="G18" s="318">
        <f t="shared" si="0"/>
        <v>54.868000000005125</v>
      </c>
      <c r="H18" s="113">
        <f>Gen!C19</f>
        <v>6.5000000000000002E-2</v>
      </c>
      <c r="I18" s="6">
        <f t="shared" si="2"/>
        <v>1110650.1538461538</v>
      </c>
      <c r="J18" s="118">
        <f t="shared" si="1"/>
        <v>4.9401694863138142E-5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72205.31</v>
      </c>
      <c r="G19" s="318">
        <f t="shared" si="0"/>
        <v>57.420000000012813</v>
      </c>
      <c r="H19" s="113">
        <f>Gen!C20</f>
        <v>1.2999999999999999E-2</v>
      </c>
      <c r="I19" s="6">
        <f t="shared" si="2"/>
        <v>5554254.615384615</v>
      </c>
      <c r="J19" s="118">
        <f t="shared" si="1"/>
        <v>1.0338020846391582E-5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/>
      <c r="G20" s="318">
        <f t="shared" si="0"/>
        <v>-317703.364</v>
      </c>
      <c r="H20" s="113">
        <f>Gen!C21</f>
        <v>3.9E-2</v>
      </c>
      <c r="I20" s="6">
        <f t="shared" si="2"/>
        <v>0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1" t="s">
        <v>6</v>
      </c>
      <c r="D42" s="831"/>
      <c r="E42" s="2">
        <f t="shared" ref="E42:F42" si="4">SUM(E10:E40)</f>
        <v>0</v>
      </c>
      <c r="F42" s="2">
        <f t="shared" si="4"/>
        <v>721464.97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J56" sqref="J5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6" t="s">
        <v>318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  <c r="O1" s="857"/>
      <c r="P1" s="857"/>
      <c r="Q1" s="857"/>
      <c r="R1" s="857"/>
      <c r="S1" s="857"/>
      <c r="T1" s="857"/>
      <c r="U1" s="857"/>
      <c r="V1" s="857"/>
      <c r="W1" s="857"/>
      <c r="X1" s="857"/>
      <c r="Y1" s="857"/>
      <c r="Z1" s="857"/>
      <c r="AA1" s="857"/>
      <c r="AB1" s="857"/>
      <c r="AC1" s="857"/>
      <c r="AD1" s="857"/>
      <c r="AE1" s="857"/>
      <c r="AF1" s="857"/>
      <c r="AG1" s="857"/>
      <c r="AH1" s="857"/>
      <c r="AI1" s="857"/>
      <c r="AJ1" s="857"/>
      <c r="AK1" s="857"/>
      <c r="AL1" s="857"/>
      <c r="AM1" s="857"/>
      <c r="AN1" s="857"/>
    </row>
    <row r="2" spans="1:40" ht="13.5" customHeight="1" thickTop="1">
      <c r="A2" s="30"/>
      <c r="B2" s="30"/>
      <c r="C2" s="855" t="s">
        <v>52</v>
      </c>
      <c r="D2" s="855"/>
      <c r="E2" s="855"/>
      <c r="F2" s="855" t="s">
        <v>17</v>
      </c>
      <c r="G2" s="855"/>
      <c r="H2" s="855"/>
      <c r="I2" s="855" t="s">
        <v>131</v>
      </c>
      <c r="J2" s="855"/>
      <c r="K2" s="855"/>
      <c r="L2" s="855" t="s">
        <v>134</v>
      </c>
      <c r="M2" s="855"/>
      <c r="N2" s="855"/>
      <c r="O2" s="855" t="s">
        <v>132</v>
      </c>
      <c r="P2" s="855"/>
      <c r="Q2" s="855"/>
      <c r="R2" s="299"/>
      <c r="S2" s="864" t="s">
        <v>181</v>
      </c>
      <c r="T2" s="865"/>
      <c r="U2" s="866"/>
      <c r="V2" s="864" t="s">
        <v>182</v>
      </c>
      <c r="W2" s="865"/>
      <c r="X2" s="866"/>
      <c r="Y2" s="864" t="s">
        <v>183</v>
      </c>
      <c r="Z2" s="865"/>
      <c r="AA2" s="866"/>
      <c r="AB2" s="864" t="s">
        <v>184</v>
      </c>
      <c r="AC2" s="865"/>
      <c r="AD2" s="866"/>
      <c r="AE2" s="858" t="s">
        <v>239</v>
      </c>
      <c r="AF2" s="859"/>
      <c r="AG2" s="870"/>
      <c r="AH2" s="858" t="s">
        <v>243</v>
      </c>
      <c r="AI2" s="859"/>
      <c r="AJ2" s="870"/>
      <c r="AK2" s="858" t="s">
        <v>240</v>
      </c>
      <c r="AL2" s="859"/>
      <c r="AM2" s="859"/>
      <c r="AN2" s="862" t="s">
        <v>189</v>
      </c>
    </row>
    <row r="3" spans="1:40" ht="21.75" customHeight="1" thickBot="1">
      <c r="A3" s="853" t="s">
        <v>7</v>
      </c>
      <c r="B3" s="30"/>
      <c r="C3" s="855" t="s">
        <v>133</v>
      </c>
      <c r="D3" s="855" t="s">
        <v>15</v>
      </c>
      <c r="E3" s="855" t="s">
        <v>16</v>
      </c>
      <c r="F3" s="855" t="s">
        <v>133</v>
      </c>
      <c r="G3" s="855" t="s">
        <v>15</v>
      </c>
      <c r="H3" s="855" t="s">
        <v>16</v>
      </c>
      <c r="I3" s="855" t="s">
        <v>133</v>
      </c>
      <c r="J3" s="855" t="s">
        <v>15</v>
      </c>
      <c r="K3" s="855" t="s">
        <v>16</v>
      </c>
      <c r="L3" s="855" t="s">
        <v>133</v>
      </c>
      <c r="M3" s="855" t="s">
        <v>15</v>
      </c>
      <c r="N3" s="855" t="s">
        <v>16</v>
      </c>
      <c r="O3" s="855" t="s">
        <v>133</v>
      </c>
      <c r="P3" s="855" t="s">
        <v>15</v>
      </c>
      <c r="Q3" s="855" t="s">
        <v>16</v>
      </c>
      <c r="R3" s="872" t="s">
        <v>185</v>
      </c>
      <c r="S3" s="867"/>
      <c r="T3" s="868"/>
      <c r="U3" s="869"/>
      <c r="V3" s="867"/>
      <c r="W3" s="868"/>
      <c r="X3" s="869"/>
      <c r="Y3" s="867"/>
      <c r="Z3" s="868"/>
      <c r="AA3" s="869"/>
      <c r="AB3" s="867"/>
      <c r="AC3" s="868"/>
      <c r="AD3" s="869"/>
      <c r="AE3" s="860"/>
      <c r="AF3" s="861"/>
      <c r="AG3" s="871"/>
      <c r="AH3" s="860"/>
      <c r="AI3" s="861"/>
      <c r="AJ3" s="871"/>
      <c r="AK3" s="860"/>
      <c r="AL3" s="861"/>
      <c r="AM3" s="861"/>
      <c r="AN3" s="863"/>
    </row>
    <row r="4" spans="1:40" ht="15.75" thickTop="1">
      <c r="A4" s="854"/>
      <c r="B4" s="291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5"/>
      <c r="P4" s="855"/>
      <c r="Q4" s="855"/>
      <c r="R4" s="87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8">
        <f t="shared" si="21"/>
        <v>15185</v>
      </c>
      <c r="AC10" s="759">
        <v>15201</v>
      </c>
      <c r="AD10" s="761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8">
        <f t="shared" si="21"/>
        <v>15201</v>
      </c>
      <c r="AC11" s="759">
        <v>15216</v>
      </c>
      <c r="AD11" s="761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8">
        <f t="shared" si="21"/>
        <v>15216</v>
      </c>
      <c r="AC12" s="759">
        <v>15233</v>
      </c>
      <c r="AD12" s="761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8">
        <f t="shared" si="21"/>
        <v>15233</v>
      </c>
      <c r="AC13" s="759">
        <v>15248</v>
      </c>
      <c r="AD13" s="761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8">
        <f t="shared" si="21"/>
        <v>15248</v>
      </c>
      <c r="AC14" s="762">
        <v>15265</v>
      </c>
      <c r="AD14" s="761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 t="shared" si="15"/>
        <v>38</v>
      </c>
      <c r="AB15" s="758">
        <f t="shared" si="21"/>
        <v>15265</v>
      </c>
      <c r="AC15" s="762">
        <v>15285</v>
      </c>
      <c r="AD15" s="761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/>
      <c r="E16" s="59" t="str">
        <f>IF((D16-D15)&lt;0,"0",(D16-D15))</f>
        <v>0</v>
      </c>
      <c r="F16" s="97">
        <f t="shared" si="4"/>
        <v>38000</v>
      </c>
      <c r="G16" s="452"/>
      <c r="H16" s="559" t="str">
        <f t="shared" si="5"/>
        <v>0</v>
      </c>
      <c r="I16" s="97">
        <f t="shared" si="6"/>
        <v>8033</v>
      </c>
      <c r="J16" s="1"/>
      <c r="K16" s="559" t="str">
        <f t="shared" si="25"/>
        <v>0</v>
      </c>
      <c r="L16" s="97">
        <f t="shared" si="7"/>
        <v>12755</v>
      </c>
      <c r="M16" s="1"/>
      <c r="N16" s="559" t="str">
        <f t="shared" si="8"/>
        <v>0</v>
      </c>
      <c r="O16" s="97">
        <f t="shared" si="9"/>
        <v>20270</v>
      </c>
      <c r="P16" s="448"/>
      <c r="Q16" s="559" t="str">
        <f t="shared" si="1"/>
        <v>0</v>
      </c>
      <c r="R16" s="297"/>
      <c r="S16" s="292">
        <f t="shared" si="10"/>
        <v>58662</v>
      </c>
      <c r="T16" s="449"/>
      <c r="U16" s="560" t="str">
        <f t="shared" si="11"/>
        <v>0</v>
      </c>
      <c r="V16" s="292">
        <f t="shared" si="12"/>
        <v>73030</v>
      </c>
      <c r="W16" s="449"/>
      <c r="X16" s="560" t="str">
        <f t="shared" si="13"/>
        <v>0</v>
      </c>
      <c r="Y16" s="292">
        <f t="shared" si="14"/>
        <v>83348</v>
      </c>
      <c r="Z16" s="449"/>
      <c r="AA16" s="560" t="str">
        <f t="shared" si="15"/>
        <v>0</v>
      </c>
      <c r="AB16" s="758">
        <f t="shared" si="21"/>
        <v>15285</v>
      </c>
      <c r="AC16" s="762"/>
      <c r="AD16" s="761" t="str">
        <f t="shared" si="22"/>
        <v>0</v>
      </c>
      <c r="AE16" s="292">
        <f t="shared" si="26"/>
        <v>0</v>
      </c>
      <c r="AF16" s="450"/>
      <c r="AG16" s="560" t="str">
        <f t="shared" si="17"/>
        <v>0</v>
      </c>
      <c r="AH16" s="292">
        <f t="shared" si="18"/>
        <v>25553</v>
      </c>
      <c r="AI16" s="450"/>
      <c r="AJ16" s="560" t="str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6"/>
        <v>0</v>
      </c>
      <c r="AF17" s="450"/>
      <c r="AG17" s="560">
        <f t="shared" si="17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7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6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7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6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7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6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7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29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7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29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7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29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7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29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481</v>
      </c>
    </row>
    <row r="38" spans="1:41" ht="18.75">
      <c r="A38" s="58"/>
      <c r="B38" s="22"/>
      <c r="C38" s="873" t="s">
        <v>6</v>
      </c>
      <c r="D38" s="873"/>
      <c r="E38" s="23">
        <f>SUM(E6:E36)</f>
        <v>532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532</v>
      </c>
      <c r="S38" s="294"/>
      <c r="T38" s="294"/>
      <c r="U38" s="304">
        <f>SUM(U6:U37)</f>
        <v>481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481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42"/>
      <c r="B42" s="328"/>
      <c r="C42" s="839" t="s">
        <v>222</v>
      </c>
      <c r="D42" s="840"/>
      <c r="E42" s="840"/>
      <c r="F42" s="840"/>
      <c r="G42" s="840"/>
      <c r="H42" s="840"/>
      <c r="I42" s="840"/>
      <c r="J42" s="840"/>
      <c r="K42" s="841"/>
      <c r="R42" s="20"/>
    </row>
    <row r="43" spans="1:41" ht="24.75" customHeight="1">
      <c r="A43" s="843"/>
      <c r="B43" s="20"/>
      <c r="C43" s="845" t="s">
        <v>216</v>
      </c>
      <c r="D43" s="846"/>
      <c r="E43" s="847" t="s">
        <v>237</v>
      </c>
      <c r="F43" s="848"/>
      <c r="G43" s="849" t="s">
        <v>217</v>
      </c>
      <c r="H43" s="850"/>
      <c r="I43" s="849" t="s">
        <v>238</v>
      </c>
      <c r="J43" s="850"/>
      <c r="K43" s="837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43"/>
      <c r="B44" s="20"/>
      <c r="C44" s="851" t="s">
        <v>218</v>
      </c>
      <c r="D44" s="852"/>
      <c r="E44" s="851" t="s">
        <v>219</v>
      </c>
      <c r="F44" s="852"/>
      <c r="G44" s="851" t="s">
        <v>220</v>
      </c>
      <c r="H44" s="852"/>
      <c r="I44" s="851" t="s">
        <v>221</v>
      </c>
      <c r="J44" s="852"/>
      <c r="K44" s="838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44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/>
      <c r="D57" s="382">
        <f t="shared" si="47"/>
        <v>0</v>
      </c>
      <c r="E57" s="6"/>
      <c r="F57" s="382">
        <f t="shared" si="48"/>
        <v>0</v>
      </c>
      <c r="G57" s="562"/>
      <c r="H57" s="382">
        <f t="shared" si="49"/>
        <v>0</v>
      </c>
      <c r="I57" s="6"/>
      <c r="J57" s="382">
        <f t="shared" si="50"/>
        <v>0</v>
      </c>
      <c r="K57" s="388">
        <f t="shared" si="51"/>
        <v>0</v>
      </c>
    </row>
    <row r="58" spans="1:15" ht="13.5">
      <c r="A58" s="345">
        <f>Gen!B23</f>
        <v>44087</v>
      </c>
      <c r="B58" s="20"/>
      <c r="C58" s="63"/>
      <c r="D58" s="382">
        <f t="shared" si="47"/>
        <v>0</v>
      </c>
      <c r="E58" s="6"/>
      <c r="F58" s="382">
        <f t="shared" si="48"/>
        <v>0</v>
      </c>
      <c r="G58" s="562"/>
      <c r="H58" s="382">
        <f t="shared" si="49"/>
        <v>0</v>
      </c>
      <c r="I58" s="6"/>
      <c r="J58" s="382">
        <f t="shared" si="50"/>
        <v>0</v>
      </c>
      <c r="K58" s="388">
        <f t="shared" si="51"/>
        <v>0</v>
      </c>
    </row>
    <row r="59" spans="1:15" ht="13.5">
      <c r="A59" s="345">
        <f>Gen!B24</f>
        <v>44088</v>
      </c>
      <c r="B59" s="20"/>
      <c r="C59" s="63"/>
      <c r="D59" s="382">
        <f t="shared" si="47"/>
        <v>0</v>
      </c>
      <c r="E59" s="6"/>
      <c r="F59" s="382">
        <f t="shared" si="48"/>
        <v>0</v>
      </c>
      <c r="G59" s="562"/>
      <c r="H59" s="382">
        <f t="shared" si="49"/>
        <v>0</v>
      </c>
      <c r="I59" s="6"/>
      <c r="J59" s="382">
        <f t="shared" si="50"/>
        <v>0</v>
      </c>
      <c r="K59" s="388">
        <f t="shared" si="51"/>
        <v>0</v>
      </c>
    </row>
    <row r="60" spans="1:15" ht="13.5">
      <c r="A60" s="345">
        <f>Gen!B25</f>
        <v>44089</v>
      </c>
      <c r="B60" s="20"/>
      <c r="C60" s="63"/>
      <c r="D60" s="382">
        <f t="shared" si="47"/>
        <v>0</v>
      </c>
      <c r="E60" s="6"/>
      <c r="F60" s="382">
        <f t="shared" si="48"/>
        <v>0</v>
      </c>
      <c r="G60" s="562"/>
      <c r="H60" s="382">
        <f t="shared" si="49"/>
        <v>0</v>
      </c>
      <c r="I60" s="6"/>
      <c r="J60" s="382">
        <f t="shared" si="50"/>
        <v>0</v>
      </c>
      <c r="K60" s="388">
        <f t="shared" si="51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7"/>
        <v>0</v>
      </c>
      <c r="E61" s="6"/>
      <c r="F61" s="382">
        <f t="shared" si="48"/>
        <v>0</v>
      </c>
      <c r="G61" s="562"/>
      <c r="H61" s="382">
        <f t="shared" si="49"/>
        <v>0</v>
      </c>
      <c r="I61" s="6"/>
      <c r="J61" s="382">
        <f t="shared" si="50"/>
        <v>0</v>
      </c>
      <c r="K61" s="388">
        <f t="shared" si="51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7"/>
        <v>0</v>
      </c>
      <c r="E62" s="6"/>
      <c r="F62" s="382">
        <f t="shared" si="48"/>
        <v>0</v>
      </c>
      <c r="G62" s="562"/>
      <c r="H62" s="382">
        <f t="shared" si="49"/>
        <v>0</v>
      </c>
      <c r="I62" s="6"/>
      <c r="J62" s="382">
        <f t="shared" si="50"/>
        <v>0</v>
      </c>
      <c r="K62" s="388">
        <f t="shared" si="51"/>
        <v>0</v>
      </c>
    </row>
    <row r="63" spans="1:15" ht="13.5">
      <c r="A63" s="345">
        <f>Gen!B28</f>
        <v>44092</v>
      </c>
      <c r="B63" s="20"/>
      <c r="C63" s="63"/>
      <c r="D63" s="382">
        <f t="shared" si="47"/>
        <v>0</v>
      </c>
      <c r="E63" s="6"/>
      <c r="F63" s="382">
        <f t="shared" si="48"/>
        <v>0</v>
      </c>
      <c r="G63" s="562"/>
      <c r="H63" s="382">
        <f t="shared" si="49"/>
        <v>0</v>
      </c>
      <c r="I63" s="6"/>
      <c r="J63" s="382">
        <f t="shared" si="50"/>
        <v>0</v>
      </c>
      <c r="K63" s="388">
        <f t="shared" si="51"/>
        <v>0</v>
      </c>
    </row>
    <row r="64" spans="1:15" ht="13.5">
      <c r="A64" s="345">
        <f>Gen!B29</f>
        <v>44093</v>
      </c>
      <c r="B64" s="20"/>
      <c r="C64" s="63"/>
      <c r="D64" s="382">
        <f t="shared" si="47"/>
        <v>0</v>
      </c>
      <c r="E64" s="6"/>
      <c r="F64" s="382">
        <f t="shared" si="48"/>
        <v>0</v>
      </c>
      <c r="G64" s="562"/>
      <c r="H64" s="382">
        <f t="shared" si="49"/>
        <v>0</v>
      </c>
      <c r="I64" s="6"/>
      <c r="J64" s="382">
        <f t="shared" si="50"/>
        <v>0</v>
      </c>
      <c r="K64" s="388">
        <f t="shared" si="51"/>
        <v>0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8" t="s">
        <v>319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49.588000000017935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61.452805555577783</v>
      </c>
      <c r="V11" s="18">
        <f t="shared" si="7"/>
        <v>2189650.8631540402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62.567999999941101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77.538499999927012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54.868000000005125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67.996138888895246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57.420000000012813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71.158750000015885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 t="str">
        <f>'Water-Meter'!E16</f>
        <v>0</v>
      </c>
      <c r="L15" s="526">
        <f>'Lpg (2)'!G20</f>
        <v>-317703.364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-393719.50980555551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532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4" t="s">
        <v>180</v>
      </c>
      <c r="B1" s="875"/>
      <c r="C1" s="875"/>
      <c r="D1" s="875"/>
      <c r="E1" s="875"/>
      <c r="F1" s="875"/>
      <c r="G1" s="876"/>
    </row>
    <row r="2" spans="1:7" ht="13.5" thickBot="1">
      <c r="A2" s="354"/>
      <c r="B2" s="877" t="s">
        <v>175</v>
      </c>
      <c r="C2" s="878"/>
      <c r="D2" s="879"/>
      <c r="E2" s="877" t="s">
        <v>176</v>
      </c>
      <c r="F2" s="878"/>
      <c r="G2" s="879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34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4" t="s">
        <v>230</v>
      </c>
      <c r="B1" s="875"/>
      <c r="C1" s="875"/>
      <c r="D1" s="875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80"/>
      <c r="C79" s="881"/>
      <c r="D79" s="881"/>
      <c r="E79" s="882"/>
      <c r="H79" s="880"/>
      <c r="I79" s="881"/>
      <c r="J79" s="881"/>
      <c r="K79" s="881"/>
      <c r="L79" s="882"/>
    </row>
    <row r="80" spans="1:12">
      <c r="B80" s="883"/>
      <c r="C80" s="884"/>
      <c r="D80" s="884"/>
      <c r="E80" s="885"/>
      <c r="H80" s="883"/>
      <c r="I80" s="884"/>
      <c r="J80" s="884"/>
      <c r="K80" s="884"/>
      <c r="L80" s="885"/>
    </row>
    <row r="81" spans="2:12">
      <c r="B81" s="883"/>
      <c r="C81" s="884"/>
      <c r="D81" s="884"/>
      <c r="E81" s="885"/>
      <c r="H81" s="883"/>
      <c r="I81" s="884"/>
      <c r="J81" s="884"/>
      <c r="K81" s="884"/>
      <c r="L81" s="885"/>
    </row>
    <row r="82" spans="2:12">
      <c r="B82" s="883"/>
      <c r="C82" s="884"/>
      <c r="D82" s="884"/>
      <c r="E82" s="885"/>
      <c r="H82" s="883"/>
      <c r="I82" s="884"/>
      <c r="J82" s="884"/>
      <c r="K82" s="884"/>
      <c r="L82" s="885"/>
    </row>
    <row r="83" spans="2:12">
      <c r="B83" s="883"/>
      <c r="C83" s="884"/>
      <c r="D83" s="884"/>
      <c r="E83" s="885"/>
      <c r="H83" s="883"/>
      <c r="I83" s="884"/>
      <c r="J83" s="884"/>
      <c r="K83" s="884"/>
      <c r="L83" s="885"/>
    </row>
    <row r="84" spans="2:12">
      <c r="B84" s="883"/>
      <c r="C84" s="884"/>
      <c r="D84" s="884"/>
      <c r="E84" s="885"/>
      <c r="H84" s="883"/>
      <c r="I84" s="884"/>
      <c r="J84" s="884"/>
      <c r="K84" s="884"/>
      <c r="L84" s="885"/>
    </row>
    <row r="85" spans="2:12">
      <c r="B85" s="883"/>
      <c r="C85" s="884"/>
      <c r="D85" s="884"/>
      <c r="E85" s="885"/>
      <c r="H85" s="883"/>
      <c r="I85" s="884"/>
      <c r="J85" s="884"/>
      <c r="K85" s="884"/>
      <c r="L85" s="885"/>
    </row>
    <row r="86" spans="2:12">
      <c r="B86" s="883"/>
      <c r="C86" s="884"/>
      <c r="D86" s="884"/>
      <c r="E86" s="885"/>
      <c r="H86" s="883"/>
      <c r="I86" s="884"/>
      <c r="J86" s="884"/>
      <c r="K86" s="884"/>
      <c r="L86" s="885"/>
    </row>
    <row r="87" spans="2:12">
      <c r="B87" s="883"/>
      <c r="C87" s="884"/>
      <c r="D87" s="884"/>
      <c r="E87" s="885"/>
      <c r="H87" s="883"/>
      <c r="I87" s="884"/>
      <c r="J87" s="884"/>
      <c r="K87" s="884"/>
      <c r="L87" s="885"/>
    </row>
    <row r="88" spans="2:12">
      <c r="B88" s="883"/>
      <c r="C88" s="884"/>
      <c r="D88" s="884"/>
      <c r="E88" s="885"/>
      <c r="H88" s="883"/>
      <c r="I88" s="884"/>
      <c r="J88" s="884"/>
      <c r="K88" s="884"/>
      <c r="L88" s="885"/>
    </row>
    <row r="89" spans="2:12">
      <c r="B89" s="883"/>
      <c r="C89" s="884"/>
      <c r="D89" s="884"/>
      <c r="E89" s="885"/>
      <c r="H89" s="883"/>
      <c r="I89" s="884"/>
      <c r="J89" s="884"/>
      <c r="K89" s="884"/>
      <c r="L89" s="885"/>
    </row>
    <row r="90" spans="2:12">
      <c r="B90" s="883"/>
      <c r="C90" s="884"/>
      <c r="D90" s="884"/>
      <c r="E90" s="885"/>
      <c r="H90" s="883"/>
      <c r="I90" s="884"/>
      <c r="J90" s="884"/>
      <c r="K90" s="884"/>
      <c r="L90" s="885"/>
    </row>
    <row r="91" spans="2:12">
      <c r="B91" s="883"/>
      <c r="C91" s="884"/>
      <c r="D91" s="884"/>
      <c r="E91" s="885"/>
      <c r="H91" s="883"/>
      <c r="I91" s="884"/>
      <c r="J91" s="884"/>
      <c r="K91" s="884"/>
      <c r="L91" s="885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  <row r="94" spans="2:12">
      <c r="B94" s="889" t="s">
        <v>313</v>
      </c>
      <c r="C94" s="890"/>
      <c r="D94" s="890"/>
      <c r="E94" s="891"/>
      <c r="H94" s="889" t="s">
        <v>314</v>
      </c>
      <c r="I94" s="890"/>
      <c r="J94" s="890"/>
      <c r="K94" s="890"/>
      <c r="L94" s="891"/>
    </row>
    <row r="95" spans="2:12">
      <c r="B95" s="892"/>
      <c r="C95" s="893"/>
      <c r="D95" s="893"/>
      <c r="E95" s="894"/>
      <c r="H95" s="892"/>
      <c r="I95" s="893"/>
      <c r="J95" s="893"/>
      <c r="K95" s="893"/>
      <c r="L95" s="894"/>
    </row>
    <row r="96" spans="2:12" ht="13.5" thickBot="1">
      <c r="B96" s="895"/>
      <c r="C96" s="896"/>
      <c r="D96" s="896"/>
      <c r="E96" s="897"/>
      <c r="H96" s="895"/>
      <c r="I96" s="896"/>
      <c r="J96" s="896"/>
      <c r="K96" s="896"/>
      <c r="L96" s="897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selection activeCell="N17" sqref="N1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8" t="s">
        <v>254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0" ht="19.5" thickBot="1">
      <c r="A2" s="907">
        <f>A5</f>
        <v>44075</v>
      </c>
      <c r="B2" s="908"/>
      <c r="C2" s="908"/>
      <c r="D2" s="908"/>
      <c r="E2" s="908"/>
      <c r="F2" s="908"/>
      <c r="G2" s="908"/>
      <c r="H2" s="908"/>
      <c r="I2" s="908"/>
      <c r="J2" s="908"/>
    </row>
    <row r="3" spans="1:10" ht="15.75" thickBot="1">
      <c r="A3" s="899" t="s">
        <v>7</v>
      </c>
      <c r="B3" s="901" t="s">
        <v>255</v>
      </c>
      <c r="C3" s="518"/>
      <c r="D3" s="903" t="s">
        <v>256</v>
      </c>
      <c r="E3" s="904"/>
      <c r="F3" s="905" t="s">
        <v>257</v>
      </c>
      <c r="G3" s="906"/>
      <c r="H3" s="904"/>
      <c r="I3" s="905" t="s">
        <v>258</v>
      </c>
      <c r="J3" s="904"/>
    </row>
    <row r="4" spans="1:10" ht="30.75" thickBot="1">
      <c r="A4" s="900"/>
      <c r="B4" s="902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37951.190000000017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36782.780000000013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35711.270000000011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34794.94000000001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0</v>
      </c>
      <c r="D15" s="523">
        <f>Gen!T21</f>
        <v>0</v>
      </c>
      <c r="E15" s="460">
        <f>Gen!D21</f>
        <v>33816.900000000009</v>
      </c>
      <c r="F15" s="461" t="str">
        <f>'Water-Meter'!E16</f>
        <v>0</v>
      </c>
      <c r="G15" s="462">
        <f>'Water-Meter'!AN16</f>
        <v>0</v>
      </c>
      <c r="H15" s="460">
        <f>'Utility report '!AC16</f>
        <v>-38396</v>
      </c>
      <c r="I15" s="459">
        <f>'Kit report'!F14</f>
        <v>-1057296</v>
      </c>
      <c r="J15" s="460">
        <f>'Kit report'!X14</f>
        <v>-1564420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33816.900000000009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33816.900000000009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33816.900000000009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33816.900000000009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33816.900000000009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33816.900000000009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33816.900000000009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33816.900000000009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33816.900000000009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33816.900000000009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33816.900000000009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33816.900000000009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33816.900000000009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33816.900000000009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33816.900000000009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33816.900000000009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33816.900000000009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33816.900000000009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33816.900000000009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33816.900000000009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33816.900000000009</v>
      </c>
      <c r="F36" s="461">
        <f>'Water-Meter'!E37</f>
        <v>0</v>
      </c>
      <c r="G36" s="462">
        <f>'Water-Meter'!AN37</f>
        <v>481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2020-09-11T17:06:11Z</dcterms:modified>
</cp:coreProperties>
</file>