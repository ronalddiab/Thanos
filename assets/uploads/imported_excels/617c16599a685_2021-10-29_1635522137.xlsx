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C32" i="3" l="1"/>
  <c r="B32" i="3"/>
  <c r="L32" i="1"/>
  <c r="K32" i="1"/>
  <c r="I32" i="1"/>
  <c r="G32" i="1"/>
  <c r="E32" i="1"/>
  <c r="C32" i="1"/>
  <c r="B32" i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<sst xmlns="http://schemas.openxmlformats.org/spreadsheetml/2006/main" count="108" uniqueCount="33">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</sst>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2021</v>
      </c>
      <c r="E2" s="20">
        <f>Submetering!E3</f>
        <v>8722.4599999999991</v>
      </c>
      <c r="F2" s="16">
        <v>0.12</v>
      </c>
      <c r="G2" s="20">
        <f>Submetering!F3+Submetering!G3</f>
        <v>122.33999999999999</v>
      </c>
      <c r="H2" s="16">
        <v>0.71</v>
      </c>
      <c r="I2" s="20">
        <f>Submetering!J3+Submetering!I3+Submetering!H3</f>
        <v>95.32</v>
      </c>
      <c r="J2" s="16">
        <v>2.3196172978505634</v>
      </c>
      <c r="K2" s="20">
        <f>Submetering!K2</f>
        <v>94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v>2021</v>
      </c>
      <c r="E3" s="20">
        <f>Submetering!E4</f>
        <v>8638</v>
      </c>
      <c r="F3" s="16">
        <v>0.12</v>
      </c>
      <c r="G3" s="20">
        <f>Submetering!F4+Submetering!G4</f>
        <v>133.12</v>
      </c>
      <c r="H3" s="16">
        <v>0.71</v>
      </c>
      <c r="I3" s="20">
        <f>Submetering!J4+Submetering!I4+Submetering!H4</f>
        <v>84.97</v>
      </c>
      <c r="J3" s="16">
        <v>2.3196172978505634</v>
      </c>
      <c r="K3" s="20">
        <f>Submetering!K3</f>
        <v>108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v>2021</v>
      </c>
      <c r="E4" s="20">
        <f>Submetering!E5</f>
        <v>8157.38</v>
      </c>
      <c r="F4" s="16">
        <v>0.12</v>
      </c>
      <c r="G4" s="20">
        <f>Submetering!F5+Submetering!G5</f>
        <v>255.84</v>
      </c>
      <c r="H4" s="16">
        <v>0.71</v>
      </c>
      <c r="I4" s="20">
        <f>Submetering!J5+Submetering!I5+Submetering!H5</f>
        <v>97.52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v>2021</v>
      </c>
      <c r="E5" s="20">
        <f>Submetering!E6</f>
        <v>7913.81</v>
      </c>
      <c r="F5" s="16">
        <v>0.12</v>
      </c>
      <c r="G5" s="20">
        <f>Submetering!F6+Submetering!G6</f>
        <v>225.31</v>
      </c>
      <c r="H5" s="16">
        <v>0.71</v>
      </c>
      <c r="I5" s="20">
        <f>Submetering!J6+Submetering!I6+Submetering!H6</f>
        <v>91.28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v>2021</v>
      </c>
      <c r="E6" s="20">
        <f>Submetering!E7</f>
        <v>8093.85</v>
      </c>
      <c r="F6" s="16">
        <v>0.12</v>
      </c>
      <c r="G6" s="20">
        <f>Submetering!F7+Submetering!G7</f>
        <v>226.75</v>
      </c>
      <c r="H6" s="16">
        <v>0.71</v>
      </c>
      <c r="I6" s="20">
        <f>Submetering!J7+Submetering!I7+Submetering!H7</f>
        <v>90.23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v>2021</v>
      </c>
      <c r="E7" s="20">
        <f>Submetering!E8</f>
        <v>7979.36</v>
      </c>
      <c r="F7" s="16">
        <v>0.12</v>
      </c>
      <c r="G7" s="20">
        <f>Submetering!F8+Submetering!G8</f>
        <v>191.24</v>
      </c>
      <c r="H7" s="16">
        <v>0.71</v>
      </c>
      <c r="I7" s="20">
        <f>Submetering!J8+Submetering!I8+Submetering!H8</f>
        <v>88.69</v>
      </c>
      <c r="J7" s="16">
        <v>2.3196172978505634</v>
      </c>
      <c r="K7" s="20">
        <f>Submetering!K7</f>
        <v>100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v>2021</v>
      </c>
      <c r="E8" s="20">
        <f>Submetering!E9</f>
        <v>7808.81</v>
      </c>
      <c r="F8" s="16">
        <v>0.12</v>
      </c>
      <c r="G8" s="20">
        <f>Submetering!F9+Submetering!G9</f>
        <v>211.26</v>
      </c>
      <c r="H8" s="16">
        <v>0.71</v>
      </c>
      <c r="I8" s="20">
        <f>Submetering!J9+Submetering!I9+Submetering!H9</f>
        <v>89.82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v>2021</v>
      </c>
      <c r="E9" s="20">
        <f>Submetering!E9</f>
        <v>7808.81</v>
      </c>
      <c r="F9" s="16">
        <v>0.12</v>
      </c>
      <c r="G9" s="20">
        <f>Submetering!F10+Submetering!G10</f>
        <v>226.9</v>
      </c>
      <c r="H9" s="16">
        <v>0.71</v>
      </c>
      <c r="I9" s="20">
        <f>Submetering!J10+Submetering!I10+Submetering!H10</f>
        <v>97.19</v>
      </c>
      <c r="J9" s="16">
        <v>2.3196172978505634</v>
      </c>
      <c r="K9" s="20">
        <f>Submetering!K9</f>
        <v>90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v>2021</v>
      </c>
      <c r="E10" s="20">
        <f>Submetering!E10</f>
        <v>7862.81</v>
      </c>
      <c r="F10" s="16">
        <v>0.12</v>
      </c>
      <c r="G10" s="20">
        <f>Submetering!F11+Submetering!G11</f>
        <v>240.45</v>
      </c>
      <c r="H10" s="16">
        <v>0.71</v>
      </c>
      <c r="I10" s="20">
        <f>Submetering!J10+Submetering!I10+Submetering!H10</f>
        <v>97.19</v>
      </c>
      <c r="J10" s="16">
        <v>2.3196172978505634</v>
      </c>
      <c r="K10" s="20">
        <f>Submetering!K10</f>
        <v>85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v>2021</v>
      </c>
      <c r="E11" s="20">
        <f>Submetering!E11</f>
        <v>7305.19</v>
      </c>
      <c r="F11" s="16">
        <v>0.12</v>
      </c>
      <c r="G11" s="20">
        <f>Submetering!F11+Submetering!G11</f>
        <v>240.45</v>
      </c>
      <c r="H11" s="16">
        <v>0.71</v>
      </c>
      <c r="I11" s="20">
        <f>Submetering!J11+Submetering!I11+Submetering!H11</f>
        <v>83.54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v>2021</v>
      </c>
      <c r="E12" s="20">
        <f>Submetering!E12</f>
        <v>7467.9</v>
      </c>
      <c r="F12" s="16">
        <v>0.12</v>
      </c>
      <c r="G12" s="20">
        <f>Submetering!F12+Submetering!G12</f>
        <v>285.26</v>
      </c>
      <c r="H12" s="16">
        <v>0.71</v>
      </c>
      <c r="I12" s="20">
        <f>Submetering!J12+Submetering!I12+Submetering!H12</f>
        <v>97.39</v>
      </c>
      <c r="J12" s="16">
        <v>2.3196172978505634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v>2021</v>
      </c>
      <c r="E13" s="20">
        <f>Submetering!E13</f>
        <v>7528.46</v>
      </c>
      <c r="F13" s="16">
        <v>0.12</v>
      </c>
      <c r="G13" s="20">
        <f>Submetering!F13+Submetering!G13</f>
        <v>282.05</v>
      </c>
      <c r="H13" s="16">
        <v>0.71</v>
      </c>
      <c r="I13" s="20">
        <f>Submetering!J13+Submetering!I13+Submetering!H13</f>
        <v>91.77</v>
      </c>
      <c r="J13" s="16">
        <v>2.3196172978505634</v>
      </c>
      <c r="K13" s="20">
        <f>Submetering!K13</f>
        <v>104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v>2021</v>
      </c>
      <c r="E14" s="20">
        <f>Submetering!E14</f>
        <v>7651.95</v>
      </c>
      <c r="F14" s="16">
        <v>0.12</v>
      </c>
      <c r="G14" s="20">
        <f>Submetering!F14+Submetering!G14</f>
        <v>316.06</v>
      </c>
      <c r="H14" s="16">
        <v>0.71</v>
      </c>
      <c r="I14" s="20">
        <f>Submetering!J14+Submetering!I14+Submetering!H14</f>
        <v>91.01</v>
      </c>
      <c r="J14" s="16">
        <v>2.3196172978505634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v>2021</v>
      </c>
      <c r="E15" s="20">
        <f>Submetering!E15</f>
        <v>7657.84</v>
      </c>
      <c r="F15" s="16">
        <v>0.12</v>
      </c>
      <c r="G15" s="20">
        <f>Submetering!F15+Submetering!G15</f>
        <v>281.13</v>
      </c>
      <c r="H15" s="16">
        <v>0.71</v>
      </c>
      <c r="I15" s="20">
        <f>Submetering!J15+Submetering!I15+Submetering!H15</f>
        <v>28.28</v>
      </c>
      <c r="J15" s="16">
        <v>2.3196172978505634</v>
      </c>
      <c r="K15" s="20">
        <f>Submetering!K15</f>
        <v>72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v>2021</v>
      </c>
      <c r="E16" s="20">
        <f>Submetering!E16</f>
        <v>7686.11</v>
      </c>
      <c r="F16" s="16">
        <v>0.12</v>
      </c>
      <c r="G16" s="20">
        <f>Submetering!F16+Submetering!G16</f>
        <v>354.5</v>
      </c>
      <c r="H16" s="16">
        <v>0.71</v>
      </c>
      <c r="I16" s="20">
        <f>Submetering!J16+Submetering!I16+Submetering!H16</f>
        <v>87.54</v>
      </c>
      <c r="J16" s="16">
        <v>2.3196172978505634</v>
      </c>
      <c r="K16" s="20">
        <f>Submetering!K16</f>
        <v>100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v>2021</v>
      </c>
      <c r="E17" s="20">
        <f>Submetering!E17</f>
        <v>7997.18</v>
      </c>
      <c r="F17" s="16">
        <v>0.12</v>
      </c>
      <c r="G17" s="20">
        <f>Submetering!F17+Submetering!G17</f>
        <v>396.98</v>
      </c>
      <c r="H17" s="16">
        <v>0.71</v>
      </c>
      <c r="I17" s="20">
        <f>Submetering!J17+Submetering!I17+Submetering!H17</f>
        <v>91.88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v>2021</v>
      </c>
      <c r="E18" s="20">
        <f>Submetering!E18</f>
        <v>7596.26</v>
      </c>
      <c r="F18" s="16">
        <v>0.12</v>
      </c>
      <c r="G18" s="20">
        <f>Submetering!F18+Submetering!G18</f>
        <v>332.78999999999996</v>
      </c>
      <c r="H18" s="16">
        <v>0.71</v>
      </c>
      <c r="I18" s="20">
        <f>Submetering!J18+Submetering!I18+Submetering!H18</f>
        <v>92.77</v>
      </c>
      <c r="J18" s="16">
        <v>2.3196172978505634</v>
      </c>
      <c r="K18" s="20">
        <f>Submetering!K18</f>
        <v>95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v>2021</v>
      </c>
      <c r="E19" s="20">
        <f>Submetering!E19</f>
        <v>7613.74</v>
      </c>
      <c r="F19" s="16">
        <v>0.12</v>
      </c>
      <c r="G19" s="20">
        <f>Submetering!F19+Submetering!G19</f>
        <v>335.12</v>
      </c>
      <c r="H19" s="16">
        <v>0.71</v>
      </c>
      <c r="I19" s="20">
        <f>Submetering!J19+Submetering!I19+Submetering!H19</f>
        <v>118.53</v>
      </c>
      <c r="J19" s="16">
        <v>2.3196172978505634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v>2021</v>
      </c>
      <c r="E20" s="20">
        <f>Submetering!E20</f>
        <v>7764.45</v>
      </c>
      <c r="F20" s="16">
        <v>0.12</v>
      </c>
      <c r="G20" s="20">
        <f>Submetering!F20+Submetering!G20</f>
        <v>279.39</v>
      </c>
      <c r="H20" s="16">
        <v>0.71</v>
      </c>
      <c r="I20" s="20">
        <f>Submetering!J20+Submetering!I20+Submetering!H20</f>
        <v>90.54</v>
      </c>
      <c r="J20" s="16">
        <v>2.3196172978505634</v>
      </c>
      <c r="K20" s="20">
        <f>Submetering!K20</f>
        <v>92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v>2021</v>
      </c>
      <c r="E21" s="20">
        <f>Submetering!E21</f>
        <v>8162.36</v>
      </c>
      <c r="F21" s="16">
        <v>0.12</v>
      </c>
      <c r="G21" s="20">
        <f>Submetering!F21+Submetering!G21</f>
        <v>219.28</v>
      </c>
      <c r="H21" s="16">
        <v>0.71</v>
      </c>
      <c r="I21" s="20">
        <f>Submetering!J21+Submetering!I21+Submetering!H21</f>
        <v>98.07</v>
      </c>
      <c r="J21" s="16">
        <v>2.3196172978505634</v>
      </c>
      <c r="K21" s="20">
        <f>Submetering!K21</f>
        <v>88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v>2021</v>
      </c>
      <c r="E22" s="20">
        <f>Submetering!E22</f>
        <v>8140.84</v>
      </c>
      <c r="F22" s="16">
        <v>0.12</v>
      </c>
      <c r="G22" s="20">
        <f>Submetering!F22+Submetering!G22</f>
        <v>197.27</v>
      </c>
      <c r="H22" s="16">
        <v>0.71</v>
      </c>
      <c r="I22" s="20">
        <f>Submetering!J22+Submetering!I22+Submetering!H22</f>
        <v>78.78</v>
      </c>
      <c r="J22" s="16">
        <v>2.3196172978505634</v>
      </c>
      <c r="K22" s="20">
        <f>Submetering!K23</f>
        <v>91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v>2021</v>
      </c>
      <c r="E23" s="20">
        <f>Submetering!E23</f>
        <v>8210.25</v>
      </c>
      <c r="F23" s="16">
        <v>0.12</v>
      </c>
      <c r="G23" s="20">
        <f>Submetering!F23+Submetering!G23</f>
        <v>303.03999999999996</v>
      </c>
      <c r="H23" s="16">
        <v>0.71</v>
      </c>
      <c r="I23" s="20">
        <f>Submetering!J23+Submetering!I23+Submetering!H23</f>
        <v>86.24</v>
      </c>
      <c r="J23" s="16">
        <v>2.3196172978505634</v>
      </c>
      <c r="K23" s="20">
        <f>Submetering!K24</f>
        <v>97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v>2021</v>
      </c>
      <c r="E24" s="20">
        <f>Submetering!E24</f>
        <v>7960.13</v>
      </c>
      <c r="F24" s="16">
        <v>0.12</v>
      </c>
      <c r="G24" s="20">
        <f>Submetering!F24+Submetering!G24</f>
        <v>279.44</v>
      </c>
      <c r="H24" s="16">
        <v>0.71</v>
      </c>
      <c r="I24" s="20">
        <f>Submetering!J24+Submetering!I24+Submetering!H24</f>
        <v>86.27</v>
      </c>
      <c r="J24" s="16">
        <v>2.3196172978505634</v>
      </c>
      <c r="K24" s="20">
        <f>Submetering!K25</f>
        <v>50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v>2021</v>
      </c>
      <c r="E25" s="20">
        <f>Submetering!E25</f>
        <v>7389.75</v>
      </c>
      <c r="F25" s="16">
        <v>0.12</v>
      </c>
      <c r="G25" s="20">
        <f>Submetering!F25+Submetering!G25</f>
        <v>392.63</v>
      </c>
      <c r="H25" s="16">
        <v>0.71</v>
      </c>
      <c r="I25" s="20">
        <f>Submetering!J25+Submetering!I25+Submetering!H25</f>
        <v>70.73</v>
      </c>
      <c r="J25" s="16">
        <v>2.3196172978505634</v>
      </c>
      <c r="K25" s="20">
        <f>Submetering!K26</f>
        <v>71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v>2021</v>
      </c>
      <c r="E26" s="20">
        <f>Submetering!E26</f>
        <v>7708.58</v>
      </c>
      <c r="F26" s="16">
        <v>0.12</v>
      </c>
      <c r="G26" s="20">
        <f>Submetering!F26+Submetering!G26</f>
        <v>359.74</v>
      </c>
      <c r="H26" s="16">
        <v>0.71</v>
      </c>
      <c r="I26" s="20">
        <f>Submetering!J26+Submetering!I26+Submetering!H26</f>
        <v>80.680000000000007</v>
      </c>
      <c r="J26" s="16">
        <v>2.3196172978505634</v>
      </c>
      <c r="K26" s="20">
        <f>Submetering!K27</f>
        <v>75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v>2021</v>
      </c>
      <c r="E27" s="20">
        <f>Submetering!E27</f>
        <v>7766.51</v>
      </c>
      <c r="F27" s="16">
        <v>0.12</v>
      </c>
      <c r="G27" s="20">
        <f>Submetering!F27+Submetering!G27</f>
        <v>303.2</v>
      </c>
      <c r="H27" s="16">
        <v>0.71</v>
      </c>
      <c r="I27" s="20">
        <f>Submetering!J27+Submetering!I27+Submetering!H27</f>
        <v>84.76</v>
      </c>
      <c r="J27" s="16">
        <v>2.3196172978505634</v>
      </c>
      <c r="K27" s="20">
        <f>Submetering!K28</f>
        <v>80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v>2021</v>
      </c>
      <c r="E28" s="20">
        <f>Submetering!E28</f>
        <v>7582.76</v>
      </c>
      <c r="F28" s="16">
        <v>0.12</v>
      </c>
      <c r="G28" s="20">
        <f>Submetering!F28+Submetering!G28</f>
        <v>331.44000000000005</v>
      </c>
      <c r="H28" s="16">
        <v>0.71</v>
      </c>
      <c r="I28" s="20">
        <f>Submetering!J28+Submetering!I28+Submetering!H28</f>
        <v>34.15</v>
      </c>
      <c r="J28" s="16">
        <v>2.3196172978505634</v>
      </c>
      <c r="K28" s="20">
        <f>Submetering!K29</f>
        <v>87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v>2021</v>
      </c>
      <c r="E29" s="20">
        <f>Submetering!E29</f>
        <v>7304.63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87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2021</v>
      </c>
      <c r="E2" s="35">
        <v>8380.7999999999993</v>
      </c>
      <c r="F2" s="36">
        <v>159.57</v>
      </c>
      <c r="G2" s="36">
        <v>0.99</v>
      </c>
      <c r="H2" s="35">
        <v>3.23</v>
      </c>
      <c r="I2" s="35">
        <v>38</v>
      </c>
      <c r="J2" s="35">
        <v>50</v>
      </c>
      <c r="K2" s="6">
        <v>94</v>
      </c>
    </row>
    <row r="3" spans="1:12" x14ac:dyDescent="0.25">
      <c r="A3" s="17" t="s">
        <v>32</v>
      </c>
      <c r="B3" s="6">
        <f>B2+1</f>
        <v>2</v>
      </c>
      <c r="C3" s="6">
        <f>C2</f>
        <v>10</v>
      </c>
      <c r="D3" s="6">
        <v>2021</v>
      </c>
      <c r="E3" s="35">
        <v>8722.4599999999991</v>
      </c>
      <c r="F3" s="36">
        <v>119.52</v>
      </c>
      <c r="G3" s="36">
        <v>2.82</v>
      </c>
      <c r="H3" s="35">
        <v>3.82</v>
      </c>
      <c r="I3" s="35">
        <v>32</v>
      </c>
      <c r="J3" s="35">
        <v>59.5</v>
      </c>
      <c r="K3" s="6">
        <v>108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6">
        <v>2021</v>
      </c>
      <c r="E4" s="35">
        <v>8638</v>
      </c>
      <c r="F4" s="36">
        <v>130.13</v>
      </c>
      <c r="G4" s="36">
        <v>2.99</v>
      </c>
      <c r="H4" s="35">
        <v>2.97</v>
      </c>
      <c r="I4" s="35">
        <v>32.5</v>
      </c>
      <c r="J4" s="35">
        <v>49.5</v>
      </c>
      <c r="K4" s="37">
        <v>99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10</v>
      </c>
      <c r="D5" s="6">
        <v>2021</v>
      </c>
      <c r="E5" s="35">
        <v>8157.38</v>
      </c>
      <c r="F5" s="36">
        <v>247.12</v>
      </c>
      <c r="G5" s="36">
        <v>8.7200000000000006</v>
      </c>
      <c r="H5" s="35">
        <v>7.02</v>
      </c>
      <c r="I5" s="35">
        <v>36</v>
      </c>
      <c r="J5" s="35">
        <v>54.5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10</v>
      </c>
      <c r="D6" s="6">
        <v>2021</v>
      </c>
      <c r="E6" s="35">
        <v>7913.81</v>
      </c>
      <c r="F6" s="36">
        <v>220.08</v>
      </c>
      <c r="G6" s="36">
        <v>5.23</v>
      </c>
      <c r="H6" s="35">
        <v>6.28</v>
      </c>
      <c r="I6" s="35">
        <v>34.5</v>
      </c>
      <c r="J6" s="35">
        <v>50.5</v>
      </c>
      <c r="K6" s="37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10</v>
      </c>
      <c r="D7" s="6">
        <v>2021</v>
      </c>
      <c r="E7" s="35">
        <v>8093.85</v>
      </c>
      <c r="F7" s="36">
        <v>224.76</v>
      </c>
      <c r="G7" s="36">
        <v>1.99</v>
      </c>
      <c r="H7" s="35">
        <v>2.73</v>
      </c>
      <c r="I7" s="35">
        <v>35.5</v>
      </c>
      <c r="J7" s="35">
        <v>52</v>
      </c>
      <c r="K7" s="6">
        <v>100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10</v>
      </c>
      <c r="D8" s="6">
        <v>2021</v>
      </c>
      <c r="E8" s="35">
        <v>7979.36</v>
      </c>
      <c r="F8" s="36">
        <v>191.24</v>
      </c>
      <c r="G8" s="36">
        <v>0</v>
      </c>
      <c r="H8" s="35">
        <v>3.69</v>
      </c>
      <c r="I8" s="35">
        <v>33</v>
      </c>
      <c r="J8" s="35">
        <v>52</v>
      </c>
      <c r="K8" s="6">
        <v>97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10</v>
      </c>
      <c r="D9" s="6">
        <v>2021</v>
      </c>
      <c r="E9" s="35">
        <v>7808.81</v>
      </c>
      <c r="F9" s="36">
        <v>211.26</v>
      </c>
      <c r="G9" s="36">
        <v>0</v>
      </c>
      <c r="H9" s="35">
        <v>3.32</v>
      </c>
      <c r="I9" s="35">
        <v>38.5</v>
      </c>
      <c r="J9" s="35">
        <v>48</v>
      </c>
      <c r="K9" s="6">
        <v>90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10</v>
      </c>
      <c r="D10" s="6">
        <v>2021</v>
      </c>
      <c r="E10" s="35">
        <v>7862.81</v>
      </c>
      <c r="F10" s="35">
        <v>226.9</v>
      </c>
      <c r="G10" s="35">
        <v>0</v>
      </c>
      <c r="H10" s="35">
        <v>3.19</v>
      </c>
      <c r="I10" s="35">
        <v>41.5</v>
      </c>
      <c r="J10" s="35">
        <v>52.5</v>
      </c>
      <c r="K10" s="6">
        <v>85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10</v>
      </c>
      <c r="D11" s="6">
        <v>2021</v>
      </c>
      <c r="E11" s="35">
        <v>7305.19</v>
      </c>
      <c r="F11" s="35">
        <v>240.45</v>
      </c>
      <c r="G11" s="35">
        <v>0</v>
      </c>
      <c r="H11" s="35">
        <v>3.04</v>
      </c>
      <c r="I11" s="36">
        <v>35.5</v>
      </c>
      <c r="J11" s="35">
        <v>45</v>
      </c>
      <c r="K11" s="37">
        <v>92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10</v>
      </c>
      <c r="D12" s="6">
        <v>2021</v>
      </c>
      <c r="E12" s="35">
        <v>7467.9</v>
      </c>
      <c r="F12" s="35">
        <v>278.95</v>
      </c>
      <c r="G12" s="35">
        <v>6.31</v>
      </c>
      <c r="H12" s="35">
        <v>7.89</v>
      </c>
      <c r="I12" s="36">
        <v>38</v>
      </c>
      <c r="J12" s="35">
        <v>51.5</v>
      </c>
      <c r="K12" s="6">
        <v>102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10</v>
      </c>
      <c r="D13" s="6">
        <v>2021</v>
      </c>
      <c r="E13" s="35">
        <v>7528.46</v>
      </c>
      <c r="F13" s="35">
        <v>269.68</v>
      </c>
      <c r="G13" s="35">
        <v>12.37</v>
      </c>
      <c r="H13" s="35">
        <v>6.27</v>
      </c>
      <c r="I13" s="35">
        <v>35.5</v>
      </c>
      <c r="J13" s="35">
        <v>50</v>
      </c>
      <c r="K13" s="6">
        <v>104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10</v>
      </c>
      <c r="D14" s="6">
        <v>2021</v>
      </c>
      <c r="E14" s="35">
        <v>7651.95</v>
      </c>
      <c r="F14" s="35">
        <v>305.60000000000002</v>
      </c>
      <c r="G14" s="35">
        <v>10.46</v>
      </c>
      <c r="H14" s="35">
        <v>3.51</v>
      </c>
      <c r="I14" s="35">
        <v>35.5</v>
      </c>
      <c r="J14" s="35">
        <v>52</v>
      </c>
      <c r="K14" s="6">
        <v>104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10</v>
      </c>
      <c r="D15" s="6">
        <v>2021</v>
      </c>
      <c r="E15" s="35">
        <v>7657.84</v>
      </c>
      <c r="F15" s="35">
        <v>269.18</v>
      </c>
      <c r="G15" s="35">
        <v>11.95</v>
      </c>
      <c r="H15" s="35">
        <v>1.78</v>
      </c>
      <c r="I15" s="35">
        <v>13</v>
      </c>
      <c r="J15" s="35">
        <v>13.5</v>
      </c>
      <c r="K15" s="6">
        <v>72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10</v>
      </c>
      <c r="D16" s="6">
        <v>2021</v>
      </c>
      <c r="E16" s="35">
        <v>7686.11</v>
      </c>
      <c r="F16" s="35">
        <v>336.57</v>
      </c>
      <c r="G16" s="35">
        <v>17.93</v>
      </c>
      <c r="H16" s="35">
        <v>3.04</v>
      </c>
      <c r="I16" s="35">
        <v>37</v>
      </c>
      <c r="J16" s="35">
        <v>47.5</v>
      </c>
      <c r="K16" s="6">
        <v>100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10</v>
      </c>
      <c r="D17" s="6">
        <v>2021</v>
      </c>
      <c r="E17" s="35">
        <v>7997.18</v>
      </c>
      <c r="F17" s="35">
        <v>381.79</v>
      </c>
      <c r="G17" s="35">
        <v>15.19</v>
      </c>
      <c r="H17" s="35">
        <v>2.88</v>
      </c>
      <c r="I17" s="35">
        <v>34</v>
      </c>
      <c r="J17" s="35">
        <v>55</v>
      </c>
      <c r="K17" s="6">
        <v>97</v>
      </c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10</v>
      </c>
      <c r="D18" s="6">
        <v>2021</v>
      </c>
      <c r="E18" s="35">
        <v>7596.26</v>
      </c>
      <c r="F18" s="35">
        <v>319.33999999999997</v>
      </c>
      <c r="G18" s="35">
        <v>13.45</v>
      </c>
      <c r="H18" s="35">
        <v>2.94</v>
      </c>
      <c r="I18" s="35">
        <v>43.83</v>
      </c>
      <c r="J18" s="35">
        <v>46</v>
      </c>
      <c r="K18" s="6">
        <v>95</v>
      </c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10</v>
      </c>
      <c r="D19" s="6">
        <v>2021</v>
      </c>
      <c r="E19" s="36">
        <v>7613.74</v>
      </c>
      <c r="F19" s="35">
        <v>323.17</v>
      </c>
      <c r="G19" s="35">
        <v>11.95</v>
      </c>
      <c r="H19" s="35">
        <v>7.36</v>
      </c>
      <c r="I19" s="35">
        <v>54.17</v>
      </c>
      <c r="J19" s="35">
        <v>57</v>
      </c>
      <c r="K19" s="6">
        <v>99</v>
      </c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10</v>
      </c>
      <c r="D20" s="6">
        <v>2021</v>
      </c>
      <c r="E20" s="36">
        <v>7764.45</v>
      </c>
      <c r="F20" s="35">
        <v>267.94</v>
      </c>
      <c r="G20" s="35">
        <v>11.45</v>
      </c>
      <c r="H20" s="35">
        <v>6.54</v>
      </c>
      <c r="I20" s="35">
        <v>33</v>
      </c>
      <c r="J20" s="36">
        <v>51</v>
      </c>
      <c r="K20" s="6">
        <v>92</v>
      </c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10</v>
      </c>
      <c r="D21" s="6">
        <v>2021</v>
      </c>
      <c r="E21" s="36">
        <v>8162.36</v>
      </c>
      <c r="F21" s="35">
        <v>207.33</v>
      </c>
      <c r="G21" s="35">
        <v>11.95</v>
      </c>
      <c r="H21" s="35">
        <v>6.07</v>
      </c>
      <c r="I21" s="35">
        <v>32</v>
      </c>
      <c r="J21" s="35">
        <v>60</v>
      </c>
      <c r="K21" s="6">
        <v>88</v>
      </c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10</v>
      </c>
      <c r="D22" s="6">
        <v>2021</v>
      </c>
      <c r="E22" s="35">
        <v>8140.84</v>
      </c>
      <c r="F22" s="35">
        <v>186.81</v>
      </c>
      <c r="G22" s="35">
        <v>10.46</v>
      </c>
      <c r="H22" s="35">
        <v>1.78</v>
      </c>
      <c r="I22" s="35">
        <v>27</v>
      </c>
      <c r="J22" s="35">
        <v>50</v>
      </c>
      <c r="K22" s="37">
        <v>90</v>
      </c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10</v>
      </c>
      <c r="D23" s="6">
        <v>2021</v>
      </c>
      <c r="E23" s="35">
        <v>8210.25</v>
      </c>
      <c r="F23" s="35">
        <v>291.58999999999997</v>
      </c>
      <c r="G23" s="35">
        <v>11.45</v>
      </c>
      <c r="H23" s="35">
        <v>1.74</v>
      </c>
      <c r="I23" s="35">
        <v>35</v>
      </c>
      <c r="J23" s="35">
        <v>49.5</v>
      </c>
      <c r="K23" s="6">
        <v>91</v>
      </c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10</v>
      </c>
      <c r="D24" s="6">
        <v>2021</v>
      </c>
      <c r="E24" s="35">
        <v>7960.13</v>
      </c>
      <c r="F24" s="35">
        <v>265.25</v>
      </c>
      <c r="G24" s="35">
        <v>14.19</v>
      </c>
      <c r="H24" s="35">
        <v>1.77</v>
      </c>
      <c r="I24" s="35">
        <v>32</v>
      </c>
      <c r="J24" s="35">
        <v>52.5</v>
      </c>
      <c r="K24" s="6">
        <v>97</v>
      </c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10</v>
      </c>
      <c r="D25" s="6">
        <v>2021</v>
      </c>
      <c r="E25" s="35">
        <v>7389.75</v>
      </c>
      <c r="F25" s="35">
        <v>377.36</v>
      </c>
      <c r="G25" s="35">
        <v>15.27</v>
      </c>
      <c r="H25" s="35">
        <v>1.73</v>
      </c>
      <c r="I25" s="35">
        <v>32</v>
      </c>
      <c r="J25" s="35">
        <v>37</v>
      </c>
      <c r="K25" s="6">
        <v>50</v>
      </c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10</v>
      </c>
      <c r="D26" s="6">
        <v>2021</v>
      </c>
      <c r="E26" s="35">
        <v>7708.58</v>
      </c>
      <c r="F26" s="35">
        <v>353.1</v>
      </c>
      <c r="G26" s="35">
        <v>6.64</v>
      </c>
      <c r="H26" s="35">
        <v>1.68</v>
      </c>
      <c r="I26" s="35">
        <v>33</v>
      </c>
      <c r="J26" s="35">
        <v>46</v>
      </c>
      <c r="K26" s="6">
        <v>71</v>
      </c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v>2021</v>
      </c>
      <c r="E27" s="35">
        <v>7766.51</v>
      </c>
      <c r="F27" s="35">
        <v>293.49</v>
      </c>
      <c r="G27" s="35">
        <v>9.7100000000000009</v>
      </c>
      <c r="H27" s="35">
        <v>1.76</v>
      </c>
      <c r="I27" s="35">
        <v>32</v>
      </c>
      <c r="J27" s="35">
        <v>51</v>
      </c>
      <c r="K27" s="6">
        <v>75</v>
      </c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v>2021</v>
      </c>
      <c r="E28" s="35">
        <v>7582.76</v>
      </c>
      <c r="F28" s="35">
        <v>322.72000000000003</v>
      </c>
      <c r="G28" s="35">
        <v>8.7200000000000006</v>
      </c>
      <c r="H28" s="35">
        <v>2.65</v>
      </c>
      <c r="I28" s="35">
        <v>31.5</v>
      </c>
      <c r="J28" s="35"/>
      <c r="K28" s="37">
        <v>80</v>
      </c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v>2021</v>
      </c>
      <c r="E29" s="35">
        <v>7304.63</v>
      </c>
      <c r="F29" s="35"/>
      <c r="G29" s="35"/>
      <c r="H29" s="35"/>
      <c r="I29" s="35"/>
      <c r="J29" s="35"/>
      <c r="K29" s="6">
        <v>87</v>
      </c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v>2021</v>
      </c>
      <c r="E30" s="35"/>
      <c r="F30" s="35"/>
      <c r="G30" s="35"/>
      <c r="H30" s="35"/>
      <c r="I30" s="35"/>
      <c r="J30" s="35"/>
      <c r="K30" s="37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v>2021</v>
      </c>
      <c r="E31" s="35"/>
      <c r="F31" s="35"/>
      <c r="G31" s="35"/>
      <c r="H31" s="35"/>
      <c r="I31" s="35"/>
      <c r="J31" s="35"/>
      <c r="K31" s="37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v>2021</v>
      </c>
      <c r="E32" s="35"/>
      <c r="F32" s="35"/>
      <c r="G32" s="35"/>
      <c r="H32" s="35"/>
      <c r="I32" s="35"/>
      <c r="J32" s="35"/>
      <c r="K32" s="37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8"/>
      <c r="C1" s="1"/>
      <c r="D1" s="11"/>
      <c r="E1" s="1"/>
      <c r="F1" s="14"/>
      <c r="G1" s="1"/>
      <c r="H1" s="1"/>
      <c r="I1" s="39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38"/>
      <c r="C2" s="48" t="s">
        <v>22</v>
      </c>
      <c r="D2" s="49"/>
      <c r="E2" s="42" t="s">
        <v>23</v>
      </c>
      <c r="F2" s="42"/>
      <c r="G2" s="42" t="s">
        <v>24</v>
      </c>
      <c r="H2" s="42"/>
      <c r="I2" s="40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3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8"/>
      <c r="C4" s="18">
        <v>22342913</v>
      </c>
      <c r="D4" s="43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43">
        <f>IF((G5-G4&lt;0), "",G5-G4)</f>
        <v>3477</v>
      </c>
      <c r="I4" s="40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8"/>
      <c r="C5" s="18">
        <v>22350888</v>
      </c>
      <c r="D5" s="43"/>
      <c r="E5" s="18">
        <v>23843311</v>
      </c>
      <c r="F5" s="52"/>
      <c r="G5" s="18">
        <v>9979293</v>
      </c>
      <c r="H5" s="43"/>
      <c r="I5" s="40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3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2021-10-29T15:41:32Z</dcterms:modified>
</cp:coreProperties>
</file>